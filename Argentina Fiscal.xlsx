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Data" sheetId="2" state="visible" r:id="rId4"/>
    <sheet name="Monthly" sheetId="3" state="visible" r:id="rId5"/>
    <sheet name="Rolling 12m" sheetId="4" state="visible" r:id="rId6"/>
    <sheet name="Rolling 12m %GDP" sheetId="5" state="visible" r:id="rId7"/>
    <sheet name="Annual" sheetId="6" state="visible" r:id="rId8"/>
    <sheet name="Adjustment" sheetId="7" state="visible" r:id="rId9"/>
    <sheet name="Chart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<sst xmlns="http://schemas.openxmlformats.org/spreadsheetml/2006/main" count="397" uniqueCount="273">
  <si>
    <t xml:space="preserve">Argentina — national public sector, revenue, spending and the fiscal adjustment</t>
  </si>
  <si>
    <t xml:space="preserve">SPNF base caja (IMIG), millions of pesos, monthly Jan-2016 to May-2026.</t>
  </si>
  <si>
    <t xml:space="preserve">What's here</t>
  </si>
  <si>
    <t xml:space="preserve">Data</t>
  </si>
  <si>
    <t xml:space="preserve">Every published IMIG line, monthly. Blue = source. Capital spending is derived as a residual (total revenue less current primary spending less the primary balance) and reproduces the sum of the twelve published capital lines exactly.</t>
  </si>
  <si>
    <t xml:space="preserve">Monthly</t>
  </si>
  <si>
    <t xml:space="preserve">Raw monthly flows. Argentine fiscal data is violently seasonal — December alone carries bonus payments and arrears — so never read a single month.</t>
  </si>
  <si>
    <t xml:space="preserve">Rolling 12m</t>
  </si>
  <si>
    <t xml:space="preserve">Trailing twelve-month sums, nominal. This is the frame to read.</t>
  </si>
  <si>
    <t xml:space="preserve">Rolling 12m %GDP</t>
  </si>
  <si>
    <t xml:space="preserve">The same sums over trailing four-quarter nominal GDP. Scale-free, so 2017 and 2026 are directly comparable despite a price level that has risen roughly 120-fold.</t>
  </si>
  <si>
    <t xml:space="preserve">Annual</t>
  </si>
  <si>
    <t xml:space="preserve">Calendar years, nominal and as a share of GDP, plus 2026 year-to-date.</t>
  </si>
  <si>
    <t xml:space="preserve">Adjustment</t>
  </si>
  <si>
    <t xml:space="preserve">The heart of it: change in each line as a share of GDP between chosen dates, so you can see exactly which spending lines delivered the consolidation and how much each contributed.</t>
  </si>
  <si>
    <t xml:space="preserve">Three things to know</t>
  </si>
  <si>
    <t xml:space="preserve">Interest is CASH, not accrued</t>
  </si>
  <si>
    <t xml:space="preserve">The base caja interest line records interest actually paid. Capitalising instruments (LECAP, BONCAP, duales) accrue interest that never appears here until it is paid. In some months since 2024 that accrual has exceeded the reported overall balance, so the headline financial surplus overstates the accrual position. This is the single biggest caveat in the pack.</t>
  </si>
  <si>
    <t xml:space="preserve">Quarterly GDP is at ANNUAL rates</t>
  </si>
  <si>
    <t xml:space="preserve">A year's nominal GDP is the AVERAGE of its four quarters, never the sum. The monthly GDP path here is the quarterly flow (level/4) interpolated log-linearly and renormalised so each quarter's three months sum exactly to that quarter.</t>
  </si>
  <si>
    <t xml:space="preserve">Q2-2026 GDP is estimated</t>
  </si>
  <si>
    <t xml:space="preserve">National accounts run to Q1-2026. Q2-2026 is extrapolated at the Q1 y/y rate to let the ratios run to the last fiscal month. Any month after Mar-2026 carries that assumption.</t>
  </si>
  <si>
    <t xml:space="preserve">Validation</t>
  </si>
  <si>
    <t xml:space="preserve">Primary balance less interest equals the overall balance on all 125 months (max error 1, rounding). Derived capital spending is positive throughout. Annual nominal GDP for 2025 computes to 850,239,798 million pesos, matching INDEC.</t>
  </si>
  <si>
    <t xml:space="preserve">Source</t>
  </si>
  <si>
    <t xml:space="preserve">Secretaria de Hacienda, Ministerio de Economia — Informe Mensual de Ingresos y Gastos del SPNF, distribution 452.3 via datos.gob.ar. GDP: INDEC via SSPM distribution 4.4.</t>
  </si>
  <si>
    <t xml:space="preserve">IMIG monthly source data</t>
  </si>
  <si>
    <t xml:space="preserve">Millions of pesos. Blue = published. Green = derived / linked.</t>
  </si>
  <si>
    <t xml:space="preserve">Month</t>
  </si>
  <si>
    <t xml:space="preserve">Year</t>
  </si>
  <si>
    <t xml:space="preserve">iva</t>
  </si>
  <si>
    <t xml:space="preserve">gan</t>
  </si>
  <si>
    <t xml:space="preserve">ss</t>
  </si>
  <si>
    <t xml:space="preserve">debcred</t>
  </si>
  <si>
    <t xml:space="preserve">bp</t>
  </si>
  <si>
    <t xml:space="preserve">internos</t>
  </si>
  <si>
    <t xml:space="preserve">comb</t>
  </si>
  <si>
    <t xml:space="preserve">dex</t>
  </si>
  <si>
    <t xml:space="preserve">dim</t>
  </si>
  <si>
    <t xml:space="preserve">restotrib</t>
  </si>
  <si>
    <t xml:space="preserve">fgs</t>
  </si>
  <si>
    <t xml:space="preserve">rentas</t>
  </si>
  <si>
    <t xml:space="preserve">notrib</t>
  </si>
  <si>
    <t xml:space="preserve">transfctes</t>
  </si>
  <si>
    <t xml:space="preserve">restoctes</t>
  </si>
  <si>
    <t xml:space="preserve">ingcap</t>
  </si>
  <si>
    <t xml:space="preserve">jub</t>
  </si>
  <si>
    <t xml:space="preserve">asig</t>
  </si>
  <si>
    <t xml:space="preserve">pnc</t>
  </si>
  <si>
    <t xml:space="preserve">pami</t>
  </si>
  <si>
    <t xml:space="preserve">otrosprog</t>
  </si>
  <si>
    <t xml:space="preserve">energia</t>
  </si>
  <si>
    <t xml:space="preserve">transporte</t>
  </si>
  <si>
    <t xml:space="preserve">otrasfunc</t>
  </si>
  <si>
    <t xml:space="preserve">sal</t>
  </si>
  <si>
    <t xml:space="preserve">otrosfunc</t>
  </si>
  <si>
    <t xml:space="preserve">tpeduc</t>
  </si>
  <si>
    <t xml:space="preserve">tpss</t>
  </si>
  <si>
    <t xml:space="preserve">tpds</t>
  </si>
  <si>
    <t xml:space="preserve">tpsalud</t>
  </si>
  <si>
    <t xml:space="preserve">tpotras</t>
  </si>
  <si>
    <t xml:space="preserve">univ</t>
  </si>
  <si>
    <t xml:space="preserve">emppub</t>
  </si>
  <si>
    <t xml:space="preserve">otrosctes</t>
  </si>
  <si>
    <t xml:space="preserve">cap</t>
  </si>
  <si>
    <t xml:space="preserve">rprim</t>
  </si>
  <si>
    <t xml:space="preserve">int</t>
  </si>
  <si>
    <t xml:space="preserve">rfin</t>
  </si>
  <si>
    <t xml:space="preserve">GDP
(month, mn $)</t>
  </si>
  <si>
    <t xml:space="preserve">Check
prim-int-fin</t>
  </si>
  <si>
    <t xml:space="preserve">2016-01</t>
  </si>
  <si>
    <t xml:space="preserve">2016-02</t>
  </si>
  <si>
    <t xml:space="preserve">2016-03</t>
  </si>
  <si>
    <t xml:space="preserve">2016-04</t>
  </si>
  <si>
    <t xml:space="preserve">2016-05</t>
  </si>
  <si>
    <t xml:space="preserve">2016-06</t>
  </si>
  <si>
    <t xml:space="preserve">2016-07</t>
  </si>
  <si>
    <t xml:space="preserve">2016-08</t>
  </si>
  <si>
    <t xml:space="preserve">2016-09</t>
  </si>
  <si>
    <t xml:space="preserve">2016-10</t>
  </si>
  <si>
    <t xml:space="preserve">2016-11</t>
  </si>
  <si>
    <t xml:space="preserve">2016-12</t>
  </si>
  <si>
    <t xml:space="preserve">2017-01</t>
  </si>
  <si>
    <t xml:space="preserve">2017-02</t>
  </si>
  <si>
    <t xml:space="preserve">2017-03</t>
  </si>
  <si>
    <t xml:space="preserve">2017-04</t>
  </si>
  <si>
    <t xml:space="preserve">2017-05</t>
  </si>
  <si>
    <t xml:space="preserve">2017-06</t>
  </si>
  <si>
    <t xml:space="preserve">2017-07</t>
  </si>
  <si>
    <t xml:space="preserve">2017-08</t>
  </si>
  <si>
    <t xml:space="preserve">2017-09</t>
  </si>
  <si>
    <t xml:space="preserve">2017-10</t>
  </si>
  <si>
    <t xml:space="preserve">2017-11</t>
  </si>
  <si>
    <t xml:space="preserve">2017-12</t>
  </si>
  <si>
    <t xml:space="preserve">2018-01</t>
  </si>
  <si>
    <t xml:space="preserve">2018-02</t>
  </si>
  <si>
    <t xml:space="preserve">2018-03</t>
  </si>
  <si>
    <t xml:space="preserve">2018-04</t>
  </si>
  <si>
    <t xml:space="preserve">2018-05</t>
  </si>
  <si>
    <t xml:space="preserve">2018-06</t>
  </si>
  <si>
    <t xml:space="preserve">2018-07</t>
  </si>
  <si>
    <t xml:space="preserve">2018-08</t>
  </si>
  <si>
    <t xml:space="preserve">2018-09</t>
  </si>
  <si>
    <t xml:space="preserve">2018-10</t>
  </si>
  <si>
    <t xml:space="preserve">2018-11</t>
  </si>
  <si>
    <t xml:space="preserve">2018-12</t>
  </si>
  <si>
    <t xml:space="preserve">2019-01</t>
  </si>
  <si>
    <t xml:space="preserve">2019-02</t>
  </si>
  <si>
    <t xml:space="preserve">2019-03</t>
  </si>
  <si>
    <t xml:space="preserve">2019-04</t>
  </si>
  <si>
    <t xml:space="preserve">2019-05</t>
  </si>
  <si>
    <t xml:space="preserve">2019-06</t>
  </si>
  <si>
    <t xml:space="preserve">2019-07</t>
  </si>
  <si>
    <t xml:space="preserve">2019-08</t>
  </si>
  <si>
    <t xml:space="preserve">2019-09</t>
  </si>
  <si>
    <t xml:space="preserve">2019-10</t>
  </si>
  <si>
    <t xml:space="preserve">2019-11</t>
  </si>
  <si>
    <t xml:space="preserve">2019-12</t>
  </si>
  <si>
    <t xml:space="preserve">2020-01</t>
  </si>
  <si>
    <t xml:space="preserve">2020-02</t>
  </si>
  <si>
    <t xml:space="preserve">2020-03</t>
  </si>
  <si>
    <t xml:space="preserve">2020-04</t>
  </si>
  <si>
    <t xml:space="preserve">2020-05</t>
  </si>
  <si>
    <t xml:space="preserve">2020-06</t>
  </si>
  <si>
    <t xml:space="preserve">2020-07</t>
  </si>
  <si>
    <t xml:space="preserve">2020-08</t>
  </si>
  <si>
    <t xml:space="preserve">2020-09</t>
  </si>
  <si>
    <t xml:space="preserve">2020-10</t>
  </si>
  <si>
    <t xml:space="preserve">2020-11</t>
  </si>
  <si>
    <t xml:space="preserve">2020-12</t>
  </si>
  <si>
    <t xml:space="preserve">2021-01</t>
  </si>
  <si>
    <t xml:space="preserve">2021-02</t>
  </si>
  <si>
    <t xml:space="preserve">2021-03</t>
  </si>
  <si>
    <t xml:space="preserve">2021-04</t>
  </si>
  <si>
    <t xml:space="preserve">2021-05</t>
  </si>
  <si>
    <t xml:space="preserve">2021-06</t>
  </si>
  <si>
    <t xml:space="preserve">2021-07</t>
  </si>
  <si>
    <t xml:space="preserve">2021-08</t>
  </si>
  <si>
    <t xml:space="preserve">2021-09</t>
  </si>
  <si>
    <t xml:space="preserve">2021-10</t>
  </si>
  <si>
    <t xml:space="preserve">2021-11</t>
  </si>
  <si>
    <t xml:space="preserve">2021-12</t>
  </si>
  <si>
    <t xml:space="preserve">2022-01</t>
  </si>
  <si>
    <t xml:space="preserve">2022-02</t>
  </si>
  <si>
    <t xml:space="preserve">2022-03</t>
  </si>
  <si>
    <t xml:space="preserve">2022-04</t>
  </si>
  <si>
    <t xml:space="preserve">2022-05</t>
  </si>
  <si>
    <t xml:space="preserve">2022-06</t>
  </si>
  <si>
    <t xml:space="preserve">2022-07</t>
  </si>
  <si>
    <t xml:space="preserve">2022-08</t>
  </si>
  <si>
    <t xml:space="preserve">2022-09</t>
  </si>
  <si>
    <t xml:space="preserve">2022-10</t>
  </si>
  <si>
    <t xml:space="preserve">2022-11</t>
  </si>
  <si>
    <t xml:space="preserve">2022-12</t>
  </si>
  <si>
    <t xml:space="preserve">2023-01</t>
  </si>
  <si>
    <t xml:space="preserve">2023-02</t>
  </si>
  <si>
    <t xml:space="preserve">2023-03</t>
  </si>
  <si>
    <t xml:space="preserve">2023-04</t>
  </si>
  <si>
    <t xml:space="preserve">2023-05</t>
  </si>
  <si>
    <t xml:space="preserve">2023-06</t>
  </si>
  <si>
    <t xml:space="preserve">2023-07</t>
  </si>
  <si>
    <t xml:space="preserve">2023-08</t>
  </si>
  <si>
    <t xml:space="preserve">2023-09</t>
  </si>
  <si>
    <t xml:space="preserve">2023-10</t>
  </si>
  <si>
    <t xml:space="preserve">2023-11</t>
  </si>
  <si>
    <t xml:space="preserve">2023-12</t>
  </si>
  <si>
    <t xml:space="preserve">2024-01</t>
  </si>
  <si>
    <t xml:space="preserve">2024-02</t>
  </si>
  <si>
    <t xml:space="preserve">2024-03</t>
  </si>
  <si>
    <t xml:space="preserve">2024-04</t>
  </si>
  <si>
    <t xml:space="preserve">2024-05</t>
  </si>
  <si>
    <t xml:space="preserve">2024-06</t>
  </si>
  <si>
    <t xml:space="preserve">2024-07</t>
  </si>
  <si>
    <t xml:space="preserve">2024-08</t>
  </si>
  <si>
    <t xml:space="preserve">2024-09</t>
  </si>
  <si>
    <t xml:space="preserve">2024-10</t>
  </si>
  <si>
    <t xml:space="preserve">2024-11</t>
  </si>
  <si>
    <t xml:space="preserve">2024-12</t>
  </si>
  <si>
    <t xml:space="preserve">2025-01</t>
  </si>
  <si>
    <t xml:space="preserve">2025-02</t>
  </si>
  <si>
    <t xml:space="preserve">2025-03</t>
  </si>
  <si>
    <t xml:space="preserve">2025-04</t>
  </si>
  <si>
    <t xml:space="preserve">2025-05</t>
  </si>
  <si>
    <t xml:space="preserve">2025-06</t>
  </si>
  <si>
    <t xml:space="preserve">2025-07</t>
  </si>
  <si>
    <t xml:space="preserve">2025-08</t>
  </si>
  <si>
    <t xml:space="preserve">2025-09</t>
  </si>
  <si>
    <t xml:space="preserve">2025-10</t>
  </si>
  <si>
    <t xml:space="preserve">2025-11</t>
  </si>
  <si>
    <t xml:space="preserve">2025-12</t>
  </si>
  <si>
    <t xml:space="preserve">2026-01</t>
  </si>
  <si>
    <t xml:space="preserve">2026-02</t>
  </si>
  <si>
    <t xml:space="preserve">2026-03</t>
  </si>
  <si>
    <t xml:space="preserve">2026-04</t>
  </si>
  <si>
    <t xml:space="preserve">2026-05</t>
  </si>
  <si>
    <t xml:space="preserve">Capital spending is the residual of the published identity and matches the sum of the twelve capital lines in the source file.</t>
  </si>
  <si>
    <t xml:space="preserve">Monthly flows, nominal</t>
  </si>
  <si>
    <t xml:space="preserve">Millions of pesos. Seasonal — do not read a single month in isolation.</t>
  </si>
  <si>
    <t xml:space="preserve">TOTAL REVENUE</t>
  </si>
  <si>
    <t xml:space="preserve">  Tax revenue</t>
  </si>
  <si>
    <t xml:space="preserve">    VAT (net)</t>
  </si>
  <si>
    <t xml:space="preserve">    Income tax</t>
  </si>
  <si>
    <t xml:space="preserve">    Export duties</t>
  </si>
  <si>
    <t xml:space="preserve">    Import duties</t>
  </si>
  <si>
    <t xml:space="preserve">    Debits &amp; credits</t>
  </si>
  <si>
    <t xml:space="preserve">    Other taxes</t>
  </si>
  <si>
    <t xml:space="preserve">  Social security contrib.</t>
  </si>
  <si>
    <t xml:space="preserve">  Non-tax and capital</t>
  </si>
  <si>
    <t xml:space="preserve">PRIMARY EXPENDITURE</t>
  </si>
  <si>
    <t xml:space="preserve">  Social benefits</t>
  </si>
  <si>
    <t xml:space="preserve">    Contributory pensions</t>
  </si>
  <si>
    <t xml:space="preserve">    Family allowances</t>
  </si>
  <si>
    <t xml:space="preserve">    Non-contrib. pensions</t>
  </si>
  <si>
    <t xml:space="preserve">    PAMI</t>
  </si>
  <si>
    <t xml:space="preserve">  Other social programmes</t>
  </si>
  <si>
    <t xml:space="preserve">  Economic subsidies</t>
  </si>
  <si>
    <t xml:space="preserve">    Energy</t>
  </si>
  <si>
    <t xml:space="preserve">    Transport</t>
  </si>
  <si>
    <t xml:space="preserve">  Wages</t>
  </si>
  <si>
    <t xml:space="preserve">  Other operating</t>
  </si>
  <si>
    <t xml:space="preserve">  Transfers to provinces</t>
  </si>
  <si>
    <t xml:space="preserve">  Universities</t>
  </si>
  <si>
    <t xml:space="preserve">  Public enterprises</t>
  </si>
  <si>
    <t xml:space="preserve">  Other current</t>
  </si>
  <si>
    <t xml:space="preserve">  Capital expenditure</t>
  </si>
  <si>
    <t xml:space="preserve">PRIMARY BALANCE</t>
  </si>
  <si>
    <t xml:space="preserve">Interest (net)</t>
  </si>
  <si>
    <t xml:space="preserve">OVERALL BALANCE</t>
  </si>
  <si>
    <t xml:space="preserve">Trailing twelve-month sums, nominal</t>
  </si>
  <si>
    <t xml:space="preserve">Millions of pesos. The frame to read.</t>
  </si>
  <si>
    <t xml:space="preserve">Trailing twelve-month sums, share of GDP</t>
  </si>
  <si>
    <t xml:space="preserve">Trailing twelve-month flows over trailing four-quarter nominal GDP. Scale-free.</t>
  </si>
  <si>
    <t xml:space="preserve">Calendar years — nominal and share of GDP</t>
  </si>
  <si>
    <t xml:space="preserve">2026 is year-to-date through the last published month and is NOT comparable to full years; use the trailing twelve-month column instead.</t>
  </si>
  <si>
    <t xml:space="preserve">Line</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</si>
  <si>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</si>
  <si>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</si>
  <si>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</si>
  <si>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</si>
  <si>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</si>
  <si>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</si>
  <si>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</si>
  <si>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</si>
  <si>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</si>
  <si>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</si>
  <si>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2026 YTD</t>
  </si>
  <si>
    <t xml:space="preserve">2016 %GDP</t>
  </si>
  <si>
    <t xml:space="preserve">2017 %GDP</t>
  </si>
  <si>
    <t xml:space="preserve">2018 %GDP</t>
  </si>
  <si>
    <t xml:space="preserve">2019 %GDP</t>
  </si>
  <si>
    <t xml:space="preserve">2020 %GDP</t>
  </si>
  <si>
    <t xml:space="preserve">2021 %GDP</t>
  </si>
  <si>
    <t xml:space="preserve">2022 %GDP</t>
  </si>
  <si>
    <t xml:space="preserve">2023 %GDP</t>
  </si>
  <si>
    <t xml:space="preserve">2024 %GDP</t>
  </si>
  <si>
    <t xml:space="preserve">2025 %GDP</t>
  </si>
  <si>
    <t xml:space="preserve">2026 YTD %GDP</t>
  </si>
  <si>
    <t xml:space="preserve">Latest 12m
%GDP</t>
  </si>
  <si>
    <t xml:space="preserve">Ratios use nominal GDP summed over the same months, so the 2026 column is a year-to-date ratio, not an annualised one.</t>
  </si>
  <si>
    <t xml:space="preserve">Where the adjustment came from</t>
  </si>
  <si>
    <t xml:space="preserve">Trailing twelve-month shares of GDP at chosen dates, and the change between them in percentage points. A negative change on a spending line means that line was cut relative to GDP.</t>
  </si>
  <si>
    <t xml:space="preserve">Nov-2023
%GDP</t>
  </si>
  <si>
    <t xml:space="preserve">Dec-2024
%GDP</t>
  </si>
  <si>
    <t xml:space="preserve">Dec-2025
%GDP</t>
  </si>
  <si>
    <t xml:space="preserve">May-2026
%GDP</t>
  </si>
  <si>
    <t xml:space="preserve">Nov-23 to
Dec-24 (pp)</t>
  </si>
  <si>
    <t xml:space="preserve">Dec-24 to
latest (pp)</t>
  </si>
  <si>
    <t xml:space="preserve">TOTAL
Nov-23 to latest (pp)</t>
  </si>
  <si>
    <t xml:space="preserve">Share of total
spending cut</t>
  </si>
  <si>
    <t xml:space="preserve">Read the sign convention carefully. On revenue and spending lines a negative pp change means the line shrank relative to GDP. On the balance lines a positive change is an improvement.</t>
  </si>
  <si>
    <t xml:space="preserve">The 'share of total spending cut' column apportions the primary-expenditure change across its components, so it tells you which lines actually did the work.</t>
  </si>
  <si>
    <t xml:space="preserve">Charts</t>
  </si>
  <si>
    <t xml:space="preserve">All read from 'Rolling 12m %GDP'.</t>
  </si>
</sst>
</file>

<file path=xl/styles.xml><?xml version="1.0" encoding="utf-8"?>
<styleSheet xmlns="http://schemas.openxmlformats.org/spreadsheetml/2006/main">
  <numFmts count="7">
    <numFmt numFmtId="164" formatCode="General"/>
    <numFmt numFmtId="165" formatCode="0"/>
    <numFmt numFmtId="166" formatCode="#,##0;\(#,##0\);\-"/>
    <numFmt numFmtId="167" formatCode="0.00%"/>
    <numFmt numFmtId="168" formatCode="\+0.00;\-0.00;\-"/>
    <numFmt numFmtId="169" formatCode="0.0%"/>
    <numFmt numFmtId="170" formatCode="0.0"/>
  </numFmts>
  <fonts count="17">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6B6B6B"/>
      <name val="Arial"/>
      <family val="0"/>
      <charset val="1"/>
    </font>
    <font>
      <b val="true"/>
      <sz val="11"/>
      <color rgb="FF1F3B63"/>
      <name val="Arial"/>
      <family val="0"/>
      <charset val="1"/>
    </font>
    <font>
      <b val="true"/>
      <sz val="9"/>
      <color rgb="FF1A1A1A"/>
      <name val="Arial"/>
      <family val="0"/>
      <charset val="1"/>
    </font>
    <font>
      <sz val="9"/>
      <color rgb="FF1A1A1A"/>
      <name val="Arial"/>
      <family val="0"/>
      <charset val="1"/>
    </font>
    <font>
      <sz val="9"/>
      <color rgb="FF6B6B6B"/>
      <name val="Arial"/>
      <family val="0"/>
      <charset val="1"/>
    </font>
    <font>
      <sz val="9"/>
      <color rgb="FF0000FF"/>
      <name val="Arial"/>
      <family val="0"/>
      <charset val="1"/>
    </font>
    <font>
      <sz val="9"/>
      <color rgb="FF008000"/>
      <name val="Arial"/>
      <family val="0"/>
      <charset val="1"/>
    </font>
    <font>
      <i val="true"/>
      <sz val="8"/>
      <color rgb="FF6B6B6B"/>
      <name val="Arial"/>
      <family val="0"/>
      <charset val="1"/>
    </font>
    <font>
      <b val="true"/>
      <sz val="9"/>
      <color rgb="FF1F3B63"/>
      <name val="Arial"/>
      <family val="0"/>
      <charset val="1"/>
    </font>
    <font>
      <b val="true"/>
      <sz val="9"/>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F3B63"/>
        <bgColor rgb="FF2F5C8F"/>
      </patternFill>
    </fill>
    <fill>
      <patternFill patternType="solid">
        <fgColor rgb="FFF2F4F7"/>
        <bgColor rgb="FFFFFFFF"/>
      </patternFill>
    </fill>
  </fills>
  <borders count="2">
    <border diagonalUp="false" diagonalDown="false">
      <left/>
      <right/>
      <top/>
      <bottom/>
      <diagonal/>
    </border>
    <border diagonalUp="false" diagonalDown="false">
      <left/>
      <right/>
      <top/>
      <bottom style="thin">
        <color rgb="FF1F3B6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D1495B"/>
      <rgbColor rgb="FFF2F4F7"/>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E8A33D"/>
      <rgbColor rgb="FFFF6600"/>
      <rgbColor rgb="FF6B6B6B"/>
      <rgbColor rgb="FF969696"/>
      <rgbColor rgb="FF1F3B63"/>
      <rgbColor rgb="FF4F9D69"/>
      <rgbColor rgb="FF003300"/>
      <rgbColor rgb="FF333300"/>
      <rgbColor rgb="FF993300"/>
      <rgbColor rgb="FF993366"/>
      <rgbColor rgb="FF2F5C8F"/>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primary spending and the balances (12m, % of GDP)</a:t>
            </a:r>
          </a:p>
        </c:rich>
      </c:tx>
      <c:overlay val="0"/>
      <c:spPr>
        <a:noFill/>
        <a:ln w="0">
          <a:noFill/>
        </a:ln>
      </c:spPr>
    </c:title>
    <c:autoTitleDeleted val="0"/>
    <c:plotArea>
      <c:lineChart>
        <c:grouping val="standard"/>
        <c:varyColors val="0"/>
        <c:ser>
          <c:idx val="0"/>
          <c:order val="0"/>
          <c:tx>
            <c:strRef>
              <c:f>'Rolling 12m %GDP'!C6</c:f>
              <c:strCache>
                <c:ptCount val="1"/>
                <c:pt idx="0">
                  <c:v>TOTAL REVENUE</c:v>
                </c:pt>
              </c:strCache>
            </c:strRef>
          </c:tx>
          <c:spPr>
            <a:solidFill>
              <a:srgbClr val="2f5c8f"/>
            </a:solidFill>
            <a:ln w="28080">
              <a:solidFill>
                <a:srgbClr val="2f5c8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'Rolling 12m %GDP'!$B$31:$B$131</c:f>
              <c:strCache>
                <c:ptCount val="101"/>
                <c:pt idx="0">
                  <c:v>2018-01</c:v>
                </c:pt>
                <c:pt idx="1">
                  <c:v>2018-02</c:v>
                </c:pt>
                <c:pt idx="2">
                  <c:v>2018-03</c:v>
                </c:pt>
                <c:pt idx="3">
                  <c:v>2018-04</c:v>
                </c:pt>
                <c:pt idx="4">
                  <c:v>2018-05</c:v>
                </c:pt>
                <c:pt idx="5">
                  <c:v>2018-06</c:v>
                </c:pt>
                <c:pt idx="6">
                  <c:v>2018-07</c:v>
                </c:pt>
                <c:pt idx="7">
                  <c:v>2018-08</c:v>
                </c:pt>
                <c:pt idx="8">
                  <c:v>2018-09</c:v>
                </c:pt>
                <c:pt idx="9">
                  <c:v>2018-10</c:v>
                </c:pt>
                <c:pt idx="10">
                  <c:v>2018-11</c:v>
                </c:pt>
                <c:pt idx="11">
                  <c:v>2018-12</c:v>
                </c:pt>
                <c:pt idx="12">
                  <c:v>2019-01</c:v>
                </c:pt>
                <c:pt idx="13">
                  <c:v>2019-02</c:v>
                </c:pt>
                <c:pt idx="14">
                  <c:v>2019-03</c:v>
                </c:pt>
                <c:pt idx="15">
                  <c:v>2019-04</c:v>
                </c:pt>
                <c:pt idx="16">
                  <c:v>2019-05</c:v>
                </c:pt>
                <c:pt idx="17">
                  <c:v>2019-06</c:v>
                </c:pt>
                <c:pt idx="18">
                  <c:v>2019-07</c:v>
                </c:pt>
                <c:pt idx="19">
                  <c:v>2019-08</c:v>
                </c:pt>
                <c:pt idx="20">
                  <c:v>2019-09</c:v>
                </c:pt>
                <c:pt idx="21">
                  <c:v>2019-10</c:v>
                </c:pt>
                <c:pt idx="22">
                  <c:v>2019-11</c:v>
                </c:pt>
                <c:pt idx="23">
                  <c:v>2019-12</c:v>
                </c:pt>
                <c:pt idx="24">
                  <c:v>2020-01</c:v>
                </c:pt>
                <c:pt idx="25">
                  <c:v>2020-02</c:v>
                </c:pt>
                <c:pt idx="26">
                  <c:v>2020-03</c:v>
                </c:pt>
                <c:pt idx="27">
                  <c:v>2020-04</c:v>
                </c:pt>
                <c:pt idx="28">
                  <c:v>2020-05</c:v>
                </c:pt>
                <c:pt idx="29">
                  <c:v>2020-06</c:v>
                </c:pt>
                <c:pt idx="30">
                  <c:v>2020-07</c:v>
                </c:pt>
                <c:pt idx="31">
                  <c:v>2020-08</c:v>
                </c:pt>
                <c:pt idx="32">
                  <c:v>2020-09</c:v>
                </c:pt>
                <c:pt idx="33">
                  <c:v>2020-10</c:v>
                </c:pt>
                <c:pt idx="34">
                  <c:v>2020-11</c:v>
                </c:pt>
                <c:pt idx="35">
                  <c:v>2020-12</c:v>
                </c:pt>
                <c:pt idx="36">
                  <c:v>2021-01</c:v>
                </c:pt>
                <c:pt idx="37">
                  <c:v>2021-02</c:v>
                </c:pt>
                <c:pt idx="38">
                  <c:v>2021-03</c:v>
                </c:pt>
                <c:pt idx="39">
                  <c:v>2021-04</c:v>
                </c:pt>
                <c:pt idx="40">
                  <c:v>2021-05</c:v>
                </c:pt>
                <c:pt idx="41">
                  <c:v>2021-06</c:v>
                </c:pt>
                <c:pt idx="42">
                  <c:v>2021-07</c:v>
                </c:pt>
                <c:pt idx="43">
                  <c:v>2021-08</c:v>
                </c:pt>
                <c:pt idx="44">
                  <c:v>2021-09</c:v>
                </c:pt>
                <c:pt idx="45">
                  <c:v>2021-10</c:v>
                </c:pt>
                <c:pt idx="46">
                  <c:v>2021-11</c:v>
                </c:pt>
                <c:pt idx="47">
                  <c:v>2021-12</c:v>
                </c:pt>
                <c:pt idx="48">
                  <c:v>2022-01</c:v>
                </c:pt>
                <c:pt idx="49">
                  <c:v>2022-02</c:v>
                </c:pt>
                <c:pt idx="50">
                  <c:v>2022-03</c:v>
                </c:pt>
                <c:pt idx="51">
                  <c:v>2022-04</c:v>
                </c:pt>
                <c:pt idx="52">
                  <c:v>2022-05</c:v>
                </c:pt>
                <c:pt idx="53">
                  <c:v>2022-06</c:v>
                </c:pt>
                <c:pt idx="54">
                  <c:v>2022-07</c:v>
                </c:pt>
                <c:pt idx="55">
                  <c:v>2022-08</c:v>
                </c:pt>
                <c:pt idx="56">
                  <c:v>2022-09</c:v>
                </c:pt>
                <c:pt idx="57">
                  <c:v>2022-10</c:v>
                </c:pt>
                <c:pt idx="58">
                  <c:v>2022-11</c:v>
                </c:pt>
                <c:pt idx="59">
                  <c:v>2022-12</c:v>
                </c:pt>
                <c:pt idx="60">
                  <c:v>2023-01</c:v>
                </c:pt>
                <c:pt idx="61">
                  <c:v>2023-02</c:v>
                </c:pt>
                <c:pt idx="62">
                  <c:v>2023-03</c:v>
                </c:pt>
                <c:pt idx="63">
                  <c:v>2023-04</c:v>
                </c:pt>
                <c:pt idx="64">
                  <c:v>2023-05</c:v>
                </c:pt>
                <c:pt idx="65">
                  <c:v>2023-06</c:v>
                </c:pt>
                <c:pt idx="66">
                  <c:v>2023-07</c:v>
                </c:pt>
                <c:pt idx="67">
                  <c:v>2023-08</c:v>
                </c:pt>
                <c:pt idx="68">
                  <c:v>2023-09</c:v>
                </c:pt>
                <c:pt idx="69">
                  <c:v>2023-10</c:v>
                </c:pt>
                <c:pt idx="70">
                  <c:v>2023-11</c:v>
                </c:pt>
                <c:pt idx="71">
                  <c:v>2023-12</c:v>
                </c:pt>
                <c:pt idx="72">
                  <c:v>2024-01</c:v>
                </c:pt>
                <c:pt idx="73">
                  <c:v>2024-02</c:v>
                </c:pt>
                <c:pt idx="74">
                  <c:v>2024-03</c:v>
                </c:pt>
                <c:pt idx="75">
                  <c:v>2024-04</c:v>
                </c:pt>
                <c:pt idx="76">
                  <c:v>2024-05</c:v>
                </c:pt>
                <c:pt idx="77">
                  <c:v>2024-06</c:v>
                </c:pt>
                <c:pt idx="78">
                  <c:v>2024-07</c:v>
                </c:pt>
                <c:pt idx="79">
                  <c:v>2024-08</c:v>
                </c:pt>
                <c:pt idx="80">
                  <c:v>2024-09</c:v>
                </c:pt>
                <c:pt idx="81">
                  <c:v>2024-10</c:v>
                </c:pt>
                <c:pt idx="82">
                  <c:v>2024-11</c:v>
                </c:pt>
                <c:pt idx="83">
                  <c:v>2024-12</c:v>
                </c:pt>
                <c:pt idx="84">
                  <c:v>2025-01</c:v>
                </c:pt>
                <c:pt idx="85">
                  <c:v>2025-02</c:v>
                </c:pt>
                <c:pt idx="86">
                  <c:v>2025-03</c:v>
                </c:pt>
                <c:pt idx="87">
                  <c:v>2025-04</c:v>
                </c:pt>
                <c:pt idx="88">
                  <c:v>2025-05</c:v>
                </c:pt>
                <c:pt idx="89">
                  <c:v>2025-06</c:v>
                </c:pt>
                <c:pt idx="90">
                  <c:v>2025-07</c:v>
                </c:pt>
                <c:pt idx="91">
                  <c:v>2025-08</c:v>
                </c:pt>
                <c:pt idx="92">
                  <c:v>2025-09</c:v>
                </c:pt>
                <c:pt idx="93">
                  <c:v>2025-10</c:v>
                </c:pt>
                <c:pt idx="94">
                  <c:v>2025-11</c:v>
                </c:pt>
                <c:pt idx="95">
                  <c:v>2025-12</c:v>
                </c:pt>
                <c:pt idx="96">
                  <c:v>2026-01</c:v>
                </c:pt>
                <c:pt idx="97">
                  <c:v>2026-02</c:v>
                </c:pt>
                <c:pt idx="98">
                  <c:v>2026-03</c:v>
                </c:pt>
                <c:pt idx="99">
                  <c:v>2026-04</c:v>
                </c:pt>
                <c:pt idx="100">
                  <c:v>2026-05</c:v>
                </c:pt>
              </c:strCache>
            </c:strRef>
          </c:cat>
          <c:val>
            <c:numRef>
              <c:f>'Rolling 12m %GDP'!$C$7:$C$131</c:f>
              <c:numCache>
                <c:formatCode>0.00%</c:formatCode>
                <c:ptCount val="125"/>
                <c:pt idx="11">
                  <c:v>0.198016821235033</c:v>
                </c:pt>
                <c:pt idx="12">
                  <c:v>0.199315507785922</c:v>
                </c:pt>
                <c:pt idx="13">
                  <c:v>0.19918543712205</c:v>
                </c:pt>
                <c:pt idx="14">
                  <c:v>0.200970266106412</c:v>
                </c:pt>
                <c:pt idx="15">
                  <c:v>0.201627835581475</c:v>
                </c:pt>
                <c:pt idx="16">
                  <c:v>0.199979961273287</c:v>
                </c:pt>
                <c:pt idx="17">
                  <c:v>0.199384708359715</c:v>
                </c:pt>
                <c:pt idx="18">
                  <c:v>0.19937068809682</c:v>
                </c:pt>
                <c:pt idx="19">
                  <c:v>0.198943761588624</c:v>
                </c:pt>
                <c:pt idx="20">
                  <c:v>0.197994668590523</c:v>
                </c:pt>
                <c:pt idx="21">
                  <c:v>0.19765709092914</c:v>
                </c:pt>
                <c:pt idx="22">
                  <c:v>0.195917193093266</c:v>
                </c:pt>
                <c:pt idx="23">
                  <c:v>0.187434725341307</c:v>
                </c:pt>
                <c:pt idx="24">
                  <c:v>0.186084267101264</c:v>
                </c:pt>
                <c:pt idx="25">
                  <c:v>0.184902249639688</c:v>
                </c:pt>
                <c:pt idx="26">
                  <c:v>0.183388717354541</c:v>
                </c:pt>
                <c:pt idx="27">
                  <c:v>0.181444516484094</c:v>
                </c:pt>
                <c:pt idx="28">
                  <c:v>0.180882427352976</c:v>
                </c:pt>
                <c:pt idx="29">
                  <c:v>0.180753851241693</c:v>
                </c:pt>
                <c:pt idx="30">
                  <c:v>0.17975894909346</c:v>
                </c:pt>
                <c:pt idx="31">
                  <c:v>0.179234970537385</c:v>
                </c:pt>
                <c:pt idx="32">
                  <c:v>0.178892877033784</c:v>
                </c:pt>
                <c:pt idx="33">
                  <c:v>0.179206797700766</c:v>
                </c:pt>
                <c:pt idx="34">
                  <c:v>0.178047330983903</c:v>
                </c:pt>
                <c:pt idx="35">
                  <c:v>0.176371881397546</c:v>
                </c:pt>
                <c:pt idx="36">
                  <c:v>0.176824257530815</c:v>
                </c:pt>
                <c:pt idx="37">
                  <c:v>0.177604326124761</c:v>
                </c:pt>
                <c:pt idx="38">
                  <c:v>0.176738454980798</c:v>
                </c:pt>
                <c:pt idx="39">
                  <c:v>0.176204230993053</c:v>
                </c:pt>
                <c:pt idx="40">
                  <c:v>0.17668309763814</c:v>
                </c:pt>
                <c:pt idx="41">
                  <c:v>0.179443301352171</c:v>
                </c:pt>
                <c:pt idx="42">
                  <c:v>0.181690644892839</c:v>
                </c:pt>
                <c:pt idx="43">
                  <c:v>0.182693105552371</c:v>
                </c:pt>
                <c:pt idx="44">
                  <c:v>0.18229458682244</c:v>
                </c:pt>
                <c:pt idx="45">
                  <c:v>0.181545512641242</c:v>
                </c:pt>
                <c:pt idx="46">
                  <c:v>0.181742044951448</c:v>
                </c:pt>
                <c:pt idx="47">
                  <c:v>0.182623939499177</c:v>
                </c:pt>
                <c:pt idx="48">
                  <c:v>0.182132174484362</c:v>
                </c:pt>
                <c:pt idx="49">
                  <c:v>0.1810250622151</c:v>
                </c:pt>
                <c:pt idx="50">
                  <c:v>0.180276501836015</c:v>
                </c:pt>
                <c:pt idx="51">
                  <c:v>0.179593392753661</c:v>
                </c:pt>
                <c:pt idx="52">
                  <c:v>0.178677690258859</c:v>
                </c:pt>
                <c:pt idx="53">
                  <c:v>0.178207083983121</c:v>
                </c:pt>
                <c:pt idx="54">
                  <c:v>0.177966137218815</c:v>
                </c:pt>
                <c:pt idx="55">
                  <c:v>0.178249270157945</c:v>
                </c:pt>
                <c:pt idx="56">
                  <c:v>0.179278755369803</c:v>
                </c:pt>
                <c:pt idx="57">
                  <c:v>0.179584714340519</c:v>
                </c:pt>
                <c:pt idx="58">
                  <c:v>0.179507138372165</c:v>
                </c:pt>
                <c:pt idx="59">
                  <c:v>0.177930873562925</c:v>
                </c:pt>
                <c:pt idx="60">
                  <c:v>0.180327111169846</c:v>
                </c:pt>
                <c:pt idx="61">
                  <c:v>0.180430889940027</c:v>
                </c:pt>
                <c:pt idx="62">
                  <c:v>0.180528681761852</c:v>
                </c:pt>
                <c:pt idx="63">
                  <c:v>0.18031950650858</c:v>
                </c:pt>
                <c:pt idx="64">
                  <c:v>0.181055689183014</c:v>
                </c:pt>
                <c:pt idx="65">
                  <c:v>0.181473845159558</c:v>
                </c:pt>
                <c:pt idx="66">
                  <c:v>0.181868493115953</c:v>
                </c:pt>
                <c:pt idx="67">
                  <c:v>0.182095237398488</c:v>
                </c:pt>
                <c:pt idx="68">
                  <c:v>0.19227088690824</c:v>
                </c:pt>
                <c:pt idx="69">
                  <c:v>0.191679171233956</c:v>
                </c:pt>
                <c:pt idx="70">
                  <c:v>0.191044621270992</c:v>
                </c:pt>
                <c:pt idx="71">
                  <c:v>0.192131676475591</c:v>
                </c:pt>
                <c:pt idx="72">
                  <c:v>0.190695592389521</c:v>
                </c:pt>
                <c:pt idx="73">
                  <c:v>0.189852669116335</c:v>
                </c:pt>
                <c:pt idx="74">
                  <c:v>0.192024633216116</c:v>
                </c:pt>
                <c:pt idx="75">
                  <c:v>0.192155812149574</c:v>
                </c:pt>
                <c:pt idx="76">
                  <c:v>0.190341198467396</c:v>
                </c:pt>
                <c:pt idx="77">
                  <c:v>0.188296314009067</c:v>
                </c:pt>
                <c:pt idx="78">
                  <c:v>0.188905986579961</c:v>
                </c:pt>
                <c:pt idx="79">
                  <c:v>0.187520955573492</c:v>
                </c:pt>
                <c:pt idx="80">
                  <c:v>0.184684230158699</c:v>
                </c:pt>
                <c:pt idx="81">
                  <c:v>0.184858178616897</c:v>
                </c:pt>
                <c:pt idx="82">
                  <c:v>0.183057445889515</c:v>
                </c:pt>
                <c:pt idx="83">
                  <c:v>0.18294432654928</c:v>
                </c:pt>
                <c:pt idx="84">
                  <c:v>0.182425262137448</c:v>
                </c:pt>
                <c:pt idx="85">
                  <c:v>0.180159079110095</c:v>
                </c:pt>
                <c:pt idx="86">
                  <c:v>0.176557882235066</c:v>
                </c:pt>
                <c:pt idx="87">
                  <c:v>0.173773840754974</c:v>
                </c:pt>
                <c:pt idx="88">
                  <c:v>0.174011179002942</c:v>
                </c:pt>
                <c:pt idx="89">
                  <c:v>0.174454024607542</c:v>
                </c:pt>
                <c:pt idx="90">
                  <c:v>0.172793347843534</c:v>
                </c:pt>
                <c:pt idx="91">
                  <c:v>0.172931047991711</c:v>
                </c:pt>
                <c:pt idx="92">
                  <c:v>0.170169445027426</c:v>
                </c:pt>
                <c:pt idx="93">
                  <c:v>0.168992396712828</c:v>
                </c:pt>
                <c:pt idx="94">
                  <c:v>0.168894274513279</c:v>
                </c:pt>
                <c:pt idx="95">
                  <c:v>0.166645129234905</c:v>
                </c:pt>
                <c:pt idx="96">
                  <c:v>0.169996739774124</c:v>
                </c:pt>
                <c:pt idx="97">
                  <c:v>0.167804738815032</c:v>
                </c:pt>
                <c:pt idx="98">
                  <c:v>0.166227335226933</c:v>
                </c:pt>
                <c:pt idx="99">
                  <c:v>0.165391036736995</c:v>
                </c:pt>
                <c:pt idx="100">
                  <c:v>0.169211423791955</c:v>
                </c:pt>
                <c:pt idx="101">
                  <c:v>0.168433717579574</c:v>
                </c:pt>
                <c:pt idx="102">
                  <c:v>0.170162228605404</c:v>
                </c:pt>
                <c:pt idx="103">
                  <c:v>0.169255282472958</c:v>
                </c:pt>
                <c:pt idx="104">
                  <c:v>0.168843995686035</c:v>
                </c:pt>
                <c:pt idx="105">
                  <c:v>0.168291472047996</c:v>
                </c:pt>
                <c:pt idx="106">
                  <c:v>0.167635671353175</c:v>
                </c:pt>
                <c:pt idx="107">
                  <c:v>0.167731622138577</c:v>
                </c:pt>
                <c:pt idx="108">
                  <c:v>0.168206675196244</c:v>
                </c:pt>
                <c:pt idx="109">
                  <c:v>0.168560329767106</c:v>
                </c:pt>
                <c:pt idx="110">
                  <c:v>0.167754912683267</c:v>
                </c:pt>
                <c:pt idx="111">
                  <c:v>0.167129240205784</c:v>
                </c:pt>
                <c:pt idx="112">
                  <c:v>0.16476694392239</c:v>
                </c:pt>
                <c:pt idx="113">
                  <c:v>0.16439371228489</c:v>
                </c:pt>
                <c:pt idx="114">
                  <c:v>0.16471442879411</c:v>
                </c:pt>
                <c:pt idx="115">
                  <c:v>0.163687054384073</c:v>
                </c:pt>
                <c:pt idx="116">
                  <c:v>0.162648655637254</c:v>
                </c:pt>
                <c:pt idx="117">
                  <c:v>0.161851404418892</c:v>
                </c:pt>
                <c:pt idx="118">
                  <c:v>0.160155132685262</c:v>
                </c:pt>
                <c:pt idx="119">
                  <c:v>0.158989307819072</c:v>
                </c:pt>
                <c:pt idx="120">
                  <c:v>0.159267775685821</c:v>
                </c:pt>
                <c:pt idx="121">
                  <c:v>0.157985827072489</c:v>
                </c:pt>
                <c:pt idx="122">
                  <c:v>0.156944225998573</c:v>
                </c:pt>
                <c:pt idx="123">
                  <c:v>0.156350580320182</c:v>
                </c:pt>
                <c:pt idx="124">
                  <c:v>0.155706808736323</c:v>
                </c:pt>
              </c:numCache>
            </c:numRef>
          </c:val>
          <c:smooth val="0"/>
        </c:ser>
        <c:ser>
          <c:idx val="1"/>
          <c:order val="1"/>
          <c:tx>
            <c:strRef>
              <c:f>'Rolling 12m %GDP'!M6</c:f>
              <c:strCache>
                <c:ptCount val="1"/>
                <c:pt idx="0">
                  <c:v>PRIMARY EXPENDITURE</c:v>
                </c:pt>
              </c:strCache>
            </c:strRef>
          </c:tx>
          <c:spPr>
            <a:solidFill>
              <a:srgbClr val="d1495b"/>
            </a:solidFill>
            <a:ln w="28080">
              <a:solidFill>
                <a:srgbClr val="d1495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'Rolling 12m %GDP'!$B$31:$B$131</c:f>
              <c:strCache>
                <c:ptCount val="101"/>
                <c:pt idx="0">
                  <c:v>2018-01</c:v>
                </c:pt>
                <c:pt idx="1">
                  <c:v>2018-02</c:v>
                </c:pt>
                <c:pt idx="2">
                  <c:v>2018-03</c:v>
                </c:pt>
                <c:pt idx="3">
                  <c:v>2018-04</c:v>
                </c:pt>
                <c:pt idx="4">
                  <c:v>2018-05</c:v>
                </c:pt>
                <c:pt idx="5">
                  <c:v>2018-06</c:v>
                </c:pt>
                <c:pt idx="6">
                  <c:v>2018-07</c:v>
                </c:pt>
                <c:pt idx="7">
                  <c:v>2018-08</c:v>
                </c:pt>
                <c:pt idx="8">
                  <c:v>2018-09</c:v>
                </c:pt>
                <c:pt idx="9">
                  <c:v>2018-10</c:v>
                </c:pt>
                <c:pt idx="10">
                  <c:v>2018-11</c:v>
                </c:pt>
                <c:pt idx="11">
                  <c:v>2018-12</c:v>
                </c:pt>
                <c:pt idx="12">
                  <c:v>2019-01</c:v>
                </c:pt>
                <c:pt idx="13">
                  <c:v>2019-02</c:v>
                </c:pt>
                <c:pt idx="14">
                  <c:v>2019-03</c:v>
                </c:pt>
                <c:pt idx="15">
                  <c:v>2019-04</c:v>
                </c:pt>
                <c:pt idx="16">
                  <c:v>2019-05</c:v>
                </c:pt>
                <c:pt idx="17">
                  <c:v>2019-06</c:v>
                </c:pt>
                <c:pt idx="18">
                  <c:v>2019-07</c:v>
                </c:pt>
                <c:pt idx="19">
                  <c:v>2019-08</c:v>
                </c:pt>
                <c:pt idx="20">
                  <c:v>2019-09</c:v>
                </c:pt>
                <c:pt idx="21">
                  <c:v>2019-10</c:v>
                </c:pt>
                <c:pt idx="22">
                  <c:v>2019-11</c:v>
                </c:pt>
                <c:pt idx="23">
                  <c:v>2019-12</c:v>
                </c:pt>
                <c:pt idx="24">
                  <c:v>2020-01</c:v>
                </c:pt>
                <c:pt idx="25">
                  <c:v>2020-02</c:v>
                </c:pt>
                <c:pt idx="26">
                  <c:v>2020-03</c:v>
                </c:pt>
                <c:pt idx="27">
                  <c:v>2020-04</c:v>
                </c:pt>
                <c:pt idx="28">
                  <c:v>2020-05</c:v>
                </c:pt>
                <c:pt idx="29">
                  <c:v>2020-06</c:v>
                </c:pt>
                <c:pt idx="30">
                  <c:v>2020-07</c:v>
                </c:pt>
                <c:pt idx="31">
                  <c:v>2020-08</c:v>
                </c:pt>
                <c:pt idx="32">
                  <c:v>2020-09</c:v>
                </c:pt>
                <c:pt idx="33">
                  <c:v>2020-10</c:v>
                </c:pt>
                <c:pt idx="34">
                  <c:v>2020-11</c:v>
                </c:pt>
                <c:pt idx="35">
                  <c:v>2020-12</c:v>
                </c:pt>
                <c:pt idx="36">
                  <c:v>2021-01</c:v>
                </c:pt>
                <c:pt idx="37">
                  <c:v>2021-02</c:v>
                </c:pt>
                <c:pt idx="38">
                  <c:v>2021-03</c:v>
                </c:pt>
                <c:pt idx="39">
                  <c:v>2021-04</c:v>
                </c:pt>
                <c:pt idx="40">
                  <c:v>2021-05</c:v>
                </c:pt>
                <c:pt idx="41">
                  <c:v>2021-06</c:v>
                </c:pt>
                <c:pt idx="42">
                  <c:v>2021-07</c:v>
                </c:pt>
                <c:pt idx="43">
                  <c:v>2021-08</c:v>
                </c:pt>
                <c:pt idx="44">
                  <c:v>2021-09</c:v>
                </c:pt>
                <c:pt idx="45">
                  <c:v>2021-10</c:v>
                </c:pt>
                <c:pt idx="46">
                  <c:v>2021-11</c:v>
                </c:pt>
                <c:pt idx="47">
                  <c:v>2021-12</c:v>
                </c:pt>
                <c:pt idx="48">
                  <c:v>2022-01</c:v>
                </c:pt>
                <c:pt idx="49">
                  <c:v>2022-02</c:v>
                </c:pt>
                <c:pt idx="50">
                  <c:v>2022-03</c:v>
                </c:pt>
                <c:pt idx="51">
                  <c:v>2022-04</c:v>
                </c:pt>
                <c:pt idx="52">
                  <c:v>2022-05</c:v>
                </c:pt>
                <c:pt idx="53">
                  <c:v>2022-06</c:v>
                </c:pt>
                <c:pt idx="54">
                  <c:v>2022-07</c:v>
                </c:pt>
                <c:pt idx="55">
                  <c:v>2022-08</c:v>
                </c:pt>
                <c:pt idx="56">
                  <c:v>2022-09</c:v>
                </c:pt>
                <c:pt idx="57">
                  <c:v>2022-10</c:v>
                </c:pt>
                <c:pt idx="58">
                  <c:v>2022-11</c:v>
                </c:pt>
                <c:pt idx="59">
                  <c:v>2022-12</c:v>
                </c:pt>
                <c:pt idx="60">
                  <c:v>2023-01</c:v>
                </c:pt>
                <c:pt idx="61">
                  <c:v>2023-02</c:v>
                </c:pt>
                <c:pt idx="62">
                  <c:v>2023-03</c:v>
                </c:pt>
                <c:pt idx="63">
                  <c:v>2023-04</c:v>
                </c:pt>
                <c:pt idx="64">
                  <c:v>2023-05</c:v>
                </c:pt>
                <c:pt idx="65">
                  <c:v>2023-06</c:v>
                </c:pt>
                <c:pt idx="66">
                  <c:v>2023-07</c:v>
                </c:pt>
                <c:pt idx="67">
                  <c:v>2023-08</c:v>
                </c:pt>
                <c:pt idx="68">
                  <c:v>2023-09</c:v>
                </c:pt>
                <c:pt idx="69">
                  <c:v>2023-10</c:v>
                </c:pt>
                <c:pt idx="70">
                  <c:v>2023-11</c:v>
                </c:pt>
                <c:pt idx="71">
                  <c:v>2023-12</c:v>
                </c:pt>
                <c:pt idx="72">
                  <c:v>2024-01</c:v>
                </c:pt>
                <c:pt idx="73">
                  <c:v>2024-02</c:v>
                </c:pt>
                <c:pt idx="74">
                  <c:v>2024-03</c:v>
                </c:pt>
                <c:pt idx="75">
                  <c:v>2024-04</c:v>
                </c:pt>
                <c:pt idx="76">
                  <c:v>2024-05</c:v>
                </c:pt>
                <c:pt idx="77">
                  <c:v>2024-06</c:v>
                </c:pt>
                <c:pt idx="78">
                  <c:v>2024-07</c:v>
                </c:pt>
                <c:pt idx="79">
                  <c:v>2024-08</c:v>
                </c:pt>
                <c:pt idx="80">
                  <c:v>2024-09</c:v>
                </c:pt>
                <c:pt idx="81">
                  <c:v>2024-10</c:v>
                </c:pt>
                <c:pt idx="82">
                  <c:v>2024-11</c:v>
                </c:pt>
                <c:pt idx="83">
                  <c:v>2024-12</c:v>
                </c:pt>
                <c:pt idx="84">
                  <c:v>2025-01</c:v>
                </c:pt>
                <c:pt idx="85">
                  <c:v>2025-02</c:v>
                </c:pt>
                <c:pt idx="86">
                  <c:v>2025-03</c:v>
                </c:pt>
                <c:pt idx="87">
                  <c:v>2025-04</c:v>
                </c:pt>
                <c:pt idx="88">
                  <c:v>2025-05</c:v>
                </c:pt>
                <c:pt idx="89">
                  <c:v>2025-06</c:v>
                </c:pt>
                <c:pt idx="90">
                  <c:v>2025-07</c:v>
                </c:pt>
                <c:pt idx="91">
                  <c:v>2025-08</c:v>
                </c:pt>
                <c:pt idx="92">
                  <c:v>2025-09</c:v>
                </c:pt>
                <c:pt idx="93">
                  <c:v>2025-10</c:v>
                </c:pt>
                <c:pt idx="94">
                  <c:v>2025-11</c:v>
                </c:pt>
                <c:pt idx="95">
                  <c:v>2025-12</c:v>
                </c:pt>
                <c:pt idx="96">
                  <c:v>2026-01</c:v>
                </c:pt>
                <c:pt idx="97">
                  <c:v>2026-02</c:v>
                </c:pt>
                <c:pt idx="98">
                  <c:v>2026-03</c:v>
                </c:pt>
                <c:pt idx="99">
                  <c:v>2026-04</c:v>
                </c:pt>
                <c:pt idx="100">
                  <c:v>2026-05</c:v>
                </c:pt>
              </c:strCache>
            </c:strRef>
          </c:cat>
          <c:val>
            <c:numRef>
              <c:f>'Rolling 12m %GDP'!$M$7:$M$131</c:f>
              <c:numCache>
                <c:formatCode>0.00%</c:formatCode>
                <c:ptCount val="125"/>
                <c:pt idx="11">
                  <c:v>0.239766619308297</c:v>
                </c:pt>
                <c:pt idx="12">
                  <c:v>0.239783012198447</c:v>
                </c:pt>
                <c:pt idx="13">
                  <c:v>0.239955920981808</c:v>
                </c:pt>
                <c:pt idx="14">
                  <c:v>0.239546104148815</c:v>
                </c:pt>
                <c:pt idx="15">
                  <c:v>0.240310061312863</c:v>
                </c:pt>
                <c:pt idx="16">
                  <c:v>0.239598647301508</c:v>
                </c:pt>
                <c:pt idx="17">
                  <c:v>0.239611765799489</c:v>
                </c:pt>
                <c:pt idx="18">
                  <c:v>0.238490752795587</c:v>
                </c:pt>
                <c:pt idx="19">
                  <c:v>0.236082801834237</c:v>
                </c:pt>
                <c:pt idx="20">
                  <c:v>0.233734198122168</c:v>
                </c:pt>
                <c:pt idx="21">
                  <c:v>0.229733435444897</c:v>
                </c:pt>
                <c:pt idx="22">
                  <c:v>0.228862512434688</c:v>
                </c:pt>
                <c:pt idx="23">
                  <c:v>0.225346014034305</c:v>
                </c:pt>
                <c:pt idx="24">
                  <c:v>0.223081829421059</c:v>
                </c:pt>
                <c:pt idx="25">
                  <c:v>0.220433155379735</c:v>
                </c:pt>
                <c:pt idx="26">
                  <c:v>0.217738360958398</c:v>
                </c:pt>
                <c:pt idx="27">
                  <c:v>0.214191482492722</c:v>
                </c:pt>
                <c:pt idx="28">
                  <c:v>0.211139818916397</c:v>
                </c:pt>
                <c:pt idx="29">
                  <c:v>0.210166644833629</c:v>
                </c:pt>
                <c:pt idx="30">
                  <c:v>0.2077927822179</c:v>
                </c:pt>
                <c:pt idx="31">
                  <c:v>0.205448603220676</c:v>
                </c:pt>
                <c:pt idx="32">
                  <c:v>0.20376373379416</c:v>
                </c:pt>
                <c:pt idx="33">
                  <c:v>0.202203479271239</c:v>
                </c:pt>
                <c:pt idx="34">
                  <c:v>0.200634346419533</c:v>
                </c:pt>
                <c:pt idx="35">
                  <c:v>0.199362139286897</c:v>
                </c:pt>
                <c:pt idx="36">
                  <c:v>0.198357795241909</c:v>
                </c:pt>
                <c:pt idx="37">
                  <c:v>0.196845408720396</c:v>
                </c:pt>
                <c:pt idx="38">
                  <c:v>0.195339276180209</c:v>
                </c:pt>
                <c:pt idx="39">
                  <c:v>0.193555168200899</c:v>
                </c:pt>
                <c:pt idx="40">
                  <c:v>0.191468111690268</c:v>
                </c:pt>
                <c:pt idx="41">
                  <c:v>0.190907587146728</c:v>
                </c:pt>
                <c:pt idx="42">
                  <c:v>0.191781121594918</c:v>
                </c:pt>
                <c:pt idx="43">
                  <c:v>0.191196551173139</c:v>
                </c:pt>
                <c:pt idx="44">
                  <c:v>0.190659887887034</c:v>
                </c:pt>
                <c:pt idx="45">
                  <c:v>0.188381275994943</c:v>
                </c:pt>
                <c:pt idx="46">
                  <c:v>0.187029153022199</c:v>
                </c:pt>
                <c:pt idx="47">
                  <c:v>0.187036131740032</c:v>
                </c:pt>
                <c:pt idx="48">
                  <c:v>0.187327445075661</c:v>
                </c:pt>
                <c:pt idx="49">
                  <c:v>0.187565878896846</c:v>
                </c:pt>
                <c:pt idx="50">
                  <c:v>0.191432084124027</c:v>
                </c:pt>
                <c:pt idx="51">
                  <c:v>0.200264101216615</c:v>
                </c:pt>
                <c:pt idx="52">
                  <c:v>0.210802624005073</c:v>
                </c:pt>
                <c:pt idx="53">
                  <c:v>0.220267686925512</c:v>
                </c:pt>
                <c:pt idx="54">
                  <c:v>0.225910019507317</c:v>
                </c:pt>
                <c:pt idx="55">
                  <c:v>0.229477543472068</c:v>
                </c:pt>
                <c:pt idx="56">
                  <c:v>0.235089615763595</c:v>
                </c:pt>
                <c:pt idx="57">
                  <c:v>0.237769339437786</c:v>
                </c:pt>
                <c:pt idx="58">
                  <c:v>0.238422375021116</c:v>
                </c:pt>
                <c:pt idx="59">
                  <c:v>0.242244359527389</c:v>
                </c:pt>
                <c:pt idx="60">
                  <c:v>0.241796727671029</c:v>
                </c:pt>
                <c:pt idx="61">
                  <c:v>0.239597853069022</c:v>
                </c:pt>
                <c:pt idx="62">
                  <c:v>0.235678926634602</c:v>
                </c:pt>
                <c:pt idx="63">
                  <c:v>0.225752788090805</c:v>
                </c:pt>
                <c:pt idx="64">
                  <c:v>0.215625400349492</c:v>
                </c:pt>
                <c:pt idx="65">
                  <c:v>0.211367625702319</c:v>
                </c:pt>
                <c:pt idx="66">
                  <c:v>0.208890734531235</c:v>
                </c:pt>
                <c:pt idx="67">
                  <c:v>0.208902449866385</c:v>
                </c:pt>
                <c:pt idx="68">
                  <c:v>0.206712796097229</c:v>
                </c:pt>
                <c:pt idx="69">
                  <c:v>0.208517361836406</c:v>
                </c:pt>
                <c:pt idx="70">
                  <c:v>0.208897110396782</c:v>
                </c:pt>
                <c:pt idx="71">
                  <c:v>0.213340232023462</c:v>
                </c:pt>
                <c:pt idx="72">
                  <c:v>0.211928214678299</c:v>
                </c:pt>
                <c:pt idx="73">
                  <c:v>0.211424639119961</c:v>
                </c:pt>
                <c:pt idx="74">
                  <c:v>0.213207578370907</c:v>
                </c:pt>
                <c:pt idx="75">
                  <c:v>0.213633655698963</c:v>
                </c:pt>
                <c:pt idx="76">
                  <c:v>0.214087046535872</c:v>
                </c:pt>
                <c:pt idx="77">
                  <c:v>0.213683156069507</c:v>
                </c:pt>
                <c:pt idx="78">
                  <c:v>0.211513342793056</c:v>
                </c:pt>
                <c:pt idx="79">
                  <c:v>0.210266951422635</c:v>
                </c:pt>
                <c:pt idx="80">
                  <c:v>0.209259953260161</c:v>
                </c:pt>
                <c:pt idx="81">
                  <c:v>0.206718077796536</c:v>
                </c:pt>
                <c:pt idx="82">
                  <c:v>0.204943827772864</c:v>
                </c:pt>
                <c:pt idx="83">
                  <c:v>0.202987148535218</c:v>
                </c:pt>
                <c:pt idx="84">
                  <c:v>0.203513810121942</c:v>
                </c:pt>
                <c:pt idx="85">
                  <c:v>0.201720392114037</c:v>
                </c:pt>
                <c:pt idx="86">
                  <c:v>0.198502787824617</c:v>
                </c:pt>
                <c:pt idx="87">
                  <c:v>0.196859420509065</c:v>
                </c:pt>
                <c:pt idx="88">
                  <c:v>0.196480498776272</c:v>
                </c:pt>
                <c:pt idx="89">
                  <c:v>0.197921132086476</c:v>
                </c:pt>
                <c:pt idx="90">
                  <c:v>0.197255834800948</c:v>
                </c:pt>
                <c:pt idx="91">
                  <c:v>0.194359738686293</c:v>
                </c:pt>
                <c:pt idx="92">
                  <c:v>0.19304952349548</c:v>
                </c:pt>
                <c:pt idx="93">
                  <c:v>0.191461766494164</c:v>
                </c:pt>
                <c:pt idx="94">
                  <c:v>0.189394616914981</c:v>
                </c:pt>
                <c:pt idx="95">
                  <c:v>0.193274352026855</c:v>
                </c:pt>
                <c:pt idx="96">
                  <c:v>0.183644664037411</c:v>
                </c:pt>
                <c:pt idx="97">
                  <c:v>0.173943614607616</c:v>
                </c:pt>
                <c:pt idx="98">
                  <c:v>0.168462170756766</c:v>
                </c:pt>
                <c:pt idx="99">
                  <c:v>0.165424352824113</c:v>
                </c:pt>
                <c:pt idx="100">
                  <c:v>0.161572374736463</c:v>
                </c:pt>
                <c:pt idx="101">
                  <c:v>0.158546377669423</c:v>
                </c:pt>
                <c:pt idx="102">
                  <c:v>0.158073722011399</c:v>
                </c:pt>
                <c:pt idx="103">
                  <c:v>0.156034279299849</c:v>
                </c:pt>
                <c:pt idx="104">
                  <c:v>0.154117486818724</c:v>
                </c:pt>
                <c:pt idx="105">
                  <c:v>0.152514214883672</c:v>
                </c:pt>
                <c:pt idx="106">
                  <c:v>0.150004495223251</c:v>
                </c:pt>
                <c:pt idx="107">
                  <c:v>0.149924948016134</c:v>
                </c:pt>
                <c:pt idx="108">
                  <c:v>0.150515742778032</c:v>
                </c:pt>
                <c:pt idx="109">
                  <c:v>0.151613964208857</c:v>
                </c:pt>
                <c:pt idx="110">
                  <c:v>0.151218874824079</c:v>
                </c:pt>
                <c:pt idx="111">
                  <c:v>0.150316980822576</c:v>
                </c:pt>
                <c:pt idx="112">
                  <c:v>0.149402156436171</c:v>
                </c:pt>
                <c:pt idx="113">
                  <c:v>0.149084558245609</c:v>
                </c:pt>
                <c:pt idx="114">
                  <c:v>0.148721662113469</c:v>
                </c:pt>
                <c:pt idx="115">
                  <c:v>0.14727059516348</c:v>
                </c:pt>
                <c:pt idx="116">
                  <c:v>0.146807307595601</c:v>
                </c:pt>
                <c:pt idx="117">
                  <c:v>0.146308592234027</c:v>
                </c:pt>
                <c:pt idx="118">
                  <c:v>0.144083626481291</c:v>
                </c:pt>
                <c:pt idx="119">
                  <c:v>0.145147075281179</c:v>
                </c:pt>
                <c:pt idx="120">
                  <c:v>0.144949227774534</c:v>
                </c:pt>
                <c:pt idx="121">
                  <c:v>0.143728048892841</c:v>
                </c:pt>
                <c:pt idx="122">
                  <c:v>0.142811687401827</c:v>
                </c:pt>
                <c:pt idx="123">
                  <c:v>0.142794993021305</c:v>
                </c:pt>
                <c:pt idx="124">
                  <c:v>0.142255348973108</c:v>
                </c:pt>
              </c:numCache>
            </c:numRef>
          </c:val>
          <c:smooth val="0"/>
        </c:ser>
        <c:ser>
          <c:idx val="2"/>
          <c:order val="2"/>
          <c:tx>
            <c:strRef>
              <c:f>'Rolling 12m %GDP'!AD6</c:f>
              <c:strCache>
                <c:ptCount val="1"/>
                <c:pt idx="0">
                  <c:v>PRIMARY BALANCE</c:v>
                </c:pt>
              </c:strCache>
            </c:strRef>
          </c:tx>
          <c:spPr>
            <a:solidFill>
              <a:srgbClr val="4f9d69"/>
            </a:solidFill>
            <a:ln w="29880">
              <a:solidFill>
                <a:srgbClr val="4f9d69"/>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'Rolling 12m %GDP'!$B$31:$B$131</c:f>
              <c:strCache>
                <c:ptCount val="101"/>
                <c:pt idx="0">
                  <c:v>2018-01</c:v>
                </c:pt>
                <c:pt idx="1">
                  <c:v>2018-02</c:v>
                </c:pt>
                <c:pt idx="2">
                  <c:v>2018-03</c:v>
                </c:pt>
                <c:pt idx="3">
                  <c:v>2018-04</c:v>
                </c:pt>
                <c:pt idx="4">
                  <c:v>2018-05</c:v>
                </c:pt>
                <c:pt idx="5">
                  <c:v>2018-06</c:v>
                </c:pt>
                <c:pt idx="6">
                  <c:v>2018-07</c:v>
                </c:pt>
                <c:pt idx="7">
                  <c:v>2018-08</c:v>
                </c:pt>
                <c:pt idx="8">
                  <c:v>2018-09</c:v>
                </c:pt>
                <c:pt idx="9">
                  <c:v>2018-10</c:v>
                </c:pt>
                <c:pt idx="10">
                  <c:v>2018-11</c:v>
                </c:pt>
                <c:pt idx="11">
                  <c:v>2018-12</c:v>
                </c:pt>
                <c:pt idx="12">
                  <c:v>2019-01</c:v>
                </c:pt>
                <c:pt idx="13">
                  <c:v>2019-02</c:v>
                </c:pt>
                <c:pt idx="14">
                  <c:v>2019-03</c:v>
                </c:pt>
                <c:pt idx="15">
                  <c:v>2019-04</c:v>
                </c:pt>
                <c:pt idx="16">
                  <c:v>2019-05</c:v>
                </c:pt>
                <c:pt idx="17">
                  <c:v>2019-06</c:v>
                </c:pt>
                <c:pt idx="18">
                  <c:v>2019-07</c:v>
                </c:pt>
                <c:pt idx="19">
                  <c:v>2019-08</c:v>
                </c:pt>
                <c:pt idx="20">
                  <c:v>2019-09</c:v>
                </c:pt>
                <c:pt idx="21">
                  <c:v>2019-10</c:v>
                </c:pt>
                <c:pt idx="22">
                  <c:v>2019-11</c:v>
                </c:pt>
                <c:pt idx="23">
                  <c:v>2019-12</c:v>
                </c:pt>
                <c:pt idx="24">
                  <c:v>2020-01</c:v>
                </c:pt>
                <c:pt idx="25">
                  <c:v>2020-02</c:v>
                </c:pt>
                <c:pt idx="26">
                  <c:v>2020-03</c:v>
                </c:pt>
                <c:pt idx="27">
                  <c:v>2020-04</c:v>
                </c:pt>
                <c:pt idx="28">
                  <c:v>2020-05</c:v>
                </c:pt>
                <c:pt idx="29">
                  <c:v>2020-06</c:v>
                </c:pt>
                <c:pt idx="30">
                  <c:v>2020-07</c:v>
                </c:pt>
                <c:pt idx="31">
                  <c:v>2020-08</c:v>
                </c:pt>
                <c:pt idx="32">
                  <c:v>2020-09</c:v>
                </c:pt>
                <c:pt idx="33">
                  <c:v>2020-10</c:v>
                </c:pt>
                <c:pt idx="34">
                  <c:v>2020-11</c:v>
                </c:pt>
                <c:pt idx="35">
                  <c:v>2020-12</c:v>
                </c:pt>
                <c:pt idx="36">
                  <c:v>2021-01</c:v>
                </c:pt>
                <c:pt idx="37">
                  <c:v>2021-02</c:v>
                </c:pt>
                <c:pt idx="38">
                  <c:v>2021-03</c:v>
                </c:pt>
                <c:pt idx="39">
                  <c:v>2021-04</c:v>
                </c:pt>
                <c:pt idx="40">
                  <c:v>2021-05</c:v>
                </c:pt>
                <c:pt idx="41">
                  <c:v>2021-06</c:v>
                </c:pt>
                <c:pt idx="42">
                  <c:v>2021-07</c:v>
                </c:pt>
                <c:pt idx="43">
                  <c:v>2021-08</c:v>
                </c:pt>
                <c:pt idx="44">
                  <c:v>2021-09</c:v>
                </c:pt>
                <c:pt idx="45">
                  <c:v>2021-10</c:v>
                </c:pt>
                <c:pt idx="46">
                  <c:v>2021-11</c:v>
                </c:pt>
                <c:pt idx="47">
                  <c:v>2021-12</c:v>
                </c:pt>
                <c:pt idx="48">
                  <c:v>2022-01</c:v>
                </c:pt>
                <c:pt idx="49">
                  <c:v>2022-02</c:v>
                </c:pt>
                <c:pt idx="50">
                  <c:v>2022-03</c:v>
                </c:pt>
                <c:pt idx="51">
                  <c:v>2022-04</c:v>
                </c:pt>
                <c:pt idx="52">
                  <c:v>2022-05</c:v>
                </c:pt>
                <c:pt idx="53">
                  <c:v>2022-06</c:v>
                </c:pt>
                <c:pt idx="54">
                  <c:v>2022-07</c:v>
                </c:pt>
                <c:pt idx="55">
                  <c:v>2022-08</c:v>
                </c:pt>
                <c:pt idx="56">
                  <c:v>2022-09</c:v>
                </c:pt>
                <c:pt idx="57">
                  <c:v>2022-10</c:v>
                </c:pt>
                <c:pt idx="58">
                  <c:v>2022-11</c:v>
                </c:pt>
                <c:pt idx="59">
                  <c:v>2022-12</c:v>
                </c:pt>
                <c:pt idx="60">
                  <c:v>2023-01</c:v>
                </c:pt>
                <c:pt idx="61">
                  <c:v>2023-02</c:v>
                </c:pt>
                <c:pt idx="62">
                  <c:v>2023-03</c:v>
                </c:pt>
                <c:pt idx="63">
                  <c:v>2023-04</c:v>
                </c:pt>
                <c:pt idx="64">
                  <c:v>2023-05</c:v>
                </c:pt>
                <c:pt idx="65">
                  <c:v>2023-06</c:v>
                </c:pt>
                <c:pt idx="66">
                  <c:v>2023-07</c:v>
                </c:pt>
                <c:pt idx="67">
                  <c:v>2023-08</c:v>
                </c:pt>
                <c:pt idx="68">
                  <c:v>2023-09</c:v>
                </c:pt>
                <c:pt idx="69">
                  <c:v>2023-10</c:v>
                </c:pt>
                <c:pt idx="70">
                  <c:v>2023-11</c:v>
                </c:pt>
                <c:pt idx="71">
                  <c:v>2023-12</c:v>
                </c:pt>
                <c:pt idx="72">
                  <c:v>2024-01</c:v>
                </c:pt>
                <c:pt idx="73">
                  <c:v>2024-02</c:v>
                </c:pt>
                <c:pt idx="74">
                  <c:v>2024-03</c:v>
                </c:pt>
                <c:pt idx="75">
                  <c:v>2024-04</c:v>
                </c:pt>
                <c:pt idx="76">
                  <c:v>2024-05</c:v>
                </c:pt>
                <c:pt idx="77">
                  <c:v>2024-06</c:v>
                </c:pt>
                <c:pt idx="78">
                  <c:v>2024-07</c:v>
                </c:pt>
                <c:pt idx="79">
                  <c:v>2024-08</c:v>
                </c:pt>
                <c:pt idx="80">
                  <c:v>2024-09</c:v>
                </c:pt>
                <c:pt idx="81">
                  <c:v>2024-10</c:v>
                </c:pt>
                <c:pt idx="82">
                  <c:v>2024-11</c:v>
                </c:pt>
                <c:pt idx="83">
                  <c:v>2024-12</c:v>
                </c:pt>
                <c:pt idx="84">
                  <c:v>2025-01</c:v>
                </c:pt>
                <c:pt idx="85">
                  <c:v>2025-02</c:v>
                </c:pt>
                <c:pt idx="86">
                  <c:v>2025-03</c:v>
                </c:pt>
                <c:pt idx="87">
                  <c:v>2025-04</c:v>
                </c:pt>
                <c:pt idx="88">
                  <c:v>2025-05</c:v>
                </c:pt>
                <c:pt idx="89">
                  <c:v>2025-06</c:v>
                </c:pt>
                <c:pt idx="90">
                  <c:v>2025-07</c:v>
                </c:pt>
                <c:pt idx="91">
                  <c:v>2025-08</c:v>
                </c:pt>
                <c:pt idx="92">
                  <c:v>2025-09</c:v>
                </c:pt>
                <c:pt idx="93">
                  <c:v>2025-10</c:v>
                </c:pt>
                <c:pt idx="94">
                  <c:v>2025-11</c:v>
                </c:pt>
                <c:pt idx="95">
                  <c:v>2025-12</c:v>
                </c:pt>
                <c:pt idx="96">
                  <c:v>2026-01</c:v>
                </c:pt>
                <c:pt idx="97">
                  <c:v>2026-02</c:v>
                </c:pt>
                <c:pt idx="98">
                  <c:v>2026-03</c:v>
                </c:pt>
                <c:pt idx="99">
                  <c:v>2026-04</c:v>
                </c:pt>
                <c:pt idx="100">
                  <c:v>2026-05</c:v>
                </c:pt>
              </c:strCache>
            </c:strRef>
          </c:cat>
          <c:val>
            <c:numRef>
              <c:f>'Rolling 12m %GDP'!$AD$7:$AD$131</c:f>
              <c:numCache>
                <c:formatCode>0.00%</c:formatCode>
                <c:ptCount val="125"/>
                <c:pt idx="11">
                  <c:v>-0.0417497980732648</c:v>
                </c:pt>
                <c:pt idx="12">
                  <c:v>-0.0404675044125253</c:v>
                </c:pt>
                <c:pt idx="13">
                  <c:v>-0.0407704838597587</c:v>
                </c:pt>
                <c:pt idx="14">
                  <c:v>-0.0385758380424023</c:v>
                </c:pt>
                <c:pt idx="15">
                  <c:v>-0.0386822257313878</c:v>
                </c:pt>
                <c:pt idx="16">
                  <c:v>-0.0396186860282216</c:v>
                </c:pt>
                <c:pt idx="17">
                  <c:v>-0.0402270574397738</c:v>
                </c:pt>
                <c:pt idx="18">
                  <c:v>-0.0391200646987675</c:v>
                </c:pt>
                <c:pt idx="19">
                  <c:v>-0.037139040245613</c:v>
                </c:pt>
                <c:pt idx="20">
                  <c:v>-0.0357395295316448</c:v>
                </c:pt>
                <c:pt idx="21">
                  <c:v>-0.032076344515757</c:v>
                </c:pt>
                <c:pt idx="22">
                  <c:v>-0.0329453193414222</c:v>
                </c:pt>
                <c:pt idx="23">
                  <c:v>-0.0379112886929974</c:v>
                </c:pt>
                <c:pt idx="24">
                  <c:v>-0.0369975623197944</c:v>
                </c:pt>
                <c:pt idx="25">
                  <c:v>-0.035530905740047</c:v>
                </c:pt>
                <c:pt idx="26">
                  <c:v>-0.0343496436038578</c:v>
                </c:pt>
                <c:pt idx="27">
                  <c:v>-0.0327469660086277</c:v>
                </c:pt>
                <c:pt idx="28">
                  <c:v>-0.0302573915634214</c:v>
                </c:pt>
                <c:pt idx="29">
                  <c:v>-0.0294127935919368</c:v>
                </c:pt>
                <c:pt idx="30">
                  <c:v>-0.02803383312444</c:v>
                </c:pt>
                <c:pt idx="31">
                  <c:v>-0.0262136326832915</c:v>
                </c:pt>
                <c:pt idx="32">
                  <c:v>-0.0248708567603762</c:v>
                </c:pt>
                <c:pt idx="33">
                  <c:v>-0.0229966815704736</c:v>
                </c:pt>
                <c:pt idx="34">
                  <c:v>-0.0225870154356291</c:v>
                </c:pt>
                <c:pt idx="35">
                  <c:v>-0.0229902578893512</c:v>
                </c:pt>
                <c:pt idx="36">
                  <c:v>-0.0215335377110934</c:v>
                </c:pt>
                <c:pt idx="37">
                  <c:v>-0.0192410825956343</c:v>
                </c:pt>
                <c:pt idx="38">
                  <c:v>-0.0186008211994118</c:v>
                </c:pt>
                <c:pt idx="39">
                  <c:v>-0.0173509372078464</c:v>
                </c:pt>
                <c:pt idx="40">
                  <c:v>-0.0147850140521288</c:v>
                </c:pt>
                <c:pt idx="41">
                  <c:v>-0.0114642857945569</c:v>
                </c:pt>
                <c:pt idx="42">
                  <c:v>-0.0100904767020785</c:v>
                </c:pt>
                <c:pt idx="43">
                  <c:v>-0.00850344562076782</c:v>
                </c:pt>
                <c:pt idx="44">
                  <c:v>-0.00836530106459389</c:v>
                </c:pt>
                <c:pt idx="45">
                  <c:v>-0.00683576335370147</c:v>
                </c:pt>
                <c:pt idx="46">
                  <c:v>-0.00528710807075142</c:v>
                </c:pt>
                <c:pt idx="47">
                  <c:v>-0.00441219224085459</c:v>
                </c:pt>
                <c:pt idx="48">
                  <c:v>-0.00519527059129884</c:v>
                </c:pt>
                <c:pt idx="49">
                  <c:v>-0.00654081668174568</c:v>
                </c:pt>
                <c:pt idx="50">
                  <c:v>-0.0111555822880116</c:v>
                </c:pt>
                <c:pt idx="51">
                  <c:v>-0.020670708462954</c:v>
                </c:pt>
                <c:pt idx="52">
                  <c:v>-0.032124933746214</c:v>
                </c:pt>
                <c:pt idx="53">
                  <c:v>-0.042060602942391</c:v>
                </c:pt>
                <c:pt idx="54">
                  <c:v>-0.0479438822885019</c:v>
                </c:pt>
                <c:pt idx="55">
                  <c:v>-0.0512282733141229</c:v>
                </c:pt>
                <c:pt idx="56">
                  <c:v>-0.0558108603937922</c:v>
                </c:pt>
                <c:pt idx="57">
                  <c:v>-0.0581846250972671</c:v>
                </c:pt>
                <c:pt idx="58">
                  <c:v>-0.0589152366489504</c:v>
                </c:pt>
                <c:pt idx="59">
                  <c:v>-0.064313485964464</c:v>
                </c:pt>
                <c:pt idx="60">
                  <c:v>-0.061469616501183</c:v>
                </c:pt>
                <c:pt idx="61">
                  <c:v>-0.0591669631289953</c:v>
                </c:pt>
                <c:pt idx="62">
                  <c:v>-0.0551502448727496</c:v>
                </c:pt>
                <c:pt idx="63">
                  <c:v>-0.0454332815822256</c:v>
                </c:pt>
                <c:pt idx="64">
                  <c:v>-0.0345697111664781</c:v>
                </c:pt>
                <c:pt idx="65">
                  <c:v>-0.0298937805427614</c:v>
                </c:pt>
                <c:pt idx="66">
                  <c:v>-0.027022241415282</c:v>
                </c:pt>
                <c:pt idx="67">
                  <c:v>-0.0268072124678975</c:v>
                </c:pt>
                <c:pt idx="68">
                  <c:v>-0.0144419091889895</c:v>
                </c:pt>
                <c:pt idx="69">
                  <c:v>-0.0168381906024503</c:v>
                </c:pt>
                <c:pt idx="70">
                  <c:v>-0.0178524891257905</c:v>
                </c:pt>
                <c:pt idx="71">
                  <c:v>-0.0212085555478717</c:v>
                </c:pt>
                <c:pt idx="72">
                  <c:v>-0.0212326222887786</c:v>
                </c:pt>
                <c:pt idx="73">
                  <c:v>-0.0215719700036265</c:v>
                </c:pt>
                <c:pt idx="74">
                  <c:v>-0.0211829451547904</c:v>
                </c:pt>
                <c:pt idx="75">
                  <c:v>-0.0214778435493888</c:v>
                </c:pt>
                <c:pt idx="76">
                  <c:v>-0.0237458480684759</c:v>
                </c:pt>
                <c:pt idx="77">
                  <c:v>-0.0253868420604395</c:v>
                </c:pt>
                <c:pt idx="78">
                  <c:v>-0.0226073562130953</c:v>
                </c:pt>
                <c:pt idx="79">
                  <c:v>-0.022745995849143</c:v>
                </c:pt>
                <c:pt idx="80">
                  <c:v>-0.0245757231014615</c:v>
                </c:pt>
                <c:pt idx="81">
                  <c:v>-0.0218598991796385</c:v>
                </c:pt>
                <c:pt idx="82">
                  <c:v>-0.021886381883349</c:v>
                </c:pt>
                <c:pt idx="83">
                  <c:v>-0.0200428219859384</c:v>
                </c:pt>
                <c:pt idx="84">
                  <c:v>-0.0210885479844946</c:v>
                </c:pt>
                <c:pt idx="85">
                  <c:v>-0.0215613130039416</c:v>
                </c:pt>
                <c:pt idx="86">
                  <c:v>-0.0219449055895504</c:v>
                </c:pt>
                <c:pt idx="87">
                  <c:v>-0.0230855797540914</c:v>
                </c:pt>
                <c:pt idx="88">
                  <c:v>-0.0224693197733299</c:v>
                </c:pt>
                <c:pt idx="89">
                  <c:v>-0.0234671074789336</c:v>
                </c:pt>
                <c:pt idx="90">
                  <c:v>-0.0244624869574135</c:v>
                </c:pt>
                <c:pt idx="91">
                  <c:v>-0.0214286906945812</c:v>
                </c:pt>
                <c:pt idx="92">
                  <c:v>-0.0228800784680543</c:v>
                </c:pt>
                <c:pt idx="93">
                  <c:v>-0.022469369781336</c:v>
                </c:pt>
                <c:pt idx="94">
                  <c:v>-0.0205003424017014</c:v>
                </c:pt>
                <c:pt idx="95">
                  <c:v>-0.0266292227919494</c:v>
                </c:pt>
                <c:pt idx="96">
                  <c:v>-0.0136479242632869</c:v>
                </c:pt>
                <c:pt idx="97">
                  <c:v>-0.00613887579258401</c:v>
                </c:pt>
                <c:pt idx="98">
                  <c:v>-0.00223483552983248</c:v>
                </c:pt>
                <c:pt idx="99">
                  <c:v>-3.33160871185499E-005</c:v>
                </c:pt>
                <c:pt idx="100">
                  <c:v>0.00763904905549198</c:v>
                </c:pt>
                <c:pt idx="101">
                  <c:v>0.00988733991015187</c:v>
                </c:pt>
                <c:pt idx="102">
                  <c:v>0.0120885065940057</c:v>
                </c:pt>
                <c:pt idx="103">
                  <c:v>0.0132210031731085</c:v>
                </c:pt>
                <c:pt idx="104">
                  <c:v>0.0147265088673112</c:v>
                </c:pt>
                <c:pt idx="105">
                  <c:v>0.015777257164324</c:v>
                </c:pt>
                <c:pt idx="106">
                  <c:v>0.0176311761299245</c:v>
                </c:pt>
                <c:pt idx="107">
                  <c:v>0.0178066741224438</c:v>
                </c:pt>
                <c:pt idx="108">
                  <c:v>0.0176909324182118</c:v>
                </c:pt>
                <c:pt idx="109">
                  <c:v>0.0169463655582493</c:v>
                </c:pt>
                <c:pt idx="110">
                  <c:v>0.0165360378591884</c:v>
                </c:pt>
                <c:pt idx="111">
                  <c:v>0.0168122593832077</c:v>
                </c:pt>
                <c:pt idx="112">
                  <c:v>0.0153647874862185</c:v>
                </c:pt>
                <c:pt idx="113">
                  <c:v>0.0153091540392814</c:v>
                </c:pt>
                <c:pt idx="114">
                  <c:v>0.0159927666806407</c:v>
                </c:pt>
                <c:pt idx="115">
                  <c:v>0.016416459220593</c:v>
                </c:pt>
                <c:pt idx="116">
                  <c:v>0.0158413480416535</c:v>
                </c:pt>
                <c:pt idx="117">
                  <c:v>0.0155428121848654</c:v>
                </c:pt>
                <c:pt idx="118">
                  <c:v>0.016071506203971</c:v>
                </c:pt>
                <c:pt idx="119">
                  <c:v>0.0138422325378931</c:v>
                </c:pt>
                <c:pt idx="120">
                  <c:v>0.0143185479112872</c:v>
                </c:pt>
                <c:pt idx="121">
                  <c:v>0.0142577781796478</c:v>
                </c:pt>
                <c:pt idx="122">
                  <c:v>0.0141325385967458</c:v>
                </c:pt>
                <c:pt idx="123">
                  <c:v>0.0135555872988774</c:v>
                </c:pt>
                <c:pt idx="124">
                  <c:v>0.0134514597632155</c:v>
                </c:pt>
              </c:numCache>
            </c:numRef>
          </c:val>
          <c:smooth val="0"/>
        </c:ser>
        <c:ser>
          <c:idx val="3"/>
          <c:order val="3"/>
          <c:tx>
            <c:strRef>
              <c:f>'Rolling 12m %GDP'!AF6</c:f>
              <c:strCache>
                <c:ptCount val="1"/>
                <c:pt idx="0">
                  <c:v>OVERALL BALANCE</c:v>
                </c:pt>
              </c:strCache>
            </c:strRef>
          </c:tx>
          <c:spPr>
            <a:solidFill>
              <a:srgbClr val="1a1a1a"/>
            </a:solidFill>
            <a:ln w="25920">
              <a:solidFill>
                <a:srgbClr val="1a1a1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'Rolling 12m %GDP'!$B$31:$B$131</c:f>
              <c:strCache>
                <c:ptCount val="101"/>
                <c:pt idx="0">
                  <c:v>2018-01</c:v>
                </c:pt>
                <c:pt idx="1">
                  <c:v>2018-02</c:v>
                </c:pt>
                <c:pt idx="2">
                  <c:v>2018-03</c:v>
                </c:pt>
                <c:pt idx="3">
                  <c:v>2018-04</c:v>
                </c:pt>
                <c:pt idx="4">
                  <c:v>2018-05</c:v>
                </c:pt>
                <c:pt idx="5">
                  <c:v>2018-06</c:v>
                </c:pt>
                <c:pt idx="6">
                  <c:v>2018-07</c:v>
                </c:pt>
                <c:pt idx="7">
                  <c:v>2018-08</c:v>
                </c:pt>
                <c:pt idx="8">
                  <c:v>2018-09</c:v>
                </c:pt>
                <c:pt idx="9">
                  <c:v>2018-10</c:v>
                </c:pt>
                <c:pt idx="10">
                  <c:v>2018-11</c:v>
                </c:pt>
                <c:pt idx="11">
                  <c:v>2018-12</c:v>
                </c:pt>
                <c:pt idx="12">
                  <c:v>2019-01</c:v>
                </c:pt>
                <c:pt idx="13">
                  <c:v>2019-02</c:v>
                </c:pt>
                <c:pt idx="14">
                  <c:v>2019-03</c:v>
                </c:pt>
                <c:pt idx="15">
                  <c:v>2019-04</c:v>
                </c:pt>
                <c:pt idx="16">
                  <c:v>2019-05</c:v>
                </c:pt>
                <c:pt idx="17">
                  <c:v>2019-06</c:v>
                </c:pt>
                <c:pt idx="18">
                  <c:v>2019-07</c:v>
                </c:pt>
                <c:pt idx="19">
                  <c:v>2019-08</c:v>
                </c:pt>
                <c:pt idx="20">
                  <c:v>2019-09</c:v>
                </c:pt>
                <c:pt idx="21">
                  <c:v>2019-10</c:v>
                </c:pt>
                <c:pt idx="22">
                  <c:v>2019-11</c:v>
                </c:pt>
                <c:pt idx="23">
                  <c:v>2019-12</c:v>
                </c:pt>
                <c:pt idx="24">
                  <c:v>2020-01</c:v>
                </c:pt>
                <c:pt idx="25">
                  <c:v>2020-02</c:v>
                </c:pt>
                <c:pt idx="26">
                  <c:v>2020-03</c:v>
                </c:pt>
                <c:pt idx="27">
                  <c:v>2020-04</c:v>
                </c:pt>
                <c:pt idx="28">
                  <c:v>2020-05</c:v>
                </c:pt>
                <c:pt idx="29">
                  <c:v>2020-06</c:v>
                </c:pt>
                <c:pt idx="30">
                  <c:v>2020-07</c:v>
                </c:pt>
                <c:pt idx="31">
                  <c:v>2020-08</c:v>
                </c:pt>
                <c:pt idx="32">
                  <c:v>2020-09</c:v>
                </c:pt>
                <c:pt idx="33">
                  <c:v>2020-10</c:v>
                </c:pt>
                <c:pt idx="34">
                  <c:v>2020-11</c:v>
                </c:pt>
                <c:pt idx="35">
                  <c:v>2020-12</c:v>
                </c:pt>
                <c:pt idx="36">
                  <c:v>2021-01</c:v>
                </c:pt>
                <c:pt idx="37">
                  <c:v>2021-02</c:v>
                </c:pt>
                <c:pt idx="38">
                  <c:v>2021-03</c:v>
                </c:pt>
                <c:pt idx="39">
                  <c:v>2021-04</c:v>
                </c:pt>
                <c:pt idx="40">
                  <c:v>2021-05</c:v>
                </c:pt>
                <c:pt idx="41">
                  <c:v>2021-06</c:v>
                </c:pt>
                <c:pt idx="42">
                  <c:v>2021-07</c:v>
                </c:pt>
                <c:pt idx="43">
                  <c:v>2021-08</c:v>
                </c:pt>
                <c:pt idx="44">
                  <c:v>2021-09</c:v>
                </c:pt>
                <c:pt idx="45">
                  <c:v>2021-10</c:v>
                </c:pt>
                <c:pt idx="46">
                  <c:v>2021-11</c:v>
                </c:pt>
                <c:pt idx="47">
                  <c:v>2021-12</c:v>
                </c:pt>
                <c:pt idx="48">
                  <c:v>2022-01</c:v>
                </c:pt>
                <c:pt idx="49">
                  <c:v>2022-02</c:v>
                </c:pt>
                <c:pt idx="50">
                  <c:v>2022-03</c:v>
                </c:pt>
                <c:pt idx="51">
                  <c:v>2022-04</c:v>
                </c:pt>
                <c:pt idx="52">
                  <c:v>2022-05</c:v>
                </c:pt>
                <c:pt idx="53">
                  <c:v>2022-06</c:v>
                </c:pt>
                <c:pt idx="54">
                  <c:v>2022-07</c:v>
                </c:pt>
                <c:pt idx="55">
                  <c:v>2022-08</c:v>
                </c:pt>
                <c:pt idx="56">
                  <c:v>2022-09</c:v>
                </c:pt>
                <c:pt idx="57">
                  <c:v>2022-10</c:v>
                </c:pt>
                <c:pt idx="58">
                  <c:v>2022-11</c:v>
                </c:pt>
                <c:pt idx="59">
                  <c:v>2022-12</c:v>
                </c:pt>
                <c:pt idx="60">
                  <c:v>2023-01</c:v>
                </c:pt>
                <c:pt idx="61">
                  <c:v>2023-02</c:v>
                </c:pt>
                <c:pt idx="62">
                  <c:v>2023-03</c:v>
                </c:pt>
                <c:pt idx="63">
                  <c:v>2023-04</c:v>
                </c:pt>
                <c:pt idx="64">
                  <c:v>2023-05</c:v>
                </c:pt>
                <c:pt idx="65">
                  <c:v>2023-06</c:v>
                </c:pt>
                <c:pt idx="66">
                  <c:v>2023-07</c:v>
                </c:pt>
                <c:pt idx="67">
                  <c:v>2023-08</c:v>
                </c:pt>
                <c:pt idx="68">
                  <c:v>2023-09</c:v>
                </c:pt>
                <c:pt idx="69">
                  <c:v>2023-10</c:v>
                </c:pt>
                <c:pt idx="70">
                  <c:v>2023-11</c:v>
                </c:pt>
                <c:pt idx="71">
                  <c:v>2023-12</c:v>
                </c:pt>
                <c:pt idx="72">
                  <c:v>2024-01</c:v>
                </c:pt>
                <c:pt idx="73">
                  <c:v>2024-02</c:v>
                </c:pt>
                <c:pt idx="74">
                  <c:v>2024-03</c:v>
                </c:pt>
                <c:pt idx="75">
                  <c:v>2024-04</c:v>
                </c:pt>
                <c:pt idx="76">
                  <c:v>2024-05</c:v>
                </c:pt>
                <c:pt idx="77">
                  <c:v>2024-06</c:v>
                </c:pt>
                <c:pt idx="78">
                  <c:v>2024-07</c:v>
                </c:pt>
                <c:pt idx="79">
                  <c:v>2024-08</c:v>
                </c:pt>
                <c:pt idx="80">
                  <c:v>2024-09</c:v>
                </c:pt>
                <c:pt idx="81">
                  <c:v>2024-10</c:v>
                </c:pt>
                <c:pt idx="82">
                  <c:v>2024-11</c:v>
                </c:pt>
                <c:pt idx="83">
                  <c:v>2024-12</c:v>
                </c:pt>
                <c:pt idx="84">
                  <c:v>2025-01</c:v>
                </c:pt>
                <c:pt idx="85">
                  <c:v>2025-02</c:v>
                </c:pt>
                <c:pt idx="86">
                  <c:v>2025-03</c:v>
                </c:pt>
                <c:pt idx="87">
                  <c:v>2025-04</c:v>
                </c:pt>
                <c:pt idx="88">
                  <c:v>2025-05</c:v>
                </c:pt>
                <c:pt idx="89">
                  <c:v>2025-06</c:v>
                </c:pt>
                <c:pt idx="90">
                  <c:v>2025-07</c:v>
                </c:pt>
                <c:pt idx="91">
                  <c:v>2025-08</c:v>
                </c:pt>
                <c:pt idx="92">
                  <c:v>2025-09</c:v>
                </c:pt>
                <c:pt idx="93">
                  <c:v>2025-10</c:v>
                </c:pt>
                <c:pt idx="94">
                  <c:v>2025-11</c:v>
                </c:pt>
                <c:pt idx="95">
                  <c:v>2025-12</c:v>
                </c:pt>
                <c:pt idx="96">
                  <c:v>2026-01</c:v>
                </c:pt>
                <c:pt idx="97">
                  <c:v>2026-02</c:v>
                </c:pt>
                <c:pt idx="98">
                  <c:v>2026-03</c:v>
                </c:pt>
                <c:pt idx="99">
                  <c:v>2026-04</c:v>
                </c:pt>
                <c:pt idx="100">
                  <c:v>2026-05</c:v>
                </c:pt>
              </c:strCache>
            </c:strRef>
          </c:cat>
          <c:val>
            <c:numRef>
              <c:f>'Rolling 12m %GDP'!$AF$7:$AF$131</c:f>
              <c:numCache>
                <c:formatCode>0.00%</c:formatCode>
                <c:ptCount val="125"/>
                <c:pt idx="11">
                  <c:v>-0.057702454204699</c:v>
                </c:pt>
                <c:pt idx="12">
                  <c:v>-0.0567964307346599</c:v>
                </c:pt>
                <c:pt idx="13">
                  <c:v>-0.056673137875568</c:v>
                </c:pt>
                <c:pt idx="14">
                  <c:v>-0.0547253268950669</c:v>
                </c:pt>
                <c:pt idx="15">
                  <c:v>-0.0572093658377956</c:v>
                </c:pt>
                <c:pt idx="16">
                  <c:v>-0.0583179668500646</c:v>
                </c:pt>
                <c:pt idx="17">
                  <c:v>-0.0592224468324953</c:v>
                </c:pt>
                <c:pt idx="18">
                  <c:v>-0.058483523828906</c:v>
                </c:pt>
                <c:pt idx="19">
                  <c:v>-0.0564313219747198</c:v>
                </c:pt>
                <c:pt idx="20">
                  <c:v>-0.0553868072216191</c:v>
                </c:pt>
                <c:pt idx="21">
                  <c:v>-0.0526484556411683</c:v>
                </c:pt>
                <c:pt idx="22">
                  <c:v>-0.0540084244703621</c:v>
                </c:pt>
                <c:pt idx="23">
                  <c:v>-0.0590090541029536</c:v>
                </c:pt>
                <c:pt idx="24">
                  <c:v>-0.059498584728406</c:v>
                </c:pt>
                <c:pt idx="25">
                  <c:v>-0.0578752504603907</c:v>
                </c:pt>
                <c:pt idx="26">
                  <c:v>-0.0566913914812517</c:v>
                </c:pt>
                <c:pt idx="27">
                  <c:v>-0.0547413554017027</c:v>
                </c:pt>
                <c:pt idx="28">
                  <c:v>-0.0518822717892396</c:v>
                </c:pt>
                <c:pt idx="29">
                  <c:v>-0.0502455889044049</c:v>
                </c:pt>
                <c:pt idx="30">
                  <c:v>-0.0512583792668253</c:v>
                </c:pt>
                <c:pt idx="31">
                  <c:v>-0.0486252712171673</c:v>
                </c:pt>
                <c:pt idx="32">
                  <c:v>-0.0476520829560037</c:v>
                </c:pt>
                <c:pt idx="33">
                  <c:v>-0.0474387210306662</c:v>
                </c:pt>
                <c:pt idx="34">
                  <c:v>-0.0478782991246996</c:v>
                </c:pt>
                <c:pt idx="35">
                  <c:v>-0.0493683517498362</c:v>
                </c:pt>
                <c:pt idx="36">
                  <c:v>-0.0502982065871772</c:v>
                </c:pt>
                <c:pt idx="37">
                  <c:v>-0.0475231031403759</c:v>
                </c:pt>
                <c:pt idx="38">
                  <c:v>-0.046945045755097</c:v>
                </c:pt>
                <c:pt idx="39">
                  <c:v>-0.046813977822131</c:v>
                </c:pt>
                <c:pt idx="40">
                  <c:v>-0.0458789143627267</c:v>
                </c:pt>
                <c:pt idx="41">
                  <c:v>-0.0431557995179838</c:v>
                </c:pt>
                <c:pt idx="42">
                  <c:v>-0.0426583937198504</c:v>
                </c:pt>
                <c:pt idx="43">
                  <c:v>-0.0413703121799723</c:v>
                </c:pt>
                <c:pt idx="44">
                  <c:v>-0.0411162880301203</c:v>
                </c:pt>
                <c:pt idx="45">
                  <c:v>-0.0390283426350194</c:v>
                </c:pt>
                <c:pt idx="46">
                  <c:v>-0.0377156757598541</c:v>
                </c:pt>
                <c:pt idx="47">
                  <c:v>-0.0380085869986301</c:v>
                </c:pt>
                <c:pt idx="48">
                  <c:v>-0.0382273966881361</c:v>
                </c:pt>
                <c:pt idx="49">
                  <c:v>-0.0398675064230772</c:v>
                </c:pt>
                <c:pt idx="50">
                  <c:v>-0.0439180278997297</c:v>
                </c:pt>
                <c:pt idx="51">
                  <c:v>-0.0517758962470233</c:v>
                </c:pt>
                <c:pt idx="52">
                  <c:v>-0.0626941480171966</c:v>
                </c:pt>
                <c:pt idx="53">
                  <c:v>-0.0712539050892525</c:v>
                </c:pt>
                <c:pt idx="54">
                  <c:v>-0.0747114838815094</c:v>
                </c:pt>
                <c:pt idx="55">
                  <c:v>-0.0786218791782372</c:v>
                </c:pt>
                <c:pt idx="56">
                  <c:v>-0.0824380264231237</c:v>
                </c:pt>
                <c:pt idx="57">
                  <c:v>-0.0826802938157125</c:v>
                </c:pt>
                <c:pt idx="58">
                  <c:v>-0.0829285594134936</c:v>
                </c:pt>
                <c:pt idx="59">
                  <c:v>-0.0842647799035268</c:v>
                </c:pt>
                <c:pt idx="60">
                  <c:v>-0.078707164456434</c:v>
                </c:pt>
                <c:pt idx="61">
                  <c:v>-0.0760326303233491</c:v>
                </c:pt>
                <c:pt idx="62">
                  <c:v>-0.0713798000244174</c:v>
                </c:pt>
                <c:pt idx="63">
                  <c:v>-0.0610763394965519</c:v>
                </c:pt>
                <c:pt idx="64">
                  <c:v>-0.0502813070736959</c:v>
                </c:pt>
                <c:pt idx="65">
                  <c:v>-0.0453143404139798</c:v>
                </c:pt>
                <c:pt idx="66">
                  <c:v>-0.0425754579397146</c:v>
                </c:pt>
                <c:pt idx="67">
                  <c:v>-0.0420360294698066</c:v>
                </c:pt>
                <c:pt idx="68">
                  <c:v>-0.0292741774200723</c:v>
                </c:pt>
                <c:pt idx="69">
                  <c:v>-0.0319164240919959</c:v>
                </c:pt>
                <c:pt idx="70">
                  <c:v>-0.0331867146033874</c:v>
                </c:pt>
                <c:pt idx="71">
                  <c:v>-0.0360128733324825</c:v>
                </c:pt>
                <c:pt idx="72">
                  <c:v>-0.0376841551043988</c:v>
                </c:pt>
                <c:pt idx="73">
                  <c:v>-0.0376960744284345</c:v>
                </c:pt>
                <c:pt idx="74">
                  <c:v>-0.0372231454230622</c:v>
                </c:pt>
                <c:pt idx="75">
                  <c:v>-0.0371959295401355</c:v>
                </c:pt>
                <c:pt idx="76">
                  <c:v>-0.0385392583072052</c:v>
                </c:pt>
                <c:pt idx="77">
                  <c:v>-0.03979502181803</c:v>
                </c:pt>
                <c:pt idx="78">
                  <c:v>-0.0373327371908155</c:v>
                </c:pt>
                <c:pt idx="79">
                  <c:v>-0.038101383920646</c:v>
                </c:pt>
                <c:pt idx="80">
                  <c:v>-0.0395812606089067</c:v>
                </c:pt>
                <c:pt idx="81">
                  <c:v>-0.0362732623449622</c:v>
                </c:pt>
                <c:pt idx="82">
                  <c:v>-0.0380348643399357</c:v>
                </c:pt>
                <c:pt idx="83">
                  <c:v>-0.0380721563683628</c:v>
                </c:pt>
                <c:pt idx="84">
                  <c:v>-0.0404197693019138</c:v>
                </c:pt>
                <c:pt idx="85">
                  <c:v>-0.0419477034910497</c:v>
                </c:pt>
                <c:pt idx="86">
                  <c:v>-0.0417619008634944</c:v>
                </c:pt>
                <c:pt idx="87">
                  <c:v>-0.0418355096461463</c:v>
                </c:pt>
                <c:pt idx="88">
                  <c:v>-0.0428281322484852</c:v>
                </c:pt>
                <c:pt idx="89">
                  <c:v>-0.0426995170094646</c:v>
                </c:pt>
                <c:pt idx="90">
                  <c:v>-0.0446497632975819</c:v>
                </c:pt>
                <c:pt idx="91">
                  <c:v>-0.0415169053407193</c:v>
                </c:pt>
                <c:pt idx="92">
                  <c:v>-0.0417333093038971</c:v>
                </c:pt>
                <c:pt idx="93">
                  <c:v>-0.0400836060886883</c:v>
                </c:pt>
                <c:pt idx="94">
                  <c:v>-0.0380151064261253</c:v>
                </c:pt>
                <c:pt idx="95">
                  <c:v>-0.043406207124548</c:v>
                </c:pt>
                <c:pt idx="96">
                  <c:v>-0.0340606378474978</c:v>
                </c:pt>
                <c:pt idx="97">
                  <c:v>-0.0269512753211396</c:v>
                </c:pt>
                <c:pt idx="98">
                  <c:v>-0.0216470722432192</c:v>
                </c:pt>
                <c:pt idx="99">
                  <c:v>-0.0180132525937958</c:v>
                </c:pt>
                <c:pt idx="100">
                  <c:v>-0.0108035086686561</c:v>
                </c:pt>
                <c:pt idx="101">
                  <c:v>-0.007240240639677</c:v>
                </c:pt>
                <c:pt idx="102">
                  <c:v>-0.00623586612258003</c:v>
                </c:pt>
                <c:pt idx="103">
                  <c:v>-0.00485094591487557</c:v>
                </c:pt>
                <c:pt idx="104">
                  <c:v>-0.00244114992362024</c:v>
                </c:pt>
                <c:pt idx="105">
                  <c:v>-0.000369750696366794</c:v>
                </c:pt>
                <c:pt idx="106">
                  <c:v>0.00167271436800528</c:v>
                </c:pt>
                <c:pt idx="107">
                  <c:v>0.00301994425978437</c:v>
                </c:pt>
                <c:pt idx="108">
                  <c:v>0.00301569620082178</c:v>
                </c:pt>
                <c:pt idx="109">
                  <c:v>0.00286060908040955</c:v>
                </c:pt>
                <c:pt idx="110">
                  <c:v>0.00294610544752943</c:v>
                </c:pt>
                <c:pt idx="111">
                  <c:v>0.00365666673083154</c:v>
                </c:pt>
                <c:pt idx="112">
                  <c:v>0.00279860130615334</c:v>
                </c:pt>
                <c:pt idx="113">
                  <c:v>0.0031430122203506</c:v>
                </c:pt>
                <c:pt idx="114">
                  <c:v>0.00363002194157716</c:v>
                </c:pt>
                <c:pt idx="115">
                  <c:v>0.00403476296999725</c:v>
                </c:pt>
                <c:pt idx="116">
                  <c:v>0.0037319259964212</c:v>
                </c:pt>
                <c:pt idx="117">
                  <c:v>0.00363215128210706</c:v>
                </c:pt>
                <c:pt idx="118">
                  <c:v>0.00383802081115035</c:v>
                </c:pt>
                <c:pt idx="119">
                  <c:v>0.00170989290672499</c:v>
                </c:pt>
                <c:pt idx="120">
                  <c:v>0.00225144916954379</c:v>
                </c:pt>
                <c:pt idx="121">
                  <c:v>0.00201381993259505</c:v>
                </c:pt>
                <c:pt idx="122">
                  <c:v>0.00206170590781037</c:v>
                </c:pt>
                <c:pt idx="123">
                  <c:v>0.0016851962518868</c:v>
                </c:pt>
                <c:pt idx="124">
                  <c:v>0.00145129365330028</c:v>
                </c:pt>
              </c:numCache>
            </c:numRef>
          </c:val>
          <c:smooth val="0"/>
        </c:ser>
        <c:hiLowLines>
          <c:spPr>
            <a:ln w="0">
              <a:noFill/>
            </a:ln>
          </c:spPr>
        </c:hiLowLines>
        <c:marker val="0"/>
        <c:axId val="20843427"/>
        <c:axId val="16632712"/>
      </c:lineChart>
      <c:catAx>
        <c:axId val="2084342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632712"/>
        <c:crosses val="autoZero"/>
        <c:auto val="1"/>
        <c:lblAlgn val="ctr"/>
        <c:lblOffset val="100"/>
        <c:noMultiLvlLbl val="0"/>
      </c:catAx>
      <c:valAx>
        <c:axId val="16632712"/>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84342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The main spending blocks (12m, % of GDP)</a:t>
            </a:r>
          </a:p>
        </c:rich>
      </c:tx>
      <c:overlay val="0"/>
      <c:spPr>
        <a:noFill/>
        <a:ln w="0">
          <a:noFill/>
        </a:ln>
      </c:spPr>
    </c:title>
    <c:autoTitleDeleted val="0"/>
    <c:plotArea>
      <c:lineChart>
        <c:grouping val="standard"/>
        <c:varyColors val="0"/>
        <c:ser>
          <c:idx val="0"/>
          <c:order val="0"/>
          <c:tx>
            <c:strRef>
              <c:f>'Rolling 12m %GDP'!N6</c:f>
              <c:strCache>
                <c:ptCount val="1"/>
                <c:pt idx="0">
                  <c:v>  Social benefits</c:v>
                </c:pt>
              </c:strCache>
            </c:strRef>
          </c:tx>
          <c:spPr>
            <a:solidFill>
              <a:srgbClr val="2f5c8f"/>
            </a:solidFill>
            <a:ln w="21960">
              <a:solidFill>
                <a:srgbClr val="2f5c8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'Rolling 12m %GDP'!$B$31:$B$131</c:f>
              <c:strCache>
                <c:ptCount val="101"/>
                <c:pt idx="0">
                  <c:v>2018-01</c:v>
                </c:pt>
                <c:pt idx="1">
                  <c:v>2018-02</c:v>
                </c:pt>
                <c:pt idx="2">
                  <c:v>2018-03</c:v>
                </c:pt>
                <c:pt idx="3">
                  <c:v>2018-04</c:v>
                </c:pt>
                <c:pt idx="4">
                  <c:v>2018-05</c:v>
                </c:pt>
                <c:pt idx="5">
                  <c:v>2018-06</c:v>
                </c:pt>
                <c:pt idx="6">
                  <c:v>2018-07</c:v>
                </c:pt>
                <c:pt idx="7">
                  <c:v>2018-08</c:v>
                </c:pt>
                <c:pt idx="8">
                  <c:v>2018-09</c:v>
                </c:pt>
                <c:pt idx="9">
                  <c:v>2018-10</c:v>
                </c:pt>
                <c:pt idx="10">
                  <c:v>2018-11</c:v>
                </c:pt>
                <c:pt idx="11">
                  <c:v>2018-12</c:v>
                </c:pt>
                <c:pt idx="12">
                  <c:v>2019-01</c:v>
                </c:pt>
                <c:pt idx="13">
                  <c:v>2019-02</c:v>
                </c:pt>
                <c:pt idx="14">
                  <c:v>2019-03</c:v>
                </c:pt>
                <c:pt idx="15">
                  <c:v>2019-04</c:v>
                </c:pt>
                <c:pt idx="16">
                  <c:v>2019-05</c:v>
                </c:pt>
                <c:pt idx="17">
                  <c:v>2019-06</c:v>
                </c:pt>
                <c:pt idx="18">
                  <c:v>2019-07</c:v>
                </c:pt>
                <c:pt idx="19">
                  <c:v>2019-08</c:v>
                </c:pt>
                <c:pt idx="20">
                  <c:v>2019-09</c:v>
                </c:pt>
                <c:pt idx="21">
                  <c:v>2019-10</c:v>
                </c:pt>
                <c:pt idx="22">
                  <c:v>2019-11</c:v>
                </c:pt>
                <c:pt idx="23">
                  <c:v>2019-12</c:v>
                </c:pt>
                <c:pt idx="24">
                  <c:v>2020-01</c:v>
                </c:pt>
                <c:pt idx="25">
                  <c:v>2020-02</c:v>
                </c:pt>
                <c:pt idx="26">
                  <c:v>2020-03</c:v>
                </c:pt>
                <c:pt idx="27">
                  <c:v>2020-04</c:v>
                </c:pt>
                <c:pt idx="28">
                  <c:v>2020-05</c:v>
                </c:pt>
                <c:pt idx="29">
                  <c:v>2020-06</c:v>
                </c:pt>
                <c:pt idx="30">
                  <c:v>2020-07</c:v>
                </c:pt>
                <c:pt idx="31">
                  <c:v>2020-08</c:v>
                </c:pt>
                <c:pt idx="32">
                  <c:v>2020-09</c:v>
                </c:pt>
                <c:pt idx="33">
                  <c:v>2020-10</c:v>
                </c:pt>
                <c:pt idx="34">
                  <c:v>2020-11</c:v>
                </c:pt>
                <c:pt idx="35">
                  <c:v>2020-12</c:v>
                </c:pt>
                <c:pt idx="36">
                  <c:v>2021-01</c:v>
                </c:pt>
                <c:pt idx="37">
                  <c:v>2021-02</c:v>
                </c:pt>
                <c:pt idx="38">
                  <c:v>2021-03</c:v>
                </c:pt>
                <c:pt idx="39">
                  <c:v>2021-04</c:v>
                </c:pt>
                <c:pt idx="40">
                  <c:v>2021-05</c:v>
                </c:pt>
                <c:pt idx="41">
                  <c:v>2021-06</c:v>
                </c:pt>
                <c:pt idx="42">
                  <c:v>2021-07</c:v>
                </c:pt>
                <c:pt idx="43">
                  <c:v>2021-08</c:v>
                </c:pt>
                <c:pt idx="44">
                  <c:v>2021-09</c:v>
                </c:pt>
                <c:pt idx="45">
                  <c:v>2021-10</c:v>
                </c:pt>
                <c:pt idx="46">
                  <c:v>2021-11</c:v>
                </c:pt>
                <c:pt idx="47">
                  <c:v>2021-12</c:v>
                </c:pt>
                <c:pt idx="48">
                  <c:v>2022-01</c:v>
                </c:pt>
                <c:pt idx="49">
                  <c:v>2022-02</c:v>
                </c:pt>
                <c:pt idx="50">
                  <c:v>2022-03</c:v>
                </c:pt>
                <c:pt idx="51">
                  <c:v>2022-04</c:v>
                </c:pt>
                <c:pt idx="52">
                  <c:v>2022-05</c:v>
                </c:pt>
                <c:pt idx="53">
                  <c:v>2022-06</c:v>
                </c:pt>
                <c:pt idx="54">
                  <c:v>2022-07</c:v>
                </c:pt>
                <c:pt idx="55">
                  <c:v>2022-08</c:v>
                </c:pt>
                <c:pt idx="56">
                  <c:v>2022-09</c:v>
                </c:pt>
                <c:pt idx="57">
                  <c:v>2022-10</c:v>
                </c:pt>
                <c:pt idx="58">
                  <c:v>2022-11</c:v>
                </c:pt>
                <c:pt idx="59">
                  <c:v>2022-12</c:v>
                </c:pt>
                <c:pt idx="60">
                  <c:v>2023-01</c:v>
                </c:pt>
                <c:pt idx="61">
                  <c:v>2023-02</c:v>
                </c:pt>
                <c:pt idx="62">
                  <c:v>2023-03</c:v>
                </c:pt>
                <c:pt idx="63">
                  <c:v>2023-04</c:v>
                </c:pt>
                <c:pt idx="64">
                  <c:v>2023-05</c:v>
                </c:pt>
                <c:pt idx="65">
                  <c:v>2023-06</c:v>
                </c:pt>
                <c:pt idx="66">
                  <c:v>2023-07</c:v>
                </c:pt>
                <c:pt idx="67">
                  <c:v>2023-08</c:v>
                </c:pt>
                <c:pt idx="68">
                  <c:v>2023-09</c:v>
                </c:pt>
                <c:pt idx="69">
                  <c:v>2023-10</c:v>
                </c:pt>
                <c:pt idx="70">
                  <c:v>2023-11</c:v>
                </c:pt>
                <c:pt idx="71">
                  <c:v>2023-12</c:v>
                </c:pt>
                <c:pt idx="72">
                  <c:v>2024-01</c:v>
                </c:pt>
                <c:pt idx="73">
                  <c:v>2024-02</c:v>
                </c:pt>
                <c:pt idx="74">
                  <c:v>2024-03</c:v>
                </c:pt>
                <c:pt idx="75">
                  <c:v>2024-04</c:v>
                </c:pt>
                <c:pt idx="76">
                  <c:v>2024-05</c:v>
                </c:pt>
                <c:pt idx="77">
                  <c:v>2024-06</c:v>
                </c:pt>
                <c:pt idx="78">
                  <c:v>2024-07</c:v>
                </c:pt>
                <c:pt idx="79">
                  <c:v>2024-08</c:v>
                </c:pt>
                <c:pt idx="80">
                  <c:v>2024-09</c:v>
                </c:pt>
                <c:pt idx="81">
                  <c:v>2024-10</c:v>
                </c:pt>
                <c:pt idx="82">
                  <c:v>2024-11</c:v>
                </c:pt>
                <c:pt idx="83">
                  <c:v>2024-12</c:v>
                </c:pt>
                <c:pt idx="84">
                  <c:v>2025-01</c:v>
                </c:pt>
                <c:pt idx="85">
                  <c:v>2025-02</c:v>
                </c:pt>
                <c:pt idx="86">
                  <c:v>2025-03</c:v>
                </c:pt>
                <c:pt idx="87">
                  <c:v>2025-04</c:v>
                </c:pt>
                <c:pt idx="88">
                  <c:v>2025-05</c:v>
                </c:pt>
                <c:pt idx="89">
                  <c:v>2025-06</c:v>
                </c:pt>
                <c:pt idx="90">
                  <c:v>2025-07</c:v>
                </c:pt>
                <c:pt idx="91">
                  <c:v>2025-08</c:v>
                </c:pt>
                <c:pt idx="92">
                  <c:v>2025-09</c:v>
                </c:pt>
                <c:pt idx="93">
                  <c:v>2025-10</c:v>
                </c:pt>
                <c:pt idx="94">
                  <c:v>2025-11</c:v>
                </c:pt>
                <c:pt idx="95">
                  <c:v>2025-12</c:v>
                </c:pt>
                <c:pt idx="96">
                  <c:v>2026-01</c:v>
                </c:pt>
                <c:pt idx="97">
                  <c:v>2026-02</c:v>
                </c:pt>
                <c:pt idx="98">
                  <c:v>2026-03</c:v>
                </c:pt>
                <c:pt idx="99">
                  <c:v>2026-04</c:v>
                </c:pt>
                <c:pt idx="100">
                  <c:v>2026-05</c:v>
                </c:pt>
              </c:strCache>
            </c:strRef>
          </c:cat>
          <c:val>
            <c:numRef>
              <c:f>'Rolling 12m %GDP'!$N$7:$N$131</c:f>
              <c:numCache>
                <c:formatCode>0.00%</c:formatCode>
                <c:ptCount val="125"/>
                <c:pt idx="11">
                  <c:v>0.112332289335073</c:v>
                </c:pt>
                <c:pt idx="12">
                  <c:v>0.112854849020864</c:v>
                </c:pt>
                <c:pt idx="13">
                  <c:v>0.113676941794191</c:v>
                </c:pt>
                <c:pt idx="14">
                  <c:v>0.114430442757352</c:v>
                </c:pt>
                <c:pt idx="15">
                  <c:v>0.114749742801798</c:v>
                </c:pt>
                <c:pt idx="16">
                  <c:v>0.115377297741433</c:v>
                </c:pt>
                <c:pt idx="17">
                  <c:v>0.116829040746301</c:v>
                </c:pt>
                <c:pt idx="18">
                  <c:v>0.11768333821913</c:v>
                </c:pt>
                <c:pt idx="19">
                  <c:v>0.117466485073424</c:v>
                </c:pt>
                <c:pt idx="20">
                  <c:v>0.117670924277581</c:v>
                </c:pt>
                <c:pt idx="21">
                  <c:v>0.117934408642969</c:v>
                </c:pt>
                <c:pt idx="22">
                  <c:v>0.118008645461339</c:v>
                </c:pt>
                <c:pt idx="23">
                  <c:v>0.11869248399471</c:v>
                </c:pt>
                <c:pt idx="24">
                  <c:v>0.118429013647527</c:v>
                </c:pt>
                <c:pt idx="25">
                  <c:v>0.117998806757439</c:v>
                </c:pt>
                <c:pt idx="26">
                  <c:v>0.117395620326636</c:v>
                </c:pt>
                <c:pt idx="27">
                  <c:v>0.116590439784073</c:v>
                </c:pt>
                <c:pt idx="28">
                  <c:v>0.115328423895245</c:v>
                </c:pt>
                <c:pt idx="29">
                  <c:v>0.115345007758868</c:v>
                </c:pt>
                <c:pt idx="30">
                  <c:v>0.11449031172279</c:v>
                </c:pt>
                <c:pt idx="31">
                  <c:v>0.113505227125909</c:v>
                </c:pt>
                <c:pt idx="32">
                  <c:v>0.112331615538575</c:v>
                </c:pt>
                <c:pt idx="33">
                  <c:v>0.110742586582524</c:v>
                </c:pt>
                <c:pt idx="34">
                  <c:v>0.109002237603983</c:v>
                </c:pt>
                <c:pt idx="35">
                  <c:v>0.108896142184834</c:v>
                </c:pt>
                <c:pt idx="36">
                  <c:v>0.108330542245591</c:v>
                </c:pt>
                <c:pt idx="37">
                  <c:v>0.107442942189708</c:v>
                </c:pt>
                <c:pt idx="38">
                  <c:v>0.106971767290474</c:v>
                </c:pt>
                <c:pt idx="39">
                  <c:v>0.106214430206171</c:v>
                </c:pt>
                <c:pt idx="40">
                  <c:v>0.105319572581803</c:v>
                </c:pt>
                <c:pt idx="41">
                  <c:v>0.105709425939728</c:v>
                </c:pt>
                <c:pt idx="42">
                  <c:v>0.105577373552539</c:v>
                </c:pt>
                <c:pt idx="43">
                  <c:v>0.104960369449192</c:v>
                </c:pt>
                <c:pt idx="44">
                  <c:v>0.105236575844274</c:v>
                </c:pt>
                <c:pt idx="45">
                  <c:v>0.104883776740659</c:v>
                </c:pt>
                <c:pt idx="46">
                  <c:v>0.104749195800007</c:v>
                </c:pt>
                <c:pt idx="47">
                  <c:v>0.106836513064669</c:v>
                </c:pt>
                <c:pt idx="48">
                  <c:v>0.106743961923158</c:v>
                </c:pt>
                <c:pt idx="49">
                  <c:v>0.107046450201934</c:v>
                </c:pt>
                <c:pt idx="50">
                  <c:v>0.108856804971408</c:v>
                </c:pt>
                <c:pt idx="51">
                  <c:v>0.111129860319867</c:v>
                </c:pt>
                <c:pt idx="52">
                  <c:v>0.113408202030621</c:v>
                </c:pt>
                <c:pt idx="53">
                  <c:v>0.116760447230771</c:v>
                </c:pt>
                <c:pt idx="54">
                  <c:v>0.117536561608645</c:v>
                </c:pt>
                <c:pt idx="55">
                  <c:v>0.118567756625751</c:v>
                </c:pt>
                <c:pt idx="56">
                  <c:v>0.118792081802429</c:v>
                </c:pt>
                <c:pt idx="57">
                  <c:v>0.119307460546395</c:v>
                </c:pt>
                <c:pt idx="58">
                  <c:v>0.119490874754973</c:v>
                </c:pt>
                <c:pt idx="59">
                  <c:v>0.120110743233659</c:v>
                </c:pt>
                <c:pt idx="60">
                  <c:v>0.11913598078166</c:v>
                </c:pt>
                <c:pt idx="61">
                  <c:v>0.117387601828946</c:v>
                </c:pt>
                <c:pt idx="62">
                  <c:v>0.114986872448902</c:v>
                </c:pt>
                <c:pt idx="63">
                  <c:v>0.111032085750823</c:v>
                </c:pt>
                <c:pt idx="64">
                  <c:v>0.106774311519452</c:v>
                </c:pt>
                <c:pt idx="65">
                  <c:v>0.105105203600515</c:v>
                </c:pt>
                <c:pt idx="66">
                  <c:v>0.103312741504479</c:v>
                </c:pt>
                <c:pt idx="67">
                  <c:v>0.102074774208902</c:v>
                </c:pt>
                <c:pt idx="68">
                  <c:v>0.101094395849274</c:v>
                </c:pt>
                <c:pt idx="69">
                  <c:v>0.10039217336268</c:v>
                </c:pt>
                <c:pt idx="70">
                  <c:v>0.099438281429809</c:v>
                </c:pt>
                <c:pt idx="71">
                  <c:v>0.100190930851488</c:v>
                </c:pt>
                <c:pt idx="72">
                  <c:v>0.100231397892626</c:v>
                </c:pt>
                <c:pt idx="73">
                  <c:v>0.100059932509251</c:v>
                </c:pt>
                <c:pt idx="74">
                  <c:v>0.0998647311738122</c:v>
                </c:pt>
                <c:pt idx="75">
                  <c:v>0.0993387089788395</c:v>
                </c:pt>
                <c:pt idx="76">
                  <c:v>0.0985035362772648</c:v>
                </c:pt>
                <c:pt idx="77">
                  <c:v>0.0992601040113796</c:v>
                </c:pt>
                <c:pt idx="78">
                  <c:v>0.0981964281296457</c:v>
                </c:pt>
                <c:pt idx="79">
                  <c:v>0.0971018166018016</c:v>
                </c:pt>
                <c:pt idx="80">
                  <c:v>0.0965758056721425</c:v>
                </c:pt>
                <c:pt idx="81">
                  <c:v>0.0957039742594414</c:v>
                </c:pt>
                <c:pt idx="82">
                  <c:v>0.0948741342794333</c:v>
                </c:pt>
                <c:pt idx="83">
                  <c:v>0.0950966148529115</c:v>
                </c:pt>
                <c:pt idx="84">
                  <c:v>0.0943687537281805</c:v>
                </c:pt>
                <c:pt idx="85">
                  <c:v>0.0930269046534858</c:v>
                </c:pt>
                <c:pt idx="86">
                  <c:v>0.0923576359794917</c:v>
                </c:pt>
                <c:pt idx="87">
                  <c:v>0.0914274066566781</c:v>
                </c:pt>
                <c:pt idx="88">
                  <c:v>0.0903461646117519</c:v>
                </c:pt>
                <c:pt idx="89">
                  <c:v>0.0911402715426301</c:v>
                </c:pt>
                <c:pt idx="90">
                  <c:v>0.0898160669967123</c:v>
                </c:pt>
                <c:pt idx="91">
                  <c:v>0.0882198042361309</c:v>
                </c:pt>
                <c:pt idx="92">
                  <c:v>0.0870060419884765</c:v>
                </c:pt>
                <c:pt idx="93">
                  <c:v>0.0856319445642443</c:v>
                </c:pt>
                <c:pt idx="94">
                  <c:v>0.0838014854029023</c:v>
                </c:pt>
                <c:pt idx="95">
                  <c:v>0.0837934426757466</c:v>
                </c:pt>
                <c:pt idx="96">
                  <c:v>0.0809800317517713</c:v>
                </c:pt>
                <c:pt idx="97">
                  <c:v>0.077343442578497</c:v>
                </c:pt>
                <c:pt idx="98">
                  <c:v>0.0764317451340855</c:v>
                </c:pt>
                <c:pt idx="99">
                  <c:v>0.0752374537516286</c:v>
                </c:pt>
                <c:pt idx="100">
                  <c:v>0.0743853671842992</c:v>
                </c:pt>
                <c:pt idx="101">
                  <c:v>0.0768908873167272</c:v>
                </c:pt>
                <c:pt idx="102">
                  <c:v>0.0772906868460662</c:v>
                </c:pt>
                <c:pt idx="103">
                  <c:v>0.0771076637158676</c:v>
                </c:pt>
                <c:pt idx="104">
                  <c:v>0.0772340015913816</c:v>
                </c:pt>
                <c:pt idx="105">
                  <c:v>0.077301694915769</c:v>
                </c:pt>
                <c:pt idx="106">
                  <c:v>0.0778452711580493</c:v>
                </c:pt>
                <c:pt idx="107">
                  <c:v>0.0800451559821261</c:v>
                </c:pt>
                <c:pt idx="108">
                  <c:v>0.0810765350790218</c:v>
                </c:pt>
                <c:pt idx="109">
                  <c:v>0.0828115662178493</c:v>
                </c:pt>
                <c:pt idx="110">
                  <c:v>0.0840373977370876</c:v>
                </c:pt>
                <c:pt idx="111">
                  <c:v>0.0845540928349638</c:v>
                </c:pt>
                <c:pt idx="112">
                  <c:v>0.0848683166818143</c:v>
                </c:pt>
                <c:pt idx="113">
                  <c:v>0.0855824045204087</c:v>
                </c:pt>
                <c:pt idx="114">
                  <c:v>0.0858022684873016</c:v>
                </c:pt>
                <c:pt idx="115">
                  <c:v>0.0857815645419949</c:v>
                </c:pt>
                <c:pt idx="116">
                  <c:v>0.0857240196468246</c:v>
                </c:pt>
                <c:pt idx="117">
                  <c:v>0.0856589742339679</c:v>
                </c:pt>
                <c:pt idx="118">
                  <c:v>0.0851470397197904</c:v>
                </c:pt>
                <c:pt idx="119">
                  <c:v>0.0861412934949782</c:v>
                </c:pt>
                <c:pt idx="120">
                  <c:v>0.0861375085664062</c:v>
                </c:pt>
                <c:pt idx="121">
                  <c:v>0.0861223743383284</c:v>
                </c:pt>
                <c:pt idx="122">
                  <c:v>0.0858443839849434</c:v>
                </c:pt>
                <c:pt idx="123">
                  <c:v>0.0857676790258814</c:v>
                </c:pt>
                <c:pt idx="124">
                  <c:v>0.0856670906612722</c:v>
                </c:pt>
              </c:numCache>
            </c:numRef>
          </c:val>
          <c:smooth val="0"/>
        </c:ser>
        <c:ser>
          <c:idx val="1"/>
          <c:order val="1"/>
          <c:tx>
            <c:strRef>
              <c:f>'Rolling 12m %GDP'!T6</c:f>
              <c:strCache>
                <c:ptCount val="1"/>
                <c:pt idx="0">
                  <c:v>  Economic subsidies</c:v>
                </c:pt>
              </c:strCache>
            </c:strRef>
          </c:tx>
          <c:spPr>
            <a:solidFill>
              <a:srgbClr val="d1495b"/>
            </a:solidFill>
            <a:ln w="21960">
              <a:solidFill>
                <a:srgbClr val="d1495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'Rolling 12m %GDP'!$B$31:$B$131</c:f>
              <c:strCache>
                <c:ptCount val="101"/>
                <c:pt idx="0">
                  <c:v>2018-01</c:v>
                </c:pt>
                <c:pt idx="1">
                  <c:v>2018-02</c:v>
                </c:pt>
                <c:pt idx="2">
                  <c:v>2018-03</c:v>
                </c:pt>
                <c:pt idx="3">
                  <c:v>2018-04</c:v>
                </c:pt>
                <c:pt idx="4">
                  <c:v>2018-05</c:v>
                </c:pt>
                <c:pt idx="5">
                  <c:v>2018-06</c:v>
                </c:pt>
                <c:pt idx="6">
                  <c:v>2018-07</c:v>
                </c:pt>
                <c:pt idx="7">
                  <c:v>2018-08</c:v>
                </c:pt>
                <c:pt idx="8">
                  <c:v>2018-09</c:v>
                </c:pt>
                <c:pt idx="9">
                  <c:v>2018-10</c:v>
                </c:pt>
                <c:pt idx="10">
                  <c:v>2018-11</c:v>
                </c:pt>
                <c:pt idx="11">
                  <c:v>2018-12</c:v>
                </c:pt>
                <c:pt idx="12">
                  <c:v>2019-01</c:v>
                </c:pt>
                <c:pt idx="13">
                  <c:v>2019-02</c:v>
                </c:pt>
                <c:pt idx="14">
                  <c:v>2019-03</c:v>
                </c:pt>
                <c:pt idx="15">
                  <c:v>2019-04</c:v>
                </c:pt>
                <c:pt idx="16">
                  <c:v>2019-05</c:v>
                </c:pt>
                <c:pt idx="17">
                  <c:v>2019-06</c:v>
                </c:pt>
                <c:pt idx="18">
                  <c:v>2019-07</c:v>
                </c:pt>
                <c:pt idx="19">
                  <c:v>2019-08</c:v>
                </c:pt>
                <c:pt idx="20">
                  <c:v>2019-09</c:v>
                </c:pt>
                <c:pt idx="21">
                  <c:v>2019-10</c:v>
                </c:pt>
                <c:pt idx="22">
                  <c:v>2019-11</c:v>
                </c:pt>
                <c:pt idx="23">
                  <c:v>2019-12</c:v>
                </c:pt>
                <c:pt idx="24">
                  <c:v>2020-01</c:v>
                </c:pt>
                <c:pt idx="25">
                  <c:v>2020-02</c:v>
                </c:pt>
                <c:pt idx="26">
                  <c:v>2020-03</c:v>
                </c:pt>
                <c:pt idx="27">
                  <c:v>2020-04</c:v>
                </c:pt>
                <c:pt idx="28">
                  <c:v>2020-05</c:v>
                </c:pt>
                <c:pt idx="29">
                  <c:v>2020-06</c:v>
                </c:pt>
                <c:pt idx="30">
                  <c:v>2020-07</c:v>
                </c:pt>
                <c:pt idx="31">
                  <c:v>2020-08</c:v>
                </c:pt>
                <c:pt idx="32">
                  <c:v>2020-09</c:v>
                </c:pt>
                <c:pt idx="33">
                  <c:v>2020-10</c:v>
                </c:pt>
                <c:pt idx="34">
                  <c:v>2020-11</c:v>
                </c:pt>
                <c:pt idx="35">
                  <c:v>2020-12</c:v>
                </c:pt>
                <c:pt idx="36">
                  <c:v>2021-01</c:v>
                </c:pt>
                <c:pt idx="37">
                  <c:v>2021-02</c:v>
                </c:pt>
                <c:pt idx="38">
                  <c:v>2021-03</c:v>
                </c:pt>
                <c:pt idx="39">
                  <c:v>2021-04</c:v>
                </c:pt>
                <c:pt idx="40">
                  <c:v>2021-05</c:v>
                </c:pt>
                <c:pt idx="41">
                  <c:v>2021-06</c:v>
                </c:pt>
                <c:pt idx="42">
                  <c:v>2021-07</c:v>
                </c:pt>
                <c:pt idx="43">
                  <c:v>2021-08</c:v>
                </c:pt>
                <c:pt idx="44">
                  <c:v>2021-09</c:v>
                </c:pt>
                <c:pt idx="45">
                  <c:v>2021-10</c:v>
                </c:pt>
                <c:pt idx="46">
                  <c:v>2021-11</c:v>
                </c:pt>
                <c:pt idx="47">
                  <c:v>2021-12</c:v>
                </c:pt>
                <c:pt idx="48">
                  <c:v>2022-01</c:v>
                </c:pt>
                <c:pt idx="49">
                  <c:v>2022-02</c:v>
                </c:pt>
                <c:pt idx="50">
                  <c:v>2022-03</c:v>
                </c:pt>
                <c:pt idx="51">
                  <c:v>2022-04</c:v>
                </c:pt>
                <c:pt idx="52">
                  <c:v>2022-05</c:v>
                </c:pt>
                <c:pt idx="53">
                  <c:v>2022-06</c:v>
                </c:pt>
                <c:pt idx="54">
                  <c:v>2022-07</c:v>
                </c:pt>
                <c:pt idx="55">
                  <c:v>2022-08</c:v>
                </c:pt>
                <c:pt idx="56">
                  <c:v>2022-09</c:v>
                </c:pt>
                <c:pt idx="57">
                  <c:v>2022-10</c:v>
                </c:pt>
                <c:pt idx="58">
                  <c:v>2022-11</c:v>
                </c:pt>
                <c:pt idx="59">
                  <c:v>2022-12</c:v>
                </c:pt>
                <c:pt idx="60">
                  <c:v>2023-01</c:v>
                </c:pt>
                <c:pt idx="61">
                  <c:v>2023-02</c:v>
                </c:pt>
                <c:pt idx="62">
                  <c:v>2023-03</c:v>
                </c:pt>
                <c:pt idx="63">
                  <c:v>2023-04</c:v>
                </c:pt>
                <c:pt idx="64">
                  <c:v>2023-05</c:v>
                </c:pt>
                <c:pt idx="65">
                  <c:v>2023-06</c:v>
                </c:pt>
                <c:pt idx="66">
                  <c:v>2023-07</c:v>
                </c:pt>
                <c:pt idx="67">
                  <c:v>2023-08</c:v>
                </c:pt>
                <c:pt idx="68">
                  <c:v>2023-09</c:v>
                </c:pt>
                <c:pt idx="69">
                  <c:v>2023-10</c:v>
                </c:pt>
                <c:pt idx="70">
                  <c:v>2023-11</c:v>
                </c:pt>
                <c:pt idx="71">
                  <c:v>2023-12</c:v>
                </c:pt>
                <c:pt idx="72">
                  <c:v>2024-01</c:v>
                </c:pt>
                <c:pt idx="73">
                  <c:v>2024-02</c:v>
                </c:pt>
                <c:pt idx="74">
                  <c:v>2024-03</c:v>
                </c:pt>
                <c:pt idx="75">
                  <c:v>2024-04</c:v>
                </c:pt>
                <c:pt idx="76">
                  <c:v>2024-05</c:v>
                </c:pt>
                <c:pt idx="77">
                  <c:v>2024-06</c:v>
                </c:pt>
                <c:pt idx="78">
                  <c:v>2024-07</c:v>
                </c:pt>
                <c:pt idx="79">
                  <c:v>2024-08</c:v>
                </c:pt>
                <c:pt idx="80">
                  <c:v>2024-09</c:v>
                </c:pt>
                <c:pt idx="81">
                  <c:v>2024-10</c:v>
                </c:pt>
                <c:pt idx="82">
                  <c:v>2024-11</c:v>
                </c:pt>
                <c:pt idx="83">
                  <c:v>2024-12</c:v>
                </c:pt>
                <c:pt idx="84">
                  <c:v>2025-01</c:v>
                </c:pt>
                <c:pt idx="85">
                  <c:v>2025-02</c:v>
                </c:pt>
                <c:pt idx="86">
                  <c:v>2025-03</c:v>
                </c:pt>
                <c:pt idx="87">
                  <c:v>2025-04</c:v>
                </c:pt>
                <c:pt idx="88">
                  <c:v>2025-05</c:v>
                </c:pt>
                <c:pt idx="89">
                  <c:v>2025-06</c:v>
                </c:pt>
                <c:pt idx="90">
                  <c:v>2025-07</c:v>
                </c:pt>
                <c:pt idx="91">
                  <c:v>2025-08</c:v>
                </c:pt>
                <c:pt idx="92">
                  <c:v>2025-09</c:v>
                </c:pt>
                <c:pt idx="93">
                  <c:v>2025-10</c:v>
                </c:pt>
                <c:pt idx="94">
                  <c:v>2025-11</c:v>
                </c:pt>
                <c:pt idx="95">
                  <c:v>2025-12</c:v>
                </c:pt>
                <c:pt idx="96">
                  <c:v>2026-01</c:v>
                </c:pt>
                <c:pt idx="97">
                  <c:v>2026-02</c:v>
                </c:pt>
                <c:pt idx="98">
                  <c:v>2026-03</c:v>
                </c:pt>
                <c:pt idx="99">
                  <c:v>2026-04</c:v>
                </c:pt>
                <c:pt idx="100">
                  <c:v>2026-05</c:v>
                </c:pt>
              </c:strCache>
            </c:strRef>
          </c:cat>
          <c:val>
            <c:numRef>
              <c:f>'Rolling 12m %GDP'!$T$7:$T$131</c:f>
              <c:numCache>
                <c:formatCode>0.00%</c:formatCode>
                <c:ptCount val="125"/>
                <c:pt idx="11">
                  <c:v>0.0353871358472496</c:v>
                </c:pt>
                <c:pt idx="12">
                  <c:v>0.0345104266256176</c:v>
                </c:pt>
                <c:pt idx="13">
                  <c:v>0.0341103234853513</c:v>
                </c:pt>
                <c:pt idx="14">
                  <c:v>0.0331335327948394</c:v>
                </c:pt>
                <c:pt idx="15">
                  <c:v>0.0328928221681162</c:v>
                </c:pt>
                <c:pt idx="16">
                  <c:v>0.0319087199316665</c:v>
                </c:pt>
                <c:pt idx="17">
                  <c:v>0.0307004545940777</c:v>
                </c:pt>
                <c:pt idx="18">
                  <c:v>0.0291626288619645</c:v>
                </c:pt>
                <c:pt idx="19">
                  <c:v>0.02780249312753</c:v>
                </c:pt>
                <c:pt idx="20">
                  <c:v>0.0260445789512902</c:v>
                </c:pt>
                <c:pt idx="21">
                  <c:v>0.0238978302895347</c:v>
                </c:pt>
                <c:pt idx="22">
                  <c:v>0.0233400704863158</c:v>
                </c:pt>
                <c:pt idx="23">
                  <c:v>0.0211729045123114</c:v>
                </c:pt>
                <c:pt idx="24">
                  <c:v>0.0206954945295972</c:v>
                </c:pt>
                <c:pt idx="25">
                  <c:v>0.0197984887218435</c:v>
                </c:pt>
                <c:pt idx="26">
                  <c:v>0.0190504449263925</c:v>
                </c:pt>
                <c:pt idx="27">
                  <c:v>0.0182718960120466</c:v>
                </c:pt>
                <c:pt idx="28">
                  <c:v>0.0180930864704143</c:v>
                </c:pt>
                <c:pt idx="29">
                  <c:v>0.0187591596629318</c:v>
                </c:pt>
                <c:pt idx="30">
                  <c:v>0.0185526584072688</c:v>
                </c:pt>
                <c:pt idx="31">
                  <c:v>0.0186439013954789</c:v>
                </c:pt>
                <c:pt idx="32">
                  <c:v>0.0191800964364575</c:v>
                </c:pt>
                <c:pt idx="33">
                  <c:v>0.0195046219751039</c:v>
                </c:pt>
                <c:pt idx="34">
                  <c:v>0.0201140824667025</c:v>
                </c:pt>
                <c:pt idx="35">
                  <c:v>0.0190736935289122</c:v>
                </c:pt>
                <c:pt idx="36">
                  <c:v>0.0191175505233017</c:v>
                </c:pt>
                <c:pt idx="37">
                  <c:v>0.0191184247441105</c:v>
                </c:pt>
                <c:pt idx="38">
                  <c:v>0.0191144640669055</c:v>
                </c:pt>
                <c:pt idx="39">
                  <c:v>0.0189197923033278</c:v>
                </c:pt>
                <c:pt idx="40">
                  <c:v>0.0184033997231949</c:v>
                </c:pt>
                <c:pt idx="41">
                  <c:v>0.017791166056796</c:v>
                </c:pt>
                <c:pt idx="42">
                  <c:v>0.0184299642296866</c:v>
                </c:pt>
                <c:pt idx="43">
                  <c:v>0.0184262103090522</c:v>
                </c:pt>
                <c:pt idx="44">
                  <c:v>0.0178041505552094</c:v>
                </c:pt>
                <c:pt idx="45">
                  <c:v>0.0170452157049807</c:v>
                </c:pt>
                <c:pt idx="46">
                  <c:v>0.0166188715529022</c:v>
                </c:pt>
                <c:pt idx="47">
                  <c:v>0.0156973758244307</c:v>
                </c:pt>
                <c:pt idx="48">
                  <c:v>0.0158197122586983</c:v>
                </c:pt>
                <c:pt idx="49">
                  <c:v>0.0160565701034084</c:v>
                </c:pt>
                <c:pt idx="50">
                  <c:v>0.0166460344447095</c:v>
                </c:pt>
                <c:pt idx="51">
                  <c:v>0.0179219509847046</c:v>
                </c:pt>
                <c:pt idx="52">
                  <c:v>0.0196065659905803</c:v>
                </c:pt>
                <c:pt idx="53">
                  <c:v>0.0206624595083265</c:v>
                </c:pt>
                <c:pt idx="54">
                  <c:v>0.0211580410752649</c:v>
                </c:pt>
                <c:pt idx="55">
                  <c:v>0.0211053865146236</c:v>
                </c:pt>
                <c:pt idx="56">
                  <c:v>0.0232399340046966</c:v>
                </c:pt>
                <c:pt idx="57">
                  <c:v>0.0243977296576617</c:v>
                </c:pt>
                <c:pt idx="58">
                  <c:v>0.0244577304305601</c:v>
                </c:pt>
                <c:pt idx="59">
                  <c:v>0.025608774699106</c:v>
                </c:pt>
                <c:pt idx="60">
                  <c:v>0.0258006568350529</c:v>
                </c:pt>
                <c:pt idx="61">
                  <c:v>0.0259616599776118</c:v>
                </c:pt>
                <c:pt idx="62">
                  <c:v>0.0257918013278251</c:v>
                </c:pt>
                <c:pt idx="63">
                  <c:v>0.024676108364344</c:v>
                </c:pt>
                <c:pt idx="64">
                  <c:v>0.0244512339852733</c:v>
                </c:pt>
                <c:pt idx="65">
                  <c:v>0.0252048530734317</c:v>
                </c:pt>
                <c:pt idx="66">
                  <c:v>0.0262987856617</c:v>
                </c:pt>
                <c:pt idx="67">
                  <c:v>0.0279320780195247</c:v>
                </c:pt>
                <c:pt idx="68">
                  <c:v>0.0279884535083078</c:v>
                </c:pt>
                <c:pt idx="69">
                  <c:v>0.0289162704383046</c:v>
                </c:pt>
                <c:pt idx="70">
                  <c:v>0.0293782840329357</c:v>
                </c:pt>
                <c:pt idx="71">
                  <c:v>0.0298910730173178</c:v>
                </c:pt>
                <c:pt idx="72">
                  <c:v>0.0293177892136302</c:v>
                </c:pt>
                <c:pt idx="73">
                  <c:v>0.0291769565785445</c:v>
                </c:pt>
                <c:pt idx="74">
                  <c:v>0.0309840669023643</c:v>
                </c:pt>
                <c:pt idx="75">
                  <c:v>0.0313741710964516</c:v>
                </c:pt>
                <c:pt idx="76">
                  <c:v>0.0310680947827765</c:v>
                </c:pt>
                <c:pt idx="77">
                  <c:v>0.0301320207207518</c:v>
                </c:pt>
                <c:pt idx="78">
                  <c:v>0.0301586923117945</c:v>
                </c:pt>
                <c:pt idx="79">
                  <c:v>0.0297964132345249</c:v>
                </c:pt>
                <c:pt idx="80">
                  <c:v>0.0293504735506248</c:v>
                </c:pt>
                <c:pt idx="81">
                  <c:v>0.02885491753475</c:v>
                </c:pt>
                <c:pt idx="82">
                  <c:v>0.0278824891458169</c:v>
                </c:pt>
                <c:pt idx="83">
                  <c:v>0.0258354042418502</c:v>
                </c:pt>
                <c:pt idx="84">
                  <c:v>0.0257284037303439</c:v>
                </c:pt>
                <c:pt idx="85">
                  <c:v>0.0251214185164983</c:v>
                </c:pt>
                <c:pt idx="86">
                  <c:v>0.0228939342595454</c:v>
                </c:pt>
                <c:pt idx="87">
                  <c:v>0.0227387396474805</c:v>
                </c:pt>
                <c:pt idx="88">
                  <c:v>0.0236701340366558</c:v>
                </c:pt>
                <c:pt idx="89">
                  <c:v>0.0242919340406619</c:v>
                </c:pt>
                <c:pt idx="90">
                  <c:v>0.0234528413839603</c:v>
                </c:pt>
                <c:pt idx="91">
                  <c:v>0.0229591336365147</c:v>
                </c:pt>
                <c:pt idx="92">
                  <c:v>0.021507709334582</c:v>
                </c:pt>
                <c:pt idx="93">
                  <c:v>0.0203740536908972</c:v>
                </c:pt>
                <c:pt idx="94">
                  <c:v>0.0192408539821499</c:v>
                </c:pt>
                <c:pt idx="95">
                  <c:v>0.0205200433873434</c:v>
                </c:pt>
                <c:pt idx="96">
                  <c:v>0.0186663152851684</c:v>
                </c:pt>
                <c:pt idx="97">
                  <c:v>0.0175178856369152</c:v>
                </c:pt>
                <c:pt idx="98">
                  <c:v>0.0167564736155181</c:v>
                </c:pt>
                <c:pt idx="99">
                  <c:v>0.0172382386874666</c:v>
                </c:pt>
                <c:pt idx="100">
                  <c:v>0.0175100346315864</c:v>
                </c:pt>
                <c:pt idx="101">
                  <c:v>0.0158205439837476</c:v>
                </c:pt>
                <c:pt idx="102">
                  <c:v>0.0162449255344012</c:v>
                </c:pt>
                <c:pt idx="103">
                  <c:v>0.016623254644399</c:v>
                </c:pt>
                <c:pt idx="104">
                  <c:v>0.0163040613580047</c:v>
                </c:pt>
                <c:pt idx="105">
                  <c:v>0.0161067854795491</c:v>
                </c:pt>
                <c:pt idx="106">
                  <c:v>0.0155782738342249</c:v>
                </c:pt>
                <c:pt idx="107">
                  <c:v>0.0149320350310657</c:v>
                </c:pt>
                <c:pt idx="108">
                  <c:v>0.0145223368943771</c:v>
                </c:pt>
                <c:pt idx="109">
                  <c:v>0.0140200790720624</c:v>
                </c:pt>
                <c:pt idx="110">
                  <c:v>0.013449853158447</c:v>
                </c:pt>
                <c:pt idx="111">
                  <c:v>0.0122799638792539</c:v>
                </c:pt>
                <c:pt idx="112">
                  <c:v>0.0113518710181356</c:v>
                </c:pt>
                <c:pt idx="113">
                  <c:v>0.0110034136760768</c:v>
                </c:pt>
                <c:pt idx="114">
                  <c:v>0.0106910315711483</c:v>
                </c:pt>
                <c:pt idx="115">
                  <c:v>0.0101245659815466</c:v>
                </c:pt>
                <c:pt idx="116">
                  <c:v>0.0101893491248449</c:v>
                </c:pt>
                <c:pt idx="117">
                  <c:v>0.010210435631706</c:v>
                </c:pt>
                <c:pt idx="118">
                  <c:v>0.010134861621512</c:v>
                </c:pt>
                <c:pt idx="119">
                  <c:v>0.0100302561910239</c:v>
                </c:pt>
                <c:pt idx="120">
                  <c:v>0.0105457409097878</c:v>
                </c:pt>
                <c:pt idx="121">
                  <c:v>0.0104521996680785</c:v>
                </c:pt>
                <c:pt idx="122">
                  <c:v>0.010069247433441</c:v>
                </c:pt>
                <c:pt idx="123">
                  <c:v>0.0105718681578877</c:v>
                </c:pt>
                <c:pt idx="124">
                  <c:v>0.0103578618081032</c:v>
                </c:pt>
              </c:numCache>
            </c:numRef>
          </c:val>
          <c:smooth val="0"/>
        </c:ser>
        <c:ser>
          <c:idx val="2"/>
          <c:order val="2"/>
          <c:tx>
            <c:strRef>
              <c:f>'Rolling 12m %GDP'!W6</c:f>
              <c:strCache>
                <c:ptCount val="1"/>
                <c:pt idx="0">
                  <c:v>  Wages</c:v>
                </c:pt>
              </c:strCache>
            </c:strRef>
          </c:tx>
          <c:spPr>
            <a:solidFill>
              <a:srgbClr val="e8a33d"/>
            </a:solidFill>
            <a:ln w="21960">
              <a:solidFill>
                <a:srgbClr val="e8a33d"/>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'Rolling 12m %GDP'!$B$31:$B$131</c:f>
              <c:strCache>
                <c:ptCount val="101"/>
                <c:pt idx="0">
                  <c:v>2018-01</c:v>
                </c:pt>
                <c:pt idx="1">
                  <c:v>2018-02</c:v>
                </c:pt>
                <c:pt idx="2">
                  <c:v>2018-03</c:v>
                </c:pt>
                <c:pt idx="3">
                  <c:v>2018-04</c:v>
                </c:pt>
                <c:pt idx="4">
                  <c:v>2018-05</c:v>
                </c:pt>
                <c:pt idx="5">
                  <c:v>2018-06</c:v>
                </c:pt>
                <c:pt idx="6">
                  <c:v>2018-07</c:v>
                </c:pt>
                <c:pt idx="7">
                  <c:v>2018-08</c:v>
                </c:pt>
                <c:pt idx="8">
                  <c:v>2018-09</c:v>
                </c:pt>
                <c:pt idx="9">
                  <c:v>2018-10</c:v>
                </c:pt>
                <c:pt idx="10">
                  <c:v>2018-11</c:v>
                </c:pt>
                <c:pt idx="11">
                  <c:v>2018-12</c:v>
                </c:pt>
                <c:pt idx="12">
                  <c:v>2019-01</c:v>
                </c:pt>
                <c:pt idx="13">
                  <c:v>2019-02</c:v>
                </c:pt>
                <c:pt idx="14">
                  <c:v>2019-03</c:v>
                </c:pt>
                <c:pt idx="15">
                  <c:v>2019-04</c:v>
                </c:pt>
                <c:pt idx="16">
                  <c:v>2019-05</c:v>
                </c:pt>
                <c:pt idx="17">
                  <c:v>2019-06</c:v>
                </c:pt>
                <c:pt idx="18">
                  <c:v>2019-07</c:v>
                </c:pt>
                <c:pt idx="19">
                  <c:v>2019-08</c:v>
                </c:pt>
                <c:pt idx="20">
                  <c:v>2019-09</c:v>
                </c:pt>
                <c:pt idx="21">
                  <c:v>2019-10</c:v>
                </c:pt>
                <c:pt idx="22">
                  <c:v>2019-11</c:v>
                </c:pt>
                <c:pt idx="23">
                  <c:v>2019-12</c:v>
                </c:pt>
                <c:pt idx="24">
                  <c:v>2020-01</c:v>
                </c:pt>
                <c:pt idx="25">
                  <c:v>2020-02</c:v>
                </c:pt>
                <c:pt idx="26">
                  <c:v>2020-03</c:v>
                </c:pt>
                <c:pt idx="27">
                  <c:v>2020-04</c:v>
                </c:pt>
                <c:pt idx="28">
                  <c:v>2020-05</c:v>
                </c:pt>
                <c:pt idx="29">
                  <c:v>2020-06</c:v>
                </c:pt>
                <c:pt idx="30">
                  <c:v>2020-07</c:v>
                </c:pt>
                <c:pt idx="31">
                  <c:v>2020-08</c:v>
                </c:pt>
                <c:pt idx="32">
                  <c:v>2020-09</c:v>
                </c:pt>
                <c:pt idx="33">
                  <c:v>2020-10</c:v>
                </c:pt>
                <c:pt idx="34">
                  <c:v>2020-11</c:v>
                </c:pt>
                <c:pt idx="35">
                  <c:v>2020-12</c:v>
                </c:pt>
                <c:pt idx="36">
                  <c:v>2021-01</c:v>
                </c:pt>
                <c:pt idx="37">
                  <c:v>2021-02</c:v>
                </c:pt>
                <c:pt idx="38">
                  <c:v>2021-03</c:v>
                </c:pt>
                <c:pt idx="39">
                  <c:v>2021-04</c:v>
                </c:pt>
                <c:pt idx="40">
                  <c:v>2021-05</c:v>
                </c:pt>
                <c:pt idx="41">
                  <c:v>2021-06</c:v>
                </c:pt>
                <c:pt idx="42">
                  <c:v>2021-07</c:v>
                </c:pt>
                <c:pt idx="43">
                  <c:v>2021-08</c:v>
                </c:pt>
                <c:pt idx="44">
                  <c:v>2021-09</c:v>
                </c:pt>
                <c:pt idx="45">
                  <c:v>2021-10</c:v>
                </c:pt>
                <c:pt idx="46">
                  <c:v>2021-11</c:v>
                </c:pt>
                <c:pt idx="47">
                  <c:v>2021-12</c:v>
                </c:pt>
                <c:pt idx="48">
                  <c:v>2022-01</c:v>
                </c:pt>
                <c:pt idx="49">
                  <c:v>2022-02</c:v>
                </c:pt>
                <c:pt idx="50">
                  <c:v>2022-03</c:v>
                </c:pt>
                <c:pt idx="51">
                  <c:v>2022-04</c:v>
                </c:pt>
                <c:pt idx="52">
                  <c:v>2022-05</c:v>
                </c:pt>
                <c:pt idx="53">
                  <c:v>2022-06</c:v>
                </c:pt>
                <c:pt idx="54">
                  <c:v>2022-07</c:v>
                </c:pt>
                <c:pt idx="55">
                  <c:v>2022-08</c:v>
                </c:pt>
                <c:pt idx="56">
                  <c:v>2022-09</c:v>
                </c:pt>
                <c:pt idx="57">
                  <c:v>2022-10</c:v>
                </c:pt>
                <c:pt idx="58">
                  <c:v>2022-11</c:v>
                </c:pt>
                <c:pt idx="59">
                  <c:v>2022-12</c:v>
                </c:pt>
                <c:pt idx="60">
                  <c:v>2023-01</c:v>
                </c:pt>
                <c:pt idx="61">
                  <c:v>2023-02</c:v>
                </c:pt>
                <c:pt idx="62">
                  <c:v>2023-03</c:v>
                </c:pt>
                <c:pt idx="63">
                  <c:v>2023-04</c:v>
                </c:pt>
                <c:pt idx="64">
                  <c:v>2023-05</c:v>
                </c:pt>
                <c:pt idx="65">
                  <c:v>2023-06</c:v>
                </c:pt>
                <c:pt idx="66">
                  <c:v>2023-07</c:v>
                </c:pt>
                <c:pt idx="67">
                  <c:v>2023-08</c:v>
                </c:pt>
                <c:pt idx="68">
                  <c:v>2023-09</c:v>
                </c:pt>
                <c:pt idx="69">
                  <c:v>2023-10</c:v>
                </c:pt>
                <c:pt idx="70">
                  <c:v>2023-11</c:v>
                </c:pt>
                <c:pt idx="71">
                  <c:v>2023-12</c:v>
                </c:pt>
                <c:pt idx="72">
                  <c:v>2024-01</c:v>
                </c:pt>
                <c:pt idx="73">
                  <c:v>2024-02</c:v>
                </c:pt>
                <c:pt idx="74">
                  <c:v>2024-03</c:v>
                </c:pt>
                <c:pt idx="75">
                  <c:v>2024-04</c:v>
                </c:pt>
                <c:pt idx="76">
                  <c:v>2024-05</c:v>
                </c:pt>
                <c:pt idx="77">
                  <c:v>2024-06</c:v>
                </c:pt>
                <c:pt idx="78">
                  <c:v>2024-07</c:v>
                </c:pt>
                <c:pt idx="79">
                  <c:v>2024-08</c:v>
                </c:pt>
                <c:pt idx="80">
                  <c:v>2024-09</c:v>
                </c:pt>
                <c:pt idx="81">
                  <c:v>2024-10</c:v>
                </c:pt>
                <c:pt idx="82">
                  <c:v>2024-11</c:v>
                </c:pt>
                <c:pt idx="83">
                  <c:v>2024-12</c:v>
                </c:pt>
                <c:pt idx="84">
                  <c:v>2025-01</c:v>
                </c:pt>
                <c:pt idx="85">
                  <c:v>2025-02</c:v>
                </c:pt>
                <c:pt idx="86">
                  <c:v>2025-03</c:v>
                </c:pt>
                <c:pt idx="87">
                  <c:v>2025-04</c:v>
                </c:pt>
                <c:pt idx="88">
                  <c:v>2025-05</c:v>
                </c:pt>
                <c:pt idx="89">
                  <c:v>2025-06</c:v>
                </c:pt>
                <c:pt idx="90">
                  <c:v>2025-07</c:v>
                </c:pt>
                <c:pt idx="91">
                  <c:v>2025-08</c:v>
                </c:pt>
                <c:pt idx="92">
                  <c:v>2025-09</c:v>
                </c:pt>
                <c:pt idx="93">
                  <c:v>2025-10</c:v>
                </c:pt>
                <c:pt idx="94">
                  <c:v>2025-11</c:v>
                </c:pt>
                <c:pt idx="95">
                  <c:v>2025-12</c:v>
                </c:pt>
                <c:pt idx="96">
                  <c:v>2026-01</c:v>
                </c:pt>
                <c:pt idx="97">
                  <c:v>2026-02</c:v>
                </c:pt>
                <c:pt idx="98">
                  <c:v>2026-03</c:v>
                </c:pt>
                <c:pt idx="99">
                  <c:v>2026-04</c:v>
                </c:pt>
                <c:pt idx="100">
                  <c:v>2026-05</c:v>
                </c:pt>
              </c:strCache>
            </c:strRef>
          </c:cat>
          <c:val>
            <c:numRef>
              <c:f>'Rolling 12m %GDP'!$W$7:$W$131</c:f>
              <c:numCache>
                <c:formatCode>0.00%</c:formatCode>
                <c:ptCount val="125"/>
                <c:pt idx="11">
                  <c:v>0.0324288801361455</c:v>
                </c:pt>
                <c:pt idx="12">
                  <c:v>0.0325276640649184</c:v>
                </c:pt>
                <c:pt idx="13">
                  <c:v>0.0324757058299813</c:v>
                </c:pt>
                <c:pt idx="14">
                  <c:v>0.0324119891881989</c:v>
                </c:pt>
                <c:pt idx="15">
                  <c:v>0.0325319118232299</c:v>
                </c:pt>
                <c:pt idx="16">
                  <c:v>0.032613884408352</c:v>
                </c:pt>
                <c:pt idx="17">
                  <c:v>0.0325691331453582</c:v>
                </c:pt>
                <c:pt idx="18">
                  <c:v>0.0327012616613731</c:v>
                </c:pt>
                <c:pt idx="19">
                  <c:v>0.0323855065694822</c:v>
                </c:pt>
                <c:pt idx="20">
                  <c:v>0.031996135358337</c:v>
                </c:pt>
                <c:pt idx="21">
                  <c:v>0.0316952868358509</c:v>
                </c:pt>
                <c:pt idx="22">
                  <c:v>0.031538662022401</c:v>
                </c:pt>
                <c:pt idx="23">
                  <c:v>0.0312558966407021</c:v>
                </c:pt>
                <c:pt idx="24">
                  <c:v>0.0310174040362571</c:v>
                </c:pt>
                <c:pt idx="25">
                  <c:v>0.0306360401230331</c:v>
                </c:pt>
                <c:pt idx="26">
                  <c:v>0.0302812432052516</c:v>
                </c:pt>
                <c:pt idx="27">
                  <c:v>0.0298773015614441</c:v>
                </c:pt>
                <c:pt idx="28">
                  <c:v>0.0294696646749876</c:v>
                </c:pt>
                <c:pt idx="29">
                  <c:v>0.029074815352173</c:v>
                </c:pt>
                <c:pt idx="30">
                  <c:v>0.0288148311244251</c:v>
                </c:pt>
                <c:pt idx="31">
                  <c:v>0.0283272673742784</c:v>
                </c:pt>
                <c:pt idx="32">
                  <c:v>0.0278741115435561</c:v>
                </c:pt>
                <c:pt idx="33">
                  <c:v>0.0274764264077311</c:v>
                </c:pt>
                <c:pt idx="34">
                  <c:v>0.0271309965783966</c:v>
                </c:pt>
                <c:pt idx="35">
                  <c:v>0.0271848183590465</c:v>
                </c:pt>
                <c:pt idx="36">
                  <c:v>0.0269801846363261</c:v>
                </c:pt>
                <c:pt idx="37">
                  <c:v>0.0267315687297258</c:v>
                </c:pt>
                <c:pt idx="38">
                  <c:v>0.0264908231052337</c:v>
                </c:pt>
                <c:pt idx="39">
                  <c:v>0.0261497628817868</c:v>
                </c:pt>
                <c:pt idx="40">
                  <c:v>0.0258958347115572</c:v>
                </c:pt>
                <c:pt idx="41">
                  <c:v>0.0259275098958826</c:v>
                </c:pt>
                <c:pt idx="42">
                  <c:v>0.0257307237998578</c:v>
                </c:pt>
                <c:pt idx="43">
                  <c:v>0.0257515945744529</c:v>
                </c:pt>
                <c:pt idx="44">
                  <c:v>0.0255831883146786</c:v>
                </c:pt>
                <c:pt idx="45">
                  <c:v>0.0252938041186306</c:v>
                </c:pt>
                <c:pt idx="46">
                  <c:v>0.0249407709317433</c:v>
                </c:pt>
                <c:pt idx="47">
                  <c:v>0.0249062500189704</c:v>
                </c:pt>
                <c:pt idx="48">
                  <c:v>0.0247581100239261</c:v>
                </c:pt>
                <c:pt idx="49">
                  <c:v>0.0248151161320666</c:v>
                </c:pt>
                <c:pt idx="50">
                  <c:v>0.0249984491083222</c:v>
                </c:pt>
                <c:pt idx="51">
                  <c:v>0.0255132017946159</c:v>
                </c:pt>
                <c:pt idx="52">
                  <c:v>0.0257368385541351</c:v>
                </c:pt>
                <c:pt idx="53">
                  <c:v>0.0256917184606726</c:v>
                </c:pt>
                <c:pt idx="54">
                  <c:v>0.0261898095964755</c:v>
                </c:pt>
                <c:pt idx="55">
                  <c:v>0.0260928699831481</c:v>
                </c:pt>
                <c:pt idx="56">
                  <c:v>0.0259383060952868</c:v>
                </c:pt>
                <c:pt idx="57">
                  <c:v>0.0258717471979707</c:v>
                </c:pt>
                <c:pt idx="58">
                  <c:v>0.0257884648060116</c:v>
                </c:pt>
                <c:pt idx="59">
                  <c:v>0.0255800350687696</c:v>
                </c:pt>
                <c:pt idx="60">
                  <c:v>0.0257890205273322</c:v>
                </c:pt>
                <c:pt idx="61">
                  <c:v>0.0253614877919167</c:v>
                </c:pt>
                <c:pt idx="62">
                  <c:v>0.024739708858582</c:v>
                </c:pt>
                <c:pt idx="63">
                  <c:v>0.0237661787932296</c:v>
                </c:pt>
                <c:pt idx="64">
                  <c:v>0.023040154135976</c:v>
                </c:pt>
                <c:pt idx="65">
                  <c:v>0.0227325868360368</c:v>
                </c:pt>
                <c:pt idx="66">
                  <c:v>0.022726664427439</c:v>
                </c:pt>
                <c:pt idx="67">
                  <c:v>0.022583037272384</c:v>
                </c:pt>
                <c:pt idx="68">
                  <c:v>0.0227276445756646</c:v>
                </c:pt>
                <c:pt idx="69">
                  <c:v>0.0227671273097228</c:v>
                </c:pt>
                <c:pt idx="70">
                  <c:v>0.0227882425714617</c:v>
                </c:pt>
                <c:pt idx="71">
                  <c:v>0.0233358370197789</c:v>
                </c:pt>
                <c:pt idx="72">
                  <c:v>0.0233504318946079</c:v>
                </c:pt>
                <c:pt idx="73">
                  <c:v>0.0234246339222793</c:v>
                </c:pt>
                <c:pt idx="74">
                  <c:v>0.0233939393432884</c:v>
                </c:pt>
                <c:pt idx="75">
                  <c:v>0.0233840316111509</c:v>
                </c:pt>
                <c:pt idx="76">
                  <c:v>0.0232714868163709</c:v>
                </c:pt>
                <c:pt idx="77">
                  <c:v>0.0232619048452345</c:v>
                </c:pt>
                <c:pt idx="78">
                  <c:v>0.023665951041686</c:v>
                </c:pt>
                <c:pt idx="79">
                  <c:v>0.0237460812176024</c:v>
                </c:pt>
                <c:pt idx="80">
                  <c:v>0.0236754551528198</c:v>
                </c:pt>
                <c:pt idx="81">
                  <c:v>0.0235578563464855</c:v>
                </c:pt>
                <c:pt idx="82">
                  <c:v>0.0235158050601333</c:v>
                </c:pt>
                <c:pt idx="83">
                  <c:v>0.0239949753526346</c:v>
                </c:pt>
                <c:pt idx="84">
                  <c:v>0.0243316058548401</c:v>
                </c:pt>
                <c:pt idx="85">
                  <c:v>0.0242664145828972</c:v>
                </c:pt>
                <c:pt idx="86">
                  <c:v>0.0244029345090798</c:v>
                </c:pt>
                <c:pt idx="87">
                  <c:v>0.024483164752817</c:v>
                </c:pt>
                <c:pt idx="88">
                  <c:v>0.0244853779694379</c:v>
                </c:pt>
                <c:pt idx="89">
                  <c:v>0.024523177756248</c:v>
                </c:pt>
                <c:pt idx="90">
                  <c:v>0.0249924245247366</c:v>
                </c:pt>
                <c:pt idx="91">
                  <c:v>0.0248207247532826</c:v>
                </c:pt>
                <c:pt idx="92">
                  <c:v>0.02465700381691</c:v>
                </c:pt>
                <c:pt idx="93">
                  <c:v>0.0245466222154088</c:v>
                </c:pt>
                <c:pt idx="94">
                  <c:v>0.0244649526149904</c:v>
                </c:pt>
                <c:pt idx="95">
                  <c:v>0.025975391915233</c:v>
                </c:pt>
                <c:pt idx="96">
                  <c:v>0.0252660221798148</c:v>
                </c:pt>
                <c:pt idx="97">
                  <c:v>0.0247687964094013</c:v>
                </c:pt>
                <c:pt idx="98">
                  <c:v>0.0242135787218148</c:v>
                </c:pt>
                <c:pt idx="99">
                  <c:v>0.0237523271167327</c:v>
                </c:pt>
                <c:pt idx="100">
                  <c:v>0.0232821677054762</c:v>
                </c:pt>
                <c:pt idx="101">
                  <c:v>0.0229704725886222</c:v>
                </c:pt>
                <c:pt idx="102">
                  <c:v>0.0231774906298888</c:v>
                </c:pt>
                <c:pt idx="103">
                  <c:v>0.0227445990512863</c:v>
                </c:pt>
                <c:pt idx="104">
                  <c:v>0.0223611311794128</c:v>
                </c:pt>
                <c:pt idx="105">
                  <c:v>0.0221027344768215</c:v>
                </c:pt>
                <c:pt idx="106">
                  <c:v>0.0217257130036958</c:v>
                </c:pt>
                <c:pt idx="107">
                  <c:v>0.0215419271505618</c:v>
                </c:pt>
                <c:pt idx="108">
                  <c:v>0.0216262526815604</c:v>
                </c:pt>
                <c:pt idx="109">
                  <c:v>0.0214980659955322</c:v>
                </c:pt>
                <c:pt idx="110">
                  <c:v>0.0212370119921509</c:v>
                </c:pt>
                <c:pt idx="111">
                  <c:v>0.0210417894663299</c:v>
                </c:pt>
                <c:pt idx="112">
                  <c:v>0.0208334755484972</c:v>
                </c:pt>
                <c:pt idx="113">
                  <c:v>0.020608775693471</c:v>
                </c:pt>
                <c:pt idx="114">
                  <c:v>0.0204381301458882</c:v>
                </c:pt>
                <c:pt idx="115">
                  <c:v>0.0202174058921878</c:v>
                </c:pt>
                <c:pt idx="116">
                  <c:v>0.0199353610028675</c:v>
                </c:pt>
                <c:pt idx="117">
                  <c:v>0.0197541030469132</c:v>
                </c:pt>
                <c:pt idx="118">
                  <c:v>0.0194209357375275</c:v>
                </c:pt>
                <c:pt idx="119">
                  <c:v>0.0192382231861532</c:v>
                </c:pt>
                <c:pt idx="120">
                  <c:v>0.0190734060766156</c:v>
                </c:pt>
                <c:pt idx="121">
                  <c:v>0.0189486570574755</c:v>
                </c:pt>
                <c:pt idx="122">
                  <c:v>0.0188356016400464</c:v>
                </c:pt>
                <c:pt idx="123">
                  <c:v>0.0187513548879449</c:v>
                </c:pt>
                <c:pt idx="124">
                  <c:v>0.0186368299552507</c:v>
                </c:pt>
              </c:numCache>
            </c:numRef>
          </c:val>
          <c:smooth val="0"/>
        </c:ser>
        <c:ser>
          <c:idx val="3"/>
          <c:order val="3"/>
          <c:tx>
            <c:strRef>
              <c:f>'Rolling 12m %GDP'!Y6</c:f>
              <c:strCache>
                <c:ptCount val="1"/>
                <c:pt idx="0">
                  <c:v>  Transfers to provinces</c:v>
                </c:pt>
              </c:strCache>
            </c:strRef>
          </c:tx>
          <c:spPr>
            <a:solidFill>
              <a:srgbClr val="4f9d69"/>
            </a:solidFill>
            <a:ln w="21960">
              <a:solidFill>
                <a:srgbClr val="4f9d69"/>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'Rolling 12m %GDP'!$B$31:$B$131</c:f>
              <c:strCache>
                <c:ptCount val="101"/>
                <c:pt idx="0">
                  <c:v>2018-01</c:v>
                </c:pt>
                <c:pt idx="1">
                  <c:v>2018-02</c:v>
                </c:pt>
                <c:pt idx="2">
                  <c:v>2018-03</c:v>
                </c:pt>
                <c:pt idx="3">
                  <c:v>2018-04</c:v>
                </c:pt>
                <c:pt idx="4">
                  <c:v>2018-05</c:v>
                </c:pt>
                <c:pt idx="5">
                  <c:v>2018-06</c:v>
                </c:pt>
                <c:pt idx="6">
                  <c:v>2018-07</c:v>
                </c:pt>
                <c:pt idx="7">
                  <c:v>2018-08</c:v>
                </c:pt>
                <c:pt idx="8">
                  <c:v>2018-09</c:v>
                </c:pt>
                <c:pt idx="9">
                  <c:v>2018-10</c:v>
                </c:pt>
                <c:pt idx="10">
                  <c:v>2018-11</c:v>
                </c:pt>
                <c:pt idx="11">
                  <c:v>2018-12</c:v>
                </c:pt>
                <c:pt idx="12">
                  <c:v>2019-01</c:v>
                </c:pt>
                <c:pt idx="13">
                  <c:v>2019-02</c:v>
                </c:pt>
                <c:pt idx="14">
                  <c:v>2019-03</c:v>
                </c:pt>
                <c:pt idx="15">
                  <c:v>2019-04</c:v>
                </c:pt>
                <c:pt idx="16">
                  <c:v>2019-05</c:v>
                </c:pt>
                <c:pt idx="17">
                  <c:v>2019-06</c:v>
                </c:pt>
                <c:pt idx="18">
                  <c:v>2019-07</c:v>
                </c:pt>
                <c:pt idx="19">
                  <c:v>2019-08</c:v>
                </c:pt>
                <c:pt idx="20">
                  <c:v>2019-09</c:v>
                </c:pt>
                <c:pt idx="21">
                  <c:v>2019-10</c:v>
                </c:pt>
                <c:pt idx="22">
                  <c:v>2019-11</c:v>
                </c:pt>
                <c:pt idx="23">
                  <c:v>2019-12</c:v>
                </c:pt>
                <c:pt idx="24">
                  <c:v>2020-01</c:v>
                </c:pt>
                <c:pt idx="25">
                  <c:v>2020-02</c:v>
                </c:pt>
                <c:pt idx="26">
                  <c:v>2020-03</c:v>
                </c:pt>
                <c:pt idx="27">
                  <c:v>2020-04</c:v>
                </c:pt>
                <c:pt idx="28">
                  <c:v>2020-05</c:v>
                </c:pt>
                <c:pt idx="29">
                  <c:v>2020-06</c:v>
                </c:pt>
                <c:pt idx="30">
                  <c:v>2020-07</c:v>
                </c:pt>
                <c:pt idx="31">
                  <c:v>2020-08</c:v>
                </c:pt>
                <c:pt idx="32">
                  <c:v>2020-09</c:v>
                </c:pt>
                <c:pt idx="33">
                  <c:v>2020-10</c:v>
                </c:pt>
                <c:pt idx="34">
                  <c:v>2020-11</c:v>
                </c:pt>
                <c:pt idx="35">
                  <c:v>2020-12</c:v>
                </c:pt>
                <c:pt idx="36">
                  <c:v>2021-01</c:v>
                </c:pt>
                <c:pt idx="37">
                  <c:v>2021-02</c:v>
                </c:pt>
                <c:pt idx="38">
                  <c:v>2021-03</c:v>
                </c:pt>
                <c:pt idx="39">
                  <c:v>2021-04</c:v>
                </c:pt>
                <c:pt idx="40">
                  <c:v>2021-05</c:v>
                </c:pt>
                <c:pt idx="41">
                  <c:v>2021-06</c:v>
                </c:pt>
                <c:pt idx="42">
                  <c:v>2021-07</c:v>
                </c:pt>
                <c:pt idx="43">
                  <c:v>2021-08</c:v>
                </c:pt>
                <c:pt idx="44">
                  <c:v>2021-09</c:v>
                </c:pt>
                <c:pt idx="45">
                  <c:v>2021-10</c:v>
                </c:pt>
                <c:pt idx="46">
                  <c:v>2021-11</c:v>
                </c:pt>
                <c:pt idx="47">
                  <c:v>2021-12</c:v>
                </c:pt>
                <c:pt idx="48">
                  <c:v>2022-01</c:v>
                </c:pt>
                <c:pt idx="49">
                  <c:v>2022-02</c:v>
                </c:pt>
                <c:pt idx="50">
                  <c:v>2022-03</c:v>
                </c:pt>
                <c:pt idx="51">
                  <c:v>2022-04</c:v>
                </c:pt>
                <c:pt idx="52">
                  <c:v>2022-05</c:v>
                </c:pt>
                <c:pt idx="53">
                  <c:v>2022-06</c:v>
                </c:pt>
                <c:pt idx="54">
                  <c:v>2022-07</c:v>
                </c:pt>
                <c:pt idx="55">
                  <c:v>2022-08</c:v>
                </c:pt>
                <c:pt idx="56">
                  <c:v>2022-09</c:v>
                </c:pt>
                <c:pt idx="57">
                  <c:v>2022-10</c:v>
                </c:pt>
                <c:pt idx="58">
                  <c:v>2022-11</c:v>
                </c:pt>
                <c:pt idx="59">
                  <c:v>2022-12</c:v>
                </c:pt>
                <c:pt idx="60">
                  <c:v>2023-01</c:v>
                </c:pt>
                <c:pt idx="61">
                  <c:v>2023-02</c:v>
                </c:pt>
                <c:pt idx="62">
                  <c:v>2023-03</c:v>
                </c:pt>
                <c:pt idx="63">
                  <c:v>2023-04</c:v>
                </c:pt>
                <c:pt idx="64">
                  <c:v>2023-05</c:v>
                </c:pt>
                <c:pt idx="65">
                  <c:v>2023-06</c:v>
                </c:pt>
                <c:pt idx="66">
                  <c:v>2023-07</c:v>
                </c:pt>
                <c:pt idx="67">
                  <c:v>2023-08</c:v>
                </c:pt>
                <c:pt idx="68">
                  <c:v>2023-09</c:v>
                </c:pt>
                <c:pt idx="69">
                  <c:v>2023-10</c:v>
                </c:pt>
                <c:pt idx="70">
                  <c:v>2023-11</c:v>
                </c:pt>
                <c:pt idx="71">
                  <c:v>2023-12</c:v>
                </c:pt>
                <c:pt idx="72">
                  <c:v>2024-01</c:v>
                </c:pt>
                <c:pt idx="73">
                  <c:v>2024-02</c:v>
                </c:pt>
                <c:pt idx="74">
                  <c:v>2024-03</c:v>
                </c:pt>
                <c:pt idx="75">
                  <c:v>2024-04</c:v>
                </c:pt>
                <c:pt idx="76">
                  <c:v>2024-05</c:v>
                </c:pt>
                <c:pt idx="77">
                  <c:v>2024-06</c:v>
                </c:pt>
                <c:pt idx="78">
                  <c:v>2024-07</c:v>
                </c:pt>
                <c:pt idx="79">
                  <c:v>2024-08</c:v>
                </c:pt>
                <c:pt idx="80">
                  <c:v>2024-09</c:v>
                </c:pt>
                <c:pt idx="81">
                  <c:v>2024-10</c:v>
                </c:pt>
                <c:pt idx="82">
                  <c:v>2024-11</c:v>
                </c:pt>
                <c:pt idx="83">
                  <c:v>2024-12</c:v>
                </c:pt>
                <c:pt idx="84">
                  <c:v>2025-01</c:v>
                </c:pt>
                <c:pt idx="85">
                  <c:v>2025-02</c:v>
                </c:pt>
                <c:pt idx="86">
                  <c:v>2025-03</c:v>
                </c:pt>
                <c:pt idx="87">
                  <c:v>2025-04</c:v>
                </c:pt>
                <c:pt idx="88">
                  <c:v>2025-05</c:v>
                </c:pt>
                <c:pt idx="89">
                  <c:v>2025-06</c:v>
                </c:pt>
                <c:pt idx="90">
                  <c:v>2025-07</c:v>
                </c:pt>
                <c:pt idx="91">
                  <c:v>2025-08</c:v>
                </c:pt>
                <c:pt idx="92">
                  <c:v>2025-09</c:v>
                </c:pt>
                <c:pt idx="93">
                  <c:v>2025-10</c:v>
                </c:pt>
                <c:pt idx="94">
                  <c:v>2025-11</c:v>
                </c:pt>
                <c:pt idx="95">
                  <c:v>2025-12</c:v>
                </c:pt>
                <c:pt idx="96">
                  <c:v>2026-01</c:v>
                </c:pt>
                <c:pt idx="97">
                  <c:v>2026-02</c:v>
                </c:pt>
                <c:pt idx="98">
                  <c:v>2026-03</c:v>
                </c:pt>
                <c:pt idx="99">
                  <c:v>2026-04</c:v>
                </c:pt>
                <c:pt idx="100">
                  <c:v>2026-05</c:v>
                </c:pt>
              </c:strCache>
            </c:strRef>
          </c:cat>
          <c:val>
            <c:numRef>
              <c:f>'Rolling 12m %GDP'!$Y$7:$Y$131</c:f>
              <c:numCache>
                <c:formatCode>0.00%</c:formatCode>
                <c:ptCount val="125"/>
                <c:pt idx="11">
                  <c:v>0.0089440414340942</c:v>
                </c:pt>
                <c:pt idx="12">
                  <c:v>0.00913862058739695</c:v>
                </c:pt>
                <c:pt idx="13">
                  <c:v>0.00943775513607064</c:v>
                </c:pt>
                <c:pt idx="14">
                  <c:v>0.00947327575286255</c:v>
                </c:pt>
                <c:pt idx="15">
                  <c:v>0.00949556790859528</c:v>
                </c:pt>
                <c:pt idx="16">
                  <c:v>0.00951846179929448</c:v>
                </c:pt>
                <c:pt idx="17">
                  <c:v>0.00954086920510828</c:v>
                </c:pt>
                <c:pt idx="18">
                  <c:v>0.00892356355555098</c:v>
                </c:pt>
                <c:pt idx="19">
                  <c:v>0.00876876193400084</c:v>
                </c:pt>
                <c:pt idx="20">
                  <c:v>0.00861920495433364</c:v>
                </c:pt>
                <c:pt idx="21">
                  <c:v>0.00843085211312195</c:v>
                </c:pt>
                <c:pt idx="22">
                  <c:v>0.0082651913573023</c:v>
                </c:pt>
                <c:pt idx="23">
                  <c:v>0.00775414898848144</c:v>
                </c:pt>
                <c:pt idx="24">
                  <c:v>0.00775764944627347</c:v>
                </c:pt>
                <c:pt idx="25">
                  <c:v>0.00754965341507057</c:v>
                </c:pt>
                <c:pt idx="26">
                  <c:v>0.00715899606181571</c:v>
                </c:pt>
                <c:pt idx="27">
                  <c:v>0.00701326282124601</c:v>
                </c:pt>
                <c:pt idx="28">
                  <c:v>0.00671063957653571</c:v>
                </c:pt>
                <c:pt idx="29">
                  <c:v>0.00651030383263315</c:v>
                </c:pt>
                <c:pt idx="30">
                  <c:v>0.00634276911321898</c:v>
                </c:pt>
                <c:pt idx="31">
                  <c:v>0.00629711003214843</c:v>
                </c:pt>
                <c:pt idx="32">
                  <c:v>0.00616475530798742</c:v>
                </c:pt>
                <c:pt idx="33">
                  <c:v>0.00610609669601797</c:v>
                </c:pt>
                <c:pt idx="34">
                  <c:v>0.00620944148012134</c:v>
                </c:pt>
                <c:pt idx="35">
                  <c:v>0.00537619653009336</c:v>
                </c:pt>
                <c:pt idx="36">
                  <c:v>0.00555838757019735</c:v>
                </c:pt>
                <c:pt idx="37">
                  <c:v>0.00569426861342815</c:v>
                </c:pt>
                <c:pt idx="38">
                  <c:v>0.00561982417074746</c:v>
                </c:pt>
                <c:pt idx="39">
                  <c:v>0.00546382886928162</c:v>
                </c:pt>
                <c:pt idx="40">
                  <c:v>0.00552513975400058</c:v>
                </c:pt>
                <c:pt idx="41">
                  <c:v>0.00536314361271138</c:v>
                </c:pt>
                <c:pt idx="42">
                  <c:v>0.00598164785563722</c:v>
                </c:pt>
                <c:pt idx="43">
                  <c:v>0.00600358700895316</c:v>
                </c:pt>
                <c:pt idx="44">
                  <c:v>0.00590389965661258</c:v>
                </c:pt>
                <c:pt idx="45">
                  <c:v>0.00586416992074143</c:v>
                </c:pt>
                <c:pt idx="46">
                  <c:v>0.00636108710130743</c:v>
                </c:pt>
                <c:pt idx="47">
                  <c:v>0.00592983422714854</c:v>
                </c:pt>
                <c:pt idx="48">
                  <c:v>0.00615982906880129</c:v>
                </c:pt>
                <c:pt idx="49">
                  <c:v>0.00612260131691633</c:v>
                </c:pt>
                <c:pt idx="50">
                  <c:v>0.00656714944283166</c:v>
                </c:pt>
                <c:pt idx="51">
                  <c:v>0.00832768683809249</c:v>
                </c:pt>
                <c:pt idx="52">
                  <c:v>0.00986652566471397</c:v>
                </c:pt>
                <c:pt idx="53">
                  <c:v>0.0103038425568827</c:v>
                </c:pt>
                <c:pt idx="54">
                  <c:v>0.0106412882344338</c:v>
                </c:pt>
                <c:pt idx="55">
                  <c:v>0.010672005866082</c:v>
                </c:pt>
                <c:pt idx="56">
                  <c:v>0.0111168323845772</c:v>
                </c:pt>
                <c:pt idx="57">
                  <c:v>0.0114299353223036</c:v>
                </c:pt>
                <c:pt idx="58">
                  <c:v>0.0110770477221679</c:v>
                </c:pt>
                <c:pt idx="59">
                  <c:v>0.0118975086818026</c:v>
                </c:pt>
                <c:pt idx="60">
                  <c:v>0.0115597793656458</c:v>
                </c:pt>
                <c:pt idx="61">
                  <c:v>0.0113409406424087</c:v>
                </c:pt>
                <c:pt idx="62">
                  <c:v>0.0109202801186326</c:v>
                </c:pt>
                <c:pt idx="63">
                  <c:v>0.00947728337756983</c:v>
                </c:pt>
                <c:pt idx="64">
                  <c:v>0.00815185082351238</c:v>
                </c:pt>
                <c:pt idx="65">
                  <c:v>0.00802091529395255</c:v>
                </c:pt>
                <c:pt idx="66">
                  <c:v>0.00762798920768542</c:v>
                </c:pt>
                <c:pt idx="67">
                  <c:v>0.0076139346630588</c:v>
                </c:pt>
                <c:pt idx="68">
                  <c:v>0.00756194773281259</c:v>
                </c:pt>
                <c:pt idx="69">
                  <c:v>0.00769552966232387</c:v>
                </c:pt>
                <c:pt idx="70">
                  <c:v>0.0078315581608149</c:v>
                </c:pt>
                <c:pt idx="71">
                  <c:v>0.00779102424044654</c:v>
                </c:pt>
                <c:pt idx="72">
                  <c:v>0.0076459625053746</c:v>
                </c:pt>
                <c:pt idx="73">
                  <c:v>0.00756928457233999</c:v>
                </c:pt>
                <c:pt idx="74">
                  <c:v>0.00770095265206517</c:v>
                </c:pt>
                <c:pt idx="75">
                  <c:v>0.00788027215707603</c:v>
                </c:pt>
                <c:pt idx="76">
                  <c:v>0.00796068365904707</c:v>
                </c:pt>
                <c:pt idx="77">
                  <c:v>0.00776033111531471</c:v>
                </c:pt>
                <c:pt idx="78">
                  <c:v>0.00746185380273036</c:v>
                </c:pt>
                <c:pt idx="79">
                  <c:v>0.00739459696139694</c:v>
                </c:pt>
                <c:pt idx="80">
                  <c:v>0.00727010149237225</c:v>
                </c:pt>
                <c:pt idx="81">
                  <c:v>0.00705428594632854</c:v>
                </c:pt>
                <c:pt idx="82">
                  <c:v>0.00689642646654918</c:v>
                </c:pt>
                <c:pt idx="83">
                  <c:v>0.00670072087089863</c:v>
                </c:pt>
                <c:pt idx="84">
                  <c:v>0.00672243016934441</c:v>
                </c:pt>
                <c:pt idx="85">
                  <c:v>0.00643284667280619</c:v>
                </c:pt>
                <c:pt idx="86">
                  <c:v>0.00628973255616243</c:v>
                </c:pt>
                <c:pt idx="87">
                  <c:v>0.0060722460305833</c:v>
                </c:pt>
                <c:pt idx="88">
                  <c:v>0.0059196121100511</c:v>
                </c:pt>
                <c:pt idx="89">
                  <c:v>0.00588173843420948</c:v>
                </c:pt>
                <c:pt idx="90">
                  <c:v>0.00593378287946611</c:v>
                </c:pt>
                <c:pt idx="91">
                  <c:v>0.00597946948008225</c:v>
                </c:pt>
                <c:pt idx="92">
                  <c:v>0.00650705596800871</c:v>
                </c:pt>
                <c:pt idx="93">
                  <c:v>0.00660889180451234</c:v>
                </c:pt>
                <c:pt idx="94">
                  <c:v>0.0068445119283279</c:v>
                </c:pt>
                <c:pt idx="95">
                  <c:v>0.00741267505378386</c:v>
                </c:pt>
                <c:pt idx="96">
                  <c:v>0.00664872918568492</c:v>
                </c:pt>
                <c:pt idx="97">
                  <c:v>0.00585650184246461</c:v>
                </c:pt>
                <c:pt idx="98">
                  <c:v>0.00522293663324148</c:v>
                </c:pt>
                <c:pt idx="99">
                  <c:v>0.00469269550018579</c:v>
                </c:pt>
                <c:pt idx="100">
                  <c:v>0.00421340057456898</c:v>
                </c:pt>
                <c:pt idx="101">
                  <c:v>0.0038255712413576</c:v>
                </c:pt>
                <c:pt idx="102">
                  <c:v>0.00345991189896898</c:v>
                </c:pt>
                <c:pt idx="103">
                  <c:v>0.00343377755336838</c:v>
                </c:pt>
                <c:pt idx="104">
                  <c:v>0.0031256300314304</c:v>
                </c:pt>
                <c:pt idx="105">
                  <c:v>0.00303905823303896</c:v>
                </c:pt>
                <c:pt idx="106">
                  <c:v>0.00278728563706262</c:v>
                </c:pt>
                <c:pt idx="107">
                  <c:v>0.00248412920530459</c:v>
                </c:pt>
                <c:pt idx="108">
                  <c:v>0.00249967303288039</c:v>
                </c:pt>
                <c:pt idx="109">
                  <c:v>0.00260226096426206</c:v>
                </c:pt>
                <c:pt idx="110">
                  <c:v>0.00283910092621411</c:v>
                </c:pt>
                <c:pt idx="111">
                  <c:v>0.00301496402117111</c:v>
                </c:pt>
                <c:pt idx="112">
                  <c:v>0.00310642477187584</c:v>
                </c:pt>
                <c:pt idx="113">
                  <c:v>0.00327554648821735</c:v>
                </c:pt>
                <c:pt idx="114">
                  <c:v>0.00336807323495804</c:v>
                </c:pt>
                <c:pt idx="115">
                  <c:v>0.00317470449954674</c:v>
                </c:pt>
                <c:pt idx="116">
                  <c:v>0.00305657485663185</c:v>
                </c:pt>
                <c:pt idx="117">
                  <c:v>0.00295933158571588</c:v>
                </c:pt>
                <c:pt idx="118">
                  <c:v>0.00285250419964659</c:v>
                </c:pt>
                <c:pt idx="119">
                  <c:v>0.002865036434528</c:v>
                </c:pt>
                <c:pt idx="120">
                  <c:v>0.00292034926221166</c:v>
                </c:pt>
                <c:pt idx="121">
                  <c:v>0.00280582561898977</c:v>
                </c:pt>
                <c:pt idx="122">
                  <c:v>0.00256083231048437</c:v>
                </c:pt>
                <c:pt idx="123">
                  <c:v>0.00239022591712254</c:v>
                </c:pt>
                <c:pt idx="124">
                  <c:v>0.00228768433957382</c:v>
                </c:pt>
              </c:numCache>
            </c:numRef>
          </c:val>
          <c:smooth val="0"/>
        </c:ser>
        <c:ser>
          <c:idx val="4"/>
          <c:order val="4"/>
          <c:tx>
            <c:strRef>
              <c:f>'Rolling 12m %GDP'!AC6</c:f>
              <c:strCache>
                <c:ptCount val="1"/>
                <c:pt idx="0">
                  <c:v>  Capital expenditure</c:v>
                </c:pt>
              </c:strCache>
            </c:strRef>
          </c:tx>
          <c:spPr>
            <a:solidFill>
              <a:srgbClr val="1a1a1a"/>
            </a:solidFill>
            <a:ln w="21960">
              <a:solidFill>
                <a:srgbClr val="1a1a1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'Rolling 12m %GDP'!$B$31:$B$131</c:f>
              <c:strCache>
                <c:ptCount val="101"/>
                <c:pt idx="0">
                  <c:v>2018-01</c:v>
                </c:pt>
                <c:pt idx="1">
                  <c:v>2018-02</c:v>
                </c:pt>
                <c:pt idx="2">
                  <c:v>2018-03</c:v>
                </c:pt>
                <c:pt idx="3">
                  <c:v>2018-04</c:v>
                </c:pt>
                <c:pt idx="4">
                  <c:v>2018-05</c:v>
                </c:pt>
                <c:pt idx="5">
                  <c:v>2018-06</c:v>
                </c:pt>
                <c:pt idx="6">
                  <c:v>2018-07</c:v>
                </c:pt>
                <c:pt idx="7">
                  <c:v>2018-08</c:v>
                </c:pt>
                <c:pt idx="8">
                  <c:v>2018-09</c:v>
                </c:pt>
                <c:pt idx="9">
                  <c:v>2018-10</c:v>
                </c:pt>
                <c:pt idx="10">
                  <c:v>2018-11</c:v>
                </c:pt>
                <c:pt idx="11">
                  <c:v>2018-12</c:v>
                </c:pt>
                <c:pt idx="12">
                  <c:v>2019-01</c:v>
                </c:pt>
                <c:pt idx="13">
                  <c:v>2019-02</c:v>
                </c:pt>
                <c:pt idx="14">
                  <c:v>2019-03</c:v>
                </c:pt>
                <c:pt idx="15">
                  <c:v>2019-04</c:v>
                </c:pt>
                <c:pt idx="16">
                  <c:v>2019-05</c:v>
                </c:pt>
                <c:pt idx="17">
                  <c:v>2019-06</c:v>
                </c:pt>
                <c:pt idx="18">
                  <c:v>2019-07</c:v>
                </c:pt>
                <c:pt idx="19">
                  <c:v>2019-08</c:v>
                </c:pt>
                <c:pt idx="20">
                  <c:v>2019-09</c:v>
                </c:pt>
                <c:pt idx="21">
                  <c:v>2019-10</c:v>
                </c:pt>
                <c:pt idx="22">
                  <c:v>2019-11</c:v>
                </c:pt>
                <c:pt idx="23">
                  <c:v>2019-12</c:v>
                </c:pt>
                <c:pt idx="24">
                  <c:v>2020-01</c:v>
                </c:pt>
                <c:pt idx="25">
                  <c:v>2020-02</c:v>
                </c:pt>
                <c:pt idx="26">
                  <c:v>2020-03</c:v>
                </c:pt>
                <c:pt idx="27">
                  <c:v>2020-04</c:v>
                </c:pt>
                <c:pt idx="28">
                  <c:v>2020-05</c:v>
                </c:pt>
                <c:pt idx="29">
                  <c:v>2020-06</c:v>
                </c:pt>
                <c:pt idx="30">
                  <c:v>2020-07</c:v>
                </c:pt>
                <c:pt idx="31">
                  <c:v>2020-08</c:v>
                </c:pt>
                <c:pt idx="32">
                  <c:v>2020-09</c:v>
                </c:pt>
                <c:pt idx="33">
                  <c:v>2020-10</c:v>
                </c:pt>
                <c:pt idx="34">
                  <c:v>2020-11</c:v>
                </c:pt>
                <c:pt idx="35">
                  <c:v>2020-12</c:v>
                </c:pt>
                <c:pt idx="36">
                  <c:v>2021-01</c:v>
                </c:pt>
                <c:pt idx="37">
                  <c:v>2021-02</c:v>
                </c:pt>
                <c:pt idx="38">
                  <c:v>2021-03</c:v>
                </c:pt>
                <c:pt idx="39">
                  <c:v>2021-04</c:v>
                </c:pt>
                <c:pt idx="40">
                  <c:v>2021-05</c:v>
                </c:pt>
                <c:pt idx="41">
                  <c:v>2021-06</c:v>
                </c:pt>
                <c:pt idx="42">
                  <c:v>2021-07</c:v>
                </c:pt>
                <c:pt idx="43">
                  <c:v>2021-08</c:v>
                </c:pt>
                <c:pt idx="44">
                  <c:v>2021-09</c:v>
                </c:pt>
                <c:pt idx="45">
                  <c:v>2021-10</c:v>
                </c:pt>
                <c:pt idx="46">
                  <c:v>2021-11</c:v>
                </c:pt>
                <c:pt idx="47">
                  <c:v>2021-12</c:v>
                </c:pt>
                <c:pt idx="48">
                  <c:v>2022-01</c:v>
                </c:pt>
                <c:pt idx="49">
                  <c:v>2022-02</c:v>
                </c:pt>
                <c:pt idx="50">
                  <c:v>2022-03</c:v>
                </c:pt>
                <c:pt idx="51">
                  <c:v>2022-04</c:v>
                </c:pt>
                <c:pt idx="52">
                  <c:v>2022-05</c:v>
                </c:pt>
                <c:pt idx="53">
                  <c:v>2022-06</c:v>
                </c:pt>
                <c:pt idx="54">
                  <c:v>2022-07</c:v>
                </c:pt>
                <c:pt idx="55">
                  <c:v>2022-08</c:v>
                </c:pt>
                <c:pt idx="56">
                  <c:v>2022-09</c:v>
                </c:pt>
                <c:pt idx="57">
                  <c:v>2022-10</c:v>
                </c:pt>
                <c:pt idx="58">
                  <c:v>2022-11</c:v>
                </c:pt>
                <c:pt idx="59">
                  <c:v>2022-12</c:v>
                </c:pt>
                <c:pt idx="60">
                  <c:v>2023-01</c:v>
                </c:pt>
                <c:pt idx="61">
                  <c:v>2023-02</c:v>
                </c:pt>
                <c:pt idx="62">
                  <c:v>2023-03</c:v>
                </c:pt>
                <c:pt idx="63">
                  <c:v>2023-04</c:v>
                </c:pt>
                <c:pt idx="64">
                  <c:v>2023-05</c:v>
                </c:pt>
                <c:pt idx="65">
                  <c:v>2023-06</c:v>
                </c:pt>
                <c:pt idx="66">
                  <c:v>2023-07</c:v>
                </c:pt>
                <c:pt idx="67">
                  <c:v>2023-08</c:v>
                </c:pt>
                <c:pt idx="68">
                  <c:v>2023-09</c:v>
                </c:pt>
                <c:pt idx="69">
                  <c:v>2023-10</c:v>
                </c:pt>
                <c:pt idx="70">
                  <c:v>2023-11</c:v>
                </c:pt>
                <c:pt idx="71">
                  <c:v>2023-12</c:v>
                </c:pt>
                <c:pt idx="72">
                  <c:v>2024-01</c:v>
                </c:pt>
                <c:pt idx="73">
                  <c:v>2024-02</c:v>
                </c:pt>
                <c:pt idx="74">
                  <c:v>2024-03</c:v>
                </c:pt>
                <c:pt idx="75">
                  <c:v>2024-04</c:v>
                </c:pt>
                <c:pt idx="76">
                  <c:v>2024-05</c:v>
                </c:pt>
                <c:pt idx="77">
                  <c:v>2024-06</c:v>
                </c:pt>
                <c:pt idx="78">
                  <c:v>2024-07</c:v>
                </c:pt>
                <c:pt idx="79">
                  <c:v>2024-08</c:v>
                </c:pt>
                <c:pt idx="80">
                  <c:v>2024-09</c:v>
                </c:pt>
                <c:pt idx="81">
                  <c:v>2024-10</c:v>
                </c:pt>
                <c:pt idx="82">
                  <c:v>2024-11</c:v>
                </c:pt>
                <c:pt idx="83">
                  <c:v>2024-12</c:v>
                </c:pt>
                <c:pt idx="84">
                  <c:v>2025-01</c:v>
                </c:pt>
                <c:pt idx="85">
                  <c:v>2025-02</c:v>
                </c:pt>
                <c:pt idx="86">
                  <c:v>2025-03</c:v>
                </c:pt>
                <c:pt idx="87">
                  <c:v>2025-04</c:v>
                </c:pt>
                <c:pt idx="88">
                  <c:v>2025-05</c:v>
                </c:pt>
                <c:pt idx="89">
                  <c:v>2025-06</c:v>
                </c:pt>
                <c:pt idx="90">
                  <c:v>2025-07</c:v>
                </c:pt>
                <c:pt idx="91">
                  <c:v>2025-08</c:v>
                </c:pt>
                <c:pt idx="92">
                  <c:v>2025-09</c:v>
                </c:pt>
                <c:pt idx="93">
                  <c:v>2025-10</c:v>
                </c:pt>
                <c:pt idx="94">
                  <c:v>2025-11</c:v>
                </c:pt>
                <c:pt idx="95">
                  <c:v>2025-12</c:v>
                </c:pt>
                <c:pt idx="96">
                  <c:v>2026-01</c:v>
                </c:pt>
                <c:pt idx="97">
                  <c:v>2026-02</c:v>
                </c:pt>
                <c:pt idx="98">
                  <c:v>2026-03</c:v>
                </c:pt>
                <c:pt idx="99">
                  <c:v>2026-04</c:v>
                </c:pt>
                <c:pt idx="100">
                  <c:v>2026-05</c:v>
                </c:pt>
              </c:strCache>
            </c:strRef>
          </c:cat>
          <c:val>
            <c:numRef>
              <c:f>'Rolling 12m %GDP'!$AC$7:$AC$131</c:f>
              <c:numCache>
                <c:formatCode>0.00%</c:formatCode>
                <c:ptCount val="125"/>
                <c:pt idx="11">
                  <c:v>0.0221243886617859</c:v>
                </c:pt>
                <c:pt idx="12">
                  <c:v>0.0218729879681635</c:v>
                </c:pt>
                <c:pt idx="13">
                  <c:v>0.0221258005688152</c:v>
                </c:pt>
                <c:pt idx="14">
                  <c:v>0.0223085577649944</c:v>
                </c:pt>
                <c:pt idx="15">
                  <c:v>0.0227640155833</c:v>
                </c:pt>
                <c:pt idx="16">
                  <c:v>0.0226043356919556</c:v>
                </c:pt>
                <c:pt idx="17">
                  <c:v>0.0221597322698683</c:v>
                </c:pt>
                <c:pt idx="18">
                  <c:v>0.0225483021153048</c:v>
                </c:pt>
                <c:pt idx="19">
                  <c:v>0.0220818573290361</c:v>
                </c:pt>
                <c:pt idx="20">
                  <c:v>0.0219420010869073</c:v>
                </c:pt>
                <c:pt idx="21">
                  <c:v>0.0208327883281689</c:v>
                </c:pt>
                <c:pt idx="22">
                  <c:v>0.0204862585506458</c:v>
                </c:pt>
                <c:pt idx="23">
                  <c:v>0.0195063361072671</c:v>
                </c:pt>
                <c:pt idx="24">
                  <c:v>0.0184293765436203</c:v>
                </c:pt>
                <c:pt idx="25">
                  <c:v>0.017774843542399</c:v>
                </c:pt>
                <c:pt idx="26">
                  <c:v>0.0171007668313355</c:v>
                </c:pt>
                <c:pt idx="27">
                  <c:v>0.0162369658116962</c:v>
                </c:pt>
                <c:pt idx="28">
                  <c:v>0.0156392304224674</c:v>
                </c:pt>
                <c:pt idx="29">
                  <c:v>0.0150475119113512</c:v>
                </c:pt>
                <c:pt idx="30">
                  <c:v>0.0143427110137684</c:v>
                </c:pt>
                <c:pt idx="31">
                  <c:v>0.0139997493671652</c:v>
                </c:pt>
                <c:pt idx="32">
                  <c:v>0.0138552608340324</c:v>
                </c:pt>
                <c:pt idx="33">
                  <c:v>0.013956926258414</c:v>
                </c:pt>
                <c:pt idx="34">
                  <c:v>0.0139618634565351</c:v>
                </c:pt>
                <c:pt idx="35">
                  <c:v>0.0142621702375765</c:v>
                </c:pt>
                <c:pt idx="36">
                  <c:v>0.0143799583817993</c:v>
                </c:pt>
                <c:pt idx="37">
                  <c:v>0.0141255173257161</c:v>
                </c:pt>
                <c:pt idx="38">
                  <c:v>0.0138106124400257</c:v>
                </c:pt>
                <c:pt idx="39">
                  <c:v>0.0134422907033822</c:v>
                </c:pt>
                <c:pt idx="40">
                  <c:v>0.0131799722904481</c:v>
                </c:pt>
                <c:pt idx="41">
                  <c:v>0.01320019807494</c:v>
                </c:pt>
                <c:pt idx="42">
                  <c:v>0.0130292246695462</c:v>
                </c:pt>
                <c:pt idx="43">
                  <c:v>0.0128546799418481</c:v>
                </c:pt>
                <c:pt idx="44">
                  <c:v>0.0128299571970724</c:v>
                </c:pt>
                <c:pt idx="45">
                  <c:v>0.0121681314822927</c:v>
                </c:pt>
                <c:pt idx="46">
                  <c:v>0.0117832814471931</c:v>
                </c:pt>
                <c:pt idx="47">
                  <c:v>0.0109639637426602</c:v>
                </c:pt>
                <c:pt idx="48">
                  <c:v>0.0103470164480171</c:v>
                </c:pt>
                <c:pt idx="49">
                  <c:v>0.00995156911982812</c:v>
                </c:pt>
                <c:pt idx="50">
                  <c:v>0.0097028622880796</c:v>
                </c:pt>
                <c:pt idx="51">
                  <c:v>0.00988925973948493</c:v>
                </c:pt>
                <c:pt idx="52">
                  <c:v>0.0100579685866405</c:v>
                </c:pt>
                <c:pt idx="53">
                  <c:v>0.0097369151432832</c:v>
                </c:pt>
                <c:pt idx="54">
                  <c:v>0.00982801335569945</c:v>
                </c:pt>
                <c:pt idx="55">
                  <c:v>0.0095146695531976</c:v>
                </c:pt>
                <c:pt idx="56">
                  <c:v>0.00957816760692463</c:v>
                </c:pt>
                <c:pt idx="57">
                  <c:v>0.00938966665046863</c:v>
                </c:pt>
                <c:pt idx="58">
                  <c:v>0.00948825072443404</c:v>
                </c:pt>
                <c:pt idx="59">
                  <c:v>0.0102771374522227</c:v>
                </c:pt>
                <c:pt idx="60">
                  <c:v>0.0107729365208743</c:v>
                </c:pt>
                <c:pt idx="61">
                  <c:v>0.0111027019825059</c:v>
                </c:pt>
                <c:pt idx="62">
                  <c:v>0.0114456465570043</c:v>
                </c:pt>
                <c:pt idx="63">
                  <c:v>0.0116054595297176</c:v>
                </c:pt>
                <c:pt idx="64">
                  <c:v>0.0114972275483556</c:v>
                </c:pt>
                <c:pt idx="65">
                  <c:v>0.0117997781275736</c:v>
                </c:pt>
                <c:pt idx="66">
                  <c:v>0.0119284827554051</c:v>
                </c:pt>
                <c:pt idx="67">
                  <c:v>0.012083378598551</c:v>
                </c:pt>
                <c:pt idx="68">
                  <c:v>0.0121076878652452</c:v>
                </c:pt>
                <c:pt idx="69">
                  <c:v>0.0127922799954137</c:v>
                </c:pt>
                <c:pt idx="70">
                  <c:v>0.0132996898455858</c:v>
                </c:pt>
                <c:pt idx="71">
                  <c:v>0.014086345953936</c:v>
                </c:pt>
                <c:pt idx="72">
                  <c:v>0.0141213370953914</c:v>
                </c:pt>
                <c:pt idx="73">
                  <c:v>0.013943282099266</c:v>
                </c:pt>
                <c:pt idx="74">
                  <c:v>0.0139205336325939</c:v>
                </c:pt>
                <c:pt idx="75">
                  <c:v>0.0140491768926441</c:v>
                </c:pt>
                <c:pt idx="76">
                  <c:v>0.0140460493881814</c:v>
                </c:pt>
                <c:pt idx="77">
                  <c:v>0.0142804911444883</c:v>
                </c:pt>
                <c:pt idx="78">
                  <c:v>0.0141338597289531</c:v>
                </c:pt>
                <c:pt idx="79">
                  <c:v>0.0154072324634108</c:v>
                </c:pt>
                <c:pt idx="80">
                  <c:v>0.0159711457637226</c:v>
                </c:pt>
                <c:pt idx="81">
                  <c:v>0.016052457205862</c:v>
                </c:pt>
                <c:pt idx="82">
                  <c:v>0.0162541373041315</c:v>
                </c:pt>
                <c:pt idx="83">
                  <c:v>0.0160898716144872</c:v>
                </c:pt>
                <c:pt idx="84">
                  <c:v>0.0162800397563706</c:v>
                </c:pt>
                <c:pt idx="85">
                  <c:v>0.0167353512077212</c:v>
                </c:pt>
                <c:pt idx="86">
                  <c:v>0.0168035018954576</c:v>
                </c:pt>
                <c:pt idx="87">
                  <c:v>0.0166721664817436</c:v>
                </c:pt>
                <c:pt idx="88">
                  <c:v>0.0171070429416722</c:v>
                </c:pt>
                <c:pt idx="89">
                  <c:v>0.0172708243274304</c:v>
                </c:pt>
                <c:pt idx="90">
                  <c:v>0.017461082603161</c:v>
                </c:pt>
                <c:pt idx="91">
                  <c:v>0.0168315093423463</c:v>
                </c:pt>
                <c:pt idx="92">
                  <c:v>0.0170602654284175</c:v>
                </c:pt>
                <c:pt idx="93">
                  <c:v>0.0167013040635602</c:v>
                </c:pt>
                <c:pt idx="94">
                  <c:v>0.0165985801422027</c:v>
                </c:pt>
                <c:pt idx="95">
                  <c:v>0.0158309641464328</c:v>
                </c:pt>
                <c:pt idx="96">
                  <c:v>0.0138441522221496</c:v>
                </c:pt>
                <c:pt idx="97">
                  <c:v>0.0119390091927988</c:v>
                </c:pt>
                <c:pt idx="98">
                  <c:v>0.0103766246651311</c:v>
                </c:pt>
                <c:pt idx="99">
                  <c:v>0.0092214486117644</c:v>
                </c:pt>
                <c:pt idx="100">
                  <c:v>0.00817078469135242</c:v>
                </c:pt>
                <c:pt idx="101">
                  <c:v>0.00737127835625338</c:v>
                </c:pt>
                <c:pt idx="102">
                  <c:v>0.00657790278576932</c:v>
                </c:pt>
                <c:pt idx="103">
                  <c:v>0.00601317748805185</c:v>
                </c:pt>
                <c:pt idx="104">
                  <c:v>0.00542566677727914</c:v>
                </c:pt>
                <c:pt idx="105">
                  <c:v>0.00496087039721997</c:v>
                </c:pt>
                <c:pt idx="106">
                  <c:v>0.00439114697325573</c:v>
                </c:pt>
                <c:pt idx="107">
                  <c:v>0.00405424230470249</c:v>
                </c:pt>
                <c:pt idx="108">
                  <c:v>0.00402135625061116</c:v>
                </c:pt>
                <c:pt idx="109">
                  <c:v>0.00406667192268606</c:v>
                </c:pt>
                <c:pt idx="110">
                  <c:v>0.00408737570170794</c:v>
                </c:pt>
                <c:pt idx="111">
                  <c:v>0.00400036393862046</c:v>
                </c:pt>
                <c:pt idx="112">
                  <c:v>0.00385558674228682</c:v>
                </c:pt>
                <c:pt idx="113">
                  <c:v>0.00373011672750964</c:v>
                </c:pt>
                <c:pt idx="114">
                  <c:v>0.00361973771996809</c:v>
                </c:pt>
                <c:pt idx="115">
                  <c:v>0.00346968591978942</c:v>
                </c:pt>
                <c:pt idx="116">
                  <c:v>0.00359586235943124</c:v>
                </c:pt>
                <c:pt idx="117">
                  <c:v>0.00355496499535721</c:v>
                </c:pt>
                <c:pt idx="118">
                  <c:v>0.00343633134014662</c:v>
                </c:pt>
                <c:pt idx="119">
                  <c:v>0.00359707226877083</c:v>
                </c:pt>
                <c:pt idx="120">
                  <c:v>0.00348489707467286</c:v>
                </c:pt>
                <c:pt idx="121">
                  <c:v>0.00342277054023355</c:v>
                </c:pt>
                <c:pt idx="122">
                  <c:v>0.00334530109329256</c:v>
                </c:pt>
                <c:pt idx="123">
                  <c:v>0.00351122954923896</c:v>
                </c:pt>
                <c:pt idx="124">
                  <c:v>0.00341513981514257</c:v>
                </c:pt>
              </c:numCache>
            </c:numRef>
          </c:val>
          <c:smooth val="0"/>
        </c:ser>
        <c:hiLowLines>
          <c:spPr>
            <a:ln w="0">
              <a:noFill/>
            </a:ln>
          </c:spPr>
        </c:hiLowLines>
        <c:marker val="0"/>
        <c:axId val="43692625"/>
        <c:axId val="78401025"/>
      </c:lineChart>
      <c:catAx>
        <c:axId val="4369262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401025"/>
        <c:crosses val="autoZero"/>
        <c:auto val="1"/>
        <c:lblAlgn val="ctr"/>
        <c:lblOffset val="100"/>
        <c:noMultiLvlLbl val="0"/>
      </c:catAx>
      <c:valAx>
        <c:axId val="78401025"/>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69262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Interest bill and the gap between the two balances (12m, % of GDP)</a:t>
            </a:r>
          </a:p>
        </c:rich>
      </c:tx>
      <c:overlay val="0"/>
      <c:spPr>
        <a:noFill/>
        <a:ln w="0">
          <a:noFill/>
        </a:ln>
      </c:spPr>
    </c:title>
    <c:autoTitleDeleted val="0"/>
    <c:plotArea>
      <c:lineChart>
        <c:grouping val="standard"/>
        <c:varyColors val="0"/>
        <c:ser>
          <c:idx val="0"/>
          <c:order val="0"/>
          <c:tx>
            <c:strRef>
              <c:f>'Rolling 12m %GDP'!AE6</c:f>
              <c:strCache>
                <c:ptCount val="1"/>
                <c:pt idx="0">
                  <c:v>Interest (net)</c:v>
                </c:pt>
              </c:strCache>
            </c:strRef>
          </c:tx>
          <c:spPr>
            <a:solidFill>
              <a:srgbClr val="d1495b"/>
            </a:solidFill>
            <a:ln w="28080">
              <a:solidFill>
                <a:srgbClr val="d1495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'Rolling 12m %GDP'!$B$31:$B$131</c:f>
              <c:strCache>
                <c:ptCount val="101"/>
                <c:pt idx="0">
                  <c:v>2018-01</c:v>
                </c:pt>
                <c:pt idx="1">
                  <c:v>2018-02</c:v>
                </c:pt>
                <c:pt idx="2">
                  <c:v>2018-03</c:v>
                </c:pt>
                <c:pt idx="3">
                  <c:v>2018-04</c:v>
                </c:pt>
                <c:pt idx="4">
                  <c:v>2018-05</c:v>
                </c:pt>
                <c:pt idx="5">
                  <c:v>2018-06</c:v>
                </c:pt>
                <c:pt idx="6">
                  <c:v>2018-07</c:v>
                </c:pt>
                <c:pt idx="7">
                  <c:v>2018-08</c:v>
                </c:pt>
                <c:pt idx="8">
                  <c:v>2018-09</c:v>
                </c:pt>
                <c:pt idx="9">
                  <c:v>2018-10</c:v>
                </c:pt>
                <c:pt idx="10">
                  <c:v>2018-11</c:v>
                </c:pt>
                <c:pt idx="11">
                  <c:v>2018-12</c:v>
                </c:pt>
                <c:pt idx="12">
                  <c:v>2019-01</c:v>
                </c:pt>
                <c:pt idx="13">
                  <c:v>2019-02</c:v>
                </c:pt>
                <c:pt idx="14">
                  <c:v>2019-03</c:v>
                </c:pt>
                <c:pt idx="15">
                  <c:v>2019-04</c:v>
                </c:pt>
                <c:pt idx="16">
                  <c:v>2019-05</c:v>
                </c:pt>
                <c:pt idx="17">
                  <c:v>2019-06</c:v>
                </c:pt>
                <c:pt idx="18">
                  <c:v>2019-07</c:v>
                </c:pt>
                <c:pt idx="19">
                  <c:v>2019-08</c:v>
                </c:pt>
                <c:pt idx="20">
                  <c:v>2019-09</c:v>
                </c:pt>
                <c:pt idx="21">
                  <c:v>2019-10</c:v>
                </c:pt>
                <c:pt idx="22">
                  <c:v>2019-11</c:v>
                </c:pt>
                <c:pt idx="23">
                  <c:v>2019-12</c:v>
                </c:pt>
                <c:pt idx="24">
                  <c:v>2020-01</c:v>
                </c:pt>
                <c:pt idx="25">
                  <c:v>2020-02</c:v>
                </c:pt>
                <c:pt idx="26">
                  <c:v>2020-03</c:v>
                </c:pt>
                <c:pt idx="27">
                  <c:v>2020-04</c:v>
                </c:pt>
                <c:pt idx="28">
                  <c:v>2020-05</c:v>
                </c:pt>
                <c:pt idx="29">
                  <c:v>2020-06</c:v>
                </c:pt>
                <c:pt idx="30">
                  <c:v>2020-07</c:v>
                </c:pt>
                <c:pt idx="31">
                  <c:v>2020-08</c:v>
                </c:pt>
                <c:pt idx="32">
                  <c:v>2020-09</c:v>
                </c:pt>
                <c:pt idx="33">
                  <c:v>2020-10</c:v>
                </c:pt>
                <c:pt idx="34">
                  <c:v>2020-11</c:v>
                </c:pt>
                <c:pt idx="35">
                  <c:v>2020-12</c:v>
                </c:pt>
                <c:pt idx="36">
                  <c:v>2021-01</c:v>
                </c:pt>
                <c:pt idx="37">
                  <c:v>2021-02</c:v>
                </c:pt>
                <c:pt idx="38">
                  <c:v>2021-03</c:v>
                </c:pt>
                <c:pt idx="39">
                  <c:v>2021-04</c:v>
                </c:pt>
                <c:pt idx="40">
                  <c:v>2021-05</c:v>
                </c:pt>
                <c:pt idx="41">
                  <c:v>2021-06</c:v>
                </c:pt>
                <c:pt idx="42">
                  <c:v>2021-07</c:v>
                </c:pt>
                <c:pt idx="43">
                  <c:v>2021-08</c:v>
                </c:pt>
                <c:pt idx="44">
                  <c:v>2021-09</c:v>
                </c:pt>
                <c:pt idx="45">
                  <c:v>2021-10</c:v>
                </c:pt>
                <c:pt idx="46">
                  <c:v>2021-11</c:v>
                </c:pt>
                <c:pt idx="47">
                  <c:v>2021-12</c:v>
                </c:pt>
                <c:pt idx="48">
                  <c:v>2022-01</c:v>
                </c:pt>
                <c:pt idx="49">
                  <c:v>2022-02</c:v>
                </c:pt>
                <c:pt idx="50">
                  <c:v>2022-03</c:v>
                </c:pt>
                <c:pt idx="51">
                  <c:v>2022-04</c:v>
                </c:pt>
                <c:pt idx="52">
                  <c:v>2022-05</c:v>
                </c:pt>
                <c:pt idx="53">
                  <c:v>2022-06</c:v>
                </c:pt>
                <c:pt idx="54">
                  <c:v>2022-07</c:v>
                </c:pt>
                <c:pt idx="55">
                  <c:v>2022-08</c:v>
                </c:pt>
                <c:pt idx="56">
                  <c:v>2022-09</c:v>
                </c:pt>
                <c:pt idx="57">
                  <c:v>2022-10</c:v>
                </c:pt>
                <c:pt idx="58">
                  <c:v>2022-11</c:v>
                </c:pt>
                <c:pt idx="59">
                  <c:v>2022-12</c:v>
                </c:pt>
                <c:pt idx="60">
                  <c:v>2023-01</c:v>
                </c:pt>
                <c:pt idx="61">
                  <c:v>2023-02</c:v>
                </c:pt>
                <c:pt idx="62">
                  <c:v>2023-03</c:v>
                </c:pt>
                <c:pt idx="63">
                  <c:v>2023-04</c:v>
                </c:pt>
                <c:pt idx="64">
                  <c:v>2023-05</c:v>
                </c:pt>
                <c:pt idx="65">
                  <c:v>2023-06</c:v>
                </c:pt>
                <c:pt idx="66">
                  <c:v>2023-07</c:v>
                </c:pt>
                <c:pt idx="67">
                  <c:v>2023-08</c:v>
                </c:pt>
                <c:pt idx="68">
                  <c:v>2023-09</c:v>
                </c:pt>
                <c:pt idx="69">
                  <c:v>2023-10</c:v>
                </c:pt>
                <c:pt idx="70">
                  <c:v>2023-11</c:v>
                </c:pt>
                <c:pt idx="71">
                  <c:v>2023-12</c:v>
                </c:pt>
                <c:pt idx="72">
                  <c:v>2024-01</c:v>
                </c:pt>
                <c:pt idx="73">
                  <c:v>2024-02</c:v>
                </c:pt>
                <c:pt idx="74">
                  <c:v>2024-03</c:v>
                </c:pt>
                <c:pt idx="75">
                  <c:v>2024-04</c:v>
                </c:pt>
                <c:pt idx="76">
                  <c:v>2024-05</c:v>
                </c:pt>
                <c:pt idx="77">
                  <c:v>2024-06</c:v>
                </c:pt>
                <c:pt idx="78">
                  <c:v>2024-07</c:v>
                </c:pt>
                <c:pt idx="79">
                  <c:v>2024-08</c:v>
                </c:pt>
                <c:pt idx="80">
                  <c:v>2024-09</c:v>
                </c:pt>
                <c:pt idx="81">
                  <c:v>2024-10</c:v>
                </c:pt>
                <c:pt idx="82">
                  <c:v>2024-11</c:v>
                </c:pt>
                <c:pt idx="83">
                  <c:v>2024-12</c:v>
                </c:pt>
                <c:pt idx="84">
                  <c:v>2025-01</c:v>
                </c:pt>
                <c:pt idx="85">
                  <c:v>2025-02</c:v>
                </c:pt>
                <c:pt idx="86">
                  <c:v>2025-03</c:v>
                </c:pt>
                <c:pt idx="87">
                  <c:v>2025-04</c:v>
                </c:pt>
                <c:pt idx="88">
                  <c:v>2025-05</c:v>
                </c:pt>
                <c:pt idx="89">
                  <c:v>2025-06</c:v>
                </c:pt>
                <c:pt idx="90">
                  <c:v>2025-07</c:v>
                </c:pt>
                <c:pt idx="91">
                  <c:v>2025-08</c:v>
                </c:pt>
                <c:pt idx="92">
                  <c:v>2025-09</c:v>
                </c:pt>
                <c:pt idx="93">
                  <c:v>2025-10</c:v>
                </c:pt>
                <c:pt idx="94">
                  <c:v>2025-11</c:v>
                </c:pt>
                <c:pt idx="95">
                  <c:v>2025-12</c:v>
                </c:pt>
                <c:pt idx="96">
                  <c:v>2026-01</c:v>
                </c:pt>
                <c:pt idx="97">
                  <c:v>2026-02</c:v>
                </c:pt>
                <c:pt idx="98">
                  <c:v>2026-03</c:v>
                </c:pt>
                <c:pt idx="99">
                  <c:v>2026-04</c:v>
                </c:pt>
                <c:pt idx="100">
                  <c:v>2026-05</c:v>
                </c:pt>
              </c:strCache>
            </c:strRef>
          </c:cat>
          <c:val>
            <c:numRef>
              <c:f>'Rolling 12m %GDP'!$AE$7:$AE$131</c:f>
              <c:numCache>
                <c:formatCode>0.00%</c:formatCode>
                <c:ptCount val="125"/>
                <c:pt idx="11">
                  <c:v>0.0159524130637122</c:v>
                </c:pt>
                <c:pt idx="12">
                  <c:v>0.0163286887517344</c:v>
                </c:pt>
                <c:pt idx="13">
                  <c:v>0.0159025377887291</c:v>
                </c:pt>
                <c:pt idx="14">
                  <c:v>0.0161493750445248</c:v>
                </c:pt>
                <c:pt idx="15">
                  <c:v>0.0185271401064079</c:v>
                </c:pt>
                <c:pt idx="16">
                  <c:v>0.0186993902684481</c:v>
                </c:pt>
                <c:pt idx="17">
                  <c:v>0.0189954966585818</c:v>
                </c:pt>
                <c:pt idx="18">
                  <c:v>0.0193635640811365</c:v>
                </c:pt>
                <c:pt idx="19">
                  <c:v>0.0192923843285257</c:v>
                </c:pt>
                <c:pt idx="20">
                  <c:v>0.0196473779925968</c:v>
                </c:pt>
                <c:pt idx="21">
                  <c:v>0.0205722092350097</c:v>
                </c:pt>
                <c:pt idx="22">
                  <c:v>0.0210632010941002</c:v>
                </c:pt>
                <c:pt idx="23">
                  <c:v>0.0210978592165759</c:v>
                </c:pt>
                <c:pt idx="24">
                  <c:v>0.0225011140318674</c:v>
                </c:pt>
                <c:pt idx="25">
                  <c:v>0.0223444341553187</c:v>
                </c:pt>
                <c:pt idx="26">
                  <c:v>0.0223418351035077</c:v>
                </c:pt>
                <c:pt idx="27">
                  <c:v>0.0219944743446572</c:v>
                </c:pt>
                <c:pt idx="28">
                  <c:v>0.021624962883414</c:v>
                </c:pt>
                <c:pt idx="29">
                  <c:v>0.0208328757451763</c:v>
                </c:pt>
                <c:pt idx="30">
                  <c:v>0.0232246244771897</c:v>
                </c:pt>
                <c:pt idx="31">
                  <c:v>0.0224116385338758</c:v>
                </c:pt>
                <c:pt idx="32">
                  <c:v>0.0227812261956275</c:v>
                </c:pt>
                <c:pt idx="33">
                  <c:v>0.0244420394601926</c:v>
                </c:pt>
                <c:pt idx="34">
                  <c:v>0.0252912836890705</c:v>
                </c:pt>
                <c:pt idx="35">
                  <c:v>0.0263780938604851</c:v>
                </c:pt>
                <c:pt idx="36">
                  <c:v>0.0287646688760837</c:v>
                </c:pt>
                <c:pt idx="37">
                  <c:v>0.0282820205447416</c:v>
                </c:pt>
                <c:pt idx="38">
                  <c:v>0.0283442245556853</c:v>
                </c:pt>
                <c:pt idx="39">
                  <c:v>0.0294629801154764</c:v>
                </c:pt>
                <c:pt idx="40">
                  <c:v>0.0310938418731931</c:v>
                </c:pt>
                <c:pt idx="41">
                  <c:v>0.0316914572324157</c:v>
                </c:pt>
                <c:pt idx="42">
                  <c:v>0.0325678622873879</c:v>
                </c:pt>
                <c:pt idx="43">
                  <c:v>0.0328668135005477</c:v>
                </c:pt>
                <c:pt idx="44">
                  <c:v>0.0327509355749843</c:v>
                </c:pt>
                <c:pt idx="45">
                  <c:v>0.0321925296266222</c:v>
                </c:pt>
                <c:pt idx="46">
                  <c:v>0.0324285197521704</c:v>
                </c:pt>
                <c:pt idx="47">
                  <c:v>0.033596348372239</c:v>
                </c:pt>
                <c:pt idx="48">
                  <c:v>0.0330320811332685</c:v>
                </c:pt>
                <c:pt idx="49">
                  <c:v>0.0333266460680478</c:v>
                </c:pt>
                <c:pt idx="50">
                  <c:v>0.0327624029448948</c:v>
                </c:pt>
                <c:pt idx="51">
                  <c:v>0.0311052299022293</c:v>
                </c:pt>
                <c:pt idx="52">
                  <c:v>0.0305692560981449</c:v>
                </c:pt>
                <c:pt idx="53">
                  <c:v>0.0291933435798378</c:v>
                </c:pt>
                <c:pt idx="54">
                  <c:v>0.0267676832020466</c:v>
                </c:pt>
                <c:pt idx="55">
                  <c:v>0.0273936860203849</c:v>
                </c:pt>
                <c:pt idx="56">
                  <c:v>0.026627244634904</c:v>
                </c:pt>
                <c:pt idx="57">
                  <c:v>0.0244957457751416</c:v>
                </c:pt>
                <c:pt idx="58">
                  <c:v>0.0240134358837522</c:v>
                </c:pt>
                <c:pt idx="59">
                  <c:v>0.0199514409448446</c:v>
                </c:pt>
                <c:pt idx="60">
                  <c:v>0.0172376907320328</c:v>
                </c:pt>
                <c:pt idx="61">
                  <c:v>0.0168657707913939</c:v>
                </c:pt>
                <c:pt idx="62">
                  <c:v>0.0162296546340458</c:v>
                </c:pt>
                <c:pt idx="63">
                  <c:v>0.0156431207656177</c:v>
                </c:pt>
                <c:pt idx="64">
                  <c:v>0.0157116550645501</c:v>
                </c:pt>
                <c:pt idx="65">
                  <c:v>0.0154206158390322</c:v>
                </c:pt>
                <c:pt idx="66">
                  <c:v>0.0155532165244326</c:v>
                </c:pt>
                <c:pt idx="67">
                  <c:v>0.0152288170019091</c:v>
                </c:pt>
                <c:pt idx="68">
                  <c:v>0.0148322682310828</c:v>
                </c:pt>
                <c:pt idx="69">
                  <c:v>0.0150782570209008</c:v>
                </c:pt>
                <c:pt idx="70">
                  <c:v>0.0153342254775969</c:v>
                </c:pt>
                <c:pt idx="71">
                  <c:v>0.0148042961485262</c:v>
                </c:pt>
                <c:pt idx="72">
                  <c:v>0.0164515120199563</c:v>
                </c:pt>
                <c:pt idx="73">
                  <c:v>0.0161240844236861</c:v>
                </c:pt>
                <c:pt idx="74">
                  <c:v>0.0160401810777795</c:v>
                </c:pt>
                <c:pt idx="75">
                  <c:v>0.0157180676581373</c:v>
                </c:pt>
                <c:pt idx="76">
                  <c:v>0.0147933927745789</c:v>
                </c:pt>
                <c:pt idx="77">
                  <c:v>0.014408163144448</c:v>
                </c:pt>
                <c:pt idx="78">
                  <c:v>0.0147253809777203</c:v>
                </c:pt>
                <c:pt idx="79">
                  <c:v>0.0153554030684344</c:v>
                </c:pt>
                <c:pt idx="80">
                  <c:v>0.0150055517335083</c:v>
                </c:pt>
                <c:pt idx="81">
                  <c:v>0.0144133631653237</c:v>
                </c:pt>
                <c:pt idx="82">
                  <c:v>0.0161484824565868</c:v>
                </c:pt>
                <c:pt idx="83">
                  <c:v>0.0180293343824245</c:v>
                </c:pt>
                <c:pt idx="84">
                  <c:v>0.0193312098996085</c:v>
                </c:pt>
                <c:pt idx="85">
                  <c:v>0.0203863904871081</c:v>
                </c:pt>
                <c:pt idx="86">
                  <c:v>0.019816995273944</c:v>
                </c:pt>
                <c:pt idx="87">
                  <c:v>0.018749929892055</c:v>
                </c:pt>
                <c:pt idx="88">
                  <c:v>0.0203588124751553</c:v>
                </c:pt>
                <c:pt idx="89">
                  <c:v>0.0192324179583944</c:v>
                </c:pt>
                <c:pt idx="90">
                  <c:v>0.0201872841885373</c:v>
                </c:pt>
                <c:pt idx="91">
                  <c:v>0.020088214646138</c:v>
                </c:pt>
                <c:pt idx="92">
                  <c:v>0.0188532241160864</c:v>
                </c:pt>
                <c:pt idx="93">
                  <c:v>0.0176142301211686</c:v>
                </c:pt>
                <c:pt idx="94">
                  <c:v>0.0175147583532495</c:v>
                </c:pt>
                <c:pt idx="95">
                  <c:v>0.0167769791765289</c:v>
                </c:pt>
                <c:pt idx="96">
                  <c:v>0.0204127135842109</c:v>
                </c:pt>
                <c:pt idx="97">
                  <c:v>0.0208123954065489</c:v>
                </c:pt>
                <c:pt idx="98">
                  <c:v>0.0194122330279901</c:v>
                </c:pt>
                <c:pt idx="99">
                  <c:v>0.0179799332008539</c:v>
                </c:pt>
                <c:pt idx="100">
                  <c:v>0.0184425547514986</c:v>
                </c:pt>
                <c:pt idx="101">
                  <c:v>0.0171275751617649</c:v>
                </c:pt>
                <c:pt idx="102">
                  <c:v>0.0183243677952657</c:v>
                </c:pt>
                <c:pt idx="103">
                  <c:v>0.0180719423072093</c:v>
                </c:pt>
                <c:pt idx="104">
                  <c:v>0.0171676546109768</c:v>
                </c:pt>
                <c:pt idx="105">
                  <c:v>0.0161470039763469</c:v>
                </c:pt>
                <c:pt idx="106">
                  <c:v>0.0159584581324402</c:v>
                </c:pt>
                <c:pt idx="107">
                  <c:v>0.0147867281514353</c:v>
                </c:pt>
                <c:pt idx="108">
                  <c:v>0.0146752345838677</c:v>
                </c:pt>
                <c:pt idx="109">
                  <c:v>0.0140857564778398</c:v>
                </c:pt>
                <c:pt idx="110">
                  <c:v>0.0135899324116589</c:v>
                </c:pt>
                <c:pt idx="111">
                  <c:v>0.0131555926523762</c:v>
                </c:pt>
                <c:pt idx="112">
                  <c:v>0.0125661875974373</c:v>
                </c:pt>
                <c:pt idx="113">
                  <c:v>0.0121661431928982</c:v>
                </c:pt>
                <c:pt idx="114">
                  <c:v>0.0123627460736368</c:v>
                </c:pt>
                <c:pt idx="115">
                  <c:v>0.0123817001467116</c:v>
                </c:pt>
                <c:pt idx="116">
                  <c:v>0.0121094258407329</c:v>
                </c:pt>
                <c:pt idx="117">
                  <c:v>0.0119106646039692</c:v>
                </c:pt>
                <c:pt idx="118">
                  <c:v>0.0122334902101942</c:v>
                </c:pt>
                <c:pt idx="119">
                  <c:v>0.0121323431595844</c:v>
                </c:pt>
                <c:pt idx="120">
                  <c:v>0.0120671021892022</c:v>
                </c:pt>
                <c:pt idx="121">
                  <c:v>0.0122439604934663</c:v>
                </c:pt>
                <c:pt idx="122">
                  <c:v>0.0120708348836404</c:v>
                </c:pt>
                <c:pt idx="123">
                  <c:v>0.0118703931875176</c:v>
                </c:pt>
                <c:pt idx="124">
                  <c:v>0.0120001671532217</c:v>
                </c:pt>
              </c:numCache>
            </c:numRef>
          </c:val>
          <c:smooth val="0"/>
        </c:ser>
        <c:ser>
          <c:idx val="1"/>
          <c:order val="1"/>
          <c:tx>
            <c:strRef>
              <c:f>'Rolling 12m %GDP'!AD6</c:f>
              <c:strCache>
                <c:ptCount val="1"/>
                <c:pt idx="0">
                  <c:v>PRIMARY BALANCE</c:v>
                </c:pt>
              </c:strCache>
            </c:strRef>
          </c:tx>
          <c:spPr>
            <a:solidFill>
              <a:srgbClr val="4f9d69"/>
            </a:solidFill>
            <a:ln w="24120">
              <a:solidFill>
                <a:srgbClr val="4f9d69"/>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'Rolling 12m %GDP'!$B$31:$B$131</c:f>
              <c:strCache>
                <c:ptCount val="101"/>
                <c:pt idx="0">
                  <c:v>2018-01</c:v>
                </c:pt>
                <c:pt idx="1">
                  <c:v>2018-02</c:v>
                </c:pt>
                <c:pt idx="2">
                  <c:v>2018-03</c:v>
                </c:pt>
                <c:pt idx="3">
                  <c:v>2018-04</c:v>
                </c:pt>
                <c:pt idx="4">
                  <c:v>2018-05</c:v>
                </c:pt>
                <c:pt idx="5">
                  <c:v>2018-06</c:v>
                </c:pt>
                <c:pt idx="6">
                  <c:v>2018-07</c:v>
                </c:pt>
                <c:pt idx="7">
                  <c:v>2018-08</c:v>
                </c:pt>
                <c:pt idx="8">
                  <c:v>2018-09</c:v>
                </c:pt>
                <c:pt idx="9">
                  <c:v>2018-10</c:v>
                </c:pt>
                <c:pt idx="10">
                  <c:v>2018-11</c:v>
                </c:pt>
                <c:pt idx="11">
                  <c:v>2018-12</c:v>
                </c:pt>
                <c:pt idx="12">
                  <c:v>2019-01</c:v>
                </c:pt>
                <c:pt idx="13">
                  <c:v>2019-02</c:v>
                </c:pt>
                <c:pt idx="14">
                  <c:v>2019-03</c:v>
                </c:pt>
                <c:pt idx="15">
                  <c:v>2019-04</c:v>
                </c:pt>
                <c:pt idx="16">
                  <c:v>2019-05</c:v>
                </c:pt>
                <c:pt idx="17">
                  <c:v>2019-06</c:v>
                </c:pt>
                <c:pt idx="18">
                  <c:v>2019-07</c:v>
                </c:pt>
                <c:pt idx="19">
                  <c:v>2019-08</c:v>
                </c:pt>
                <c:pt idx="20">
                  <c:v>2019-09</c:v>
                </c:pt>
                <c:pt idx="21">
                  <c:v>2019-10</c:v>
                </c:pt>
                <c:pt idx="22">
                  <c:v>2019-11</c:v>
                </c:pt>
                <c:pt idx="23">
                  <c:v>2019-12</c:v>
                </c:pt>
                <c:pt idx="24">
                  <c:v>2020-01</c:v>
                </c:pt>
                <c:pt idx="25">
                  <c:v>2020-02</c:v>
                </c:pt>
                <c:pt idx="26">
                  <c:v>2020-03</c:v>
                </c:pt>
                <c:pt idx="27">
                  <c:v>2020-04</c:v>
                </c:pt>
                <c:pt idx="28">
                  <c:v>2020-05</c:v>
                </c:pt>
                <c:pt idx="29">
                  <c:v>2020-06</c:v>
                </c:pt>
                <c:pt idx="30">
                  <c:v>2020-07</c:v>
                </c:pt>
                <c:pt idx="31">
                  <c:v>2020-08</c:v>
                </c:pt>
                <c:pt idx="32">
                  <c:v>2020-09</c:v>
                </c:pt>
                <c:pt idx="33">
                  <c:v>2020-10</c:v>
                </c:pt>
                <c:pt idx="34">
                  <c:v>2020-11</c:v>
                </c:pt>
                <c:pt idx="35">
                  <c:v>2020-12</c:v>
                </c:pt>
                <c:pt idx="36">
                  <c:v>2021-01</c:v>
                </c:pt>
                <c:pt idx="37">
                  <c:v>2021-02</c:v>
                </c:pt>
                <c:pt idx="38">
                  <c:v>2021-03</c:v>
                </c:pt>
                <c:pt idx="39">
                  <c:v>2021-04</c:v>
                </c:pt>
                <c:pt idx="40">
                  <c:v>2021-05</c:v>
                </c:pt>
                <c:pt idx="41">
                  <c:v>2021-06</c:v>
                </c:pt>
                <c:pt idx="42">
                  <c:v>2021-07</c:v>
                </c:pt>
                <c:pt idx="43">
                  <c:v>2021-08</c:v>
                </c:pt>
                <c:pt idx="44">
                  <c:v>2021-09</c:v>
                </c:pt>
                <c:pt idx="45">
                  <c:v>2021-10</c:v>
                </c:pt>
                <c:pt idx="46">
                  <c:v>2021-11</c:v>
                </c:pt>
                <c:pt idx="47">
                  <c:v>2021-12</c:v>
                </c:pt>
                <c:pt idx="48">
                  <c:v>2022-01</c:v>
                </c:pt>
                <c:pt idx="49">
                  <c:v>2022-02</c:v>
                </c:pt>
                <c:pt idx="50">
                  <c:v>2022-03</c:v>
                </c:pt>
                <c:pt idx="51">
                  <c:v>2022-04</c:v>
                </c:pt>
                <c:pt idx="52">
                  <c:v>2022-05</c:v>
                </c:pt>
                <c:pt idx="53">
                  <c:v>2022-06</c:v>
                </c:pt>
                <c:pt idx="54">
                  <c:v>2022-07</c:v>
                </c:pt>
                <c:pt idx="55">
                  <c:v>2022-08</c:v>
                </c:pt>
                <c:pt idx="56">
                  <c:v>2022-09</c:v>
                </c:pt>
                <c:pt idx="57">
                  <c:v>2022-10</c:v>
                </c:pt>
                <c:pt idx="58">
                  <c:v>2022-11</c:v>
                </c:pt>
                <c:pt idx="59">
                  <c:v>2022-12</c:v>
                </c:pt>
                <c:pt idx="60">
                  <c:v>2023-01</c:v>
                </c:pt>
                <c:pt idx="61">
                  <c:v>2023-02</c:v>
                </c:pt>
                <c:pt idx="62">
                  <c:v>2023-03</c:v>
                </c:pt>
                <c:pt idx="63">
                  <c:v>2023-04</c:v>
                </c:pt>
                <c:pt idx="64">
                  <c:v>2023-05</c:v>
                </c:pt>
                <c:pt idx="65">
                  <c:v>2023-06</c:v>
                </c:pt>
                <c:pt idx="66">
                  <c:v>2023-07</c:v>
                </c:pt>
                <c:pt idx="67">
                  <c:v>2023-08</c:v>
                </c:pt>
                <c:pt idx="68">
                  <c:v>2023-09</c:v>
                </c:pt>
                <c:pt idx="69">
                  <c:v>2023-10</c:v>
                </c:pt>
                <c:pt idx="70">
                  <c:v>2023-11</c:v>
                </c:pt>
                <c:pt idx="71">
                  <c:v>2023-12</c:v>
                </c:pt>
                <c:pt idx="72">
                  <c:v>2024-01</c:v>
                </c:pt>
                <c:pt idx="73">
                  <c:v>2024-02</c:v>
                </c:pt>
                <c:pt idx="74">
                  <c:v>2024-03</c:v>
                </c:pt>
                <c:pt idx="75">
                  <c:v>2024-04</c:v>
                </c:pt>
                <c:pt idx="76">
                  <c:v>2024-05</c:v>
                </c:pt>
                <c:pt idx="77">
                  <c:v>2024-06</c:v>
                </c:pt>
                <c:pt idx="78">
                  <c:v>2024-07</c:v>
                </c:pt>
                <c:pt idx="79">
                  <c:v>2024-08</c:v>
                </c:pt>
                <c:pt idx="80">
                  <c:v>2024-09</c:v>
                </c:pt>
                <c:pt idx="81">
                  <c:v>2024-10</c:v>
                </c:pt>
                <c:pt idx="82">
                  <c:v>2024-11</c:v>
                </c:pt>
                <c:pt idx="83">
                  <c:v>2024-12</c:v>
                </c:pt>
                <c:pt idx="84">
                  <c:v>2025-01</c:v>
                </c:pt>
                <c:pt idx="85">
                  <c:v>2025-02</c:v>
                </c:pt>
                <c:pt idx="86">
                  <c:v>2025-03</c:v>
                </c:pt>
                <c:pt idx="87">
                  <c:v>2025-04</c:v>
                </c:pt>
                <c:pt idx="88">
                  <c:v>2025-05</c:v>
                </c:pt>
                <c:pt idx="89">
                  <c:v>2025-06</c:v>
                </c:pt>
                <c:pt idx="90">
                  <c:v>2025-07</c:v>
                </c:pt>
                <c:pt idx="91">
                  <c:v>2025-08</c:v>
                </c:pt>
                <c:pt idx="92">
                  <c:v>2025-09</c:v>
                </c:pt>
                <c:pt idx="93">
                  <c:v>2025-10</c:v>
                </c:pt>
                <c:pt idx="94">
                  <c:v>2025-11</c:v>
                </c:pt>
                <c:pt idx="95">
                  <c:v>2025-12</c:v>
                </c:pt>
                <c:pt idx="96">
                  <c:v>2026-01</c:v>
                </c:pt>
                <c:pt idx="97">
                  <c:v>2026-02</c:v>
                </c:pt>
                <c:pt idx="98">
                  <c:v>2026-03</c:v>
                </c:pt>
                <c:pt idx="99">
                  <c:v>2026-04</c:v>
                </c:pt>
                <c:pt idx="100">
                  <c:v>2026-05</c:v>
                </c:pt>
              </c:strCache>
            </c:strRef>
          </c:cat>
          <c:val>
            <c:numRef>
              <c:f>'Rolling 12m %GDP'!$AD$7:$AD$131</c:f>
              <c:numCache>
                <c:formatCode>0.00%</c:formatCode>
                <c:ptCount val="125"/>
                <c:pt idx="11">
                  <c:v>-0.0417497980732648</c:v>
                </c:pt>
                <c:pt idx="12">
                  <c:v>-0.0404675044125253</c:v>
                </c:pt>
                <c:pt idx="13">
                  <c:v>-0.0407704838597587</c:v>
                </c:pt>
                <c:pt idx="14">
                  <c:v>-0.0385758380424023</c:v>
                </c:pt>
                <c:pt idx="15">
                  <c:v>-0.0386822257313878</c:v>
                </c:pt>
                <c:pt idx="16">
                  <c:v>-0.0396186860282216</c:v>
                </c:pt>
                <c:pt idx="17">
                  <c:v>-0.0402270574397738</c:v>
                </c:pt>
                <c:pt idx="18">
                  <c:v>-0.0391200646987675</c:v>
                </c:pt>
                <c:pt idx="19">
                  <c:v>-0.037139040245613</c:v>
                </c:pt>
                <c:pt idx="20">
                  <c:v>-0.0357395295316448</c:v>
                </c:pt>
                <c:pt idx="21">
                  <c:v>-0.032076344515757</c:v>
                </c:pt>
                <c:pt idx="22">
                  <c:v>-0.0329453193414222</c:v>
                </c:pt>
                <c:pt idx="23">
                  <c:v>-0.0379112886929974</c:v>
                </c:pt>
                <c:pt idx="24">
                  <c:v>-0.0369975623197944</c:v>
                </c:pt>
                <c:pt idx="25">
                  <c:v>-0.035530905740047</c:v>
                </c:pt>
                <c:pt idx="26">
                  <c:v>-0.0343496436038578</c:v>
                </c:pt>
                <c:pt idx="27">
                  <c:v>-0.0327469660086277</c:v>
                </c:pt>
                <c:pt idx="28">
                  <c:v>-0.0302573915634214</c:v>
                </c:pt>
                <c:pt idx="29">
                  <c:v>-0.0294127935919368</c:v>
                </c:pt>
                <c:pt idx="30">
                  <c:v>-0.02803383312444</c:v>
                </c:pt>
                <c:pt idx="31">
                  <c:v>-0.0262136326832915</c:v>
                </c:pt>
                <c:pt idx="32">
                  <c:v>-0.0248708567603762</c:v>
                </c:pt>
                <c:pt idx="33">
                  <c:v>-0.0229966815704736</c:v>
                </c:pt>
                <c:pt idx="34">
                  <c:v>-0.0225870154356291</c:v>
                </c:pt>
                <c:pt idx="35">
                  <c:v>-0.0229902578893512</c:v>
                </c:pt>
                <c:pt idx="36">
                  <c:v>-0.0215335377110934</c:v>
                </c:pt>
                <c:pt idx="37">
                  <c:v>-0.0192410825956343</c:v>
                </c:pt>
                <c:pt idx="38">
                  <c:v>-0.0186008211994118</c:v>
                </c:pt>
                <c:pt idx="39">
                  <c:v>-0.0173509372078464</c:v>
                </c:pt>
                <c:pt idx="40">
                  <c:v>-0.0147850140521288</c:v>
                </c:pt>
                <c:pt idx="41">
                  <c:v>-0.0114642857945569</c:v>
                </c:pt>
                <c:pt idx="42">
                  <c:v>-0.0100904767020785</c:v>
                </c:pt>
                <c:pt idx="43">
                  <c:v>-0.00850344562076782</c:v>
                </c:pt>
                <c:pt idx="44">
                  <c:v>-0.00836530106459389</c:v>
                </c:pt>
                <c:pt idx="45">
                  <c:v>-0.00683576335370147</c:v>
                </c:pt>
                <c:pt idx="46">
                  <c:v>-0.00528710807075142</c:v>
                </c:pt>
                <c:pt idx="47">
                  <c:v>-0.00441219224085459</c:v>
                </c:pt>
                <c:pt idx="48">
                  <c:v>-0.00519527059129884</c:v>
                </c:pt>
                <c:pt idx="49">
                  <c:v>-0.00654081668174568</c:v>
                </c:pt>
                <c:pt idx="50">
                  <c:v>-0.0111555822880116</c:v>
                </c:pt>
                <c:pt idx="51">
                  <c:v>-0.020670708462954</c:v>
                </c:pt>
                <c:pt idx="52">
                  <c:v>-0.032124933746214</c:v>
                </c:pt>
                <c:pt idx="53">
                  <c:v>-0.042060602942391</c:v>
                </c:pt>
                <c:pt idx="54">
                  <c:v>-0.0479438822885019</c:v>
                </c:pt>
                <c:pt idx="55">
                  <c:v>-0.0512282733141229</c:v>
                </c:pt>
                <c:pt idx="56">
                  <c:v>-0.0558108603937922</c:v>
                </c:pt>
                <c:pt idx="57">
                  <c:v>-0.0581846250972671</c:v>
                </c:pt>
                <c:pt idx="58">
                  <c:v>-0.0589152366489504</c:v>
                </c:pt>
                <c:pt idx="59">
                  <c:v>-0.064313485964464</c:v>
                </c:pt>
                <c:pt idx="60">
                  <c:v>-0.061469616501183</c:v>
                </c:pt>
                <c:pt idx="61">
                  <c:v>-0.0591669631289953</c:v>
                </c:pt>
                <c:pt idx="62">
                  <c:v>-0.0551502448727496</c:v>
                </c:pt>
                <c:pt idx="63">
                  <c:v>-0.0454332815822256</c:v>
                </c:pt>
                <c:pt idx="64">
                  <c:v>-0.0345697111664781</c:v>
                </c:pt>
                <c:pt idx="65">
                  <c:v>-0.0298937805427614</c:v>
                </c:pt>
                <c:pt idx="66">
                  <c:v>-0.027022241415282</c:v>
                </c:pt>
                <c:pt idx="67">
                  <c:v>-0.0268072124678975</c:v>
                </c:pt>
                <c:pt idx="68">
                  <c:v>-0.0144419091889895</c:v>
                </c:pt>
                <c:pt idx="69">
                  <c:v>-0.0168381906024503</c:v>
                </c:pt>
                <c:pt idx="70">
                  <c:v>-0.0178524891257905</c:v>
                </c:pt>
                <c:pt idx="71">
                  <c:v>-0.0212085555478717</c:v>
                </c:pt>
                <c:pt idx="72">
                  <c:v>-0.0212326222887786</c:v>
                </c:pt>
                <c:pt idx="73">
                  <c:v>-0.0215719700036265</c:v>
                </c:pt>
                <c:pt idx="74">
                  <c:v>-0.0211829451547904</c:v>
                </c:pt>
                <c:pt idx="75">
                  <c:v>-0.0214778435493888</c:v>
                </c:pt>
                <c:pt idx="76">
                  <c:v>-0.0237458480684759</c:v>
                </c:pt>
                <c:pt idx="77">
                  <c:v>-0.0253868420604395</c:v>
                </c:pt>
                <c:pt idx="78">
                  <c:v>-0.0226073562130953</c:v>
                </c:pt>
                <c:pt idx="79">
                  <c:v>-0.022745995849143</c:v>
                </c:pt>
                <c:pt idx="80">
                  <c:v>-0.0245757231014615</c:v>
                </c:pt>
                <c:pt idx="81">
                  <c:v>-0.0218598991796385</c:v>
                </c:pt>
                <c:pt idx="82">
                  <c:v>-0.021886381883349</c:v>
                </c:pt>
                <c:pt idx="83">
                  <c:v>-0.0200428219859384</c:v>
                </c:pt>
                <c:pt idx="84">
                  <c:v>-0.0210885479844946</c:v>
                </c:pt>
                <c:pt idx="85">
                  <c:v>-0.0215613130039416</c:v>
                </c:pt>
                <c:pt idx="86">
                  <c:v>-0.0219449055895504</c:v>
                </c:pt>
                <c:pt idx="87">
                  <c:v>-0.0230855797540914</c:v>
                </c:pt>
                <c:pt idx="88">
                  <c:v>-0.0224693197733299</c:v>
                </c:pt>
                <c:pt idx="89">
                  <c:v>-0.0234671074789336</c:v>
                </c:pt>
                <c:pt idx="90">
                  <c:v>-0.0244624869574135</c:v>
                </c:pt>
                <c:pt idx="91">
                  <c:v>-0.0214286906945812</c:v>
                </c:pt>
                <c:pt idx="92">
                  <c:v>-0.0228800784680543</c:v>
                </c:pt>
                <c:pt idx="93">
                  <c:v>-0.022469369781336</c:v>
                </c:pt>
                <c:pt idx="94">
                  <c:v>-0.0205003424017014</c:v>
                </c:pt>
                <c:pt idx="95">
                  <c:v>-0.0266292227919494</c:v>
                </c:pt>
                <c:pt idx="96">
                  <c:v>-0.0136479242632869</c:v>
                </c:pt>
                <c:pt idx="97">
                  <c:v>-0.00613887579258401</c:v>
                </c:pt>
                <c:pt idx="98">
                  <c:v>-0.00223483552983248</c:v>
                </c:pt>
                <c:pt idx="99">
                  <c:v>-3.33160871185499E-005</c:v>
                </c:pt>
                <c:pt idx="100">
                  <c:v>0.00763904905549198</c:v>
                </c:pt>
                <c:pt idx="101">
                  <c:v>0.00988733991015187</c:v>
                </c:pt>
                <c:pt idx="102">
                  <c:v>0.0120885065940057</c:v>
                </c:pt>
                <c:pt idx="103">
                  <c:v>0.0132210031731085</c:v>
                </c:pt>
                <c:pt idx="104">
                  <c:v>0.0147265088673112</c:v>
                </c:pt>
                <c:pt idx="105">
                  <c:v>0.015777257164324</c:v>
                </c:pt>
                <c:pt idx="106">
                  <c:v>0.0176311761299245</c:v>
                </c:pt>
                <c:pt idx="107">
                  <c:v>0.0178066741224438</c:v>
                </c:pt>
                <c:pt idx="108">
                  <c:v>0.0176909324182118</c:v>
                </c:pt>
                <c:pt idx="109">
                  <c:v>0.0169463655582493</c:v>
                </c:pt>
                <c:pt idx="110">
                  <c:v>0.0165360378591884</c:v>
                </c:pt>
                <c:pt idx="111">
                  <c:v>0.0168122593832077</c:v>
                </c:pt>
                <c:pt idx="112">
                  <c:v>0.0153647874862185</c:v>
                </c:pt>
                <c:pt idx="113">
                  <c:v>0.0153091540392814</c:v>
                </c:pt>
                <c:pt idx="114">
                  <c:v>0.0159927666806407</c:v>
                </c:pt>
                <c:pt idx="115">
                  <c:v>0.016416459220593</c:v>
                </c:pt>
                <c:pt idx="116">
                  <c:v>0.0158413480416535</c:v>
                </c:pt>
                <c:pt idx="117">
                  <c:v>0.0155428121848654</c:v>
                </c:pt>
                <c:pt idx="118">
                  <c:v>0.016071506203971</c:v>
                </c:pt>
                <c:pt idx="119">
                  <c:v>0.0138422325378931</c:v>
                </c:pt>
                <c:pt idx="120">
                  <c:v>0.0143185479112872</c:v>
                </c:pt>
                <c:pt idx="121">
                  <c:v>0.0142577781796478</c:v>
                </c:pt>
                <c:pt idx="122">
                  <c:v>0.0141325385967458</c:v>
                </c:pt>
                <c:pt idx="123">
                  <c:v>0.0135555872988774</c:v>
                </c:pt>
                <c:pt idx="124">
                  <c:v>0.0134514597632155</c:v>
                </c:pt>
              </c:numCache>
            </c:numRef>
          </c:val>
          <c:smooth val="0"/>
        </c:ser>
        <c:ser>
          <c:idx val="2"/>
          <c:order val="2"/>
          <c:tx>
            <c:strRef>
              <c:f>'Rolling 12m %GDP'!AF6</c:f>
              <c:strCache>
                <c:ptCount val="1"/>
                <c:pt idx="0">
                  <c:v>OVERALL BALANCE</c:v>
                </c:pt>
              </c:strCache>
            </c:strRef>
          </c:tx>
          <c:spPr>
            <a:solidFill>
              <a:srgbClr val="1a1a1a"/>
            </a:solidFill>
            <a:ln w="24120">
              <a:solidFill>
                <a:srgbClr val="1a1a1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'Rolling 12m %GDP'!$B$31:$B$131</c:f>
              <c:strCache>
                <c:ptCount val="101"/>
                <c:pt idx="0">
                  <c:v>2018-01</c:v>
                </c:pt>
                <c:pt idx="1">
                  <c:v>2018-02</c:v>
                </c:pt>
                <c:pt idx="2">
                  <c:v>2018-03</c:v>
                </c:pt>
                <c:pt idx="3">
                  <c:v>2018-04</c:v>
                </c:pt>
                <c:pt idx="4">
                  <c:v>2018-05</c:v>
                </c:pt>
                <c:pt idx="5">
                  <c:v>2018-06</c:v>
                </c:pt>
                <c:pt idx="6">
                  <c:v>2018-07</c:v>
                </c:pt>
                <c:pt idx="7">
                  <c:v>2018-08</c:v>
                </c:pt>
                <c:pt idx="8">
                  <c:v>2018-09</c:v>
                </c:pt>
                <c:pt idx="9">
                  <c:v>2018-10</c:v>
                </c:pt>
                <c:pt idx="10">
                  <c:v>2018-11</c:v>
                </c:pt>
                <c:pt idx="11">
                  <c:v>2018-12</c:v>
                </c:pt>
                <c:pt idx="12">
                  <c:v>2019-01</c:v>
                </c:pt>
                <c:pt idx="13">
                  <c:v>2019-02</c:v>
                </c:pt>
                <c:pt idx="14">
                  <c:v>2019-03</c:v>
                </c:pt>
                <c:pt idx="15">
                  <c:v>2019-04</c:v>
                </c:pt>
                <c:pt idx="16">
                  <c:v>2019-05</c:v>
                </c:pt>
                <c:pt idx="17">
                  <c:v>2019-06</c:v>
                </c:pt>
                <c:pt idx="18">
                  <c:v>2019-07</c:v>
                </c:pt>
                <c:pt idx="19">
                  <c:v>2019-08</c:v>
                </c:pt>
                <c:pt idx="20">
                  <c:v>2019-09</c:v>
                </c:pt>
                <c:pt idx="21">
                  <c:v>2019-10</c:v>
                </c:pt>
                <c:pt idx="22">
                  <c:v>2019-11</c:v>
                </c:pt>
                <c:pt idx="23">
                  <c:v>2019-12</c:v>
                </c:pt>
                <c:pt idx="24">
                  <c:v>2020-01</c:v>
                </c:pt>
                <c:pt idx="25">
                  <c:v>2020-02</c:v>
                </c:pt>
                <c:pt idx="26">
                  <c:v>2020-03</c:v>
                </c:pt>
                <c:pt idx="27">
                  <c:v>2020-04</c:v>
                </c:pt>
                <c:pt idx="28">
                  <c:v>2020-05</c:v>
                </c:pt>
                <c:pt idx="29">
                  <c:v>2020-06</c:v>
                </c:pt>
                <c:pt idx="30">
                  <c:v>2020-07</c:v>
                </c:pt>
                <c:pt idx="31">
                  <c:v>2020-08</c:v>
                </c:pt>
                <c:pt idx="32">
                  <c:v>2020-09</c:v>
                </c:pt>
                <c:pt idx="33">
                  <c:v>2020-10</c:v>
                </c:pt>
                <c:pt idx="34">
                  <c:v>2020-11</c:v>
                </c:pt>
                <c:pt idx="35">
                  <c:v>2020-12</c:v>
                </c:pt>
                <c:pt idx="36">
                  <c:v>2021-01</c:v>
                </c:pt>
                <c:pt idx="37">
                  <c:v>2021-02</c:v>
                </c:pt>
                <c:pt idx="38">
                  <c:v>2021-03</c:v>
                </c:pt>
                <c:pt idx="39">
                  <c:v>2021-04</c:v>
                </c:pt>
                <c:pt idx="40">
                  <c:v>2021-05</c:v>
                </c:pt>
                <c:pt idx="41">
                  <c:v>2021-06</c:v>
                </c:pt>
                <c:pt idx="42">
                  <c:v>2021-07</c:v>
                </c:pt>
                <c:pt idx="43">
                  <c:v>2021-08</c:v>
                </c:pt>
                <c:pt idx="44">
                  <c:v>2021-09</c:v>
                </c:pt>
                <c:pt idx="45">
                  <c:v>2021-10</c:v>
                </c:pt>
                <c:pt idx="46">
                  <c:v>2021-11</c:v>
                </c:pt>
                <c:pt idx="47">
                  <c:v>2021-12</c:v>
                </c:pt>
                <c:pt idx="48">
                  <c:v>2022-01</c:v>
                </c:pt>
                <c:pt idx="49">
                  <c:v>2022-02</c:v>
                </c:pt>
                <c:pt idx="50">
                  <c:v>2022-03</c:v>
                </c:pt>
                <c:pt idx="51">
                  <c:v>2022-04</c:v>
                </c:pt>
                <c:pt idx="52">
                  <c:v>2022-05</c:v>
                </c:pt>
                <c:pt idx="53">
                  <c:v>2022-06</c:v>
                </c:pt>
                <c:pt idx="54">
                  <c:v>2022-07</c:v>
                </c:pt>
                <c:pt idx="55">
                  <c:v>2022-08</c:v>
                </c:pt>
                <c:pt idx="56">
                  <c:v>2022-09</c:v>
                </c:pt>
                <c:pt idx="57">
                  <c:v>2022-10</c:v>
                </c:pt>
                <c:pt idx="58">
                  <c:v>2022-11</c:v>
                </c:pt>
                <c:pt idx="59">
                  <c:v>2022-12</c:v>
                </c:pt>
                <c:pt idx="60">
                  <c:v>2023-01</c:v>
                </c:pt>
                <c:pt idx="61">
                  <c:v>2023-02</c:v>
                </c:pt>
                <c:pt idx="62">
                  <c:v>2023-03</c:v>
                </c:pt>
                <c:pt idx="63">
                  <c:v>2023-04</c:v>
                </c:pt>
                <c:pt idx="64">
                  <c:v>2023-05</c:v>
                </c:pt>
                <c:pt idx="65">
                  <c:v>2023-06</c:v>
                </c:pt>
                <c:pt idx="66">
                  <c:v>2023-07</c:v>
                </c:pt>
                <c:pt idx="67">
                  <c:v>2023-08</c:v>
                </c:pt>
                <c:pt idx="68">
                  <c:v>2023-09</c:v>
                </c:pt>
                <c:pt idx="69">
                  <c:v>2023-10</c:v>
                </c:pt>
                <c:pt idx="70">
                  <c:v>2023-11</c:v>
                </c:pt>
                <c:pt idx="71">
                  <c:v>2023-12</c:v>
                </c:pt>
                <c:pt idx="72">
                  <c:v>2024-01</c:v>
                </c:pt>
                <c:pt idx="73">
                  <c:v>2024-02</c:v>
                </c:pt>
                <c:pt idx="74">
                  <c:v>2024-03</c:v>
                </c:pt>
                <c:pt idx="75">
                  <c:v>2024-04</c:v>
                </c:pt>
                <c:pt idx="76">
                  <c:v>2024-05</c:v>
                </c:pt>
                <c:pt idx="77">
                  <c:v>2024-06</c:v>
                </c:pt>
                <c:pt idx="78">
                  <c:v>2024-07</c:v>
                </c:pt>
                <c:pt idx="79">
                  <c:v>2024-08</c:v>
                </c:pt>
                <c:pt idx="80">
                  <c:v>2024-09</c:v>
                </c:pt>
                <c:pt idx="81">
                  <c:v>2024-10</c:v>
                </c:pt>
                <c:pt idx="82">
                  <c:v>2024-11</c:v>
                </c:pt>
                <c:pt idx="83">
                  <c:v>2024-12</c:v>
                </c:pt>
                <c:pt idx="84">
                  <c:v>2025-01</c:v>
                </c:pt>
                <c:pt idx="85">
                  <c:v>2025-02</c:v>
                </c:pt>
                <c:pt idx="86">
                  <c:v>2025-03</c:v>
                </c:pt>
                <c:pt idx="87">
                  <c:v>2025-04</c:v>
                </c:pt>
                <c:pt idx="88">
                  <c:v>2025-05</c:v>
                </c:pt>
                <c:pt idx="89">
                  <c:v>2025-06</c:v>
                </c:pt>
                <c:pt idx="90">
                  <c:v>2025-07</c:v>
                </c:pt>
                <c:pt idx="91">
                  <c:v>2025-08</c:v>
                </c:pt>
                <c:pt idx="92">
                  <c:v>2025-09</c:v>
                </c:pt>
                <c:pt idx="93">
                  <c:v>2025-10</c:v>
                </c:pt>
                <c:pt idx="94">
                  <c:v>2025-11</c:v>
                </c:pt>
                <c:pt idx="95">
                  <c:v>2025-12</c:v>
                </c:pt>
                <c:pt idx="96">
                  <c:v>2026-01</c:v>
                </c:pt>
                <c:pt idx="97">
                  <c:v>2026-02</c:v>
                </c:pt>
                <c:pt idx="98">
                  <c:v>2026-03</c:v>
                </c:pt>
                <c:pt idx="99">
                  <c:v>2026-04</c:v>
                </c:pt>
                <c:pt idx="100">
                  <c:v>2026-05</c:v>
                </c:pt>
              </c:strCache>
            </c:strRef>
          </c:cat>
          <c:val>
            <c:numRef>
              <c:f>'Rolling 12m %GDP'!$AF$7:$AF$131</c:f>
              <c:numCache>
                <c:formatCode>0.00%</c:formatCode>
                <c:ptCount val="125"/>
                <c:pt idx="11">
                  <c:v>-0.057702454204699</c:v>
                </c:pt>
                <c:pt idx="12">
                  <c:v>-0.0567964307346599</c:v>
                </c:pt>
                <c:pt idx="13">
                  <c:v>-0.056673137875568</c:v>
                </c:pt>
                <c:pt idx="14">
                  <c:v>-0.0547253268950669</c:v>
                </c:pt>
                <c:pt idx="15">
                  <c:v>-0.0572093658377956</c:v>
                </c:pt>
                <c:pt idx="16">
                  <c:v>-0.0583179668500646</c:v>
                </c:pt>
                <c:pt idx="17">
                  <c:v>-0.0592224468324953</c:v>
                </c:pt>
                <c:pt idx="18">
                  <c:v>-0.058483523828906</c:v>
                </c:pt>
                <c:pt idx="19">
                  <c:v>-0.0564313219747198</c:v>
                </c:pt>
                <c:pt idx="20">
                  <c:v>-0.0553868072216191</c:v>
                </c:pt>
                <c:pt idx="21">
                  <c:v>-0.0526484556411683</c:v>
                </c:pt>
                <c:pt idx="22">
                  <c:v>-0.0540084244703621</c:v>
                </c:pt>
                <c:pt idx="23">
                  <c:v>-0.0590090541029536</c:v>
                </c:pt>
                <c:pt idx="24">
                  <c:v>-0.059498584728406</c:v>
                </c:pt>
                <c:pt idx="25">
                  <c:v>-0.0578752504603907</c:v>
                </c:pt>
                <c:pt idx="26">
                  <c:v>-0.0566913914812517</c:v>
                </c:pt>
                <c:pt idx="27">
                  <c:v>-0.0547413554017027</c:v>
                </c:pt>
                <c:pt idx="28">
                  <c:v>-0.0518822717892396</c:v>
                </c:pt>
                <c:pt idx="29">
                  <c:v>-0.0502455889044049</c:v>
                </c:pt>
                <c:pt idx="30">
                  <c:v>-0.0512583792668253</c:v>
                </c:pt>
                <c:pt idx="31">
                  <c:v>-0.0486252712171673</c:v>
                </c:pt>
                <c:pt idx="32">
                  <c:v>-0.0476520829560037</c:v>
                </c:pt>
                <c:pt idx="33">
                  <c:v>-0.0474387210306662</c:v>
                </c:pt>
                <c:pt idx="34">
                  <c:v>-0.0478782991246996</c:v>
                </c:pt>
                <c:pt idx="35">
                  <c:v>-0.0493683517498362</c:v>
                </c:pt>
                <c:pt idx="36">
                  <c:v>-0.0502982065871772</c:v>
                </c:pt>
                <c:pt idx="37">
                  <c:v>-0.0475231031403759</c:v>
                </c:pt>
                <c:pt idx="38">
                  <c:v>-0.046945045755097</c:v>
                </c:pt>
                <c:pt idx="39">
                  <c:v>-0.046813977822131</c:v>
                </c:pt>
                <c:pt idx="40">
                  <c:v>-0.0458789143627267</c:v>
                </c:pt>
                <c:pt idx="41">
                  <c:v>-0.0431557995179838</c:v>
                </c:pt>
                <c:pt idx="42">
                  <c:v>-0.0426583937198504</c:v>
                </c:pt>
                <c:pt idx="43">
                  <c:v>-0.0413703121799723</c:v>
                </c:pt>
                <c:pt idx="44">
                  <c:v>-0.0411162880301203</c:v>
                </c:pt>
                <c:pt idx="45">
                  <c:v>-0.0390283426350194</c:v>
                </c:pt>
                <c:pt idx="46">
                  <c:v>-0.0377156757598541</c:v>
                </c:pt>
                <c:pt idx="47">
                  <c:v>-0.0380085869986301</c:v>
                </c:pt>
                <c:pt idx="48">
                  <c:v>-0.0382273966881361</c:v>
                </c:pt>
                <c:pt idx="49">
                  <c:v>-0.0398675064230772</c:v>
                </c:pt>
                <c:pt idx="50">
                  <c:v>-0.0439180278997297</c:v>
                </c:pt>
                <c:pt idx="51">
                  <c:v>-0.0517758962470233</c:v>
                </c:pt>
                <c:pt idx="52">
                  <c:v>-0.0626941480171966</c:v>
                </c:pt>
                <c:pt idx="53">
                  <c:v>-0.0712539050892525</c:v>
                </c:pt>
                <c:pt idx="54">
                  <c:v>-0.0747114838815094</c:v>
                </c:pt>
                <c:pt idx="55">
                  <c:v>-0.0786218791782372</c:v>
                </c:pt>
                <c:pt idx="56">
                  <c:v>-0.0824380264231237</c:v>
                </c:pt>
                <c:pt idx="57">
                  <c:v>-0.0826802938157125</c:v>
                </c:pt>
                <c:pt idx="58">
                  <c:v>-0.0829285594134936</c:v>
                </c:pt>
                <c:pt idx="59">
                  <c:v>-0.0842647799035268</c:v>
                </c:pt>
                <c:pt idx="60">
                  <c:v>-0.078707164456434</c:v>
                </c:pt>
                <c:pt idx="61">
                  <c:v>-0.0760326303233491</c:v>
                </c:pt>
                <c:pt idx="62">
                  <c:v>-0.0713798000244174</c:v>
                </c:pt>
                <c:pt idx="63">
                  <c:v>-0.0610763394965519</c:v>
                </c:pt>
                <c:pt idx="64">
                  <c:v>-0.0502813070736959</c:v>
                </c:pt>
                <c:pt idx="65">
                  <c:v>-0.0453143404139798</c:v>
                </c:pt>
                <c:pt idx="66">
                  <c:v>-0.0425754579397146</c:v>
                </c:pt>
                <c:pt idx="67">
                  <c:v>-0.0420360294698066</c:v>
                </c:pt>
                <c:pt idx="68">
                  <c:v>-0.0292741774200723</c:v>
                </c:pt>
                <c:pt idx="69">
                  <c:v>-0.0319164240919959</c:v>
                </c:pt>
                <c:pt idx="70">
                  <c:v>-0.0331867146033874</c:v>
                </c:pt>
                <c:pt idx="71">
                  <c:v>-0.0360128733324825</c:v>
                </c:pt>
                <c:pt idx="72">
                  <c:v>-0.0376841551043988</c:v>
                </c:pt>
                <c:pt idx="73">
                  <c:v>-0.0376960744284345</c:v>
                </c:pt>
                <c:pt idx="74">
                  <c:v>-0.0372231454230622</c:v>
                </c:pt>
                <c:pt idx="75">
                  <c:v>-0.0371959295401355</c:v>
                </c:pt>
                <c:pt idx="76">
                  <c:v>-0.0385392583072052</c:v>
                </c:pt>
                <c:pt idx="77">
                  <c:v>-0.03979502181803</c:v>
                </c:pt>
                <c:pt idx="78">
                  <c:v>-0.0373327371908155</c:v>
                </c:pt>
                <c:pt idx="79">
                  <c:v>-0.038101383920646</c:v>
                </c:pt>
                <c:pt idx="80">
                  <c:v>-0.0395812606089067</c:v>
                </c:pt>
                <c:pt idx="81">
                  <c:v>-0.0362732623449622</c:v>
                </c:pt>
                <c:pt idx="82">
                  <c:v>-0.0380348643399357</c:v>
                </c:pt>
                <c:pt idx="83">
                  <c:v>-0.0380721563683628</c:v>
                </c:pt>
                <c:pt idx="84">
                  <c:v>-0.0404197693019138</c:v>
                </c:pt>
                <c:pt idx="85">
                  <c:v>-0.0419477034910497</c:v>
                </c:pt>
                <c:pt idx="86">
                  <c:v>-0.0417619008634944</c:v>
                </c:pt>
                <c:pt idx="87">
                  <c:v>-0.0418355096461463</c:v>
                </c:pt>
                <c:pt idx="88">
                  <c:v>-0.0428281322484852</c:v>
                </c:pt>
                <c:pt idx="89">
                  <c:v>-0.0426995170094646</c:v>
                </c:pt>
                <c:pt idx="90">
                  <c:v>-0.0446497632975819</c:v>
                </c:pt>
                <c:pt idx="91">
                  <c:v>-0.0415169053407193</c:v>
                </c:pt>
                <c:pt idx="92">
                  <c:v>-0.0417333093038971</c:v>
                </c:pt>
                <c:pt idx="93">
                  <c:v>-0.0400836060886883</c:v>
                </c:pt>
                <c:pt idx="94">
                  <c:v>-0.0380151064261253</c:v>
                </c:pt>
                <c:pt idx="95">
                  <c:v>-0.043406207124548</c:v>
                </c:pt>
                <c:pt idx="96">
                  <c:v>-0.0340606378474978</c:v>
                </c:pt>
                <c:pt idx="97">
                  <c:v>-0.0269512753211396</c:v>
                </c:pt>
                <c:pt idx="98">
                  <c:v>-0.0216470722432192</c:v>
                </c:pt>
                <c:pt idx="99">
                  <c:v>-0.0180132525937958</c:v>
                </c:pt>
                <c:pt idx="100">
                  <c:v>-0.0108035086686561</c:v>
                </c:pt>
                <c:pt idx="101">
                  <c:v>-0.007240240639677</c:v>
                </c:pt>
                <c:pt idx="102">
                  <c:v>-0.00623586612258003</c:v>
                </c:pt>
                <c:pt idx="103">
                  <c:v>-0.00485094591487557</c:v>
                </c:pt>
                <c:pt idx="104">
                  <c:v>-0.00244114992362024</c:v>
                </c:pt>
                <c:pt idx="105">
                  <c:v>-0.000369750696366794</c:v>
                </c:pt>
                <c:pt idx="106">
                  <c:v>0.00167271436800528</c:v>
                </c:pt>
                <c:pt idx="107">
                  <c:v>0.00301994425978437</c:v>
                </c:pt>
                <c:pt idx="108">
                  <c:v>0.00301569620082178</c:v>
                </c:pt>
                <c:pt idx="109">
                  <c:v>0.00286060908040955</c:v>
                </c:pt>
                <c:pt idx="110">
                  <c:v>0.00294610544752943</c:v>
                </c:pt>
                <c:pt idx="111">
                  <c:v>0.00365666673083154</c:v>
                </c:pt>
                <c:pt idx="112">
                  <c:v>0.00279860130615334</c:v>
                </c:pt>
                <c:pt idx="113">
                  <c:v>0.0031430122203506</c:v>
                </c:pt>
                <c:pt idx="114">
                  <c:v>0.00363002194157716</c:v>
                </c:pt>
                <c:pt idx="115">
                  <c:v>0.00403476296999725</c:v>
                </c:pt>
                <c:pt idx="116">
                  <c:v>0.0037319259964212</c:v>
                </c:pt>
                <c:pt idx="117">
                  <c:v>0.00363215128210706</c:v>
                </c:pt>
                <c:pt idx="118">
                  <c:v>0.00383802081115035</c:v>
                </c:pt>
                <c:pt idx="119">
                  <c:v>0.00170989290672499</c:v>
                </c:pt>
                <c:pt idx="120">
                  <c:v>0.00225144916954379</c:v>
                </c:pt>
                <c:pt idx="121">
                  <c:v>0.00201381993259505</c:v>
                </c:pt>
                <c:pt idx="122">
                  <c:v>0.00206170590781037</c:v>
                </c:pt>
                <c:pt idx="123">
                  <c:v>0.0016851962518868</c:v>
                </c:pt>
                <c:pt idx="124">
                  <c:v>0.00145129365330028</c:v>
                </c:pt>
              </c:numCache>
            </c:numRef>
          </c:val>
          <c:smooth val="0"/>
        </c:ser>
        <c:hiLowLines>
          <c:spPr>
            <a:ln w="0">
              <a:noFill/>
            </a:ln>
          </c:spPr>
        </c:hiLowLines>
        <c:marker val="0"/>
        <c:axId val="50224832"/>
        <c:axId val="91725920"/>
      </c:lineChart>
      <c:catAx>
        <c:axId val="5022483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725920"/>
        <c:crosses val="autoZero"/>
        <c:auto val="1"/>
        <c:lblAlgn val="ctr"/>
        <c:lblOffset val="100"/>
        <c:noMultiLvlLbl val="0"/>
      </c:catAx>
      <c:valAx>
        <c:axId val="91725920"/>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22483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Contribution to the adjustment, Nov-2023 to latest (pp of GDP)</a:t>
            </a:r>
          </a:p>
        </c:rich>
      </c:tx>
      <c:overlay val="0"/>
      <c:spPr>
        <a:noFill/>
        <a:ln w="0">
          <a:noFill/>
        </a:ln>
      </c:spPr>
    </c:title>
    <c:autoTitleDeleted val="0"/>
    <c:plotArea>
      <c:barChart>
        <c:barDir val="col"/>
        <c:grouping val="clustered"/>
        <c:varyColors val="0"/>
        <c:ser>
          <c:idx val="0"/>
          <c:order val="0"/>
          <c:tx>
            <c:strRef>
              <c:f>"pp of GDP"</c:f>
              <c:strCache>
                <c:ptCount val="1"/>
                <c:pt idx="0">
                  <c:v>pp of GDP</c:v>
                </c:pt>
              </c:strCache>
            </c:strRef>
          </c:tx>
          <c:spPr>
            <a:solidFill>
              <a:srgbClr val="2f5c8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Adjustment!$B$18:$B$33</c:f>
              <c:strCache>
                <c:ptCount val="16"/>
                <c:pt idx="0">
                  <c:v>  Social benefits</c:v>
                </c:pt>
                <c:pt idx="1">
                  <c:v>    Contributory pensions</c:v>
                </c:pt>
                <c:pt idx="2">
                  <c:v>    Family allowances</c:v>
                </c:pt>
                <c:pt idx="3">
                  <c:v>    Non-contrib. pensions</c:v>
                </c:pt>
                <c:pt idx="4">
                  <c:v>    PAMI</c:v>
                </c:pt>
                <c:pt idx="5">
                  <c:v>  Other social programmes</c:v>
                </c:pt>
                <c:pt idx="6">
                  <c:v>  Economic subsidies</c:v>
                </c:pt>
                <c:pt idx="7">
                  <c:v>    Energy</c:v>
                </c:pt>
                <c:pt idx="8">
                  <c:v>    Transport</c:v>
                </c:pt>
                <c:pt idx="9">
                  <c:v>  Wages</c:v>
                </c:pt>
                <c:pt idx="10">
                  <c:v>  Other operating</c:v>
                </c:pt>
                <c:pt idx="11">
                  <c:v>  Transfers to provinces</c:v>
                </c:pt>
                <c:pt idx="12">
                  <c:v>  Universities</c:v>
                </c:pt>
                <c:pt idx="13">
                  <c:v>  Public enterprises</c:v>
                </c:pt>
                <c:pt idx="14">
                  <c:v>  Other current</c:v>
                </c:pt>
                <c:pt idx="15">
                  <c:v>  Capital expenditure</c:v>
                </c:pt>
              </c:strCache>
            </c:strRef>
          </c:cat>
          <c:val>
            <c:numRef>
              <c:f>Adjustment!$I$18:$I$33</c:f>
              <c:numCache>
                <c:formatCode>\+0.00;\-0.00;\-</c:formatCode>
                <c:ptCount val="16"/>
                <c:pt idx="0">
                  <c:v>0.186560525836987</c:v>
                </c:pt>
                <c:pt idx="1">
                  <c:v>0.0669239589446299</c:v>
                </c:pt>
                <c:pt idx="2">
                  <c:v>0.217484973175521</c:v>
                </c:pt>
                <c:pt idx="3">
                  <c:v>-0.0648995520484368</c:v>
                </c:pt>
                <c:pt idx="4">
                  <c:v>-0.0329488542347269</c:v>
                </c:pt>
                <c:pt idx="5">
                  <c:v>-1.22469941102647</c:v>
                </c:pt>
                <c:pt idx="6">
                  <c:v>-0.888299217404668</c:v>
                </c:pt>
                <c:pt idx="7">
                  <c:v>-0.654917621402375</c:v>
                </c:pt>
                <c:pt idx="8">
                  <c:v>-0.186366494890024</c:v>
                </c:pt>
                <c:pt idx="9">
                  <c:v>-0.582812265973971</c:v>
                </c:pt>
                <c:pt idx="10">
                  <c:v>-0.127548814351263</c:v>
                </c:pt>
                <c:pt idx="11">
                  <c:v>-0.455682758875408</c:v>
                </c:pt>
                <c:pt idx="12">
                  <c:v>-0.135460378940132</c:v>
                </c:pt>
                <c:pt idx="13">
                  <c:v>0</c:v>
                </c:pt>
                <c:pt idx="14">
                  <c:v>-0.167640440746328</c:v>
                </c:pt>
                <c:pt idx="15">
                  <c:v>-1.31834403270601</c:v>
                </c:pt>
              </c:numCache>
            </c:numRef>
          </c:val>
        </c:ser>
        <c:gapWidth val="150"/>
        <c:overlap val="0"/>
        <c:axId val="31521117"/>
        <c:axId val="67318772"/>
      </c:barChart>
      <c:catAx>
        <c:axId val="3152111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318772"/>
        <c:crosses val="autoZero"/>
        <c:auto val="1"/>
        <c:lblAlgn val="ctr"/>
        <c:lblOffset val="100"/>
        <c:noMultiLvlLbl val="0"/>
      </c:catAx>
      <c:valAx>
        <c:axId val="67318772"/>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52111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xdr:row>
      <xdr:rowOff>0</xdr:rowOff>
    </xdr:from>
    <xdr:to>
      <xdr:col>21</xdr:col>
      <xdr:colOff>9720</xdr:colOff>
      <xdr:row>30</xdr:row>
      <xdr:rowOff>86760</xdr:rowOff>
    </xdr:to>
    <xdr:graphicFrame>
      <xdr:nvGraphicFramePr>
        <xdr:cNvPr id="0" name="Chart 1"/>
        <xdr:cNvGraphicFramePr/>
      </xdr:nvGraphicFramePr>
      <xdr:xfrm>
        <a:off x="141120" y="895320"/>
        <a:ext cx="12239640" cy="50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33</xdr:row>
      <xdr:rowOff>0</xdr:rowOff>
    </xdr:from>
    <xdr:to>
      <xdr:col>21</xdr:col>
      <xdr:colOff>9720</xdr:colOff>
      <xdr:row>59</xdr:row>
      <xdr:rowOff>86760</xdr:rowOff>
    </xdr:to>
    <xdr:graphicFrame>
      <xdr:nvGraphicFramePr>
        <xdr:cNvPr id="1" name="Chart 2"/>
        <xdr:cNvGraphicFramePr/>
      </xdr:nvGraphicFramePr>
      <xdr:xfrm>
        <a:off x="141120" y="6419880"/>
        <a:ext cx="12239640" cy="50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62</xdr:row>
      <xdr:rowOff>0</xdr:rowOff>
    </xdr:from>
    <xdr:to>
      <xdr:col>21</xdr:col>
      <xdr:colOff>9720</xdr:colOff>
      <xdr:row>88</xdr:row>
      <xdr:rowOff>86760</xdr:rowOff>
    </xdr:to>
    <xdr:graphicFrame>
      <xdr:nvGraphicFramePr>
        <xdr:cNvPr id="2" name="Chart 3"/>
        <xdr:cNvGraphicFramePr/>
      </xdr:nvGraphicFramePr>
      <xdr:xfrm>
        <a:off x="141120" y="11944440"/>
        <a:ext cx="12239640" cy="50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91</xdr:row>
      <xdr:rowOff>0</xdr:rowOff>
    </xdr:from>
    <xdr:to>
      <xdr:col>21</xdr:col>
      <xdr:colOff>9720</xdr:colOff>
      <xdr:row>119</xdr:row>
      <xdr:rowOff>65880</xdr:rowOff>
    </xdr:to>
    <xdr:graphicFrame>
      <xdr:nvGraphicFramePr>
        <xdr:cNvPr id="3" name="Chart 4"/>
        <xdr:cNvGraphicFramePr/>
      </xdr:nvGraphicFramePr>
      <xdr:xfrm>
        <a:off x="141120" y="17469000"/>
        <a:ext cx="12239640" cy="53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C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04"/>
  </cols>
  <sheetData>
    <row r="2" customFormat="false" ht="25.5" hidden="false" customHeight="tru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33" hidden="false" customHeight="true" outlineLevel="0" collapsed="false">
      <c r="B6" s="4" t="s">
        <v>3</v>
      </c>
      <c r="C6" s="5" t="s">
        <v>4</v>
      </c>
    </row>
    <row r="7" customFormat="false" ht="21.75" hidden="false" customHeight="true" outlineLevel="0" collapsed="false">
      <c r="B7" s="4" t="s">
        <v>5</v>
      </c>
      <c r="C7" s="5" t="s">
        <v>6</v>
      </c>
    </row>
    <row r="8" customFormat="false" ht="12" hidden="false" customHeight="true" outlineLevel="0" collapsed="false">
      <c r="B8" s="4" t="s">
        <v>7</v>
      </c>
      <c r="C8" s="5" t="s">
        <v>8</v>
      </c>
    </row>
    <row r="9" customFormat="false" ht="21.75" hidden="false" customHeight="true" outlineLevel="0" collapsed="false">
      <c r="B9" s="4" t="s">
        <v>9</v>
      </c>
      <c r="C9" s="5" t="s">
        <v>10</v>
      </c>
    </row>
    <row r="10" customFormat="false" ht="12" hidden="false" customHeight="true" outlineLevel="0" collapsed="false">
      <c r="B10" s="4" t="s">
        <v>11</v>
      </c>
      <c r="C10" s="5" t="s">
        <v>12</v>
      </c>
    </row>
    <row r="11" customFormat="false" ht="21.75" hidden="false" customHeight="true" outlineLevel="0" collapsed="false">
      <c r="B11" s="4" t="s">
        <v>13</v>
      </c>
      <c r="C11" s="5" t="s">
        <v>14</v>
      </c>
    </row>
    <row r="12" customFormat="false" ht="15" hidden="false" customHeight="false" outlineLevel="0" collapsed="false">
      <c r="B12" s="3"/>
    </row>
    <row r="13" customFormat="false" ht="15" hidden="false" customHeight="false" outlineLevel="0" collapsed="false">
      <c r="B13" s="3" t="s">
        <v>15</v>
      </c>
    </row>
    <row r="14" customFormat="false" ht="43.5" hidden="false" customHeight="true" outlineLevel="0" collapsed="false">
      <c r="B14" s="4" t="s">
        <v>16</v>
      </c>
      <c r="C14" s="5" t="s">
        <v>17</v>
      </c>
    </row>
    <row r="15" customFormat="false" ht="33" hidden="false" customHeight="true" outlineLevel="0" collapsed="false">
      <c r="B15" s="4" t="s">
        <v>18</v>
      </c>
      <c r="C15" s="5" t="s">
        <v>19</v>
      </c>
    </row>
    <row r="16" customFormat="false" ht="21.75" hidden="false" customHeight="true" outlineLevel="0" collapsed="false">
      <c r="B16" s="4" t="s">
        <v>20</v>
      </c>
      <c r="C16" s="5" t="s">
        <v>21</v>
      </c>
    </row>
    <row r="17" customFormat="false" ht="15" hidden="false" customHeight="false" outlineLevel="0" collapsed="false">
      <c r="B17" s="3"/>
    </row>
    <row r="18" customFormat="false" ht="33" hidden="false" customHeight="true" outlineLevel="0" collapsed="false">
      <c r="B18" s="4" t="s">
        <v>22</v>
      </c>
      <c r="C18" s="5" t="s">
        <v>23</v>
      </c>
    </row>
    <row r="19" customFormat="false" ht="21.75" hidden="false" customHeight="true" outlineLevel="0" collapsed="false">
      <c r="B19" s="4" t="s">
        <v>24</v>
      </c>
      <c r="C19" s="5"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AQ1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1"/>
    <col collapsed="false" customWidth="true" hidden="false" outlineLevel="0" max="3" min="3" style="0" width="7"/>
    <col collapsed="false" customWidth="true" hidden="false" outlineLevel="0" max="41" min="4" style="0" width="12"/>
    <col collapsed="false" customWidth="true" hidden="false" outlineLevel="0" max="42" min="42" style="0" width="14"/>
    <col collapsed="false" customWidth="true" hidden="false" outlineLevel="0" max="43" min="43" style="0" width="12"/>
  </cols>
  <sheetData>
    <row r="2" customFormat="false" ht="25.5" hidden="false" customHeight="true" outlineLevel="0" collapsed="false">
      <c r="B2" s="1" t="s">
        <v>26</v>
      </c>
    </row>
    <row r="3" customFormat="false" ht="15" hidden="false" customHeight="false" outlineLevel="0" collapsed="false">
      <c r="B3" s="2" t="s">
        <v>27</v>
      </c>
    </row>
    <row r="6" customFormat="false" ht="30" hidden="false" customHeight="true" outlineLevel="0" collapsed="false">
      <c r="B6" s="6" t="s">
        <v>28</v>
      </c>
      <c r="C6" s="6" t="s">
        <v>29</v>
      </c>
      <c r="D6" s="7" t="s">
        <v>30</v>
      </c>
      <c r="E6" s="7" t="s">
        <v>31</v>
      </c>
      <c r="F6" s="7" t="s">
        <v>32</v>
      </c>
      <c r="G6" s="7" t="s">
        <v>33</v>
      </c>
      <c r="H6" s="7" t="s">
        <v>34</v>
      </c>
      <c r="I6" s="7" t="s">
        <v>35</v>
      </c>
      <c r="J6" s="7" t="s">
        <v>36</v>
      </c>
      <c r="K6" s="7" t="s">
        <v>37</v>
      </c>
      <c r="L6" s="7" t="s">
        <v>38</v>
      </c>
      <c r="M6" s="7" t="s">
        <v>39</v>
      </c>
      <c r="N6" s="7" t="s">
        <v>40</v>
      </c>
      <c r="O6" s="7" t="s">
        <v>41</v>
      </c>
      <c r="P6" s="7" t="s">
        <v>42</v>
      </c>
      <c r="Q6" s="7" t="s">
        <v>43</v>
      </c>
      <c r="R6" s="7" t="s">
        <v>44</v>
      </c>
      <c r="S6" s="7" t="s">
        <v>45</v>
      </c>
      <c r="T6" s="7" t="s">
        <v>46</v>
      </c>
      <c r="U6" s="7" t="s">
        <v>47</v>
      </c>
      <c r="V6" s="7" t="s">
        <v>48</v>
      </c>
      <c r="W6" s="7" t="s">
        <v>49</v>
      </c>
      <c r="X6" s="7" t="s">
        <v>50</v>
      </c>
      <c r="Y6" s="7" t="s">
        <v>51</v>
      </c>
      <c r="Z6" s="7" t="s">
        <v>52</v>
      </c>
      <c r="AA6" s="7" t="s">
        <v>53</v>
      </c>
      <c r="AB6" s="7" t="s">
        <v>54</v>
      </c>
      <c r="AC6" s="7" t="s">
        <v>55</v>
      </c>
      <c r="AD6" s="7" t="s">
        <v>56</v>
      </c>
      <c r="AE6" s="7" t="s">
        <v>57</v>
      </c>
      <c r="AF6" s="7" t="s">
        <v>58</v>
      </c>
      <c r="AG6" s="7" t="s">
        <v>59</v>
      </c>
      <c r="AH6" s="7" t="s">
        <v>60</v>
      </c>
      <c r="AI6" s="7" t="s">
        <v>61</v>
      </c>
      <c r="AJ6" s="7" t="s">
        <v>62</v>
      </c>
      <c r="AK6" s="7" t="s">
        <v>63</v>
      </c>
      <c r="AL6" s="7" t="s">
        <v>64</v>
      </c>
      <c r="AM6" s="7" t="s">
        <v>65</v>
      </c>
      <c r="AN6" s="7" t="s">
        <v>66</v>
      </c>
      <c r="AO6" s="7" t="s">
        <v>67</v>
      </c>
      <c r="AP6" s="7" t="s">
        <v>68</v>
      </c>
      <c r="AQ6" s="7" t="s">
        <v>69</v>
      </c>
    </row>
    <row r="7" customFormat="false" ht="15" hidden="false" customHeight="false" outlineLevel="0" collapsed="false">
      <c r="B7" s="8" t="s">
        <v>70</v>
      </c>
      <c r="C7" s="9" t="n">
        <v>2016</v>
      </c>
      <c r="D7" s="10" t="n">
        <v>20467</v>
      </c>
      <c r="E7" s="10" t="n">
        <v>20340</v>
      </c>
      <c r="F7" s="10" t="n">
        <v>50824</v>
      </c>
      <c r="G7" s="10" t="n">
        <v>7765</v>
      </c>
      <c r="H7" s="10" t="n">
        <v>162</v>
      </c>
      <c r="I7" s="10" t="n">
        <v>1570</v>
      </c>
      <c r="J7" s="10" t="n">
        <v>1115</v>
      </c>
      <c r="K7" s="10" t="n">
        <v>5103</v>
      </c>
      <c r="L7" s="10" t="n">
        <v>3846</v>
      </c>
      <c r="M7" s="10" t="n">
        <v>5140</v>
      </c>
      <c r="N7" s="10" t="n">
        <v>1335</v>
      </c>
      <c r="O7" s="10" t="n">
        <v>270</v>
      </c>
      <c r="P7" s="10" t="n">
        <v>2476</v>
      </c>
      <c r="Q7" s="10" t="n">
        <v>30</v>
      </c>
      <c r="R7" s="10" t="n">
        <v>1175</v>
      </c>
      <c r="S7" s="10" t="n">
        <v>3</v>
      </c>
      <c r="T7" s="10" t="n">
        <v>44935</v>
      </c>
      <c r="U7" s="10" t="n">
        <v>5000</v>
      </c>
      <c r="V7" s="10" t="n">
        <v>7270</v>
      </c>
      <c r="W7" s="10" t="n">
        <v>5437</v>
      </c>
      <c r="X7" s="10" t="n">
        <v>1052</v>
      </c>
      <c r="Y7" s="10" t="n">
        <v>3754</v>
      </c>
      <c r="Z7" s="10" t="n">
        <v>5732</v>
      </c>
      <c r="AA7" s="10" t="n">
        <v>138</v>
      </c>
      <c r="AB7" s="10" t="n">
        <v>19099</v>
      </c>
      <c r="AC7" s="10" t="n">
        <v>4448</v>
      </c>
      <c r="AD7" s="10" t="n">
        <v>813</v>
      </c>
      <c r="AE7" s="10" t="n">
        <v>0</v>
      </c>
      <c r="AF7" s="10" t="n">
        <v>27</v>
      </c>
      <c r="AG7" s="10" t="n">
        <v>339</v>
      </c>
      <c r="AH7" s="10" t="n">
        <v>475</v>
      </c>
      <c r="AI7" s="10" t="n">
        <v>4411</v>
      </c>
      <c r="AJ7" s="10" t="n">
        <v>281</v>
      </c>
      <c r="AK7" s="10" t="n">
        <v>2817</v>
      </c>
      <c r="AL7" s="11" t="n">
        <v>14852</v>
      </c>
      <c r="AM7" s="10" t="n">
        <v>741</v>
      </c>
      <c r="AN7" s="10" t="n">
        <v>2938</v>
      </c>
      <c r="AO7" s="10" t="n">
        <v>-2197</v>
      </c>
      <c r="AP7" s="11" t="n">
        <v>563619.948577181</v>
      </c>
      <c r="AQ7" s="12" t="n">
        <f aca="false">AM7-AN7-AO7</f>
        <v>0</v>
      </c>
    </row>
    <row r="8" customFormat="false" ht="15" hidden="false" customHeight="false" outlineLevel="0" collapsed="false">
      <c r="B8" s="8" t="s">
        <v>71</v>
      </c>
      <c r="C8" s="9" t="n">
        <v>2016</v>
      </c>
      <c r="D8" s="10" t="n">
        <v>20110</v>
      </c>
      <c r="E8" s="10" t="n">
        <v>15531</v>
      </c>
      <c r="F8" s="10" t="n">
        <v>37246</v>
      </c>
      <c r="G8" s="10" t="n">
        <v>7233</v>
      </c>
      <c r="H8" s="10" t="n">
        <v>559</v>
      </c>
      <c r="I8" s="10" t="n">
        <v>1692</v>
      </c>
      <c r="J8" s="10" t="n">
        <v>1960</v>
      </c>
      <c r="K8" s="10" t="n">
        <v>3512</v>
      </c>
      <c r="L8" s="10" t="n">
        <v>3679</v>
      </c>
      <c r="M8" s="10" t="n">
        <v>4319</v>
      </c>
      <c r="N8" s="10" t="n">
        <v>792</v>
      </c>
      <c r="O8" s="10" t="n">
        <v>234</v>
      </c>
      <c r="P8" s="10" t="n">
        <v>2293</v>
      </c>
      <c r="Q8" s="10" t="n">
        <v>32</v>
      </c>
      <c r="R8" s="10" t="n">
        <v>1481</v>
      </c>
      <c r="S8" s="10" t="n">
        <v>5</v>
      </c>
      <c r="T8" s="10" t="n">
        <v>40460</v>
      </c>
      <c r="U8" s="10" t="n">
        <v>5842</v>
      </c>
      <c r="V8" s="10" t="n">
        <v>4493</v>
      </c>
      <c r="W8" s="10" t="n">
        <v>5667</v>
      </c>
      <c r="X8" s="10" t="n">
        <v>2302</v>
      </c>
      <c r="Y8" s="10" t="n">
        <v>6464</v>
      </c>
      <c r="Z8" s="10" t="n">
        <v>4963</v>
      </c>
      <c r="AA8" s="10" t="n">
        <v>73</v>
      </c>
      <c r="AB8" s="10" t="n">
        <v>19032</v>
      </c>
      <c r="AC8" s="10" t="n">
        <v>4943</v>
      </c>
      <c r="AD8" s="10" t="n">
        <v>938</v>
      </c>
      <c r="AE8" s="10" t="n">
        <v>0</v>
      </c>
      <c r="AF8" s="10" t="n">
        <v>66</v>
      </c>
      <c r="AG8" s="10" t="n">
        <v>266</v>
      </c>
      <c r="AH8" s="10" t="n">
        <v>158</v>
      </c>
      <c r="AI8" s="10" t="n">
        <v>4187</v>
      </c>
      <c r="AJ8" s="10" t="n">
        <v>1976</v>
      </c>
      <c r="AK8" s="10" t="n">
        <v>5761</v>
      </c>
      <c r="AL8" s="11" t="n">
        <v>9729</v>
      </c>
      <c r="AM8" s="10" t="n">
        <v>-16642</v>
      </c>
      <c r="AN8" s="10" t="n">
        <v>3894</v>
      </c>
      <c r="AO8" s="10" t="n">
        <v>-20537</v>
      </c>
      <c r="AP8" s="11" t="n">
        <v>576502.063366703</v>
      </c>
      <c r="AQ8" s="12" t="n">
        <f aca="false">AM8-AN8-AO8</f>
        <v>1</v>
      </c>
    </row>
    <row r="9" customFormat="false" ht="15" hidden="false" customHeight="false" outlineLevel="0" collapsed="false">
      <c r="B9" s="8" t="s">
        <v>72</v>
      </c>
      <c r="C9" s="9" t="n">
        <v>2016</v>
      </c>
      <c r="D9" s="10" t="n">
        <v>21943</v>
      </c>
      <c r="E9" s="10" t="n">
        <v>12671</v>
      </c>
      <c r="F9" s="10" t="n">
        <v>37907</v>
      </c>
      <c r="G9" s="10" t="n">
        <v>7891</v>
      </c>
      <c r="H9" s="10" t="n">
        <v>160</v>
      </c>
      <c r="I9" s="10" t="n">
        <v>1590</v>
      </c>
      <c r="J9" s="10" t="n">
        <v>1855</v>
      </c>
      <c r="K9" s="10" t="n">
        <v>6750</v>
      </c>
      <c r="L9" s="10" t="n">
        <v>4680</v>
      </c>
      <c r="M9" s="10" t="n">
        <v>4287</v>
      </c>
      <c r="N9" s="10" t="n">
        <v>1726</v>
      </c>
      <c r="O9" s="10" t="n">
        <v>481</v>
      </c>
      <c r="P9" s="10" t="n">
        <v>3200</v>
      </c>
      <c r="Q9" s="10" t="n">
        <v>2513</v>
      </c>
      <c r="R9" s="10" t="n">
        <v>1162</v>
      </c>
      <c r="S9" s="10" t="n">
        <v>17</v>
      </c>
      <c r="T9" s="10" t="n">
        <v>47092</v>
      </c>
      <c r="U9" s="10" t="n">
        <v>12034</v>
      </c>
      <c r="V9" s="10" t="n">
        <v>6211</v>
      </c>
      <c r="W9" s="10" t="n">
        <v>5911</v>
      </c>
      <c r="X9" s="10" t="n">
        <v>1475</v>
      </c>
      <c r="Y9" s="10" t="n">
        <v>8585</v>
      </c>
      <c r="Z9" s="10" t="n">
        <v>6181</v>
      </c>
      <c r="AA9" s="10" t="n">
        <v>57</v>
      </c>
      <c r="AB9" s="10" t="n">
        <v>18491</v>
      </c>
      <c r="AC9" s="10" t="n">
        <v>5162</v>
      </c>
      <c r="AD9" s="10" t="n">
        <v>2173</v>
      </c>
      <c r="AE9" s="10" t="n">
        <v>400</v>
      </c>
      <c r="AF9" s="10" t="n">
        <v>260</v>
      </c>
      <c r="AG9" s="10" t="n">
        <v>643</v>
      </c>
      <c r="AH9" s="10" t="n">
        <v>629</v>
      </c>
      <c r="AI9" s="10" t="n">
        <v>4324</v>
      </c>
      <c r="AJ9" s="10" t="n">
        <v>605</v>
      </c>
      <c r="AK9" s="10" t="n">
        <v>5776</v>
      </c>
      <c r="AL9" s="11" t="n">
        <v>12836</v>
      </c>
      <c r="AM9" s="10" t="n">
        <v>-30012</v>
      </c>
      <c r="AN9" s="10" t="n">
        <v>11820</v>
      </c>
      <c r="AO9" s="10" t="n">
        <v>-41832</v>
      </c>
      <c r="AP9" s="11" t="n">
        <v>611539.249332627</v>
      </c>
      <c r="AQ9" s="12" t="n">
        <f aca="false">AM9-AN9-AO9</f>
        <v>0</v>
      </c>
    </row>
    <row r="10" customFormat="false" ht="15" hidden="false" customHeight="false" outlineLevel="0" collapsed="false">
      <c r="B10" s="8" t="s">
        <v>73</v>
      </c>
      <c r="C10" s="9" t="n">
        <v>2016</v>
      </c>
      <c r="D10" s="10" t="n">
        <v>22904</v>
      </c>
      <c r="E10" s="10" t="n">
        <v>11898</v>
      </c>
      <c r="F10" s="10" t="n">
        <v>42731</v>
      </c>
      <c r="G10" s="10" t="n">
        <v>8815</v>
      </c>
      <c r="H10" s="10" t="n">
        <v>381</v>
      </c>
      <c r="I10" s="10" t="n">
        <v>1683</v>
      </c>
      <c r="J10" s="10" t="n">
        <v>1894</v>
      </c>
      <c r="K10" s="10" t="n">
        <v>12214</v>
      </c>
      <c r="L10" s="10" t="n">
        <v>4630</v>
      </c>
      <c r="M10" s="10" t="n">
        <v>4854</v>
      </c>
      <c r="N10" s="10" t="n">
        <v>1914</v>
      </c>
      <c r="O10" s="10" t="n">
        <v>493</v>
      </c>
      <c r="P10" s="10" t="n">
        <v>2682</v>
      </c>
      <c r="Q10" s="10" t="n">
        <v>83</v>
      </c>
      <c r="R10" s="10" t="n">
        <v>968</v>
      </c>
      <c r="S10" s="10" t="n">
        <v>3</v>
      </c>
      <c r="T10" s="10" t="n">
        <v>47795</v>
      </c>
      <c r="U10" s="10" t="n">
        <v>7707</v>
      </c>
      <c r="V10" s="10" t="n">
        <v>6169</v>
      </c>
      <c r="W10" s="10" t="n">
        <v>5271</v>
      </c>
      <c r="X10" s="10" t="n">
        <v>2081</v>
      </c>
      <c r="Y10" s="10" t="n">
        <v>8525</v>
      </c>
      <c r="Z10" s="10" t="n">
        <v>6489</v>
      </c>
      <c r="AA10" s="10" t="n">
        <v>166</v>
      </c>
      <c r="AB10" s="10" t="n">
        <v>16944</v>
      </c>
      <c r="AC10" s="10" t="n">
        <v>5068</v>
      </c>
      <c r="AD10" s="10" t="n">
        <v>1668</v>
      </c>
      <c r="AE10" s="10" t="n">
        <v>0</v>
      </c>
      <c r="AF10" s="10" t="n">
        <v>178</v>
      </c>
      <c r="AG10" s="10" t="n">
        <v>352</v>
      </c>
      <c r="AH10" s="10" t="n">
        <v>533</v>
      </c>
      <c r="AI10" s="10" t="n">
        <v>4628</v>
      </c>
      <c r="AJ10" s="10" t="n">
        <v>151</v>
      </c>
      <c r="AK10" s="10" t="n">
        <v>3365</v>
      </c>
      <c r="AL10" s="11" t="n">
        <v>11950</v>
      </c>
      <c r="AM10" s="10" t="n">
        <v>-10893</v>
      </c>
      <c r="AN10" s="10" t="n">
        <v>6181</v>
      </c>
      <c r="AO10" s="10" t="n">
        <v>-17075</v>
      </c>
      <c r="AP10" s="11" t="n">
        <v>671946.795148984</v>
      </c>
      <c r="AQ10" s="12" t="n">
        <f aca="false">AM10-AN10-AO10</f>
        <v>1</v>
      </c>
    </row>
    <row r="11" customFormat="false" ht="15" hidden="false" customHeight="false" outlineLevel="0" collapsed="false">
      <c r="B11" s="8" t="s">
        <v>74</v>
      </c>
      <c r="C11" s="9" t="n">
        <v>2016</v>
      </c>
      <c r="D11" s="10" t="n">
        <v>26738</v>
      </c>
      <c r="E11" s="10" t="n">
        <v>25961</v>
      </c>
      <c r="F11" s="10" t="n">
        <v>42640</v>
      </c>
      <c r="G11" s="10" t="n">
        <v>8919</v>
      </c>
      <c r="H11" s="10" t="n">
        <v>2288</v>
      </c>
      <c r="I11" s="10" t="n">
        <v>2108</v>
      </c>
      <c r="J11" s="10" t="n">
        <v>1905</v>
      </c>
      <c r="K11" s="10" t="n">
        <v>8199</v>
      </c>
      <c r="L11" s="10" t="n">
        <v>4519</v>
      </c>
      <c r="M11" s="10" t="n">
        <v>5856</v>
      </c>
      <c r="N11" s="10" t="n">
        <v>1813</v>
      </c>
      <c r="O11" s="10" t="n">
        <v>1008</v>
      </c>
      <c r="P11" s="10" t="n">
        <v>3002</v>
      </c>
      <c r="Q11" s="10" t="n">
        <v>808</v>
      </c>
      <c r="R11" s="10" t="n">
        <v>1175</v>
      </c>
      <c r="S11" s="10" t="n">
        <v>86</v>
      </c>
      <c r="T11" s="10" t="n">
        <v>48802</v>
      </c>
      <c r="U11" s="10" t="n">
        <v>10586</v>
      </c>
      <c r="V11" s="10" t="n">
        <v>7183</v>
      </c>
      <c r="W11" s="10" t="n">
        <v>5893</v>
      </c>
      <c r="X11" s="10" t="n">
        <v>2296</v>
      </c>
      <c r="Y11" s="10" t="n">
        <v>14618</v>
      </c>
      <c r="Z11" s="10" t="n">
        <v>6641</v>
      </c>
      <c r="AA11" s="10" t="n">
        <v>144</v>
      </c>
      <c r="AB11" s="10" t="n">
        <v>17530</v>
      </c>
      <c r="AC11" s="10" t="n">
        <v>6109</v>
      </c>
      <c r="AD11" s="10" t="n">
        <v>1831</v>
      </c>
      <c r="AE11" s="10" t="n">
        <v>0</v>
      </c>
      <c r="AF11" s="10" t="n">
        <v>57</v>
      </c>
      <c r="AG11" s="10" t="n">
        <v>350</v>
      </c>
      <c r="AH11" s="10" t="n">
        <v>677</v>
      </c>
      <c r="AI11" s="10" t="n">
        <v>4874</v>
      </c>
      <c r="AJ11" s="10" t="n">
        <v>985</v>
      </c>
      <c r="AK11" s="10" t="n">
        <v>4609</v>
      </c>
      <c r="AL11" s="11" t="n">
        <v>15814</v>
      </c>
      <c r="AM11" s="10" t="n">
        <v>-11974</v>
      </c>
      <c r="AN11" s="10" t="n">
        <v>12019</v>
      </c>
      <c r="AO11" s="10" t="n">
        <v>-23994</v>
      </c>
      <c r="AP11" s="11" t="n">
        <v>714236.309598424</v>
      </c>
      <c r="AQ11" s="12" t="n">
        <f aca="false">AM11-AN11-AO11</f>
        <v>1</v>
      </c>
    </row>
    <row r="12" customFormat="false" ht="15" hidden="false" customHeight="false" outlineLevel="0" collapsed="false">
      <c r="B12" s="8" t="s">
        <v>75</v>
      </c>
      <c r="C12" s="9" t="n">
        <v>2016</v>
      </c>
      <c r="D12" s="10" t="n">
        <v>22218</v>
      </c>
      <c r="E12" s="10" t="n">
        <v>25274</v>
      </c>
      <c r="F12" s="10" t="n">
        <v>43030</v>
      </c>
      <c r="G12" s="10" t="n">
        <v>9263</v>
      </c>
      <c r="H12" s="10" t="n">
        <v>1306</v>
      </c>
      <c r="I12" s="10" t="n">
        <v>2091</v>
      </c>
      <c r="J12" s="10" t="n">
        <v>2690</v>
      </c>
      <c r="K12" s="10" t="n">
        <v>5004</v>
      </c>
      <c r="L12" s="10" t="n">
        <v>4612</v>
      </c>
      <c r="M12" s="10" t="n">
        <v>7201</v>
      </c>
      <c r="N12" s="10" t="n">
        <v>1242</v>
      </c>
      <c r="O12" s="10" t="n">
        <v>440</v>
      </c>
      <c r="P12" s="10" t="n">
        <v>3707</v>
      </c>
      <c r="Q12" s="10" t="n">
        <v>548</v>
      </c>
      <c r="R12" s="10" t="n">
        <v>1360</v>
      </c>
      <c r="S12" s="10" t="n">
        <v>66</v>
      </c>
      <c r="T12" s="10" t="n">
        <v>70396</v>
      </c>
      <c r="U12" s="10" t="n">
        <v>8682</v>
      </c>
      <c r="V12" s="10" t="n">
        <v>8055</v>
      </c>
      <c r="W12" s="10" t="n">
        <v>6271</v>
      </c>
      <c r="X12" s="10" t="n">
        <v>1405</v>
      </c>
      <c r="Y12" s="10" t="n">
        <v>17158</v>
      </c>
      <c r="Z12" s="10" t="n">
        <v>6993</v>
      </c>
      <c r="AA12" s="10" t="n">
        <v>410</v>
      </c>
      <c r="AB12" s="10" t="n">
        <v>20272</v>
      </c>
      <c r="AC12" s="10" t="n">
        <v>6286</v>
      </c>
      <c r="AD12" s="10" t="n">
        <v>1573</v>
      </c>
      <c r="AE12" s="10" t="n">
        <v>0</v>
      </c>
      <c r="AF12" s="10" t="n">
        <v>462</v>
      </c>
      <c r="AG12" s="10" t="n">
        <v>395</v>
      </c>
      <c r="AH12" s="10" t="n">
        <v>680</v>
      </c>
      <c r="AI12" s="10" t="n">
        <v>4671</v>
      </c>
      <c r="AJ12" s="10" t="n">
        <v>745</v>
      </c>
      <c r="AK12" s="10" t="n">
        <v>4544</v>
      </c>
      <c r="AL12" s="11" t="n">
        <v>15062</v>
      </c>
      <c r="AM12" s="10" t="n">
        <v>-44008</v>
      </c>
      <c r="AN12" s="10" t="n">
        <v>28579</v>
      </c>
      <c r="AO12" s="10" t="n">
        <v>-72587</v>
      </c>
      <c r="AP12" s="11" t="n">
        <v>717456.015797395</v>
      </c>
      <c r="AQ12" s="12" t="n">
        <f aca="false">AM12-AN12-AO12</f>
        <v>0</v>
      </c>
    </row>
    <row r="13" customFormat="false" ht="15" hidden="false" customHeight="false" outlineLevel="0" collapsed="false">
      <c r="B13" s="8" t="s">
        <v>76</v>
      </c>
      <c r="C13" s="9" t="n">
        <v>2016</v>
      </c>
      <c r="D13" s="10" t="n">
        <v>22482</v>
      </c>
      <c r="E13" s="10" t="n">
        <v>18614</v>
      </c>
      <c r="F13" s="10" t="n">
        <v>59399</v>
      </c>
      <c r="G13" s="10" t="n">
        <v>10098</v>
      </c>
      <c r="H13" s="10" t="n">
        <v>692</v>
      </c>
      <c r="I13" s="10" t="n">
        <v>2098</v>
      </c>
      <c r="J13" s="10" t="n">
        <v>2716</v>
      </c>
      <c r="K13" s="10" t="n">
        <v>7698</v>
      </c>
      <c r="L13" s="10" t="n">
        <v>4727</v>
      </c>
      <c r="M13" s="10" t="n">
        <v>7425</v>
      </c>
      <c r="N13" s="10" t="n">
        <v>1371</v>
      </c>
      <c r="O13" s="10" t="n">
        <v>1229</v>
      </c>
      <c r="P13" s="10" t="n">
        <v>3534</v>
      </c>
      <c r="Q13" s="10" t="n">
        <v>814</v>
      </c>
      <c r="R13" s="10" t="n">
        <v>1372</v>
      </c>
      <c r="S13" s="10" t="n">
        <v>4</v>
      </c>
      <c r="T13" s="10" t="n">
        <v>49197</v>
      </c>
      <c r="U13" s="10" t="n">
        <v>7996</v>
      </c>
      <c r="V13" s="10" t="n">
        <v>5974</v>
      </c>
      <c r="W13" s="10" t="n">
        <v>6323</v>
      </c>
      <c r="X13" s="10" t="n">
        <v>1975</v>
      </c>
      <c r="Y13" s="10" t="n">
        <v>21771</v>
      </c>
      <c r="Z13" s="10" t="n">
        <v>6543</v>
      </c>
      <c r="AA13" s="10" t="n">
        <v>178</v>
      </c>
      <c r="AB13" s="10" t="n">
        <v>27085</v>
      </c>
      <c r="AC13" s="10" t="n">
        <v>6464</v>
      </c>
      <c r="AD13" s="10" t="n">
        <v>2124</v>
      </c>
      <c r="AE13" s="10" t="n">
        <v>6207</v>
      </c>
      <c r="AF13" s="10" t="n">
        <v>363</v>
      </c>
      <c r="AG13" s="10" t="n">
        <v>623</v>
      </c>
      <c r="AH13" s="10" t="n">
        <v>632</v>
      </c>
      <c r="AI13" s="10" t="n">
        <v>7403</v>
      </c>
      <c r="AJ13" s="10" t="n">
        <v>236</v>
      </c>
      <c r="AK13" s="10" t="n">
        <v>5029</v>
      </c>
      <c r="AL13" s="11" t="n">
        <v>12516</v>
      </c>
      <c r="AM13" s="10" t="n">
        <v>-24366</v>
      </c>
      <c r="AN13" s="10" t="n">
        <v>3218</v>
      </c>
      <c r="AO13" s="10" t="n">
        <v>-27584</v>
      </c>
      <c r="AP13" s="11" t="n">
        <v>704519.813336244</v>
      </c>
      <c r="AQ13" s="12" t="n">
        <f aca="false">AM13-AN13-AO13</f>
        <v>0</v>
      </c>
    </row>
    <row r="14" customFormat="false" ht="15" hidden="false" customHeight="false" outlineLevel="0" collapsed="false">
      <c r="B14" s="8" t="s">
        <v>77</v>
      </c>
      <c r="C14" s="9" t="n">
        <v>2016</v>
      </c>
      <c r="D14" s="10" t="n">
        <v>24007</v>
      </c>
      <c r="E14" s="10" t="n">
        <v>17507</v>
      </c>
      <c r="F14" s="10" t="n">
        <v>46452</v>
      </c>
      <c r="G14" s="10" t="n">
        <v>9019</v>
      </c>
      <c r="H14" s="10" t="n">
        <v>657</v>
      </c>
      <c r="I14" s="10" t="n">
        <v>2422</v>
      </c>
      <c r="J14" s="10" t="n">
        <v>3041</v>
      </c>
      <c r="K14" s="10" t="n">
        <v>4465</v>
      </c>
      <c r="L14" s="10" t="n">
        <v>4998</v>
      </c>
      <c r="M14" s="10" t="n">
        <v>7160</v>
      </c>
      <c r="N14" s="10" t="n">
        <v>1922</v>
      </c>
      <c r="O14" s="10" t="n">
        <v>1665</v>
      </c>
      <c r="P14" s="10" t="n">
        <v>3785</v>
      </c>
      <c r="Q14" s="10" t="n">
        <v>585</v>
      </c>
      <c r="R14" s="10" t="n">
        <v>1408</v>
      </c>
      <c r="S14" s="10" t="n">
        <v>16</v>
      </c>
      <c r="T14" s="10" t="n">
        <v>49948</v>
      </c>
      <c r="U14" s="10" t="n">
        <v>8868</v>
      </c>
      <c r="V14" s="10" t="n">
        <v>6165</v>
      </c>
      <c r="W14" s="10" t="n">
        <v>9908</v>
      </c>
      <c r="X14" s="10" t="n">
        <v>2422</v>
      </c>
      <c r="Y14" s="10" t="n">
        <v>14912</v>
      </c>
      <c r="Z14" s="10" t="n">
        <v>7910</v>
      </c>
      <c r="AA14" s="10" t="n">
        <v>133</v>
      </c>
      <c r="AB14" s="10" t="n">
        <v>23009</v>
      </c>
      <c r="AC14" s="10" t="n">
        <v>6144</v>
      </c>
      <c r="AD14" s="10" t="n">
        <v>2035</v>
      </c>
      <c r="AE14" s="10" t="n">
        <v>1479</v>
      </c>
      <c r="AF14" s="10" t="n">
        <v>213</v>
      </c>
      <c r="AG14" s="10" t="n">
        <v>805</v>
      </c>
      <c r="AH14" s="10" t="n">
        <v>777</v>
      </c>
      <c r="AI14" s="10" t="n">
        <v>5203</v>
      </c>
      <c r="AJ14" s="10" t="n">
        <v>814</v>
      </c>
      <c r="AK14" s="10" t="n">
        <v>4770</v>
      </c>
      <c r="AL14" s="11" t="n">
        <v>19010</v>
      </c>
      <c r="AM14" s="10" t="n">
        <v>-35416</v>
      </c>
      <c r="AN14" s="10" t="n">
        <v>3360</v>
      </c>
      <c r="AO14" s="10" t="n">
        <v>-38775</v>
      </c>
      <c r="AP14" s="11" t="n">
        <v>707695.718537105</v>
      </c>
      <c r="AQ14" s="12" t="n">
        <f aca="false">AM14-AN14-AO14</f>
        <v>-1</v>
      </c>
    </row>
    <row r="15" customFormat="false" ht="15" hidden="false" customHeight="false" outlineLevel="0" collapsed="false">
      <c r="B15" s="8" t="s">
        <v>78</v>
      </c>
      <c r="C15" s="9" t="n">
        <v>2016</v>
      </c>
      <c r="D15" s="10" t="n">
        <v>25256</v>
      </c>
      <c r="E15" s="10" t="n">
        <v>17402</v>
      </c>
      <c r="F15" s="10" t="n">
        <v>46070</v>
      </c>
      <c r="G15" s="10" t="n">
        <v>10122</v>
      </c>
      <c r="H15" s="10" t="n">
        <v>250</v>
      </c>
      <c r="I15" s="10" t="n">
        <v>2463</v>
      </c>
      <c r="J15" s="10" t="n">
        <v>2309</v>
      </c>
      <c r="K15" s="10" t="n">
        <v>5249</v>
      </c>
      <c r="L15" s="10" t="n">
        <v>5294</v>
      </c>
      <c r="M15" s="10" t="n">
        <v>6565</v>
      </c>
      <c r="N15" s="10" t="n">
        <v>1940</v>
      </c>
      <c r="O15" s="10" t="n">
        <v>1387</v>
      </c>
      <c r="P15" s="10" t="n">
        <v>4019</v>
      </c>
      <c r="Q15" s="10" t="n">
        <v>1053</v>
      </c>
      <c r="R15" s="10" t="n">
        <v>2372</v>
      </c>
      <c r="S15" s="10" t="n">
        <v>15</v>
      </c>
      <c r="T15" s="10" t="n">
        <v>56049</v>
      </c>
      <c r="U15" s="10" t="n">
        <v>9669</v>
      </c>
      <c r="V15" s="10" t="n">
        <v>6807</v>
      </c>
      <c r="W15" s="10" t="n">
        <v>6615</v>
      </c>
      <c r="X15" s="10" t="n">
        <v>2593</v>
      </c>
      <c r="Y15" s="10" t="n">
        <v>20204</v>
      </c>
      <c r="Z15" s="10" t="n">
        <v>6592</v>
      </c>
      <c r="AA15" s="10" t="n">
        <v>100</v>
      </c>
      <c r="AB15" s="10" t="n">
        <v>24103</v>
      </c>
      <c r="AC15" s="10" t="n">
        <v>6431</v>
      </c>
      <c r="AD15" s="10" t="n">
        <v>2103</v>
      </c>
      <c r="AE15" s="10" t="n">
        <v>1949</v>
      </c>
      <c r="AF15" s="10" t="n">
        <v>598</v>
      </c>
      <c r="AG15" s="10" t="n">
        <v>423</v>
      </c>
      <c r="AH15" s="10" t="n">
        <v>191</v>
      </c>
      <c r="AI15" s="10" t="n">
        <v>4570</v>
      </c>
      <c r="AJ15" s="10" t="n">
        <v>514</v>
      </c>
      <c r="AK15" s="10" t="n">
        <v>5383</v>
      </c>
      <c r="AL15" s="11" t="n">
        <v>13889</v>
      </c>
      <c r="AM15" s="10" t="n">
        <v>-37017</v>
      </c>
      <c r="AN15" s="10" t="n">
        <v>11979</v>
      </c>
      <c r="AO15" s="10" t="n">
        <v>-48996</v>
      </c>
      <c r="AP15" s="11" t="n">
        <v>719691.674446159</v>
      </c>
      <c r="AQ15" s="12" t="n">
        <f aca="false">AM15-AN15-AO15</f>
        <v>0</v>
      </c>
    </row>
    <row r="16" customFormat="false" ht="15" hidden="false" customHeight="false" outlineLevel="0" collapsed="false">
      <c r="B16" s="8" t="s">
        <v>79</v>
      </c>
      <c r="C16" s="9" t="n">
        <v>2016</v>
      </c>
      <c r="D16" s="10" t="n">
        <v>22917</v>
      </c>
      <c r="E16" s="10" t="n">
        <v>17777</v>
      </c>
      <c r="F16" s="10" t="n">
        <v>46476</v>
      </c>
      <c r="G16" s="10" t="n">
        <v>9186</v>
      </c>
      <c r="H16" s="10" t="n">
        <v>609</v>
      </c>
      <c r="I16" s="10" t="n">
        <v>2498</v>
      </c>
      <c r="J16" s="10" t="n">
        <v>2443</v>
      </c>
      <c r="K16" s="10" t="n">
        <v>4507</v>
      </c>
      <c r="L16" s="10" t="n">
        <v>4790</v>
      </c>
      <c r="M16" s="10" t="n">
        <v>9138</v>
      </c>
      <c r="N16" s="10" t="n">
        <v>1159</v>
      </c>
      <c r="O16" s="10" t="n">
        <v>641</v>
      </c>
      <c r="P16" s="10" t="n">
        <v>4076</v>
      </c>
      <c r="Q16" s="10" t="n">
        <v>698</v>
      </c>
      <c r="R16" s="10" t="n">
        <v>1107</v>
      </c>
      <c r="S16" s="10" t="n">
        <v>51</v>
      </c>
      <c r="T16" s="10" t="n">
        <v>57252</v>
      </c>
      <c r="U16" s="10" t="n">
        <v>9716</v>
      </c>
      <c r="V16" s="10" t="n">
        <v>6742</v>
      </c>
      <c r="W16" s="10" t="n">
        <v>8106</v>
      </c>
      <c r="X16" s="10" t="n">
        <v>2632</v>
      </c>
      <c r="Y16" s="10" t="n">
        <v>25779</v>
      </c>
      <c r="Z16" s="10" t="n">
        <v>6842</v>
      </c>
      <c r="AA16" s="10" t="n">
        <v>106</v>
      </c>
      <c r="AB16" s="10" t="n">
        <v>23635</v>
      </c>
      <c r="AC16" s="10" t="n">
        <v>11007</v>
      </c>
      <c r="AD16" s="10" t="n">
        <v>1688</v>
      </c>
      <c r="AE16" s="10" t="n">
        <v>1620</v>
      </c>
      <c r="AF16" s="10" t="n">
        <v>398</v>
      </c>
      <c r="AG16" s="10" t="n">
        <v>465</v>
      </c>
      <c r="AH16" s="10" t="n">
        <v>1334</v>
      </c>
      <c r="AI16" s="10" t="n">
        <v>5250</v>
      </c>
      <c r="AJ16" s="10" t="n">
        <v>104</v>
      </c>
      <c r="AK16" s="10" t="n">
        <v>4127</v>
      </c>
      <c r="AL16" s="11" t="n">
        <v>23138</v>
      </c>
      <c r="AM16" s="10" t="n">
        <v>-61868</v>
      </c>
      <c r="AN16" s="10" t="n">
        <v>15632</v>
      </c>
      <c r="AO16" s="10" t="n">
        <v>-77500</v>
      </c>
      <c r="AP16" s="11" t="n">
        <v>736175.305652319</v>
      </c>
      <c r="AQ16" s="12" t="n">
        <f aca="false">AM16-AN16-AO16</f>
        <v>0</v>
      </c>
    </row>
    <row r="17" customFormat="false" ht="15" hidden="false" customHeight="false" outlineLevel="0" collapsed="false">
      <c r="B17" s="8" t="s">
        <v>80</v>
      </c>
      <c r="C17" s="9" t="n">
        <v>2016</v>
      </c>
      <c r="D17" s="10" t="n">
        <v>23911</v>
      </c>
      <c r="E17" s="10" t="n">
        <v>19152</v>
      </c>
      <c r="F17" s="10" t="n">
        <v>51942</v>
      </c>
      <c r="G17" s="10" t="n">
        <v>10188</v>
      </c>
      <c r="H17" s="10" t="n">
        <v>176</v>
      </c>
      <c r="I17" s="10" t="n">
        <v>2631</v>
      </c>
      <c r="J17" s="10" t="n">
        <v>2474</v>
      </c>
      <c r="K17" s="10" t="n">
        <v>4313</v>
      </c>
      <c r="L17" s="10" t="n">
        <v>4411</v>
      </c>
      <c r="M17" s="10" t="n">
        <v>18733</v>
      </c>
      <c r="N17" s="10" t="n">
        <v>851</v>
      </c>
      <c r="O17" s="10" t="n">
        <v>489</v>
      </c>
      <c r="P17" s="10" t="n">
        <v>4184</v>
      </c>
      <c r="Q17" s="10" t="n">
        <v>1168</v>
      </c>
      <c r="R17" s="10" t="n">
        <v>997</v>
      </c>
      <c r="S17" s="10" t="n">
        <v>165</v>
      </c>
      <c r="T17" s="10" t="n">
        <v>57463</v>
      </c>
      <c r="U17" s="10" t="n">
        <v>9766</v>
      </c>
      <c r="V17" s="10" t="n">
        <v>9389</v>
      </c>
      <c r="W17" s="10" t="n">
        <v>6946</v>
      </c>
      <c r="X17" s="10" t="n">
        <v>2236</v>
      </c>
      <c r="Y17" s="10" t="n">
        <v>10606</v>
      </c>
      <c r="Z17" s="10" t="n">
        <v>6498</v>
      </c>
      <c r="AA17" s="10" t="n">
        <v>95</v>
      </c>
      <c r="AB17" s="10" t="n">
        <v>22753</v>
      </c>
      <c r="AC17" s="10" t="n">
        <v>8268</v>
      </c>
      <c r="AD17" s="10" t="n">
        <v>816</v>
      </c>
      <c r="AE17" s="10" t="n">
        <v>3081</v>
      </c>
      <c r="AF17" s="10" t="n">
        <v>367</v>
      </c>
      <c r="AG17" s="10" t="n">
        <v>796</v>
      </c>
      <c r="AH17" s="10" t="n">
        <v>1113</v>
      </c>
      <c r="AI17" s="10" t="n">
        <v>5056</v>
      </c>
      <c r="AJ17" s="10" t="n">
        <v>396</v>
      </c>
      <c r="AK17" s="10" t="n">
        <v>2461</v>
      </c>
      <c r="AL17" s="11" t="n">
        <v>10979</v>
      </c>
      <c r="AM17" s="10" t="n">
        <v>-13300</v>
      </c>
      <c r="AN17" s="10" t="n">
        <v>6558</v>
      </c>
      <c r="AO17" s="10" t="n">
        <v>-19858</v>
      </c>
      <c r="AP17" s="11" t="n">
        <v>748654.011226792</v>
      </c>
      <c r="AQ17" s="12" t="n">
        <f aca="false">AM17-AN17-AO17</f>
        <v>0</v>
      </c>
    </row>
    <row r="18" customFormat="false" ht="15" hidden="false" customHeight="false" outlineLevel="0" collapsed="false">
      <c r="B18" s="8" t="s">
        <v>81</v>
      </c>
      <c r="C18" s="9" t="n">
        <v>2016</v>
      </c>
      <c r="D18" s="10" t="n">
        <v>24889</v>
      </c>
      <c r="E18" s="10" t="n">
        <v>21295</v>
      </c>
      <c r="F18" s="10" t="n">
        <v>53371</v>
      </c>
      <c r="G18" s="10" t="n">
        <v>10840</v>
      </c>
      <c r="H18" s="10" t="n">
        <v>569</v>
      </c>
      <c r="I18" s="10" t="n">
        <v>2704</v>
      </c>
      <c r="J18" s="10" t="n">
        <v>3594</v>
      </c>
      <c r="K18" s="10" t="n">
        <v>5104</v>
      </c>
      <c r="L18" s="10" t="n">
        <v>5210</v>
      </c>
      <c r="M18" s="10" t="n">
        <v>96513</v>
      </c>
      <c r="N18" s="10" t="n">
        <v>820</v>
      </c>
      <c r="O18" s="10" t="n">
        <v>2339</v>
      </c>
      <c r="P18" s="10" t="n">
        <v>4323</v>
      </c>
      <c r="Q18" s="10" t="n">
        <v>714</v>
      </c>
      <c r="R18" s="10" t="n">
        <v>1654</v>
      </c>
      <c r="S18" s="10" t="n">
        <v>13</v>
      </c>
      <c r="T18" s="10" t="n">
        <v>85081</v>
      </c>
      <c r="U18" s="10" t="n">
        <v>12294</v>
      </c>
      <c r="V18" s="10" t="n">
        <v>5791</v>
      </c>
      <c r="W18" s="10" t="n">
        <v>9061</v>
      </c>
      <c r="X18" s="10" t="n">
        <v>7833</v>
      </c>
      <c r="Y18" s="10" t="n">
        <v>56827</v>
      </c>
      <c r="Z18" s="10" t="n">
        <v>8863</v>
      </c>
      <c r="AA18" s="10" t="n">
        <v>121</v>
      </c>
      <c r="AB18" s="10" t="n">
        <v>34877</v>
      </c>
      <c r="AC18" s="10" t="n">
        <v>9010</v>
      </c>
      <c r="AD18" s="10" t="n">
        <v>2763</v>
      </c>
      <c r="AE18" s="10" t="n">
        <v>4435</v>
      </c>
      <c r="AF18" s="10" t="n">
        <v>723</v>
      </c>
      <c r="AG18" s="10" t="n">
        <v>603</v>
      </c>
      <c r="AH18" s="10" t="n">
        <v>16926</v>
      </c>
      <c r="AI18" s="10" t="n">
        <v>7925</v>
      </c>
      <c r="AJ18" s="10" t="n">
        <v>1332</v>
      </c>
      <c r="AK18" s="10" t="n">
        <v>5988</v>
      </c>
      <c r="AL18" s="11" t="n">
        <v>22268</v>
      </c>
      <c r="AM18" s="10" t="n">
        <v>-58769</v>
      </c>
      <c r="AN18" s="10" t="n">
        <v>25081</v>
      </c>
      <c r="AO18" s="10" t="n">
        <v>-83850</v>
      </c>
      <c r="AP18" s="11" t="n">
        <v>756122.651516497</v>
      </c>
      <c r="AQ18" s="12" t="n">
        <f aca="false">AM18-AN18-AO18</f>
        <v>0</v>
      </c>
    </row>
    <row r="19" customFormat="false" ht="15" hidden="false" customHeight="false" outlineLevel="0" collapsed="false">
      <c r="B19" s="8" t="s">
        <v>82</v>
      </c>
      <c r="C19" s="9" t="n">
        <v>2017</v>
      </c>
      <c r="D19" s="10" t="n">
        <v>26497</v>
      </c>
      <c r="E19" s="10" t="n">
        <v>21624</v>
      </c>
      <c r="F19" s="10" t="n">
        <v>67192</v>
      </c>
      <c r="G19" s="10" t="n">
        <v>10869</v>
      </c>
      <c r="H19" s="10" t="n">
        <v>168</v>
      </c>
      <c r="I19" s="10" t="n">
        <v>3121</v>
      </c>
      <c r="J19" s="10" t="n">
        <v>2202</v>
      </c>
      <c r="K19" s="10" t="n">
        <v>5999</v>
      </c>
      <c r="L19" s="10" t="n">
        <v>5031</v>
      </c>
      <c r="M19" s="10" t="n">
        <v>17674</v>
      </c>
      <c r="N19" s="10" t="n">
        <v>553</v>
      </c>
      <c r="O19" s="10" t="n">
        <v>3567</v>
      </c>
      <c r="P19" s="10" t="n">
        <v>3843</v>
      </c>
      <c r="Q19" s="10" t="n">
        <v>945</v>
      </c>
      <c r="R19" s="10" t="n">
        <v>970</v>
      </c>
      <c r="S19" s="10" t="n">
        <v>1</v>
      </c>
      <c r="T19" s="10" t="n">
        <v>62980</v>
      </c>
      <c r="U19" s="10" t="n">
        <v>9485</v>
      </c>
      <c r="V19" s="10" t="n">
        <v>8162</v>
      </c>
      <c r="W19" s="10" t="n">
        <v>7802</v>
      </c>
      <c r="X19" s="10" t="n">
        <v>2203</v>
      </c>
      <c r="Y19" s="10" t="n">
        <v>2891</v>
      </c>
      <c r="Z19" s="10" t="n">
        <v>5872</v>
      </c>
      <c r="AA19" s="10" t="n">
        <v>218</v>
      </c>
      <c r="AB19" s="10" t="n">
        <v>26105</v>
      </c>
      <c r="AC19" s="10" t="n">
        <v>7973</v>
      </c>
      <c r="AD19" s="10" t="n">
        <v>2088</v>
      </c>
      <c r="AE19" s="10" t="n">
        <v>667</v>
      </c>
      <c r="AF19" s="10" t="n">
        <v>361</v>
      </c>
      <c r="AG19" s="10" t="n">
        <v>821</v>
      </c>
      <c r="AH19" s="10" t="n">
        <v>1058</v>
      </c>
      <c r="AI19" s="10" t="n">
        <v>5874</v>
      </c>
      <c r="AJ19" s="10" t="n">
        <v>283</v>
      </c>
      <c r="AK19" s="10" t="n">
        <v>4878</v>
      </c>
      <c r="AL19" s="11" t="n">
        <v>16948</v>
      </c>
      <c r="AM19" s="10" t="n">
        <v>3587</v>
      </c>
      <c r="AN19" s="10" t="n">
        <v>9143</v>
      </c>
      <c r="AO19" s="10" t="n">
        <v>-5556</v>
      </c>
      <c r="AP19" s="11" t="n">
        <v>754017.576272635</v>
      </c>
      <c r="AQ19" s="12" t="n">
        <f aca="false">AM19-AN19-AO19</f>
        <v>0</v>
      </c>
    </row>
    <row r="20" customFormat="false" ht="15" hidden="false" customHeight="false" outlineLevel="0" collapsed="false">
      <c r="B20" s="8" t="s">
        <v>83</v>
      </c>
      <c r="C20" s="9" t="n">
        <v>2017</v>
      </c>
      <c r="D20" s="10" t="n">
        <v>24068</v>
      </c>
      <c r="E20" s="10" t="n">
        <v>17376</v>
      </c>
      <c r="F20" s="10" t="n">
        <v>51972</v>
      </c>
      <c r="G20" s="10" t="n">
        <v>9519</v>
      </c>
      <c r="H20" s="10" t="n">
        <v>453</v>
      </c>
      <c r="I20" s="10" t="n">
        <v>2885</v>
      </c>
      <c r="J20" s="10" t="n">
        <v>2404</v>
      </c>
      <c r="K20" s="10" t="n">
        <v>1111</v>
      </c>
      <c r="L20" s="10" t="n">
        <v>4182</v>
      </c>
      <c r="M20" s="10" t="n">
        <v>8215</v>
      </c>
      <c r="N20" s="10" t="n">
        <v>2569</v>
      </c>
      <c r="O20" s="10" t="n">
        <v>5745</v>
      </c>
      <c r="P20" s="10" t="n">
        <v>4374</v>
      </c>
      <c r="Q20" s="10" t="n">
        <v>881</v>
      </c>
      <c r="R20" s="10" t="n">
        <v>692</v>
      </c>
      <c r="S20" s="10" t="n">
        <v>44</v>
      </c>
      <c r="T20" s="10" t="n">
        <v>60483</v>
      </c>
      <c r="U20" s="10" t="n">
        <v>9670</v>
      </c>
      <c r="V20" s="10" t="n">
        <v>7048</v>
      </c>
      <c r="W20" s="10" t="n">
        <v>7245</v>
      </c>
      <c r="X20" s="10" t="n">
        <v>1984</v>
      </c>
      <c r="Y20" s="10" t="n">
        <v>6079</v>
      </c>
      <c r="Z20" s="10" t="n">
        <v>7787</v>
      </c>
      <c r="AA20" s="10" t="n">
        <v>586</v>
      </c>
      <c r="AB20" s="10" t="n">
        <v>24612</v>
      </c>
      <c r="AC20" s="10" t="n">
        <v>4963</v>
      </c>
      <c r="AD20" s="10" t="n">
        <v>3999</v>
      </c>
      <c r="AE20" s="10" t="n">
        <v>667</v>
      </c>
      <c r="AF20" s="10" t="n">
        <v>390</v>
      </c>
      <c r="AG20" s="10" t="n">
        <v>312</v>
      </c>
      <c r="AH20" s="10" t="n">
        <v>327</v>
      </c>
      <c r="AI20" s="10" t="n">
        <v>6759</v>
      </c>
      <c r="AJ20" s="10" t="n">
        <v>44</v>
      </c>
      <c r="AK20" s="10" t="n">
        <v>4325</v>
      </c>
      <c r="AL20" s="11" t="n">
        <v>15957</v>
      </c>
      <c r="AM20" s="10" t="n">
        <v>-26747</v>
      </c>
      <c r="AN20" s="10" t="n">
        <v>3253</v>
      </c>
      <c r="AO20" s="10" t="n">
        <v>-30000</v>
      </c>
      <c r="AP20" s="11" t="n">
        <v>761791.750479649</v>
      </c>
      <c r="AQ20" s="12" t="n">
        <f aca="false">AM20-AN20-AO20</f>
        <v>0</v>
      </c>
    </row>
    <row r="21" customFormat="false" ht="15" hidden="false" customHeight="false" outlineLevel="0" collapsed="false">
      <c r="B21" s="8" t="s">
        <v>84</v>
      </c>
      <c r="C21" s="9" t="n">
        <v>2017</v>
      </c>
      <c r="D21" s="10" t="n">
        <v>23844</v>
      </c>
      <c r="E21" s="10" t="n">
        <v>16294</v>
      </c>
      <c r="F21" s="10" t="n">
        <v>54312</v>
      </c>
      <c r="G21" s="10" t="n">
        <v>10941</v>
      </c>
      <c r="H21" s="10" t="n">
        <v>199</v>
      </c>
      <c r="I21" s="10" t="n">
        <v>2501</v>
      </c>
      <c r="J21" s="10" t="n">
        <v>2773</v>
      </c>
      <c r="K21" s="10" t="n">
        <v>5875</v>
      </c>
      <c r="L21" s="10" t="n">
        <v>5292</v>
      </c>
      <c r="M21" s="10" t="n">
        <v>26516</v>
      </c>
      <c r="N21" s="10" t="n">
        <v>1659</v>
      </c>
      <c r="O21" s="10" t="n">
        <v>4297</v>
      </c>
      <c r="P21" s="10" t="n">
        <v>4241</v>
      </c>
      <c r="Q21" s="10" t="n">
        <v>868</v>
      </c>
      <c r="R21" s="10" t="n">
        <v>1326</v>
      </c>
      <c r="S21" s="10" t="n">
        <v>3</v>
      </c>
      <c r="T21" s="10" t="n">
        <v>66509</v>
      </c>
      <c r="U21" s="10" t="n">
        <v>16350</v>
      </c>
      <c r="V21" s="10" t="n">
        <v>7911</v>
      </c>
      <c r="W21" s="10" t="n">
        <v>7887</v>
      </c>
      <c r="X21" s="10" t="n">
        <v>2581</v>
      </c>
      <c r="Y21" s="10" t="n">
        <v>5753</v>
      </c>
      <c r="Z21" s="10" t="n">
        <v>6142</v>
      </c>
      <c r="AA21" s="10" t="n">
        <v>583</v>
      </c>
      <c r="AB21" s="10" t="n">
        <v>23870</v>
      </c>
      <c r="AC21" s="10" t="n">
        <v>6644</v>
      </c>
      <c r="AD21" s="10" t="n">
        <v>2709</v>
      </c>
      <c r="AE21" s="10" t="n">
        <v>672</v>
      </c>
      <c r="AF21" s="10" t="n">
        <v>130</v>
      </c>
      <c r="AG21" s="10" t="n">
        <v>498</v>
      </c>
      <c r="AH21" s="10" t="n">
        <v>2134</v>
      </c>
      <c r="AI21" s="10" t="n">
        <v>6298</v>
      </c>
      <c r="AJ21" s="10" t="n">
        <v>23</v>
      </c>
      <c r="AK21" s="10" t="n">
        <v>3943</v>
      </c>
      <c r="AL21" s="11" t="n">
        <v>18488</v>
      </c>
      <c r="AM21" s="10" t="n">
        <v>-18184</v>
      </c>
      <c r="AN21" s="10" t="n">
        <v>16897</v>
      </c>
      <c r="AO21" s="10" t="n">
        <v>-35081</v>
      </c>
      <c r="AP21" s="11" t="n">
        <v>794410.105997306</v>
      </c>
      <c r="AQ21" s="12" t="n">
        <f aca="false">AM21-AN21-AO21</f>
        <v>0</v>
      </c>
    </row>
    <row r="22" customFormat="false" ht="15" hidden="false" customHeight="false" outlineLevel="0" collapsed="false">
      <c r="B22" s="8" t="s">
        <v>85</v>
      </c>
      <c r="C22" s="9" t="n">
        <v>2017</v>
      </c>
      <c r="D22" s="10" t="n">
        <v>26919</v>
      </c>
      <c r="E22" s="10" t="n">
        <v>14552</v>
      </c>
      <c r="F22" s="10" t="n">
        <v>56286</v>
      </c>
      <c r="G22" s="10" t="n">
        <v>10818</v>
      </c>
      <c r="H22" s="10" t="n">
        <v>487</v>
      </c>
      <c r="I22" s="10" t="n">
        <v>2821</v>
      </c>
      <c r="J22" s="10" t="n">
        <v>4521</v>
      </c>
      <c r="K22" s="10" t="n">
        <v>9223</v>
      </c>
      <c r="L22" s="10" t="n">
        <v>4684</v>
      </c>
      <c r="M22" s="10" t="n">
        <v>18620</v>
      </c>
      <c r="N22" s="10" t="n">
        <v>1333</v>
      </c>
      <c r="O22" s="10" t="n">
        <v>2088</v>
      </c>
      <c r="P22" s="10" t="n">
        <v>5534</v>
      </c>
      <c r="Q22" s="10" t="n">
        <v>640</v>
      </c>
      <c r="R22" s="10" t="n">
        <v>1030</v>
      </c>
      <c r="S22" s="10" t="n">
        <v>2</v>
      </c>
      <c r="T22" s="10" t="n">
        <v>65186</v>
      </c>
      <c r="U22" s="10" t="n">
        <v>10204</v>
      </c>
      <c r="V22" s="10" t="n">
        <v>7557</v>
      </c>
      <c r="W22" s="10" t="n">
        <v>7080</v>
      </c>
      <c r="X22" s="10" t="n">
        <v>1958</v>
      </c>
      <c r="Y22" s="10" t="n">
        <v>9759</v>
      </c>
      <c r="Z22" s="10" t="n">
        <v>8340</v>
      </c>
      <c r="AA22" s="10" t="n">
        <v>779</v>
      </c>
      <c r="AB22" s="10" t="n">
        <v>23747</v>
      </c>
      <c r="AC22" s="10" t="n">
        <v>7465</v>
      </c>
      <c r="AD22" s="10" t="n">
        <v>2151</v>
      </c>
      <c r="AE22" s="10" t="n">
        <v>667</v>
      </c>
      <c r="AF22" s="10" t="n">
        <v>381</v>
      </c>
      <c r="AG22" s="10" t="n">
        <v>536</v>
      </c>
      <c r="AH22" s="10" t="n">
        <v>870</v>
      </c>
      <c r="AI22" s="10" t="n">
        <v>6519</v>
      </c>
      <c r="AJ22" s="10" t="n">
        <v>898</v>
      </c>
      <c r="AK22" s="10" t="n">
        <v>4150</v>
      </c>
      <c r="AL22" s="11" t="n">
        <v>19975</v>
      </c>
      <c r="AM22" s="10" t="n">
        <v>-18664</v>
      </c>
      <c r="AN22" s="10" t="n">
        <v>30348</v>
      </c>
      <c r="AO22" s="10" t="n">
        <v>-49012</v>
      </c>
      <c r="AP22" s="11" t="n">
        <v>848673.994215053</v>
      </c>
      <c r="AQ22" s="12" t="n">
        <f aca="false">AM22-AN22-AO22</f>
        <v>0</v>
      </c>
    </row>
    <row r="23" customFormat="false" ht="15" hidden="false" customHeight="false" outlineLevel="0" collapsed="false">
      <c r="B23" s="8" t="s">
        <v>86</v>
      </c>
      <c r="C23" s="9" t="n">
        <v>2017</v>
      </c>
      <c r="D23" s="10" t="n">
        <v>26732</v>
      </c>
      <c r="E23" s="10" t="n">
        <v>25683</v>
      </c>
      <c r="F23" s="10" t="n">
        <v>57242</v>
      </c>
      <c r="G23" s="10" t="n">
        <v>10758</v>
      </c>
      <c r="H23" s="10" t="n">
        <v>217</v>
      </c>
      <c r="I23" s="10" t="n">
        <v>2601</v>
      </c>
      <c r="J23" s="10" t="n">
        <v>3676</v>
      </c>
      <c r="K23" s="10" t="n">
        <v>6162</v>
      </c>
      <c r="L23" s="10" t="n">
        <v>4922</v>
      </c>
      <c r="M23" s="10" t="n">
        <v>8884</v>
      </c>
      <c r="N23" s="10" t="n">
        <v>981</v>
      </c>
      <c r="O23" s="10" t="n">
        <v>3050</v>
      </c>
      <c r="P23" s="10" t="n">
        <v>5045</v>
      </c>
      <c r="Q23" s="10" t="n">
        <v>56</v>
      </c>
      <c r="R23" s="10" t="n">
        <v>912</v>
      </c>
      <c r="S23" s="10" t="n">
        <v>16</v>
      </c>
      <c r="T23" s="10" t="n">
        <v>69836</v>
      </c>
      <c r="U23" s="10" t="n">
        <v>12032</v>
      </c>
      <c r="V23" s="10" t="n">
        <v>8357</v>
      </c>
      <c r="W23" s="10" t="n">
        <v>7874</v>
      </c>
      <c r="X23" s="10" t="n">
        <v>2592</v>
      </c>
      <c r="Y23" s="10" t="n">
        <v>9241</v>
      </c>
      <c r="Z23" s="10" t="n">
        <v>7735</v>
      </c>
      <c r="AA23" s="10" t="n">
        <v>1140</v>
      </c>
      <c r="AB23" s="10" t="n">
        <v>23921</v>
      </c>
      <c r="AC23" s="10" t="n">
        <v>8462</v>
      </c>
      <c r="AD23" s="10" t="n">
        <v>2485</v>
      </c>
      <c r="AE23" s="10" t="n">
        <v>667</v>
      </c>
      <c r="AF23" s="10" t="n">
        <v>518</v>
      </c>
      <c r="AG23" s="10" t="n">
        <v>437</v>
      </c>
      <c r="AH23" s="10" t="n">
        <v>664</v>
      </c>
      <c r="AI23" s="10" t="n">
        <v>6479</v>
      </c>
      <c r="AJ23" s="10" t="n">
        <v>69</v>
      </c>
      <c r="AK23" s="10" t="n">
        <v>3364</v>
      </c>
      <c r="AL23" s="11" t="n">
        <v>18303</v>
      </c>
      <c r="AM23" s="10" t="n">
        <v>-27239</v>
      </c>
      <c r="AN23" s="10" t="n">
        <v>16806</v>
      </c>
      <c r="AO23" s="10" t="n">
        <v>-44045</v>
      </c>
      <c r="AP23" s="11" t="n">
        <v>887666.8392743</v>
      </c>
      <c r="AQ23" s="12" t="n">
        <f aca="false">AM23-AN23-AO23</f>
        <v>0</v>
      </c>
    </row>
    <row r="24" customFormat="false" ht="15" hidden="false" customHeight="false" outlineLevel="0" collapsed="false">
      <c r="B24" s="8" t="s">
        <v>87</v>
      </c>
      <c r="C24" s="9" t="n">
        <v>2017</v>
      </c>
      <c r="D24" s="10" t="n">
        <v>28188</v>
      </c>
      <c r="E24" s="10" t="n">
        <v>29959</v>
      </c>
      <c r="F24" s="10" t="n">
        <v>53915</v>
      </c>
      <c r="G24" s="10" t="n">
        <v>12154</v>
      </c>
      <c r="H24" s="10" t="n">
        <v>1741</v>
      </c>
      <c r="I24" s="10" t="n">
        <v>2645</v>
      </c>
      <c r="J24" s="10" t="n">
        <v>3734</v>
      </c>
      <c r="K24" s="10" t="n">
        <v>5419</v>
      </c>
      <c r="L24" s="10" t="n">
        <v>5519</v>
      </c>
      <c r="M24" s="10" t="n">
        <v>8389</v>
      </c>
      <c r="N24" s="10" t="n">
        <v>713</v>
      </c>
      <c r="O24" s="10" t="n">
        <v>2742</v>
      </c>
      <c r="P24" s="10" t="n">
        <v>5367</v>
      </c>
      <c r="Q24" s="10" t="n">
        <v>56</v>
      </c>
      <c r="R24" s="10" t="n">
        <v>868</v>
      </c>
      <c r="S24" s="10" t="n">
        <v>241</v>
      </c>
      <c r="T24" s="10" t="n">
        <v>98340</v>
      </c>
      <c r="U24" s="10" t="n">
        <v>11753</v>
      </c>
      <c r="V24" s="10" t="n">
        <v>10042</v>
      </c>
      <c r="W24" s="10" t="n">
        <v>8235</v>
      </c>
      <c r="X24" s="10" t="n">
        <v>3778</v>
      </c>
      <c r="Y24" s="10" t="n">
        <v>10799</v>
      </c>
      <c r="Z24" s="10" t="n">
        <v>6750</v>
      </c>
      <c r="AA24" s="10" t="n">
        <v>1675</v>
      </c>
      <c r="AB24" s="10" t="n">
        <v>25913</v>
      </c>
      <c r="AC24" s="10" t="n">
        <v>11534</v>
      </c>
      <c r="AD24" s="10" t="n">
        <v>2403</v>
      </c>
      <c r="AE24" s="10" t="n">
        <v>667</v>
      </c>
      <c r="AF24" s="10" t="n">
        <v>452</v>
      </c>
      <c r="AG24" s="10" t="n">
        <v>889</v>
      </c>
      <c r="AH24" s="10" t="n">
        <v>676</v>
      </c>
      <c r="AI24" s="10" t="n">
        <v>5838</v>
      </c>
      <c r="AJ24" s="10" t="n">
        <v>1156</v>
      </c>
      <c r="AK24" s="10" t="n">
        <v>2673</v>
      </c>
      <c r="AL24" s="11" t="n">
        <v>15116</v>
      </c>
      <c r="AM24" s="10" t="n">
        <v>-57039</v>
      </c>
      <c r="AN24" s="10" t="n">
        <v>34813</v>
      </c>
      <c r="AO24" s="10" t="n">
        <v>-91852</v>
      </c>
      <c r="AP24" s="11" t="n">
        <v>903211.242671434</v>
      </c>
      <c r="AQ24" s="12" t="n">
        <f aca="false">AM24-AN24-AO24</f>
        <v>0</v>
      </c>
    </row>
    <row r="25" customFormat="false" ht="15" hidden="false" customHeight="false" outlineLevel="0" collapsed="false">
      <c r="B25" s="8" t="s">
        <v>88</v>
      </c>
      <c r="C25" s="9" t="n">
        <v>2017</v>
      </c>
      <c r="D25" s="10" t="n">
        <v>29200</v>
      </c>
      <c r="E25" s="10" t="n">
        <v>25373</v>
      </c>
      <c r="F25" s="10" t="n">
        <v>77911</v>
      </c>
      <c r="G25" s="10" t="n">
        <v>12252</v>
      </c>
      <c r="H25" s="10" t="n">
        <v>1340</v>
      </c>
      <c r="I25" s="10" t="n">
        <v>2730</v>
      </c>
      <c r="J25" s="10" t="n">
        <v>3703</v>
      </c>
      <c r="K25" s="10" t="n">
        <v>7621</v>
      </c>
      <c r="L25" s="10" t="n">
        <v>5551</v>
      </c>
      <c r="M25" s="10" t="n">
        <v>8204</v>
      </c>
      <c r="N25" s="10" t="n">
        <v>2918</v>
      </c>
      <c r="O25" s="10" t="n">
        <v>2160</v>
      </c>
      <c r="P25" s="10" t="n">
        <v>5008</v>
      </c>
      <c r="Q25" s="10" t="n">
        <v>31</v>
      </c>
      <c r="R25" s="10" t="n">
        <v>1133</v>
      </c>
      <c r="S25" s="10" t="n">
        <v>3</v>
      </c>
      <c r="T25" s="10" t="n">
        <v>72582</v>
      </c>
      <c r="U25" s="10" t="n">
        <v>10945</v>
      </c>
      <c r="V25" s="10" t="n">
        <v>7770</v>
      </c>
      <c r="W25" s="10" t="n">
        <v>10356</v>
      </c>
      <c r="X25" s="10" t="n">
        <v>2628</v>
      </c>
      <c r="Y25" s="10" t="n">
        <v>11105</v>
      </c>
      <c r="Z25" s="10" t="n">
        <v>8024</v>
      </c>
      <c r="AA25" s="10" t="n">
        <v>1023</v>
      </c>
      <c r="AB25" s="10" t="n">
        <v>35041</v>
      </c>
      <c r="AC25" s="10" t="n">
        <v>8827</v>
      </c>
      <c r="AD25" s="10" t="n">
        <v>2407</v>
      </c>
      <c r="AE25" s="10" t="n">
        <v>667</v>
      </c>
      <c r="AF25" s="10" t="n">
        <v>450</v>
      </c>
      <c r="AG25" s="10" t="n">
        <v>567</v>
      </c>
      <c r="AH25" s="10" t="n">
        <v>1938</v>
      </c>
      <c r="AI25" s="10" t="n">
        <v>8855</v>
      </c>
      <c r="AJ25" s="10" t="n">
        <v>32</v>
      </c>
      <c r="AK25" s="10" t="n">
        <v>3236</v>
      </c>
      <c r="AL25" s="11" t="n">
        <v>20775</v>
      </c>
      <c r="AM25" s="10" t="n">
        <v>-22090</v>
      </c>
      <c r="AN25" s="10" t="n">
        <v>10631</v>
      </c>
      <c r="AO25" s="10" t="n">
        <v>-32721</v>
      </c>
      <c r="AP25" s="11" t="n">
        <v>910145.355006405</v>
      </c>
      <c r="AQ25" s="12" t="n">
        <f aca="false">AM25-AN25-AO25</f>
        <v>0</v>
      </c>
    </row>
    <row r="26" customFormat="false" ht="15" hidden="false" customHeight="false" outlineLevel="0" collapsed="false">
      <c r="B26" s="8" t="s">
        <v>89</v>
      </c>
      <c r="C26" s="9" t="n">
        <v>2017</v>
      </c>
      <c r="D26" s="10" t="n">
        <v>31747</v>
      </c>
      <c r="E26" s="10" t="n">
        <v>23787</v>
      </c>
      <c r="F26" s="10" t="n">
        <v>58459</v>
      </c>
      <c r="G26" s="10" t="n">
        <v>12029</v>
      </c>
      <c r="H26" s="10" t="n">
        <v>1050</v>
      </c>
      <c r="I26" s="10" t="n">
        <v>2948</v>
      </c>
      <c r="J26" s="10" t="n">
        <v>3729</v>
      </c>
      <c r="K26" s="10" t="n">
        <v>6450</v>
      </c>
      <c r="L26" s="10" t="n">
        <v>6780</v>
      </c>
      <c r="M26" s="10" t="n">
        <v>8161</v>
      </c>
      <c r="N26" s="10" t="n">
        <v>2678</v>
      </c>
      <c r="O26" s="10" t="n">
        <v>4030</v>
      </c>
      <c r="P26" s="10" t="n">
        <v>5537</v>
      </c>
      <c r="Q26" s="10" t="n">
        <v>41</v>
      </c>
      <c r="R26" s="10" t="n">
        <v>1052</v>
      </c>
      <c r="S26" s="10" t="n">
        <v>10</v>
      </c>
      <c r="T26" s="10" t="n">
        <v>70302</v>
      </c>
      <c r="U26" s="10" t="n">
        <v>11635</v>
      </c>
      <c r="V26" s="10" t="n">
        <v>7950</v>
      </c>
      <c r="W26" s="10" t="n">
        <v>8589</v>
      </c>
      <c r="X26" s="10" t="n">
        <v>3643</v>
      </c>
      <c r="Y26" s="10" t="n">
        <v>9157</v>
      </c>
      <c r="Z26" s="10" t="n">
        <v>6076</v>
      </c>
      <c r="AA26" s="10" t="n">
        <v>834</v>
      </c>
      <c r="AB26" s="10" t="n">
        <v>27073</v>
      </c>
      <c r="AC26" s="10" t="n">
        <v>8695</v>
      </c>
      <c r="AD26" s="10" t="n">
        <v>2512</v>
      </c>
      <c r="AE26" s="10" t="n">
        <v>667</v>
      </c>
      <c r="AF26" s="10" t="n">
        <v>510</v>
      </c>
      <c r="AG26" s="10" t="n">
        <v>748</v>
      </c>
      <c r="AH26" s="10" t="n">
        <v>1312</v>
      </c>
      <c r="AI26" s="10" t="n">
        <v>7176</v>
      </c>
      <c r="AJ26" s="10" t="n">
        <v>2834</v>
      </c>
      <c r="AK26" s="10" t="n">
        <v>4038</v>
      </c>
      <c r="AL26" s="11" t="n">
        <v>19388</v>
      </c>
      <c r="AM26" s="10" t="n">
        <v>-24651</v>
      </c>
      <c r="AN26" s="10" t="n">
        <v>6895</v>
      </c>
      <c r="AO26" s="10" t="n">
        <v>-31545</v>
      </c>
      <c r="AP26" s="11" t="n">
        <v>926083.391578565</v>
      </c>
      <c r="AQ26" s="12" t="n">
        <f aca="false">AM26-AN26-AO26</f>
        <v>-1</v>
      </c>
    </row>
    <row r="27" customFormat="false" ht="15" hidden="false" customHeight="false" outlineLevel="0" collapsed="false">
      <c r="B27" s="8" t="s">
        <v>90</v>
      </c>
      <c r="C27" s="9" t="n">
        <v>2017</v>
      </c>
      <c r="D27" s="10" t="n">
        <v>31390</v>
      </c>
      <c r="E27" s="10" t="n">
        <v>25382</v>
      </c>
      <c r="F27" s="10" t="n">
        <v>60214</v>
      </c>
      <c r="G27" s="10" t="n">
        <v>13200</v>
      </c>
      <c r="H27" s="10" t="n">
        <v>966</v>
      </c>
      <c r="I27" s="10" t="n">
        <v>3099</v>
      </c>
      <c r="J27" s="10" t="n">
        <v>3396</v>
      </c>
      <c r="K27" s="10" t="n">
        <v>4812</v>
      </c>
      <c r="L27" s="10" t="n">
        <v>6495</v>
      </c>
      <c r="M27" s="10" t="n">
        <v>8026</v>
      </c>
      <c r="N27" s="10" t="n">
        <v>1214</v>
      </c>
      <c r="O27" s="10" t="n">
        <v>2457</v>
      </c>
      <c r="P27" s="10" t="n">
        <v>4680</v>
      </c>
      <c r="Q27" s="10" t="n">
        <v>121</v>
      </c>
      <c r="R27" s="10" t="n">
        <v>851</v>
      </c>
      <c r="S27" s="10" t="n">
        <v>402</v>
      </c>
      <c r="T27" s="10" t="n">
        <v>77813</v>
      </c>
      <c r="U27" s="10" t="n">
        <v>12133</v>
      </c>
      <c r="V27" s="10" t="n">
        <v>8593</v>
      </c>
      <c r="W27" s="10" t="n">
        <v>8856</v>
      </c>
      <c r="X27" s="10" t="n">
        <v>4088</v>
      </c>
      <c r="Y27" s="10" t="n">
        <v>8295</v>
      </c>
      <c r="Z27" s="10" t="n">
        <v>6252</v>
      </c>
      <c r="AA27" s="10" t="n">
        <v>1028</v>
      </c>
      <c r="AB27" s="10" t="n">
        <v>27449</v>
      </c>
      <c r="AC27" s="10" t="n">
        <v>9433</v>
      </c>
      <c r="AD27" s="10" t="n">
        <v>2960</v>
      </c>
      <c r="AE27" s="10" t="n">
        <v>784</v>
      </c>
      <c r="AF27" s="10" t="n">
        <v>326</v>
      </c>
      <c r="AG27" s="10" t="n">
        <v>582</v>
      </c>
      <c r="AH27" s="10" t="n">
        <v>1078</v>
      </c>
      <c r="AI27" s="10" t="n">
        <v>6893</v>
      </c>
      <c r="AJ27" s="10" t="n">
        <v>616</v>
      </c>
      <c r="AK27" s="10" t="n">
        <v>3456</v>
      </c>
      <c r="AL27" s="11" t="n">
        <v>17423</v>
      </c>
      <c r="AM27" s="10" t="n">
        <v>-31353</v>
      </c>
      <c r="AN27" s="10" t="n">
        <v>19824</v>
      </c>
      <c r="AO27" s="10" t="n">
        <v>-51177</v>
      </c>
      <c r="AP27" s="11" t="n">
        <v>942876.832882355</v>
      </c>
      <c r="AQ27" s="12" t="n">
        <f aca="false">AM27-AN27-AO27</f>
        <v>0</v>
      </c>
    </row>
    <row r="28" customFormat="false" ht="15" hidden="false" customHeight="false" outlineLevel="0" collapsed="false">
      <c r="B28" s="8" t="s">
        <v>91</v>
      </c>
      <c r="C28" s="9" t="n">
        <v>2017</v>
      </c>
      <c r="D28" s="10" t="n">
        <v>31759</v>
      </c>
      <c r="E28" s="10" t="n">
        <v>23973</v>
      </c>
      <c r="F28" s="10" t="n">
        <v>62465</v>
      </c>
      <c r="G28" s="10" t="n">
        <v>11792</v>
      </c>
      <c r="H28" s="10" t="n">
        <v>1041</v>
      </c>
      <c r="I28" s="10" t="n">
        <v>3210</v>
      </c>
      <c r="J28" s="10" t="n">
        <v>3219</v>
      </c>
      <c r="K28" s="10" t="n">
        <v>3741</v>
      </c>
      <c r="L28" s="10" t="n">
        <v>6524</v>
      </c>
      <c r="M28" s="10" t="n">
        <v>8033</v>
      </c>
      <c r="N28" s="10" t="n">
        <v>2849</v>
      </c>
      <c r="O28" s="10" t="n">
        <v>2505</v>
      </c>
      <c r="P28" s="10" t="n">
        <v>5728</v>
      </c>
      <c r="Q28" s="10" t="n">
        <v>91</v>
      </c>
      <c r="R28" s="10" t="n">
        <v>817</v>
      </c>
      <c r="S28" s="10" t="n">
        <v>1009</v>
      </c>
      <c r="T28" s="10" t="n">
        <v>81403</v>
      </c>
      <c r="U28" s="10" t="n">
        <v>12190</v>
      </c>
      <c r="V28" s="10" t="n">
        <v>8488</v>
      </c>
      <c r="W28" s="10" t="n">
        <v>8644</v>
      </c>
      <c r="X28" s="10" t="n">
        <v>3217</v>
      </c>
      <c r="Y28" s="10" t="n">
        <v>9108</v>
      </c>
      <c r="Z28" s="10" t="n">
        <v>6739</v>
      </c>
      <c r="AA28" s="10" t="n">
        <v>803</v>
      </c>
      <c r="AB28" s="10" t="n">
        <v>27699</v>
      </c>
      <c r="AC28" s="10" t="n">
        <v>8314</v>
      </c>
      <c r="AD28" s="10" t="n">
        <v>2630</v>
      </c>
      <c r="AE28" s="10" t="n">
        <v>680</v>
      </c>
      <c r="AF28" s="10" t="n">
        <v>523</v>
      </c>
      <c r="AG28" s="10" t="n">
        <v>918</v>
      </c>
      <c r="AH28" s="10" t="n">
        <v>755</v>
      </c>
      <c r="AI28" s="10" t="n">
        <v>6842</v>
      </c>
      <c r="AJ28" s="10" t="n">
        <v>852</v>
      </c>
      <c r="AK28" s="10" t="n">
        <v>4724</v>
      </c>
      <c r="AL28" s="11" t="n">
        <v>16722</v>
      </c>
      <c r="AM28" s="10" t="n">
        <v>-32495</v>
      </c>
      <c r="AN28" s="10" t="n">
        <v>29437</v>
      </c>
      <c r="AO28" s="10" t="n">
        <v>-61932</v>
      </c>
      <c r="AP28" s="11" t="n">
        <v>959028.891983632</v>
      </c>
      <c r="AQ28" s="12" t="n">
        <f aca="false">AM28-AN28-AO28</f>
        <v>0</v>
      </c>
    </row>
    <row r="29" customFormat="false" ht="15" hidden="false" customHeight="false" outlineLevel="0" collapsed="false">
      <c r="B29" s="8" t="s">
        <v>92</v>
      </c>
      <c r="C29" s="9" t="n">
        <v>2017</v>
      </c>
      <c r="D29" s="10" t="n">
        <v>33842</v>
      </c>
      <c r="E29" s="10" t="n">
        <v>23293</v>
      </c>
      <c r="F29" s="10" t="n">
        <v>62415</v>
      </c>
      <c r="G29" s="10" t="n">
        <v>12948</v>
      </c>
      <c r="H29" s="10" t="n">
        <v>362</v>
      </c>
      <c r="I29" s="10" t="n">
        <v>3274</v>
      </c>
      <c r="J29" s="10" t="n">
        <v>3144</v>
      </c>
      <c r="K29" s="10" t="n">
        <v>4074</v>
      </c>
      <c r="L29" s="10" t="n">
        <v>6596</v>
      </c>
      <c r="M29" s="10" t="n">
        <v>8865</v>
      </c>
      <c r="N29" s="10" t="n">
        <v>1618</v>
      </c>
      <c r="O29" s="10" t="n">
        <v>4940</v>
      </c>
      <c r="P29" s="10" t="n">
        <v>5107</v>
      </c>
      <c r="Q29" s="10" t="n">
        <v>652</v>
      </c>
      <c r="R29" s="10" t="n">
        <v>970</v>
      </c>
      <c r="S29" s="10" t="n">
        <v>574</v>
      </c>
      <c r="T29" s="10" t="n">
        <v>80886</v>
      </c>
      <c r="U29" s="10" t="n">
        <v>12449</v>
      </c>
      <c r="V29" s="10" t="n">
        <v>9191</v>
      </c>
      <c r="W29" s="10" t="n">
        <v>8673</v>
      </c>
      <c r="X29" s="10" t="n">
        <v>4018</v>
      </c>
      <c r="Y29" s="10" t="n">
        <v>8274</v>
      </c>
      <c r="Z29" s="10" t="n">
        <v>8240</v>
      </c>
      <c r="AA29" s="10" t="n">
        <v>316</v>
      </c>
      <c r="AB29" s="10" t="n">
        <v>28340</v>
      </c>
      <c r="AC29" s="10" t="n">
        <v>11753</v>
      </c>
      <c r="AD29" s="10" t="n">
        <v>2590</v>
      </c>
      <c r="AE29" s="10" t="n">
        <v>2060</v>
      </c>
      <c r="AF29" s="10" t="n">
        <v>205</v>
      </c>
      <c r="AG29" s="10" t="n">
        <v>670</v>
      </c>
      <c r="AH29" s="10" t="n">
        <v>842</v>
      </c>
      <c r="AI29" s="10" t="n">
        <v>6889</v>
      </c>
      <c r="AJ29" s="10" t="n">
        <v>162</v>
      </c>
      <c r="AK29" s="10" t="n">
        <v>4664</v>
      </c>
      <c r="AL29" s="11" t="n">
        <v>12113</v>
      </c>
      <c r="AM29" s="10" t="n">
        <v>-29661</v>
      </c>
      <c r="AN29" s="10" t="n">
        <v>16360</v>
      </c>
      <c r="AO29" s="10" t="n">
        <v>-46021</v>
      </c>
      <c r="AP29" s="11" t="n">
        <v>976419.761480507</v>
      </c>
      <c r="AQ29" s="12" t="n">
        <f aca="false">AM29-AN29-AO29</f>
        <v>0</v>
      </c>
    </row>
    <row r="30" customFormat="false" ht="15" hidden="false" customHeight="false" outlineLevel="0" collapsed="false">
      <c r="B30" s="8" t="s">
        <v>93</v>
      </c>
      <c r="C30" s="9" t="n">
        <v>2017</v>
      </c>
      <c r="D30" s="10" t="n">
        <v>34370</v>
      </c>
      <c r="E30" s="10" t="n">
        <v>26877</v>
      </c>
      <c r="F30" s="10" t="n">
        <v>64872</v>
      </c>
      <c r="G30" s="10" t="n">
        <v>11726</v>
      </c>
      <c r="H30" s="10" t="n">
        <v>836</v>
      </c>
      <c r="I30" s="10" t="n">
        <v>3024</v>
      </c>
      <c r="J30" s="10" t="n">
        <v>4748</v>
      </c>
      <c r="K30" s="10" t="n">
        <v>5138</v>
      </c>
      <c r="L30" s="10" t="n">
        <v>4598</v>
      </c>
      <c r="M30" s="10" t="n">
        <v>9528</v>
      </c>
      <c r="N30" s="10" t="n">
        <v>5776</v>
      </c>
      <c r="O30" s="10" t="n">
        <v>8670</v>
      </c>
      <c r="P30" s="10" t="n">
        <v>6738</v>
      </c>
      <c r="Q30" s="10" t="n">
        <v>2209</v>
      </c>
      <c r="R30" s="10" t="n">
        <v>929</v>
      </c>
      <c r="S30" s="10" t="n">
        <v>465</v>
      </c>
      <c r="T30" s="10" t="n">
        <v>115823</v>
      </c>
      <c r="U30" s="10" t="n">
        <v>12710</v>
      </c>
      <c r="V30" s="10" t="n">
        <v>9331</v>
      </c>
      <c r="W30" s="10" t="n">
        <v>9949</v>
      </c>
      <c r="X30" s="10" t="n">
        <v>6548</v>
      </c>
      <c r="Y30" s="10" t="n">
        <v>35193</v>
      </c>
      <c r="Z30" s="10" t="n">
        <v>12539</v>
      </c>
      <c r="AA30" s="10" t="n">
        <v>573</v>
      </c>
      <c r="AB30" s="10" t="n">
        <v>39425</v>
      </c>
      <c r="AC30" s="10" t="n">
        <v>10471</v>
      </c>
      <c r="AD30" s="10" t="n">
        <v>2702</v>
      </c>
      <c r="AE30" s="10" t="n">
        <v>1988</v>
      </c>
      <c r="AF30" s="10" t="n">
        <v>388</v>
      </c>
      <c r="AG30" s="10" t="n">
        <v>659</v>
      </c>
      <c r="AH30" s="10" t="n">
        <v>16247</v>
      </c>
      <c r="AI30" s="10" t="n">
        <v>10353</v>
      </c>
      <c r="AJ30" s="10" t="n">
        <v>1574</v>
      </c>
      <c r="AK30" s="10" t="n">
        <v>6904</v>
      </c>
      <c r="AL30" s="11" t="n">
        <v>16734</v>
      </c>
      <c r="AM30" s="10" t="n">
        <v>-119607</v>
      </c>
      <c r="AN30" s="10" t="n">
        <v>30501</v>
      </c>
      <c r="AO30" s="10" t="n">
        <v>-150108</v>
      </c>
      <c r="AP30" s="11" t="n">
        <v>995902.752966615</v>
      </c>
      <c r="AQ30" s="12" t="n">
        <f aca="false">AM30-AN30-AO30</f>
        <v>0</v>
      </c>
    </row>
    <row r="31" customFormat="false" ht="15" hidden="false" customHeight="false" outlineLevel="0" collapsed="false">
      <c r="B31" s="8" t="s">
        <v>94</v>
      </c>
      <c r="C31" s="9" t="n">
        <v>2018</v>
      </c>
      <c r="D31" s="10" t="n">
        <v>38433</v>
      </c>
      <c r="E31" s="10" t="n">
        <v>19291</v>
      </c>
      <c r="F31" s="10" t="n">
        <v>86642</v>
      </c>
      <c r="G31" s="10" t="n">
        <v>19130</v>
      </c>
      <c r="H31" s="10" t="n">
        <v>250</v>
      </c>
      <c r="I31" s="10" t="n">
        <v>3481</v>
      </c>
      <c r="J31" s="10" t="n">
        <v>2274</v>
      </c>
      <c r="K31" s="10" t="n">
        <v>2708</v>
      </c>
      <c r="L31" s="10" t="n">
        <v>7781</v>
      </c>
      <c r="M31" s="10" t="n">
        <v>7516</v>
      </c>
      <c r="N31" s="10" t="n">
        <v>5878</v>
      </c>
      <c r="O31" s="10" t="n">
        <v>1508</v>
      </c>
      <c r="P31" s="10" t="n">
        <v>7470</v>
      </c>
      <c r="Q31" s="10" t="n">
        <v>68</v>
      </c>
      <c r="R31" s="10" t="n">
        <v>651</v>
      </c>
      <c r="S31" s="10" t="n">
        <v>50</v>
      </c>
      <c r="T31" s="10" t="n">
        <v>85101</v>
      </c>
      <c r="U31" s="10" t="n">
        <v>12216</v>
      </c>
      <c r="V31" s="10" t="n">
        <v>7136</v>
      </c>
      <c r="W31" s="10" t="n">
        <v>11252</v>
      </c>
      <c r="X31" s="10" t="n">
        <v>1549</v>
      </c>
      <c r="Y31" s="10" t="n">
        <v>2591</v>
      </c>
      <c r="Z31" s="10" t="n">
        <v>6199</v>
      </c>
      <c r="AA31" s="10" t="n">
        <v>359</v>
      </c>
      <c r="AB31" s="10" t="n">
        <v>31442</v>
      </c>
      <c r="AC31" s="10" t="n">
        <v>10314</v>
      </c>
      <c r="AD31" s="10" t="n">
        <v>2125</v>
      </c>
      <c r="AE31" s="10" t="n">
        <v>1524</v>
      </c>
      <c r="AF31" s="10" t="n">
        <v>357</v>
      </c>
      <c r="AG31" s="10" t="n">
        <v>1219</v>
      </c>
      <c r="AH31" s="10" t="n">
        <v>1778</v>
      </c>
      <c r="AI31" s="10" t="n">
        <v>7358</v>
      </c>
      <c r="AJ31" s="10" t="n">
        <v>1433</v>
      </c>
      <c r="AK31" s="10" t="n">
        <v>5100</v>
      </c>
      <c r="AL31" s="11" t="n">
        <v>10149</v>
      </c>
      <c r="AM31" s="10" t="n">
        <v>3929</v>
      </c>
      <c r="AN31" s="10" t="n">
        <v>29818</v>
      </c>
      <c r="AO31" s="10" t="n">
        <v>-25889</v>
      </c>
      <c r="AP31" s="11" t="n">
        <v>1008048.68888589</v>
      </c>
      <c r="AQ31" s="12" t="n">
        <f aca="false">AM31-AN31-AO31</f>
        <v>0</v>
      </c>
    </row>
    <row r="32" customFormat="false" ht="15" hidden="false" customHeight="false" outlineLevel="0" collapsed="false">
      <c r="B32" s="8" t="s">
        <v>95</v>
      </c>
      <c r="C32" s="9" t="n">
        <v>2018</v>
      </c>
      <c r="D32" s="10" t="n">
        <v>35211</v>
      </c>
      <c r="E32" s="10" t="n">
        <v>17608</v>
      </c>
      <c r="F32" s="10" t="n">
        <v>67190</v>
      </c>
      <c r="G32" s="10" t="n">
        <v>13734</v>
      </c>
      <c r="H32" s="10" t="n">
        <v>245</v>
      </c>
      <c r="I32" s="10" t="n">
        <v>2927</v>
      </c>
      <c r="J32" s="10" t="n">
        <v>3066</v>
      </c>
      <c r="K32" s="10" t="n">
        <v>3927</v>
      </c>
      <c r="L32" s="10" t="n">
        <v>6273</v>
      </c>
      <c r="M32" s="10" t="n">
        <v>8163</v>
      </c>
      <c r="N32" s="10" t="n">
        <v>6416</v>
      </c>
      <c r="O32" s="10" t="n">
        <v>2044</v>
      </c>
      <c r="P32" s="10" t="n">
        <v>5535</v>
      </c>
      <c r="Q32" s="10" t="n">
        <v>4</v>
      </c>
      <c r="R32" s="10" t="n">
        <v>580</v>
      </c>
      <c r="S32" s="10" t="n">
        <v>44</v>
      </c>
      <c r="T32" s="10" t="n">
        <v>81233</v>
      </c>
      <c r="U32" s="10" t="n">
        <v>12620</v>
      </c>
      <c r="V32" s="10" t="n">
        <v>8243</v>
      </c>
      <c r="W32" s="10" t="n">
        <v>9166</v>
      </c>
      <c r="X32" s="10" t="n">
        <v>3472</v>
      </c>
      <c r="Y32" s="10" t="n">
        <v>2901</v>
      </c>
      <c r="Z32" s="10" t="n">
        <v>6973</v>
      </c>
      <c r="AA32" s="10" t="n">
        <v>75</v>
      </c>
      <c r="AB32" s="10" t="n">
        <v>28631</v>
      </c>
      <c r="AC32" s="10" t="n">
        <v>8430</v>
      </c>
      <c r="AD32" s="10" t="n">
        <v>2141</v>
      </c>
      <c r="AE32" s="10" t="n">
        <v>1524</v>
      </c>
      <c r="AF32" s="10" t="n">
        <v>178</v>
      </c>
      <c r="AG32" s="10" t="n">
        <v>587</v>
      </c>
      <c r="AH32" s="10" t="n">
        <v>1011</v>
      </c>
      <c r="AI32" s="10" t="n">
        <v>8266</v>
      </c>
      <c r="AJ32" s="10" t="n">
        <v>345</v>
      </c>
      <c r="AK32" s="10" t="n">
        <v>3839</v>
      </c>
      <c r="AL32" s="11" t="n">
        <v>13560</v>
      </c>
      <c r="AM32" s="10" t="n">
        <v>-20228</v>
      </c>
      <c r="AN32" s="10" t="n">
        <v>7510</v>
      </c>
      <c r="AO32" s="10" t="n">
        <v>-27738</v>
      </c>
      <c r="AP32" s="11" t="n">
        <v>1028840.12621533</v>
      </c>
      <c r="AQ32" s="12" t="n">
        <f aca="false">AM32-AN32-AO32</f>
        <v>0</v>
      </c>
    </row>
    <row r="33" customFormat="false" ht="15" hidden="false" customHeight="false" outlineLevel="0" collapsed="false">
      <c r="B33" s="8" t="s">
        <v>96</v>
      </c>
      <c r="C33" s="9" t="n">
        <v>2018</v>
      </c>
      <c r="D33" s="10" t="n">
        <v>36397</v>
      </c>
      <c r="E33" s="10" t="n">
        <v>18200</v>
      </c>
      <c r="F33" s="10" t="n">
        <v>69225</v>
      </c>
      <c r="G33" s="10" t="n">
        <v>16213</v>
      </c>
      <c r="H33" s="10" t="n">
        <v>735</v>
      </c>
      <c r="I33" s="10" t="n">
        <v>2813</v>
      </c>
      <c r="J33" s="10" t="n">
        <v>2699</v>
      </c>
      <c r="K33" s="10" t="n">
        <v>2130</v>
      </c>
      <c r="L33" s="10" t="n">
        <v>7079</v>
      </c>
      <c r="M33" s="10" t="n">
        <v>8085</v>
      </c>
      <c r="N33" s="10" t="n">
        <v>2542</v>
      </c>
      <c r="O33" s="10" t="n">
        <v>22785</v>
      </c>
      <c r="P33" s="10" t="n">
        <v>5969</v>
      </c>
      <c r="Q33" s="10" t="n">
        <v>116</v>
      </c>
      <c r="R33" s="10" t="n">
        <v>624</v>
      </c>
      <c r="S33" s="10" t="n">
        <v>332</v>
      </c>
      <c r="T33" s="10" t="n">
        <v>85898</v>
      </c>
      <c r="U33" s="10" t="n">
        <v>20283</v>
      </c>
      <c r="V33" s="10" t="n">
        <v>9154</v>
      </c>
      <c r="W33" s="10" t="n">
        <v>9818</v>
      </c>
      <c r="X33" s="10" t="n">
        <v>6038</v>
      </c>
      <c r="Y33" s="10" t="n">
        <v>2086</v>
      </c>
      <c r="Z33" s="10" t="n">
        <v>7398</v>
      </c>
      <c r="AA33" s="10" t="n">
        <v>24</v>
      </c>
      <c r="AB33" s="10" t="n">
        <v>28477</v>
      </c>
      <c r="AC33" s="10" t="n">
        <v>8755</v>
      </c>
      <c r="AD33" s="10" t="n">
        <v>1657</v>
      </c>
      <c r="AE33" s="10" t="n">
        <v>1000</v>
      </c>
      <c r="AF33" s="10" t="n">
        <v>160</v>
      </c>
      <c r="AG33" s="10" t="n">
        <v>542</v>
      </c>
      <c r="AH33" s="10" t="n">
        <v>443</v>
      </c>
      <c r="AI33" s="10" t="n">
        <v>8203</v>
      </c>
      <c r="AJ33" s="10" t="n">
        <v>562</v>
      </c>
      <c r="AK33" s="10" t="n">
        <v>4355</v>
      </c>
      <c r="AL33" s="11" t="n">
        <v>15793</v>
      </c>
      <c r="AM33" s="10" t="n">
        <v>-14702</v>
      </c>
      <c r="AN33" s="10" t="n">
        <v>23194</v>
      </c>
      <c r="AO33" s="10" t="n">
        <v>-37896</v>
      </c>
      <c r="AP33" s="11" t="n">
        <v>1077558.77169353</v>
      </c>
      <c r="AQ33" s="12" t="n">
        <f aca="false">AM33-AN33-AO33</f>
        <v>0</v>
      </c>
    </row>
    <row r="34" customFormat="false" ht="15" hidden="false" customHeight="false" outlineLevel="0" collapsed="false">
      <c r="B34" s="8" t="s">
        <v>97</v>
      </c>
      <c r="C34" s="9" t="n">
        <v>2018</v>
      </c>
      <c r="D34" s="10" t="n">
        <v>36042</v>
      </c>
      <c r="E34" s="10" t="n">
        <v>15637</v>
      </c>
      <c r="F34" s="10" t="n">
        <v>70875</v>
      </c>
      <c r="G34" s="10" t="n">
        <v>17938</v>
      </c>
      <c r="H34" s="10" t="n">
        <v>223</v>
      </c>
      <c r="I34" s="10" t="n">
        <v>3142</v>
      </c>
      <c r="J34" s="10" t="n">
        <v>3315</v>
      </c>
      <c r="K34" s="10" t="n">
        <v>5314</v>
      </c>
      <c r="L34" s="10" t="n">
        <v>7669</v>
      </c>
      <c r="M34" s="10" t="n">
        <v>9059</v>
      </c>
      <c r="N34" s="10" t="n">
        <v>3314</v>
      </c>
      <c r="O34" s="10" t="n">
        <v>12619</v>
      </c>
      <c r="P34" s="10" t="n">
        <v>6317</v>
      </c>
      <c r="Q34" s="10" t="n">
        <v>81</v>
      </c>
      <c r="R34" s="10" t="n">
        <v>1129</v>
      </c>
      <c r="S34" s="10" t="n">
        <v>290</v>
      </c>
      <c r="T34" s="10" t="n">
        <v>85564</v>
      </c>
      <c r="U34" s="10" t="n">
        <v>12714</v>
      </c>
      <c r="V34" s="10" t="n">
        <v>8409</v>
      </c>
      <c r="W34" s="10" t="n">
        <v>9897</v>
      </c>
      <c r="X34" s="10" t="n">
        <v>3210</v>
      </c>
      <c r="Y34" s="10" t="n">
        <v>7134</v>
      </c>
      <c r="Z34" s="10" t="n">
        <v>8348</v>
      </c>
      <c r="AA34" s="10" t="n">
        <v>79</v>
      </c>
      <c r="AB34" s="10" t="n">
        <v>28287</v>
      </c>
      <c r="AC34" s="10" t="n">
        <v>8089</v>
      </c>
      <c r="AD34" s="10" t="n">
        <v>2922</v>
      </c>
      <c r="AE34" s="10" t="n">
        <v>1000</v>
      </c>
      <c r="AF34" s="10" t="n">
        <v>77</v>
      </c>
      <c r="AG34" s="10" t="n">
        <v>801</v>
      </c>
      <c r="AH34" s="10" t="n">
        <v>287</v>
      </c>
      <c r="AI34" s="10" t="n">
        <v>7988</v>
      </c>
      <c r="AJ34" s="10" t="n">
        <v>36</v>
      </c>
      <c r="AK34" s="10" t="n">
        <v>3408</v>
      </c>
      <c r="AL34" s="11" t="n">
        <v>15056</v>
      </c>
      <c r="AM34" s="10" t="n">
        <v>-10342</v>
      </c>
      <c r="AN34" s="10" t="n">
        <v>33117</v>
      </c>
      <c r="AO34" s="10" t="n">
        <v>-43459</v>
      </c>
      <c r="AP34" s="11" t="n">
        <v>1155628.47085134</v>
      </c>
      <c r="AQ34" s="12" t="n">
        <f aca="false">AM34-AN34-AO34</f>
        <v>0</v>
      </c>
    </row>
    <row r="35" customFormat="false" ht="15" hidden="false" customHeight="false" outlineLevel="0" collapsed="false">
      <c r="B35" s="8" t="s">
        <v>98</v>
      </c>
      <c r="C35" s="9" t="n">
        <v>2018</v>
      </c>
      <c r="D35" s="10" t="n">
        <v>39946</v>
      </c>
      <c r="E35" s="10" t="n">
        <v>29469</v>
      </c>
      <c r="F35" s="10" t="n">
        <v>69709</v>
      </c>
      <c r="G35" s="10" t="n">
        <v>18695</v>
      </c>
      <c r="H35" s="10" t="n">
        <v>238</v>
      </c>
      <c r="I35" s="10" t="n">
        <v>3227</v>
      </c>
      <c r="J35" s="10" t="n">
        <v>4297</v>
      </c>
      <c r="K35" s="10" t="n">
        <v>8202</v>
      </c>
      <c r="L35" s="10" t="n">
        <v>8537</v>
      </c>
      <c r="M35" s="10" t="n">
        <v>8917</v>
      </c>
      <c r="N35" s="10" t="n">
        <v>4230</v>
      </c>
      <c r="O35" s="10" t="n">
        <v>6093</v>
      </c>
      <c r="P35" s="10" t="n">
        <v>5580</v>
      </c>
      <c r="Q35" s="10" t="n">
        <v>119</v>
      </c>
      <c r="R35" s="10" t="n">
        <v>958</v>
      </c>
      <c r="S35" s="10" t="n">
        <v>1196</v>
      </c>
      <c r="T35" s="10" t="n">
        <v>87936</v>
      </c>
      <c r="U35" s="10" t="n">
        <v>13486</v>
      </c>
      <c r="V35" s="10" t="n">
        <v>9412</v>
      </c>
      <c r="W35" s="10" t="n">
        <v>10086</v>
      </c>
      <c r="X35" s="10" t="n">
        <v>4372</v>
      </c>
      <c r="Y35" s="10" t="n">
        <v>13599</v>
      </c>
      <c r="Z35" s="10" t="n">
        <v>8257</v>
      </c>
      <c r="AA35" s="10" t="n">
        <v>66</v>
      </c>
      <c r="AB35" s="10" t="n">
        <v>28750</v>
      </c>
      <c r="AC35" s="10" t="n">
        <v>9577</v>
      </c>
      <c r="AD35" s="10" t="n">
        <v>1180</v>
      </c>
      <c r="AE35" s="10" t="n">
        <v>1000</v>
      </c>
      <c r="AF35" s="10" t="n">
        <v>240</v>
      </c>
      <c r="AG35" s="10" t="n">
        <v>682</v>
      </c>
      <c r="AH35" s="10" t="n">
        <v>299</v>
      </c>
      <c r="AI35" s="10" t="n">
        <v>7837</v>
      </c>
      <c r="AJ35" s="10" t="n">
        <v>31</v>
      </c>
      <c r="AK35" s="10" t="n">
        <v>4045</v>
      </c>
      <c r="AL35" s="11" t="n">
        <v>16376</v>
      </c>
      <c r="AM35" s="10" t="n">
        <v>-7818</v>
      </c>
      <c r="AN35" s="10" t="n">
        <v>19521</v>
      </c>
      <c r="AO35" s="10" t="n">
        <v>-27339</v>
      </c>
      <c r="AP35" s="11" t="n">
        <v>1214357.40350609</v>
      </c>
      <c r="AQ35" s="12" t="n">
        <f aca="false">AM35-AN35-AO35</f>
        <v>0</v>
      </c>
    </row>
    <row r="36" customFormat="false" ht="15" hidden="false" customHeight="false" outlineLevel="0" collapsed="false">
      <c r="B36" s="8" t="s">
        <v>99</v>
      </c>
      <c r="C36" s="9" t="n">
        <v>2018</v>
      </c>
      <c r="D36" s="10" t="n">
        <v>41831</v>
      </c>
      <c r="E36" s="10" t="n">
        <v>36345</v>
      </c>
      <c r="F36" s="10" t="n">
        <v>70829</v>
      </c>
      <c r="G36" s="10" t="n">
        <v>19794</v>
      </c>
      <c r="H36" s="10" t="n">
        <v>1427</v>
      </c>
      <c r="I36" s="10" t="n">
        <v>2687</v>
      </c>
      <c r="J36" s="10" t="n">
        <v>3707</v>
      </c>
      <c r="K36" s="10" t="n">
        <v>8295</v>
      </c>
      <c r="L36" s="10" t="n">
        <v>8623</v>
      </c>
      <c r="M36" s="10" t="n">
        <v>10408</v>
      </c>
      <c r="N36" s="10" t="n">
        <v>4041</v>
      </c>
      <c r="O36" s="10" t="n">
        <v>4703</v>
      </c>
      <c r="P36" s="10" t="n">
        <v>6681</v>
      </c>
      <c r="Q36" s="10" t="n">
        <v>63</v>
      </c>
      <c r="R36" s="10" t="n">
        <v>958</v>
      </c>
      <c r="S36" s="10" t="n">
        <v>192</v>
      </c>
      <c r="T36" s="10" t="n">
        <v>129859</v>
      </c>
      <c r="U36" s="10" t="n">
        <v>13773</v>
      </c>
      <c r="V36" s="10" t="n">
        <v>12247</v>
      </c>
      <c r="W36" s="10" t="n">
        <v>11292</v>
      </c>
      <c r="X36" s="10" t="n">
        <v>3767</v>
      </c>
      <c r="Y36" s="10" t="n">
        <v>23180</v>
      </c>
      <c r="Z36" s="10" t="n">
        <v>10333</v>
      </c>
      <c r="AA36" s="10" t="n">
        <v>47</v>
      </c>
      <c r="AB36" s="10" t="n">
        <v>30866</v>
      </c>
      <c r="AC36" s="10" t="n">
        <v>11372</v>
      </c>
      <c r="AD36" s="10" t="n">
        <v>2359</v>
      </c>
      <c r="AE36" s="10" t="n">
        <v>1000</v>
      </c>
      <c r="AF36" s="10" t="n">
        <v>390</v>
      </c>
      <c r="AG36" s="10" t="n">
        <v>493</v>
      </c>
      <c r="AH36" s="10" t="n">
        <v>600</v>
      </c>
      <c r="AI36" s="10" t="n">
        <v>7615</v>
      </c>
      <c r="AJ36" s="10" t="n">
        <v>829</v>
      </c>
      <c r="AK36" s="10" t="n">
        <v>4233</v>
      </c>
      <c r="AL36" s="11" t="n">
        <v>12993</v>
      </c>
      <c r="AM36" s="10" t="n">
        <v>-56664</v>
      </c>
      <c r="AN36" s="10" t="n">
        <v>32202</v>
      </c>
      <c r="AO36" s="10" t="n">
        <v>-88866</v>
      </c>
      <c r="AP36" s="11" t="n">
        <v>1237862.62881696</v>
      </c>
      <c r="AQ36" s="12" t="n">
        <f aca="false">AM36-AN36-AO36</f>
        <v>0</v>
      </c>
    </row>
    <row r="37" customFormat="false" ht="15" hidden="false" customHeight="false" outlineLevel="0" collapsed="false">
      <c r="B37" s="8" t="s">
        <v>100</v>
      </c>
      <c r="C37" s="9" t="n">
        <v>2018</v>
      </c>
      <c r="D37" s="10" t="n">
        <v>40592</v>
      </c>
      <c r="E37" s="10" t="n">
        <v>23149</v>
      </c>
      <c r="F37" s="10" t="n">
        <v>92571</v>
      </c>
      <c r="G37" s="10" t="n">
        <v>18384</v>
      </c>
      <c r="H37" s="10" t="n">
        <v>486</v>
      </c>
      <c r="I37" s="10" t="n">
        <v>2812</v>
      </c>
      <c r="J37" s="10" t="n">
        <v>4000</v>
      </c>
      <c r="K37" s="10" t="n">
        <v>4656</v>
      </c>
      <c r="L37" s="10" t="n">
        <v>9599</v>
      </c>
      <c r="M37" s="10" t="n">
        <v>9325</v>
      </c>
      <c r="N37" s="10" t="n">
        <v>7293</v>
      </c>
      <c r="O37" s="10" t="n">
        <v>7312</v>
      </c>
      <c r="P37" s="10" t="n">
        <v>6195</v>
      </c>
      <c r="Q37" s="10" t="n">
        <v>66</v>
      </c>
      <c r="R37" s="10" t="n">
        <v>1251</v>
      </c>
      <c r="S37" s="10" t="n">
        <v>4931</v>
      </c>
      <c r="T37" s="10" t="n">
        <v>91200</v>
      </c>
      <c r="U37" s="10" t="n">
        <v>15244</v>
      </c>
      <c r="V37" s="10" t="n">
        <v>11328</v>
      </c>
      <c r="W37" s="10" t="n">
        <v>11376</v>
      </c>
      <c r="X37" s="10" t="n">
        <v>3662</v>
      </c>
      <c r="Y37" s="10" t="n">
        <v>15373</v>
      </c>
      <c r="Z37" s="10" t="n">
        <v>8228</v>
      </c>
      <c r="AA37" s="10" t="n">
        <v>161</v>
      </c>
      <c r="AB37" s="10" t="n">
        <v>41403</v>
      </c>
      <c r="AC37" s="10" t="n">
        <v>9807</v>
      </c>
      <c r="AD37" s="10" t="n">
        <v>2034</v>
      </c>
      <c r="AE37" s="10" t="n">
        <v>468</v>
      </c>
      <c r="AF37" s="10" t="n">
        <v>397</v>
      </c>
      <c r="AG37" s="10" t="n">
        <v>680</v>
      </c>
      <c r="AH37" s="10" t="n">
        <v>2479</v>
      </c>
      <c r="AI37" s="10" t="n">
        <v>12050</v>
      </c>
      <c r="AJ37" s="10" t="n">
        <v>31</v>
      </c>
      <c r="AK37" s="10" t="n">
        <v>4193</v>
      </c>
      <c r="AL37" s="11" t="n">
        <v>16788</v>
      </c>
      <c r="AM37" s="10" t="n">
        <v>-14280</v>
      </c>
      <c r="AN37" s="10" t="n">
        <v>48100</v>
      </c>
      <c r="AO37" s="10" t="n">
        <v>-62380</v>
      </c>
      <c r="AP37" s="11" t="n">
        <v>1243109.98928729</v>
      </c>
      <c r="AQ37" s="12" t="n">
        <f aca="false">AM37-AN37-AO37</f>
        <v>0</v>
      </c>
    </row>
    <row r="38" customFormat="false" ht="15" hidden="false" customHeight="false" outlineLevel="0" collapsed="false">
      <c r="B38" s="8" t="s">
        <v>101</v>
      </c>
      <c r="C38" s="9" t="n">
        <v>2018</v>
      </c>
      <c r="D38" s="10" t="n">
        <v>44104</v>
      </c>
      <c r="E38" s="10" t="n">
        <v>26648</v>
      </c>
      <c r="F38" s="10" t="n">
        <v>71779</v>
      </c>
      <c r="G38" s="10" t="n">
        <v>20351</v>
      </c>
      <c r="H38" s="10" t="n">
        <v>723</v>
      </c>
      <c r="I38" s="10" t="n">
        <v>2788</v>
      </c>
      <c r="J38" s="10" t="n">
        <v>4523</v>
      </c>
      <c r="K38" s="10" t="n">
        <v>4170</v>
      </c>
      <c r="L38" s="10" t="n">
        <v>10205</v>
      </c>
      <c r="M38" s="10" t="n">
        <v>10093</v>
      </c>
      <c r="N38" s="10" t="n">
        <v>6598</v>
      </c>
      <c r="O38" s="10" t="n">
        <v>11879</v>
      </c>
      <c r="P38" s="10" t="n">
        <v>6327</v>
      </c>
      <c r="Q38" s="10" t="n">
        <v>256</v>
      </c>
      <c r="R38" s="10" t="n">
        <v>1387</v>
      </c>
      <c r="S38" s="10" t="n">
        <v>1103</v>
      </c>
      <c r="T38" s="10" t="n">
        <v>88127</v>
      </c>
      <c r="U38" s="10" t="n">
        <v>14469</v>
      </c>
      <c r="V38" s="10" t="n">
        <v>10491</v>
      </c>
      <c r="W38" s="10" t="n">
        <v>11529</v>
      </c>
      <c r="X38" s="10" t="n">
        <v>4397</v>
      </c>
      <c r="Y38" s="10" t="n">
        <v>17188</v>
      </c>
      <c r="Z38" s="10" t="n">
        <v>6341</v>
      </c>
      <c r="AA38" s="10" t="n">
        <v>62</v>
      </c>
      <c r="AB38" s="10" t="n">
        <v>30511</v>
      </c>
      <c r="AC38" s="10" t="n">
        <v>10296</v>
      </c>
      <c r="AD38" s="10" t="n">
        <v>2690</v>
      </c>
      <c r="AE38" s="10" t="n">
        <v>1000</v>
      </c>
      <c r="AF38" s="10" t="n">
        <v>447</v>
      </c>
      <c r="AG38" s="10" t="n">
        <v>1297</v>
      </c>
      <c r="AH38" s="10" t="n">
        <v>1880</v>
      </c>
      <c r="AI38" s="10" t="n">
        <v>8495</v>
      </c>
      <c r="AJ38" s="10" t="n">
        <v>479</v>
      </c>
      <c r="AK38" s="10" t="n">
        <v>3806</v>
      </c>
      <c r="AL38" s="11" t="n">
        <v>19785</v>
      </c>
      <c r="AM38" s="10" t="n">
        <v>-10356</v>
      </c>
      <c r="AN38" s="10" t="n">
        <v>4161</v>
      </c>
      <c r="AO38" s="10" t="n">
        <v>-14517</v>
      </c>
      <c r="AP38" s="11" t="n">
        <v>1267171.7525705</v>
      </c>
      <c r="AQ38" s="12" t="n">
        <f aca="false">AM38-AN38-AO38</f>
        <v>0</v>
      </c>
    </row>
    <row r="39" customFormat="false" ht="15" hidden="false" customHeight="false" outlineLevel="0" collapsed="false">
      <c r="B39" s="8" t="s">
        <v>102</v>
      </c>
      <c r="C39" s="9" t="n">
        <v>2018</v>
      </c>
      <c r="D39" s="10" t="n">
        <v>46516</v>
      </c>
      <c r="E39" s="10" t="n">
        <v>22870</v>
      </c>
      <c r="F39" s="10" t="n">
        <v>72741</v>
      </c>
      <c r="G39" s="10" t="n">
        <v>21832</v>
      </c>
      <c r="H39" s="10" t="n">
        <v>308</v>
      </c>
      <c r="I39" s="10" t="n">
        <v>2738</v>
      </c>
      <c r="J39" s="10" t="n">
        <v>3833</v>
      </c>
      <c r="K39" s="10" t="n">
        <v>12695</v>
      </c>
      <c r="L39" s="10" t="n">
        <v>10286</v>
      </c>
      <c r="M39" s="10" t="n">
        <v>9908</v>
      </c>
      <c r="N39" s="10" t="n">
        <v>4036</v>
      </c>
      <c r="O39" s="10" t="n">
        <v>10350</v>
      </c>
      <c r="P39" s="10" t="n">
        <v>5707</v>
      </c>
      <c r="Q39" s="10" t="n">
        <v>277</v>
      </c>
      <c r="R39" s="10" t="n">
        <v>2940</v>
      </c>
      <c r="S39" s="10" t="n">
        <v>643</v>
      </c>
      <c r="T39" s="10" t="n">
        <v>93109</v>
      </c>
      <c r="U39" s="10" t="n">
        <v>19084</v>
      </c>
      <c r="V39" s="10" t="n">
        <v>10152</v>
      </c>
      <c r="W39" s="10" t="n">
        <v>10771</v>
      </c>
      <c r="X39" s="10" t="n">
        <v>5083</v>
      </c>
      <c r="Y39" s="10" t="n">
        <v>20638</v>
      </c>
      <c r="Z39" s="10" t="n">
        <v>8909</v>
      </c>
      <c r="AA39" s="10" t="n">
        <v>74</v>
      </c>
      <c r="AB39" s="10" t="n">
        <v>31709</v>
      </c>
      <c r="AC39" s="10" t="n">
        <v>11372</v>
      </c>
      <c r="AD39" s="10" t="n">
        <v>2647</v>
      </c>
      <c r="AE39" s="10" t="n">
        <v>1178</v>
      </c>
      <c r="AF39" s="10" t="n">
        <v>429</v>
      </c>
      <c r="AG39" s="10" t="n">
        <v>715</v>
      </c>
      <c r="AH39" s="10" t="n">
        <v>1282</v>
      </c>
      <c r="AI39" s="10" t="n">
        <v>8312</v>
      </c>
      <c r="AJ39" s="10" t="n">
        <v>12</v>
      </c>
      <c r="AK39" s="10" t="n">
        <v>4459</v>
      </c>
      <c r="AL39" s="11" t="n">
        <v>20599</v>
      </c>
      <c r="AM39" s="10" t="n">
        <v>-22854</v>
      </c>
      <c r="AN39" s="10" t="n">
        <v>33004</v>
      </c>
      <c r="AO39" s="10" t="n">
        <v>-55858</v>
      </c>
      <c r="AP39" s="11" t="n">
        <v>1308787.17148979</v>
      </c>
      <c r="AQ39" s="12" t="n">
        <f aca="false">AM39-AN39-AO39</f>
        <v>0</v>
      </c>
    </row>
    <row r="40" customFormat="false" ht="15" hidden="false" customHeight="false" outlineLevel="0" collapsed="false">
      <c r="B40" s="8" t="s">
        <v>103</v>
      </c>
      <c r="C40" s="9" t="n">
        <v>2018</v>
      </c>
      <c r="D40" s="10" t="n">
        <v>50177</v>
      </c>
      <c r="E40" s="10" t="n">
        <v>24312</v>
      </c>
      <c r="F40" s="10" t="n">
        <v>75837</v>
      </c>
      <c r="G40" s="10" t="n">
        <v>21115</v>
      </c>
      <c r="H40" s="10" t="n">
        <v>520</v>
      </c>
      <c r="I40" s="10" t="n">
        <v>3307</v>
      </c>
      <c r="J40" s="10" t="n">
        <v>3280</v>
      </c>
      <c r="K40" s="10" t="n">
        <v>14815</v>
      </c>
      <c r="L40" s="10" t="n">
        <v>11382</v>
      </c>
      <c r="M40" s="10" t="n">
        <v>11004</v>
      </c>
      <c r="N40" s="10" t="n">
        <v>5000</v>
      </c>
      <c r="O40" s="10" t="n">
        <v>12324</v>
      </c>
      <c r="P40" s="10" t="n">
        <v>7993</v>
      </c>
      <c r="Q40" s="10" t="n">
        <v>225</v>
      </c>
      <c r="R40" s="10" t="n">
        <v>1611</v>
      </c>
      <c r="S40" s="10" t="n">
        <v>2877</v>
      </c>
      <c r="T40" s="10" t="n">
        <v>98064</v>
      </c>
      <c r="U40" s="10" t="n">
        <v>14945</v>
      </c>
      <c r="V40" s="10" t="n">
        <v>10265</v>
      </c>
      <c r="W40" s="10" t="n">
        <v>11026</v>
      </c>
      <c r="X40" s="10" t="n">
        <v>5966</v>
      </c>
      <c r="Y40" s="10" t="n">
        <v>19418</v>
      </c>
      <c r="Z40" s="10" t="n">
        <v>9448</v>
      </c>
      <c r="AA40" s="10" t="n">
        <v>79</v>
      </c>
      <c r="AB40" s="10" t="n">
        <v>33502</v>
      </c>
      <c r="AC40" s="10" t="n">
        <v>14267</v>
      </c>
      <c r="AD40" s="10" t="n">
        <v>2762</v>
      </c>
      <c r="AE40" s="10" t="n">
        <v>856</v>
      </c>
      <c r="AF40" s="10" t="n">
        <v>618</v>
      </c>
      <c r="AG40" s="10" t="n">
        <v>769</v>
      </c>
      <c r="AH40" s="10" t="n">
        <v>2191</v>
      </c>
      <c r="AI40" s="10" t="n">
        <v>8535</v>
      </c>
      <c r="AJ40" s="10" t="n">
        <v>9</v>
      </c>
      <c r="AK40" s="10" t="n">
        <v>5884</v>
      </c>
      <c r="AL40" s="11" t="n">
        <v>23761</v>
      </c>
      <c r="AM40" s="10" t="n">
        <v>-16586</v>
      </c>
      <c r="AN40" s="10" t="n">
        <v>61741</v>
      </c>
      <c r="AO40" s="10" t="n">
        <v>-78327</v>
      </c>
      <c r="AP40" s="11" t="n">
        <v>1365227.96932077</v>
      </c>
      <c r="AQ40" s="12" t="n">
        <f aca="false">AM40-AN40-AO40</f>
        <v>0</v>
      </c>
    </row>
    <row r="41" customFormat="false" ht="15" hidden="false" customHeight="false" outlineLevel="0" collapsed="false">
      <c r="B41" s="8" t="s">
        <v>104</v>
      </c>
      <c r="C41" s="9" t="n">
        <v>2018</v>
      </c>
      <c r="D41" s="10" t="n">
        <v>43505</v>
      </c>
      <c r="E41" s="10" t="n">
        <v>25195</v>
      </c>
      <c r="F41" s="10" t="n">
        <v>77447</v>
      </c>
      <c r="G41" s="10" t="n">
        <v>23114</v>
      </c>
      <c r="H41" s="10" t="n">
        <v>174</v>
      </c>
      <c r="I41" s="10" t="n">
        <v>3122</v>
      </c>
      <c r="J41" s="10" t="n">
        <v>3547</v>
      </c>
      <c r="K41" s="10" t="n">
        <v>13950</v>
      </c>
      <c r="L41" s="10" t="n">
        <v>8432</v>
      </c>
      <c r="M41" s="10" t="n">
        <v>10378</v>
      </c>
      <c r="N41" s="10" t="n">
        <v>5036</v>
      </c>
      <c r="O41" s="10" t="n">
        <v>11345</v>
      </c>
      <c r="P41" s="10" t="n">
        <v>6616</v>
      </c>
      <c r="Q41" s="10" t="n">
        <v>185</v>
      </c>
      <c r="R41" s="10" t="n">
        <v>1426</v>
      </c>
      <c r="S41" s="10" t="n">
        <v>319</v>
      </c>
      <c r="T41" s="10" t="n">
        <v>97724</v>
      </c>
      <c r="U41" s="10" t="n">
        <v>14438</v>
      </c>
      <c r="V41" s="10" t="n">
        <v>11503</v>
      </c>
      <c r="W41" s="10" t="n">
        <v>10648</v>
      </c>
      <c r="X41" s="10" t="n">
        <v>6602</v>
      </c>
      <c r="Y41" s="10" t="n">
        <v>24466</v>
      </c>
      <c r="Z41" s="10" t="n">
        <v>9464</v>
      </c>
      <c r="AA41" s="10" t="n">
        <v>81</v>
      </c>
      <c r="AB41" s="10" t="n">
        <v>35311</v>
      </c>
      <c r="AC41" s="10" t="n">
        <v>13081</v>
      </c>
      <c r="AD41" s="10" t="n">
        <v>2833</v>
      </c>
      <c r="AE41" s="10" t="n">
        <v>3303</v>
      </c>
      <c r="AF41" s="10" t="n">
        <v>333</v>
      </c>
      <c r="AG41" s="10" t="n">
        <v>673</v>
      </c>
      <c r="AH41" s="10" t="n">
        <v>3352</v>
      </c>
      <c r="AI41" s="10" t="n">
        <v>10239</v>
      </c>
      <c r="AJ41" s="10" t="n">
        <v>16</v>
      </c>
      <c r="AK41" s="10" t="n">
        <v>5258</v>
      </c>
      <c r="AL41" s="11" t="n">
        <v>18236</v>
      </c>
      <c r="AM41" s="10" t="n">
        <v>-33770</v>
      </c>
      <c r="AN41" s="10" t="n">
        <v>39114</v>
      </c>
      <c r="AO41" s="10" t="n">
        <v>-72884</v>
      </c>
      <c r="AP41" s="11" t="n">
        <v>1410063.67036</v>
      </c>
      <c r="AQ41" s="12" t="n">
        <f aca="false">AM41-AN41-AO41</f>
        <v>0</v>
      </c>
    </row>
    <row r="42" customFormat="false" ht="15" hidden="false" customHeight="false" outlineLevel="0" collapsed="false">
      <c r="B42" s="8" t="s">
        <v>105</v>
      </c>
      <c r="C42" s="9" t="n">
        <v>2018</v>
      </c>
      <c r="D42" s="10" t="n">
        <v>42824</v>
      </c>
      <c r="E42" s="10" t="n">
        <v>28004</v>
      </c>
      <c r="F42" s="10" t="n">
        <v>77078</v>
      </c>
      <c r="G42" s="10" t="n">
        <v>22292</v>
      </c>
      <c r="H42" s="10" t="n">
        <v>488</v>
      </c>
      <c r="I42" s="10" t="n">
        <v>3990</v>
      </c>
      <c r="J42" s="10" t="n">
        <v>4256</v>
      </c>
      <c r="K42" s="10" t="n">
        <v>15703</v>
      </c>
      <c r="L42" s="10" t="n">
        <v>8184</v>
      </c>
      <c r="M42" s="10" t="n">
        <v>10594</v>
      </c>
      <c r="N42" s="10" t="n">
        <v>3693</v>
      </c>
      <c r="O42" s="10" t="n">
        <v>14255</v>
      </c>
      <c r="P42" s="10" t="n">
        <v>9266</v>
      </c>
      <c r="Q42" s="10" t="n">
        <v>224</v>
      </c>
      <c r="R42" s="10" t="n">
        <v>1684</v>
      </c>
      <c r="S42" s="10" t="n">
        <v>226</v>
      </c>
      <c r="T42" s="10" t="n">
        <v>146609</v>
      </c>
      <c r="U42" s="10" t="n">
        <v>21640</v>
      </c>
      <c r="V42" s="10" t="n">
        <v>12915</v>
      </c>
      <c r="W42" s="10" t="n">
        <v>12201</v>
      </c>
      <c r="X42" s="10" t="n">
        <v>11221</v>
      </c>
      <c r="Y42" s="10" t="n">
        <v>29313</v>
      </c>
      <c r="Z42" s="10" t="n">
        <v>12230</v>
      </c>
      <c r="AA42" s="10" t="n">
        <v>116</v>
      </c>
      <c r="AB42" s="10" t="n">
        <v>51946</v>
      </c>
      <c r="AC42" s="10" t="n">
        <v>20007</v>
      </c>
      <c r="AD42" s="10" t="n">
        <v>2698</v>
      </c>
      <c r="AE42" s="10" t="n">
        <v>5676</v>
      </c>
      <c r="AF42" s="10" t="n">
        <v>109</v>
      </c>
      <c r="AG42" s="10" t="n">
        <v>1241</v>
      </c>
      <c r="AH42" s="10" t="n">
        <v>2658</v>
      </c>
      <c r="AI42" s="10" t="n">
        <v>13842</v>
      </c>
      <c r="AJ42" s="10" t="n">
        <v>41</v>
      </c>
      <c r="AK42" s="10" t="n">
        <v>6417</v>
      </c>
      <c r="AL42" s="11" t="n">
        <v>27197</v>
      </c>
      <c r="AM42" s="10" t="n">
        <v>-135316</v>
      </c>
      <c r="AN42" s="10" t="n">
        <v>57458</v>
      </c>
      <c r="AO42" s="10" t="n">
        <v>-192774</v>
      </c>
      <c r="AP42" s="11" t="n">
        <v>1428154.03426832</v>
      </c>
      <c r="AQ42" s="12" t="n">
        <f aca="false">AM42-AN42-AO42</f>
        <v>0</v>
      </c>
    </row>
    <row r="43" customFormat="false" ht="15" hidden="false" customHeight="false" outlineLevel="0" collapsed="false">
      <c r="B43" s="8" t="s">
        <v>106</v>
      </c>
      <c r="C43" s="9" t="n">
        <v>2019</v>
      </c>
      <c r="D43" s="10" t="n">
        <v>56602</v>
      </c>
      <c r="E43" s="10" t="n">
        <v>18453</v>
      </c>
      <c r="F43" s="10" t="n">
        <v>111561</v>
      </c>
      <c r="G43" s="10" t="n">
        <v>24541</v>
      </c>
      <c r="H43" s="10" t="n">
        <v>160</v>
      </c>
      <c r="I43" s="10" t="n">
        <v>4057</v>
      </c>
      <c r="J43" s="10" t="n">
        <v>4604</v>
      </c>
      <c r="K43" s="10" t="n">
        <v>14706</v>
      </c>
      <c r="L43" s="10" t="n">
        <v>9260</v>
      </c>
      <c r="M43" s="10" t="n">
        <v>10791</v>
      </c>
      <c r="N43" s="10" t="n">
        <v>9235</v>
      </c>
      <c r="O43" s="10" t="n">
        <v>4355</v>
      </c>
      <c r="P43" s="10" t="n">
        <v>11486</v>
      </c>
      <c r="Q43" s="10" t="n">
        <v>30</v>
      </c>
      <c r="R43" s="10" t="n">
        <v>1456</v>
      </c>
      <c r="S43" s="10" t="n">
        <v>356</v>
      </c>
      <c r="T43" s="10" t="n">
        <v>109340</v>
      </c>
      <c r="U43" s="10" t="n">
        <v>15155</v>
      </c>
      <c r="V43" s="10" t="n">
        <v>12862</v>
      </c>
      <c r="W43" s="10" t="n">
        <v>14028</v>
      </c>
      <c r="X43" s="10" t="n">
        <v>4875</v>
      </c>
      <c r="Y43" s="10" t="n">
        <v>8182</v>
      </c>
      <c r="Z43" s="10" t="n">
        <v>9210</v>
      </c>
      <c r="AA43" s="10" t="n">
        <v>172</v>
      </c>
      <c r="AB43" s="10" t="n">
        <v>39388</v>
      </c>
      <c r="AC43" s="10" t="n">
        <v>11442</v>
      </c>
      <c r="AD43" s="10" t="n">
        <v>2514</v>
      </c>
      <c r="AE43" s="10" t="n">
        <v>2037</v>
      </c>
      <c r="AF43" s="10" t="n">
        <v>474</v>
      </c>
      <c r="AG43" s="10" t="n">
        <v>445</v>
      </c>
      <c r="AH43" s="10" t="n">
        <v>6478</v>
      </c>
      <c r="AI43" s="10" t="n">
        <v>7902</v>
      </c>
      <c r="AJ43" s="10" t="n">
        <v>-1072</v>
      </c>
      <c r="AK43" s="10" t="n">
        <v>3834</v>
      </c>
      <c r="AL43" s="11" t="n">
        <v>17729</v>
      </c>
      <c r="AM43" s="10" t="n">
        <v>16658</v>
      </c>
      <c r="AN43" s="10" t="n">
        <v>76696</v>
      </c>
      <c r="AO43" s="10" t="n">
        <v>-60038</v>
      </c>
      <c r="AP43" s="11" t="n">
        <v>1414394.5181481</v>
      </c>
      <c r="AQ43" s="12" t="n">
        <f aca="false">AM43-AN43-AO43</f>
        <v>0</v>
      </c>
    </row>
    <row r="44" customFormat="false" ht="15" hidden="false" customHeight="false" outlineLevel="0" collapsed="false">
      <c r="B44" s="8" t="s">
        <v>107</v>
      </c>
      <c r="C44" s="9" t="n">
        <v>2019</v>
      </c>
      <c r="D44" s="10" t="n">
        <v>49921</v>
      </c>
      <c r="E44" s="10" t="n">
        <v>18327</v>
      </c>
      <c r="F44" s="10" t="n">
        <v>88625</v>
      </c>
      <c r="G44" s="10" t="n">
        <v>21079</v>
      </c>
      <c r="H44" s="10" t="n">
        <v>467</v>
      </c>
      <c r="I44" s="10" t="n">
        <v>3718</v>
      </c>
      <c r="J44" s="10" t="n">
        <v>4265</v>
      </c>
      <c r="K44" s="10" t="n">
        <v>18038</v>
      </c>
      <c r="L44" s="10" t="n">
        <v>7763</v>
      </c>
      <c r="M44" s="10" t="n">
        <v>10446</v>
      </c>
      <c r="N44" s="10" t="n">
        <v>11979</v>
      </c>
      <c r="O44" s="10" t="n">
        <v>10210</v>
      </c>
      <c r="P44" s="10" t="n">
        <v>9191</v>
      </c>
      <c r="Q44" s="10" t="n">
        <v>297</v>
      </c>
      <c r="R44" s="10" t="n">
        <v>1642</v>
      </c>
      <c r="S44" s="10" t="n">
        <v>625</v>
      </c>
      <c r="T44" s="10" t="n">
        <v>102991</v>
      </c>
      <c r="U44" s="10" t="n">
        <v>14947</v>
      </c>
      <c r="V44" s="10" t="n">
        <v>11012</v>
      </c>
      <c r="W44" s="10" t="n">
        <v>12304</v>
      </c>
      <c r="X44" s="10" t="n">
        <v>7148</v>
      </c>
      <c r="Y44" s="10" t="n">
        <v>10081</v>
      </c>
      <c r="Z44" s="10" t="n">
        <v>7335</v>
      </c>
      <c r="AA44" s="10" t="n">
        <v>276</v>
      </c>
      <c r="AB44" s="10" t="n">
        <v>35672</v>
      </c>
      <c r="AC44" s="10" t="n">
        <v>11765</v>
      </c>
      <c r="AD44" s="10" t="n">
        <v>2194</v>
      </c>
      <c r="AE44" s="10" t="n">
        <v>1887</v>
      </c>
      <c r="AF44" s="10" t="n">
        <v>98</v>
      </c>
      <c r="AG44" s="10" t="n">
        <v>1053</v>
      </c>
      <c r="AH44" s="10" t="n">
        <v>4570</v>
      </c>
      <c r="AI44" s="10" t="n">
        <v>9376</v>
      </c>
      <c r="AJ44" s="10" t="n">
        <v>-957</v>
      </c>
      <c r="AK44" s="10" t="n">
        <v>2699</v>
      </c>
      <c r="AL44" s="11" t="n">
        <v>15416</v>
      </c>
      <c r="AM44" s="10" t="n">
        <v>6726</v>
      </c>
      <c r="AN44" s="10" t="n">
        <v>11632</v>
      </c>
      <c r="AO44" s="10" t="n">
        <v>-4906</v>
      </c>
      <c r="AP44" s="11" t="n">
        <v>1433149.30163968</v>
      </c>
      <c r="AQ44" s="12" t="n">
        <f aca="false">AM44-AN44-AO44</f>
        <v>0</v>
      </c>
    </row>
    <row r="45" customFormat="false" ht="15" hidden="false" customHeight="false" outlineLevel="0" collapsed="false">
      <c r="B45" s="8" t="s">
        <v>108</v>
      </c>
      <c r="C45" s="9" t="n">
        <v>2019</v>
      </c>
      <c r="D45" s="10" t="n">
        <v>48942</v>
      </c>
      <c r="E45" s="10" t="n">
        <v>18784</v>
      </c>
      <c r="F45" s="10" t="n">
        <v>87169</v>
      </c>
      <c r="G45" s="10" t="n">
        <v>25198</v>
      </c>
      <c r="H45" s="10" t="n">
        <v>284</v>
      </c>
      <c r="I45" s="10" t="n">
        <v>3372</v>
      </c>
      <c r="J45" s="10" t="n">
        <v>3829</v>
      </c>
      <c r="K45" s="10" t="n">
        <v>17757</v>
      </c>
      <c r="L45" s="10" t="n">
        <v>8972</v>
      </c>
      <c r="M45" s="10" t="n">
        <v>10864</v>
      </c>
      <c r="N45" s="10" t="n">
        <v>5763</v>
      </c>
      <c r="O45" s="10" t="n">
        <v>18969</v>
      </c>
      <c r="P45" s="10" t="n">
        <v>9507</v>
      </c>
      <c r="Q45" s="10" t="n">
        <v>249</v>
      </c>
      <c r="R45" s="10" t="n">
        <v>1378</v>
      </c>
      <c r="S45" s="10" t="n">
        <v>250</v>
      </c>
      <c r="T45" s="10" t="n">
        <v>112749</v>
      </c>
      <c r="U45" s="10" t="n">
        <v>28704</v>
      </c>
      <c r="V45" s="10" t="n">
        <v>12743</v>
      </c>
      <c r="W45" s="10" t="n">
        <v>11329</v>
      </c>
      <c r="X45" s="10" t="n">
        <v>8038</v>
      </c>
      <c r="Y45" s="10" t="n">
        <v>10279</v>
      </c>
      <c r="Z45" s="10" t="n">
        <v>7551</v>
      </c>
      <c r="AA45" s="10" t="n">
        <v>140</v>
      </c>
      <c r="AB45" s="10" t="n">
        <v>36545</v>
      </c>
      <c r="AC45" s="10" t="n">
        <v>11256</v>
      </c>
      <c r="AD45" s="10" t="n">
        <v>2031</v>
      </c>
      <c r="AE45" s="10" t="n">
        <v>1983</v>
      </c>
      <c r="AF45" s="10" t="n">
        <v>383</v>
      </c>
      <c r="AG45" s="10" t="n">
        <v>668</v>
      </c>
      <c r="AH45" s="10" t="n">
        <v>85</v>
      </c>
      <c r="AI45" s="10" t="n">
        <v>9899</v>
      </c>
      <c r="AJ45" s="10" t="n">
        <v>-587</v>
      </c>
      <c r="AK45" s="10" t="n">
        <v>3475</v>
      </c>
      <c r="AL45" s="11" t="n">
        <v>17053</v>
      </c>
      <c r="AM45" s="10" t="n">
        <v>-13037</v>
      </c>
      <c r="AN45" s="10" t="n">
        <v>36801</v>
      </c>
      <c r="AO45" s="10" t="n">
        <v>-49838</v>
      </c>
      <c r="AP45" s="11" t="n">
        <v>1523483.39445591</v>
      </c>
      <c r="AQ45" s="12" t="n">
        <f aca="false">AM45-AN45-AO45</f>
        <v>0</v>
      </c>
    </row>
    <row r="46" customFormat="false" ht="15" hidden="false" customHeight="false" outlineLevel="0" collapsed="false">
      <c r="B46" s="8" t="s">
        <v>109</v>
      </c>
      <c r="C46" s="9" t="n">
        <v>2019</v>
      </c>
      <c r="D46" s="10" t="n">
        <v>46906</v>
      </c>
      <c r="E46" s="10" t="n">
        <v>23870</v>
      </c>
      <c r="F46" s="10" t="n">
        <v>100634</v>
      </c>
      <c r="G46" s="10" t="n">
        <v>23234</v>
      </c>
      <c r="H46" s="10" t="n">
        <v>450</v>
      </c>
      <c r="I46" s="10" t="n">
        <v>3502</v>
      </c>
      <c r="J46" s="10" t="n">
        <v>4911</v>
      </c>
      <c r="K46" s="10" t="n">
        <v>21965</v>
      </c>
      <c r="L46" s="10" t="n">
        <v>7932</v>
      </c>
      <c r="M46" s="10" t="n">
        <v>12561</v>
      </c>
      <c r="N46" s="10" t="n">
        <v>12114</v>
      </c>
      <c r="O46" s="10" t="n">
        <v>6263</v>
      </c>
      <c r="P46" s="10" t="n">
        <v>10610</v>
      </c>
      <c r="Q46" s="10" t="n">
        <v>127</v>
      </c>
      <c r="R46" s="10" t="n">
        <v>1724</v>
      </c>
      <c r="S46" s="10" t="n">
        <v>624</v>
      </c>
      <c r="T46" s="10" t="n">
        <v>117014</v>
      </c>
      <c r="U46" s="10" t="n">
        <v>19561</v>
      </c>
      <c r="V46" s="10" t="n">
        <v>12153</v>
      </c>
      <c r="W46" s="10" t="n">
        <v>11804</v>
      </c>
      <c r="X46" s="10" t="n">
        <v>6195</v>
      </c>
      <c r="Y46" s="10" t="n">
        <v>14326</v>
      </c>
      <c r="Z46" s="10" t="n">
        <v>8057</v>
      </c>
      <c r="AA46" s="10" t="n">
        <v>50</v>
      </c>
      <c r="AB46" s="10" t="n">
        <v>36633</v>
      </c>
      <c r="AC46" s="10" t="n">
        <v>14495</v>
      </c>
      <c r="AD46" s="10" t="n">
        <v>2309</v>
      </c>
      <c r="AE46" s="10" t="n">
        <v>1919</v>
      </c>
      <c r="AF46" s="10" t="n">
        <v>451</v>
      </c>
      <c r="AG46" s="10" t="n">
        <v>489</v>
      </c>
      <c r="AH46" s="10" t="n">
        <v>307</v>
      </c>
      <c r="AI46" s="10" t="n">
        <v>10165</v>
      </c>
      <c r="AJ46" s="10" t="n">
        <v>631</v>
      </c>
      <c r="AK46" s="10" t="n">
        <v>4111</v>
      </c>
      <c r="AL46" s="11" t="n">
        <v>16258</v>
      </c>
      <c r="AM46" s="10" t="n">
        <v>499</v>
      </c>
      <c r="AN46" s="10" t="n">
        <v>66571</v>
      </c>
      <c r="AO46" s="10" t="n">
        <v>-66073</v>
      </c>
      <c r="AP46" s="11" t="n">
        <v>1683489.38550619</v>
      </c>
      <c r="AQ46" s="12" t="n">
        <f aca="false">AM46-AN46-AO46</f>
        <v>1</v>
      </c>
    </row>
    <row r="47" customFormat="false" ht="15" hidden="false" customHeight="false" outlineLevel="0" collapsed="false">
      <c r="B47" s="8" t="s">
        <v>110</v>
      </c>
      <c r="C47" s="9" t="n">
        <v>2019</v>
      </c>
      <c r="D47" s="10" t="n">
        <v>60788</v>
      </c>
      <c r="E47" s="10" t="n">
        <v>45011</v>
      </c>
      <c r="F47" s="10" t="n">
        <v>92507</v>
      </c>
      <c r="G47" s="10" t="n">
        <v>28162</v>
      </c>
      <c r="H47" s="10" t="n">
        <v>209</v>
      </c>
      <c r="I47" s="10" t="n">
        <v>3358</v>
      </c>
      <c r="J47" s="10" t="n">
        <v>3427</v>
      </c>
      <c r="K47" s="10" t="n">
        <v>37021</v>
      </c>
      <c r="L47" s="10" t="n">
        <v>11369</v>
      </c>
      <c r="M47" s="10" t="n">
        <v>15009</v>
      </c>
      <c r="N47" s="10" t="n">
        <v>8304</v>
      </c>
      <c r="O47" s="10" t="n">
        <v>5829</v>
      </c>
      <c r="P47" s="10" t="n">
        <v>7122</v>
      </c>
      <c r="Q47" s="10" t="n">
        <v>334</v>
      </c>
      <c r="R47" s="10" t="n">
        <v>1703</v>
      </c>
      <c r="S47" s="10" t="n">
        <v>195</v>
      </c>
      <c r="T47" s="10" t="n">
        <v>121380</v>
      </c>
      <c r="U47" s="10" t="n">
        <v>19348</v>
      </c>
      <c r="V47" s="10" t="n">
        <v>13758</v>
      </c>
      <c r="W47" s="10" t="n">
        <v>13052</v>
      </c>
      <c r="X47" s="10" t="n">
        <v>8937</v>
      </c>
      <c r="Y47" s="10" t="n">
        <v>16663</v>
      </c>
      <c r="Z47" s="10" t="n">
        <v>7284</v>
      </c>
      <c r="AA47" s="10" t="n">
        <v>170</v>
      </c>
      <c r="AB47" s="10" t="n">
        <v>39652</v>
      </c>
      <c r="AC47" s="10" t="n">
        <v>13748</v>
      </c>
      <c r="AD47" s="10" t="n">
        <v>2302</v>
      </c>
      <c r="AE47" s="10" t="n">
        <v>2535</v>
      </c>
      <c r="AF47" s="10" t="n">
        <v>1603</v>
      </c>
      <c r="AG47" s="10" t="n">
        <v>666</v>
      </c>
      <c r="AH47" s="10" t="n">
        <v>530</v>
      </c>
      <c r="AI47" s="10" t="n">
        <v>10772</v>
      </c>
      <c r="AJ47" s="10" t="n">
        <v>-2211</v>
      </c>
      <c r="AK47" s="10" t="n">
        <v>4460</v>
      </c>
      <c r="AL47" s="11" t="n">
        <v>19725</v>
      </c>
      <c r="AM47" s="10" t="n">
        <v>25974</v>
      </c>
      <c r="AN47" s="10" t="n">
        <v>64608</v>
      </c>
      <c r="AO47" s="10" t="n">
        <v>-38634</v>
      </c>
      <c r="AP47" s="11" t="n">
        <v>1797433.51152055</v>
      </c>
      <c r="AQ47" s="12" t="n">
        <f aca="false">AM47-AN47-AO47</f>
        <v>0</v>
      </c>
    </row>
    <row r="48" customFormat="false" ht="15" hidden="false" customHeight="false" outlineLevel="0" collapsed="false">
      <c r="B48" s="8" t="s">
        <v>111</v>
      </c>
      <c r="C48" s="9" t="n">
        <v>2019</v>
      </c>
      <c r="D48" s="10" t="n">
        <v>54551</v>
      </c>
      <c r="E48" s="10" t="n">
        <v>47682</v>
      </c>
      <c r="F48" s="10" t="n">
        <v>94352</v>
      </c>
      <c r="G48" s="10" t="n">
        <v>26894</v>
      </c>
      <c r="H48" s="10" t="n">
        <v>2484</v>
      </c>
      <c r="I48" s="10" t="n">
        <v>3410</v>
      </c>
      <c r="J48" s="10" t="n">
        <v>4290</v>
      </c>
      <c r="K48" s="10" t="n">
        <v>29623</v>
      </c>
      <c r="L48" s="10" t="n">
        <v>9740</v>
      </c>
      <c r="M48" s="10" t="n">
        <v>17075</v>
      </c>
      <c r="N48" s="10" t="n">
        <v>4491</v>
      </c>
      <c r="O48" s="10" t="n">
        <v>3623</v>
      </c>
      <c r="P48" s="10" t="n">
        <v>8302</v>
      </c>
      <c r="Q48" s="10" t="n">
        <v>1064</v>
      </c>
      <c r="R48" s="10" t="n">
        <v>1465</v>
      </c>
      <c r="S48" s="10" t="n">
        <v>64572</v>
      </c>
      <c r="T48" s="10" t="n">
        <v>182832</v>
      </c>
      <c r="U48" s="10" t="n">
        <v>20928</v>
      </c>
      <c r="V48" s="10" t="n">
        <v>18094</v>
      </c>
      <c r="W48" s="10" t="n">
        <v>14315</v>
      </c>
      <c r="X48" s="10" t="n">
        <v>8767</v>
      </c>
      <c r="Y48" s="10" t="n">
        <v>22663</v>
      </c>
      <c r="Z48" s="10" t="n">
        <v>10683</v>
      </c>
      <c r="AA48" s="10" t="n">
        <v>227</v>
      </c>
      <c r="AB48" s="10" t="n">
        <v>46695</v>
      </c>
      <c r="AC48" s="10" t="n">
        <v>15994</v>
      </c>
      <c r="AD48" s="10" t="n">
        <v>2279</v>
      </c>
      <c r="AE48" s="10" t="n">
        <v>0</v>
      </c>
      <c r="AF48" s="10" t="n">
        <v>481</v>
      </c>
      <c r="AG48" s="10" t="n">
        <v>1204</v>
      </c>
      <c r="AH48" s="10" t="n">
        <v>1268</v>
      </c>
      <c r="AI48" s="10" t="n">
        <v>10654</v>
      </c>
      <c r="AJ48" s="10" t="n">
        <v>-361</v>
      </c>
      <c r="AK48" s="10" t="n">
        <v>2371</v>
      </c>
      <c r="AL48" s="11" t="n">
        <v>21122</v>
      </c>
      <c r="AM48" s="10" t="n">
        <v>-6598</v>
      </c>
      <c r="AN48" s="10" t="n">
        <v>61114</v>
      </c>
      <c r="AO48" s="10" t="n">
        <v>-67712</v>
      </c>
      <c r="AP48" s="11" t="n">
        <v>1827466.64166107</v>
      </c>
      <c r="AQ48" s="12" t="n">
        <f aca="false">AM48-AN48-AO48</f>
        <v>0</v>
      </c>
    </row>
    <row r="49" customFormat="false" ht="15" hidden="false" customHeight="false" outlineLevel="0" collapsed="false">
      <c r="B49" s="8" t="s">
        <v>112</v>
      </c>
      <c r="C49" s="9" t="n">
        <v>2019</v>
      </c>
      <c r="D49" s="10" t="n">
        <v>59295</v>
      </c>
      <c r="E49" s="10" t="n">
        <v>33164</v>
      </c>
      <c r="F49" s="10" t="n">
        <v>128787</v>
      </c>
      <c r="G49" s="10" t="n">
        <v>28594</v>
      </c>
      <c r="H49" s="10" t="n">
        <v>844</v>
      </c>
      <c r="I49" s="10" t="n">
        <v>3515</v>
      </c>
      <c r="J49" s="10" t="n">
        <v>3956</v>
      </c>
      <c r="K49" s="10" t="n">
        <v>28877</v>
      </c>
      <c r="L49" s="10" t="n">
        <v>11033</v>
      </c>
      <c r="M49" s="10" t="n">
        <v>16878</v>
      </c>
      <c r="N49" s="10" t="n">
        <v>19791</v>
      </c>
      <c r="O49" s="10" t="n">
        <v>7451</v>
      </c>
      <c r="P49" s="10" t="n">
        <v>9935</v>
      </c>
      <c r="Q49" s="10" t="n">
        <v>9731</v>
      </c>
      <c r="R49" s="10" t="n">
        <v>1625</v>
      </c>
      <c r="S49" s="10" t="n">
        <v>12393</v>
      </c>
      <c r="T49" s="10" t="n">
        <v>136548</v>
      </c>
      <c r="U49" s="10" t="n">
        <v>20799</v>
      </c>
      <c r="V49" s="10" t="n">
        <v>13184</v>
      </c>
      <c r="W49" s="10" t="n">
        <v>16401</v>
      </c>
      <c r="X49" s="10" t="n">
        <v>10566</v>
      </c>
      <c r="Y49" s="10" t="n">
        <v>35648</v>
      </c>
      <c r="Z49" s="10" t="n">
        <v>9661</v>
      </c>
      <c r="AA49" s="10" t="n">
        <v>256</v>
      </c>
      <c r="AB49" s="10" t="n">
        <v>52572</v>
      </c>
      <c r="AC49" s="10" t="n">
        <v>15708</v>
      </c>
      <c r="AD49" s="10" t="n">
        <v>2259</v>
      </c>
      <c r="AE49" s="10" t="n">
        <v>3224</v>
      </c>
      <c r="AF49" s="10" t="n">
        <v>253</v>
      </c>
      <c r="AG49" s="10" t="n">
        <v>1360</v>
      </c>
      <c r="AH49" s="10" t="n">
        <v>13317</v>
      </c>
      <c r="AI49" s="10" t="n">
        <v>15866</v>
      </c>
      <c r="AJ49" s="10" t="n">
        <v>-956</v>
      </c>
      <c r="AK49" s="10" t="n">
        <v>3729</v>
      </c>
      <c r="AL49" s="11" t="n">
        <v>21181</v>
      </c>
      <c r="AM49" s="10" t="n">
        <v>4293</v>
      </c>
      <c r="AN49" s="10" t="n">
        <v>82160</v>
      </c>
      <c r="AO49" s="10" t="n">
        <v>-77867</v>
      </c>
      <c r="AP49" s="11" t="n">
        <v>1812565.16958127</v>
      </c>
      <c r="AQ49" s="12" t="n">
        <f aca="false">AM49-AN49-AO49</f>
        <v>0</v>
      </c>
    </row>
    <row r="50" customFormat="false" ht="15" hidden="false" customHeight="false" outlineLevel="0" collapsed="false">
      <c r="B50" s="8" t="s">
        <v>113</v>
      </c>
      <c r="C50" s="9" t="n">
        <v>2019</v>
      </c>
      <c r="D50" s="10" t="n">
        <v>61407</v>
      </c>
      <c r="E50" s="10" t="n">
        <v>34011</v>
      </c>
      <c r="F50" s="10" t="n">
        <v>100432</v>
      </c>
      <c r="G50" s="10" t="n">
        <v>31301</v>
      </c>
      <c r="H50" s="10" t="n">
        <v>2197</v>
      </c>
      <c r="I50" s="10" t="n">
        <v>3583</v>
      </c>
      <c r="J50" s="10" t="n">
        <v>5001</v>
      </c>
      <c r="K50" s="10" t="n">
        <v>38381</v>
      </c>
      <c r="L50" s="10" t="n">
        <v>12381</v>
      </c>
      <c r="M50" s="10" t="n">
        <v>17969</v>
      </c>
      <c r="N50" s="10" t="n">
        <v>7988</v>
      </c>
      <c r="O50" s="10" t="n">
        <v>7210</v>
      </c>
      <c r="P50" s="10" t="n">
        <v>10153</v>
      </c>
      <c r="Q50" s="10" t="n">
        <v>1141</v>
      </c>
      <c r="R50" s="10" t="n">
        <v>1538</v>
      </c>
      <c r="S50" s="10" t="n">
        <v>11730</v>
      </c>
      <c r="T50" s="10" t="n">
        <v>128016</v>
      </c>
      <c r="U50" s="10" t="n">
        <v>19518</v>
      </c>
      <c r="V50" s="10" t="n">
        <v>11102</v>
      </c>
      <c r="W50" s="10" t="n">
        <v>15130</v>
      </c>
      <c r="X50" s="10" t="n">
        <v>9469</v>
      </c>
      <c r="Y50" s="10" t="n">
        <v>22146</v>
      </c>
      <c r="Z50" s="10" t="n">
        <v>11195</v>
      </c>
      <c r="AA50" s="10" t="n">
        <v>789</v>
      </c>
      <c r="AB50" s="10" t="n">
        <v>45717</v>
      </c>
      <c r="AC50" s="10" t="n">
        <v>14784</v>
      </c>
      <c r="AD50" s="10" t="n">
        <v>2128</v>
      </c>
      <c r="AE50" s="10" t="n">
        <v>1306</v>
      </c>
      <c r="AF50" s="10" t="n">
        <v>2004</v>
      </c>
      <c r="AG50" s="10" t="n">
        <v>1384</v>
      </c>
      <c r="AH50" s="10" t="n">
        <v>4349</v>
      </c>
      <c r="AI50" s="10" t="n">
        <v>12017</v>
      </c>
      <c r="AJ50" s="10" t="n">
        <v>-221</v>
      </c>
      <c r="AK50" s="10" t="n">
        <v>7848</v>
      </c>
      <c r="AL50" s="11" t="n">
        <v>23996</v>
      </c>
      <c r="AM50" s="10" t="n">
        <v>13746</v>
      </c>
      <c r="AN50" s="10" t="n">
        <v>28544</v>
      </c>
      <c r="AO50" s="10" t="n">
        <v>-14798</v>
      </c>
      <c r="AP50" s="11" t="n">
        <v>1842851.13302709</v>
      </c>
      <c r="AQ50" s="12" t="n">
        <f aca="false">AM50-AN50-AO50</f>
        <v>0</v>
      </c>
    </row>
    <row r="51" customFormat="false" ht="15" hidden="false" customHeight="false" outlineLevel="0" collapsed="false">
      <c r="B51" s="8" t="s">
        <v>114</v>
      </c>
      <c r="C51" s="9" t="n">
        <v>2019</v>
      </c>
      <c r="D51" s="10" t="n">
        <v>62834</v>
      </c>
      <c r="E51" s="10" t="n">
        <v>26752</v>
      </c>
      <c r="F51" s="10" t="n">
        <v>96030</v>
      </c>
      <c r="G51" s="10" t="n">
        <v>30947</v>
      </c>
      <c r="H51" s="10" t="n">
        <v>463</v>
      </c>
      <c r="I51" s="10" t="n">
        <v>3996</v>
      </c>
      <c r="J51" s="10" t="n">
        <v>5930</v>
      </c>
      <c r="K51" s="10" t="n">
        <v>30254</v>
      </c>
      <c r="L51" s="10" t="n">
        <v>12870</v>
      </c>
      <c r="M51" s="10" t="n">
        <v>18222</v>
      </c>
      <c r="N51" s="10" t="n">
        <v>6834</v>
      </c>
      <c r="O51" s="10" t="n">
        <v>8653</v>
      </c>
      <c r="P51" s="10" t="n">
        <v>11352</v>
      </c>
      <c r="Q51" s="10" t="n">
        <v>891</v>
      </c>
      <c r="R51" s="10" t="n">
        <v>2030</v>
      </c>
      <c r="S51" s="10" t="n">
        <v>13633</v>
      </c>
      <c r="T51" s="10" t="n">
        <v>145697</v>
      </c>
      <c r="U51" s="10" t="n">
        <v>26870</v>
      </c>
      <c r="V51" s="10" t="n">
        <v>16157</v>
      </c>
      <c r="W51" s="10" t="n">
        <v>13978</v>
      </c>
      <c r="X51" s="10" t="n">
        <v>11745</v>
      </c>
      <c r="Y51" s="10" t="n">
        <v>17510</v>
      </c>
      <c r="Z51" s="10" t="n">
        <v>10800</v>
      </c>
      <c r="AA51" s="10" t="n">
        <v>479</v>
      </c>
      <c r="AB51" s="10" t="n">
        <v>44186</v>
      </c>
      <c r="AC51" s="10" t="n">
        <v>16093</v>
      </c>
      <c r="AD51" s="10" t="n">
        <v>2859</v>
      </c>
      <c r="AE51" s="10" t="n">
        <v>1306</v>
      </c>
      <c r="AF51" s="10" t="n">
        <v>122</v>
      </c>
      <c r="AG51" s="10" t="n">
        <v>1163</v>
      </c>
      <c r="AH51" s="10" t="n">
        <v>2534</v>
      </c>
      <c r="AI51" s="10" t="n">
        <v>10935</v>
      </c>
      <c r="AJ51" s="10" t="n">
        <v>-803</v>
      </c>
      <c r="AK51" s="10" t="n">
        <v>7446</v>
      </c>
      <c r="AL51" s="11" t="n">
        <v>27982</v>
      </c>
      <c r="AM51" s="10" t="n">
        <v>-25368</v>
      </c>
      <c r="AN51" s="10" t="n">
        <v>50856</v>
      </c>
      <c r="AO51" s="10" t="n">
        <v>-76224</v>
      </c>
      <c r="AP51" s="11" t="n">
        <v>1920554.69958651</v>
      </c>
      <c r="AQ51" s="12" t="n">
        <f aca="false">AM51-AN51-AO51</f>
        <v>0</v>
      </c>
    </row>
    <row r="52" customFormat="false" ht="15" hidden="false" customHeight="false" outlineLevel="0" collapsed="false">
      <c r="B52" s="8" t="s">
        <v>115</v>
      </c>
      <c r="C52" s="9" t="n">
        <v>2019</v>
      </c>
      <c r="D52" s="10" t="n">
        <v>65889</v>
      </c>
      <c r="E52" s="10" t="n">
        <v>23637</v>
      </c>
      <c r="F52" s="10" t="n">
        <v>100084</v>
      </c>
      <c r="G52" s="10" t="n">
        <v>33332</v>
      </c>
      <c r="H52" s="10" t="n">
        <v>2220</v>
      </c>
      <c r="I52" s="10" t="n">
        <v>4619</v>
      </c>
      <c r="J52" s="10" t="n">
        <v>3568</v>
      </c>
      <c r="K52" s="10" t="n">
        <v>38898</v>
      </c>
      <c r="L52" s="10" t="n">
        <v>14366</v>
      </c>
      <c r="M52" s="10" t="n">
        <v>20006</v>
      </c>
      <c r="N52" s="10" t="n">
        <v>6487</v>
      </c>
      <c r="O52" s="10" t="n">
        <v>11096</v>
      </c>
      <c r="P52" s="10" t="n">
        <v>15340</v>
      </c>
      <c r="Q52" s="10" t="n">
        <v>1115</v>
      </c>
      <c r="R52" s="10" t="n">
        <v>1750</v>
      </c>
      <c r="S52" s="10" t="n">
        <v>12292</v>
      </c>
      <c r="T52" s="10" t="n">
        <v>141761</v>
      </c>
      <c r="U52" s="10" t="n">
        <v>26550</v>
      </c>
      <c r="V52" s="10" t="n">
        <v>15091</v>
      </c>
      <c r="W52" s="10" t="n">
        <v>15380</v>
      </c>
      <c r="X52" s="10" t="n">
        <v>14326</v>
      </c>
      <c r="Y52" s="10" t="n">
        <v>14486</v>
      </c>
      <c r="Z52" s="10" t="n">
        <v>11027</v>
      </c>
      <c r="AA52" s="10" t="n">
        <v>259</v>
      </c>
      <c r="AB52" s="10" t="n">
        <v>45077</v>
      </c>
      <c r="AC52" s="10" t="n">
        <v>15959</v>
      </c>
      <c r="AD52" s="10" t="n">
        <v>2309</v>
      </c>
      <c r="AE52" s="10" t="n">
        <v>5000</v>
      </c>
      <c r="AF52" s="10" t="n">
        <v>1537</v>
      </c>
      <c r="AG52" s="10" t="n">
        <v>922</v>
      </c>
      <c r="AH52" s="10" t="n">
        <v>644</v>
      </c>
      <c r="AI52" s="10" t="n">
        <v>11517</v>
      </c>
      <c r="AJ52" s="10" t="n">
        <v>1886</v>
      </c>
      <c r="AK52" s="10" t="n">
        <v>3281</v>
      </c>
      <c r="AL52" s="11" t="n">
        <v>19160</v>
      </c>
      <c r="AM52" s="10" t="n">
        <v>8527</v>
      </c>
      <c r="AN52" s="10" t="n">
        <v>72774</v>
      </c>
      <c r="AO52" s="10" t="n">
        <v>-64247</v>
      </c>
      <c r="AP52" s="11" t="n">
        <v>2045476.72855072</v>
      </c>
      <c r="AQ52" s="12" t="n">
        <f aca="false">AM52-AN52-AO52</f>
        <v>0</v>
      </c>
    </row>
    <row r="53" customFormat="false" ht="15" hidden="false" customHeight="false" outlineLevel="0" collapsed="false">
      <c r="B53" s="8" t="s">
        <v>116</v>
      </c>
      <c r="C53" s="9" t="n">
        <v>2019</v>
      </c>
      <c r="D53" s="10" t="n">
        <v>62282</v>
      </c>
      <c r="E53" s="10" t="n">
        <v>28738</v>
      </c>
      <c r="F53" s="10" t="n">
        <v>108100</v>
      </c>
      <c r="G53" s="10" t="n">
        <v>35087</v>
      </c>
      <c r="H53" s="10" t="n">
        <v>413</v>
      </c>
      <c r="I53" s="10" t="n">
        <v>5317</v>
      </c>
      <c r="J53" s="10" t="n">
        <v>5453</v>
      </c>
      <c r="K53" s="10" t="n">
        <v>52706</v>
      </c>
      <c r="L53" s="10" t="n">
        <v>13113</v>
      </c>
      <c r="M53" s="10" t="n">
        <v>18284</v>
      </c>
      <c r="N53" s="10" t="n">
        <v>13576</v>
      </c>
      <c r="O53" s="10" t="n">
        <v>11765</v>
      </c>
      <c r="P53" s="10" t="n">
        <v>10314</v>
      </c>
      <c r="Q53" s="10" t="n">
        <v>1112</v>
      </c>
      <c r="R53" s="10" t="n">
        <v>1614</v>
      </c>
      <c r="S53" s="10" t="n">
        <v>1031</v>
      </c>
      <c r="T53" s="10" t="n">
        <v>154170</v>
      </c>
      <c r="U53" s="10" t="n">
        <v>21840</v>
      </c>
      <c r="V53" s="10" t="n">
        <v>15342</v>
      </c>
      <c r="W53" s="10" t="n">
        <v>15844</v>
      </c>
      <c r="X53" s="10" t="n">
        <v>10909</v>
      </c>
      <c r="Y53" s="10" t="n">
        <v>23666</v>
      </c>
      <c r="Z53" s="10" t="n">
        <v>12939</v>
      </c>
      <c r="AA53" s="10" t="n">
        <v>813</v>
      </c>
      <c r="AB53" s="10" t="n">
        <v>46200</v>
      </c>
      <c r="AC53" s="10" t="n">
        <v>14600</v>
      </c>
      <c r="AD53" s="10" t="n">
        <v>2003</v>
      </c>
      <c r="AE53" s="10" t="n">
        <v>1306</v>
      </c>
      <c r="AF53" s="10" t="n">
        <v>1604</v>
      </c>
      <c r="AG53" s="10" t="n">
        <v>842</v>
      </c>
      <c r="AH53" s="10" t="n">
        <v>19337</v>
      </c>
      <c r="AI53" s="10" t="n">
        <v>12972</v>
      </c>
      <c r="AJ53" s="10" t="n">
        <v>-634</v>
      </c>
      <c r="AK53" s="10" t="n">
        <v>2560</v>
      </c>
      <c r="AL53" s="11" t="n">
        <v>18989</v>
      </c>
      <c r="AM53" s="10" t="n">
        <v>-6397</v>
      </c>
      <c r="AN53" s="10" t="n">
        <v>67269</v>
      </c>
      <c r="AO53" s="10" t="n">
        <v>-73666</v>
      </c>
      <c r="AP53" s="11" t="n">
        <v>2131723.97569629</v>
      </c>
      <c r="AQ53" s="12" t="n">
        <f aca="false">AM53-AN53-AO53</f>
        <v>0</v>
      </c>
    </row>
    <row r="54" customFormat="false" ht="15" hidden="false" customHeight="false" outlineLevel="0" collapsed="false">
      <c r="B54" s="8" t="s">
        <v>117</v>
      </c>
      <c r="C54" s="9" t="n">
        <v>2019</v>
      </c>
      <c r="D54" s="10" t="n">
        <v>56336</v>
      </c>
      <c r="E54" s="10" t="n">
        <v>33524</v>
      </c>
      <c r="F54" s="10" t="n">
        <v>116158</v>
      </c>
      <c r="G54" s="10" t="n">
        <v>34946</v>
      </c>
      <c r="H54" s="10" t="n">
        <v>2181</v>
      </c>
      <c r="I54" s="10" t="n">
        <v>5024</v>
      </c>
      <c r="J54" s="10" t="n">
        <v>6815</v>
      </c>
      <c r="K54" s="10" t="n">
        <v>62492</v>
      </c>
      <c r="L54" s="10" t="n">
        <v>12191</v>
      </c>
      <c r="M54" s="10" t="n">
        <v>22588</v>
      </c>
      <c r="N54" s="10" t="n">
        <v>10482</v>
      </c>
      <c r="O54" s="10" t="n">
        <v>10881</v>
      </c>
      <c r="P54" s="10" t="n">
        <v>9904</v>
      </c>
      <c r="Q54" s="10" t="n">
        <v>1256</v>
      </c>
      <c r="R54" s="10" t="n">
        <v>1855</v>
      </c>
      <c r="S54" s="10" t="n">
        <v>1942</v>
      </c>
      <c r="T54" s="10" t="n">
        <v>235209</v>
      </c>
      <c r="U54" s="10" t="n">
        <v>33179</v>
      </c>
      <c r="V54" s="10" t="n">
        <v>27481</v>
      </c>
      <c r="W54" s="10" t="n">
        <v>15579</v>
      </c>
      <c r="X54" s="10" t="n">
        <v>34094</v>
      </c>
      <c r="Y54" s="10" t="n">
        <v>18487</v>
      </c>
      <c r="Z54" s="10" t="n">
        <v>14610</v>
      </c>
      <c r="AA54" s="10" t="n">
        <v>291</v>
      </c>
      <c r="AB54" s="10" t="n">
        <v>68603</v>
      </c>
      <c r="AC54" s="10" t="n">
        <v>12953</v>
      </c>
      <c r="AD54" s="10" t="n">
        <v>2582</v>
      </c>
      <c r="AE54" s="10" t="n">
        <v>0</v>
      </c>
      <c r="AF54" s="10" t="n">
        <v>111</v>
      </c>
      <c r="AG54" s="10" t="n">
        <v>847</v>
      </c>
      <c r="AH54" s="10" t="n">
        <v>3983</v>
      </c>
      <c r="AI54" s="10" t="n">
        <v>20066</v>
      </c>
      <c r="AJ54" s="10" t="n">
        <v>-439</v>
      </c>
      <c r="AK54" s="10" t="n">
        <v>3327</v>
      </c>
      <c r="AL54" s="11" t="n">
        <v>17755</v>
      </c>
      <c r="AM54" s="10" t="n">
        <v>-120143</v>
      </c>
      <c r="AN54" s="10" t="n">
        <v>105260</v>
      </c>
      <c r="AO54" s="10" t="n">
        <v>-225403</v>
      </c>
      <c r="AP54" s="11" t="n">
        <v>2125855.68982723</v>
      </c>
      <c r="AQ54" s="12" t="n">
        <f aca="false">AM54-AN54-AO54</f>
        <v>0</v>
      </c>
    </row>
    <row r="55" customFormat="false" ht="15" hidden="false" customHeight="false" outlineLevel="0" collapsed="false">
      <c r="B55" s="8" t="s">
        <v>118</v>
      </c>
      <c r="C55" s="9" t="n">
        <v>2020</v>
      </c>
      <c r="D55" s="10" t="n">
        <v>69965</v>
      </c>
      <c r="E55" s="10" t="n">
        <v>29044</v>
      </c>
      <c r="F55" s="10" t="n">
        <v>153481</v>
      </c>
      <c r="G55" s="10" t="n">
        <v>35361</v>
      </c>
      <c r="H55" s="10" t="n">
        <v>343</v>
      </c>
      <c r="I55" s="10" t="n">
        <v>4423</v>
      </c>
      <c r="J55" s="10" t="n">
        <v>0</v>
      </c>
      <c r="K55" s="10" t="n">
        <v>23502</v>
      </c>
      <c r="L55" s="10" t="n">
        <v>13369</v>
      </c>
      <c r="M55" s="10" t="n">
        <v>23259</v>
      </c>
      <c r="N55" s="10" t="n">
        <v>20456</v>
      </c>
      <c r="O55" s="10" t="n">
        <v>9322</v>
      </c>
      <c r="P55" s="10" t="n">
        <v>10196</v>
      </c>
      <c r="Q55" s="10" t="n">
        <v>1034</v>
      </c>
      <c r="R55" s="10" t="n">
        <v>1271</v>
      </c>
      <c r="S55" s="10" t="n">
        <v>200</v>
      </c>
      <c r="T55" s="10" t="n">
        <v>157762</v>
      </c>
      <c r="U55" s="10" t="n">
        <v>23553</v>
      </c>
      <c r="V55" s="10" t="n">
        <v>24743</v>
      </c>
      <c r="W55" s="10" t="n">
        <v>16108</v>
      </c>
      <c r="X55" s="10" t="n">
        <v>31111</v>
      </c>
      <c r="Y55" s="10" t="n">
        <v>18451</v>
      </c>
      <c r="Z55" s="10" t="n">
        <v>12337</v>
      </c>
      <c r="AA55" s="10" t="n">
        <v>199</v>
      </c>
      <c r="AB55" s="10" t="n">
        <v>53074</v>
      </c>
      <c r="AC55" s="10" t="n">
        <v>14529</v>
      </c>
      <c r="AD55" s="10" t="n">
        <v>2342</v>
      </c>
      <c r="AE55" s="10" t="n">
        <v>1142</v>
      </c>
      <c r="AF55" s="10" t="n">
        <v>0</v>
      </c>
      <c r="AG55" s="10" t="n">
        <v>813</v>
      </c>
      <c r="AH55" s="10" t="n">
        <v>16809</v>
      </c>
      <c r="AI55" s="10" t="n">
        <v>13486</v>
      </c>
      <c r="AJ55" s="10" t="n">
        <v>0</v>
      </c>
      <c r="AK55" s="10" t="n">
        <v>1050</v>
      </c>
      <c r="AL55" s="11" t="n">
        <v>11483</v>
      </c>
      <c r="AM55" s="10" t="n">
        <v>-3766</v>
      </c>
      <c r="AN55" s="10" t="n">
        <v>87052</v>
      </c>
      <c r="AO55" s="10" t="n">
        <v>-90818</v>
      </c>
      <c r="AP55" s="11" t="n">
        <v>2096177.89309527</v>
      </c>
      <c r="AQ55" s="12" t="n">
        <f aca="false">AM55-AN55-AO55</f>
        <v>0</v>
      </c>
    </row>
    <row r="56" customFormat="false" ht="15" hidden="false" customHeight="false" outlineLevel="0" collapsed="false">
      <c r="B56" s="8" t="s">
        <v>119</v>
      </c>
      <c r="C56" s="9" t="n">
        <v>2020</v>
      </c>
      <c r="D56" s="10" t="n">
        <v>63561</v>
      </c>
      <c r="E56" s="10" t="n">
        <v>30121</v>
      </c>
      <c r="F56" s="10" t="n">
        <v>127092</v>
      </c>
      <c r="G56" s="10" t="n">
        <v>34564</v>
      </c>
      <c r="H56" s="10" t="n">
        <v>2035</v>
      </c>
      <c r="I56" s="10" t="n">
        <v>5861</v>
      </c>
      <c r="J56" s="10" t="n">
        <v>0</v>
      </c>
      <c r="K56" s="10" t="n">
        <v>20893</v>
      </c>
      <c r="L56" s="10" t="n">
        <v>9457</v>
      </c>
      <c r="M56" s="10" t="n">
        <v>21529</v>
      </c>
      <c r="N56" s="10" t="n">
        <v>6953</v>
      </c>
      <c r="O56" s="10" t="n">
        <v>7976</v>
      </c>
      <c r="P56" s="10" t="n">
        <v>10066</v>
      </c>
      <c r="Q56" s="10" t="n">
        <v>2159</v>
      </c>
      <c r="R56" s="10" t="n">
        <v>1603</v>
      </c>
      <c r="S56" s="10" t="n">
        <v>7046</v>
      </c>
      <c r="T56" s="10" t="n">
        <v>160712</v>
      </c>
      <c r="U56" s="10" t="n">
        <v>25743</v>
      </c>
      <c r="V56" s="10" t="n">
        <v>15444</v>
      </c>
      <c r="W56" s="10" t="n">
        <v>16419</v>
      </c>
      <c r="X56" s="10" t="n">
        <v>15424</v>
      </c>
      <c r="Y56" s="10" t="n">
        <v>21874</v>
      </c>
      <c r="Z56" s="10" t="n">
        <v>11579</v>
      </c>
      <c r="AA56" s="10" t="n">
        <v>57</v>
      </c>
      <c r="AB56" s="10" t="n">
        <v>53245</v>
      </c>
      <c r="AC56" s="10" t="n">
        <v>14172</v>
      </c>
      <c r="AD56" s="10" t="n">
        <v>2356</v>
      </c>
      <c r="AE56" s="10" t="n">
        <v>899</v>
      </c>
      <c r="AF56" s="10" t="n">
        <v>0</v>
      </c>
      <c r="AG56" s="10" t="n">
        <v>1189</v>
      </c>
      <c r="AH56" s="10" t="n">
        <v>8553</v>
      </c>
      <c r="AI56" s="10" t="n">
        <v>14018</v>
      </c>
      <c r="AJ56" s="10" t="n">
        <v>0</v>
      </c>
      <c r="AK56" s="10" t="n">
        <v>3569</v>
      </c>
      <c r="AL56" s="11" t="n">
        <v>13160</v>
      </c>
      <c r="AM56" s="10" t="n">
        <v>-27497</v>
      </c>
      <c r="AN56" s="10" t="n">
        <v>40081</v>
      </c>
      <c r="AO56" s="10" t="n">
        <v>-67578</v>
      </c>
      <c r="AP56" s="11" t="n">
        <v>2090215.38579231</v>
      </c>
      <c r="AQ56" s="12" t="n">
        <f aca="false">AM56-AN56-AO56</f>
        <v>0</v>
      </c>
    </row>
    <row r="57" customFormat="false" ht="15" hidden="false" customHeight="false" outlineLevel="0" collapsed="false">
      <c r="B57" s="8" t="s">
        <v>120</v>
      </c>
      <c r="C57" s="9" t="n">
        <v>2020</v>
      </c>
      <c r="D57" s="10" t="n">
        <v>61510</v>
      </c>
      <c r="E57" s="10" t="n">
        <v>23174</v>
      </c>
      <c r="F57" s="10" t="n">
        <v>123942</v>
      </c>
      <c r="G57" s="10" t="n">
        <v>24902</v>
      </c>
      <c r="H57" s="10" t="n">
        <v>572</v>
      </c>
      <c r="I57" s="10" t="n">
        <v>4291</v>
      </c>
      <c r="J57" s="10" t="n">
        <v>0</v>
      </c>
      <c r="K57" s="10" t="n">
        <v>26895</v>
      </c>
      <c r="L57" s="10" t="n">
        <v>11783</v>
      </c>
      <c r="M57" s="10" t="n">
        <v>30518</v>
      </c>
      <c r="N57" s="10" t="n">
        <v>2088</v>
      </c>
      <c r="O57" s="10" t="n">
        <v>8708</v>
      </c>
      <c r="P57" s="10" t="n">
        <v>11417</v>
      </c>
      <c r="Q57" s="10" t="n">
        <v>1772</v>
      </c>
      <c r="R57" s="10" t="n">
        <v>1686</v>
      </c>
      <c r="S57" s="10" t="n">
        <v>8260</v>
      </c>
      <c r="T57" s="10" t="n">
        <v>175074</v>
      </c>
      <c r="U57" s="10" t="n">
        <v>55624</v>
      </c>
      <c r="V57" s="10" t="n">
        <v>16879</v>
      </c>
      <c r="W57" s="10" t="n">
        <v>18196</v>
      </c>
      <c r="X57" s="10" t="n">
        <v>23708</v>
      </c>
      <c r="Y57" s="10" t="n">
        <v>26090</v>
      </c>
      <c r="Z57" s="10" t="n">
        <v>14138</v>
      </c>
      <c r="AA57" s="10" t="n">
        <v>230</v>
      </c>
      <c r="AB57" s="10" t="n">
        <v>54245</v>
      </c>
      <c r="AC57" s="10" t="n">
        <v>13907</v>
      </c>
      <c r="AD57" s="10" t="n">
        <v>5843</v>
      </c>
      <c r="AE57" s="10" t="n">
        <v>3357</v>
      </c>
      <c r="AF57" s="10" t="n">
        <v>0</v>
      </c>
      <c r="AG57" s="10" t="n">
        <v>1613</v>
      </c>
      <c r="AH57" s="10" t="n">
        <v>8063</v>
      </c>
      <c r="AI57" s="10" t="n">
        <v>27848</v>
      </c>
      <c r="AJ57" s="10" t="n">
        <v>0</v>
      </c>
      <c r="AK57" s="10" t="n">
        <v>4832</v>
      </c>
      <c r="AL57" s="11" t="n">
        <v>16599</v>
      </c>
      <c r="AM57" s="10" t="n">
        <v>-124728</v>
      </c>
      <c r="AN57" s="10" t="n">
        <v>41577</v>
      </c>
      <c r="AO57" s="10" t="n">
        <v>-166305</v>
      </c>
      <c r="AP57" s="11" t="n">
        <v>2063603.74176563</v>
      </c>
      <c r="AQ57" s="12" t="n">
        <f aca="false">AM57-AN57-AO57</f>
        <v>0</v>
      </c>
    </row>
    <row r="58" customFormat="false" ht="15" hidden="false" customHeight="false" outlineLevel="0" collapsed="false">
      <c r="B58" s="8" t="s">
        <v>121</v>
      </c>
      <c r="C58" s="9" t="n">
        <v>2020</v>
      </c>
      <c r="D58" s="10" t="n">
        <v>55271</v>
      </c>
      <c r="E58" s="10" t="n">
        <v>22034</v>
      </c>
      <c r="F58" s="10" t="n">
        <v>106742</v>
      </c>
      <c r="G58" s="10" t="n">
        <v>35694</v>
      </c>
      <c r="H58" s="10" t="n">
        <v>2782</v>
      </c>
      <c r="I58" s="10" t="n">
        <v>3116</v>
      </c>
      <c r="J58" s="10" t="n">
        <v>0</v>
      </c>
      <c r="K58" s="10" t="n">
        <v>28210</v>
      </c>
      <c r="L58" s="10" t="n">
        <v>9414</v>
      </c>
      <c r="M58" s="10" t="n">
        <v>21516</v>
      </c>
      <c r="N58" s="10" t="n">
        <v>3007</v>
      </c>
      <c r="O58" s="10" t="n">
        <v>5977</v>
      </c>
      <c r="P58" s="10" t="n">
        <v>9576</v>
      </c>
      <c r="Q58" s="10" t="n">
        <v>1284</v>
      </c>
      <c r="R58" s="10" t="n">
        <v>2105</v>
      </c>
      <c r="S58" s="10" t="n">
        <v>9521</v>
      </c>
      <c r="T58" s="10" t="n">
        <v>174627</v>
      </c>
      <c r="U58" s="10" t="n">
        <v>28114</v>
      </c>
      <c r="V58" s="10" t="n">
        <v>19737</v>
      </c>
      <c r="W58" s="10" t="n">
        <v>25258</v>
      </c>
      <c r="X58" s="10" t="n">
        <v>84775</v>
      </c>
      <c r="Y58" s="10" t="n">
        <v>43590</v>
      </c>
      <c r="Z58" s="10" t="n">
        <v>14115</v>
      </c>
      <c r="AA58" s="10" t="n">
        <v>104</v>
      </c>
      <c r="AB58" s="10" t="n">
        <v>56487</v>
      </c>
      <c r="AC58" s="10" t="n">
        <v>18416</v>
      </c>
      <c r="AD58" s="10" t="n">
        <v>712</v>
      </c>
      <c r="AE58" s="10" t="n">
        <v>10253</v>
      </c>
      <c r="AF58" s="10" t="n">
        <v>0</v>
      </c>
      <c r="AG58" s="10" t="n">
        <v>2599</v>
      </c>
      <c r="AH58" s="10" t="n">
        <v>35716</v>
      </c>
      <c r="AI58" s="10" t="n">
        <v>1495</v>
      </c>
      <c r="AJ58" s="10" t="n">
        <v>0</v>
      </c>
      <c r="AK58" s="10" t="n">
        <v>5427</v>
      </c>
      <c r="AL58" s="11" t="n">
        <v>23646</v>
      </c>
      <c r="AM58" s="10" t="n">
        <v>-228822</v>
      </c>
      <c r="AN58" s="10" t="n">
        <v>37228</v>
      </c>
      <c r="AO58" s="10" t="n">
        <v>-266049</v>
      </c>
      <c r="AP58" s="11" t="n">
        <v>1988803.01369286</v>
      </c>
      <c r="AQ58" s="12" t="n">
        <f aca="false">AM58-AN58-AO58</f>
        <v>-1</v>
      </c>
    </row>
    <row r="59" customFormat="false" ht="15" hidden="false" customHeight="false" outlineLevel="0" collapsed="false">
      <c r="B59" s="8" t="s">
        <v>122</v>
      </c>
      <c r="C59" s="9" t="n">
        <v>2020</v>
      </c>
      <c r="D59" s="10" t="n">
        <v>55983</v>
      </c>
      <c r="E59" s="10" t="n">
        <v>46568</v>
      </c>
      <c r="F59" s="10" t="n">
        <v>103875</v>
      </c>
      <c r="G59" s="10" t="n">
        <v>26728</v>
      </c>
      <c r="H59" s="10" t="n">
        <v>2705</v>
      </c>
      <c r="I59" s="10" t="n">
        <v>4010</v>
      </c>
      <c r="J59" s="10" t="n">
        <v>0</v>
      </c>
      <c r="K59" s="10" t="n">
        <v>23622</v>
      </c>
      <c r="L59" s="10" t="n">
        <v>11028</v>
      </c>
      <c r="M59" s="10" t="n">
        <v>27017</v>
      </c>
      <c r="N59" s="10" t="n">
        <v>1196</v>
      </c>
      <c r="O59" s="10" t="n">
        <v>5343</v>
      </c>
      <c r="P59" s="10" t="n">
        <v>8390</v>
      </c>
      <c r="Q59" s="10" t="n">
        <v>1799</v>
      </c>
      <c r="R59" s="10" t="n">
        <v>1398</v>
      </c>
      <c r="S59" s="10" t="n">
        <v>8459</v>
      </c>
      <c r="T59" s="10" t="n">
        <v>174691</v>
      </c>
      <c r="U59" s="10" t="n">
        <v>26905</v>
      </c>
      <c r="V59" s="10" t="n">
        <v>19077</v>
      </c>
      <c r="W59" s="10" t="n">
        <v>19692</v>
      </c>
      <c r="X59" s="10" t="n">
        <v>108678</v>
      </c>
      <c r="Y59" s="10" t="n">
        <v>51711</v>
      </c>
      <c r="Z59" s="10" t="n">
        <v>15546</v>
      </c>
      <c r="AA59" s="10" t="n">
        <v>96</v>
      </c>
      <c r="AB59" s="10" t="n">
        <v>49213</v>
      </c>
      <c r="AC59" s="10" t="n">
        <v>18395</v>
      </c>
      <c r="AD59" s="10" t="n">
        <v>3820</v>
      </c>
      <c r="AE59" s="10" t="n">
        <v>3889</v>
      </c>
      <c r="AF59" s="10" t="n">
        <v>0</v>
      </c>
      <c r="AG59" s="10" t="n">
        <v>2553</v>
      </c>
      <c r="AH59" s="10" t="n">
        <v>35540</v>
      </c>
      <c r="AI59" s="10" t="n">
        <v>15336</v>
      </c>
      <c r="AJ59" s="10" t="n">
        <v>0</v>
      </c>
      <c r="AK59" s="10" t="n">
        <v>8874</v>
      </c>
      <c r="AL59" s="11" t="n">
        <v>25392</v>
      </c>
      <c r="AM59" s="10" t="n">
        <v>-251287</v>
      </c>
      <c r="AN59" s="10" t="n">
        <v>56932</v>
      </c>
      <c r="AO59" s="10" t="n">
        <v>-308219</v>
      </c>
      <c r="AP59" s="11" t="n">
        <v>1962615.15696898</v>
      </c>
      <c r="AQ59" s="12" t="n">
        <f aca="false">AM59-AN59-AO59</f>
        <v>0</v>
      </c>
    </row>
    <row r="60" customFormat="false" ht="15" hidden="false" customHeight="false" outlineLevel="0" collapsed="false">
      <c r="B60" s="8" t="s">
        <v>123</v>
      </c>
      <c r="C60" s="9" t="n">
        <v>2020</v>
      </c>
      <c r="D60" s="10" t="n">
        <v>61651</v>
      </c>
      <c r="E60" s="10" t="n">
        <v>50778</v>
      </c>
      <c r="F60" s="10" t="n">
        <v>115917</v>
      </c>
      <c r="G60" s="10" t="n">
        <v>40848</v>
      </c>
      <c r="H60" s="10" t="n">
        <v>9752</v>
      </c>
      <c r="I60" s="10" t="n">
        <v>7506</v>
      </c>
      <c r="J60" s="10" t="n">
        <v>0</v>
      </c>
      <c r="K60" s="10" t="n">
        <v>34475</v>
      </c>
      <c r="L60" s="10" t="n">
        <v>12004</v>
      </c>
      <c r="M60" s="10" t="n">
        <v>32742</v>
      </c>
      <c r="N60" s="10" t="n">
        <v>2963</v>
      </c>
      <c r="O60" s="10" t="n">
        <v>3483</v>
      </c>
      <c r="P60" s="10" t="n">
        <v>12827</v>
      </c>
      <c r="Q60" s="10" t="n">
        <v>1988</v>
      </c>
      <c r="R60" s="10" t="n">
        <v>1902</v>
      </c>
      <c r="S60" s="10" t="n">
        <v>14065</v>
      </c>
      <c r="T60" s="10" t="n">
        <v>266374</v>
      </c>
      <c r="U60" s="10" t="n">
        <v>27210</v>
      </c>
      <c r="V60" s="10" t="n">
        <v>25001</v>
      </c>
      <c r="W60" s="10" t="n">
        <v>24287</v>
      </c>
      <c r="X60" s="10" t="n">
        <v>119957</v>
      </c>
      <c r="Y60" s="10" t="n">
        <v>48685</v>
      </c>
      <c r="Z60" s="10" t="n">
        <v>14736</v>
      </c>
      <c r="AA60" s="10" t="n">
        <v>96</v>
      </c>
      <c r="AB60" s="10" t="n">
        <v>51460</v>
      </c>
      <c r="AC60" s="10" t="n">
        <v>18880</v>
      </c>
      <c r="AD60" s="10" t="n">
        <v>3957</v>
      </c>
      <c r="AE60" s="10" t="n">
        <v>2098</v>
      </c>
      <c r="AF60" s="10" t="n">
        <v>0</v>
      </c>
      <c r="AG60" s="10" t="n">
        <v>2326</v>
      </c>
      <c r="AH60" s="10" t="n">
        <v>9650</v>
      </c>
      <c r="AI60" s="10" t="n">
        <v>15641</v>
      </c>
      <c r="AJ60" s="10" t="n">
        <v>0</v>
      </c>
      <c r="AK60" s="10" t="n">
        <v>10588</v>
      </c>
      <c r="AL60" s="11" t="n">
        <v>15661</v>
      </c>
      <c r="AM60" s="10" t="n">
        <v>-253706</v>
      </c>
      <c r="AN60" s="10" t="n">
        <v>34859</v>
      </c>
      <c r="AO60" s="10" t="n">
        <v>-288565</v>
      </c>
      <c r="AP60" s="11" t="n">
        <v>2054922.31411292</v>
      </c>
      <c r="AQ60" s="12" t="n">
        <f aca="false">AM60-AN60-AO60</f>
        <v>0</v>
      </c>
    </row>
    <row r="61" customFormat="false" ht="15" hidden="false" customHeight="false" outlineLevel="0" collapsed="false">
      <c r="B61" s="8" t="s">
        <v>124</v>
      </c>
      <c r="C61" s="9" t="n">
        <v>2020</v>
      </c>
      <c r="D61" s="10" t="n">
        <v>62442</v>
      </c>
      <c r="E61" s="10" t="n">
        <v>33235</v>
      </c>
      <c r="F61" s="10" t="n">
        <v>151887</v>
      </c>
      <c r="G61" s="10" t="n">
        <v>36316</v>
      </c>
      <c r="H61" s="10" t="n">
        <v>3503</v>
      </c>
      <c r="I61" s="10" t="n">
        <v>11506</v>
      </c>
      <c r="J61" s="10" t="n">
        <v>0</v>
      </c>
      <c r="K61" s="10" t="n">
        <v>33057</v>
      </c>
      <c r="L61" s="10" t="n">
        <v>12220</v>
      </c>
      <c r="M61" s="10" t="n">
        <v>51546</v>
      </c>
      <c r="N61" s="10" t="n">
        <v>11420</v>
      </c>
      <c r="O61" s="10" t="n">
        <v>2823</v>
      </c>
      <c r="P61" s="10" t="n">
        <v>13312</v>
      </c>
      <c r="Q61" s="10" t="n">
        <v>1954</v>
      </c>
      <c r="R61" s="10" t="n">
        <v>1705</v>
      </c>
      <c r="S61" s="10" t="n">
        <v>9282</v>
      </c>
      <c r="T61" s="10" t="n">
        <v>182127</v>
      </c>
      <c r="U61" s="10" t="n">
        <v>26517</v>
      </c>
      <c r="V61" s="10" t="n">
        <v>18044</v>
      </c>
      <c r="W61" s="10" t="n">
        <v>22667</v>
      </c>
      <c r="X61" s="10" t="n">
        <v>96931</v>
      </c>
      <c r="Y61" s="10" t="n">
        <v>47650</v>
      </c>
      <c r="Z61" s="10" t="n">
        <v>17636</v>
      </c>
      <c r="AA61" s="10" t="n">
        <v>105</v>
      </c>
      <c r="AB61" s="10" t="n">
        <v>74329</v>
      </c>
      <c r="AC61" s="10" t="n">
        <v>16480</v>
      </c>
      <c r="AD61" s="10" t="n">
        <v>3952</v>
      </c>
      <c r="AE61" s="10" t="n">
        <v>2298</v>
      </c>
      <c r="AF61" s="10" t="n">
        <v>0</v>
      </c>
      <c r="AG61" s="10" t="n">
        <v>632</v>
      </c>
      <c r="AH61" s="10" t="n">
        <v>25631</v>
      </c>
      <c r="AI61" s="10" t="n">
        <v>23517</v>
      </c>
      <c r="AJ61" s="10" t="n">
        <v>0</v>
      </c>
      <c r="AK61" s="10" t="n">
        <v>6183</v>
      </c>
      <c r="AL61" s="11" t="n">
        <v>27033</v>
      </c>
      <c r="AM61" s="10" t="n">
        <v>-155524</v>
      </c>
      <c r="AN61" s="10" t="n">
        <v>33566</v>
      </c>
      <c r="AO61" s="10" t="n">
        <v>-189089</v>
      </c>
      <c r="AP61" s="11" t="n">
        <v>2184289.4712503</v>
      </c>
      <c r="AQ61" s="12" t="n">
        <f aca="false">AM61-AN61-AO61</f>
        <v>-1</v>
      </c>
    </row>
    <row r="62" customFormat="false" ht="15" hidden="false" customHeight="false" outlineLevel="0" collapsed="false">
      <c r="B62" s="8" t="s">
        <v>125</v>
      </c>
      <c r="C62" s="9" t="n">
        <v>2020</v>
      </c>
      <c r="D62" s="10" t="n">
        <v>68611</v>
      </c>
      <c r="E62" s="10" t="n">
        <v>46643</v>
      </c>
      <c r="F62" s="10" t="n">
        <v>125894</v>
      </c>
      <c r="G62" s="10" t="n">
        <v>37776</v>
      </c>
      <c r="H62" s="10" t="n">
        <v>17103</v>
      </c>
      <c r="I62" s="10" t="n">
        <v>6099</v>
      </c>
      <c r="J62" s="10" t="n">
        <v>0</v>
      </c>
      <c r="K62" s="10" t="n">
        <v>36141</v>
      </c>
      <c r="L62" s="10" t="n">
        <v>13257</v>
      </c>
      <c r="M62" s="10" t="n">
        <v>47462</v>
      </c>
      <c r="N62" s="10" t="n">
        <v>5380</v>
      </c>
      <c r="O62" s="10" t="n">
        <v>5682</v>
      </c>
      <c r="P62" s="10" t="n">
        <v>10389</v>
      </c>
      <c r="Q62" s="10" t="n">
        <v>1534</v>
      </c>
      <c r="R62" s="10" t="n">
        <v>1741</v>
      </c>
      <c r="S62" s="10" t="n">
        <v>8823</v>
      </c>
      <c r="T62" s="10" t="n">
        <v>183295</v>
      </c>
      <c r="U62" s="10" t="n">
        <v>27458</v>
      </c>
      <c r="V62" s="10" t="n">
        <v>18349</v>
      </c>
      <c r="W62" s="10" t="n">
        <v>22600</v>
      </c>
      <c r="X62" s="10" t="n">
        <v>96608</v>
      </c>
      <c r="Y62" s="10" t="n">
        <v>23769</v>
      </c>
      <c r="Z62" s="10" t="n">
        <v>16604</v>
      </c>
      <c r="AA62" s="10" t="n">
        <v>1841</v>
      </c>
      <c r="AB62" s="10" t="n">
        <v>54931</v>
      </c>
      <c r="AC62" s="10" t="n">
        <v>15565</v>
      </c>
      <c r="AD62" s="10" t="n">
        <v>3698</v>
      </c>
      <c r="AE62" s="10" t="n">
        <v>2157</v>
      </c>
      <c r="AF62" s="10" t="n">
        <v>0</v>
      </c>
      <c r="AG62" s="10" t="n">
        <v>2147</v>
      </c>
      <c r="AH62" s="10" t="n">
        <v>8662</v>
      </c>
      <c r="AI62" s="10" t="n">
        <v>18081</v>
      </c>
      <c r="AJ62" s="10" t="n">
        <v>0</v>
      </c>
      <c r="AK62" s="10" t="n">
        <v>5726</v>
      </c>
      <c r="AL62" s="11" t="n">
        <v>20543</v>
      </c>
      <c r="AM62" s="10" t="n">
        <v>-89499</v>
      </c>
      <c r="AN62" s="10" t="n">
        <v>56053</v>
      </c>
      <c r="AO62" s="10" t="n">
        <v>-145552</v>
      </c>
      <c r="AP62" s="11" t="n">
        <v>2287022.57751142</v>
      </c>
      <c r="AQ62" s="12" t="n">
        <f aca="false">AM62-AN62-AO62</f>
        <v>0</v>
      </c>
    </row>
    <row r="63" customFormat="false" ht="15" hidden="false" customHeight="false" outlineLevel="0" collapsed="false">
      <c r="B63" s="8" t="s">
        <v>126</v>
      </c>
      <c r="C63" s="9" t="n">
        <v>2020</v>
      </c>
      <c r="D63" s="10" t="n">
        <v>75089</v>
      </c>
      <c r="E63" s="10" t="n">
        <v>39423</v>
      </c>
      <c r="F63" s="10" t="n">
        <v>128711</v>
      </c>
      <c r="G63" s="10" t="n">
        <v>39638</v>
      </c>
      <c r="H63" s="10" t="n">
        <v>9092</v>
      </c>
      <c r="I63" s="10" t="n">
        <v>7639</v>
      </c>
      <c r="J63" s="10" t="n">
        <v>0</v>
      </c>
      <c r="K63" s="10" t="n">
        <v>44619</v>
      </c>
      <c r="L63" s="10" t="n">
        <v>15802</v>
      </c>
      <c r="M63" s="10" t="n">
        <v>47908</v>
      </c>
      <c r="N63" s="10" t="n">
        <v>2264</v>
      </c>
      <c r="O63" s="10" t="n">
        <v>11670</v>
      </c>
      <c r="P63" s="10" t="n">
        <v>9730</v>
      </c>
      <c r="Q63" s="10" t="n">
        <v>1202</v>
      </c>
      <c r="R63" s="10" t="n">
        <v>2379</v>
      </c>
      <c r="S63" s="10" t="n">
        <v>10458</v>
      </c>
      <c r="T63" s="10" t="n">
        <v>194893</v>
      </c>
      <c r="U63" s="10" t="n">
        <v>31663</v>
      </c>
      <c r="V63" s="10" t="n">
        <v>19429</v>
      </c>
      <c r="W63" s="10" t="n">
        <v>20787</v>
      </c>
      <c r="X63" s="10" t="n">
        <v>98000</v>
      </c>
      <c r="Y63" s="10" t="n">
        <v>74853</v>
      </c>
      <c r="Z63" s="10" t="n">
        <v>17710</v>
      </c>
      <c r="AA63" s="10" t="n">
        <v>925</v>
      </c>
      <c r="AB63" s="10" t="n">
        <v>53097</v>
      </c>
      <c r="AC63" s="10" t="n">
        <v>18153</v>
      </c>
      <c r="AD63" s="10" t="n">
        <v>4601</v>
      </c>
      <c r="AE63" s="10" t="n">
        <v>2959</v>
      </c>
      <c r="AF63" s="10" t="n">
        <v>0</v>
      </c>
      <c r="AG63" s="10" t="n">
        <v>5111</v>
      </c>
      <c r="AH63" s="10" t="n">
        <v>11884</v>
      </c>
      <c r="AI63" s="10" t="n">
        <v>17512</v>
      </c>
      <c r="AJ63" s="10" t="n">
        <v>0</v>
      </c>
      <c r="AK63" s="10" t="n">
        <v>6947</v>
      </c>
      <c r="AL63" s="11" t="n">
        <v>34281</v>
      </c>
      <c r="AM63" s="10" t="n">
        <v>-167181</v>
      </c>
      <c r="AN63" s="10" t="n">
        <v>44839</v>
      </c>
      <c r="AO63" s="10" t="n">
        <v>-212020</v>
      </c>
      <c r="AP63" s="11" t="n">
        <v>2412782.8275864</v>
      </c>
      <c r="AQ63" s="12" t="n">
        <f aca="false">AM63-AN63-AO63</f>
        <v>0</v>
      </c>
    </row>
    <row r="64" customFormat="false" ht="15" hidden="false" customHeight="false" outlineLevel="0" collapsed="false">
      <c r="B64" s="8" t="s">
        <v>127</v>
      </c>
      <c r="C64" s="9" t="n">
        <v>2020</v>
      </c>
      <c r="D64" s="10" t="n">
        <v>83681</v>
      </c>
      <c r="E64" s="10" t="n">
        <v>47127</v>
      </c>
      <c r="F64" s="10" t="n">
        <v>128416</v>
      </c>
      <c r="G64" s="10" t="n">
        <v>41925</v>
      </c>
      <c r="H64" s="10" t="n">
        <v>15343</v>
      </c>
      <c r="I64" s="10" t="n">
        <v>6941</v>
      </c>
      <c r="J64" s="10" t="n">
        <v>0</v>
      </c>
      <c r="K64" s="10" t="n">
        <v>39046</v>
      </c>
      <c r="L64" s="10" t="n">
        <v>16338</v>
      </c>
      <c r="M64" s="10" t="n">
        <v>34818</v>
      </c>
      <c r="N64" s="10" t="n">
        <v>3257</v>
      </c>
      <c r="O64" s="10" t="n">
        <v>14108</v>
      </c>
      <c r="P64" s="10" t="n">
        <v>10612</v>
      </c>
      <c r="Q64" s="10" t="n">
        <v>903</v>
      </c>
      <c r="R64" s="10" t="n">
        <v>2421</v>
      </c>
      <c r="S64" s="10" t="n">
        <v>9392</v>
      </c>
      <c r="T64" s="10" t="n">
        <v>197160</v>
      </c>
      <c r="U64" s="10" t="n">
        <v>30441</v>
      </c>
      <c r="V64" s="10" t="n">
        <v>19496</v>
      </c>
      <c r="W64" s="10" t="n">
        <v>25815</v>
      </c>
      <c r="X64" s="10" t="n">
        <v>55152</v>
      </c>
      <c r="Y64" s="10" t="n">
        <v>47427</v>
      </c>
      <c r="Z64" s="10" t="n">
        <v>18848</v>
      </c>
      <c r="AA64" s="10" t="n">
        <v>1433</v>
      </c>
      <c r="AB64" s="10" t="n">
        <v>56615</v>
      </c>
      <c r="AC64" s="10" t="n">
        <v>18916</v>
      </c>
      <c r="AD64" s="10" t="n">
        <v>3780</v>
      </c>
      <c r="AE64" s="10" t="n">
        <v>3141</v>
      </c>
      <c r="AF64" s="10" t="n">
        <v>0</v>
      </c>
      <c r="AG64" s="10" t="n">
        <v>3934</v>
      </c>
      <c r="AH64" s="10" t="n">
        <v>13369</v>
      </c>
      <c r="AI64" s="10" t="n">
        <v>16778</v>
      </c>
      <c r="AJ64" s="10" t="n">
        <v>0</v>
      </c>
      <c r="AK64" s="10" t="n">
        <v>4484</v>
      </c>
      <c r="AL64" s="11" t="n">
        <v>19166</v>
      </c>
      <c r="AM64" s="10" t="n">
        <v>-81627</v>
      </c>
      <c r="AN64" s="10" t="n">
        <v>31069</v>
      </c>
      <c r="AO64" s="10" t="n">
        <v>-112696</v>
      </c>
      <c r="AP64" s="11" t="n">
        <v>2556902.97493249</v>
      </c>
      <c r="AQ64" s="12" t="n">
        <f aca="false">AM64-AN64-AO64</f>
        <v>0</v>
      </c>
    </row>
    <row r="65" customFormat="false" ht="15" hidden="false" customHeight="false" outlineLevel="0" collapsed="false">
      <c r="B65" s="8" t="s">
        <v>128</v>
      </c>
      <c r="C65" s="9" t="n">
        <v>2020</v>
      </c>
      <c r="D65" s="10" t="n">
        <v>85680</v>
      </c>
      <c r="E65" s="10" t="n">
        <v>53634</v>
      </c>
      <c r="F65" s="10" t="n">
        <v>130237</v>
      </c>
      <c r="G65" s="10" t="n">
        <v>44355</v>
      </c>
      <c r="H65" s="10" t="n">
        <v>7685</v>
      </c>
      <c r="I65" s="10" t="n">
        <v>8340</v>
      </c>
      <c r="J65" s="10" t="n">
        <v>0</v>
      </c>
      <c r="K65" s="10" t="n">
        <v>38920</v>
      </c>
      <c r="L65" s="10" t="n">
        <v>17316</v>
      </c>
      <c r="M65" s="10" t="n">
        <v>36211</v>
      </c>
      <c r="N65" s="10" t="n">
        <v>1742</v>
      </c>
      <c r="O65" s="10" t="n">
        <v>20808</v>
      </c>
      <c r="P65" s="10" t="n">
        <v>12160</v>
      </c>
      <c r="Q65" s="10" t="n">
        <v>861</v>
      </c>
      <c r="R65" s="10" t="n">
        <v>2232</v>
      </c>
      <c r="S65" s="10" t="n">
        <v>8272</v>
      </c>
      <c r="T65" s="10" t="n">
        <v>202234</v>
      </c>
      <c r="U65" s="10" t="n">
        <v>30876</v>
      </c>
      <c r="V65" s="10" t="n">
        <v>21546</v>
      </c>
      <c r="W65" s="10" t="n">
        <v>24906</v>
      </c>
      <c r="X65" s="10" t="n">
        <v>43627</v>
      </c>
      <c r="Y65" s="10" t="n">
        <v>32664</v>
      </c>
      <c r="Z65" s="10" t="n">
        <v>19124</v>
      </c>
      <c r="AA65" s="10" t="n">
        <v>1025</v>
      </c>
      <c r="AB65" s="10" t="n">
        <v>58629</v>
      </c>
      <c r="AC65" s="10" t="n">
        <v>16443</v>
      </c>
      <c r="AD65" s="10" t="n">
        <v>3889</v>
      </c>
      <c r="AE65" s="10" t="n">
        <v>2904</v>
      </c>
      <c r="AF65" s="10" t="n">
        <v>0</v>
      </c>
      <c r="AG65" s="10" t="n">
        <v>2625</v>
      </c>
      <c r="AH65" s="10" t="n">
        <v>12782</v>
      </c>
      <c r="AI65" s="10" t="n">
        <v>16311</v>
      </c>
      <c r="AJ65" s="10" t="n">
        <v>0</v>
      </c>
      <c r="AK65" s="10" t="n">
        <v>10645</v>
      </c>
      <c r="AL65" s="11" t="n">
        <v>26916</v>
      </c>
      <c r="AM65" s="10" t="n">
        <v>-58693</v>
      </c>
      <c r="AN65" s="10" t="n">
        <v>68337</v>
      </c>
      <c r="AO65" s="10" t="n">
        <v>-127029</v>
      </c>
      <c r="AP65" s="11" t="n">
        <v>2697503.57971308</v>
      </c>
      <c r="AQ65" s="12" t="n">
        <f aca="false">AM65-AN65-AO65</f>
        <v>-1</v>
      </c>
    </row>
    <row r="66" customFormat="false" ht="15" hidden="false" customHeight="false" outlineLevel="0" collapsed="false">
      <c r="B66" s="8" t="s">
        <v>129</v>
      </c>
      <c r="C66" s="9" t="n">
        <v>2020</v>
      </c>
      <c r="D66" s="10" t="n">
        <v>91052</v>
      </c>
      <c r="E66" s="10" t="n">
        <v>57877</v>
      </c>
      <c r="F66" s="10" t="n">
        <v>136825</v>
      </c>
      <c r="G66" s="10" t="n">
        <v>42729</v>
      </c>
      <c r="H66" s="10" t="n">
        <v>10301</v>
      </c>
      <c r="I66" s="10" t="n">
        <v>6412</v>
      </c>
      <c r="J66" s="10" t="n">
        <v>0</v>
      </c>
      <c r="K66" s="10" t="n">
        <v>27425</v>
      </c>
      <c r="L66" s="10" t="n">
        <v>19228</v>
      </c>
      <c r="M66" s="10" t="n">
        <v>43305</v>
      </c>
      <c r="N66" s="10" t="n">
        <v>6079</v>
      </c>
      <c r="O66" s="10" t="n">
        <v>9671</v>
      </c>
      <c r="P66" s="10" t="n">
        <v>12500</v>
      </c>
      <c r="Q66" s="10" t="n">
        <v>1344</v>
      </c>
      <c r="R66" s="10" t="n">
        <v>2906</v>
      </c>
      <c r="S66" s="10" t="n">
        <v>1733</v>
      </c>
      <c r="T66" s="10" t="n">
        <v>303608</v>
      </c>
      <c r="U66" s="10" t="n">
        <v>55505</v>
      </c>
      <c r="V66" s="10" t="n">
        <v>23529</v>
      </c>
      <c r="W66" s="10" t="n">
        <v>28016</v>
      </c>
      <c r="X66" s="10" t="n">
        <v>55899</v>
      </c>
      <c r="Y66" s="10" t="n">
        <v>55575</v>
      </c>
      <c r="Z66" s="10" t="n">
        <v>24725</v>
      </c>
      <c r="AA66" s="10" t="n">
        <v>1262</v>
      </c>
      <c r="AB66" s="10" t="n">
        <v>80703</v>
      </c>
      <c r="AC66" s="10" t="n">
        <v>27095</v>
      </c>
      <c r="AD66" s="10" t="n">
        <v>4228</v>
      </c>
      <c r="AE66" s="10" t="n">
        <v>4304</v>
      </c>
      <c r="AF66" s="10" t="n">
        <v>0</v>
      </c>
      <c r="AG66" s="10" t="n">
        <v>4600</v>
      </c>
      <c r="AH66" s="10" t="n">
        <v>24349</v>
      </c>
      <c r="AI66" s="10" t="n">
        <v>25157</v>
      </c>
      <c r="AJ66" s="10" t="n">
        <v>0</v>
      </c>
      <c r="AK66" s="10" t="n">
        <v>12701</v>
      </c>
      <c r="AL66" s="11" t="n">
        <v>45759</v>
      </c>
      <c r="AM66" s="10" t="n">
        <v>-307628</v>
      </c>
      <c r="AN66" s="10" t="n">
        <v>11282</v>
      </c>
      <c r="AO66" s="10" t="n">
        <v>-318909</v>
      </c>
      <c r="AP66" s="11" t="n">
        <v>2814975.20686594</v>
      </c>
      <c r="AQ66" s="12" t="n">
        <f aca="false">AM66-AN66-AO66</f>
        <v>-1</v>
      </c>
    </row>
    <row r="67" customFormat="false" ht="15" hidden="false" customHeight="false" outlineLevel="0" collapsed="false">
      <c r="B67" s="8" t="s">
        <v>130</v>
      </c>
      <c r="C67" s="9" t="n">
        <v>2021</v>
      </c>
      <c r="D67" s="10" t="n">
        <v>105174</v>
      </c>
      <c r="E67" s="10" t="n">
        <v>52504</v>
      </c>
      <c r="F67" s="10" t="n">
        <v>189912</v>
      </c>
      <c r="G67" s="10" t="n">
        <v>50544</v>
      </c>
      <c r="H67" s="10" t="n">
        <v>2274</v>
      </c>
      <c r="I67" s="10" t="n">
        <v>10023</v>
      </c>
      <c r="J67" s="10" t="n">
        <v>0</v>
      </c>
      <c r="K67" s="10" t="n">
        <v>77103</v>
      </c>
      <c r="L67" s="10" t="n">
        <v>20183</v>
      </c>
      <c r="M67" s="10" t="n">
        <v>40178</v>
      </c>
      <c r="N67" s="10" t="n">
        <v>16008</v>
      </c>
      <c r="O67" s="10" t="n">
        <v>20380</v>
      </c>
      <c r="P67" s="10" t="n">
        <v>14334</v>
      </c>
      <c r="Q67" s="10" t="n">
        <v>2016</v>
      </c>
      <c r="R67" s="10" t="n">
        <v>3332</v>
      </c>
      <c r="S67" s="10" t="n">
        <v>1796</v>
      </c>
      <c r="T67" s="10" t="n">
        <v>210524</v>
      </c>
      <c r="U67" s="10" t="n">
        <v>32549</v>
      </c>
      <c r="V67" s="10" t="n">
        <v>23035</v>
      </c>
      <c r="W67" s="10" t="n">
        <v>25552</v>
      </c>
      <c r="X67" s="10" t="n">
        <v>38932</v>
      </c>
      <c r="Y67" s="10" t="n">
        <v>34830</v>
      </c>
      <c r="Z67" s="10" t="n">
        <v>18412</v>
      </c>
      <c r="AA67" s="10" t="n">
        <v>3760</v>
      </c>
      <c r="AB67" s="10" t="n">
        <v>79545</v>
      </c>
      <c r="AC67" s="10" t="n">
        <v>23962</v>
      </c>
      <c r="AD67" s="10" t="n">
        <v>3779</v>
      </c>
      <c r="AE67" s="10" t="n">
        <v>1391</v>
      </c>
      <c r="AF67" s="10" t="n">
        <v>0</v>
      </c>
      <c r="AG67" s="10" t="n">
        <v>2025</v>
      </c>
      <c r="AH67" s="10" t="n">
        <v>14038</v>
      </c>
      <c r="AI67" s="10" t="n">
        <v>17708</v>
      </c>
      <c r="AJ67" s="10" t="n">
        <v>0</v>
      </c>
      <c r="AK67" s="10" t="n">
        <v>17989</v>
      </c>
      <c r="AL67" s="11" t="n">
        <v>33656</v>
      </c>
      <c r="AM67" s="10" t="n">
        <v>24074</v>
      </c>
      <c r="AN67" s="10" t="n">
        <v>27104</v>
      </c>
      <c r="AO67" s="10" t="n">
        <v>-3030</v>
      </c>
      <c r="AP67" s="11" t="n">
        <v>2902123.37256139</v>
      </c>
      <c r="AQ67" s="12" t="n">
        <f aca="false">AM67-AN67-AO67</f>
        <v>0</v>
      </c>
    </row>
    <row r="68" customFormat="false" ht="15" hidden="false" customHeight="false" outlineLevel="0" collapsed="false">
      <c r="B68" s="8" t="s">
        <v>131</v>
      </c>
      <c r="C68" s="9" t="n">
        <v>2021</v>
      </c>
      <c r="D68" s="10" t="n">
        <v>89311</v>
      </c>
      <c r="E68" s="10" t="n">
        <v>59123</v>
      </c>
      <c r="F68" s="10" t="n">
        <v>160035</v>
      </c>
      <c r="G68" s="10" t="n">
        <v>34411</v>
      </c>
      <c r="H68" s="10" t="n">
        <v>8140</v>
      </c>
      <c r="I68" s="10" t="n">
        <v>8104</v>
      </c>
      <c r="J68" s="10" t="n">
        <v>0</v>
      </c>
      <c r="K68" s="10" t="n">
        <v>61816</v>
      </c>
      <c r="L68" s="10" t="n">
        <v>17588</v>
      </c>
      <c r="M68" s="10" t="n">
        <v>52447</v>
      </c>
      <c r="N68" s="10" t="n">
        <v>6617</v>
      </c>
      <c r="O68" s="10" t="n">
        <v>10187</v>
      </c>
      <c r="P68" s="10" t="n">
        <v>13802</v>
      </c>
      <c r="Q68" s="10" t="n">
        <v>503</v>
      </c>
      <c r="R68" s="10" t="n">
        <v>1808</v>
      </c>
      <c r="S68" s="10" t="n">
        <v>5</v>
      </c>
      <c r="T68" s="10" t="n">
        <v>208630</v>
      </c>
      <c r="U68" s="10" t="n">
        <v>31676</v>
      </c>
      <c r="V68" s="10" t="n">
        <v>19658</v>
      </c>
      <c r="W68" s="10" t="n">
        <v>20021</v>
      </c>
      <c r="X68" s="10" t="n">
        <v>34326</v>
      </c>
      <c r="Y68" s="10" t="n">
        <v>39151</v>
      </c>
      <c r="Z68" s="10" t="n">
        <v>22158</v>
      </c>
      <c r="AA68" s="10" t="n">
        <v>1183</v>
      </c>
      <c r="AB68" s="10" t="n">
        <v>65173</v>
      </c>
      <c r="AC68" s="10" t="n">
        <v>24794</v>
      </c>
      <c r="AD68" s="10" t="n">
        <v>4762</v>
      </c>
      <c r="AE68" s="10" t="n">
        <v>4321</v>
      </c>
      <c r="AF68" s="10" t="n">
        <v>0</v>
      </c>
      <c r="AG68" s="10" t="n">
        <v>723</v>
      </c>
      <c r="AH68" s="10" t="n">
        <v>7750</v>
      </c>
      <c r="AI68" s="10" t="n">
        <v>18323</v>
      </c>
      <c r="AJ68" s="10" t="n">
        <v>0</v>
      </c>
      <c r="AK68" s="10" t="n">
        <v>7141</v>
      </c>
      <c r="AL68" s="11" t="n">
        <v>32864</v>
      </c>
      <c r="AM68" s="10" t="n">
        <v>-18757</v>
      </c>
      <c r="AN68" s="10" t="n">
        <v>45559</v>
      </c>
      <c r="AO68" s="10" t="n">
        <v>-64317</v>
      </c>
      <c r="AP68" s="11" t="n">
        <v>3032812.07185419</v>
      </c>
      <c r="AQ68" s="12" t="n">
        <f aca="false">AM68-AN68-AO68</f>
        <v>1</v>
      </c>
    </row>
    <row r="69" customFormat="false" ht="15" hidden="false" customHeight="false" outlineLevel="0" collapsed="false">
      <c r="B69" s="8" t="s">
        <v>132</v>
      </c>
      <c r="C69" s="9" t="n">
        <v>2021</v>
      </c>
      <c r="D69" s="10" t="n">
        <v>111086</v>
      </c>
      <c r="E69" s="10" t="n">
        <v>47578</v>
      </c>
      <c r="F69" s="10" t="n">
        <v>166666</v>
      </c>
      <c r="G69" s="10" t="n">
        <v>59118</v>
      </c>
      <c r="H69" s="10" t="n">
        <v>2527</v>
      </c>
      <c r="I69" s="10" t="n">
        <v>10190</v>
      </c>
      <c r="J69" s="10" t="n">
        <v>0</v>
      </c>
      <c r="K69" s="10" t="n">
        <v>68448</v>
      </c>
      <c r="L69" s="10" t="n">
        <v>22815</v>
      </c>
      <c r="M69" s="10" t="n">
        <v>41824</v>
      </c>
      <c r="N69" s="10" t="n">
        <v>7110</v>
      </c>
      <c r="O69" s="10" t="n">
        <v>6708</v>
      </c>
      <c r="P69" s="10" t="n">
        <v>12022</v>
      </c>
      <c r="Q69" s="10" t="n">
        <v>1123</v>
      </c>
      <c r="R69" s="10" t="n">
        <v>3355</v>
      </c>
      <c r="S69" s="10" t="n">
        <v>6</v>
      </c>
      <c r="T69" s="10" t="n">
        <v>225698</v>
      </c>
      <c r="U69" s="10" t="n">
        <v>61776</v>
      </c>
      <c r="V69" s="10" t="n">
        <v>21362</v>
      </c>
      <c r="W69" s="10" t="n">
        <v>25140</v>
      </c>
      <c r="X69" s="10" t="n">
        <v>48837</v>
      </c>
      <c r="Y69" s="10" t="n">
        <v>41352</v>
      </c>
      <c r="Z69" s="10" t="n">
        <v>23326</v>
      </c>
      <c r="AA69" s="10" t="n">
        <v>1753</v>
      </c>
      <c r="AB69" s="10" t="n">
        <v>65871</v>
      </c>
      <c r="AC69" s="10" t="n">
        <v>31313</v>
      </c>
      <c r="AD69" s="10" t="n">
        <v>3861</v>
      </c>
      <c r="AE69" s="10" t="n">
        <v>3629</v>
      </c>
      <c r="AF69" s="10" t="n">
        <v>0</v>
      </c>
      <c r="AG69" s="10" t="n">
        <v>4128</v>
      </c>
      <c r="AH69" s="10" t="n">
        <v>8156</v>
      </c>
      <c r="AI69" s="10" t="n">
        <v>20177</v>
      </c>
      <c r="AJ69" s="10" t="n">
        <v>0</v>
      </c>
      <c r="AK69" s="10" t="n">
        <v>8424</v>
      </c>
      <c r="AL69" s="11" t="n">
        <v>40239</v>
      </c>
      <c r="AM69" s="10" t="n">
        <v>-74466</v>
      </c>
      <c r="AN69" s="10" t="n">
        <v>42595</v>
      </c>
      <c r="AO69" s="10" t="n">
        <v>-117061</v>
      </c>
      <c r="AP69" s="11" t="n">
        <v>3261342.00401447</v>
      </c>
      <c r="AQ69" s="12" t="n">
        <f aca="false">AM69-AN69-AO69</f>
        <v>0</v>
      </c>
    </row>
    <row r="70" customFormat="false" ht="15" hidden="false" customHeight="false" outlineLevel="0" collapsed="false">
      <c r="B70" s="8" t="s">
        <v>133</v>
      </c>
      <c r="C70" s="9" t="n">
        <v>2021</v>
      </c>
      <c r="D70" s="10" t="n">
        <v>114094</v>
      </c>
      <c r="E70" s="10" t="n">
        <v>48152</v>
      </c>
      <c r="F70" s="10" t="n">
        <v>174468</v>
      </c>
      <c r="G70" s="10" t="n">
        <v>56164</v>
      </c>
      <c r="H70" s="10" t="n">
        <v>13453</v>
      </c>
      <c r="I70" s="10" t="n">
        <v>10347</v>
      </c>
      <c r="J70" s="10" t="n">
        <v>0</v>
      </c>
      <c r="K70" s="10" t="n">
        <v>78367</v>
      </c>
      <c r="L70" s="10" t="n">
        <v>22748</v>
      </c>
      <c r="M70" s="10" t="n">
        <v>46009</v>
      </c>
      <c r="N70" s="10" t="n">
        <v>7535</v>
      </c>
      <c r="O70" s="10" t="n">
        <v>4274</v>
      </c>
      <c r="P70" s="10" t="n">
        <v>24348</v>
      </c>
      <c r="Q70" s="10" t="n">
        <v>6266</v>
      </c>
      <c r="R70" s="10" t="n">
        <v>3174</v>
      </c>
      <c r="S70" s="10" t="n">
        <v>783</v>
      </c>
      <c r="T70" s="10" t="n">
        <v>228568</v>
      </c>
      <c r="U70" s="10" t="n">
        <v>36205</v>
      </c>
      <c r="V70" s="10" t="n">
        <v>23338</v>
      </c>
      <c r="W70" s="10" t="n">
        <v>25238</v>
      </c>
      <c r="X70" s="10" t="n">
        <v>36987</v>
      </c>
      <c r="Y70" s="10" t="n">
        <v>50115</v>
      </c>
      <c r="Z70" s="10" t="n">
        <v>14194</v>
      </c>
      <c r="AA70" s="10" t="n">
        <v>942</v>
      </c>
      <c r="AB70" s="10" t="n">
        <v>66701</v>
      </c>
      <c r="AC70" s="10" t="n">
        <v>27641</v>
      </c>
      <c r="AD70" s="10" t="n">
        <v>5159</v>
      </c>
      <c r="AE70" s="10" t="n">
        <v>5394</v>
      </c>
      <c r="AF70" s="10" t="n">
        <v>0</v>
      </c>
      <c r="AG70" s="10" t="n">
        <v>2690</v>
      </c>
      <c r="AH70" s="10" t="n">
        <v>8302</v>
      </c>
      <c r="AI70" s="10" t="n">
        <v>18753</v>
      </c>
      <c r="AJ70" s="10" t="n">
        <v>0</v>
      </c>
      <c r="AK70" s="10" t="n">
        <v>23611</v>
      </c>
      <c r="AL70" s="11" t="n">
        <v>47789</v>
      </c>
      <c r="AM70" s="10" t="n">
        <v>-11445</v>
      </c>
      <c r="AN70" s="10" t="n">
        <v>45587</v>
      </c>
      <c r="AO70" s="10" t="n">
        <v>-57032</v>
      </c>
      <c r="AP70" s="11" t="n">
        <v>3653852.53902145</v>
      </c>
      <c r="AQ70" s="12" t="n">
        <f aca="false">AM70-AN70-AO70</f>
        <v>0</v>
      </c>
    </row>
    <row r="71" customFormat="false" ht="15" hidden="false" customHeight="false" outlineLevel="0" collapsed="false">
      <c r="B71" s="8" t="s">
        <v>134</v>
      </c>
      <c r="C71" s="9" t="n">
        <v>2021</v>
      </c>
      <c r="D71" s="10" t="n">
        <v>106712</v>
      </c>
      <c r="E71" s="10" t="n">
        <v>74983</v>
      </c>
      <c r="F71" s="10" t="n">
        <v>176353</v>
      </c>
      <c r="G71" s="10" t="n">
        <v>48055</v>
      </c>
      <c r="H71" s="10" t="n">
        <v>2116</v>
      </c>
      <c r="I71" s="10" t="n">
        <v>8859</v>
      </c>
      <c r="J71" s="10" t="n">
        <v>0</v>
      </c>
      <c r="K71" s="10" t="n">
        <v>88761</v>
      </c>
      <c r="L71" s="10" t="n">
        <v>20589</v>
      </c>
      <c r="M71" s="10" t="n">
        <v>43691</v>
      </c>
      <c r="N71" s="10" t="n">
        <v>9332</v>
      </c>
      <c r="O71" s="10" t="n">
        <v>30409</v>
      </c>
      <c r="P71" s="10" t="n">
        <v>96210</v>
      </c>
      <c r="Q71" s="10" t="n">
        <v>1204</v>
      </c>
      <c r="R71" s="10" t="n">
        <v>4029</v>
      </c>
      <c r="S71" s="10" t="n">
        <v>3</v>
      </c>
      <c r="T71" s="10" t="n">
        <v>231072</v>
      </c>
      <c r="U71" s="10" t="n">
        <v>35350</v>
      </c>
      <c r="V71" s="10" t="n">
        <v>25952</v>
      </c>
      <c r="W71" s="10" t="n">
        <v>24665</v>
      </c>
      <c r="X71" s="10" t="n">
        <v>67020</v>
      </c>
      <c r="Y71" s="10" t="n">
        <v>83307</v>
      </c>
      <c r="Z71" s="10" t="n">
        <v>24076</v>
      </c>
      <c r="AA71" s="10" t="n">
        <v>1399</v>
      </c>
      <c r="AB71" s="10" t="n">
        <v>71891</v>
      </c>
      <c r="AC71" s="10" t="n">
        <v>23849</v>
      </c>
      <c r="AD71" s="10" t="n">
        <v>4691</v>
      </c>
      <c r="AE71" s="10" t="n">
        <v>3867</v>
      </c>
      <c r="AF71" s="10" t="n">
        <v>0</v>
      </c>
      <c r="AG71" s="10" t="n">
        <v>3040</v>
      </c>
      <c r="AH71" s="10" t="n">
        <v>8225</v>
      </c>
      <c r="AI71" s="10" t="n">
        <v>21898</v>
      </c>
      <c r="AJ71" s="10" t="n">
        <v>0</v>
      </c>
      <c r="AK71" s="10" t="n">
        <v>10497</v>
      </c>
      <c r="AL71" s="11" t="n">
        <v>44793</v>
      </c>
      <c r="AM71" s="10" t="n">
        <v>25714</v>
      </c>
      <c r="AN71" s="10" t="n">
        <v>90332</v>
      </c>
      <c r="AO71" s="10" t="n">
        <v>-64618</v>
      </c>
      <c r="AP71" s="11" t="n">
        <v>3949621.62254281</v>
      </c>
      <c r="AQ71" s="12" t="n">
        <f aca="false">AM71-AN71-AO71</f>
        <v>0</v>
      </c>
    </row>
    <row r="72" customFormat="false" ht="15" hidden="false" customHeight="false" outlineLevel="0" collapsed="false">
      <c r="B72" s="8" t="s">
        <v>135</v>
      </c>
      <c r="C72" s="9" t="n">
        <v>2021</v>
      </c>
      <c r="D72" s="10" t="n">
        <v>120901</v>
      </c>
      <c r="E72" s="10" t="n">
        <v>79216</v>
      </c>
      <c r="F72" s="10" t="n">
        <v>176610</v>
      </c>
      <c r="G72" s="10" t="n">
        <v>67051</v>
      </c>
      <c r="H72" s="10" t="n">
        <v>16455</v>
      </c>
      <c r="I72" s="10" t="n">
        <v>9475</v>
      </c>
      <c r="J72" s="10" t="n">
        <v>0</v>
      </c>
      <c r="K72" s="10" t="n">
        <v>83161</v>
      </c>
      <c r="L72" s="10" t="n">
        <v>25887</v>
      </c>
      <c r="M72" s="10" t="n">
        <v>49051</v>
      </c>
      <c r="N72" s="10" t="n">
        <v>7688</v>
      </c>
      <c r="O72" s="10" t="n">
        <v>21762</v>
      </c>
      <c r="P72" s="10" t="n">
        <v>103911</v>
      </c>
      <c r="Q72" s="10" t="n">
        <v>1790</v>
      </c>
      <c r="R72" s="10" t="n">
        <v>3717</v>
      </c>
      <c r="S72" s="10" t="n">
        <v>4</v>
      </c>
      <c r="T72" s="10" t="n">
        <v>373959</v>
      </c>
      <c r="U72" s="10" t="n">
        <v>50212</v>
      </c>
      <c r="V72" s="10" t="n">
        <v>34014</v>
      </c>
      <c r="W72" s="10" t="n">
        <v>30761</v>
      </c>
      <c r="X72" s="10" t="n">
        <v>61300</v>
      </c>
      <c r="Y72" s="10" t="n">
        <v>99154</v>
      </c>
      <c r="Z72" s="10" t="n">
        <v>37318</v>
      </c>
      <c r="AA72" s="10" t="n">
        <v>1085</v>
      </c>
      <c r="AB72" s="10" t="n">
        <v>84860</v>
      </c>
      <c r="AC72" s="10" t="n">
        <v>30281</v>
      </c>
      <c r="AD72" s="10" t="n">
        <v>4463</v>
      </c>
      <c r="AE72" s="10" t="n">
        <v>4326</v>
      </c>
      <c r="AF72" s="10" t="n">
        <v>0</v>
      </c>
      <c r="AG72" s="10" t="n">
        <v>3159</v>
      </c>
      <c r="AH72" s="10" t="n">
        <v>17110</v>
      </c>
      <c r="AI72" s="10" t="n">
        <v>23994</v>
      </c>
      <c r="AJ72" s="10" t="n">
        <v>0</v>
      </c>
      <c r="AK72" s="10" t="n">
        <v>15276</v>
      </c>
      <c r="AL72" s="11" t="n">
        <v>48624</v>
      </c>
      <c r="AM72" s="10" t="n">
        <v>-153217</v>
      </c>
      <c r="AN72" s="10" t="n">
        <v>54730</v>
      </c>
      <c r="AO72" s="10" t="n">
        <v>-207947</v>
      </c>
      <c r="AP72" s="11" t="n">
        <v>3981596.20741794</v>
      </c>
      <c r="AQ72" s="12" t="n">
        <f aca="false">AM72-AN72-AO72</f>
        <v>0</v>
      </c>
    </row>
    <row r="73" customFormat="false" ht="15" hidden="false" customHeight="false" outlineLevel="0" collapsed="false">
      <c r="B73" s="8" t="s">
        <v>136</v>
      </c>
      <c r="C73" s="9" t="n">
        <v>2021</v>
      </c>
      <c r="D73" s="10" t="n">
        <v>121595</v>
      </c>
      <c r="E73" s="10" t="n">
        <v>61585</v>
      </c>
      <c r="F73" s="10" t="n">
        <v>255897</v>
      </c>
      <c r="G73" s="10" t="n">
        <v>65935</v>
      </c>
      <c r="H73" s="10" t="n">
        <v>3072</v>
      </c>
      <c r="I73" s="10" t="n">
        <v>8700</v>
      </c>
      <c r="J73" s="10" t="n">
        <v>0</v>
      </c>
      <c r="K73" s="10" t="n">
        <v>74398</v>
      </c>
      <c r="L73" s="10" t="n">
        <v>24587</v>
      </c>
      <c r="M73" s="10" t="n">
        <v>53680</v>
      </c>
      <c r="N73" s="10" t="n">
        <v>20328</v>
      </c>
      <c r="O73" s="10" t="n">
        <v>10671</v>
      </c>
      <c r="P73" s="10" t="n">
        <v>40133</v>
      </c>
      <c r="Q73" s="10" t="n">
        <v>12587</v>
      </c>
      <c r="R73" s="10" t="n">
        <v>3601</v>
      </c>
      <c r="S73" s="10" t="n">
        <v>848</v>
      </c>
      <c r="T73" s="10" t="n">
        <v>258512</v>
      </c>
      <c r="U73" s="10" t="n">
        <v>46529</v>
      </c>
      <c r="V73" s="10" t="n">
        <v>24404</v>
      </c>
      <c r="W73" s="10" t="n">
        <v>30426</v>
      </c>
      <c r="X73" s="10" t="n">
        <v>65893</v>
      </c>
      <c r="Y73" s="10" t="n">
        <v>119216</v>
      </c>
      <c r="Z73" s="10" t="n">
        <v>27996</v>
      </c>
      <c r="AA73" s="10" t="n">
        <v>1708</v>
      </c>
      <c r="AB73" s="10" t="n">
        <v>112519</v>
      </c>
      <c r="AC73" s="10" t="n">
        <v>41739</v>
      </c>
      <c r="AD73" s="10" t="n">
        <v>4406</v>
      </c>
      <c r="AE73" s="10" t="n">
        <v>4310</v>
      </c>
      <c r="AF73" s="10" t="n">
        <v>0</v>
      </c>
      <c r="AG73" s="10" t="n">
        <v>3849</v>
      </c>
      <c r="AH73" s="10" t="n">
        <v>18796</v>
      </c>
      <c r="AI73" s="10" t="n">
        <v>34664</v>
      </c>
      <c r="AJ73" s="10" t="n">
        <v>0</v>
      </c>
      <c r="AK73" s="10" t="n">
        <v>9432</v>
      </c>
      <c r="AL73" s="11" t="n">
        <v>51788</v>
      </c>
      <c r="AM73" s="10" t="n">
        <v>-98570</v>
      </c>
      <c r="AN73" s="10" t="n">
        <v>64585</v>
      </c>
      <c r="AO73" s="10" t="n">
        <v>-163156</v>
      </c>
      <c r="AP73" s="11" t="n">
        <v>3874006.69104748</v>
      </c>
      <c r="AQ73" s="12" t="n">
        <f aca="false">AM73-AN73-AO73</f>
        <v>1</v>
      </c>
    </row>
    <row r="74" customFormat="false" ht="15" hidden="false" customHeight="false" outlineLevel="0" collapsed="false">
      <c r="B74" s="8" t="s">
        <v>137</v>
      </c>
      <c r="C74" s="9" t="n">
        <v>2021</v>
      </c>
      <c r="D74" s="10" t="n">
        <v>125622</v>
      </c>
      <c r="E74" s="10" t="n">
        <v>77967</v>
      </c>
      <c r="F74" s="10" t="n">
        <v>198089</v>
      </c>
      <c r="G74" s="10" t="n">
        <v>62709</v>
      </c>
      <c r="H74" s="10" t="n">
        <v>20859</v>
      </c>
      <c r="I74" s="10" t="n">
        <v>9715</v>
      </c>
      <c r="J74" s="10" t="n">
        <v>0</v>
      </c>
      <c r="K74" s="10" t="n">
        <v>81721</v>
      </c>
      <c r="L74" s="10" t="n">
        <v>23676</v>
      </c>
      <c r="M74" s="10" t="n">
        <v>56682</v>
      </c>
      <c r="N74" s="10" t="n">
        <v>8117</v>
      </c>
      <c r="O74" s="10" t="n">
        <v>23472</v>
      </c>
      <c r="P74" s="10" t="n">
        <v>38894</v>
      </c>
      <c r="Q74" s="10" t="n">
        <v>3832</v>
      </c>
      <c r="R74" s="10" t="n">
        <v>4355</v>
      </c>
      <c r="S74" s="10" t="n">
        <v>4</v>
      </c>
      <c r="T74" s="10" t="n">
        <v>265104</v>
      </c>
      <c r="U74" s="10" t="n">
        <v>50418</v>
      </c>
      <c r="V74" s="10" t="n">
        <v>29820</v>
      </c>
      <c r="W74" s="10" t="n">
        <v>25222</v>
      </c>
      <c r="X74" s="10" t="n">
        <v>88693</v>
      </c>
      <c r="Y74" s="10" t="n">
        <v>126230</v>
      </c>
      <c r="Z74" s="10" t="n">
        <v>21435</v>
      </c>
      <c r="AA74" s="10" t="n">
        <v>878</v>
      </c>
      <c r="AB74" s="10" t="n">
        <v>86103</v>
      </c>
      <c r="AC74" s="10" t="n">
        <v>49459</v>
      </c>
      <c r="AD74" s="10" t="n">
        <v>4483</v>
      </c>
      <c r="AE74" s="10" t="n">
        <v>5143</v>
      </c>
      <c r="AF74" s="10" t="n">
        <v>0</v>
      </c>
      <c r="AG74" s="10" t="n">
        <v>3327</v>
      </c>
      <c r="AH74" s="10" t="n">
        <v>15507</v>
      </c>
      <c r="AI74" s="10" t="n">
        <v>22297</v>
      </c>
      <c r="AJ74" s="10" t="n">
        <v>0</v>
      </c>
      <c r="AK74" s="10" t="n">
        <v>20535</v>
      </c>
      <c r="AL74" s="11" t="n">
        <v>45895</v>
      </c>
      <c r="AM74" s="10" t="n">
        <v>-124835</v>
      </c>
      <c r="AN74" s="10" t="n">
        <v>68558</v>
      </c>
      <c r="AO74" s="10" t="n">
        <v>-193393</v>
      </c>
      <c r="AP74" s="11" t="n">
        <v>3905369.12714584</v>
      </c>
      <c r="AQ74" s="12" t="n">
        <f aca="false">AM74-AN74-AO74</f>
        <v>0</v>
      </c>
    </row>
    <row r="75" customFormat="false" ht="15" hidden="false" customHeight="false" outlineLevel="0" collapsed="false">
      <c r="B75" s="8" t="s">
        <v>138</v>
      </c>
      <c r="C75" s="9" t="n">
        <v>2021</v>
      </c>
      <c r="D75" s="10" t="n">
        <v>136102</v>
      </c>
      <c r="E75" s="10" t="n">
        <v>71062</v>
      </c>
      <c r="F75" s="10" t="n">
        <v>205432</v>
      </c>
      <c r="G75" s="10" t="n">
        <v>71511</v>
      </c>
      <c r="H75" s="10" t="n">
        <v>7293</v>
      </c>
      <c r="I75" s="10" t="n">
        <v>10047</v>
      </c>
      <c r="J75" s="10" t="n">
        <v>0</v>
      </c>
      <c r="K75" s="10" t="n">
        <v>77750</v>
      </c>
      <c r="L75" s="10" t="n">
        <v>30124</v>
      </c>
      <c r="M75" s="10" t="n">
        <v>59415</v>
      </c>
      <c r="N75" s="10" t="n">
        <v>7384</v>
      </c>
      <c r="O75" s="10" t="n">
        <v>15406</v>
      </c>
      <c r="P75" s="10" t="n">
        <v>36250</v>
      </c>
      <c r="Q75" s="10" t="n">
        <v>431882</v>
      </c>
      <c r="R75" s="10" t="n">
        <v>3743</v>
      </c>
      <c r="S75" s="10" t="n">
        <v>1270</v>
      </c>
      <c r="T75" s="10" t="n">
        <v>290417</v>
      </c>
      <c r="U75" s="10" t="n">
        <v>46590</v>
      </c>
      <c r="V75" s="10" t="n">
        <v>27972</v>
      </c>
      <c r="W75" s="10" t="n">
        <v>32695</v>
      </c>
      <c r="X75" s="10" t="n">
        <v>60187</v>
      </c>
      <c r="Y75" s="10" t="n">
        <v>119872</v>
      </c>
      <c r="Z75" s="10" t="n">
        <v>21098</v>
      </c>
      <c r="AA75" s="10" t="n">
        <v>1557</v>
      </c>
      <c r="AB75" s="10" t="n">
        <v>96777</v>
      </c>
      <c r="AC75" s="10" t="n">
        <v>39559</v>
      </c>
      <c r="AD75" s="10" t="n">
        <v>4494</v>
      </c>
      <c r="AE75" s="10" t="n">
        <v>2871</v>
      </c>
      <c r="AF75" s="10" t="n">
        <v>0</v>
      </c>
      <c r="AG75" s="10" t="n">
        <v>2455</v>
      </c>
      <c r="AH75" s="10" t="n">
        <v>25360</v>
      </c>
      <c r="AI75" s="10" t="n">
        <v>24603</v>
      </c>
      <c r="AJ75" s="10" t="n">
        <v>0</v>
      </c>
      <c r="AK75" s="10" t="n">
        <v>21244</v>
      </c>
      <c r="AL75" s="11" t="n">
        <v>55492</v>
      </c>
      <c r="AM75" s="10" t="n">
        <v>291428</v>
      </c>
      <c r="AN75" s="10" t="n">
        <v>54178</v>
      </c>
      <c r="AO75" s="10" t="n">
        <v>237250</v>
      </c>
      <c r="AP75" s="11" t="n">
        <v>4086256.42908157</v>
      </c>
      <c r="AQ75" s="12" t="n">
        <f aca="false">AM75-AN75-AO75</f>
        <v>0</v>
      </c>
    </row>
    <row r="76" customFormat="false" ht="15" hidden="false" customHeight="false" outlineLevel="0" collapsed="false">
      <c r="B76" s="8" t="s">
        <v>139</v>
      </c>
      <c r="C76" s="9" t="n">
        <v>2021</v>
      </c>
      <c r="D76" s="10" t="n">
        <v>127458</v>
      </c>
      <c r="E76" s="10" t="n">
        <v>78714</v>
      </c>
      <c r="F76" s="10" t="n">
        <v>213957</v>
      </c>
      <c r="G76" s="10" t="n">
        <v>69476</v>
      </c>
      <c r="H76" s="10" t="n">
        <v>14973</v>
      </c>
      <c r="I76" s="10" t="n">
        <v>11564</v>
      </c>
      <c r="J76" s="10" t="n">
        <v>0</v>
      </c>
      <c r="K76" s="10" t="n">
        <v>89354</v>
      </c>
      <c r="L76" s="10" t="n">
        <v>27530</v>
      </c>
      <c r="M76" s="10" t="n">
        <v>59055</v>
      </c>
      <c r="N76" s="10" t="n">
        <v>6774</v>
      </c>
      <c r="O76" s="10" t="n">
        <v>35677</v>
      </c>
      <c r="P76" s="10" t="n">
        <v>27228</v>
      </c>
      <c r="Q76" s="10" t="n">
        <v>3872</v>
      </c>
      <c r="R76" s="10" t="n">
        <v>5223</v>
      </c>
      <c r="S76" s="10" t="n">
        <v>594</v>
      </c>
      <c r="T76" s="10" t="n">
        <v>296857</v>
      </c>
      <c r="U76" s="10" t="n">
        <v>59054</v>
      </c>
      <c r="V76" s="10" t="n">
        <v>27278</v>
      </c>
      <c r="W76" s="10" t="n">
        <v>39842</v>
      </c>
      <c r="X76" s="10" t="n">
        <v>82534</v>
      </c>
      <c r="Y76" s="10" t="n">
        <v>122476</v>
      </c>
      <c r="Z76" s="10" t="n">
        <v>30583</v>
      </c>
      <c r="AA76" s="10" t="n">
        <v>3901</v>
      </c>
      <c r="AB76" s="10" t="n">
        <v>98751</v>
      </c>
      <c r="AC76" s="10" t="n">
        <v>62896</v>
      </c>
      <c r="AD76" s="10" t="n">
        <v>7389</v>
      </c>
      <c r="AE76" s="10" t="n">
        <v>8687</v>
      </c>
      <c r="AF76" s="10" t="n">
        <v>0</v>
      </c>
      <c r="AG76" s="10" t="n">
        <v>7099</v>
      </c>
      <c r="AH76" s="10" t="n">
        <v>20187</v>
      </c>
      <c r="AI76" s="10" t="n">
        <v>24132</v>
      </c>
      <c r="AJ76" s="10" t="n">
        <v>0</v>
      </c>
      <c r="AK76" s="10" t="n">
        <v>19140</v>
      </c>
      <c r="AL76" s="11" t="n">
        <v>69812</v>
      </c>
      <c r="AM76" s="10" t="n">
        <v>-209169</v>
      </c>
      <c r="AN76" s="10" t="n">
        <v>67926</v>
      </c>
      <c r="AO76" s="10" t="n">
        <v>-277094</v>
      </c>
      <c r="AP76" s="11" t="n">
        <v>4337031.23454344</v>
      </c>
      <c r="AQ76" s="12" t="n">
        <f aca="false">AM76-AN76-AO76</f>
        <v>-1</v>
      </c>
    </row>
    <row r="77" customFormat="false" ht="15" hidden="false" customHeight="false" outlineLevel="0" collapsed="false">
      <c r="B77" s="8" t="s">
        <v>140</v>
      </c>
      <c r="C77" s="9" t="n">
        <v>2021</v>
      </c>
      <c r="D77" s="10" t="n">
        <v>140227</v>
      </c>
      <c r="E77" s="10" t="n">
        <v>80173</v>
      </c>
      <c r="F77" s="10" t="n">
        <v>220312</v>
      </c>
      <c r="G77" s="10" t="n">
        <v>70833</v>
      </c>
      <c r="H77" s="10" t="n">
        <v>5185</v>
      </c>
      <c r="I77" s="10" t="n">
        <v>12137</v>
      </c>
      <c r="J77" s="10" t="n">
        <v>0</v>
      </c>
      <c r="K77" s="10" t="n">
        <v>71216</v>
      </c>
      <c r="L77" s="10" t="n">
        <v>28840</v>
      </c>
      <c r="M77" s="10" t="n">
        <v>62691</v>
      </c>
      <c r="N77" s="10" t="n">
        <v>6719</v>
      </c>
      <c r="O77" s="10" t="n">
        <v>50176</v>
      </c>
      <c r="P77" s="10" t="n">
        <v>27652</v>
      </c>
      <c r="Q77" s="10" t="n">
        <v>3542</v>
      </c>
      <c r="R77" s="10" t="n">
        <v>5956</v>
      </c>
      <c r="S77" s="10" t="n">
        <v>7428</v>
      </c>
      <c r="T77" s="10" t="n">
        <v>301817</v>
      </c>
      <c r="U77" s="10" t="n">
        <v>60847</v>
      </c>
      <c r="V77" s="10" t="n">
        <v>31860</v>
      </c>
      <c r="W77" s="10" t="n">
        <v>27508</v>
      </c>
      <c r="X77" s="10" t="n">
        <v>77440</v>
      </c>
      <c r="Y77" s="10" t="n">
        <v>98267</v>
      </c>
      <c r="Z77" s="10" t="n">
        <v>26836</v>
      </c>
      <c r="AA77" s="10" t="n">
        <v>1412</v>
      </c>
      <c r="AB77" s="10" t="n">
        <v>101466</v>
      </c>
      <c r="AC77" s="10" t="n">
        <v>37454</v>
      </c>
      <c r="AD77" s="10" t="n">
        <v>6514</v>
      </c>
      <c r="AE77" s="10" t="n">
        <v>6933</v>
      </c>
      <c r="AF77" s="10" t="n">
        <v>0</v>
      </c>
      <c r="AG77" s="10" t="n">
        <v>7425</v>
      </c>
      <c r="AH77" s="10" t="n">
        <v>21522</v>
      </c>
      <c r="AI77" s="10" t="n">
        <v>28413</v>
      </c>
      <c r="AJ77" s="10" t="n">
        <v>0</v>
      </c>
      <c r="AK77" s="10" t="n">
        <v>19070</v>
      </c>
      <c r="AL77" s="11" t="n">
        <v>72956</v>
      </c>
      <c r="AM77" s="10" t="n">
        <v>-134653</v>
      </c>
      <c r="AN77" s="10" t="n">
        <v>107436</v>
      </c>
      <c r="AO77" s="10" t="n">
        <v>-242089</v>
      </c>
      <c r="AP77" s="11" t="n">
        <v>4537912.08674623</v>
      </c>
      <c r="AQ77" s="12" t="n">
        <f aca="false">AM77-AN77-AO77</f>
        <v>0</v>
      </c>
    </row>
    <row r="78" customFormat="false" ht="15" hidden="false" customHeight="false" outlineLevel="0" collapsed="false">
      <c r="B78" s="8" t="s">
        <v>141</v>
      </c>
      <c r="C78" s="9" t="n">
        <v>2021</v>
      </c>
      <c r="D78" s="10" t="n">
        <v>159167</v>
      </c>
      <c r="E78" s="10" t="n">
        <v>91243</v>
      </c>
      <c r="F78" s="10" t="n">
        <v>244560</v>
      </c>
      <c r="G78" s="10" t="n">
        <v>83628</v>
      </c>
      <c r="H78" s="10" t="n">
        <v>12851</v>
      </c>
      <c r="I78" s="10" t="n">
        <v>14694</v>
      </c>
      <c r="J78" s="10" t="n">
        <v>0</v>
      </c>
      <c r="K78" s="10" t="n">
        <v>84748</v>
      </c>
      <c r="L78" s="10" t="n">
        <v>35653</v>
      </c>
      <c r="M78" s="10" t="n">
        <v>74507</v>
      </c>
      <c r="N78" s="10" t="n">
        <v>6440</v>
      </c>
      <c r="O78" s="10" t="n">
        <v>36624</v>
      </c>
      <c r="P78" s="10" t="n">
        <v>17853</v>
      </c>
      <c r="Q78" s="10" t="n">
        <v>8980</v>
      </c>
      <c r="R78" s="10" t="n">
        <v>6821</v>
      </c>
      <c r="S78" s="10" t="n">
        <v>1442</v>
      </c>
      <c r="T78" s="10" t="n">
        <v>481564</v>
      </c>
      <c r="U78" s="10" t="n">
        <v>62759</v>
      </c>
      <c r="V78" s="10" t="n">
        <v>48132</v>
      </c>
      <c r="W78" s="10" t="n">
        <v>40151</v>
      </c>
      <c r="X78" s="10" t="n">
        <v>139528</v>
      </c>
      <c r="Y78" s="10" t="n">
        <v>116833</v>
      </c>
      <c r="Z78" s="10" t="n">
        <v>36866</v>
      </c>
      <c r="AA78" s="10" t="n">
        <v>6859</v>
      </c>
      <c r="AB78" s="10" t="n">
        <v>148904</v>
      </c>
      <c r="AC78" s="10" t="n">
        <v>57805</v>
      </c>
      <c r="AD78" s="10" t="n">
        <v>6927</v>
      </c>
      <c r="AE78" s="10" t="n">
        <v>6233</v>
      </c>
      <c r="AF78" s="10" t="n">
        <v>0</v>
      </c>
      <c r="AG78" s="10" t="n">
        <v>9017</v>
      </c>
      <c r="AH78" s="10" t="n">
        <v>28171</v>
      </c>
      <c r="AI78" s="10" t="n">
        <v>36917</v>
      </c>
      <c r="AJ78" s="10" t="n">
        <v>0</v>
      </c>
      <c r="AK78" s="10" t="n">
        <v>41739</v>
      </c>
      <c r="AL78" s="11" t="n">
        <v>107150</v>
      </c>
      <c r="AM78" s="10" t="n">
        <v>-496344</v>
      </c>
      <c r="AN78" s="10" t="n">
        <v>15651</v>
      </c>
      <c r="AO78" s="10" t="n">
        <v>-511995</v>
      </c>
      <c r="AP78" s="11" t="n">
        <v>4697160.12432701</v>
      </c>
      <c r="AQ78" s="12" t="n">
        <f aca="false">AM78-AN78-AO78</f>
        <v>0</v>
      </c>
    </row>
    <row r="79" customFormat="false" ht="15" hidden="false" customHeight="false" outlineLevel="0" collapsed="false">
      <c r="B79" s="8" t="s">
        <v>142</v>
      </c>
      <c r="C79" s="9" t="n">
        <v>2022</v>
      </c>
      <c r="D79" s="10" t="n">
        <v>161764</v>
      </c>
      <c r="E79" s="10" t="n">
        <v>81366</v>
      </c>
      <c r="F79" s="10" t="n">
        <v>323335</v>
      </c>
      <c r="G79" s="10" t="n">
        <v>77525</v>
      </c>
      <c r="H79" s="10" t="n">
        <v>2190</v>
      </c>
      <c r="I79" s="10" t="n">
        <v>13795</v>
      </c>
      <c r="J79" s="10" t="n">
        <v>0</v>
      </c>
      <c r="K79" s="10" t="n">
        <v>67323</v>
      </c>
      <c r="L79" s="10" t="n">
        <v>33633</v>
      </c>
      <c r="M79" s="10" t="n">
        <v>58127</v>
      </c>
      <c r="N79" s="10" t="n">
        <v>11952</v>
      </c>
      <c r="O79" s="10" t="n">
        <v>28423</v>
      </c>
      <c r="P79" s="10" t="n">
        <v>24882</v>
      </c>
      <c r="Q79" s="10" t="n">
        <v>2877</v>
      </c>
      <c r="R79" s="10" t="n">
        <v>6978</v>
      </c>
      <c r="S79" s="10" t="n">
        <v>1410</v>
      </c>
      <c r="T79" s="10" t="n">
        <v>344512</v>
      </c>
      <c r="U79" s="10" t="n">
        <v>60749</v>
      </c>
      <c r="V79" s="10" t="n">
        <v>37421</v>
      </c>
      <c r="W79" s="10" t="n">
        <v>38067</v>
      </c>
      <c r="X79" s="10" t="n">
        <v>38989</v>
      </c>
      <c r="Y79" s="10" t="n">
        <v>61265</v>
      </c>
      <c r="Z79" s="10" t="n">
        <v>22372</v>
      </c>
      <c r="AA79" s="10" t="n">
        <v>1630</v>
      </c>
      <c r="AB79" s="10" t="n">
        <v>123835</v>
      </c>
      <c r="AC79" s="10" t="n">
        <v>37763</v>
      </c>
      <c r="AD79" s="10" t="n">
        <v>7856</v>
      </c>
      <c r="AE79" s="10" t="n">
        <v>4478</v>
      </c>
      <c r="AF79" s="10" t="n">
        <v>0</v>
      </c>
      <c r="AG79" s="10" t="n">
        <v>3229</v>
      </c>
      <c r="AH79" s="10" t="n">
        <v>13247</v>
      </c>
      <c r="AI79" s="10" t="n">
        <v>27459</v>
      </c>
      <c r="AJ79" s="10" t="n">
        <v>0</v>
      </c>
      <c r="AK79" s="10" t="n">
        <v>27756</v>
      </c>
      <c r="AL79" s="11" t="n">
        <v>61650</v>
      </c>
      <c r="AM79" s="10" t="n">
        <v>-16698</v>
      </c>
      <c r="AN79" s="10" t="n">
        <v>133966</v>
      </c>
      <c r="AO79" s="10" t="n">
        <v>-150664</v>
      </c>
      <c r="AP79" s="11" t="n">
        <v>4769987.67838302</v>
      </c>
      <c r="AQ79" s="12" t="n">
        <f aca="false">AM79-AN79-AO79</f>
        <v>0</v>
      </c>
    </row>
    <row r="80" customFormat="false" ht="15" hidden="false" customHeight="false" outlineLevel="0" collapsed="false">
      <c r="B80" s="8" t="s">
        <v>143</v>
      </c>
      <c r="C80" s="9" t="n">
        <v>2022</v>
      </c>
      <c r="D80" s="10" t="n">
        <v>148772</v>
      </c>
      <c r="E80" s="10" t="n">
        <v>83144</v>
      </c>
      <c r="F80" s="10" t="n">
        <v>262230</v>
      </c>
      <c r="G80" s="10" t="n">
        <v>76678</v>
      </c>
      <c r="H80" s="10" t="n">
        <v>11897</v>
      </c>
      <c r="I80" s="10" t="n">
        <v>13464</v>
      </c>
      <c r="J80" s="10" t="n">
        <v>0</v>
      </c>
      <c r="K80" s="10" t="n">
        <v>94699</v>
      </c>
      <c r="L80" s="10" t="n">
        <v>29538</v>
      </c>
      <c r="M80" s="10" t="n">
        <v>67466</v>
      </c>
      <c r="N80" s="10" t="n">
        <v>7567</v>
      </c>
      <c r="O80" s="10" t="n">
        <v>23343</v>
      </c>
      <c r="P80" s="10" t="n">
        <v>18460</v>
      </c>
      <c r="Q80" s="10" t="n">
        <v>522</v>
      </c>
      <c r="R80" s="10" t="n">
        <v>6881</v>
      </c>
      <c r="S80" s="10" t="n">
        <v>1368</v>
      </c>
      <c r="T80" s="10" t="n">
        <v>334810</v>
      </c>
      <c r="U80" s="10" t="n">
        <v>57444</v>
      </c>
      <c r="V80" s="10" t="n">
        <v>32264</v>
      </c>
      <c r="W80" s="10" t="n">
        <v>38361</v>
      </c>
      <c r="X80" s="10" t="n">
        <v>66587</v>
      </c>
      <c r="Y80" s="10" t="n">
        <v>76105</v>
      </c>
      <c r="Z80" s="10" t="n">
        <v>33653</v>
      </c>
      <c r="AA80" s="10" t="n">
        <v>1697</v>
      </c>
      <c r="AB80" s="10" t="n">
        <v>113488</v>
      </c>
      <c r="AC80" s="10" t="n">
        <v>33405</v>
      </c>
      <c r="AD80" s="10" t="n">
        <v>8274</v>
      </c>
      <c r="AE80" s="10" t="n">
        <v>4478</v>
      </c>
      <c r="AF80" s="10" t="n">
        <v>0</v>
      </c>
      <c r="AG80" s="10" t="n">
        <v>3059</v>
      </c>
      <c r="AH80" s="10" t="n">
        <v>12517</v>
      </c>
      <c r="AI80" s="10" t="n">
        <v>28507</v>
      </c>
      <c r="AJ80" s="10" t="n">
        <v>0</v>
      </c>
      <c r="AK80" s="10" t="n">
        <v>26726</v>
      </c>
      <c r="AL80" s="11" t="n">
        <v>50937</v>
      </c>
      <c r="AM80" s="10" t="n">
        <v>-76283</v>
      </c>
      <c r="AN80" s="10" t="n">
        <v>60615</v>
      </c>
      <c r="AO80" s="10" t="n">
        <v>-136899</v>
      </c>
      <c r="AP80" s="11" t="n">
        <v>4943059.68195477</v>
      </c>
      <c r="AQ80" s="12" t="n">
        <f aca="false">AM80-AN80-AO80</f>
        <v>1</v>
      </c>
    </row>
    <row r="81" customFormat="false" ht="15" hidden="false" customHeight="false" outlineLevel="0" collapsed="false">
      <c r="B81" s="8" t="s">
        <v>144</v>
      </c>
      <c r="C81" s="9" t="n">
        <v>2022</v>
      </c>
      <c r="D81" s="10" t="n">
        <v>176736</v>
      </c>
      <c r="E81" s="10" t="n">
        <v>76446</v>
      </c>
      <c r="F81" s="10" t="n">
        <v>272291</v>
      </c>
      <c r="G81" s="10" t="n">
        <v>77161</v>
      </c>
      <c r="H81" s="10" t="n">
        <v>3709</v>
      </c>
      <c r="I81" s="10" t="n">
        <v>11536</v>
      </c>
      <c r="J81" s="10" t="n">
        <v>0</v>
      </c>
      <c r="K81" s="10" t="n">
        <v>145822</v>
      </c>
      <c r="L81" s="10" t="n">
        <v>39245</v>
      </c>
      <c r="M81" s="10" t="n">
        <v>74613</v>
      </c>
      <c r="N81" s="10" t="n">
        <v>34237</v>
      </c>
      <c r="O81" s="10" t="n">
        <v>123610</v>
      </c>
      <c r="P81" s="10" t="n">
        <v>26769</v>
      </c>
      <c r="Q81" s="10" t="n">
        <v>3554</v>
      </c>
      <c r="R81" s="10" t="n">
        <v>6586</v>
      </c>
      <c r="S81" s="10" t="n">
        <v>2398</v>
      </c>
      <c r="T81" s="10" t="n">
        <v>354744</v>
      </c>
      <c r="U81" s="10" t="n">
        <v>104740</v>
      </c>
      <c r="V81" s="10" t="n">
        <v>35377</v>
      </c>
      <c r="W81" s="10" t="n">
        <v>40264</v>
      </c>
      <c r="X81" s="10" t="n">
        <v>70670</v>
      </c>
      <c r="Y81" s="10" t="n">
        <v>185614</v>
      </c>
      <c r="Z81" s="10" t="n">
        <v>35255</v>
      </c>
      <c r="AA81" s="10" t="n">
        <v>1349</v>
      </c>
      <c r="AB81" s="10" t="n">
        <v>113743</v>
      </c>
      <c r="AC81" s="10" t="n">
        <v>55461</v>
      </c>
      <c r="AD81" s="10" t="n">
        <v>9918</v>
      </c>
      <c r="AE81" s="10" t="n">
        <v>4478</v>
      </c>
      <c r="AF81" s="10" t="n">
        <v>0</v>
      </c>
      <c r="AG81" s="10" t="n">
        <v>6024</v>
      </c>
      <c r="AH81" s="10" t="n">
        <v>22201</v>
      </c>
      <c r="AI81" s="10" t="n">
        <v>34248</v>
      </c>
      <c r="AJ81" s="10" t="n">
        <v>0</v>
      </c>
      <c r="AK81" s="10" t="n">
        <v>31879</v>
      </c>
      <c r="AL81" s="11" t="n">
        <v>68501</v>
      </c>
      <c r="AM81" s="10" t="n">
        <v>-99753</v>
      </c>
      <c r="AN81" s="10" t="n">
        <v>72276</v>
      </c>
      <c r="AO81" s="10" t="n">
        <v>-172029</v>
      </c>
      <c r="AP81" s="11" t="n">
        <v>5373283.99631107</v>
      </c>
      <c r="AQ81" s="12" t="n">
        <f aca="false">AM81-AN81-AO81</f>
        <v>0</v>
      </c>
    </row>
    <row r="82" customFormat="false" ht="15" hidden="false" customHeight="false" outlineLevel="0" collapsed="false">
      <c r="B82" s="8" t="s">
        <v>145</v>
      </c>
      <c r="C82" s="9" t="n">
        <v>2022</v>
      </c>
      <c r="D82" s="10" t="n">
        <v>191995</v>
      </c>
      <c r="E82" s="10" t="n">
        <v>91798</v>
      </c>
      <c r="F82" s="10" t="n">
        <v>298427</v>
      </c>
      <c r="G82" s="10" t="n">
        <v>92644</v>
      </c>
      <c r="H82" s="10" t="n">
        <v>13864</v>
      </c>
      <c r="I82" s="10" t="n">
        <v>13852</v>
      </c>
      <c r="J82" s="10" t="n">
        <v>0</v>
      </c>
      <c r="K82" s="10" t="n">
        <v>89318</v>
      </c>
      <c r="L82" s="10" t="n">
        <v>36262</v>
      </c>
      <c r="M82" s="10" t="n">
        <v>75433</v>
      </c>
      <c r="N82" s="10" t="n">
        <v>8341</v>
      </c>
      <c r="O82" s="10" t="n">
        <v>126459</v>
      </c>
      <c r="P82" s="10" t="n">
        <v>29628</v>
      </c>
      <c r="Q82" s="10" t="n">
        <v>4226</v>
      </c>
      <c r="R82" s="10" t="n">
        <v>11166</v>
      </c>
      <c r="S82" s="10" t="n">
        <v>2171</v>
      </c>
      <c r="T82" s="10" t="n">
        <v>380732</v>
      </c>
      <c r="U82" s="10" t="n">
        <v>71056</v>
      </c>
      <c r="V82" s="10" t="n">
        <v>35342</v>
      </c>
      <c r="W82" s="10" t="n">
        <v>41043</v>
      </c>
      <c r="X82" s="10" t="n">
        <v>110786</v>
      </c>
      <c r="Y82" s="10" t="n">
        <v>116673</v>
      </c>
      <c r="Z82" s="10" t="n">
        <v>44041</v>
      </c>
      <c r="AA82" s="10" t="n">
        <v>1370</v>
      </c>
      <c r="AB82" s="10" t="n">
        <v>123206</v>
      </c>
      <c r="AC82" s="10" t="n">
        <v>52112</v>
      </c>
      <c r="AD82" s="10" t="n">
        <v>10561</v>
      </c>
      <c r="AE82" s="10" t="n">
        <v>5847</v>
      </c>
      <c r="AF82" s="10" t="n">
        <v>0</v>
      </c>
      <c r="AG82" s="10" t="n">
        <v>6852</v>
      </c>
      <c r="AH82" s="10" t="n">
        <v>26845</v>
      </c>
      <c r="AI82" s="10" t="n">
        <v>34234</v>
      </c>
      <c r="AJ82" s="10" t="n">
        <v>0</v>
      </c>
      <c r="AK82" s="10" t="n">
        <v>15318</v>
      </c>
      <c r="AL82" s="11" t="n">
        <v>88751</v>
      </c>
      <c r="AM82" s="10" t="n">
        <v>-79185</v>
      </c>
      <c r="AN82" s="10" t="n">
        <v>67130</v>
      </c>
      <c r="AO82" s="10" t="n">
        <v>-146315</v>
      </c>
      <c r="AP82" s="11" t="n">
        <v>6092323.55734952</v>
      </c>
      <c r="AQ82" s="12" t="n">
        <f aca="false">AM82-AN82-AO82</f>
        <v>0</v>
      </c>
    </row>
    <row r="83" customFormat="false" ht="15" hidden="false" customHeight="false" outlineLevel="0" collapsed="false">
      <c r="B83" s="8" t="s">
        <v>146</v>
      </c>
      <c r="C83" s="9" t="n">
        <v>2022</v>
      </c>
      <c r="D83" s="10" t="n">
        <v>186671</v>
      </c>
      <c r="E83" s="10" t="n">
        <v>157494</v>
      </c>
      <c r="F83" s="10" t="n">
        <v>310207</v>
      </c>
      <c r="G83" s="10" t="n">
        <v>90638</v>
      </c>
      <c r="H83" s="10" t="n">
        <v>4158</v>
      </c>
      <c r="I83" s="10" t="n">
        <v>15276</v>
      </c>
      <c r="J83" s="10" t="n">
        <v>0</v>
      </c>
      <c r="K83" s="10" t="n">
        <v>116348</v>
      </c>
      <c r="L83" s="10" t="n">
        <v>35419</v>
      </c>
      <c r="M83" s="10" t="n">
        <v>87299</v>
      </c>
      <c r="N83" s="10" t="n">
        <v>15036</v>
      </c>
      <c r="O83" s="10" t="n">
        <v>69602</v>
      </c>
      <c r="P83" s="10" t="n">
        <v>22077</v>
      </c>
      <c r="Q83" s="10" t="n">
        <v>8626</v>
      </c>
      <c r="R83" s="10" t="n">
        <v>8550</v>
      </c>
      <c r="S83" s="10" t="n">
        <v>1232</v>
      </c>
      <c r="T83" s="10" t="n">
        <v>384712</v>
      </c>
      <c r="U83" s="10" t="n">
        <v>68913</v>
      </c>
      <c r="V83" s="10" t="n">
        <v>40586</v>
      </c>
      <c r="W83" s="10" t="n">
        <v>44467</v>
      </c>
      <c r="X83" s="10" t="n">
        <v>209200</v>
      </c>
      <c r="Y83" s="10" t="n">
        <v>133325</v>
      </c>
      <c r="Z83" s="10" t="n">
        <v>42022</v>
      </c>
      <c r="AA83" s="10" t="n">
        <v>1013</v>
      </c>
      <c r="AB83" s="10" t="n">
        <v>128877</v>
      </c>
      <c r="AC83" s="10" t="n">
        <v>41396</v>
      </c>
      <c r="AD83" s="10" t="n">
        <v>8950</v>
      </c>
      <c r="AE83" s="10" t="n">
        <v>7383</v>
      </c>
      <c r="AF83" s="10" t="n">
        <v>0</v>
      </c>
      <c r="AG83" s="10" t="n">
        <v>3705</v>
      </c>
      <c r="AH83" s="10" t="n">
        <v>25765</v>
      </c>
      <c r="AI83" s="10" t="n">
        <v>35868</v>
      </c>
      <c r="AJ83" s="10" t="n">
        <v>0</v>
      </c>
      <c r="AK83" s="10" t="n">
        <v>32140</v>
      </c>
      <c r="AL83" s="11" t="n">
        <v>82723</v>
      </c>
      <c r="AM83" s="10" t="n">
        <v>-162412</v>
      </c>
      <c r="AN83" s="10" t="n">
        <v>80021</v>
      </c>
      <c r="AO83" s="10" t="n">
        <v>-242433</v>
      </c>
      <c r="AP83" s="11" t="n">
        <v>6662170.67002623</v>
      </c>
      <c r="AQ83" s="12" t="n">
        <f aca="false">AM83-AN83-AO83</f>
        <v>0</v>
      </c>
    </row>
    <row r="84" customFormat="false" ht="15" hidden="false" customHeight="false" outlineLevel="0" collapsed="false">
      <c r="B84" s="8" t="s">
        <v>147</v>
      </c>
      <c r="C84" s="9" t="n">
        <v>2022</v>
      </c>
      <c r="D84" s="10" t="n">
        <v>213906</v>
      </c>
      <c r="E84" s="10" t="n">
        <v>170867</v>
      </c>
      <c r="F84" s="10" t="n">
        <v>325383</v>
      </c>
      <c r="G84" s="10" t="n">
        <v>109985</v>
      </c>
      <c r="H84" s="10" t="n">
        <v>33629</v>
      </c>
      <c r="I84" s="10" t="n">
        <v>14391</v>
      </c>
      <c r="J84" s="10" t="n">
        <v>0</v>
      </c>
      <c r="K84" s="10" t="n">
        <v>98083</v>
      </c>
      <c r="L84" s="10" t="n">
        <v>42321</v>
      </c>
      <c r="M84" s="10" t="n">
        <v>88776</v>
      </c>
      <c r="N84" s="10" t="n">
        <v>21725</v>
      </c>
      <c r="O84" s="10" t="n">
        <v>35822</v>
      </c>
      <c r="P84" s="10" t="n">
        <v>27162</v>
      </c>
      <c r="Q84" s="10" t="n">
        <v>2420</v>
      </c>
      <c r="R84" s="10" t="n">
        <v>15596</v>
      </c>
      <c r="S84" s="10" t="n">
        <v>1824</v>
      </c>
      <c r="T84" s="10" t="n">
        <v>627962</v>
      </c>
      <c r="U84" s="10" t="n">
        <v>72875</v>
      </c>
      <c r="V84" s="10" t="n">
        <v>76695</v>
      </c>
      <c r="W84" s="10" t="n">
        <v>45880</v>
      </c>
      <c r="X84" s="10" t="n">
        <v>142914</v>
      </c>
      <c r="Y84" s="10" t="n">
        <v>137945</v>
      </c>
      <c r="Z84" s="10" t="n">
        <v>33299</v>
      </c>
      <c r="AA84" s="10" t="n">
        <v>1095</v>
      </c>
      <c r="AB84" s="10" t="n">
        <v>152542</v>
      </c>
      <c r="AC84" s="10" t="n">
        <v>41095</v>
      </c>
      <c r="AD84" s="10" t="n">
        <v>9722</v>
      </c>
      <c r="AE84" s="10" t="n">
        <v>7482</v>
      </c>
      <c r="AF84" s="10" t="n">
        <v>0</v>
      </c>
      <c r="AG84" s="10" t="n">
        <v>6659</v>
      </c>
      <c r="AH84" s="10" t="n">
        <v>16485</v>
      </c>
      <c r="AI84" s="10" t="n">
        <v>32911</v>
      </c>
      <c r="AJ84" s="10" t="n">
        <v>0</v>
      </c>
      <c r="AK84" s="10" t="n">
        <v>14038</v>
      </c>
      <c r="AL84" s="11" t="n">
        <v>103935</v>
      </c>
      <c r="AM84" s="10" t="n">
        <v>-321644</v>
      </c>
      <c r="AN84" s="10" t="n">
        <v>74933</v>
      </c>
      <c r="AO84" s="10" t="n">
        <v>-396577</v>
      </c>
      <c r="AP84" s="11" t="n">
        <v>6914746.59343448</v>
      </c>
      <c r="AQ84" s="12" t="n">
        <f aca="false">AM84-AN84-AO84</f>
        <v>0</v>
      </c>
    </row>
    <row r="85" customFormat="false" ht="15" hidden="false" customHeight="false" outlineLevel="0" collapsed="false">
      <c r="B85" s="8" t="s">
        <v>148</v>
      </c>
      <c r="C85" s="9" t="n">
        <v>2022</v>
      </c>
      <c r="D85" s="10" t="n">
        <v>225593</v>
      </c>
      <c r="E85" s="10" t="n">
        <v>143258</v>
      </c>
      <c r="F85" s="10" t="n">
        <v>445250</v>
      </c>
      <c r="G85" s="10" t="n">
        <v>122103</v>
      </c>
      <c r="H85" s="10" t="n">
        <v>12988</v>
      </c>
      <c r="I85" s="10" t="n">
        <v>15126</v>
      </c>
      <c r="J85" s="10" t="n">
        <v>0</v>
      </c>
      <c r="K85" s="10" t="n">
        <v>105081</v>
      </c>
      <c r="L85" s="10" t="n">
        <v>44525</v>
      </c>
      <c r="M85" s="10" t="n">
        <v>100413</v>
      </c>
      <c r="N85" s="10" t="n">
        <v>22245</v>
      </c>
      <c r="O85" s="10" t="n">
        <v>97597</v>
      </c>
      <c r="P85" s="10" t="n">
        <v>41098</v>
      </c>
      <c r="Q85" s="10" t="n">
        <v>1899</v>
      </c>
      <c r="R85" s="10" t="n">
        <v>5784</v>
      </c>
      <c r="S85" s="10" t="n">
        <v>1966</v>
      </c>
      <c r="T85" s="10" t="n">
        <v>444072</v>
      </c>
      <c r="U85" s="10" t="n">
        <v>71819</v>
      </c>
      <c r="V85" s="10" t="n">
        <v>42169</v>
      </c>
      <c r="W85" s="10" t="n">
        <v>44794</v>
      </c>
      <c r="X85" s="10" t="n">
        <v>90259</v>
      </c>
      <c r="Y85" s="10" t="n">
        <v>211901</v>
      </c>
      <c r="Z85" s="10" t="n">
        <v>30896</v>
      </c>
      <c r="AA85" s="10" t="n">
        <v>2019</v>
      </c>
      <c r="AB85" s="10" t="n">
        <v>210831</v>
      </c>
      <c r="AC85" s="10" t="n">
        <v>45794</v>
      </c>
      <c r="AD85" s="10" t="n">
        <v>10129</v>
      </c>
      <c r="AE85" s="10" t="n">
        <v>6481</v>
      </c>
      <c r="AF85" s="10" t="n">
        <v>0</v>
      </c>
      <c r="AG85" s="10" t="n">
        <v>5692</v>
      </c>
      <c r="AH85" s="10" t="n">
        <v>14422</v>
      </c>
      <c r="AI85" s="10" t="n">
        <v>54290</v>
      </c>
      <c r="AJ85" s="10" t="n">
        <v>0</v>
      </c>
      <c r="AK85" s="10" t="n">
        <v>14152</v>
      </c>
      <c r="AL85" s="11" t="n">
        <v>87151</v>
      </c>
      <c r="AM85" s="10" t="n">
        <v>-1945</v>
      </c>
      <c r="AN85" s="10" t="n">
        <v>129718</v>
      </c>
      <c r="AO85" s="10" t="n">
        <v>-131663</v>
      </c>
      <c r="AP85" s="11" t="n">
        <v>7000486.70331579</v>
      </c>
      <c r="AQ85" s="12" t="n">
        <f aca="false">AM85-AN85-AO85</f>
        <v>0</v>
      </c>
    </row>
    <row r="86" customFormat="false" ht="15" hidden="false" customHeight="false" outlineLevel="0" collapsed="false">
      <c r="B86" s="8" t="s">
        <v>149</v>
      </c>
      <c r="C86" s="9" t="n">
        <v>2022</v>
      </c>
      <c r="D86" s="10" t="n">
        <v>233380</v>
      </c>
      <c r="E86" s="10" t="n">
        <v>150565</v>
      </c>
      <c r="F86" s="10" t="n">
        <v>360080</v>
      </c>
      <c r="G86" s="10" t="n">
        <v>114387</v>
      </c>
      <c r="H86" s="10" t="n">
        <v>21619</v>
      </c>
      <c r="I86" s="10" t="n">
        <v>17686</v>
      </c>
      <c r="J86" s="10" t="n">
        <v>0</v>
      </c>
      <c r="K86" s="10" t="n">
        <v>81701</v>
      </c>
      <c r="L86" s="10" t="n">
        <v>48563</v>
      </c>
      <c r="M86" s="10" t="n">
        <v>100746</v>
      </c>
      <c r="N86" s="10" t="n">
        <v>23929</v>
      </c>
      <c r="O86" s="10" t="n">
        <v>47855</v>
      </c>
      <c r="P86" s="10" t="n">
        <v>36300</v>
      </c>
      <c r="Q86" s="10" t="n">
        <v>18896</v>
      </c>
      <c r="R86" s="10" t="n">
        <v>19189</v>
      </c>
      <c r="S86" s="10" t="n">
        <v>3286</v>
      </c>
      <c r="T86" s="10" t="n">
        <v>443861</v>
      </c>
      <c r="U86" s="10" t="n">
        <v>77622</v>
      </c>
      <c r="V86" s="10" t="n">
        <v>42642</v>
      </c>
      <c r="W86" s="10" t="n">
        <v>63441</v>
      </c>
      <c r="X86" s="10" t="n">
        <v>117744</v>
      </c>
      <c r="Y86" s="10" t="n">
        <v>185591</v>
      </c>
      <c r="Z86" s="10" t="n">
        <v>37987</v>
      </c>
      <c r="AA86" s="10" t="n">
        <v>2157</v>
      </c>
      <c r="AB86" s="10" t="n">
        <v>170976</v>
      </c>
      <c r="AC86" s="10" t="n">
        <v>55757</v>
      </c>
      <c r="AD86" s="10" t="n">
        <v>10878</v>
      </c>
      <c r="AE86" s="10" t="n">
        <v>5381</v>
      </c>
      <c r="AF86" s="10" t="n">
        <v>0</v>
      </c>
      <c r="AG86" s="10" t="n">
        <v>6244</v>
      </c>
      <c r="AH86" s="10" t="n">
        <v>26548</v>
      </c>
      <c r="AI86" s="10" t="n">
        <v>46237</v>
      </c>
      <c r="AJ86" s="10" t="n">
        <v>0</v>
      </c>
      <c r="AK86" s="10" t="n">
        <v>16867</v>
      </c>
      <c r="AL86" s="11" t="n">
        <v>178301</v>
      </c>
      <c r="AM86" s="10" t="n">
        <v>-210052</v>
      </c>
      <c r="AN86" s="10" t="n">
        <v>160053</v>
      </c>
      <c r="AO86" s="10" t="n">
        <v>-370104</v>
      </c>
      <c r="AP86" s="11" t="n">
        <v>7265888.84939894</v>
      </c>
      <c r="AQ86" s="12" t="n">
        <f aca="false">AM86-AN86-AO86</f>
        <v>-1</v>
      </c>
    </row>
    <row r="87" customFormat="false" ht="15" hidden="false" customHeight="false" outlineLevel="0" collapsed="false">
      <c r="B87" s="8" t="s">
        <v>150</v>
      </c>
      <c r="C87" s="9" t="n">
        <v>2022</v>
      </c>
      <c r="D87" s="10" t="n">
        <v>249582</v>
      </c>
      <c r="E87" s="10" t="n">
        <v>156030</v>
      </c>
      <c r="F87" s="10" t="n">
        <v>382008</v>
      </c>
      <c r="G87" s="10" t="n">
        <v>135912</v>
      </c>
      <c r="H87" s="10" t="n">
        <v>10640</v>
      </c>
      <c r="I87" s="10" t="n">
        <v>18562</v>
      </c>
      <c r="J87" s="10" t="n">
        <v>0</v>
      </c>
      <c r="K87" s="10" t="n">
        <v>322330</v>
      </c>
      <c r="L87" s="10" t="n">
        <v>52687</v>
      </c>
      <c r="M87" s="10" t="n">
        <v>116901</v>
      </c>
      <c r="N87" s="10" t="n">
        <v>21451</v>
      </c>
      <c r="O87" s="10" t="n">
        <v>101081</v>
      </c>
      <c r="P87" s="10" t="n">
        <v>46294</v>
      </c>
      <c r="Q87" s="10" t="n">
        <v>16449</v>
      </c>
      <c r="R87" s="10" t="n">
        <v>9775</v>
      </c>
      <c r="S87" s="10" t="n">
        <v>3118</v>
      </c>
      <c r="T87" s="10" t="n">
        <v>502218</v>
      </c>
      <c r="U87" s="10" t="n">
        <v>97417</v>
      </c>
      <c r="V87" s="10" t="n">
        <v>57672</v>
      </c>
      <c r="W87" s="10" t="n">
        <v>54241</v>
      </c>
      <c r="X87" s="10" t="n">
        <v>121994</v>
      </c>
      <c r="Y87" s="10" t="n">
        <v>180193</v>
      </c>
      <c r="Z87" s="10" t="n">
        <v>34564</v>
      </c>
      <c r="AA87" s="10" t="n">
        <v>4084</v>
      </c>
      <c r="AB87" s="10" t="n">
        <v>177612</v>
      </c>
      <c r="AC87" s="10" t="n">
        <v>54872</v>
      </c>
      <c r="AD87" s="10" t="n">
        <v>11995</v>
      </c>
      <c r="AE87" s="10" t="n">
        <v>6372</v>
      </c>
      <c r="AF87" s="10" t="n">
        <v>0</v>
      </c>
      <c r="AG87" s="10" t="n">
        <v>8986</v>
      </c>
      <c r="AH87" s="10" t="n">
        <v>25794</v>
      </c>
      <c r="AI87" s="10" t="n">
        <v>45255</v>
      </c>
      <c r="AJ87" s="10" t="n">
        <v>0</v>
      </c>
      <c r="AK87" s="10" t="n">
        <v>28126</v>
      </c>
      <c r="AL87" s="11" t="n">
        <v>150801</v>
      </c>
      <c r="AM87" s="10" t="n">
        <v>80624</v>
      </c>
      <c r="AN87" s="10" t="n">
        <v>85068</v>
      </c>
      <c r="AO87" s="10" t="n">
        <v>-4444</v>
      </c>
      <c r="AP87" s="11" t="n">
        <v>7699465.43277145</v>
      </c>
      <c r="AQ87" s="12" t="n">
        <f aca="false">AM87-AN87-AO87</f>
        <v>0</v>
      </c>
    </row>
    <row r="88" customFormat="false" ht="15" hidden="false" customHeight="false" outlineLevel="0" collapsed="false">
      <c r="B88" s="8" t="s">
        <v>151</v>
      </c>
      <c r="C88" s="9" t="n">
        <v>2022</v>
      </c>
      <c r="D88" s="10" t="n">
        <v>265830</v>
      </c>
      <c r="E88" s="10" t="n">
        <v>186926</v>
      </c>
      <c r="F88" s="10" t="n">
        <v>403791</v>
      </c>
      <c r="G88" s="10" t="n">
        <v>129582</v>
      </c>
      <c r="H88" s="10" t="n">
        <v>20615</v>
      </c>
      <c r="I88" s="10" t="n">
        <v>19240</v>
      </c>
      <c r="J88" s="10" t="n">
        <v>0</v>
      </c>
      <c r="K88" s="10" t="n">
        <v>186224</v>
      </c>
      <c r="L88" s="10" t="n">
        <v>47817</v>
      </c>
      <c r="M88" s="10" t="n">
        <v>103238</v>
      </c>
      <c r="N88" s="10" t="n">
        <v>13323</v>
      </c>
      <c r="O88" s="10" t="n">
        <v>62327</v>
      </c>
      <c r="P88" s="10" t="n">
        <v>39242</v>
      </c>
      <c r="Q88" s="10" t="n">
        <v>6519</v>
      </c>
      <c r="R88" s="10" t="n">
        <v>14203</v>
      </c>
      <c r="S88" s="10" t="n">
        <v>1782</v>
      </c>
      <c r="T88" s="10" t="n">
        <v>523131</v>
      </c>
      <c r="U88" s="10" t="n">
        <v>95643</v>
      </c>
      <c r="V88" s="10" t="n">
        <v>57395</v>
      </c>
      <c r="W88" s="10" t="n">
        <v>56771</v>
      </c>
      <c r="X88" s="10" t="n">
        <v>128892</v>
      </c>
      <c r="Y88" s="10" t="n">
        <v>196816</v>
      </c>
      <c r="Z88" s="10" t="n">
        <v>35996</v>
      </c>
      <c r="AA88" s="10" t="n">
        <v>1229</v>
      </c>
      <c r="AB88" s="10" t="n">
        <v>181855</v>
      </c>
      <c r="AC88" s="10" t="n">
        <v>48610</v>
      </c>
      <c r="AD88" s="10" t="n">
        <v>13797</v>
      </c>
      <c r="AE88" s="10" t="n">
        <v>4281</v>
      </c>
      <c r="AF88" s="10" t="n">
        <v>0</v>
      </c>
      <c r="AG88" s="10" t="n">
        <v>9880</v>
      </c>
      <c r="AH88" s="10" t="n">
        <v>27594</v>
      </c>
      <c r="AI88" s="10" t="n">
        <v>49020</v>
      </c>
      <c r="AJ88" s="10" t="n">
        <v>0</v>
      </c>
      <c r="AK88" s="10" t="n">
        <v>35010</v>
      </c>
      <c r="AL88" s="11" t="n">
        <v>137788</v>
      </c>
      <c r="AM88" s="10" t="n">
        <v>-103049</v>
      </c>
      <c r="AN88" s="10" t="n">
        <v>82202</v>
      </c>
      <c r="AO88" s="10" t="n">
        <v>-185251</v>
      </c>
      <c r="AP88" s="11" t="n">
        <v>8215585.90022858</v>
      </c>
      <c r="AQ88" s="12" t="n">
        <f aca="false">AM88-AN88-AO88</f>
        <v>0</v>
      </c>
    </row>
    <row r="89" customFormat="false" ht="15" hidden="false" customHeight="false" outlineLevel="0" collapsed="false">
      <c r="B89" s="8" t="s">
        <v>152</v>
      </c>
      <c r="C89" s="9" t="n">
        <v>2022</v>
      </c>
      <c r="D89" s="10" t="n">
        <v>280292</v>
      </c>
      <c r="E89" s="10" t="n">
        <v>191551</v>
      </c>
      <c r="F89" s="10" t="n">
        <v>427591</v>
      </c>
      <c r="G89" s="10" t="n">
        <v>136102</v>
      </c>
      <c r="H89" s="10" t="n">
        <v>7658</v>
      </c>
      <c r="I89" s="10" t="n">
        <v>22328</v>
      </c>
      <c r="J89" s="10" t="n">
        <v>0</v>
      </c>
      <c r="K89" s="10" t="n">
        <v>48335</v>
      </c>
      <c r="L89" s="10" t="n">
        <v>54478</v>
      </c>
      <c r="M89" s="10" t="n">
        <v>100351</v>
      </c>
      <c r="N89" s="10" t="n">
        <v>9471</v>
      </c>
      <c r="O89" s="10" t="n">
        <v>44333</v>
      </c>
      <c r="P89" s="10" t="n">
        <v>64739</v>
      </c>
      <c r="Q89" s="10" t="n">
        <v>4368</v>
      </c>
      <c r="R89" s="10" t="n">
        <v>19764</v>
      </c>
      <c r="S89" s="10" t="n">
        <v>11131</v>
      </c>
      <c r="T89" s="10" t="n">
        <v>527551</v>
      </c>
      <c r="U89" s="10" t="n">
        <v>98717</v>
      </c>
      <c r="V89" s="10" t="n">
        <v>62939</v>
      </c>
      <c r="W89" s="10" t="n">
        <v>66702</v>
      </c>
      <c r="X89" s="10" t="n">
        <v>164531</v>
      </c>
      <c r="Y89" s="10" t="n">
        <v>124388</v>
      </c>
      <c r="Z89" s="10" t="n">
        <v>44765</v>
      </c>
      <c r="AA89" s="10" t="n">
        <v>1447</v>
      </c>
      <c r="AB89" s="10" t="n">
        <v>196359</v>
      </c>
      <c r="AC89" s="10" t="n">
        <v>59744</v>
      </c>
      <c r="AD89" s="10" t="n">
        <v>16492</v>
      </c>
      <c r="AE89" s="10" t="n">
        <v>6243</v>
      </c>
      <c r="AF89" s="10" t="n">
        <v>0</v>
      </c>
      <c r="AG89" s="10" t="n">
        <v>7791</v>
      </c>
      <c r="AH89" s="10" t="n">
        <v>28903</v>
      </c>
      <c r="AI89" s="10" t="n">
        <v>49401</v>
      </c>
      <c r="AJ89" s="10" t="n">
        <v>0</v>
      </c>
      <c r="AK89" s="10" t="n">
        <v>38696</v>
      </c>
      <c r="AL89" s="11" t="n">
        <v>155661</v>
      </c>
      <c r="AM89" s="10" t="n">
        <v>-227838</v>
      </c>
      <c r="AN89" s="10" t="n">
        <v>303439</v>
      </c>
      <c r="AO89" s="10" t="n">
        <v>-531277</v>
      </c>
      <c r="AP89" s="11" t="n">
        <v>8705833.65089699</v>
      </c>
      <c r="AQ89" s="12" t="n">
        <f aca="false">AM89-AN89-AO89</f>
        <v>0</v>
      </c>
    </row>
    <row r="90" customFormat="false" ht="15" hidden="false" customHeight="false" outlineLevel="0" collapsed="false">
      <c r="B90" s="8" t="s">
        <v>153</v>
      </c>
      <c r="C90" s="9" t="n">
        <v>2022</v>
      </c>
      <c r="D90" s="10" t="n">
        <v>300351</v>
      </c>
      <c r="E90" s="10" t="n">
        <v>206860</v>
      </c>
      <c r="F90" s="10" t="n">
        <v>463621</v>
      </c>
      <c r="G90" s="10" t="n">
        <v>155140</v>
      </c>
      <c r="H90" s="10" t="n">
        <v>22453</v>
      </c>
      <c r="I90" s="10" t="n">
        <v>24273</v>
      </c>
      <c r="J90" s="10" t="n">
        <v>0</v>
      </c>
      <c r="K90" s="10" t="n">
        <v>162784</v>
      </c>
      <c r="L90" s="10" t="n">
        <v>56238</v>
      </c>
      <c r="M90" s="10" t="n">
        <v>126017</v>
      </c>
      <c r="N90" s="10" t="n">
        <v>3851</v>
      </c>
      <c r="O90" s="10" t="n">
        <v>93833</v>
      </c>
      <c r="P90" s="10" t="n">
        <v>38795</v>
      </c>
      <c r="Q90" s="10" t="n">
        <v>12374</v>
      </c>
      <c r="R90" s="10" t="n">
        <v>13190</v>
      </c>
      <c r="S90" s="10" t="n">
        <v>8340</v>
      </c>
      <c r="T90" s="10" t="n">
        <v>821929</v>
      </c>
      <c r="U90" s="10" t="n">
        <v>88229</v>
      </c>
      <c r="V90" s="10" t="n">
        <v>77421</v>
      </c>
      <c r="W90" s="10" t="n">
        <v>87543</v>
      </c>
      <c r="X90" s="10" t="n">
        <v>214360</v>
      </c>
      <c r="Y90" s="10" t="n">
        <v>47128</v>
      </c>
      <c r="Z90" s="10" t="n">
        <v>65420</v>
      </c>
      <c r="AA90" s="10" t="n">
        <v>3127</v>
      </c>
      <c r="AB90" s="10" t="n">
        <v>293701</v>
      </c>
      <c r="AC90" s="10" t="n">
        <v>80010</v>
      </c>
      <c r="AD90" s="10" t="n">
        <v>14123</v>
      </c>
      <c r="AE90" s="10" t="n">
        <v>10754</v>
      </c>
      <c r="AF90" s="10" t="n">
        <v>0</v>
      </c>
      <c r="AG90" s="10" t="n">
        <v>7501</v>
      </c>
      <c r="AH90" s="10" t="n">
        <v>32591</v>
      </c>
      <c r="AI90" s="10" t="n">
        <v>76585</v>
      </c>
      <c r="AJ90" s="10" t="n">
        <v>0</v>
      </c>
      <c r="AK90" s="10" t="n">
        <v>43006</v>
      </c>
      <c r="AL90" s="11" t="n">
        <v>166204</v>
      </c>
      <c r="AM90" s="10" t="n">
        <v>-441512</v>
      </c>
      <c r="AN90" s="10" t="n">
        <v>243589</v>
      </c>
      <c r="AO90" s="10" t="n">
        <v>-685101</v>
      </c>
      <c r="AP90" s="11" t="n">
        <v>9167212.75579584</v>
      </c>
      <c r="AQ90" s="12" t="n">
        <f aca="false">AM90-AN90-AO90</f>
        <v>0</v>
      </c>
    </row>
    <row r="91" customFormat="false" ht="15" hidden="false" customHeight="false" outlineLevel="0" collapsed="false">
      <c r="B91" s="8" t="s">
        <v>154</v>
      </c>
      <c r="C91" s="9" t="n">
        <v>2023</v>
      </c>
      <c r="D91" s="10" t="n">
        <v>328791</v>
      </c>
      <c r="E91" s="10" t="n">
        <v>166273</v>
      </c>
      <c r="F91" s="10" t="n">
        <v>651671</v>
      </c>
      <c r="G91" s="10" t="n">
        <v>152990</v>
      </c>
      <c r="H91" s="10" t="n">
        <v>9204</v>
      </c>
      <c r="I91" s="10" t="n">
        <v>26796</v>
      </c>
      <c r="J91" s="10" t="n">
        <v>0</v>
      </c>
      <c r="K91" s="10" t="n">
        <v>94980</v>
      </c>
      <c r="L91" s="10" t="n">
        <v>55107</v>
      </c>
      <c r="M91" s="10" t="n">
        <v>98780</v>
      </c>
      <c r="N91" s="10" t="n">
        <v>18274</v>
      </c>
      <c r="O91" s="10" t="n">
        <v>38044</v>
      </c>
      <c r="P91" s="10" t="n">
        <v>61498</v>
      </c>
      <c r="Q91" s="10" t="n">
        <v>5423</v>
      </c>
      <c r="R91" s="10" t="n">
        <v>15303</v>
      </c>
      <c r="S91" s="10" t="n">
        <v>72</v>
      </c>
      <c r="T91" s="10" t="n">
        <v>655677</v>
      </c>
      <c r="U91" s="10" t="n">
        <v>87333</v>
      </c>
      <c r="V91" s="10" t="n">
        <v>55216</v>
      </c>
      <c r="W91" s="10" t="n">
        <v>72616</v>
      </c>
      <c r="X91" s="10" t="n">
        <v>200928</v>
      </c>
      <c r="Y91" s="10" t="n">
        <v>134043</v>
      </c>
      <c r="Z91" s="10" t="n">
        <v>47961</v>
      </c>
      <c r="AA91" s="10" t="n">
        <v>17189</v>
      </c>
      <c r="AB91" s="10" t="n">
        <v>267832</v>
      </c>
      <c r="AC91" s="10" t="n">
        <v>71399</v>
      </c>
      <c r="AD91" s="10" t="n">
        <v>17443</v>
      </c>
      <c r="AE91" s="10" t="n">
        <v>3270</v>
      </c>
      <c r="AF91" s="10" t="n">
        <v>0</v>
      </c>
      <c r="AG91" s="10" t="n">
        <v>4426</v>
      </c>
      <c r="AH91" s="10" t="n">
        <v>37551</v>
      </c>
      <c r="AI91" s="10" t="n">
        <v>59742</v>
      </c>
      <c r="AJ91" s="10" t="n">
        <v>0</v>
      </c>
      <c r="AK91" s="10" t="n">
        <v>39425</v>
      </c>
      <c r="AL91" s="11" t="n">
        <v>155093</v>
      </c>
      <c r="AM91" s="10" t="n">
        <v>-203938</v>
      </c>
      <c r="AN91" s="10" t="n">
        <v>334031</v>
      </c>
      <c r="AO91" s="10" t="n">
        <v>-537970</v>
      </c>
      <c r="AP91" s="11" t="n">
        <v>9542406.46153194</v>
      </c>
      <c r="AQ91" s="12" t="n">
        <f aca="false">AM91-AN91-AO91</f>
        <v>1</v>
      </c>
    </row>
    <row r="92" customFormat="false" ht="15" hidden="false" customHeight="false" outlineLevel="0" collapsed="false">
      <c r="B92" s="8" t="s">
        <v>155</v>
      </c>
      <c r="C92" s="9" t="n">
        <v>2023</v>
      </c>
      <c r="D92" s="10" t="n">
        <v>308198</v>
      </c>
      <c r="E92" s="10" t="n">
        <v>165728</v>
      </c>
      <c r="F92" s="10" t="n">
        <v>542479</v>
      </c>
      <c r="G92" s="10" t="n">
        <v>151399</v>
      </c>
      <c r="H92" s="10" t="n">
        <v>23275</v>
      </c>
      <c r="I92" s="10" t="n">
        <v>25789</v>
      </c>
      <c r="J92" s="10" t="n">
        <v>0</v>
      </c>
      <c r="K92" s="10" t="n">
        <v>52093</v>
      </c>
      <c r="L92" s="10" t="n">
        <v>38075</v>
      </c>
      <c r="M92" s="10" t="n">
        <v>110349</v>
      </c>
      <c r="N92" s="10" t="n">
        <v>16588</v>
      </c>
      <c r="O92" s="10" t="n">
        <v>61729</v>
      </c>
      <c r="P92" s="10" t="n">
        <v>46728</v>
      </c>
      <c r="Q92" s="10" t="n">
        <v>5191</v>
      </c>
      <c r="R92" s="10" t="n">
        <v>22701</v>
      </c>
      <c r="S92" s="10" t="n">
        <v>71</v>
      </c>
      <c r="T92" s="10" t="n">
        <v>609228</v>
      </c>
      <c r="U92" s="10" t="n">
        <v>77870</v>
      </c>
      <c r="V92" s="10" t="n">
        <v>58220</v>
      </c>
      <c r="W92" s="10" t="n">
        <v>76557</v>
      </c>
      <c r="X92" s="10" t="n">
        <v>186077</v>
      </c>
      <c r="Y92" s="10" t="n">
        <v>129752</v>
      </c>
      <c r="Z92" s="10" t="n">
        <v>54949</v>
      </c>
      <c r="AA92" s="10" t="n">
        <v>2274</v>
      </c>
      <c r="AB92" s="10" t="n">
        <v>232080</v>
      </c>
      <c r="AC92" s="10" t="n">
        <v>57108</v>
      </c>
      <c r="AD92" s="10" t="n">
        <v>21303</v>
      </c>
      <c r="AE92" s="10" t="n">
        <v>0</v>
      </c>
      <c r="AF92" s="10" t="n">
        <v>0</v>
      </c>
      <c r="AG92" s="10" t="n">
        <v>5873</v>
      </c>
      <c r="AH92" s="10" t="n">
        <v>8741</v>
      </c>
      <c r="AI92" s="10" t="n">
        <v>56823</v>
      </c>
      <c r="AJ92" s="10" t="n">
        <v>0</v>
      </c>
      <c r="AK92" s="10" t="n">
        <v>45133</v>
      </c>
      <c r="AL92" s="11" t="n">
        <v>176539</v>
      </c>
      <c r="AM92" s="10" t="n">
        <v>-228134</v>
      </c>
      <c r="AN92" s="10" t="n">
        <v>257457</v>
      </c>
      <c r="AO92" s="10" t="n">
        <v>-485591</v>
      </c>
      <c r="AP92" s="11" t="n">
        <v>10065432.0794066</v>
      </c>
      <c r="AQ92" s="12" t="n">
        <f aca="false">AM92-AN92-AO92</f>
        <v>0</v>
      </c>
    </row>
    <row r="93" customFormat="false" ht="15" hidden="false" customHeight="false" outlineLevel="0" collapsed="false">
      <c r="B93" s="8" t="s">
        <v>156</v>
      </c>
      <c r="C93" s="9" t="n">
        <v>2023</v>
      </c>
      <c r="D93" s="10" t="n">
        <v>385691</v>
      </c>
      <c r="E93" s="10" t="n">
        <v>154801</v>
      </c>
      <c r="F93" s="10" t="n">
        <v>573488</v>
      </c>
      <c r="G93" s="10" t="n">
        <v>174179</v>
      </c>
      <c r="H93" s="10" t="n">
        <v>10035</v>
      </c>
      <c r="I93" s="10" t="n">
        <v>28208</v>
      </c>
      <c r="J93" s="10" t="n">
        <v>0</v>
      </c>
      <c r="K93" s="10" t="n">
        <v>46529</v>
      </c>
      <c r="L93" s="10" t="n">
        <v>67672</v>
      </c>
      <c r="M93" s="10" t="n">
        <v>115712</v>
      </c>
      <c r="N93" s="10" t="n">
        <v>26332</v>
      </c>
      <c r="O93" s="10" t="n">
        <v>67604</v>
      </c>
      <c r="P93" s="10" t="n">
        <v>43077</v>
      </c>
      <c r="Q93" s="10" t="n">
        <v>9210</v>
      </c>
      <c r="R93" s="10" t="n">
        <v>24215</v>
      </c>
      <c r="S93" s="10" t="n">
        <v>25</v>
      </c>
      <c r="T93" s="10" t="n">
        <v>679505</v>
      </c>
      <c r="U93" s="10" t="n">
        <v>150903</v>
      </c>
      <c r="V93" s="10" t="n">
        <v>66068</v>
      </c>
      <c r="W93" s="10" t="n">
        <v>92337</v>
      </c>
      <c r="X93" s="10" t="n">
        <v>202729</v>
      </c>
      <c r="Y93" s="10" t="n">
        <v>95573</v>
      </c>
      <c r="Z93" s="10" t="n">
        <v>43644</v>
      </c>
      <c r="AA93" s="10" t="n">
        <v>4344</v>
      </c>
      <c r="AB93" s="10" t="n">
        <v>262667</v>
      </c>
      <c r="AC93" s="10" t="n">
        <v>64073</v>
      </c>
      <c r="AD93" s="10" t="n">
        <v>19465</v>
      </c>
      <c r="AE93" s="10" t="n">
        <v>22925</v>
      </c>
      <c r="AF93" s="10" t="n">
        <v>0</v>
      </c>
      <c r="AG93" s="10" t="n">
        <v>4773</v>
      </c>
      <c r="AH93" s="10" t="n">
        <v>17313</v>
      </c>
      <c r="AI93" s="10" t="n">
        <v>58391</v>
      </c>
      <c r="AJ93" s="10" t="n">
        <v>0</v>
      </c>
      <c r="AK93" s="10" t="n">
        <v>31273</v>
      </c>
      <c r="AL93" s="11" t="n">
        <v>168651</v>
      </c>
      <c r="AM93" s="10" t="n">
        <v>-257856</v>
      </c>
      <c r="AN93" s="10" t="n">
        <v>130150</v>
      </c>
      <c r="AO93" s="10" t="n">
        <v>-388006</v>
      </c>
      <c r="AP93" s="11" t="n">
        <v>10957364.1606455</v>
      </c>
      <c r="AQ93" s="12" t="n">
        <f aca="false">AM93-AN93-AO93</f>
        <v>0</v>
      </c>
    </row>
    <row r="94" customFormat="false" ht="15" hidden="false" customHeight="false" outlineLevel="0" collapsed="false">
      <c r="B94" s="8" t="s">
        <v>157</v>
      </c>
      <c r="C94" s="9" t="n">
        <v>2023</v>
      </c>
      <c r="D94" s="10" t="n">
        <v>413203</v>
      </c>
      <c r="E94" s="10" t="n">
        <v>175985</v>
      </c>
      <c r="F94" s="10" t="n">
        <v>628288</v>
      </c>
      <c r="G94" s="10" t="n">
        <v>183196</v>
      </c>
      <c r="H94" s="10" t="n">
        <v>23455</v>
      </c>
      <c r="I94" s="10" t="n">
        <v>31264</v>
      </c>
      <c r="J94" s="10" t="n">
        <v>0</v>
      </c>
      <c r="K94" s="10" t="n">
        <v>59803</v>
      </c>
      <c r="L94" s="10" t="n">
        <v>60528</v>
      </c>
      <c r="M94" s="10" t="n">
        <v>121840</v>
      </c>
      <c r="N94" s="10" t="n">
        <v>19479</v>
      </c>
      <c r="O94" s="10" t="n">
        <v>68801</v>
      </c>
      <c r="P94" s="10" t="n">
        <v>55922</v>
      </c>
      <c r="Q94" s="10" t="n">
        <v>2966</v>
      </c>
      <c r="R94" s="10" t="n">
        <v>21581</v>
      </c>
      <c r="S94" s="10" t="n">
        <v>10</v>
      </c>
      <c r="T94" s="10" t="n">
        <v>728373</v>
      </c>
      <c r="U94" s="10" t="n">
        <v>104142</v>
      </c>
      <c r="V94" s="10" t="n">
        <v>66058</v>
      </c>
      <c r="W94" s="10" t="n">
        <v>92907</v>
      </c>
      <c r="X94" s="10" t="n">
        <v>219993</v>
      </c>
      <c r="Y94" s="10" t="n">
        <v>229760</v>
      </c>
      <c r="Z94" s="10" t="n">
        <v>49757</v>
      </c>
      <c r="AA94" s="10" t="n">
        <v>5281</v>
      </c>
      <c r="AB94" s="10" t="n">
        <v>279644</v>
      </c>
      <c r="AC94" s="10" t="n">
        <v>61961</v>
      </c>
      <c r="AD94" s="10" t="n">
        <v>24170</v>
      </c>
      <c r="AE94" s="10" t="n">
        <v>10406</v>
      </c>
      <c r="AF94" s="10" t="n">
        <v>0</v>
      </c>
      <c r="AG94" s="10" t="n">
        <v>6973</v>
      </c>
      <c r="AH94" s="10" t="n">
        <v>24023</v>
      </c>
      <c r="AI94" s="10" t="n">
        <v>76396</v>
      </c>
      <c r="AJ94" s="10" t="n">
        <v>0</v>
      </c>
      <c r="AK94" s="10" t="n">
        <v>40849</v>
      </c>
      <c r="AL94" s="11" t="n">
        <v>177001</v>
      </c>
      <c r="AM94" s="10" t="n">
        <v>-331373</v>
      </c>
      <c r="AN94" s="10" t="n">
        <v>76015</v>
      </c>
      <c r="AO94" s="10" t="n">
        <v>-407388</v>
      </c>
      <c r="AP94" s="11" t="n">
        <v>12159850.2740574</v>
      </c>
      <c r="AQ94" s="12" t="n">
        <f aca="false">AM94-AN94-AO94</f>
        <v>0</v>
      </c>
    </row>
    <row r="95" customFormat="false" ht="15" hidden="false" customHeight="false" outlineLevel="0" collapsed="false">
      <c r="B95" s="8" t="s">
        <v>158</v>
      </c>
      <c r="C95" s="9" t="n">
        <v>2023</v>
      </c>
      <c r="D95" s="10" t="n">
        <v>458935</v>
      </c>
      <c r="E95" s="10" t="n">
        <v>296672</v>
      </c>
      <c r="F95" s="10" t="n">
        <v>679249</v>
      </c>
      <c r="G95" s="10" t="n">
        <v>218207</v>
      </c>
      <c r="H95" s="10" t="n">
        <v>14905</v>
      </c>
      <c r="I95" s="10" t="n">
        <v>26803</v>
      </c>
      <c r="J95" s="10" t="n">
        <v>0</v>
      </c>
      <c r="K95" s="10" t="n">
        <v>136135</v>
      </c>
      <c r="L95" s="10" t="n">
        <v>74280</v>
      </c>
      <c r="M95" s="10" t="n">
        <v>143939</v>
      </c>
      <c r="N95" s="10" t="n">
        <v>44235</v>
      </c>
      <c r="O95" s="10" t="n">
        <v>113474</v>
      </c>
      <c r="P95" s="10" t="n">
        <v>62761</v>
      </c>
      <c r="Q95" s="10" t="n">
        <v>19136</v>
      </c>
      <c r="R95" s="10" t="n">
        <v>22820</v>
      </c>
      <c r="S95" s="10" t="n">
        <v>21</v>
      </c>
      <c r="T95" s="10" t="n">
        <v>740038</v>
      </c>
      <c r="U95" s="10" t="n">
        <v>99547</v>
      </c>
      <c r="V95" s="10" t="n">
        <v>78034</v>
      </c>
      <c r="W95" s="10" t="n">
        <v>109544</v>
      </c>
      <c r="X95" s="10" t="n">
        <v>262558</v>
      </c>
      <c r="Y95" s="10" t="n">
        <v>359338</v>
      </c>
      <c r="Z95" s="10" t="n">
        <v>69212</v>
      </c>
      <c r="AA95" s="10" t="n">
        <v>2549</v>
      </c>
      <c r="AB95" s="10" t="n">
        <v>292076</v>
      </c>
      <c r="AC95" s="10" t="n">
        <v>91886</v>
      </c>
      <c r="AD95" s="10" t="n">
        <v>25641</v>
      </c>
      <c r="AE95" s="10" t="n">
        <v>5203</v>
      </c>
      <c r="AF95" s="10" t="n">
        <v>0</v>
      </c>
      <c r="AG95" s="10" t="n">
        <v>8644</v>
      </c>
      <c r="AH95" s="10" t="n">
        <v>29786</v>
      </c>
      <c r="AI95" s="10" t="n">
        <v>80782</v>
      </c>
      <c r="AJ95" s="10" t="n">
        <v>0</v>
      </c>
      <c r="AK95" s="10" t="n">
        <v>62420</v>
      </c>
      <c r="AL95" s="11" t="n">
        <v>241965</v>
      </c>
      <c r="AM95" s="10" t="n">
        <v>-247651</v>
      </c>
      <c r="AN95" s="10" t="n">
        <v>383421</v>
      </c>
      <c r="AO95" s="10" t="n">
        <v>-631072</v>
      </c>
      <c r="AP95" s="11" t="n">
        <v>13317899.5212653</v>
      </c>
      <c r="AQ95" s="12" t="n">
        <f aca="false">AM95-AN95-AO95</f>
        <v>0</v>
      </c>
    </row>
    <row r="96" customFormat="false" ht="15" hidden="false" customHeight="false" outlineLevel="0" collapsed="false">
      <c r="B96" s="8" t="s">
        <v>159</v>
      </c>
      <c r="C96" s="9" t="n">
        <v>2023</v>
      </c>
      <c r="D96" s="10" t="n">
        <v>526656</v>
      </c>
      <c r="E96" s="10" t="n">
        <v>301933</v>
      </c>
      <c r="F96" s="10" t="n">
        <v>691526</v>
      </c>
      <c r="G96" s="10" t="n">
        <v>230570</v>
      </c>
      <c r="H96" s="10" t="n">
        <v>84002</v>
      </c>
      <c r="I96" s="10" t="n">
        <v>34603</v>
      </c>
      <c r="J96" s="10" t="n">
        <v>0</v>
      </c>
      <c r="K96" s="10" t="n">
        <v>212391</v>
      </c>
      <c r="L96" s="10" t="n">
        <v>85035</v>
      </c>
      <c r="M96" s="10" t="n">
        <v>167339</v>
      </c>
      <c r="N96" s="10" t="n">
        <v>46501</v>
      </c>
      <c r="O96" s="10" t="n">
        <v>87950</v>
      </c>
      <c r="P96" s="10" t="n">
        <v>69499</v>
      </c>
      <c r="Q96" s="10" t="n">
        <v>17321</v>
      </c>
      <c r="R96" s="10" t="n">
        <v>28726</v>
      </c>
      <c r="S96" s="10" t="n">
        <v>153</v>
      </c>
      <c r="T96" s="10" t="n">
        <v>1253896</v>
      </c>
      <c r="U96" s="10" t="n">
        <v>127626</v>
      </c>
      <c r="V96" s="10" t="n">
        <v>112650</v>
      </c>
      <c r="W96" s="10" t="n">
        <v>113877</v>
      </c>
      <c r="X96" s="10" t="n">
        <v>253295</v>
      </c>
      <c r="Y96" s="10" t="n">
        <v>341941</v>
      </c>
      <c r="Z96" s="10" t="n">
        <v>81611</v>
      </c>
      <c r="AA96" s="10" t="n">
        <v>3450</v>
      </c>
      <c r="AB96" s="10" t="n">
        <v>344141</v>
      </c>
      <c r="AC96" s="10" t="n">
        <v>100215</v>
      </c>
      <c r="AD96" s="10" t="n">
        <v>25513</v>
      </c>
      <c r="AE96" s="10" t="n">
        <v>5203</v>
      </c>
      <c r="AF96" s="10" t="n">
        <v>0</v>
      </c>
      <c r="AG96" s="10" t="n">
        <v>14153</v>
      </c>
      <c r="AH96" s="10" t="n">
        <v>36222</v>
      </c>
      <c r="AI96" s="10" t="n">
        <v>90859</v>
      </c>
      <c r="AJ96" s="10" t="n">
        <v>0</v>
      </c>
      <c r="AK96" s="10" t="n">
        <v>37198</v>
      </c>
      <c r="AL96" s="11" t="n">
        <v>254098</v>
      </c>
      <c r="AM96" s="10" t="n">
        <v>-611743</v>
      </c>
      <c r="AN96" s="10" t="n">
        <v>96861</v>
      </c>
      <c r="AO96" s="10" t="n">
        <v>-708603</v>
      </c>
      <c r="AP96" s="11" t="n">
        <v>14556609.5450195</v>
      </c>
      <c r="AQ96" s="12" t="n">
        <f aca="false">AM96-AN96-AO96</f>
        <v>-1</v>
      </c>
    </row>
    <row r="97" customFormat="false" ht="15" hidden="false" customHeight="false" outlineLevel="0" collapsed="false">
      <c r="B97" s="8" t="s">
        <v>160</v>
      </c>
      <c r="C97" s="9" t="n">
        <v>2023</v>
      </c>
      <c r="D97" s="10" t="n">
        <v>531174</v>
      </c>
      <c r="E97" s="10" t="n">
        <v>255183</v>
      </c>
      <c r="F97" s="10" t="n">
        <v>1005257</v>
      </c>
      <c r="G97" s="10" t="n">
        <v>251846</v>
      </c>
      <c r="H97" s="10" t="n">
        <v>27700</v>
      </c>
      <c r="I97" s="10" t="n">
        <v>41546</v>
      </c>
      <c r="J97" s="10" t="n">
        <v>0</v>
      </c>
      <c r="K97" s="10" t="n">
        <v>60901</v>
      </c>
      <c r="L97" s="10" t="n">
        <v>84650</v>
      </c>
      <c r="M97" s="10" t="n">
        <v>153823</v>
      </c>
      <c r="N97" s="10" t="n">
        <v>55298</v>
      </c>
      <c r="O97" s="10" t="n">
        <v>90845</v>
      </c>
      <c r="P97" s="10" t="n">
        <v>100379</v>
      </c>
      <c r="Q97" s="10" t="n">
        <v>14202</v>
      </c>
      <c r="R97" s="10" t="n">
        <v>28894</v>
      </c>
      <c r="S97" s="10" t="n">
        <v>20</v>
      </c>
      <c r="T97" s="10" t="n">
        <v>888753</v>
      </c>
      <c r="U97" s="10" t="n">
        <v>141074</v>
      </c>
      <c r="V97" s="10" t="n">
        <v>81502</v>
      </c>
      <c r="W97" s="10" t="n">
        <v>121279</v>
      </c>
      <c r="X97" s="10" t="n">
        <v>300998</v>
      </c>
      <c r="Y97" s="10" t="n">
        <v>262688</v>
      </c>
      <c r="Z97" s="10" t="n">
        <v>82821</v>
      </c>
      <c r="AA97" s="10" t="n">
        <v>5215</v>
      </c>
      <c r="AB97" s="10" t="n">
        <v>485467</v>
      </c>
      <c r="AC97" s="10" t="n">
        <v>110854</v>
      </c>
      <c r="AD97" s="10" t="n">
        <v>35328</v>
      </c>
      <c r="AE97" s="10" t="n">
        <v>13469</v>
      </c>
      <c r="AF97" s="10" t="n">
        <v>0</v>
      </c>
      <c r="AG97" s="10" t="n">
        <v>16662</v>
      </c>
      <c r="AH97" s="10" t="n">
        <v>29426</v>
      </c>
      <c r="AI97" s="10" t="n">
        <v>132187</v>
      </c>
      <c r="AJ97" s="10" t="n">
        <v>0</v>
      </c>
      <c r="AK97" s="10" t="n">
        <v>65659</v>
      </c>
      <c r="AL97" s="11" t="n">
        <v>262702</v>
      </c>
      <c r="AM97" s="10" t="n">
        <v>-334366</v>
      </c>
      <c r="AN97" s="10" t="n">
        <v>419877</v>
      </c>
      <c r="AO97" s="10" t="n">
        <v>-754243</v>
      </c>
      <c r="AP97" s="11" t="n">
        <v>15761460.5389883</v>
      </c>
      <c r="AQ97" s="12" t="n">
        <f aca="false">AM97-AN97-AO97</f>
        <v>0</v>
      </c>
    </row>
    <row r="98" customFormat="false" ht="15" hidden="false" customHeight="false" outlineLevel="0" collapsed="false">
      <c r="B98" s="8" t="s">
        <v>161</v>
      </c>
      <c r="C98" s="9" t="n">
        <v>2023</v>
      </c>
      <c r="D98" s="10" t="n">
        <v>621791</v>
      </c>
      <c r="E98" s="10" t="n">
        <v>318429</v>
      </c>
      <c r="F98" s="10" t="n">
        <v>845798</v>
      </c>
      <c r="G98" s="10" t="n">
        <v>272482</v>
      </c>
      <c r="H98" s="10" t="n">
        <v>46391</v>
      </c>
      <c r="I98" s="10" t="n">
        <v>42026</v>
      </c>
      <c r="J98" s="10" t="n">
        <v>0</v>
      </c>
      <c r="K98" s="10" t="n">
        <v>103949</v>
      </c>
      <c r="L98" s="10" t="n">
        <v>115081</v>
      </c>
      <c r="M98" s="10" t="n">
        <v>350586</v>
      </c>
      <c r="N98" s="10" t="n">
        <v>63577</v>
      </c>
      <c r="O98" s="10" t="n">
        <v>93361</v>
      </c>
      <c r="P98" s="10" t="n">
        <v>89321</v>
      </c>
      <c r="Q98" s="10" t="n">
        <v>20943</v>
      </c>
      <c r="R98" s="10" t="n">
        <v>34440</v>
      </c>
      <c r="S98" s="10" t="n">
        <v>215</v>
      </c>
      <c r="T98" s="10" t="n">
        <v>950295</v>
      </c>
      <c r="U98" s="10" t="n">
        <v>120785</v>
      </c>
      <c r="V98" s="10" t="n">
        <v>86761</v>
      </c>
      <c r="W98" s="10" t="n">
        <v>145144</v>
      </c>
      <c r="X98" s="10" t="n">
        <v>315664</v>
      </c>
      <c r="Y98" s="10" t="n">
        <v>320529</v>
      </c>
      <c r="Z98" s="10" t="n">
        <v>65509</v>
      </c>
      <c r="AA98" s="10" t="n">
        <v>5500</v>
      </c>
      <c r="AB98" s="10" t="n">
        <v>396352</v>
      </c>
      <c r="AC98" s="10" t="n">
        <v>136456</v>
      </c>
      <c r="AD98" s="10" t="n">
        <v>35437</v>
      </c>
      <c r="AE98" s="10" t="n">
        <v>17328</v>
      </c>
      <c r="AF98" s="10" t="n">
        <v>0</v>
      </c>
      <c r="AG98" s="10" t="n">
        <v>10261</v>
      </c>
      <c r="AH98" s="10" t="n">
        <v>51411</v>
      </c>
      <c r="AI98" s="10" t="n">
        <v>100808</v>
      </c>
      <c r="AJ98" s="10" t="n">
        <v>0</v>
      </c>
      <c r="AK98" s="10" t="n">
        <v>31362</v>
      </c>
      <c r="AL98" s="11" t="n">
        <v>265752</v>
      </c>
      <c r="AM98" s="10" t="n">
        <v>-36964</v>
      </c>
      <c r="AN98" s="10" t="n">
        <v>347540</v>
      </c>
      <c r="AO98" s="10" t="n">
        <v>-384504</v>
      </c>
      <c r="AP98" s="11" t="n">
        <v>17227448.4094837</v>
      </c>
      <c r="AQ98" s="12" t="n">
        <f aca="false">AM98-AN98-AO98</f>
        <v>0</v>
      </c>
    </row>
    <row r="99" customFormat="false" ht="15" hidden="false" customHeight="false" outlineLevel="0" collapsed="false">
      <c r="B99" s="8" t="s">
        <v>162</v>
      </c>
      <c r="C99" s="9" t="n">
        <v>2023</v>
      </c>
      <c r="D99" s="10" t="n">
        <v>735389</v>
      </c>
      <c r="E99" s="10" t="n">
        <v>295605</v>
      </c>
      <c r="F99" s="10" t="n">
        <v>862117</v>
      </c>
      <c r="G99" s="10" t="n">
        <v>310176</v>
      </c>
      <c r="H99" s="10" t="n">
        <v>22559</v>
      </c>
      <c r="I99" s="10" t="n">
        <v>44138</v>
      </c>
      <c r="J99" s="10" t="n">
        <v>0</v>
      </c>
      <c r="K99" s="10" t="n">
        <v>111110</v>
      </c>
      <c r="L99" s="10" t="n">
        <v>124862</v>
      </c>
      <c r="M99" s="10" t="n">
        <v>355941</v>
      </c>
      <c r="N99" s="10" t="n">
        <v>80949</v>
      </c>
      <c r="O99" s="10" t="n">
        <v>132890</v>
      </c>
      <c r="P99" s="10" t="n">
        <v>79586</v>
      </c>
      <c r="Q99" s="10" t="n">
        <v>7814</v>
      </c>
      <c r="R99" s="10" t="n">
        <v>46742</v>
      </c>
      <c r="S99" s="10" t="n">
        <v>20</v>
      </c>
      <c r="T99" s="10" t="n">
        <v>1085558</v>
      </c>
      <c r="U99" s="10" t="n">
        <v>154497</v>
      </c>
      <c r="V99" s="10" t="n">
        <v>100447</v>
      </c>
      <c r="W99" s="10" t="n">
        <v>199509</v>
      </c>
      <c r="X99" s="10" t="n">
        <v>423466</v>
      </c>
      <c r="Y99" s="10" t="n">
        <v>177660</v>
      </c>
      <c r="Z99" s="10" t="n">
        <v>81118</v>
      </c>
      <c r="AA99" s="10" t="n">
        <v>6684</v>
      </c>
      <c r="AB99" s="10" t="n">
        <v>437156</v>
      </c>
      <c r="AC99" s="10" t="n">
        <v>127052</v>
      </c>
      <c r="AD99" s="10" t="n">
        <v>37467</v>
      </c>
      <c r="AE99" s="10" t="n">
        <v>14057</v>
      </c>
      <c r="AF99" s="10" t="n">
        <v>0</v>
      </c>
      <c r="AG99" s="10" t="n">
        <v>14714</v>
      </c>
      <c r="AH99" s="10" t="n">
        <v>133817</v>
      </c>
      <c r="AI99" s="10" t="n">
        <v>112123</v>
      </c>
      <c r="AJ99" s="10" t="n">
        <v>0</v>
      </c>
      <c r="AK99" s="10" t="n">
        <v>107678</v>
      </c>
      <c r="AL99" s="11" t="n">
        <v>377368</v>
      </c>
      <c r="AM99" s="10" t="n">
        <v>-380473</v>
      </c>
      <c r="AN99" s="10" t="n">
        <v>131059</v>
      </c>
      <c r="AO99" s="10" t="n">
        <v>-511533</v>
      </c>
      <c r="AP99" s="11" t="n">
        <v>19137814.6564804</v>
      </c>
      <c r="AQ99" s="12" t="n">
        <f aca="false">AM99-AN99-AO99</f>
        <v>1</v>
      </c>
    </row>
    <row r="100" customFormat="false" ht="15" hidden="false" customHeight="false" outlineLevel="0" collapsed="false">
      <c r="B100" s="8" t="s">
        <v>163</v>
      </c>
      <c r="C100" s="9" t="n">
        <v>2023</v>
      </c>
      <c r="D100" s="10" t="n">
        <v>682696</v>
      </c>
      <c r="E100" s="10" t="n">
        <v>354062</v>
      </c>
      <c r="F100" s="10" t="n">
        <v>910489</v>
      </c>
      <c r="G100" s="10" t="n">
        <v>346858</v>
      </c>
      <c r="H100" s="10" t="n">
        <v>36549</v>
      </c>
      <c r="I100" s="10" t="n">
        <v>50104</v>
      </c>
      <c r="J100" s="10" t="n">
        <v>0</v>
      </c>
      <c r="K100" s="10" t="n">
        <v>172674</v>
      </c>
      <c r="L100" s="10" t="n">
        <v>131505</v>
      </c>
      <c r="M100" s="10" t="n">
        <v>395892</v>
      </c>
      <c r="N100" s="10" t="n">
        <v>69274</v>
      </c>
      <c r="O100" s="10" t="n">
        <v>180329</v>
      </c>
      <c r="P100" s="10" t="n">
        <v>120594</v>
      </c>
      <c r="Q100" s="10" t="n">
        <v>7685</v>
      </c>
      <c r="R100" s="10" t="n">
        <v>35888</v>
      </c>
      <c r="S100" s="10" t="n">
        <v>22</v>
      </c>
      <c r="T100" s="10" t="n">
        <v>1132768</v>
      </c>
      <c r="U100" s="10" t="n">
        <v>149866</v>
      </c>
      <c r="V100" s="10" t="n">
        <v>101394</v>
      </c>
      <c r="W100" s="10" t="n">
        <v>243566</v>
      </c>
      <c r="X100" s="10" t="n">
        <v>583290</v>
      </c>
      <c r="Y100" s="10" t="n">
        <v>220134</v>
      </c>
      <c r="Z100" s="10" t="n">
        <v>89967</v>
      </c>
      <c r="AA100" s="10" t="n">
        <v>16749</v>
      </c>
      <c r="AB100" s="10" t="n">
        <v>480500</v>
      </c>
      <c r="AC100" s="10" t="n">
        <v>143077</v>
      </c>
      <c r="AD100" s="10" t="n">
        <v>49122</v>
      </c>
      <c r="AE100" s="10" t="n">
        <v>14057</v>
      </c>
      <c r="AF100" s="10" t="n">
        <v>0</v>
      </c>
      <c r="AG100" s="10" t="n">
        <v>15168</v>
      </c>
      <c r="AH100" s="10" t="n">
        <v>77189</v>
      </c>
      <c r="AI100" s="10" t="n">
        <v>118297</v>
      </c>
      <c r="AJ100" s="10" t="n">
        <v>0</v>
      </c>
      <c r="AK100" s="10" t="n">
        <v>91074</v>
      </c>
      <c r="AL100" s="11" t="n">
        <v>298741</v>
      </c>
      <c r="AM100" s="10" t="n">
        <v>-330338</v>
      </c>
      <c r="AN100" s="10" t="n">
        <v>123911</v>
      </c>
      <c r="AO100" s="10" t="n">
        <v>-454249</v>
      </c>
      <c r="AP100" s="11" t="n">
        <v>21051218.6893804</v>
      </c>
      <c r="AQ100" s="12" t="n">
        <f aca="false">AM100-AN100-AO100</f>
        <v>0</v>
      </c>
    </row>
    <row r="101" customFormat="false" ht="15" hidden="false" customHeight="false" outlineLevel="0" collapsed="false">
      <c r="B101" s="8" t="s">
        <v>164</v>
      </c>
      <c r="C101" s="9" t="n">
        <v>2023</v>
      </c>
      <c r="D101" s="10" t="n">
        <v>758863</v>
      </c>
      <c r="E101" s="10" t="n">
        <v>340876</v>
      </c>
      <c r="F101" s="10" t="n">
        <v>1059420</v>
      </c>
      <c r="G101" s="10" t="n">
        <v>375202</v>
      </c>
      <c r="H101" s="10" t="n">
        <v>35127</v>
      </c>
      <c r="I101" s="10" t="n">
        <v>49429</v>
      </c>
      <c r="J101" s="10" t="n">
        <v>0</v>
      </c>
      <c r="K101" s="10" t="n">
        <v>96797</v>
      </c>
      <c r="L101" s="10" t="n">
        <v>116813</v>
      </c>
      <c r="M101" s="10" t="n">
        <v>333848</v>
      </c>
      <c r="N101" s="10" t="n">
        <v>59306</v>
      </c>
      <c r="O101" s="10" t="n">
        <v>192988</v>
      </c>
      <c r="P101" s="10" t="n">
        <v>399257</v>
      </c>
      <c r="Q101" s="10" t="n">
        <v>12071</v>
      </c>
      <c r="R101" s="10" t="n">
        <v>55906</v>
      </c>
      <c r="S101" s="10" t="n">
        <v>57</v>
      </c>
      <c r="T101" s="10" t="n">
        <v>1163769</v>
      </c>
      <c r="U101" s="10" t="n">
        <v>145729</v>
      </c>
      <c r="V101" s="10" t="n">
        <v>117786</v>
      </c>
      <c r="W101" s="10" t="n">
        <v>262917</v>
      </c>
      <c r="X101" s="10" t="n">
        <v>626666</v>
      </c>
      <c r="Y101" s="10" t="n">
        <v>137828</v>
      </c>
      <c r="Z101" s="10" t="n">
        <v>114765</v>
      </c>
      <c r="AA101" s="10" t="n">
        <v>17276</v>
      </c>
      <c r="AB101" s="10" t="n">
        <v>542297</v>
      </c>
      <c r="AC101" s="10" t="n">
        <v>137287</v>
      </c>
      <c r="AD101" s="10" t="n">
        <v>51726</v>
      </c>
      <c r="AE101" s="10" t="n">
        <v>5203</v>
      </c>
      <c r="AF101" s="10" t="n">
        <v>0</v>
      </c>
      <c r="AG101" s="10" t="n">
        <v>17948</v>
      </c>
      <c r="AH101" s="10" t="n">
        <v>123116</v>
      </c>
      <c r="AI101" s="10" t="n">
        <v>158878</v>
      </c>
      <c r="AJ101" s="10" t="n">
        <v>0</v>
      </c>
      <c r="AK101" s="10" t="n">
        <v>90534</v>
      </c>
      <c r="AL101" s="11" t="n">
        <v>382719</v>
      </c>
      <c r="AM101" s="10" t="n">
        <v>-210484</v>
      </c>
      <c r="AN101" s="10" t="n">
        <v>544472</v>
      </c>
      <c r="AO101" s="10" t="n">
        <v>-754956</v>
      </c>
      <c r="AP101" s="11" t="n">
        <v>23385606.0395234</v>
      </c>
      <c r="AQ101" s="12" t="n">
        <f aca="false">AM101-AN101-AO101</f>
        <v>0</v>
      </c>
    </row>
    <row r="102" customFormat="false" ht="15" hidden="false" customHeight="false" outlineLevel="0" collapsed="false">
      <c r="B102" s="8" t="s">
        <v>165</v>
      </c>
      <c r="C102" s="9" t="n">
        <v>2023</v>
      </c>
      <c r="D102" s="10" t="n">
        <v>899361</v>
      </c>
      <c r="E102" s="10" t="n">
        <v>282669</v>
      </c>
      <c r="F102" s="10" t="n">
        <v>1169987</v>
      </c>
      <c r="G102" s="10" t="n">
        <v>340825</v>
      </c>
      <c r="H102" s="10" t="n">
        <v>59140</v>
      </c>
      <c r="I102" s="10" t="n">
        <v>56373</v>
      </c>
      <c r="J102" s="10" t="n">
        <v>0</v>
      </c>
      <c r="K102" s="10" t="n">
        <v>382499</v>
      </c>
      <c r="L102" s="10" t="n">
        <v>145653</v>
      </c>
      <c r="M102" s="10" t="n">
        <v>412079</v>
      </c>
      <c r="N102" s="10" t="n">
        <v>60254</v>
      </c>
      <c r="O102" s="10" t="n">
        <v>260778</v>
      </c>
      <c r="P102" s="10" t="n">
        <v>101735</v>
      </c>
      <c r="Q102" s="10" t="n">
        <v>11968</v>
      </c>
      <c r="R102" s="10" t="n">
        <v>43761</v>
      </c>
      <c r="S102" s="10" t="n">
        <v>42</v>
      </c>
      <c r="T102" s="10" t="n">
        <v>1948979</v>
      </c>
      <c r="U102" s="10" t="n">
        <v>188949</v>
      </c>
      <c r="V102" s="10" t="n">
        <v>153217</v>
      </c>
      <c r="W102" s="10" t="n">
        <v>258652</v>
      </c>
      <c r="X102" s="10" t="n">
        <v>556761</v>
      </c>
      <c r="Y102" s="10" t="n">
        <v>542422</v>
      </c>
      <c r="Z102" s="10" t="n">
        <v>134737</v>
      </c>
      <c r="AA102" s="10" t="n">
        <v>25554</v>
      </c>
      <c r="AB102" s="10" t="n">
        <v>1017616</v>
      </c>
      <c r="AC102" s="10" t="n">
        <v>170203</v>
      </c>
      <c r="AD102" s="10" t="n">
        <v>57666</v>
      </c>
      <c r="AE102" s="10" t="n">
        <v>59234</v>
      </c>
      <c r="AF102" s="10" t="n">
        <v>0</v>
      </c>
      <c r="AG102" s="10" t="n">
        <v>20425</v>
      </c>
      <c r="AH102" s="10" t="n">
        <v>158409</v>
      </c>
      <c r="AI102" s="10" t="n">
        <v>367510</v>
      </c>
      <c r="AJ102" s="10" t="n">
        <v>0</v>
      </c>
      <c r="AK102" s="10" t="n">
        <v>248380</v>
      </c>
      <c r="AL102" s="11" t="n">
        <v>309726</v>
      </c>
      <c r="AM102" s="10" t="n">
        <v>-1991316</v>
      </c>
      <c r="AN102" s="10" t="n">
        <v>409037</v>
      </c>
      <c r="AO102" s="10" t="n">
        <v>-2400353</v>
      </c>
      <c r="AP102" s="11" t="n">
        <v>26783068.2397413</v>
      </c>
      <c r="AQ102" s="12" t="n">
        <f aca="false">AM102-AN102-AO102</f>
        <v>0</v>
      </c>
    </row>
    <row r="103" customFormat="false" ht="15" hidden="false" customHeight="false" outlineLevel="0" collapsed="false">
      <c r="B103" s="8" t="s">
        <v>166</v>
      </c>
      <c r="C103" s="9" t="n">
        <v>2024</v>
      </c>
      <c r="D103" s="10" t="n">
        <v>1278108</v>
      </c>
      <c r="E103" s="10" t="n">
        <v>369132</v>
      </c>
      <c r="F103" s="10" t="n">
        <v>1731460</v>
      </c>
      <c r="G103" s="10" t="n">
        <v>532937</v>
      </c>
      <c r="H103" s="10" t="n">
        <v>12817</v>
      </c>
      <c r="I103" s="10" t="n">
        <v>81706</v>
      </c>
      <c r="J103" s="10" t="n">
        <v>0</v>
      </c>
      <c r="K103" s="10" t="n">
        <v>640461</v>
      </c>
      <c r="L103" s="10" t="n">
        <v>263050</v>
      </c>
      <c r="M103" s="10" t="n">
        <v>746424</v>
      </c>
      <c r="N103" s="10" t="n">
        <v>60742</v>
      </c>
      <c r="O103" s="10" t="n">
        <v>179956</v>
      </c>
      <c r="P103" s="10" t="n">
        <v>147216</v>
      </c>
      <c r="Q103" s="10" t="n">
        <v>45555</v>
      </c>
      <c r="R103" s="10" t="n">
        <v>57660</v>
      </c>
      <c r="S103" s="10" t="n">
        <v>8</v>
      </c>
      <c r="T103" s="10" t="n">
        <v>1437651</v>
      </c>
      <c r="U103" s="10" t="n">
        <v>257438</v>
      </c>
      <c r="V103" s="10" t="n">
        <v>162025</v>
      </c>
      <c r="W103" s="10" t="n">
        <v>265866</v>
      </c>
      <c r="X103" s="10" t="n">
        <v>547614</v>
      </c>
      <c r="Y103" s="10" t="n">
        <v>108394</v>
      </c>
      <c r="Z103" s="10" t="n">
        <v>140897</v>
      </c>
      <c r="AA103" s="10" t="n">
        <v>4778</v>
      </c>
      <c r="AB103" s="10" t="n">
        <v>691168</v>
      </c>
      <c r="AC103" s="10" t="n">
        <v>170395</v>
      </c>
      <c r="AD103" s="10" t="n">
        <v>48647</v>
      </c>
      <c r="AE103" s="10" t="n">
        <v>0</v>
      </c>
      <c r="AF103" s="10" t="n">
        <v>0</v>
      </c>
      <c r="AG103" s="10" t="n">
        <v>11360</v>
      </c>
      <c r="AH103" s="10" t="n">
        <v>2123</v>
      </c>
      <c r="AI103" s="10" t="n">
        <v>145682</v>
      </c>
      <c r="AJ103" s="10" t="n">
        <v>0</v>
      </c>
      <c r="AK103" s="10" t="n">
        <v>65344</v>
      </c>
      <c r="AL103" s="11" t="n">
        <v>77104</v>
      </c>
      <c r="AM103" s="10" t="n">
        <v>2010746</v>
      </c>
      <c r="AN103" s="10" t="n">
        <v>1492338</v>
      </c>
      <c r="AO103" s="10" t="n">
        <v>518408</v>
      </c>
      <c r="AP103" s="11" t="n">
        <v>31742796.5909279</v>
      </c>
      <c r="AQ103" s="12" t="n">
        <f aca="false">AM103-AN103-AO103</f>
        <v>0</v>
      </c>
    </row>
    <row r="104" customFormat="false" ht="15" hidden="false" customHeight="false" outlineLevel="0" collapsed="false">
      <c r="B104" s="8" t="s">
        <v>167</v>
      </c>
      <c r="C104" s="9" t="n">
        <v>2024</v>
      </c>
      <c r="D104" s="10" t="n">
        <v>1260110</v>
      </c>
      <c r="E104" s="10" t="n">
        <v>401261</v>
      </c>
      <c r="F104" s="10" t="n">
        <v>1581907</v>
      </c>
      <c r="G104" s="10" t="n">
        <v>560048</v>
      </c>
      <c r="H104" s="10" t="n">
        <v>29896</v>
      </c>
      <c r="I104" s="10" t="n">
        <v>73377</v>
      </c>
      <c r="J104" s="10" t="n">
        <v>0</v>
      </c>
      <c r="K104" s="10" t="n">
        <v>262977</v>
      </c>
      <c r="L104" s="10" t="n">
        <v>188037</v>
      </c>
      <c r="M104" s="10" t="n">
        <v>673374</v>
      </c>
      <c r="N104" s="10" t="n">
        <v>61885</v>
      </c>
      <c r="O104" s="10" t="n">
        <v>251930</v>
      </c>
      <c r="P104" s="10" t="n">
        <v>121733</v>
      </c>
      <c r="Q104" s="10" t="n">
        <v>8599</v>
      </c>
      <c r="R104" s="10" t="n">
        <v>60515</v>
      </c>
      <c r="S104" s="10" t="n">
        <v>9</v>
      </c>
      <c r="T104" s="10" t="n">
        <v>1420791</v>
      </c>
      <c r="U104" s="10" t="n">
        <v>254718</v>
      </c>
      <c r="V104" s="10" t="n">
        <v>125129</v>
      </c>
      <c r="W104" s="10" t="n">
        <v>281222</v>
      </c>
      <c r="X104" s="10" t="n">
        <v>583898</v>
      </c>
      <c r="Y104" s="10" t="n">
        <v>271045</v>
      </c>
      <c r="Z104" s="10" t="n">
        <v>123598</v>
      </c>
      <c r="AA104" s="10" t="n">
        <v>7516</v>
      </c>
      <c r="AB104" s="10" t="n">
        <v>779833</v>
      </c>
      <c r="AC104" s="10" t="n">
        <v>138137</v>
      </c>
      <c r="AD104" s="10" t="n">
        <v>11</v>
      </c>
      <c r="AE104" s="10" t="n">
        <v>0</v>
      </c>
      <c r="AF104" s="10" t="n">
        <v>0</v>
      </c>
      <c r="AG104" s="10" t="n">
        <v>15692</v>
      </c>
      <c r="AH104" s="10" t="n">
        <v>3903</v>
      </c>
      <c r="AI104" s="10" t="n">
        <v>159277</v>
      </c>
      <c r="AJ104" s="10" t="n">
        <v>0</v>
      </c>
      <c r="AK104" s="10" t="n">
        <v>57783</v>
      </c>
      <c r="AL104" s="11" t="n">
        <v>80580</v>
      </c>
      <c r="AM104" s="10" t="n">
        <v>1232525</v>
      </c>
      <c r="AN104" s="10" t="n">
        <v>894412</v>
      </c>
      <c r="AO104" s="10" t="n">
        <v>338112</v>
      </c>
      <c r="AP104" s="11" t="n">
        <v>36519145.5879772</v>
      </c>
      <c r="AQ104" s="12" t="n">
        <f aca="false">AM104-AN104-AO104</f>
        <v>1</v>
      </c>
    </row>
    <row r="105" customFormat="false" ht="15" hidden="false" customHeight="false" outlineLevel="0" collapsed="false">
      <c r="B105" s="8" t="s">
        <v>168</v>
      </c>
      <c r="C105" s="9" t="n">
        <v>2024</v>
      </c>
      <c r="D105" s="10" t="n">
        <v>1264664</v>
      </c>
      <c r="E105" s="10" t="n">
        <v>369759</v>
      </c>
      <c r="F105" s="10" t="n">
        <v>1779993</v>
      </c>
      <c r="G105" s="10" t="n">
        <v>589073</v>
      </c>
      <c r="H105" s="10" t="n">
        <v>6662</v>
      </c>
      <c r="I105" s="10" t="n">
        <v>84382</v>
      </c>
      <c r="J105" s="10" t="n">
        <v>0</v>
      </c>
      <c r="K105" s="10" t="n">
        <v>313835</v>
      </c>
      <c r="L105" s="10" t="n">
        <v>190225</v>
      </c>
      <c r="M105" s="10" t="n">
        <v>918910</v>
      </c>
      <c r="N105" s="10" t="n">
        <v>103830</v>
      </c>
      <c r="O105" s="10" t="n">
        <v>283090</v>
      </c>
      <c r="P105" s="10" t="n">
        <v>173927</v>
      </c>
      <c r="Q105" s="10" t="n">
        <v>7421</v>
      </c>
      <c r="R105" s="10" t="n">
        <v>35848</v>
      </c>
      <c r="S105" s="10" t="n">
        <v>10</v>
      </c>
      <c r="T105" s="10" t="n">
        <v>1821020</v>
      </c>
      <c r="U105" s="10" t="n">
        <v>681877</v>
      </c>
      <c r="V105" s="10" t="n">
        <v>154268</v>
      </c>
      <c r="W105" s="10" t="n">
        <v>307190</v>
      </c>
      <c r="X105" s="10" t="n">
        <v>680639</v>
      </c>
      <c r="Y105" s="10" t="n">
        <v>308939</v>
      </c>
      <c r="Z105" s="10" t="n">
        <v>104053</v>
      </c>
      <c r="AA105" s="10" t="n">
        <v>27447</v>
      </c>
      <c r="AB105" s="10" t="n">
        <v>823892</v>
      </c>
      <c r="AC105" s="10" t="n">
        <v>178712</v>
      </c>
      <c r="AD105" s="10" t="n">
        <v>17971</v>
      </c>
      <c r="AE105" s="10" t="n">
        <v>0</v>
      </c>
      <c r="AF105" s="10" t="n">
        <v>0</v>
      </c>
      <c r="AG105" s="10" t="n">
        <v>37602</v>
      </c>
      <c r="AH105" s="10" t="n">
        <v>5312</v>
      </c>
      <c r="AI105" s="10" t="n">
        <v>185266</v>
      </c>
      <c r="AJ105" s="10" t="n">
        <v>0</v>
      </c>
      <c r="AK105" s="10" t="n">
        <v>74557</v>
      </c>
      <c r="AL105" s="11" t="n">
        <v>87850</v>
      </c>
      <c r="AM105" s="10" t="n">
        <v>625034</v>
      </c>
      <c r="AN105" s="10" t="n">
        <v>348396</v>
      </c>
      <c r="AO105" s="10" t="n">
        <v>276638</v>
      </c>
      <c r="AP105" s="11" t="n">
        <v>39698302.2811905</v>
      </c>
      <c r="AQ105" s="12" t="n">
        <f aca="false">AM105-AN105-AO105</f>
        <v>0</v>
      </c>
    </row>
    <row r="106" customFormat="false" ht="15" hidden="false" customHeight="false" outlineLevel="0" collapsed="false">
      <c r="B106" s="8" t="s">
        <v>169</v>
      </c>
      <c r="C106" s="9" t="n">
        <v>2024</v>
      </c>
      <c r="D106" s="10" t="n">
        <v>1478647</v>
      </c>
      <c r="E106" s="10" t="n">
        <v>434520</v>
      </c>
      <c r="F106" s="10" t="n">
        <v>1995518</v>
      </c>
      <c r="G106" s="10" t="n">
        <v>600620</v>
      </c>
      <c r="H106" s="10" t="n">
        <v>30894</v>
      </c>
      <c r="I106" s="10" t="n">
        <v>103983</v>
      </c>
      <c r="J106" s="10" t="n">
        <v>0</v>
      </c>
      <c r="K106" s="10" t="n">
        <v>309920</v>
      </c>
      <c r="L106" s="10" t="n">
        <v>233897</v>
      </c>
      <c r="M106" s="10" t="n">
        <v>830976</v>
      </c>
      <c r="N106" s="10" t="n">
        <v>95229</v>
      </c>
      <c r="O106" s="10" t="n">
        <v>389284</v>
      </c>
      <c r="P106" s="10" t="n">
        <v>207288</v>
      </c>
      <c r="Q106" s="10" t="n">
        <v>25507</v>
      </c>
      <c r="R106" s="10" t="n">
        <v>52258</v>
      </c>
      <c r="S106" s="10" t="n">
        <v>3663</v>
      </c>
      <c r="T106" s="10" t="n">
        <v>2093967</v>
      </c>
      <c r="U106" s="10" t="n">
        <v>332273</v>
      </c>
      <c r="V106" s="10" t="n">
        <v>198204</v>
      </c>
      <c r="W106" s="10" t="n">
        <v>387020</v>
      </c>
      <c r="X106" s="10" t="n">
        <v>883620</v>
      </c>
      <c r="Y106" s="10" t="n">
        <v>779585</v>
      </c>
      <c r="Z106" s="10" t="n">
        <v>161158</v>
      </c>
      <c r="AA106" s="10" t="n">
        <v>11840</v>
      </c>
      <c r="AB106" s="10" t="n">
        <v>894498</v>
      </c>
      <c r="AC106" s="10" t="n">
        <v>198821</v>
      </c>
      <c r="AD106" s="10" t="n">
        <v>20027</v>
      </c>
      <c r="AE106" s="10" t="n">
        <v>0</v>
      </c>
      <c r="AF106" s="10" t="n">
        <v>0</v>
      </c>
      <c r="AG106" s="10" t="n">
        <v>43901</v>
      </c>
      <c r="AH106" s="10" t="n">
        <v>3970</v>
      </c>
      <c r="AI106" s="10" t="n">
        <v>215956</v>
      </c>
      <c r="AJ106" s="10" t="n">
        <v>0</v>
      </c>
      <c r="AK106" s="10" t="n">
        <v>151561</v>
      </c>
      <c r="AL106" s="11" t="n">
        <v>150851</v>
      </c>
      <c r="AM106" s="10" t="n">
        <v>264952</v>
      </c>
      <c r="AN106" s="10" t="n">
        <v>247543</v>
      </c>
      <c r="AO106" s="10" t="n">
        <v>17409</v>
      </c>
      <c r="AP106" s="11" t="n">
        <v>43315137.4922578</v>
      </c>
      <c r="AQ106" s="12" t="n">
        <f aca="false">AM106-AN106-AO106</f>
        <v>0</v>
      </c>
    </row>
    <row r="107" customFormat="false" ht="15" hidden="false" customHeight="false" outlineLevel="0" collapsed="false">
      <c r="B107" s="8" t="s">
        <v>170</v>
      </c>
      <c r="C107" s="9" t="n">
        <v>2024</v>
      </c>
      <c r="D107" s="10" t="n">
        <v>1411778</v>
      </c>
      <c r="E107" s="10" t="n">
        <v>2150039</v>
      </c>
      <c r="F107" s="10" t="n">
        <v>2259603</v>
      </c>
      <c r="G107" s="10" t="n">
        <v>626861</v>
      </c>
      <c r="H107" s="10" t="n">
        <v>10226</v>
      </c>
      <c r="I107" s="10" t="n">
        <v>77403</v>
      </c>
      <c r="J107" s="10" t="n">
        <v>0</v>
      </c>
      <c r="K107" s="10" t="n">
        <v>741908</v>
      </c>
      <c r="L107" s="10" t="n">
        <v>222291</v>
      </c>
      <c r="M107" s="10" t="n">
        <v>986223</v>
      </c>
      <c r="N107" s="10" t="n">
        <v>228401</v>
      </c>
      <c r="O107" s="10" t="n">
        <v>249975</v>
      </c>
      <c r="P107" s="10" t="n">
        <v>185039</v>
      </c>
      <c r="Q107" s="10" t="n">
        <v>14656</v>
      </c>
      <c r="R107" s="10" t="n">
        <v>39500</v>
      </c>
      <c r="S107" s="10" t="n">
        <v>223</v>
      </c>
      <c r="T107" s="10" t="n">
        <v>2339383</v>
      </c>
      <c r="U107" s="10" t="n">
        <v>323446</v>
      </c>
      <c r="V107" s="10" t="n">
        <v>215916</v>
      </c>
      <c r="W107" s="10" t="n">
        <v>412607</v>
      </c>
      <c r="X107" s="10" t="n">
        <v>708113</v>
      </c>
      <c r="Y107" s="10" t="n">
        <v>948107</v>
      </c>
      <c r="Z107" s="10" t="n">
        <v>150995</v>
      </c>
      <c r="AA107" s="10" t="n">
        <v>7870</v>
      </c>
      <c r="AB107" s="10" t="n">
        <v>939207</v>
      </c>
      <c r="AC107" s="10" t="n">
        <v>218223</v>
      </c>
      <c r="AD107" s="10" t="n">
        <v>36732</v>
      </c>
      <c r="AE107" s="10" t="n">
        <v>0</v>
      </c>
      <c r="AF107" s="10" t="n">
        <v>0</v>
      </c>
      <c r="AG107" s="10" t="n">
        <v>26870</v>
      </c>
      <c r="AH107" s="10" t="n">
        <v>3537</v>
      </c>
      <c r="AI107" s="10" t="n">
        <v>247512</v>
      </c>
      <c r="AJ107" s="10" t="n">
        <v>0</v>
      </c>
      <c r="AK107" s="10" t="n">
        <v>92240</v>
      </c>
      <c r="AL107" s="11" t="n">
        <v>201163</v>
      </c>
      <c r="AM107" s="10" t="n">
        <v>2332205</v>
      </c>
      <c r="AN107" s="10" t="n">
        <v>1148634</v>
      </c>
      <c r="AO107" s="10" t="n">
        <v>1183571</v>
      </c>
      <c r="AP107" s="11" t="n">
        <v>47221640.354257</v>
      </c>
      <c r="AQ107" s="12" t="n">
        <f aca="false">AM107-AN107-AO107</f>
        <v>0</v>
      </c>
    </row>
    <row r="108" customFormat="false" ht="15" hidden="false" customHeight="false" outlineLevel="0" collapsed="false">
      <c r="B108" s="8" t="s">
        <v>171</v>
      </c>
      <c r="C108" s="9" t="n">
        <v>2024</v>
      </c>
      <c r="D108" s="10" t="n">
        <v>1563865</v>
      </c>
      <c r="E108" s="10" t="n">
        <v>944915</v>
      </c>
      <c r="F108" s="10" t="n">
        <v>2324901</v>
      </c>
      <c r="G108" s="10" t="n">
        <v>870373</v>
      </c>
      <c r="H108" s="10" t="n">
        <v>125861</v>
      </c>
      <c r="I108" s="10" t="n">
        <v>94567</v>
      </c>
      <c r="J108" s="10" t="n">
        <v>0</v>
      </c>
      <c r="K108" s="10" t="n">
        <v>444032</v>
      </c>
      <c r="L108" s="10" t="n">
        <v>161557</v>
      </c>
      <c r="M108" s="10" t="n">
        <v>1095078</v>
      </c>
      <c r="N108" s="10" t="n">
        <v>172684</v>
      </c>
      <c r="O108" s="10" t="n">
        <v>145176</v>
      </c>
      <c r="P108" s="10" t="n">
        <v>169840</v>
      </c>
      <c r="Q108" s="10" t="n">
        <v>12761</v>
      </c>
      <c r="R108" s="10" t="n">
        <v>56858</v>
      </c>
      <c r="S108" s="10" t="n">
        <v>25</v>
      </c>
      <c r="T108" s="10" t="n">
        <v>3830359</v>
      </c>
      <c r="U108" s="10" t="n">
        <v>467979</v>
      </c>
      <c r="V108" s="10" t="n">
        <v>372364</v>
      </c>
      <c r="W108" s="10" t="n">
        <v>455284</v>
      </c>
      <c r="X108" s="10" t="n">
        <v>497292</v>
      </c>
      <c r="Y108" s="10" t="n">
        <v>238661</v>
      </c>
      <c r="Z108" s="10" t="n">
        <v>154948</v>
      </c>
      <c r="AA108" s="10" t="n">
        <v>15454</v>
      </c>
      <c r="AB108" s="10" t="n">
        <v>1038443</v>
      </c>
      <c r="AC108" s="10" t="n">
        <v>183911</v>
      </c>
      <c r="AD108" s="10" t="n">
        <v>41135</v>
      </c>
      <c r="AE108" s="10" t="n">
        <v>0</v>
      </c>
      <c r="AF108" s="10" t="n">
        <v>0</v>
      </c>
      <c r="AG108" s="10" t="n">
        <v>25190</v>
      </c>
      <c r="AH108" s="10" t="n">
        <v>17394</v>
      </c>
      <c r="AI108" s="10" t="n">
        <v>16566</v>
      </c>
      <c r="AJ108" s="10" t="n">
        <v>0</v>
      </c>
      <c r="AK108" s="10" t="n">
        <v>97349</v>
      </c>
      <c r="AL108" s="11" t="n">
        <v>241595</v>
      </c>
      <c r="AM108" s="10" t="n">
        <v>488569</v>
      </c>
      <c r="AN108" s="10" t="n">
        <v>250380</v>
      </c>
      <c r="AO108" s="10" t="n">
        <v>238189</v>
      </c>
      <c r="AP108" s="11" t="n">
        <v>49347200.4507751</v>
      </c>
      <c r="AQ108" s="12" t="n">
        <f aca="false">AM108-AN108-AO108</f>
        <v>0</v>
      </c>
    </row>
    <row r="109" customFormat="false" ht="15" hidden="false" customHeight="false" outlineLevel="0" collapsed="false">
      <c r="B109" s="8" t="s">
        <v>172</v>
      </c>
      <c r="C109" s="9" t="n">
        <v>2024</v>
      </c>
      <c r="D109" s="10" t="n">
        <v>1706989</v>
      </c>
      <c r="E109" s="10" t="n">
        <v>690462</v>
      </c>
      <c r="F109" s="10" t="n">
        <v>3355431</v>
      </c>
      <c r="G109" s="10" t="n">
        <v>863209</v>
      </c>
      <c r="H109" s="10" t="n">
        <v>9549</v>
      </c>
      <c r="I109" s="10" t="n">
        <v>106183</v>
      </c>
      <c r="J109" s="10" t="n">
        <v>0</v>
      </c>
      <c r="K109" s="10" t="n">
        <v>553661</v>
      </c>
      <c r="L109" s="10" t="n">
        <v>266628</v>
      </c>
      <c r="M109" s="10" t="n">
        <v>1124307</v>
      </c>
      <c r="N109" s="10" t="n">
        <v>199978</v>
      </c>
      <c r="O109" s="10" t="n">
        <v>125040</v>
      </c>
      <c r="P109" s="10" t="n">
        <v>254293</v>
      </c>
      <c r="Q109" s="10" t="n">
        <v>12063</v>
      </c>
      <c r="R109" s="10" t="n">
        <v>65348</v>
      </c>
      <c r="S109" s="10" t="n">
        <v>608</v>
      </c>
      <c r="T109" s="10" t="n">
        <v>2746496</v>
      </c>
      <c r="U109" s="10" t="n">
        <v>533103</v>
      </c>
      <c r="V109" s="10" t="n">
        <v>264276</v>
      </c>
      <c r="W109" s="10" t="n">
        <v>558091</v>
      </c>
      <c r="X109" s="10" t="n">
        <v>796727</v>
      </c>
      <c r="Y109" s="10" t="n">
        <v>833909</v>
      </c>
      <c r="Z109" s="10" t="n">
        <v>217560</v>
      </c>
      <c r="AA109" s="10" t="n">
        <v>28671</v>
      </c>
      <c r="AB109" s="10" t="n">
        <v>1378255</v>
      </c>
      <c r="AC109" s="10" t="n">
        <v>282430</v>
      </c>
      <c r="AD109" s="10" t="n">
        <v>29352</v>
      </c>
      <c r="AE109" s="10" t="n">
        <v>0</v>
      </c>
      <c r="AF109" s="10" t="n">
        <v>0</v>
      </c>
      <c r="AG109" s="10" t="n">
        <v>45336</v>
      </c>
      <c r="AH109" s="10" t="n">
        <v>6271</v>
      </c>
      <c r="AI109" s="10" t="n">
        <v>383588</v>
      </c>
      <c r="AJ109" s="10" t="n">
        <v>0</v>
      </c>
      <c r="AK109" s="10" t="n">
        <v>121653</v>
      </c>
      <c r="AL109" s="11" t="n">
        <v>199778</v>
      </c>
      <c r="AM109" s="10" t="n">
        <v>908253</v>
      </c>
      <c r="AN109" s="10" t="n">
        <v>1509210</v>
      </c>
      <c r="AO109" s="10" t="n">
        <v>-600957</v>
      </c>
      <c r="AP109" s="11" t="n">
        <v>50965651.214116</v>
      </c>
      <c r="AQ109" s="12" t="n">
        <f aca="false">AM109-AN109-AO109</f>
        <v>0</v>
      </c>
    </row>
    <row r="110" customFormat="false" ht="15" hidden="false" customHeight="false" outlineLevel="0" collapsed="false">
      <c r="B110" s="8" t="s">
        <v>173</v>
      </c>
      <c r="C110" s="9" t="n">
        <v>2024</v>
      </c>
      <c r="D110" s="10" t="n">
        <v>1791169</v>
      </c>
      <c r="E110" s="10" t="n">
        <v>770458</v>
      </c>
      <c r="F110" s="10" t="n">
        <v>2664024</v>
      </c>
      <c r="G110" s="10" t="n">
        <v>905096</v>
      </c>
      <c r="H110" s="10" t="n">
        <v>110409</v>
      </c>
      <c r="I110" s="10" t="n">
        <v>124033</v>
      </c>
      <c r="J110" s="10" t="n">
        <v>0</v>
      </c>
      <c r="K110" s="10" t="n">
        <v>433867</v>
      </c>
      <c r="L110" s="10" t="n">
        <v>259564</v>
      </c>
      <c r="M110" s="10" t="n">
        <v>1080433</v>
      </c>
      <c r="N110" s="10" t="n">
        <v>61618</v>
      </c>
      <c r="O110" s="10" t="n">
        <v>196329</v>
      </c>
      <c r="P110" s="10" t="n">
        <v>269414</v>
      </c>
      <c r="Q110" s="10" t="n">
        <v>30947</v>
      </c>
      <c r="R110" s="10" t="n">
        <v>51091</v>
      </c>
      <c r="S110" s="10" t="n">
        <v>15</v>
      </c>
      <c r="T110" s="10" t="n">
        <v>2843271</v>
      </c>
      <c r="U110" s="10" t="n">
        <v>500339</v>
      </c>
      <c r="V110" s="10" t="n">
        <v>275261</v>
      </c>
      <c r="W110" s="10" t="n">
        <v>388100</v>
      </c>
      <c r="X110" s="10" t="n">
        <v>561964</v>
      </c>
      <c r="Y110" s="10" t="n">
        <v>870818</v>
      </c>
      <c r="Z110" s="10" t="n">
        <v>269681</v>
      </c>
      <c r="AA110" s="10" t="n">
        <v>3764</v>
      </c>
      <c r="AB110" s="10" t="n">
        <v>1039967</v>
      </c>
      <c r="AC110" s="10" t="n">
        <v>345722</v>
      </c>
      <c r="AD110" s="10" t="n">
        <v>82116</v>
      </c>
      <c r="AE110" s="10" t="n">
        <v>0</v>
      </c>
      <c r="AF110" s="10" t="n">
        <v>0</v>
      </c>
      <c r="AG110" s="10" t="n">
        <v>42043</v>
      </c>
      <c r="AH110" s="10" t="n">
        <v>103384</v>
      </c>
      <c r="AI110" s="10" t="n">
        <v>233829</v>
      </c>
      <c r="AJ110" s="10" t="n">
        <v>0</v>
      </c>
      <c r="AK110" s="10" t="n">
        <v>35629</v>
      </c>
      <c r="AL110" s="11" t="n">
        <v>252919</v>
      </c>
      <c r="AM110" s="10" t="n">
        <v>899660</v>
      </c>
      <c r="AN110" s="10" t="n">
        <v>896129</v>
      </c>
      <c r="AO110" s="10" t="n">
        <v>3530</v>
      </c>
      <c r="AP110" s="11" t="n">
        <v>53259738.2831184</v>
      </c>
      <c r="AQ110" s="12" t="n">
        <f aca="false">AM110-AN110-AO110</f>
        <v>1</v>
      </c>
    </row>
    <row r="111" customFormat="false" ht="15" hidden="false" customHeight="false" outlineLevel="0" collapsed="false">
      <c r="B111" s="8" t="s">
        <v>174</v>
      </c>
      <c r="C111" s="9" t="n">
        <v>2024</v>
      </c>
      <c r="D111" s="10" t="n">
        <v>1882919</v>
      </c>
      <c r="E111" s="10" t="n">
        <v>779197</v>
      </c>
      <c r="F111" s="10" t="n">
        <v>2755434</v>
      </c>
      <c r="G111" s="10" t="n">
        <v>854269</v>
      </c>
      <c r="H111" s="10" t="n">
        <v>369058</v>
      </c>
      <c r="I111" s="10" t="n">
        <v>123387</v>
      </c>
      <c r="J111" s="10" t="n">
        <v>0</v>
      </c>
      <c r="K111" s="10" t="n">
        <v>532561</v>
      </c>
      <c r="L111" s="10" t="n">
        <v>282635</v>
      </c>
      <c r="M111" s="10" t="n">
        <v>928781</v>
      </c>
      <c r="N111" s="10" t="n">
        <v>68384</v>
      </c>
      <c r="O111" s="10" t="n">
        <v>221810</v>
      </c>
      <c r="P111" s="10" t="n">
        <v>260964</v>
      </c>
      <c r="Q111" s="10" t="n">
        <v>8875</v>
      </c>
      <c r="R111" s="10" t="n">
        <v>45641</v>
      </c>
      <c r="S111" s="10" t="n">
        <v>300</v>
      </c>
      <c r="T111" s="10" t="n">
        <v>2972172</v>
      </c>
      <c r="U111" s="10" t="n">
        <v>519178</v>
      </c>
      <c r="V111" s="10" t="n">
        <v>284538</v>
      </c>
      <c r="W111" s="10" t="n">
        <v>604055</v>
      </c>
      <c r="X111" s="10" t="n">
        <v>1003667</v>
      </c>
      <c r="Y111" s="10" t="n">
        <v>512970</v>
      </c>
      <c r="Z111" s="10" t="n">
        <v>177623</v>
      </c>
      <c r="AA111" s="10" t="n">
        <v>21358</v>
      </c>
      <c r="AB111" s="10" t="n">
        <v>1073546</v>
      </c>
      <c r="AC111" s="10" t="n">
        <v>287882</v>
      </c>
      <c r="AD111" s="10" t="n">
        <v>19762</v>
      </c>
      <c r="AE111" s="10" t="n">
        <v>0</v>
      </c>
      <c r="AF111" s="10" t="n">
        <v>0</v>
      </c>
      <c r="AG111" s="10" t="n">
        <v>62507</v>
      </c>
      <c r="AH111" s="10" t="n">
        <v>94122</v>
      </c>
      <c r="AI111" s="10" t="n">
        <v>278185</v>
      </c>
      <c r="AJ111" s="10" t="n">
        <v>0</v>
      </c>
      <c r="AK111" s="10" t="n">
        <v>73188</v>
      </c>
      <c r="AL111" s="11" t="n">
        <v>313015</v>
      </c>
      <c r="AM111" s="10" t="n">
        <v>816447</v>
      </c>
      <c r="AN111" s="10" t="n">
        <v>349816</v>
      </c>
      <c r="AO111" s="10" t="n">
        <v>466631</v>
      </c>
      <c r="AP111" s="11" t="n">
        <v>55184589.5868593</v>
      </c>
      <c r="AQ111" s="12" t="n">
        <f aca="false">AM111-AN111-AO111</f>
        <v>0</v>
      </c>
    </row>
    <row r="112" customFormat="false" ht="15" hidden="false" customHeight="false" outlineLevel="0" collapsed="false">
      <c r="B112" s="8" t="s">
        <v>175</v>
      </c>
      <c r="C112" s="9" t="n">
        <v>2024</v>
      </c>
      <c r="D112" s="10" t="n">
        <v>1998867</v>
      </c>
      <c r="E112" s="10" t="n">
        <v>763173</v>
      </c>
      <c r="F112" s="10" t="n">
        <v>2851968</v>
      </c>
      <c r="G112" s="10" t="n">
        <v>933109</v>
      </c>
      <c r="H112" s="10" t="n">
        <v>99412</v>
      </c>
      <c r="I112" s="10" t="n">
        <v>123619</v>
      </c>
      <c r="J112" s="10" t="n">
        <v>0</v>
      </c>
      <c r="K112" s="10" t="n">
        <v>552242</v>
      </c>
      <c r="L112" s="10" t="n">
        <v>398544</v>
      </c>
      <c r="M112" s="10" t="n">
        <v>949480</v>
      </c>
      <c r="N112" s="10" t="n">
        <v>94217</v>
      </c>
      <c r="O112" s="10" t="n">
        <v>187460</v>
      </c>
      <c r="P112" s="10" t="n">
        <v>257462</v>
      </c>
      <c r="Q112" s="10" t="n">
        <v>30249</v>
      </c>
      <c r="R112" s="10" t="n">
        <v>118509</v>
      </c>
      <c r="S112" s="10" t="n">
        <v>2</v>
      </c>
      <c r="T112" s="10" t="n">
        <v>3058118</v>
      </c>
      <c r="U112" s="10" t="n">
        <v>548609</v>
      </c>
      <c r="V112" s="10" t="n">
        <v>276367</v>
      </c>
      <c r="W112" s="10" t="n">
        <v>591705</v>
      </c>
      <c r="X112" s="10" t="n">
        <v>767070</v>
      </c>
      <c r="Y112" s="10" t="n">
        <v>608493</v>
      </c>
      <c r="Z112" s="10" t="n">
        <v>202723</v>
      </c>
      <c r="AA112" s="10" t="n">
        <v>7745</v>
      </c>
      <c r="AB112" s="10" t="n">
        <v>1161699</v>
      </c>
      <c r="AC112" s="10" t="n">
        <v>251364</v>
      </c>
      <c r="AD112" s="10" t="n">
        <v>39900</v>
      </c>
      <c r="AE112" s="10" t="n">
        <v>0</v>
      </c>
      <c r="AF112" s="10" t="n">
        <v>0</v>
      </c>
      <c r="AG112" s="10" t="n">
        <v>46471</v>
      </c>
      <c r="AH112" s="10" t="n">
        <v>138405</v>
      </c>
      <c r="AI112" s="10" t="n">
        <v>604236</v>
      </c>
      <c r="AJ112" s="10" t="n">
        <v>0</v>
      </c>
      <c r="AK112" s="10" t="n">
        <v>51497</v>
      </c>
      <c r="AL112" s="11" t="n">
        <v>256990</v>
      </c>
      <c r="AM112" s="10" t="n">
        <v>746921</v>
      </c>
      <c r="AN112" s="10" t="n">
        <v>223523</v>
      </c>
      <c r="AO112" s="10" t="n">
        <v>523398</v>
      </c>
      <c r="AP112" s="11" t="n">
        <v>57464592.3024191</v>
      </c>
      <c r="AQ112" s="12" t="n">
        <f aca="false">AM112-AN112-AO112</f>
        <v>0</v>
      </c>
    </row>
    <row r="113" customFormat="false" ht="15" hidden="false" customHeight="false" outlineLevel="0" collapsed="false">
      <c r="B113" s="8" t="s">
        <v>176</v>
      </c>
      <c r="C113" s="9" t="n">
        <v>2024</v>
      </c>
      <c r="D113" s="10" t="n">
        <v>1944885</v>
      </c>
      <c r="E113" s="10" t="n">
        <v>947063</v>
      </c>
      <c r="F113" s="10" t="n">
        <v>3024923</v>
      </c>
      <c r="G113" s="10" t="n">
        <v>984843</v>
      </c>
      <c r="H113" s="10" t="n">
        <v>55827</v>
      </c>
      <c r="I113" s="10" t="n">
        <v>142186</v>
      </c>
      <c r="J113" s="10" t="n">
        <v>0</v>
      </c>
      <c r="K113" s="10" t="n">
        <v>558928</v>
      </c>
      <c r="L113" s="10" t="n">
        <v>336294</v>
      </c>
      <c r="M113" s="10" t="n">
        <v>938657</v>
      </c>
      <c r="N113" s="10" t="n">
        <v>84971</v>
      </c>
      <c r="O113" s="10" t="n">
        <v>313051</v>
      </c>
      <c r="P113" s="10" t="n">
        <v>213926</v>
      </c>
      <c r="Q113" s="10" t="n">
        <v>20508</v>
      </c>
      <c r="R113" s="10" t="n">
        <v>43188</v>
      </c>
      <c r="S113" s="10" t="n">
        <v>49</v>
      </c>
      <c r="T113" s="10" t="n">
        <v>3208888</v>
      </c>
      <c r="U113" s="10" t="n">
        <v>572445</v>
      </c>
      <c r="V113" s="10" t="n">
        <v>296890</v>
      </c>
      <c r="W113" s="10" t="n">
        <v>706417</v>
      </c>
      <c r="X113" s="10" t="n">
        <v>746724</v>
      </c>
      <c r="Y113" s="10" t="n">
        <v>346809</v>
      </c>
      <c r="Z113" s="10" t="n">
        <v>206436</v>
      </c>
      <c r="AA113" s="10" t="n">
        <v>7745</v>
      </c>
      <c r="AB113" s="10" t="n">
        <v>1133684</v>
      </c>
      <c r="AC113" s="10" t="n">
        <v>262818</v>
      </c>
      <c r="AD113" s="10" t="n">
        <v>9989</v>
      </c>
      <c r="AE113" s="10" t="n">
        <v>0</v>
      </c>
      <c r="AF113" s="10" t="n">
        <v>0</v>
      </c>
      <c r="AG113" s="10" t="n">
        <v>47620</v>
      </c>
      <c r="AH113" s="10" t="n">
        <v>111526</v>
      </c>
      <c r="AI113" s="10" t="n">
        <v>308207</v>
      </c>
      <c r="AJ113" s="10" t="n">
        <v>0</v>
      </c>
      <c r="AK113" s="10" t="n">
        <v>13415</v>
      </c>
      <c r="AL113" s="11" t="n">
        <v>248141</v>
      </c>
      <c r="AM113" s="10" t="n">
        <v>1381545</v>
      </c>
      <c r="AN113" s="10" t="n">
        <v>1024383</v>
      </c>
      <c r="AO113" s="10" t="n">
        <v>357162</v>
      </c>
      <c r="AP113" s="11" t="n">
        <v>59541410.5328103</v>
      </c>
      <c r="AQ113" s="12" t="n">
        <f aca="false">AM113-AN113-AO113</f>
        <v>0</v>
      </c>
    </row>
    <row r="114" customFormat="false" ht="15" hidden="false" customHeight="false" outlineLevel="0" collapsed="false">
      <c r="B114" s="8" t="s">
        <v>177</v>
      </c>
      <c r="C114" s="9" t="n">
        <v>2024</v>
      </c>
      <c r="D114" s="10" t="n">
        <v>2008557</v>
      </c>
      <c r="E114" s="10" t="n">
        <v>900983</v>
      </c>
      <c r="F114" s="10" t="n">
        <v>3119097</v>
      </c>
      <c r="G114" s="10" t="n">
        <v>956680</v>
      </c>
      <c r="H114" s="10" t="n">
        <v>36766</v>
      </c>
      <c r="I114" s="10" t="n">
        <v>140718</v>
      </c>
      <c r="J114" s="10" t="n">
        <v>0</v>
      </c>
      <c r="K114" s="10" t="n">
        <v>557788</v>
      </c>
      <c r="L114" s="10" t="n">
        <v>345268</v>
      </c>
      <c r="M114" s="10" t="n">
        <v>745961</v>
      </c>
      <c r="N114" s="10" t="n">
        <v>75348</v>
      </c>
      <c r="O114" s="10" t="n">
        <v>637152</v>
      </c>
      <c r="P114" s="10" t="n">
        <v>280125</v>
      </c>
      <c r="Q114" s="10" t="n">
        <v>23926</v>
      </c>
      <c r="R114" s="10" t="n">
        <v>42579</v>
      </c>
      <c r="S114" s="10" t="n">
        <v>171</v>
      </c>
      <c r="T114" s="10" t="n">
        <v>4882775</v>
      </c>
      <c r="U114" s="10" t="n">
        <v>609592</v>
      </c>
      <c r="V114" s="10" t="n">
        <v>453040</v>
      </c>
      <c r="W114" s="10" t="n">
        <v>484826</v>
      </c>
      <c r="X114" s="10" t="n">
        <v>782138</v>
      </c>
      <c r="Y114" s="10" t="n">
        <v>656333</v>
      </c>
      <c r="Z114" s="10" t="n">
        <v>184169</v>
      </c>
      <c r="AA114" s="10" t="n">
        <v>3846</v>
      </c>
      <c r="AB114" s="10" t="n">
        <v>1634415</v>
      </c>
      <c r="AC114" s="10" t="n">
        <v>521830</v>
      </c>
      <c r="AD114" s="10" t="n">
        <v>35115</v>
      </c>
      <c r="AE114" s="10" t="n">
        <v>2000</v>
      </c>
      <c r="AF114" s="10" t="n">
        <v>0</v>
      </c>
      <c r="AG114" s="10" t="n">
        <v>49931</v>
      </c>
      <c r="AH114" s="10" t="n">
        <v>124441</v>
      </c>
      <c r="AI114" s="10" t="n">
        <v>473297</v>
      </c>
      <c r="AJ114" s="10" t="n">
        <v>0</v>
      </c>
      <c r="AK114" s="10" t="n">
        <v>15197</v>
      </c>
      <c r="AL114" s="11" t="n">
        <v>259220</v>
      </c>
      <c r="AM114" s="10" t="n">
        <v>-1301046</v>
      </c>
      <c r="AN114" s="10" t="n">
        <v>256260</v>
      </c>
      <c r="AO114" s="10" t="n">
        <v>-1557305</v>
      </c>
      <c r="AP114" s="11" t="n">
        <v>60116806.3499815</v>
      </c>
      <c r="AQ114" s="12" t="n">
        <f aca="false">AM114-AN114-AO114</f>
        <v>-1</v>
      </c>
    </row>
    <row r="115" customFormat="false" ht="15" hidden="false" customHeight="false" outlineLevel="0" collapsed="false">
      <c r="B115" s="8" t="s">
        <v>178</v>
      </c>
      <c r="C115" s="9" t="n">
        <v>2025</v>
      </c>
      <c r="D115" s="10" t="n">
        <v>2453627</v>
      </c>
      <c r="E115" s="10" t="n">
        <v>874276</v>
      </c>
      <c r="F115" s="10" t="n">
        <v>4379546</v>
      </c>
      <c r="G115" s="10" t="n">
        <v>1086915</v>
      </c>
      <c r="H115" s="10" t="n">
        <v>19087</v>
      </c>
      <c r="I115" s="10" t="n">
        <v>154826</v>
      </c>
      <c r="J115" s="10" t="n">
        <v>0</v>
      </c>
      <c r="K115" s="10" t="n">
        <v>543903</v>
      </c>
      <c r="L115" s="10" t="n">
        <v>413646</v>
      </c>
      <c r="M115" s="10" t="n">
        <v>515256</v>
      </c>
      <c r="N115" s="10" t="n">
        <v>82675</v>
      </c>
      <c r="O115" s="10" t="n">
        <v>102919</v>
      </c>
      <c r="P115" s="10" t="n">
        <v>278130</v>
      </c>
      <c r="Q115" s="10" t="n">
        <v>19828</v>
      </c>
      <c r="R115" s="10" t="n">
        <v>175798</v>
      </c>
      <c r="S115" s="10" t="n">
        <v>60</v>
      </c>
      <c r="T115" s="10" t="n">
        <v>3452664</v>
      </c>
      <c r="U115" s="10" t="n">
        <v>603737</v>
      </c>
      <c r="V115" s="10" t="n">
        <v>309687</v>
      </c>
      <c r="W115" s="10" t="n">
        <v>613295</v>
      </c>
      <c r="X115" s="10" t="n">
        <v>696122</v>
      </c>
      <c r="Y115" s="10" t="n">
        <v>213350</v>
      </c>
      <c r="Z115" s="10" t="n">
        <v>197752</v>
      </c>
      <c r="AA115" s="10" t="n">
        <v>7227</v>
      </c>
      <c r="AB115" s="10" t="n">
        <v>1341592</v>
      </c>
      <c r="AC115" s="10" t="n">
        <v>443075</v>
      </c>
      <c r="AD115" s="10" t="n">
        <v>2914</v>
      </c>
      <c r="AE115" s="10" t="n">
        <v>2000</v>
      </c>
      <c r="AF115" s="10" t="n">
        <v>0</v>
      </c>
      <c r="AG115" s="10" t="n">
        <v>37585</v>
      </c>
      <c r="AH115" s="10" t="n">
        <v>98198</v>
      </c>
      <c r="AI115" s="10" t="n">
        <v>321169</v>
      </c>
      <c r="AJ115" s="10" t="n">
        <v>0</v>
      </c>
      <c r="AK115" s="10" t="n">
        <v>155592</v>
      </c>
      <c r="AL115" s="11" t="n">
        <v>169668</v>
      </c>
      <c r="AM115" s="10" t="n">
        <v>2434865</v>
      </c>
      <c r="AN115" s="10" t="n">
        <v>1835112</v>
      </c>
      <c r="AO115" s="10" t="n">
        <v>599753</v>
      </c>
      <c r="AP115" s="11" t="n">
        <v>59539849.880441</v>
      </c>
      <c r="AQ115" s="12" t="n">
        <f aca="false">AM115-AN115-AO115</f>
        <v>0</v>
      </c>
    </row>
    <row r="116" customFormat="false" ht="15" hidden="false" customHeight="false" outlineLevel="0" collapsed="false">
      <c r="B116" s="8" t="s">
        <v>179</v>
      </c>
      <c r="C116" s="9" t="n">
        <v>2025</v>
      </c>
      <c r="D116" s="10" t="n">
        <v>2155451</v>
      </c>
      <c r="E116" s="10" t="n">
        <v>889872</v>
      </c>
      <c r="F116" s="10" t="n">
        <v>3480115</v>
      </c>
      <c r="G116" s="10" t="n">
        <v>976646</v>
      </c>
      <c r="H116" s="10" t="n">
        <v>26558</v>
      </c>
      <c r="I116" s="10" t="n">
        <v>142588</v>
      </c>
      <c r="J116" s="10" t="n">
        <v>0</v>
      </c>
      <c r="K116" s="10" t="n">
        <v>523881</v>
      </c>
      <c r="L116" s="10" t="n">
        <v>383497</v>
      </c>
      <c r="M116" s="10" t="n">
        <v>555993</v>
      </c>
      <c r="N116" s="10" t="n">
        <v>42633</v>
      </c>
      <c r="O116" s="10" t="n">
        <v>199439</v>
      </c>
      <c r="P116" s="10" t="n">
        <v>221109</v>
      </c>
      <c r="Q116" s="10" t="n">
        <v>21166</v>
      </c>
      <c r="R116" s="10" t="n">
        <v>113764</v>
      </c>
      <c r="S116" s="10" t="n">
        <v>57</v>
      </c>
      <c r="T116" s="10" t="n">
        <v>3566775</v>
      </c>
      <c r="U116" s="10" t="n">
        <v>615040</v>
      </c>
      <c r="V116" s="10" t="n">
        <v>296976</v>
      </c>
      <c r="W116" s="10" t="n">
        <v>620835</v>
      </c>
      <c r="X116" s="10" t="n">
        <v>734355</v>
      </c>
      <c r="Y116" s="10" t="n">
        <v>155911</v>
      </c>
      <c r="Z116" s="10" t="n">
        <v>264248</v>
      </c>
      <c r="AA116" s="10" t="n">
        <v>5620</v>
      </c>
      <c r="AB116" s="10" t="n">
        <v>1209045</v>
      </c>
      <c r="AC116" s="10" t="n">
        <v>325725</v>
      </c>
      <c r="AD116" s="10" t="n">
        <v>4668</v>
      </c>
      <c r="AE116" s="10" t="n">
        <v>2000</v>
      </c>
      <c r="AF116" s="10" t="n">
        <v>0</v>
      </c>
      <c r="AG116" s="10" t="n">
        <v>5084</v>
      </c>
      <c r="AH116" s="10" t="n">
        <v>132109</v>
      </c>
      <c r="AI116" s="10" t="n">
        <v>304755</v>
      </c>
      <c r="AJ116" s="10" t="n">
        <v>0</v>
      </c>
      <c r="AK116" s="10" t="n">
        <v>108351</v>
      </c>
      <c r="AL116" s="11" t="n">
        <v>204357</v>
      </c>
      <c r="AM116" s="10" t="n">
        <v>1176915</v>
      </c>
      <c r="AN116" s="10" t="n">
        <v>866189</v>
      </c>
      <c r="AO116" s="10" t="n">
        <v>310726</v>
      </c>
      <c r="AP116" s="11" t="n">
        <v>60134505.4386073</v>
      </c>
      <c r="AQ116" s="12" t="n">
        <f aca="false">AM116-AN116-AO116</f>
        <v>0</v>
      </c>
    </row>
    <row r="117" customFormat="false" ht="15" hidden="false" customHeight="false" outlineLevel="0" collapsed="false">
      <c r="B117" s="8" t="s">
        <v>180</v>
      </c>
      <c r="C117" s="9" t="n">
        <v>2025</v>
      </c>
      <c r="D117" s="10" t="n">
        <v>2015445</v>
      </c>
      <c r="E117" s="10" t="n">
        <v>755386</v>
      </c>
      <c r="F117" s="10" t="n">
        <v>3554658</v>
      </c>
      <c r="G117" s="10" t="n">
        <v>924868</v>
      </c>
      <c r="H117" s="10" t="n">
        <v>12144</v>
      </c>
      <c r="I117" s="10" t="n">
        <v>131183</v>
      </c>
      <c r="J117" s="10" t="n">
        <v>0</v>
      </c>
      <c r="K117" s="10" t="n">
        <v>558783</v>
      </c>
      <c r="L117" s="10" t="n">
        <v>360962</v>
      </c>
      <c r="M117" s="10" t="n">
        <v>521559</v>
      </c>
      <c r="N117" s="10" t="n">
        <v>79822</v>
      </c>
      <c r="O117" s="10" t="n">
        <v>171567</v>
      </c>
      <c r="P117" s="10" t="n">
        <v>225239</v>
      </c>
      <c r="Q117" s="10" t="n">
        <v>21780</v>
      </c>
      <c r="R117" s="10" t="n">
        <v>143205</v>
      </c>
      <c r="S117" s="10" t="n">
        <v>21</v>
      </c>
      <c r="T117" s="10" t="n">
        <v>3642958</v>
      </c>
      <c r="U117" s="10" t="n">
        <v>1116002</v>
      </c>
      <c r="V117" s="10" t="n">
        <v>302425</v>
      </c>
      <c r="W117" s="10" t="n">
        <v>619562</v>
      </c>
      <c r="X117" s="10" t="n">
        <v>625257</v>
      </c>
      <c r="Y117" s="10" t="n">
        <v>145026</v>
      </c>
      <c r="Z117" s="10" t="n">
        <v>223367</v>
      </c>
      <c r="AA117" s="10" t="n">
        <v>19547</v>
      </c>
      <c r="AB117" s="10" t="n">
        <v>1147470</v>
      </c>
      <c r="AC117" s="10" t="n">
        <v>295388</v>
      </c>
      <c r="AD117" s="10" t="n">
        <v>55327</v>
      </c>
      <c r="AE117" s="10" t="n">
        <v>2000</v>
      </c>
      <c r="AF117" s="10" t="n">
        <v>0</v>
      </c>
      <c r="AG117" s="10" t="n">
        <v>90712</v>
      </c>
      <c r="AH117" s="10" t="n">
        <v>128873</v>
      </c>
      <c r="AI117" s="10" t="n">
        <v>32176</v>
      </c>
      <c r="AJ117" s="10" t="n">
        <v>0</v>
      </c>
      <c r="AK117" s="10" t="n">
        <v>89958</v>
      </c>
      <c r="AL117" s="11" t="n">
        <v>195235</v>
      </c>
      <c r="AM117" s="10" t="n">
        <v>745339</v>
      </c>
      <c r="AN117" s="10" t="n">
        <v>346430</v>
      </c>
      <c r="AO117" s="10" t="n">
        <v>398909</v>
      </c>
      <c r="AP117" s="11" t="n">
        <v>62750197.4662194</v>
      </c>
      <c r="AQ117" s="12" t="n">
        <f aca="false">AM117-AN117-AO117</f>
        <v>0</v>
      </c>
    </row>
    <row r="118" customFormat="false" ht="15" hidden="false" customHeight="false" outlineLevel="0" collapsed="false">
      <c r="B118" s="8" t="s">
        <v>181</v>
      </c>
      <c r="C118" s="9" t="n">
        <v>2025</v>
      </c>
      <c r="D118" s="10" t="n">
        <v>2151026</v>
      </c>
      <c r="E118" s="10" t="n">
        <v>782839</v>
      </c>
      <c r="F118" s="10" t="n">
        <v>3692211</v>
      </c>
      <c r="G118" s="10" t="n">
        <v>1035324</v>
      </c>
      <c r="H118" s="10" t="n">
        <v>22685</v>
      </c>
      <c r="I118" s="10" t="n">
        <v>121968</v>
      </c>
      <c r="J118" s="10" t="n">
        <v>0</v>
      </c>
      <c r="K118" s="10" t="n">
        <v>691637</v>
      </c>
      <c r="L118" s="10" t="n">
        <v>417004</v>
      </c>
      <c r="M118" s="10" t="n">
        <v>567856</v>
      </c>
      <c r="N118" s="10" t="n">
        <v>50339</v>
      </c>
      <c r="O118" s="10" t="n">
        <v>194550</v>
      </c>
      <c r="P118" s="10" t="n">
        <v>390088</v>
      </c>
      <c r="Q118" s="10" t="n">
        <v>60355</v>
      </c>
      <c r="R118" s="10" t="n">
        <v>168581</v>
      </c>
      <c r="S118" s="10" t="n">
        <v>55</v>
      </c>
      <c r="T118" s="10" t="n">
        <v>3738242</v>
      </c>
      <c r="U118" s="10" t="n">
        <v>653163</v>
      </c>
      <c r="V118" s="10" t="n">
        <v>309227</v>
      </c>
      <c r="W118" s="10" t="n">
        <v>658002</v>
      </c>
      <c r="X118" s="10" t="n">
        <v>762493</v>
      </c>
      <c r="Y118" s="10" t="n">
        <v>251635</v>
      </c>
      <c r="Z118" s="10" t="n">
        <v>217793</v>
      </c>
      <c r="AA118" s="10" t="n">
        <v>3828</v>
      </c>
      <c r="AB118" s="10" t="n">
        <v>1265269</v>
      </c>
      <c r="AC118" s="10" t="n">
        <v>452546</v>
      </c>
      <c r="AD118" s="10" t="n">
        <v>34723</v>
      </c>
      <c r="AE118" s="10" t="n">
        <v>2000</v>
      </c>
      <c r="AF118" s="10" t="n">
        <v>0</v>
      </c>
      <c r="AG118" s="10" t="n">
        <v>66920</v>
      </c>
      <c r="AH118" s="10" t="n">
        <v>151676</v>
      </c>
      <c r="AI118" s="10" t="n">
        <v>610292</v>
      </c>
      <c r="AJ118" s="10" t="n">
        <v>0</v>
      </c>
      <c r="AK118" s="10" t="n">
        <v>134294</v>
      </c>
      <c r="AL118" s="11" t="n">
        <v>188466</v>
      </c>
      <c r="AM118" s="10" t="n">
        <v>845949</v>
      </c>
      <c r="AN118" s="10" t="n">
        <v>273608</v>
      </c>
      <c r="AO118" s="10" t="n">
        <v>572341</v>
      </c>
      <c r="AP118" s="11" t="n">
        <v>67048464.3216226</v>
      </c>
      <c r="AQ118" s="12" t="n">
        <f aca="false">AM118-AN118-AO118</f>
        <v>0</v>
      </c>
    </row>
    <row r="119" customFormat="false" ht="15" hidden="false" customHeight="false" outlineLevel="0" collapsed="false">
      <c r="B119" s="8" t="s">
        <v>182</v>
      </c>
      <c r="C119" s="9" t="n">
        <v>2025</v>
      </c>
      <c r="D119" s="10" t="n">
        <v>2017722</v>
      </c>
      <c r="E119" s="10" t="n">
        <v>1721970</v>
      </c>
      <c r="F119" s="10" t="n">
        <v>3716604</v>
      </c>
      <c r="G119" s="10" t="n">
        <v>1105287</v>
      </c>
      <c r="H119" s="10" t="n">
        <v>15606</v>
      </c>
      <c r="I119" s="10" t="n">
        <v>117650</v>
      </c>
      <c r="J119" s="10" t="n">
        <v>0</v>
      </c>
      <c r="K119" s="10" t="n">
        <v>660609</v>
      </c>
      <c r="L119" s="10" t="n">
        <v>391196</v>
      </c>
      <c r="M119" s="10" t="n">
        <v>661196</v>
      </c>
      <c r="N119" s="10" t="n">
        <v>102677</v>
      </c>
      <c r="O119" s="10" t="n">
        <v>291548</v>
      </c>
      <c r="P119" s="10" t="n">
        <v>242228</v>
      </c>
      <c r="Q119" s="10" t="n">
        <v>33945</v>
      </c>
      <c r="R119" s="10" t="n">
        <v>295880</v>
      </c>
      <c r="S119" s="10" t="n">
        <v>14</v>
      </c>
      <c r="T119" s="10" t="n">
        <v>3896832</v>
      </c>
      <c r="U119" s="10" t="n">
        <v>651757</v>
      </c>
      <c r="V119" s="10" t="n">
        <v>328110</v>
      </c>
      <c r="W119" s="10" t="n">
        <v>577402</v>
      </c>
      <c r="X119" s="10" t="n">
        <v>837522</v>
      </c>
      <c r="Y119" s="10" t="n">
        <v>482306</v>
      </c>
      <c r="Z119" s="10" t="n">
        <v>247943</v>
      </c>
      <c r="AA119" s="10" t="n">
        <v>3828</v>
      </c>
      <c r="AB119" s="10" t="n">
        <v>1275278</v>
      </c>
      <c r="AC119" s="10" t="n">
        <v>411231</v>
      </c>
      <c r="AD119" s="10" t="n">
        <v>45403</v>
      </c>
      <c r="AE119" s="10" t="n">
        <v>2000</v>
      </c>
      <c r="AF119" s="10" t="n">
        <v>0</v>
      </c>
      <c r="AG119" s="10" t="n">
        <v>45661</v>
      </c>
      <c r="AH119" s="10" t="n">
        <v>107816</v>
      </c>
      <c r="AI119" s="10" t="n">
        <v>328091</v>
      </c>
      <c r="AJ119" s="10" t="n">
        <v>0</v>
      </c>
      <c r="AK119" s="10" t="n">
        <v>245183</v>
      </c>
      <c r="AL119" s="11" t="n">
        <v>190852</v>
      </c>
      <c r="AM119" s="10" t="n">
        <v>1696917</v>
      </c>
      <c r="AN119" s="10" t="n">
        <v>1034795</v>
      </c>
      <c r="AO119" s="10" t="n">
        <v>662123</v>
      </c>
      <c r="AP119" s="11" t="n">
        <v>70178001.9870515</v>
      </c>
      <c r="AQ119" s="12" t="n">
        <f aca="false">AM119-AN119-AO119</f>
        <v>-1</v>
      </c>
    </row>
    <row r="120" customFormat="false" ht="15" hidden="false" customHeight="false" outlineLevel="0" collapsed="false">
      <c r="B120" s="8" t="s">
        <v>183</v>
      </c>
      <c r="C120" s="9" t="n">
        <v>2025</v>
      </c>
      <c r="D120" s="10" t="n">
        <v>2345596</v>
      </c>
      <c r="E120" s="10" t="n">
        <v>934666</v>
      </c>
      <c r="F120" s="10" t="n">
        <v>3658124</v>
      </c>
      <c r="G120" s="10" t="n">
        <v>1054560</v>
      </c>
      <c r="H120" s="10" t="n">
        <v>457080</v>
      </c>
      <c r="I120" s="10" t="n">
        <v>117987</v>
      </c>
      <c r="J120" s="10" t="n">
        <v>0</v>
      </c>
      <c r="K120" s="10" t="n">
        <v>1197750</v>
      </c>
      <c r="L120" s="10" t="n">
        <v>388523</v>
      </c>
      <c r="M120" s="10" t="n">
        <v>675777</v>
      </c>
      <c r="N120" s="10" t="n">
        <v>96868</v>
      </c>
      <c r="O120" s="10" t="n">
        <v>228507</v>
      </c>
      <c r="P120" s="10" t="n">
        <v>259192</v>
      </c>
      <c r="Q120" s="10" t="n">
        <v>18640</v>
      </c>
      <c r="R120" s="10" t="n">
        <v>107571</v>
      </c>
      <c r="S120" s="10" t="n">
        <v>42383</v>
      </c>
      <c r="T120" s="10" t="n">
        <v>5693397</v>
      </c>
      <c r="U120" s="10" t="n">
        <v>684313</v>
      </c>
      <c r="V120" s="10" t="n">
        <v>502719</v>
      </c>
      <c r="W120" s="10" t="n">
        <v>656855</v>
      </c>
      <c r="X120" s="10" t="n">
        <v>474151</v>
      </c>
      <c r="Y120" s="10" t="n">
        <v>237272</v>
      </c>
      <c r="Z120" s="10" t="n">
        <v>169870</v>
      </c>
      <c r="AA120" s="10" t="n">
        <v>1321</v>
      </c>
      <c r="AB120" s="10" t="n">
        <v>1339245</v>
      </c>
      <c r="AC120" s="10" t="n">
        <v>334791</v>
      </c>
      <c r="AD120" s="10" t="n">
        <v>62250</v>
      </c>
      <c r="AE120" s="10" t="n">
        <v>12000</v>
      </c>
      <c r="AF120" s="10" t="n">
        <v>0</v>
      </c>
      <c r="AG120" s="10" t="n">
        <v>48351</v>
      </c>
      <c r="AH120" s="10" t="n">
        <v>153445</v>
      </c>
      <c r="AI120" s="10" t="n">
        <v>38041</v>
      </c>
      <c r="AJ120" s="10" t="n">
        <v>0</v>
      </c>
      <c r="AK120" s="10" t="n">
        <v>148460</v>
      </c>
      <c r="AL120" s="11" t="n">
        <v>236210</v>
      </c>
      <c r="AM120" s="10" t="n">
        <v>790533</v>
      </c>
      <c r="AN120" s="10" t="n">
        <v>239299</v>
      </c>
      <c r="AO120" s="10" t="n">
        <v>551234</v>
      </c>
      <c r="AP120" s="11" t="n">
        <v>71635507.2383455</v>
      </c>
      <c r="AQ120" s="12" t="n">
        <f aca="false">AM120-AN120-AO120</f>
        <v>0</v>
      </c>
    </row>
    <row r="121" customFormat="false" ht="15" hidden="false" customHeight="false" outlineLevel="0" collapsed="false">
      <c r="B121" s="8" t="s">
        <v>184</v>
      </c>
      <c r="C121" s="9" t="n">
        <v>2025</v>
      </c>
      <c r="D121" s="10" t="n">
        <v>2351669</v>
      </c>
      <c r="E121" s="10" t="n">
        <v>1065336</v>
      </c>
      <c r="F121" s="10" t="n">
        <v>5028168</v>
      </c>
      <c r="G121" s="10" t="n">
        <v>1276874</v>
      </c>
      <c r="H121" s="10" t="n">
        <v>41628</v>
      </c>
      <c r="I121" s="10" t="n">
        <v>121790</v>
      </c>
      <c r="J121" s="10" t="n">
        <v>0</v>
      </c>
      <c r="K121" s="10" t="n">
        <v>1141728</v>
      </c>
      <c r="L121" s="10" t="n">
        <v>479485</v>
      </c>
      <c r="M121" s="10" t="n">
        <v>625024</v>
      </c>
      <c r="N121" s="10" t="n">
        <v>111688</v>
      </c>
      <c r="O121" s="10" t="n">
        <v>292387</v>
      </c>
      <c r="P121" s="10" t="n">
        <v>350522</v>
      </c>
      <c r="Q121" s="10" t="n">
        <v>21887</v>
      </c>
      <c r="R121" s="10" t="n">
        <v>194741</v>
      </c>
      <c r="S121" s="10" t="n">
        <v>2949</v>
      </c>
      <c r="T121" s="10" t="n">
        <v>4370060</v>
      </c>
      <c r="U121" s="10" t="n">
        <v>692011</v>
      </c>
      <c r="V121" s="10" t="n">
        <v>337316</v>
      </c>
      <c r="W121" s="10" t="n">
        <v>705965</v>
      </c>
      <c r="X121" s="10" t="n">
        <v>961112</v>
      </c>
      <c r="Y121" s="10" t="n">
        <v>817062</v>
      </c>
      <c r="Z121" s="10" t="n">
        <v>258235</v>
      </c>
      <c r="AA121" s="10" t="n">
        <v>7170</v>
      </c>
      <c r="AB121" s="10" t="n">
        <v>1693146</v>
      </c>
      <c r="AC121" s="10" t="n">
        <v>461852</v>
      </c>
      <c r="AD121" s="10" t="n">
        <v>39316</v>
      </c>
      <c r="AE121" s="10" t="n">
        <v>7000</v>
      </c>
      <c r="AF121" s="10" t="n">
        <v>0</v>
      </c>
      <c r="AG121" s="10" t="n">
        <v>53799</v>
      </c>
      <c r="AH121" s="10" t="n">
        <v>120546</v>
      </c>
      <c r="AI121" s="10" t="n">
        <v>481413</v>
      </c>
      <c r="AJ121" s="10" t="n">
        <v>0</v>
      </c>
      <c r="AK121" s="10" t="n">
        <v>153279</v>
      </c>
      <c r="AL121" s="11" t="n">
        <v>197208</v>
      </c>
      <c r="AM121" s="10" t="n">
        <v>1749386</v>
      </c>
      <c r="AN121" s="10" t="n">
        <v>1917901</v>
      </c>
      <c r="AO121" s="10" t="n">
        <v>-168515</v>
      </c>
      <c r="AP121" s="11" t="n">
        <v>72449520.939346</v>
      </c>
      <c r="AQ121" s="12" t="n">
        <f aca="false">AM121-AN121-AO121</f>
        <v>0</v>
      </c>
    </row>
    <row r="122" customFormat="false" ht="15" hidden="false" customHeight="false" outlineLevel="0" collapsed="false">
      <c r="B122" s="8" t="s">
        <v>185</v>
      </c>
      <c r="C122" s="9" t="n">
        <v>2025</v>
      </c>
      <c r="D122" s="10" t="n">
        <v>2408372</v>
      </c>
      <c r="E122" s="10" t="n">
        <v>1080636</v>
      </c>
      <c r="F122" s="10" t="n">
        <v>3765603</v>
      </c>
      <c r="G122" s="10" t="n">
        <v>1228328</v>
      </c>
      <c r="H122" s="10" t="n">
        <v>42856</v>
      </c>
      <c r="I122" s="10" t="n">
        <v>136610</v>
      </c>
      <c r="J122" s="10" t="n">
        <v>0</v>
      </c>
      <c r="K122" s="10" t="n">
        <v>406574</v>
      </c>
      <c r="L122" s="10" t="n">
        <v>470677</v>
      </c>
      <c r="M122" s="10" t="n">
        <v>691301</v>
      </c>
      <c r="N122" s="10" t="n">
        <v>15355</v>
      </c>
      <c r="O122" s="10" t="n">
        <v>551388</v>
      </c>
      <c r="P122" s="10" t="n">
        <v>352964</v>
      </c>
      <c r="Q122" s="10" t="n">
        <v>10804</v>
      </c>
      <c r="R122" s="10" t="n">
        <v>204244</v>
      </c>
      <c r="S122" s="10" t="n">
        <v>356</v>
      </c>
      <c r="T122" s="10" t="n">
        <v>4141616</v>
      </c>
      <c r="U122" s="10" t="n">
        <v>688762</v>
      </c>
      <c r="V122" s="10" t="n">
        <v>327205</v>
      </c>
      <c r="W122" s="10" t="n">
        <v>609078</v>
      </c>
      <c r="X122" s="10" t="n">
        <v>515322</v>
      </c>
      <c r="Y122" s="10" t="n">
        <v>704711</v>
      </c>
      <c r="Z122" s="10" t="n">
        <v>217450</v>
      </c>
      <c r="AA122" s="10" t="n">
        <v>7170</v>
      </c>
      <c r="AB122" s="10" t="n">
        <v>1292966</v>
      </c>
      <c r="AC122" s="10" t="n">
        <v>457517</v>
      </c>
      <c r="AD122" s="10" t="n">
        <v>34484</v>
      </c>
      <c r="AE122" s="10" t="n">
        <v>7000</v>
      </c>
      <c r="AF122" s="10" t="n">
        <v>0</v>
      </c>
      <c r="AG122" s="10" t="n">
        <v>45713</v>
      </c>
      <c r="AH122" s="10" t="n">
        <v>61153</v>
      </c>
      <c r="AI122" s="10" t="n">
        <v>341231</v>
      </c>
      <c r="AJ122" s="10" t="n">
        <v>0</v>
      </c>
      <c r="AK122" s="10" t="n">
        <v>145538</v>
      </c>
      <c r="AL122" s="11" t="n">
        <v>212288</v>
      </c>
      <c r="AM122" s="10" t="n">
        <v>1556864</v>
      </c>
      <c r="AN122" s="10" t="n">
        <v>1166564</v>
      </c>
      <c r="AO122" s="10" t="n">
        <v>390301</v>
      </c>
      <c r="AP122" s="11" t="n">
        <v>73954202.6662826</v>
      </c>
      <c r="AQ122" s="12" t="n">
        <f aca="false">AM122-AN122-AO122</f>
        <v>-1</v>
      </c>
    </row>
    <row r="123" customFormat="false" ht="15" hidden="false" customHeight="false" outlineLevel="0" collapsed="false">
      <c r="B123" s="8" t="s">
        <v>186</v>
      </c>
      <c r="C123" s="9" t="n">
        <v>2025</v>
      </c>
      <c r="D123" s="10" t="n">
        <v>2513246</v>
      </c>
      <c r="E123" s="10" t="n">
        <v>954331</v>
      </c>
      <c r="F123" s="10" t="n">
        <v>3798285</v>
      </c>
      <c r="G123" s="10" t="n">
        <v>1183900</v>
      </c>
      <c r="H123" s="10" t="n">
        <v>38398</v>
      </c>
      <c r="I123" s="10" t="n">
        <v>116898</v>
      </c>
      <c r="J123" s="10" t="n">
        <v>0</v>
      </c>
      <c r="K123" s="10" t="n">
        <v>522190</v>
      </c>
      <c r="L123" s="10" t="n">
        <v>581750</v>
      </c>
      <c r="M123" s="10" t="n">
        <v>741960</v>
      </c>
      <c r="N123" s="10" t="n">
        <v>230577</v>
      </c>
      <c r="O123" s="10" t="n">
        <v>396885</v>
      </c>
      <c r="P123" s="10" t="n">
        <v>309136</v>
      </c>
      <c r="Q123" s="10" t="n">
        <v>5526</v>
      </c>
      <c r="R123" s="10" t="n">
        <v>212625</v>
      </c>
      <c r="S123" s="10" t="n">
        <v>28914</v>
      </c>
      <c r="T123" s="10" t="n">
        <v>4265341</v>
      </c>
      <c r="U123" s="10" t="n">
        <v>818321</v>
      </c>
      <c r="V123" s="10" t="n">
        <v>330451</v>
      </c>
      <c r="W123" s="10" t="n">
        <v>671312</v>
      </c>
      <c r="X123" s="10" t="n">
        <v>965234</v>
      </c>
      <c r="Y123" s="10" t="n">
        <v>700016</v>
      </c>
      <c r="Z123" s="10" t="n">
        <v>259996</v>
      </c>
      <c r="AA123" s="10" t="n">
        <v>9806</v>
      </c>
      <c r="AB123" s="10" t="n">
        <v>1263291</v>
      </c>
      <c r="AC123" s="10" t="n">
        <v>465390</v>
      </c>
      <c r="AD123" s="10" t="n">
        <v>46724</v>
      </c>
      <c r="AE123" s="10" t="n">
        <v>7000</v>
      </c>
      <c r="AF123" s="10" t="n">
        <v>0</v>
      </c>
      <c r="AG123" s="10" t="n">
        <v>35697</v>
      </c>
      <c r="AH123" s="10" t="n">
        <v>58401</v>
      </c>
      <c r="AI123" s="10" t="n">
        <v>378302</v>
      </c>
      <c r="AJ123" s="10" t="n">
        <v>0</v>
      </c>
      <c r="AK123" s="10" t="n">
        <v>178805</v>
      </c>
      <c r="AL123" s="11" t="n">
        <v>483569</v>
      </c>
      <c r="AM123" s="10" t="n">
        <v>696965</v>
      </c>
      <c r="AN123" s="10" t="n">
        <v>387342</v>
      </c>
      <c r="AO123" s="10" t="n">
        <v>309623</v>
      </c>
      <c r="AP123" s="11" t="n">
        <v>75596504.9541675</v>
      </c>
      <c r="AQ123" s="12" t="n">
        <f aca="false">AM123-AN123-AO123</f>
        <v>0</v>
      </c>
    </row>
    <row r="124" customFormat="false" ht="15" hidden="false" customHeight="false" outlineLevel="0" collapsed="false">
      <c r="B124" s="8" t="s">
        <v>187</v>
      </c>
      <c r="C124" s="9" t="n">
        <v>2025</v>
      </c>
      <c r="D124" s="10" t="n">
        <v>2628353</v>
      </c>
      <c r="E124" s="10" t="n">
        <v>1082138</v>
      </c>
      <c r="F124" s="10" t="n">
        <v>3876000</v>
      </c>
      <c r="G124" s="10" t="n">
        <v>1317466</v>
      </c>
      <c r="H124" s="10" t="n">
        <v>38098</v>
      </c>
      <c r="I124" s="10" t="n">
        <v>154733</v>
      </c>
      <c r="J124" s="10" t="n">
        <v>0</v>
      </c>
      <c r="K124" s="10" t="n">
        <v>276898</v>
      </c>
      <c r="L124" s="10" t="n">
        <v>660480</v>
      </c>
      <c r="M124" s="10" t="n">
        <v>752204</v>
      </c>
      <c r="N124" s="10" t="n">
        <v>102097</v>
      </c>
      <c r="O124" s="10" t="n">
        <v>430829</v>
      </c>
      <c r="P124" s="10" t="n">
        <v>399803</v>
      </c>
      <c r="Q124" s="10" t="n">
        <v>7926</v>
      </c>
      <c r="R124" s="10" t="n">
        <v>260077</v>
      </c>
      <c r="S124" s="10" t="n">
        <v>91</v>
      </c>
      <c r="T124" s="10" t="n">
        <v>4341679</v>
      </c>
      <c r="U124" s="10" t="n">
        <v>728476</v>
      </c>
      <c r="V124" s="10" t="n">
        <v>342647</v>
      </c>
      <c r="W124" s="10" t="n">
        <v>735411</v>
      </c>
      <c r="X124" s="10" t="n">
        <v>743157</v>
      </c>
      <c r="Y124" s="10" t="n">
        <v>780059</v>
      </c>
      <c r="Z124" s="10" t="n">
        <v>257979</v>
      </c>
      <c r="AA124" s="10" t="n">
        <v>3187</v>
      </c>
      <c r="AB124" s="10" t="n">
        <v>1416199</v>
      </c>
      <c r="AC124" s="10" t="n">
        <v>492163</v>
      </c>
      <c r="AD124" s="10" t="n">
        <v>65535</v>
      </c>
      <c r="AE124" s="10" t="n">
        <v>7000</v>
      </c>
      <c r="AF124" s="10" t="n">
        <v>0</v>
      </c>
      <c r="AG124" s="10" t="n">
        <v>48519</v>
      </c>
      <c r="AH124" s="10" t="n">
        <v>86449</v>
      </c>
      <c r="AI124" s="10" t="n">
        <v>693269</v>
      </c>
      <c r="AJ124" s="10" t="n">
        <v>0</v>
      </c>
      <c r="AK124" s="10" t="n">
        <v>125292</v>
      </c>
      <c r="AL124" s="11" t="n">
        <v>296247</v>
      </c>
      <c r="AM124" s="10" t="n">
        <v>823925</v>
      </c>
      <c r="AN124" s="10" t="n">
        <v>306253</v>
      </c>
      <c r="AO124" s="10" t="n">
        <v>517672</v>
      </c>
      <c r="AP124" s="11" t="n">
        <v>77600562.0807878</v>
      </c>
      <c r="AQ124" s="12" t="n">
        <f aca="false">AM124-AN124-AO124</f>
        <v>0</v>
      </c>
    </row>
    <row r="125" customFormat="false" ht="15" hidden="false" customHeight="false" outlineLevel="0" collapsed="false">
      <c r="B125" s="8" t="s">
        <v>188</v>
      </c>
      <c r="C125" s="9" t="n">
        <v>2025</v>
      </c>
      <c r="D125" s="10" t="n">
        <v>2461208</v>
      </c>
      <c r="E125" s="10" t="n">
        <v>1148632</v>
      </c>
      <c r="F125" s="10" t="n">
        <v>3949434</v>
      </c>
      <c r="G125" s="10" t="n">
        <v>1207571</v>
      </c>
      <c r="H125" s="10" t="n">
        <v>23712</v>
      </c>
      <c r="I125" s="10" t="n">
        <v>169961</v>
      </c>
      <c r="J125" s="10" t="n">
        <v>0</v>
      </c>
      <c r="K125" s="10" t="n">
        <v>240811</v>
      </c>
      <c r="L125" s="10" t="n">
        <v>477262</v>
      </c>
      <c r="M125" s="10" t="n">
        <v>709592</v>
      </c>
      <c r="N125" s="10" t="n">
        <v>115014</v>
      </c>
      <c r="O125" s="10" t="n">
        <v>379297</v>
      </c>
      <c r="P125" s="10" t="n">
        <v>315589</v>
      </c>
      <c r="Q125" s="10" t="n">
        <v>3600</v>
      </c>
      <c r="R125" s="10" t="n">
        <v>193219</v>
      </c>
      <c r="S125" s="10" t="n">
        <v>7749</v>
      </c>
      <c r="T125" s="10" t="n">
        <v>4447335</v>
      </c>
      <c r="U125" s="10" t="n">
        <v>754741</v>
      </c>
      <c r="V125" s="10" t="n">
        <v>342567</v>
      </c>
      <c r="W125" s="10" t="n">
        <v>509466</v>
      </c>
      <c r="X125" s="10" t="n">
        <v>443071</v>
      </c>
      <c r="Y125" s="10" t="n">
        <v>489082</v>
      </c>
      <c r="Z125" s="10" t="n">
        <v>209343</v>
      </c>
      <c r="AA125" s="10" t="n">
        <v>1801</v>
      </c>
      <c r="AB125" s="10" t="n">
        <v>1247830</v>
      </c>
      <c r="AC125" s="10" t="n">
        <v>309563</v>
      </c>
      <c r="AD125" s="10" t="n">
        <v>37569</v>
      </c>
      <c r="AE125" s="10" t="n">
        <v>13000</v>
      </c>
      <c r="AF125" s="10" t="n">
        <v>0</v>
      </c>
      <c r="AG125" s="10" t="n">
        <v>28913</v>
      </c>
      <c r="AH125" s="10" t="n">
        <v>59494</v>
      </c>
      <c r="AI125" s="10" t="n">
        <v>18149</v>
      </c>
      <c r="AJ125" s="10" t="n">
        <v>0</v>
      </c>
      <c r="AK125" s="10" t="n">
        <v>142756</v>
      </c>
      <c r="AL125" s="11" t="n">
        <v>219962</v>
      </c>
      <c r="AM125" s="10" t="n">
        <v>2128009</v>
      </c>
      <c r="AN125" s="10" t="n">
        <v>1528056</v>
      </c>
      <c r="AO125" s="10" t="n">
        <v>599954</v>
      </c>
      <c r="AP125" s="11" t="n">
        <v>79323839.1367452</v>
      </c>
      <c r="AQ125" s="12" t="n">
        <f aca="false">AM125-AN125-AO125</f>
        <v>-1</v>
      </c>
    </row>
    <row r="126" customFormat="false" ht="15" hidden="false" customHeight="false" outlineLevel="0" collapsed="false">
      <c r="B126" s="8" t="s">
        <v>189</v>
      </c>
      <c r="C126" s="9" t="n">
        <v>2025</v>
      </c>
      <c r="D126" s="10" t="n">
        <v>2531677</v>
      </c>
      <c r="E126" s="10" t="n">
        <v>1156709</v>
      </c>
      <c r="F126" s="10" t="n">
        <v>4089727</v>
      </c>
      <c r="G126" s="10" t="n">
        <v>1371037</v>
      </c>
      <c r="H126" s="10" t="n">
        <v>37184</v>
      </c>
      <c r="I126" s="10" t="n">
        <v>142092</v>
      </c>
      <c r="J126" s="10" t="n">
        <v>0</v>
      </c>
      <c r="K126" s="10" t="n">
        <v>310655</v>
      </c>
      <c r="L126" s="10" t="n">
        <v>494886</v>
      </c>
      <c r="M126" s="10" t="n">
        <v>865782</v>
      </c>
      <c r="N126" s="10" t="n">
        <v>127144</v>
      </c>
      <c r="O126" s="10" t="n">
        <v>344622</v>
      </c>
      <c r="P126" s="10" t="n">
        <v>419437</v>
      </c>
      <c r="Q126" s="10" t="n">
        <v>7125</v>
      </c>
      <c r="R126" s="10" t="n">
        <v>158295</v>
      </c>
      <c r="S126" s="10" t="n">
        <v>12499</v>
      </c>
      <c r="T126" s="10" t="n">
        <v>6753415</v>
      </c>
      <c r="U126" s="10" t="n">
        <v>821773</v>
      </c>
      <c r="V126" s="10" t="n">
        <v>633496</v>
      </c>
      <c r="W126" s="10" t="n">
        <v>762337</v>
      </c>
      <c r="X126" s="10" t="n">
        <v>1085696</v>
      </c>
      <c r="Y126" s="10" t="n">
        <v>735569</v>
      </c>
      <c r="Z126" s="10" t="n">
        <v>220524</v>
      </c>
      <c r="AA126" s="10" t="n">
        <v>1119</v>
      </c>
      <c r="AB126" s="10" t="n">
        <v>1865772</v>
      </c>
      <c r="AC126" s="10" t="n">
        <v>599760</v>
      </c>
      <c r="AD126" s="10" t="n">
        <v>35058</v>
      </c>
      <c r="AE126" s="10" t="n">
        <v>55500</v>
      </c>
      <c r="AF126" s="10" t="n">
        <v>0</v>
      </c>
      <c r="AG126" s="10" t="n">
        <v>42233</v>
      </c>
      <c r="AH126" s="10" t="n">
        <v>146150</v>
      </c>
      <c r="AI126" s="10" t="n">
        <v>499381</v>
      </c>
      <c r="AJ126" s="10" t="n">
        <v>0</v>
      </c>
      <c r="AK126" s="10" t="n">
        <v>223226</v>
      </c>
      <c r="AL126" s="11" t="n">
        <v>464312</v>
      </c>
      <c r="AM126" s="10" t="n">
        <v>-2876450</v>
      </c>
      <c r="AN126" s="10" t="n">
        <v>413852</v>
      </c>
      <c r="AO126" s="10" t="n">
        <v>-3290302</v>
      </c>
      <c r="AP126" s="11" t="n">
        <v>80028642.1152586</v>
      </c>
      <c r="AQ126" s="12" t="n">
        <f aca="false">AM126-AN126-AO126</f>
        <v>0</v>
      </c>
    </row>
    <row r="127" customFormat="false" ht="15" hidden="false" customHeight="false" outlineLevel="0" collapsed="false">
      <c r="B127" s="8" t="s">
        <v>190</v>
      </c>
      <c r="C127" s="9" t="n">
        <v>2026</v>
      </c>
      <c r="D127" s="10" t="n">
        <v>2855646</v>
      </c>
      <c r="E127" s="10" t="n">
        <v>1123551</v>
      </c>
      <c r="F127" s="10" t="n">
        <v>5576593</v>
      </c>
      <c r="G127" s="10" t="n">
        <v>1381393</v>
      </c>
      <c r="H127" s="10" t="n">
        <v>21581</v>
      </c>
      <c r="I127" s="10" t="n">
        <v>175600</v>
      </c>
      <c r="J127" s="10" t="n">
        <v>0</v>
      </c>
      <c r="K127" s="10" t="n">
        <v>427225</v>
      </c>
      <c r="L127" s="10" t="n">
        <v>469674</v>
      </c>
      <c r="M127" s="10" t="n">
        <v>666850</v>
      </c>
      <c r="N127" s="10" t="n">
        <v>124092</v>
      </c>
      <c r="O127" s="10" t="n">
        <v>134798</v>
      </c>
      <c r="P127" s="10" t="n">
        <v>380981</v>
      </c>
      <c r="Q127" s="10" t="n">
        <v>14188</v>
      </c>
      <c r="R127" s="10" t="n">
        <v>121208</v>
      </c>
      <c r="S127" s="10" t="n">
        <v>1043879</v>
      </c>
      <c r="T127" s="10" t="n">
        <v>4699344</v>
      </c>
      <c r="U127" s="10" t="n">
        <v>803531</v>
      </c>
      <c r="V127" s="10" t="n">
        <v>377726</v>
      </c>
      <c r="W127" s="10" t="n">
        <v>815419</v>
      </c>
      <c r="X127" s="10" t="n">
        <v>704721</v>
      </c>
      <c r="Y127" s="10" t="n">
        <v>822791</v>
      </c>
      <c r="Z127" s="10" t="n">
        <v>242348</v>
      </c>
      <c r="AA127" s="10" t="n">
        <v>2036</v>
      </c>
      <c r="AB127" s="10" t="n">
        <v>1582285</v>
      </c>
      <c r="AC127" s="10" t="n">
        <v>408028</v>
      </c>
      <c r="AD127" s="10" t="n">
        <v>60722</v>
      </c>
      <c r="AE127" s="10" t="n">
        <v>32000</v>
      </c>
      <c r="AF127" s="10" t="n">
        <v>0</v>
      </c>
      <c r="AG127" s="10" t="n">
        <v>84021</v>
      </c>
      <c r="AH127" s="10" t="n">
        <v>69292</v>
      </c>
      <c r="AI127" s="10" t="n">
        <v>387689</v>
      </c>
      <c r="AJ127" s="10" t="n">
        <v>0</v>
      </c>
      <c r="AK127" s="10" t="n">
        <v>155696</v>
      </c>
      <c r="AL127" s="11" t="n">
        <v>143873</v>
      </c>
      <c r="AM127" s="10" t="n">
        <v>3125737</v>
      </c>
      <c r="AN127" s="10" t="n">
        <v>2020578</v>
      </c>
      <c r="AO127" s="10" t="n">
        <v>1105159</v>
      </c>
      <c r="AP127" s="11" t="n">
        <v>79506239.964494</v>
      </c>
      <c r="AQ127" s="12" t="n">
        <f aca="false">AM127-AN127-AO127</f>
        <v>0</v>
      </c>
    </row>
    <row r="128" customFormat="false" ht="15" hidden="false" customHeight="false" outlineLevel="0" collapsed="false">
      <c r="B128" s="8" t="s">
        <v>191</v>
      </c>
      <c r="C128" s="9" t="n">
        <v>2026</v>
      </c>
      <c r="D128" s="10" t="n">
        <v>2493294</v>
      </c>
      <c r="E128" s="10" t="n">
        <v>1138014</v>
      </c>
      <c r="F128" s="10" t="n">
        <v>4384453</v>
      </c>
      <c r="G128" s="10" t="n">
        <v>1198409</v>
      </c>
      <c r="H128" s="10" t="n">
        <v>30386</v>
      </c>
      <c r="I128" s="10" t="n">
        <v>160415</v>
      </c>
      <c r="J128" s="10" t="n">
        <v>0</v>
      </c>
      <c r="K128" s="10" t="n">
        <v>417196</v>
      </c>
      <c r="L128" s="10" t="n">
        <v>353025</v>
      </c>
      <c r="M128" s="10" t="n">
        <v>757245</v>
      </c>
      <c r="N128" s="10" t="n">
        <v>69256</v>
      </c>
      <c r="O128" s="10" t="n">
        <v>277352</v>
      </c>
      <c r="P128" s="10" t="n">
        <v>325995</v>
      </c>
      <c r="Q128" s="10" t="n">
        <v>645</v>
      </c>
      <c r="R128" s="10" t="n">
        <v>184983</v>
      </c>
      <c r="S128" s="10" t="n">
        <v>2343</v>
      </c>
      <c r="T128" s="10" t="n">
        <v>4830097</v>
      </c>
      <c r="U128" s="10" t="n">
        <v>870218</v>
      </c>
      <c r="V128" s="10" t="n">
        <v>390372</v>
      </c>
      <c r="W128" s="10" t="n">
        <v>726985</v>
      </c>
      <c r="X128" s="10" t="n">
        <v>369515</v>
      </c>
      <c r="Y128" s="10" t="n">
        <v>348417</v>
      </c>
      <c r="Z128" s="10" t="n">
        <v>206070</v>
      </c>
      <c r="AA128" s="10" t="n">
        <v>0</v>
      </c>
      <c r="AB128" s="10" t="n">
        <v>1481390</v>
      </c>
      <c r="AC128" s="10" t="n">
        <v>308712</v>
      </c>
      <c r="AD128" s="10" t="n">
        <v>22125</v>
      </c>
      <c r="AE128" s="10" t="n">
        <v>0</v>
      </c>
      <c r="AF128" s="10" t="n">
        <v>0</v>
      </c>
      <c r="AG128" s="10" t="n">
        <v>1966</v>
      </c>
      <c r="AH128" s="10" t="n">
        <v>76513</v>
      </c>
      <c r="AI128" s="10" t="n">
        <v>400466</v>
      </c>
      <c r="AJ128" s="10" t="n">
        <v>0</v>
      </c>
      <c r="AK128" s="10" t="n">
        <v>130427</v>
      </c>
      <c r="AL128" s="11" t="n">
        <v>219098</v>
      </c>
      <c r="AM128" s="10" t="n">
        <v>1410640</v>
      </c>
      <c r="AN128" s="10" t="n">
        <v>1266218</v>
      </c>
      <c r="AO128" s="10" t="n">
        <v>144421</v>
      </c>
      <c r="AP128" s="11" t="n">
        <v>80236318.8434211</v>
      </c>
      <c r="AQ128" s="12" t="n">
        <f aca="false">AM128-AN128-AO128</f>
        <v>1</v>
      </c>
    </row>
    <row r="129" customFormat="false" ht="15" hidden="false" customHeight="false" outlineLevel="0" collapsed="false">
      <c r="B129" s="8" t="s">
        <v>192</v>
      </c>
      <c r="C129" s="9" t="n">
        <v>2026</v>
      </c>
      <c r="D129" s="10" t="n">
        <v>2558848</v>
      </c>
      <c r="E129" s="10" t="n">
        <v>761866</v>
      </c>
      <c r="F129" s="10" t="n">
        <v>4581731</v>
      </c>
      <c r="G129" s="10" t="n">
        <v>1279731</v>
      </c>
      <c r="H129" s="10" t="n">
        <v>14704</v>
      </c>
      <c r="I129" s="10" t="n">
        <v>152228</v>
      </c>
      <c r="J129" s="10" t="n">
        <v>0</v>
      </c>
      <c r="K129" s="10" t="n">
        <v>489859</v>
      </c>
      <c r="L129" s="10" t="n">
        <v>408756</v>
      </c>
      <c r="M129" s="10" t="n">
        <v>803535</v>
      </c>
      <c r="N129" s="10" t="n">
        <v>61067</v>
      </c>
      <c r="O129" s="10" t="n">
        <v>239859</v>
      </c>
      <c r="P129" s="10" t="n">
        <v>318219</v>
      </c>
      <c r="Q129" s="10" t="n">
        <v>6376</v>
      </c>
      <c r="R129" s="10" t="n">
        <v>145111</v>
      </c>
      <c r="S129" s="10" t="n">
        <v>19478</v>
      </c>
      <c r="T129" s="10" t="n">
        <v>4934590</v>
      </c>
      <c r="U129" s="10" t="n">
        <v>1296786</v>
      </c>
      <c r="V129" s="10" t="n">
        <v>400590</v>
      </c>
      <c r="W129" s="10" t="n">
        <v>602172</v>
      </c>
      <c r="X129" s="10" t="n">
        <v>820055</v>
      </c>
      <c r="Y129" s="10" t="n">
        <v>83443</v>
      </c>
      <c r="Z129" s="10" t="n">
        <v>174766</v>
      </c>
      <c r="AA129" s="10" t="n">
        <v>0</v>
      </c>
      <c r="AB129" s="10" t="n">
        <v>1441915</v>
      </c>
      <c r="AC129" s="10" t="n">
        <v>293711</v>
      </c>
      <c r="AD129" s="10" t="n">
        <v>36612</v>
      </c>
      <c r="AE129" s="10" t="n">
        <v>16000</v>
      </c>
      <c r="AF129" s="10" t="n">
        <v>0</v>
      </c>
      <c r="AG129" s="10" t="n">
        <v>171</v>
      </c>
      <c r="AH129" s="10" t="n">
        <v>59726</v>
      </c>
      <c r="AI129" s="10" t="n">
        <v>369370</v>
      </c>
      <c r="AJ129" s="10" t="n">
        <v>0</v>
      </c>
      <c r="AK129" s="10" t="n">
        <v>184742</v>
      </c>
      <c r="AL129" s="11" t="n">
        <v>196435</v>
      </c>
      <c r="AM129" s="10" t="n">
        <v>930284</v>
      </c>
      <c r="AN129" s="10" t="n">
        <v>445495</v>
      </c>
      <c r="AO129" s="10" t="n">
        <v>484789</v>
      </c>
      <c r="AP129" s="11" t="n">
        <v>83726386.6172043</v>
      </c>
      <c r="AQ129" s="12" t="n">
        <f aca="false">AM129-AN129-AO129</f>
        <v>0</v>
      </c>
    </row>
    <row r="130" customFormat="false" ht="15" hidden="false" customHeight="false" outlineLevel="0" collapsed="false">
      <c r="B130" s="8" t="s">
        <v>193</v>
      </c>
      <c r="C130" s="9" t="n">
        <v>2026</v>
      </c>
      <c r="D130" s="10" t="n">
        <v>2755454</v>
      </c>
      <c r="E130" s="10" t="n">
        <v>1008684</v>
      </c>
      <c r="F130" s="10" t="n">
        <v>4742205</v>
      </c>
      <c r="G130" s="10" t="n">
        <v>1399061</v>
      </c>
      <c r="H130" s="10" t="n">
        <v>25301</v>
      </c>
      <c r="I130" s="10" t="n">
        <v>137572</v>
      </c>
      <c r="J130" s="10" t="n">
        <v>0</v>
      </c>
      <c r="K130" s="10" t="n">
        <v>571579</v>
      </c>
      <c r="L130" s="10" t="n">
        <v>471403</v>
      </c>
      <c r="M130" s="10" t="n">
        <v>926011</v>
      </c>
      <c r="N130" s="10" t="n">
        <v>115226</v>
      </c>
      <c r="O130" s="10" t="n">
        <v>343591</v>
      </c>
      <c r="P130" s="10" t="n">
        <v>513275</v>
      </c>
      <c r="Q130" s="10" t="n">
        <v>3608</v>
      </c>
      <c r="R130" s="10" t="n">
        <v>317808</v>
      </c>
      <c r="S130" s="10" t="n">
        <v>81009</v>
      </c>
      <c r="T130" s="10" t="n">
        <v>5127453</v>
      </c>
      <c r="U130" s="10" t="n">
        <v>894383</v>
      </c>
      <c r="V130" s="10" t="n">
        <v>412620</v>
      </c>
      <c r="W130" s="10" t="n">
        <v>832522</v>
      </c>
      <c r="X130" s="10" t="n">
        <v>827880</v>
      </c>
      <c r="Y130" s="10" t="n">
        <v>833118</v>
      </c>
      <c r="Z130" s="10" t="n">
        <v>341077</v>
      </c>
      <c r="AA130" s="10" t="n">
        <v>933</v>
      </c>
      <c r="AB130" s="10" t="n">
        <v>1620999</v>
      </c>
      <c r="AC130" s="10" t="n">
        <v>596477</v>
      </c>
      <c r="AD130" s="10" t="n">
        <v>69541</v>
      </c>
      <c r="AE130" s="10" t="n">
        <v>20000</v>
      </c>
      <c r="AF130" s="10" t="n">
        <v>0</v>
      </c>
      <c r="AG130" s="10" t="n">
        <v>17385</v>
      </c>
      <c r="AH130" s="10" t="n">
        <v>48053</v>
      </c>
      <c r="AI130" s="10" t="n">
        <v>412546</v>
      </c>
      <c r="AJ130" s="10" t="n">
        <v>0</v>
      </c>
      <c r="AK130" s="10" t="n">
        <v>303295</v>
      </c>
      <c r="AL130" s="11" t="n">
        <v>420661</v>
      </c>
      <c r="AM130" s="10" t="n">
        <v>632844</v>
      </c>
      <c r="AN130" s="10" t="n">
        <v>364741</v>
      </c>
      <c r="AO130" s="10" t="n">
        <v>268103</v>
      </c>
      <c r="AP130" s="11" t="n">
        <v>90113610.0620959</v>
      </c>
      <c r="AQ130" s="12" t="n">
        <f aca="false">AM130-AN130-AO130</f>
        <v>0</v>
      </c>
    </row>
    <row r="131" customFormat="false" ht="15" hidden="false" customHeight="false" outlineLevel="0" collapsed="false">
      <c r="B131" s="8" t="s">
        <v>194</v>
      </c>
      <c r="C131" s="9" t="n">
        <v>2026</v>
      </c>
      <c r="D131" s="10" t="n">
        <v>2433370</v>
      </c>
      <c r="E131" s="10" t="n">
        <v>2970423</v>
      </c>
      <c r="F131" s="10" t="n">
        <v>4736191</v>
      </c>
      <c r="G131" s="10" t="n">
        <v>1419595</v>
      </c>
      <c r="H131" s="10" t="n">
        <v>27837</v>
      </c>
      <c r="I131" s="10" t="n">
        <v>135477</v>
      </c>
      <c r="J131" s="10" t="n">
        <v>0</v>
      </c>
      <c r="K131" s="10" t="n">
        <v>545337</v>
      </c>
      <c r="L131" s="10" t="n">
        <v>394152</v>
      </c>
      <c r="M131" s="10" t="n">
        <v>872399</v>
      </c>
      <c r="N131" s="10" t="n">
        <v>157659</v>
      </c>
      <c r="O131" s="10" t="n">
        <v>277880</v>
      </c>
      <c r="P131" s="10" t="n">
        <v>380800</v>
      </c>
      <c r="Q131" s="10" t="n">
        <v>9515</v>
      </c>
      <c r="R131" s="10" t="n">
        <v>157201</v>
      </c>
      <c r="S131" s="10" t="n">
        <v>13820</v>
      </c>
      <c r="T131" s="10" t="n">
        <v>5253082</v>
      </c>
      <c r="U131" s="10" t="n">
        <v>900085</v>
      </c>
      <c r="V131" s="10" t="n">
        <v>424468</v>
      </c>
      <c r="W131" s="10" t="n">
        <v>850633</v>
      </c>
      <c r="X131" s="10" t="n">
        <v>953150</v>
      </c>
      <c r="Y131" s="10" t="n">
        <v>523417</v>
      </c>
      <c r="Z131" s="10" t="n">
        <v>258687</v>
      </c>
      <c r="AA131" s="10" t="n">
        <v>2073</v>
      </c>
      <c r="AB131" s="10" t="n">
        <v>1618197</v>
      </c>
      <c r="AC131" s="10" t="n">
        <v>471191</v>
      </c>
      <c r="AD131" s="10" t="n">
        <v>86624</v>
      </c>
      <c r="AE131" s="10" t="n">
        <v>47167</v>
      </c>
      <c r="AF131" s="10" t="n">
        <v>0</v>
      </c>
      <c r="AG131" s="10" t="n">
        <v>16971</v>
      </c>
      <c r="AH131" s="10" t="n">
        <v>9537</v>
      </c>
      <c r="AI131" s="10" t="n">
        <v>780000</v>
      </c>
      <c r="AJ131" s="10" t="n">
        <v>0</v>
      </c>
      <c r="AK131" s="10" t="n">
        <v>228489</v>
      </c>
      <c r="AL131" s="11" t="n">
        <v>183518</v>
      </c>
      <c r="AM131" s="10" t="n">
        <v>1924367</v>
      </c>
      <c r="AN131" s="10" t="n">
        <v>1445754</v>
      </c>
      <c r="AO131" s="10" t="n">
        <v>478613</v>
      </c>
      <c r="AP131" s="11" t="n">
        <v>94319730.8093861</v>
      </c>
      <c r="AQ131" s="12" t="n">
        <f aca="false">AM131-AN131-AO131</f>
        <v>0</v>
      </c>
    </row>
    <row r="133" customFormat="false" ht="15" hidden="false" customHeight="false" outlineLevel="0" collapsed="false">
      <c r="B133" s="13" t="s">
        <v>195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AF1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1"/>
    <col collapsed="false" customWidth="true" hidden="false" outlineLevel="0" max="32" min="3" style="0" width="13"/>
  </cols>
  <sheetData>
    <row r="2" customFormat="false" ht="25.5" hidden="false" customHeight="true" outlineLevel="0" collapsed="false">
      <c r="B2" s="1" t="s">
        <v>196</v>
      </c>
    </row>
    <row r="3" customFormat="false" ht="15" hidden="false" customHeight="false" outlineLevel="0" collapsed="false">
      <c r="B3" s="2" t="s">
        <v>197</v>
      </c>
    </row>
    <row r="6" customFormat="false" ht="42" hidden="false" customHeight="true" outlineLevel="0" collapsed="false">
      <c r="B6" s="6" t="s">
        <v>28</v>
      </c>
      <c r="C6" s="7" t="s">
        <v>198</v>
      </c>
      <c r="D6" s="7" t="s">
        <v>199</v>
      </c>
      <c r="E6" s="7" t="s">
        <v>200</v>
      </c>
      <c r="F6" s="7" t="s">
        <v>201</v>
      </c>
      <c r="G6" s="7" t="s">
        <v>202</v>
      </c>
      <c r="H6" s="7" t="s">
        <v>203</v>
      </c>
      <c r="I6" s="7" t="s">
        <v>204</v>
      </c>
      <c r="J6" s="7" t="s">
        <v>205</v>
      </c>
      <c r="K6" s="7" t="s">
        <v>206</v>
      </c>
      <c r="L6" s="7" t="s">
        <v>207</v>
      </c>
      <c r="M6" s="7" t="s">
        <v>208</v>
      </c>
      <c r="N6" s="7" t="s">
        <v>209</v>
      </c>
      <c r="O6" s="7" t="s">
        <v>210</v>
      </c>
      <c r="P6" s="7" t="s">
        <v>211</v>
      </c>
      <c r="Q6" s="7" t="s">
        <v>212</v>
      </c>
      <c r="R6" s="7" t="s">
        <v>213</v>
      </c>
      <c r="S6" s="7" t="s">
        <v>214</v>
      </c>
      <c r="T6" s="7" t="s">
        <v>215</v>
      </c>
      <c r="U6" s="7" t="s">
        <v>216</v>
      </c>
      <c r="V6" s="7" t="s">
        <v>217</v>
      </c>
      <c r="W6" s="7" t="s">
        <v>218</v>
      </c>
      <c r="X6" s="7" t="s">
        <v>219</v>
      </c>
      <c r="Y6" s="7" t="s">
        <v>220</v>
      </c>
      <c r="Z6" s="7" t="s">
        <v>221</v>
      </c>
      <c r="AA6" s="7" t="s">
        <v>222</v>
      </c>
      <c r="AB6" s="7" t="s">
        <v>223</v>
      </c>
      <c r="AC6" s="7" t="s">
        <v>224</v>
      </c>
      <c r="AD6" s="7" t="s">
        <v>225</v>
      </c>
      <c r="AE6" s="7" t="s">
        <v>226</v>
      </c>
      <c r="AF6" s="7" t="s">
        <v>227</v>
      </c>
    </row>
    <row r="7" customFormat="false" ht="15" hidden="false" customHeight="false" outlineLevel="0" collapsed="false">
      <c r="B7" s="14" t="str">
        <f aca="false">Data!B7</f>
        <v>2016-01</v>
      </c>
      <c r="C7" s="15" t="n">
        <f aca="false">Data!D7+Data!E7+Data!F7+Data!G7+Data!H7+Data!I7+Data!J7+Data!K7+Data!L7+Data!M7+Data!N7+Data!O7+Data!P7+Data!Q7+Data!R7+Data!S7</f>
        <v>121621</v>
      </c>
      <c r="D7" s="16" t="n">
        <f aca="false">Data!D7+Data!E7+Data!G7+Data!H7+Data!I7+Data!J7+Data!K7+Data!L7+Data!M7</f>
        <v>65508</v>
      </c>
      <c r="E7" s="16" t="n">
        <f aca="false">Data!D7</f>
        <v>20467</v>
      </c>
      <c r="F7" s="16" t="n">
        <f aca="false">Data!E7</f>
        <v>20340</v>
      </c>
      <c r="G7" s="16" t="n">
        <f aca="false">Data!K7</f>
        <v>5103</v>
      </c>
      <c r="H7" s="16" t="n">
        <f aca="false">Data!L7</f>
        <v>3846</v>
      </c>
      <c r="I7" s="16" t="n">
        <f aca="false">Data!G7</f>
        <v>7765</v>
      </c>
      <c r="J7" s="16" t="n">
        <f aca="false">Data!H7+Data!I7+Data!J7+Data!M7</f>
        <v>7987</v>
      </c>
      <c r="K7" s="16" t="n">
        <f aca="false">Data!F7</f>
        <v>50824</v>
      </c>
      <c r="L7" s="16" t="n">
        <f aca="false">Data!N7+Data!O7+Data!P7+Data!Q7+Data!R7+Data!S7</f>
        <v>5289</v>
      </c>
      <c r="M7" s="15" t="n">
        <f aca="false">Data!T7+Data!U7+Data!V7+Data!W7+Data!X7+Data!Y7+Data!Z7+Data!AA7+Data!AB7+Data!AC7+Data!AD7+Data!AE7+Data!AF7+Data!AG7+Data!AH7+Data!AI7+Data!AJ7+Data!AK7+Data!AL7</f>
        <v>120880</v>
      </c>
      <c r="N7" s="16" t="n">
        <f aca="false">Data!T7+Data!U7+Data!V7+Data!W7</f>
        <v>62642</v>
      </c>
      <c r="O7" s="16" t="n">
        <f aca="false">Data!T7</f>
        <v>44935</v>
      </c>
      <c r="P7" s="16" t="n">
        <f aca="false">Data!U7</f>
        <v>5000</v>
      </c>
      <c r="Q7" s="16" t="n">
        <f aca="false">Data!V7</f>
        <v>7270</v>
      </c>
      <c r="R7" s="16" t="n">
        <f aca="false">Data!W7</f>
        <v>5437</v>
      </c>
      <c r="S7" s="16" t="n">
        <f aca="false">Data!X7</f>
        <v>1052</v>
      </c>
      <c r="T7" s="16" t="n">
        <f aca="false">Data!Y7+Data!Z7+Data!AA7</f>
        <v>9624</v>
      </c>
      <c r="U7" s="16" t="n">
        <f aca="false">Data!Y7</f>
        <v>3754</v>
      </c>
      <c r="V7" s="16" t="n">
        <f aca="false">Data!Z7</f>
        <v>5732</v>
      </c>
      <c r="W7" s="16" t="n">
        <f aca="false">Data!AB7</f>
        <v>19099</v>
      </c>
      <c r="X7" s="16" t="n">
        <f aca="false">Data!AC7</f>
        <v>4448</v>
      </c>
      <c r="Y7" s="16" t="n">
        <f aca="false">Data!AD7+Data!AE7+Data!AF7+Data!AG7+Data!AH7</f>
        <v>1654</v>
      </c>
      <c r="Z7" s="16" t="n">
        <f aca="false">Data!AI7</f>
        <v>4411</v>
      </c>
      <c r="AA7" s="16" t="n">
        <f aca="false">Data!AJ7</f>
        <v>281</v>
      </c>
      <c r="AB7" s="16" t="n">
        <f aca="false">Data!AK7</f>
        <v>2817</v>
      </c>
      <c r="AC7" s="16" t="n">
        <f aca="false">Data!AL7</f>
        <v>14852</v>
      </c>
      <c r="AD7" s="15" t="n">
        <f aca="false">Data!AM7</f>
        <v>741</v>
      </c>
      <c r="AE7" s="16" t="n">
        <f aca="false">Data!AN7</f>
        <v>2938</v>
      </c>
      <c r="AF7" s="15" t="n">
        <f aca="false">Data!AO7</f>
        <v>-2197</v>
      </c>
    </row>
    <row r="8" customFormat="false" ht="15" hidden="false" customHeight="false" outlineLevel="0" collapsed="false">
      <c r="B8" s="14" t="str">
        <f aca="false">Data!B8</f>
        <v>2016-02</v>
      </c>
      <c r="C8" s="15" t="n">
        <f aca="false">Data!D8+Data!E8+Data!F8+Data!G8+Data!H8+Data!I8+Data!J8+Data!K8+Data!L8+Data!M8+Data!N8+Data!O8+Data!P8+Data!Q8+Data!R8+Data!S8</f>
        <v>100678</v>
      </c>
      <c r="D8" s="16" t="n">
        <f aca="false">Data!D8+Data!E8+Data!G8+Data!H8+Data!I8+Data!J8+Data!K8+Data!L8+Data!M8</f>
        <v>58595</v>
      </c>
      <c r="E8" s="16" t="n">
        <f aca="false">Data!D8</f>
        <v>20110</v>
      </c>
      <c r="F8" s="16" t="n">
        <f aca="false">Data!E8</f>
        <v>15531</v>
      </c>
      <c r="G8" s="16" t="n">
        <f aca="false">Data!K8</f>
        <v>3512</v>
      </c>
      <c r="H8" s="16" t="n">
        <f aca="false">Data!L8</f>
        <v>3679</v>
      </c>
      <c r="I8" s="16" t="n">
        <f aca="false">Data!G8</f>
        <v>7233</v>
      </c>
      <c r="J8" s="16" t="n">
        <f aca="false">Data!H8+Data!I8+Data!J8+Data!M8</f>
        <v>8530</v>
      </c>
      <c r="K8" s="16" t="n">
        <f aca="false">Data!F8</f>
        <v>37246</v>
      </c>
      <c r="L8" s="16" t="n">
        <f aca="false">Data!N8+Data!O8+Data!P8+Data!Q8+Data!R8+Data!S8</f>
        <v>4837</v>
      </c>
      <c r="M8" s="15" t="n">
        <f aca="false">Data!T8+Data!U8+Data!V8+Data!W8+Data!X8+Data!Y8+Data!Z8+Data!AA8+Data!AB8+Data!AC8+Data!AD8+Data!AE8+Data!AF8+Data!AG8+Data!AH8+Data!AI8+Data!AJ8+Data!AK8+Data!AL8</f>
        <v>117320</v>
      </c>
      <c r="N8" s="16" t="n">
        <f aca="false">Data!T8+Data!U8+Data!V8+Data!W8</f>
        <v>56462</v>
      </c>
      <c r="O8" s="16" t="n">
        <f aca="false">Data!T8</f>
        <v>40460</v>
      </c>
      <c r="P8" s="16" t="n">
        <f aca="false">Data!U8</f>
        <v>5842</v>
      </c>
      <c r="Q8" s="16" t="n">
        <f aca="false">Data!V8</f>
        <v>4493</v>
      </c>
      <c r="R8" s="16" t="n">
        <f aca="false">Data!W8</f>
        <v>5667</v>
      </c>
      <c r="S8" s="16" t="n">
        <f aca="false">Data!X8</f>
        <v>2302</v>
      </c>
      <c r="T8" s="16" t="n">
        <f aca="false">Data!Y8+Data!Z8+Data!AA8</f>
        <v>11500</v>
      </c>
      <c r="U8" s="16" t="n">
        <f aca="false">Data!Y8</f>
        <v>6464</v>
      </c>
      <c r="V8" s="16" t="n">
        <f aca="false">Data!Z8</f>
        <v>4963</v>
      </c>
      <c r="W8" s="16" t="n">
        <f aca="false">Data!AB8</f>
        <v>19032</v>
      </c>
      <c r="X8" s="16" t="n">
        <f aca="false">Data!AC8</f>
        <v>4943</v>
      </c>
      <c r="Y8" s="16" t="n">
        <f aca="false">Data!AD8+Data!AE8+Data!AF8+Data!AG8+Data!AH8</f>
        <v>1428</v>
      </c>
      <c r="Z8" s="16" t="n">
        <f aca="false">Data!AI8</f>
        <v>4187</v>
      </c>
      <c r="AA8" s="16" t="n">
        <f aca="false">Data!AJ8</f>
        <v>1976</v>
      </c>
      <c r="AB8" s="16" t="n">
        <f aca="false">Data!AK8</f>
        <v>5761</v>
      </c>
      <c r="AC8" s="16" t="n">
        <f aca="false">Data!AL8</f>
        <v>9729</v>
      </c>
      <c r="AD8" s="15" t="n">
        <f aca="false">Data!AM8</f>
        <v>-16642</v>
      </c>
      <c r="AE8" s="16" t="n">
        <f aca="false">Data!AN8</f>
        <v>3894</v>
      </c>
      <c r="AF8" s="15" t="n">
        <f aca="false">Data!AO8</f>
        <v>-20537</v>
      </c>
    </row>
    <row r="9" customFormat="false" ht="15" hidden="false" customHeight="false" outlineLevel="0" collapsed="false">
      <c r="B9" s="14" t="str">
        <f aca="false">Data!B9</f>
        <v>2016-03</v>
      </c>
      <c r="C9" s="15" t="n">
        <f aca="false">Data!D9+Data!E9+Data!F9+Data!G9+Data!H9+Data!I9+Data!J9+Data!K9+Data!L9+Data!M9+Data!N9+Data!O9+Data!P9+Data!Q9+Data!R9+Data!S9</f>
        <v>108833</v>
      </c>
      <c r="D9" s="16" t="n">
        <f aca="false">Data!D9+Data!E9+Data!G9+Data!H9+Data!I9+Data!J9+Data!K9+Data!L9+Data!M9</f>
        <v>61827</v>
      </c>
      <c r="E9" s="16" t="n">
        <f aca="false">Data!D9</f>
        <v>21943</v>
      </c>
      <c r="F9" s="16" t="n">
        <f aca="false">Data!E9</f>
        <v>12671</v>
      </c>
      <c r="G9" s="16" t="n">
        <f aca="false">Data!K9</f>
        <v>6750</v>
      </c>
      <c r="H9" s="16" t="n">
        <f aca="false">Data!L9</f>
        <v>4680</v>
      </c>
      <c r="I9" s="16" t="n">
        <f aca="false">Data!G9</f>
        <v>7891</v>
      </c>
      <c r="J9" s="16" t="n">
        <f aca="false">Data!H9+Data!I9+Data!J9+Data!M9</f>
        <v>7892</v>
      </c>
      <c r="K9" s="16" t="n">
        <f aca="false">Data!F9</f>
        <v>37907</v>
      </c>
      <c r="L9" s="16" t="n">
        <f aca="false">Data!N9+Data!O9+Data!P9+Data!Q9+Data!R9+Data!S9</f>
        <v>9099</v>
      </c>
      <c r="M9" s="15" t="n">
        <f aca="false">Data!T9+Data!U9+Data!V9+Data!W9+Data!X9+Data!Y9+Data!Z9+Data!AA9+Data!AB9+Data!AC9+Data!AD9+Data!AE9+Data!AF9+Data!AG9+Data!AH9+Data!AI9+Data!AJ9+Data!AK9+Data!AL9</f>
        <v>138845</v>
      </c>
      <c r="N9" s="16" t="n">
        <f aca="false">Data!T9+Data!U9+Data!V9+Data!W9</f>
        <v>71248</v>
      </c>
      <c r="O9" s="16" t="n">
        <f aca="false">Data!T9</f>
        <v>47092</v>
      </c>
      <c r="P9" s="16" t="n">
        <f aca="false">Data!U9</f>
        <v>12034</v>
      </c>
      <c r="Q9" s="16" t="n">
        <f aca="false">Data!V9</f>
        <v>6211</v>
      </c>
      <c r="R9" s="16" t="n">
        <f aca="false">Data!W9</f>
        <v>5911</v>
      </c>
      <c r="S9" s="16" t="n">
        <f aca="false">Data!X9</f>
        <v>1475</v>
      </c>
      <c r="T9" s="16" t="n">
        <f aca="false">Data!Y9+Data!Z9+Data!AA9</f>
        <v>14823</v>
      </c>
      <c r="U9" s="16" t="n">
        <f aca="false">Data!Y9</f>
        <v>8585</v>
      </c>
      <c r="V9" s="16" t="n">
        <f aca="false">Data!Z9</f>
        <v>6181</v>
      </c>
      <c r="W9" s="16" t="n">
        <f aca="false">Data!AB9</f>
        <v>18491</v>
      </c>
      <c r="X9" s="16" t="n">
        <f aca="false">Data!AC9</f>
        <v>5162</v>
      </c>
      <c r="Y9" s="16" t="n">
        <f aca="false">Data!AD9+Data!AE9+Data!AF9+Data!AG9+Data!AH9</f>
        <v>4105</v>
      </c>
      <c r="Z9" s="16" t="n">
        <f aca="false">Data!AI9</f>
        <v>4324</v>
      </c>
      <c r="AA9" s="16" t="n">
        <f aca="false">Data!AJ9</f>
        <v>605</v>
      </c>
      <c r="AB9" s="16" t="n">
        <f aca="false">Data!AK9</f>
        <v>5776</v>
      </c>
      <c r="AC9" s="16" t="n">
        <f aca="false">Data!AL9</f>
        <v>12836</v>
      </c>
      <c r="AD9" s="15" t="n">
        <f aca="false">Data!AM9</f>
        <v>-30012</v>
      </c>
      <c r="AE9" s="16" t="n">
        <f aca="false">Data!AN9</f>
        <v>11820</v>
      </c>
      <c r="AF9" s="15" t="n">
        <f aca="false">Data!AO9</f>
        <v>-41832</v>
      </c>
    </row>
    <row r="10" customFormat="false" ht="15" hidden="false" customHeight="false" outlineLevel="0" collapsed="false">
      <c r="B10" s="14" t="str">
        <f aca="false">Data!B10</f>
        <v>2016-04</v>
      </c>
      <c r="C10" s="15" t="n">
        <f aca="false">Data!D10+Data!E10+Data!F10+Data!G10+Data!H10+Data!I10+Data!J10+Data!K10+Data!L10+Data!M10+Data!N10+Data!O10+Data!P10+Data!Q10+Data!R10+Data!S10</f>
        <v>118147</v>
      </c>
      <c r="D10" s="16" t="n">
        <f aca="false">Data!D10+Data!E10+Data!G10+Data!H10+Data!I10+Data!J10+Data!K10+Data!L10+Data!M10</f>
        <v>69273</v>
      </c>
      <c r="E10" s="16" t="n">
        <f aca="false">Data!D10</f>
        <v>22904</v>
      </c>
      <c r="F10" s="16" t="n">
        <f aca="false">Data!E10</f>
        <v>11898</v>
      </c>
      <c r="G10" s="16" t="n">
        <f aca="false">Data!K10</f>
        <v>12214</v>
      </c>
      <c r="H10" s="16" t="n">
        <f aca="false">Data!L10</f>
        <v>4630</v>
      </c>
      <c r="I10" s="16" t="n">
        <f aca="false">Data!G10</f>
        <v>8815</v>
      </c>
      <c r="J10" s="16" t="n">
        <f aca="false">Data!H10+Data!I10+Data!J10+Data!M10</f>
        <v>8812</v>
      </c>
      <c r="K10" s="16" t="n">
        <f aca="false">Data!F10</f>
        <v>42731</v>
      </c>
      <c r="L10" s="16" t="n">
        <f aca="false">Data!N10+Data!O10+Data!P10+Data!Q10+Data!R10+Data!S10</f>
        <v>6143</v>
      </c>
      <c r="M10" s="15" t="n">
        <f aca="false">Data!T10+Data!U10+Data!V10+Data!W10+Data!X10+Data!Y10+Data!Z10+Data!AA10+Data!AB10+Data!AC10+Data!AD10+Data!AE10+Data!AF10+Data!AG10+Data!AH10+Data!AI10+Data!AJ10+Data!AK10+Data!AL10</f>
        <v>129040</v>
      </c>
      <c r="N10" s="16" t="n">
        <f aca="false">Data!T10+Data!U10+Data!V10+Data!W10</f>
        <v>66942</v>
      </c>
      <c r="O10" s="16" t="n">
        <f aca="false">Data!T10</f>
        <v>47795</v>
      </c>
      <c r="P10" s="16" t="n">
        <f aca="false">Data!U10</f>
        <v>7707</v>
      </c>
      <c r="Q10" s="16" t="n">
        <f aca="false">Data!V10</f>
        <v>6169</v>
      </c>
      <c r="R10" s="16" t="n">
        <f aca="false">Data!W10</f>
        <v>5271</v>
      </c>
      <c r="S10" s="16" t="n">
        <f aca="false">Data!X10</f>
        <v>2081</v>
      </c>
      <c r="T10" s="16" t="n">
        <f aca="false">Data!Y10+Data!Z10+Data!AA10</f>
        <v>15180</v>
      </c>
      <c r="U10" s="16" t="n">
        <f aca="false">Data!Y10</f>
        <v>8525</v>
      </c>
      <c r="V10" s="16" t="n">
        <f aca="false">Data!Z10</f>
        <v>6489</v>
      </c>
      <c r="W10" s="16" t="n">
        <f aca="false">Data!AB10</f>
        <v>16944</v>
      </c>
      <c r="X10" s="16" t="n">
        <f aca="false">Data!AC10</f>
        <v>5068</v>
      </c>
      <c r="Y10" s="16" t="n">
        <f aca="false">Data!AD10+Data!AE10+Data!AF10+Data!AG10+Data!AH10</f>
        <v>2731</v>
      </c>
      <c r="Z10" s="16" t="n">
        <f aca="false">Data!AI10</f>
        <v>4628</v>
      </c>
      <c r="AA10" s="16" t="n">
        <f aca="false">Data!AJ10</f>
        <v>151</v>
      </c>
      <c r="AB10" s="16" t="n">
        <f aca="false">Data!AK10</f>
        <v>3365</v>
      </c>
      <c r="AC10" s="16" t="n">
        <f aca="false">Data!AL10</f>
        <v>11950</v>
      </c>
      <c r="AD10" s="15" t="n">
        <f aca="false">Data!AM10</f>
        <v>-10893</v>
      </c>
      <c r="AE10" s="16" t="n">
        <f aca="false">Data!AN10</f>
        <v>6181</v>
      </c>
      <c r="AF10" s="15" t="n">
        <f aca="false">Data!AO10</f>
        <v>-17075</v>
      </c>
    </row>
    <row r="11" customFormat="false" ht="15" hidden="false" customHeight="false" outlineLevel="0" collapsed="false">
      <c r="B11" s="14" t="str">
        <f aca="false">Data!B11</f>
        <v>2016-05</v>
      </c>
      <c r="C11" s="15" t="n">
        <f aca="false">Data!D11+Data!E11+Data!F11+Data!G11+Data!H11+Data!I11+Data!J11+Data!K11+Data!L11+Data!M11+Data!N11+Data!O11+Data!P11+Data!Q11+Data!R11+Data!S11</f>
        <v>137025</v>
      </c>
      <c r="D11" s="16" t="n">
        <f aca="false">Data!D11+Data!E11+Data!G11+Data!H11+Data!I11+Data!J11+Data!K11+Data!L11+Data!M11</f>
        <v>86493</v>
      </c>
      <c r="E11" s="16" t="n">
        <f aca="false">Data!D11</f>
        <v>26738</v>
      </c>
      <c r="F11" s="16" t="n">
        <f aca="false">Data!E11</f>
        <v>25961</v>
      </c>
      <c r="G11" s="16" t="n">
        <f aca="false">Data!K11</f>
        <v>8199</v>
      </c>
      <c r="H11" s="16" t="n">
        <f aca="false">Data!L11</f>
        <v>4519</v>
      </c>
      <c r="I11" s="16" t="n">
        <f aca="false">Data!G11</f>
        <v>8919</v>
      </c>
      <c r="J11" s="16" t="n">
        <f aca="false">Data!H11+Data!I11+Data!J11+Data!M11</f>
        <v>12157</v>
      </c>
      <c r="K11" s="16" t="n">
        <f aca="false">Data!F11</f>
        <v>42640</v>
      </c>
      <c r="L11" s="16" t="n">
        <f aca="false">Data!N11+Data!O11+Data!P11+Data!Q11+Data!R11+Data!S11</f>
        <v>7892</v>
      </c>
      <c r="M11" s="15" t="n">
        <f aca="false">Data!T11+Data!U11+Data!V11+Data!W11+Data!X11+Data!Y11+Data!Z11+Data!AA11+Data!AB11+Data!AC11+Data!AD11+Data!AE11+Data!AF11+Data!AG11+Data!AH11+Data!AI11+Data!AJ11+Data!AK11+Data!AL11</f>
        <v>148999</v>
      </c>
      <c r="N11" s="16" t="n">
        <f aca="false">Data!T11+Data!U11+Data!V11+Data!W11</f>
        <v>72464</v>
      </c>
      <c r="O11" s="16" t="n">
        <f aca="false">Data!T11</f>
        <v>48802</v>
      </c>
      <c r="P11" s="16" t="n">
        <f aca="false">Data!U11</f>
        <v>10586</v>
      </c>
      <c r="Q11" s="16" t="n">
        <f aca="false">Data!V11</f>
        <v>7183</v>
      </c>
      <c r="R11" s="16" t="n">
        <f aca="false">Data!W11</f>
        <v>5893</v>
      </c>
      <c r="S11" s="16" t="n">
        <f aca="false">Data!X11</f>
        <v>2296</v>
      </c>
      <c r="T11" s="16" t="n">
        <f aca="false">Data!Y11+Data!Z11+Data!AA11</f>
        <v>21403</v>
      </c>
      <c r="U11" s="16" t="n">
        <f aca="false">Data!Y11</f>
        <v>14618</v>
      </c>
      <c r="V11" s="16" t="n">
        <f aca="false">Data!Z11</f>
        <v>6641</v>
      </c>
      <c r="W11" s="16" t="n">
        <f aca="false">Data!AB11</f>
        <v>17530</v>
      </c>
      <c r="X11" s="16" t="n">
        <f aca="false">Data!AC11</f>
        <v>6109</v>
      </c>
      <c r="Y11" s="16" t="n">
        <f aca="false">Data!AD11+Data!AE11+Data!AF11+Data!AG11+Data!AH11</f>
        <v>2915</v>
      </c>
      <c r="Z11" s="16" t="n">
        <f aca="false">Data!AI11</f>
        <v>4874</v>
      </c>
      <c r="AA11" s="16" t="n">
        <f aca="false">Data!AJ11</f>
        <v>985</v>
      </c>
      <c r="AB11" s="16" t="n">
        <f aca="false">Data!AK11</f>
        <v>4609</v>
      </c>
      <c r="AC11" s="16" t="n">
        <f aca="false">Data!AL11</f>
        <v>15814</v>
      </c>
      <c r="AD11" s="15" t="n">
        <f aca="false">Data!AM11</f>
        <v>-11974</v>
      </c>
      <c r="AE11" s="16" t="n">
        <f aca="false">Data!AN11</f>
        <v>12019</v>
      </c>
      <c r="AF11" s="15" t="n">
        <f aca="false">Data!AO11</f>
        <v>-23994</v>
      </c>
    </row>
    <row r="12" customFormat="false" ht="15" hidden="false" customHeight="false" outlineLevel="0" collapsed="false">
      <c r="B12" s="14" t="str">
        <f aca="false">Data!B12</f>
        <v>2016-06</v>
      </c>
      <c r="C12" s="15" t="n">
        <f aca="false">Data!D12+Data!E12+Data!F12+Data!G12+Data!H12+Data!I12+Data!J12+Data!K12+Data!L12+Data!M12+Data!N12+Data!O12+Data!P12+Data!Q12+Data!R12+Data!S12</f>
        <v>130052</v>
      </c>
      <c r="D12" s="16" t="n">
        <f aca="false">Data!D12+Data!E12+Data!G12+Data!H12+Data!I12+Data!J12+Data!K12+Data!L12+Data!M12</f>
        <v>79659</v>
      </c>
      <c r="E12" s="16" t="n">
        <f aca="false">Data!D12</f>
        <v>22218</v>
      </c>
      <c r="F12" s="16" t="n">
        <f aca="false">Data!E12</f>
        <v>25274</v>
      </c>
      <c r="G12" s="16" t="n">
        <f aca="false">Data!K12</f>
        <v>5004</v>
      </c>
      <c r="H12" s="16" t="n">
        <f aca="false">Data!L12</f>
        <v>4612</v>
      </c>
      <c r="I12" s="16" t="n">
        <f aca="false">Data!G12</f>
        <v>9263</v>
      </c>
      <c r="J12" s="16" t="n">
        <f aca="false">Data!H12+Data!I12+Data!J12+Data!M12</f>
        <v>13288</v>
      </c>
      <c r="K12" s="16" t="n">
        <f aca="false">Data!F12</f>
        <v>43030</v>
      </c>
      <c r="L12" s="16" t="n">
        <f aca="false">Data!N12+Data!O12+Data!P12+Data!Q12+Data!R12+Data!S12</f>
        <v>7363</v>
      </c>
      <c r="M12" s="15" t="n">
        <f aca="false">Data!T12+Data!U12+Data!V12+Data!W12+Data!X12+Data!Y12+Data!Z12+Data!AA12+Data!AB12+Data!AC12+Data!AD12+Data!AE12+Data!AF12+Data!AG12+Data!AH12+Data!AI12+Data!AJ12+Data!AK12+Data!AL12</f>
        <v>174060</v>
      </c>
      <c r="N12" s="16" t="n">
        <f aca="false">Data!T12+Data!U12+Data!V12+Data!W12</f>
        <v>93404</v>
      </c>
      <c r="O12" s="16" t="n">
        <f aca="false">Data!T12</f>
        <v>70396</v>
      </c>
      <c r="P12" s="16" t="n">
        <f aca="false">Data!U12</f>
        <v>8682</v>
      </c>
      <c r="Q12" s="16" t="n">
        <f aca="false">Data!V12</f>
        <v>8055</v>
      </c>
      <c r="R12" s="16" t="n">
        <f aca="false">Data!W12</f>
        <v>6271</v>
      </c>
      <c r="S12" s="16" t="n">
        <f aca="false">Data!X12</f>
        <v>1405</v>
      </c>
      <c r="T12" s="16" t="n">
        <f aca="false">Data!Y12+Data!Z12+Data!AA12</f>
        <v>24561</v>
      </c>
      <c r="U12" s="16" t="n">
        <f aca="false">Data!Y12</f>
        <v>17158</v>
      </c>
      <c r="V12" s="16" t="n">
        <f aca="false">Data!Z12</f>
        <v>6993</v>
      </c>
      <c r="W12" s="16" t="n">
        <f aca="false">Data!AB12</f>
        <v>20272</v>
      </c>
      <c r="X12" s="16" t="n">
        <f aca="false">Data!AC12</f>
        <v>6286</v>
      </c>
      <c r="Y12" s="16" t="n">
        <f aca="false">Data!AD12+Data!AE12+Data!AF12+Data!AG12+Data!AH12</f>
        <v>3110</v>
      </c>
      <c r="Z12" s="16" t="n">
        <f aca="false">Data!AI12</f>
        <v>4671</v>
      </c>
      <c r="AA12" s="16" t="n">
        <f aca="false">Data!AJ12</f>
        <v>745</v>
      </c>
      <c r="AB12" s="16" t="n">
        <f aca="false">Data!AK12</f>
        <v>4544</v>
      </c>
      <c r="AC12" s="16" t="n">
        <f aca="false">Data!AL12</f>
        <v>15062</v>
      </c>
      <c r="AD12" s="15" t="n">
        <f aca="false">Data!AM12</f>
        <v>-44008</v>
      </c>
      <c r="AE12" s="16" t="n">
        <f aca="false">Data!AN12</f>
        <v>28579</v>
      </c>
      <c r="AF12" s="15" t="n">
        <f aca="false">Data!AO12</f>
        <v>-72587</v>
      </c>
    </row>
    <row r="13" customFormat="false" ht="15" hidden="false" customHeight="false" outlineLevel="0" collapsed="false">
      <c r="B13" s="14" t="str">
        <f aca="false">Data!B13</f>
        <v>2016-07</v>
      </c>
      <c r="C13" s="15" t="n">
        <f aca="false">Data!D13+Data!E13+Data!F13+Data!G13+Data!H13+Data!I13+Data!J13+Data!K13+Data!L13+Data!M13+Data!N13+Data!O13+Data!P13+Data!Q13+Data!R13+Data!S13</f>
        <v>144273</v>
      </c>
      <c r="D13" s="16" t="n">
        <f aca="false">Data!D13+Data!E13+Data!G13+Data!H13+Data!I13+Data!J13+Data!K13+Data!L13+Data!M13</f>
        <v>76550</v>
      </c>
      <c r="E13" s="16" t="n">
        <f aca="false">Data!D13</f>
        <v>22482</v>
      </c>
      <c r="F13" s="16" t="n">
        <f aca="false">Data!E13</f>
        <v>18614</v>
      </c>
      <c r="G13" s="16" t="n">
        <f aca="false">Data!K13</f>
        <v>7698</v>
      </c>
      <c r="H13" s="16" t="n">
        <f aca="false">Data!L13</f>
        <v>4727</v>
      </c>
      <c r="I13" s="16" t="n">
        <f aca="false">Data!G13</f>
        <v>10098</v>
      </c>
      <c r="J13" s="16" t="n">
        <f aca="false">Data!H13+Data!I13+Data!J13+Data!M13</f>
        <v>12931</v>
      </c>
      <c r="K13" s="16" t="n">
        <f aca="false">Data!F13</f>
        <v>59399</v>
      </c>
      <c r="L13" s="16" t="n">
        <f aca="false">Data!N13+Data!O13+Data!P13+Data!Q13+Data!R13+Data!S13</f>
        <v>8324</v>
      </c>
      <c r="M13" s="15" t="n">
        <f aca="false">Data!T13+Data!U13+Data!V13+Data!W13+Data!X13+Data!Y13+Data!Z13+Data!AA13+Data!AB13+Data!AC13+Data!AD13+Data!AE13+Data!AF13+Data!AG13+Data!AH13+Data!AI13+Data!AJ13+Data!AK13+Data!AL13</f>
        <v>168639</v>
      </c>
      <c r="N13" s="16" t="n">
        <f aca="false">Data!T13+Data!U13+Data!V13+Data!W13</f>
        <v>69490</v>
      </c>
      <c r="O13" s="16" t="n">
        <f aca="false">Data!T13</f>
        <v>49197</v>
      </c>
      <c r="P13" s="16" t="n">
        <f aca="false">Data!U13</f>
        <v>7996</v>
      </c>
      <c r="Q13" s="16" t="n">
        <f aca="false">Data!V13</f>
        <v>5974</v>
      </c>
      <c r="R13" s="16" t="n">
        <f aca="false">Data!W13</f>
        <v>6323</v>
      </c>
      <c r="S13" s="16" t="n">
        <f aca="false">Data!X13</f>
        <v>1975</v>
      </c>
      <c r="T13" s="16" t="n">
        <f aca="false">Data!Y13+Data!Z13+Data!AA13</f>
        <v>28492</v>
      </c>
      <c r="U13" s="16" t="n">
        <f aca="false">Data!Y13</f>
        <v>21771</v>
      </c>
      <c r="V13" s="16" t="n">
        <f aca="false">Data!Z13</f>
        <v>6543</v>
      </c>
      <c r="W13" s="16" t="n">
        <f aca="false">Data!AB13</f>
        <v>27085</v>
      </c>
      <c r="X13" s="16" t="n">
        <f aca="false">Data!AC13</f>
        <v>6464</v>
      </c>
      <c r="Y13" s="16" t="n">
        <f aca="false">Data!AD13+Data!AE13+Data!AF13+Data!AG13+Data!AH13</f>
        <v>9949</v>
      </c>
      <c r="Z13" s="16" t="n">
        <f aca="false">Data!AI13</f>
        <v>7403</v>
      </c>
      <c r="AA13" s="16" t="n">
        <f aca="false">Data!AJ13</f>
        <v>236</v>
      </c>
      <c r="AB13" s="16" t="n">
        <f aca="false">Data!AK13</f>
        <v>5029</v>
      </c>
      <c r="AC13" s="16" t="n">
        <f aca="false">Data!AL13</f>
        <v>12516</v>
      </c>
      <c r="AD13" s="15" t="n">
        <f aca="false">Data!AM13</f>
        <v>-24366</v>
      </c>
      <c r="AE13" s="16" t="n">
        <f aca="false">Data!AN13</f>
        <v>3218</v>
      </c>
      <c r="AF13" s="15" t="n">
        <f aca="false">Data!AO13</f>
        <v>-27584</v>
      </c>
    </row>
    <row r="14" customFormat="false" ht="15" hidden="false" customHeight="false" outlineLevel="0" collapsed="false">
      <c r="B14" s="14" t="str">
        <f aca="false">Data!B14</f>
        <v>2016-08</v>
      </c>
      <c r="C14" s="15" t="n">
        <f aca="false">Data!D14+Data!E14+Data!F14+Data!G14+Data!H14+Data!I14+Data!J14+Data!K14+Data!L14+Data!M14+Data!N14+Data!O14+Data!P14+Data!Q14+Data!R14+Data!S14</f>
        <v>129109</v>
      </c>
      <c r="D14" s="16" t="n">
        <f aca="false">Data!D14+Data!E14+Data!G14+Data!H14+Data!I14+Data!J14+Data!K14+Data!L14+Data!M14</f>
        <v>73276</v>
      </c>
      <c r="E14" s="16" t="n">
        <f aca="false">Data!D14</f>
        <v>24007</v>
      </c>
      <c r="F14" s="16" t="n">
        <f aca="false">Data!E14</f>
        <v>17507</v>
      </c>
      <c r="G14" s="16" t="n">
        <f aca="false">Data!K14</f>
        <v>4465</v>
      </c>
      <c r="H14" s="16" t="n">
        <f aca="false">Data!L14</f>
        <v>4998</v>
      </c>
      <c r="I14" s="16" t="n">
        <f aca="false">Data!G14</f>
        <v>9019</v>
      </c>
      <c r="J14" s="16" t="n">
        <f aca="false">Data!H14+Data!I14+Data!J14+Data!M14</f>
        <v>13280</v>
      </c>
      <c r="K14" s="16" t="n">
        <f aca="false">Data!F14</f>
        <v>46452</v>
      </c>
      <c r="L14" s="16" t="n">
        <f aca="false">Data!N14+Data!O14+Data!P14+Data!Q14+Data!R14+Data!S14</f>
        <v>9381</v>
      </c>
      <c r="M14" s="15" t="n">
        <f aca="false">Data!T14+Data!U14+Data!V14+Data!W14+Data!X14+Data!Y14+Data!Z14+Data!AA14+Data!AB14+Data!AC14+Data!AD14+Data!AE14+Data!AF14+Data!AG14+Data!AH14+Data!AI14+Data!AJ14+Data!AK14+Data!AL14</f>
        <v>164525</v>
      </c>
      <c r="N14" s="16" t="n">
        <f aca="false">Data!T14+Data!U14+Data!V14+Data!W14</f>
        <v>74889</v>
      </c>
      <c r="O14" s="16" t="n">
        <f aca="false">Data!T14</f>
        <v>49948</v>
      </c>
      <c r="P14" s="16" t="n">
        <f aca="false">Data!U14</f>
        <v>8868</v>
      </c>
      <c r="Q14" s="16" t="n">
        <f aca="false">Data!V14</f>
        <v>6165</v>
      </c>
      <c r="R14" s="16" t="n">
        <f aca="false">Data!W14</f>
        <v>9908</v>
      </c>
      <c r="S14" s="16" t="n">
        <f aca="false">Data!X14</f>
        <v>2422</v>
      </c>
      <c r="T14" s="16" t="n">
        <f aca="false">Data!Y14+Data!Z14+Data!AA14</f>
        <v>22955</v>
      </c>
      <c r="U14" s="16" t="n">
        <f aca="false">Data!Y14</f>
        <v>14912</v>
      </c>
      <c r="V14" s="16" t="n">
        <f aca="false">Data!Z14</f>
        <v>7910</v>
      </c>
      <c r="W14" s="16" t="n">
        <f aca="false">Data!AB14</f>
        <v>23009</v>
      </c>
      <c r="X14" s="16" t="n">
        <f aca="false">Data!AC14</f>
        <v>6144</v>
      </c>
      <c r="Y14" s="16" t="n">
        <f aca="false">Data!AD14+Data!AE14+Data!AF14+Data!AG14+Data!AH14</f>
        <v>5309</v>
      </c>
      <c r="Z14" s="16" t="n">
        <f aca="false">Data!AI14</f>
        <v>5203</v>
      </c>
      <c r="AA14" s="16" t="n">
        <f aca="false">Data!AJ14</f>
        <v>814</v>
      </c>
      <c r="AB14" s="16" t="n">
        <f aca="false">Data!AK14</f>
        <v>4770</v>
      </c>
      <c r="AC14" s="16" t="n">
        <f aca="false">Data!AL14</f>
        <v>19010</v>
      </c>
      <c r="AD14" s="15" t="n">
        <f aca="false">Data!AM14</f>
        <v>-35416</v>
      </c>
      <c r="AE14" s="16" t="n">
        <f aca="false">Data!AN14</f>
        <v>3360</v>
      </c>
      <c r="AF14" s="15" t="n">
        <f aca="false">Data!AO14</f>
        <v>-38775</v>
      </c>
    </row>
    <row r="15" customFormat="false" ht="15" hidden="false" customHeight="false" outlineLevel="0" collapsed="false">
      <c r="B15" s="14" t="str">
        <f aca="false">Data!B15</f>
        <v>2016-09</v>
      </c>
      <c r="C15" s="15" t="n">
        <f aca="false">Data!D15+Data!E15+Data!F15+Data!G15+Data!H15+Data!I15+Data!J15+Data!K15+Data!L15+Data!M15+Data!N15+Data!O15+Data!P15+Data!Q15+Data!R15+Data!S15</f>
        <v>131766</v>
      </c>
      <c r="D15" s="16" t="n">
        <f aca="false">Data!D15+Data!E15+Data!G15+Data!H15+Data!I15+Data!J15+Data!K15+Data!L15+Data!M15</f>
        <v>74910</v>
      </c>
      <c r="E15" s="16" t="n">
        <f aca="false">Data!D15</f>
        <v>25256</v>
      </c>
      <c r="F15" s="16" t="n">
        <f aca="false">Data!E15</f>
        <v>17402</v>
      </c>
      <c r="G15" s="16" t="n">
        <f aca="false">Data!K15</f>
        <v>5249</v>
      </c>
      <c r="H15" s="16" t="n">
        <f aca="false">Data!L15</f>
        <v>5294</v>
      </c>
      <c r="I15" s="16" t="n">
        <f aca="false">Data!G15</f>
        <v>10122</v>
      </c>
      <c r="J15" s="16" t="n">
        <f aca="false">Data!H15+Data!I15+Data!J15+Data!M15</f>
        <v>11587</v>
      </c>
      <c r="K15" s="16" t="n">
        <f aca="false">Data!F15</f>
        <v>46070</v>
      </c>
      <c r="L15" s="16" t="n">
        <f aca="false">Data!N15+Data!O15+Data!P15+Data!Q15+Data!R15+Data!S15</f>
        <v>10786</v>
      </c>
      <c r="M15" s="15" t="n">
        <f aca="false">Data!T15+Data!U15+Data!V15+Data!W15+Data!X15+Data!Y15+Data!Z15+Data!AA15+Data!AB15+Data!AC15+Data!AD15+Data!AE15+Data!AF15+Data!AG15+Data!AH15+Data!AI15+Data!AJ15+Data!AK15+Data!AL15</f>
        <v>168783</v>
      </c>
      <c r="N15" s="16" t="n">
        <f aca="false">Data!T15+Data!U15+Data!V15+Data!W15</f>
        <v>79140</v>
      </c>
      <c r="O15" s="16" t="n">
        <f aca="false">Data!T15</f>
        <v>56049</v>
      </c>
      <c r="P15" s="16" t="n">
        <f aca="false">Data!U15</f>
        <v>9669</v>
      </c>
      <c r="Q15" s="16" t="n">
        <f aca="false">Data!V15</f>
        <v>6807</v>
      </c>
      <c r="R15" s="16" t="n">
        <f aca="false">Data!W15</f>
        <v>6615</v>
      </c>
      <c r="S15" s="16" t="n">
        <f aca="false">Data!X15</f>
        <v>2593</v>
      </c>
      <c r="T15" s="16" t="n">
        <f aca="false">Data!Y15+Data!Z15+Data!AA15</f>
        <v>26896</v>
      </c>
      <c r="U15" s="16" t="n">
        <f aca="false">Data!Y15</f>
        <v>20204</v>
      </c>
      <c r="V15" s="16" t="n">
        <f aca="false">Data!Z15</f>
        <v>6592</v>
      </c>
      <c r="W15" s="16" t="n">
        <f aca="false">Data!AB15</f>
        <v>24103</v>
      </c>
      <c r="X15" s="16" t="n">
        <f aca="false">Data!AC15</f>
        <v>6431</v>
      </c>
      <c r="Y15" s="16" t="n">
        <f aca="false">Data!AD15+Data!AE15+Data!AF15+Data!AG15+Data!AH15</f>
        <v>5264</v>
      </c>
      <c r="Z15" s="16" t="n">
        <f aca="false">Data!AI15</f>
        <v>4570</v>
      </c>
      <c r="AA15" s="16" t="n">
        <f aca="false">Data!AJ15</f>
        <v>514</v>
      </c>
      <c r="AB15" s="16" t="n">
        <f aca="false">Data!AK15</f>
        <v>5383</v>
      </c>
      <c r="AC15" s="16" t="n">
        <f aca="false">Data!AL15</f>
        <v>13889</v>
      </c>
      <c r="AD15" s="15" t="n">
        <f aca="false">Data!AM15</f>
        <v>-37017</v>
      </c>
      <c r="AE15" s="16" t="n">
        <f aca="false">Data!AN15</f>
        <v>11979</v>
      </c>
      <c r="AF15" s="15" t="n">
        <f aca="false">Data!AO15</f>
        <v>-48996</v>
      </c>
    </row>
    <row r="16" customFormat="false" ht="15" hidden="false" customHeight="false" outlineLevel="0" collapsed="false">
      <c r="B16" s="14" t="str">
        <f aca="false">Data!B16</f>
        <v>2016-10</v>
      </c>
      <c r="C16" s="15" t="n">
        <f aca="false">Data!D16+Data!E16+Data!F16+Data!G16+Data!H16+Data!I16+Data!J16+Data!K16+Data!L16+Data!M16+Data!N16+Data!O16+Data!P16+Data!Q16+Data!R16+Data!S16</f>
        <v>128073</v>
      </c>
      <c r="D16" s="16" t="n">
        <f aca="false">Data!D16+Data!E16+Data!G16+Data!H16+Data!I16+Data!J16+Data!K16+Data!L16+Data!M16</f>
        <v>73865</v>
      </c>
      <c r="E16" s="16" t="n">
        <f aca="false">Data!D16</f>
        <v>22917</v>
      </c>
      <c r="F16" s="16" t="n">
        <f aca="false">Data!E16</f>
        <v>17777</v>
      </c>
      <c r="G16" s="16" t="n">
        <f aca="false">Data!K16</f>
        <v>4507</v>
      </c>
      <c r="H16" s="16" t="n">
        <f aca="false">Data!L16</f>
        <v>4790</v>
      </c>
      <c r="I16" s="16" t="n">
        <f aca="false">Data!G16</f>
        <v>9186</v>
      </c>
      <c r="J16" s="16" t="n">
        <f aca="false">Data!H16+Data!I16+Data!J16+Data!M16</f>
        <v>14688</v>
      </c>
      <c r="K16" s="16" t="n">
        <f aca="false">Data!F16</f>
        <v>46476</v>
      </c>
      <c r="L16" s="16" t="n">
        <f aca="false">Data!N16+Data!O16+Data!P16+Data!Q16+Data!R16+Data!S16</f>
        <v>7732</v>
      </c>
      <c r="M16" s="15" t="n">
        <f aca="false">Data!T16+Data!U16+Data!V16+Data!W16+Data!X16+Data!Y16+Data!Z16+Data!AA16+Data!AB16+Data!AC16+Data!AD16+Data!AE16+Data!AF16+Data!AG16+Data!AH16+Data!AI16+Data!AJ16+Data!AK16+Data!AL16</f>
        <v>189941</v>
      </c>
      <c r="N16" s="16" t="n">
        <f aca="false">Data!T16+Data!U16+Data!V16+Data!W16</f>
        <v>81816</v>
      </c>
      <c r="O16" s="16" t="n">
        <f aca="false">Data!T16</f>
        <v>57252</v>
      </c>
      <c r="P16" s="16" t="n">
        <f aca="false">Data!U16</f>
        <v>9716</v>
      </c>
      <c r="Q16" s="16" t="n">
        <f aca="false">Data!V16</f>
        <v>6742</v>
      </c>
      <c r="R16" s="16" t="n">
        <f aca="false">Data!W16</f>
        <v>8106</v>
      </c>
      <c r="S16" s="16" t="n">
        <f aca="false">Data!X16</f>
        <v>2632</v>
      </c>
      <c r="T16" s="16" t="n">
        <f aca="false">Data!Y16+Data!Z16+Data!AA16</f>
        <v>32727</v>
      </c>
      <c r="U16" s="16" t="n">
        <f aca="false">Data!Y16</f>
        <v>25779</v>
      </c>
      <c r="V16" s="16" t="n">
        <f aca="false">Data!Z16</f>
        <v>6842</v>
      </c>
      <c r="W16" s="16" t="n">
        <f aca="false">Data!AB16</f>
        <v>23635</v>
      </c>
      <c r="X16" s="16" t="n">
        <f aca="false">Data!AC16</f>
        <v>11007</v>
      </c>
      <c r="Y16" s="16" t="n">
        <f aca="false">Data!AD16+Data!AE16+Data!AF16+Data!AG16+Data!AH16</f>
        <v>5505</v>
      </c>
      <c r="Z16" s="16" t="n">
        <f aca="false">Data!AI16</f>
        <v>5250</v>
      </c>
      <c r="AA16" s="16" t="n">
        <f aca="false">Data!AJ16</f>
        <v>104</v>
      </c>
      <c r="AB16" s="16" t="n">
        <f aca="false">Data!AK16</f>
        <v>4127</v>
      </c>
      <c r="AC16" s="16" t="n">
        <f aca="false">Data!AL16</f>
        <v>23138</v>
      </c>
      <c r="AD16" s="15" t="n">
        <f aca="false">Data!AM16</f>
        <v>-61868</v>
      </c>
      <c r="AE16" s="16" t="n">
        <f aca="false">Data!AN16</f>
        <v>15632</v>
      </c>
      <c r="AF16" s="15" t="n">
        <f aca="false">Data!AO16</f>
        <v>-77500</v>
      </c>
    </row>
    <row r="17" customFormat="false" ht="15" hidden="false" customHeight="false" outlineLevel="0" collapsed="false">
      <c r="B17" s="14" t="str">
        <f aca="false">Data!B17</f>
        <v>2016-11</v>
      </c>
      <c r="C17" s="15" t="n">
        <f aca="false">Data!D17+Data!E17+Data!F17+Data!G17+Data!H17+Data!I17+Data!J17+Data!K17+Data!L17+Data!M17+Data!N17+Data!O17+Data!P17+Data!Q17+Data!R17+Data!S17</f>
        <v>145785</v>
      </c>
      <c r="D17" s="16" t="n">
        <f aca="false">Data!D17+Data!E17+Data!G17+Data!H17+Data!I17+Data!J17+Data!K17+Data!L17+Data!M17</f>
        <v>85989</v>
      </c>
      <c r="E17" s="16" t="n">
        <f aca="false">Data!D17</f>
        <v>23911</v>
      </c>
      <c r="F17" s="16" t="n">
        <f aca="false">Data!E17</f>
        <v>19152</v>
      </c>
      <c r="G17" s="16" t="n">
        <f aca="false">Data!K17</f>
        <v>4313</v>
      </c>
      <c r="H17" s="16" t="n">
        <f aca="false">Data!L17</f>
        <v>4411</v>
      </c>
      <c r="I17" s="16" t="n">
        <f aca="false">Data!G17</f>
        <v>10188</v>
      </c>
      <c r="J17" s="16" t="n">
        <f aca="false">Data!H17+Data!I17+Data!J17+Data!M17</f>
        <v>24014</v>
      </c>
      <c r="K17" s="16" t="n">
        <f aca="false">Data!F17</f>
        <v>51942</v>
      </c>
      <c r="L17" s="16" t="n">
        <f aca="false">Data!N17+Data!O17+Data!P17+Data!Q17+Data!R17+Data!S17</f>
        <v>7854</v>
      </c>
      <c r="M17" s="15" t="n">
        <f aca="false">Data!T17+Data!U17+Data!V17+Data!W17+Data!X17+Data!Y17+Data!Z17+Data!AA17+Data!AB17+Data!AC17+Data!AD17+Data!AE17+Data!AF17+Data!AG17+Data!AH17+Data!AI17+Data!AJ17+Data!AK17+Data!AL17</f>
        <v>159085</v>
      </c>
      <c r="N17" s="16" t="n">
        <f aca="false">Data!T17+Data!U17+Data!V17+Data!W17</f>
        <v>83564</v>
      </c>
      <c r="O17" s="16" t="n">
        <f aca="false">Data!T17</f>
        <v>57463</v>
      </c>
      <c r="P17" s="16" t="n">
        <f aca="false">Data!U17</f>
        <v>9766</v>
      </c>
      <c r="Q17" s="16" t="n">
        <f aca="false">Data!V17</f>
        <v>9389</v>
      </c>
      <c r="R17" s="16" t="n">
        <f aca="false">Data!W17</f>
        <v>6946</v>
      </c>
      <c r="S17" s="16" t="n">
        <f aca="false">Data!X17</f>
        <v>2236</v>
      </c>
      <c r="T17" s="16" t="n">
        <f aca="false">Data!Y17+Data!Z17+Data!AA17</f>
        <v>17199</v>
      </c>
      <c r="U17" s="16" t="n">
        <f aca="false">Data!Y17</f>
        <v>10606</v>
      </c>
      <c r="V17" s="16" t="n">
        <f aca="false">Data!Z17</f>
        <v>6498</v>
      </c>
      <c r="W17" s="16" t="n">
        <f aca="false">Data!AB17</f>
        <v>22753</v>
      </c>
      <c r="X17" s="16" t="n">
        <f aca="false">Data!AC17</f>
        <v>8268</v>
      </c>
      <c r="Y17" s="16" t="n">
        <f aca="false">Data!AD17+Data!AE17+Data!AF17+Data!AG17+Data!AH17</f>
        <v>6173</v>
      </c>
      <c r="Z17" s="16" t="n">
        <f aca="false">Data!AI17</f>
        <v>5056</v>
      </c>
      <c r="AA17" s="16" t="n">
        <f aca="false">Data!AJ17</f>
        <v>396</v>
      </c>
      <c r="AB17" s="16" t="n">
        <f aca="false">Data!AK17</f>
        <v>2461</v>
      </c>
      <c r="AC17" s="16" t="n">
        <f aca="false">Data!AL17</f>
        <v>10979</v>
      </c>
      <c r="AD17" s="15" t="n">
        <f aca="false">Data!AM17</f>
        <v>-13300</v>
      </c>
      <c r="AE17" s="16" t="n">
        <f aca="false">Data!AN17</f>
        <v>6558</v>
      </c>
      <c r="AF17" s="15" t="n">
        <f aca="false">Data!AO17</f>
        <v>-19858</v>
      </c>
    </row>
    <row r="18" customFormat="false" ht="15" hidden="false" customHeight="false" outlineLevel="0" collapsed="false">
      <c r="B18" s="14" t="str">
        <f aca="false">Data!B18</f>
        <v>2016-12</v>
      </c>
      <c r="C18" s="15" t="n">
        <f aca="false">Data!D18+Data!E18+Data!F18+Data!G18+Data!H18+Data!I18+Data!J18+Data!K18+Data!L18+Data!M18+Data!N18+Data!O18+Data!P18+Data!Q18+Data!R18+Data!S18</f>
        <v>233952</v>
      </c>
      <c r="D18" s="16" t="n">
        <f aca="false">Data!D18+Data!E18+Data!G18+Data!H18+Data!I18+Data!J18+Data!K18+Data!L18+Data!M18</f>
        <v>170718</v>
      </c>
      <c r="E18" s="16" t="n">
        <f aca="false">Data!D18</f>
        <v>24889</v>
      </c>
      <c r="F18" s="16" t="n">
        <f aca="false">Data!E18</f>
        <v>21295</v>
      </c>
      <c r="G18" s="16" t="n">
        <f aca="false">Data!K18</f>
        <v>5104</v>
      </c>
      <c r="H18" s="16" t="n">
        <f aca="false">Data!L18</f>
        <v>5210</v>
      </c>
      <c r="I18" s="16" t="n">
        <f aca="false">Data!G18</f>
        <v>10840</v>
      </c>
      <c r="J18" s="16" t="n">
        <f aca="false">Data!H18+Data!I18+Data!J18+Data!M18</f>
        <v>103380</v>
      </c>
      <c r="K18" s="16" t="n">
        <f aca="false">Data!F18</f>
        <v>53371</v>
      </c>
      <c r="L18" s="16" t="n">
        <f aca="false">Data!N18+Data!O18+Data!P18+Data!Q18+Data!R18+Data!S18</f>
        <v>9863</v>
      </c>
      <c r="M18" s="15" t="n">
        <f aca="false">Data!T18+Data!U18+Data!V18+Data!W18+Data!X18+Data!Y18+Data!Z18+Data!AA18+Data!AB18+Data!AC18+Data!AD18+Data!AE18+Data!AF18+Data!AG18+Data!AH18+Data!AI18+Data!AJ18+Data!AK18+Data!AL18</f>
        <v>292721</v>
      </c>
      <c r="N18" s="16" t="n">
        <f aca="false">Data!T18+Data!U18+Data!V18+Data!W18</f>
        <v>112227</v>
      </c>
      <c r="O18" s="16" t="n">
        <f aca="false">Data!T18</f>
        <v>85081</v>
      </c>
      <c r="P18" s="16" t="n">
        <f aca="false">Data!U18</f>
        <v>12294</v>
      </c>
      <c r="Q18" s="16" t="n">
        <f aca="false">Data!V18</f>
        <v>5791</v>
      </c>
      <c r="R18" s="16" t="n">
        <f aca="false">Data!W18</f>
        <v>9061</v>
      </c>
      <c r="S18" s="16" t="n">
        <f aca="false">Data!X18</f>
        <v>7833</v>
      </c>
      <c r="T18" s="16" t="n">
        <f aca="false">Data!Y18+Data!Z18+Data!AA18</f>
        <v>65811</v>
      </c>
      <c r="U18" s="16" t="n">
        <f aca="false">Data!Y18</f>
        <v>56827</v>
      </c>
      <c r="V18" s="16" t="n">
        <f aca="false">Data!Z18</f>
        <v>8863</v>
      </c>
      <c r="W18" s="16" t="n">
        <f aca="false">Data!AB18</f>
        <v>34877</v>
      </c>
      <c r="X18" s="16" t="n">
        <f aca="false">Data!AC18</f>
        <v>9010</v>
      </c>
      <c r="Y18" s="16" t="n">
        <f aca="false">Data!AD18+Data!AE18+Data!AF18+Data!AG18+Data!AH18</f>
        <v>25450</v>
      </c>
      <c r="Z18" s="16" t="n">
        <f aca="false">Data!AI18</f>
        <v>7925</v>
      </c>
      <c r="AA18" s="16" t="n">
        <f aca="false">Data!AJ18</f>
        <v>1332</v>
      </c>
      <c r="AB18" s="16" t="n">
        <f aca="false">Data!AK18</f>
        <v>5988</v>
      </c>
      <c r="AC18" s="16" t="n">
        <f aca="false">Data!AL18</f>
        <v>22268</v>
      </c>
      <c r="AD18" s="15" t="n">
        <f aca="false">Data!AM18</f>
        <v>-58769</v>
      </c>
      <c r="AE18" s="16" t="n">
        <f aca="false">Data!AN18</f>
        <v>25081</v>
      </c>
      <c r="AF18" s="15" t="n">
        <f aca="false">Data!AO18</f>
        <v>-83850</v>
      </c>
    </row>
    <row r="19" customFormat="false" ht="15" hidden="false" customHeight="false" outlineLevel="0" collapsed="false">
      <c r="B19" s="14" t="str">
        <f aca="false">Data!B19</f>
        <v>2017-01</v>
      </c>
      <c r="C19" s="15" t="n">
        <f aca="false">Data!D19+Data!E19+Data!F19+Data!G19+Data!H19+Data!I19+Data!J19+Data!K19+Data!L19+Data!M19+Data!N19+Data!O19+Data!P19+Data!Q19+Data!R19+Data!S19</f>
        <v>170256</v>
      </c>
      <c r="D19" s="16" t="n">
        <f aca="false">Data!D19+Data!E19+Data!G19+Data!H19+Data!I19+Data!J19+Data!K19+Data!L19+Data!M19</f>
        <v>93185</v>
      </c>
      <c r="E19" s="16" t="n">
        <f aca="false">Data!D19</f>
        <v>26497</v>
      </c>
      <c r="F19" s="16" t="n">
        <f aca="false">Data!E19</f>
        <v>21624</v>
      </c>
      <c r="G19" s="16" t="n">
        <f aca="false">Data!K19</f>
        <v>5999</v>
      </c>
      <c r="H19" s="16" t="n">
        <f aca="false">Data!L19</f>
        <v>5031</v>
      </c>
      <c r="I19" s="16" t="n">
        <f aca="false">Data!G19</f>
        <v>10869</v>
      </c>
      <c r="J19" s="16" t="n">
        <f aca="false">Data!H19+Data!I19+Data!J19+Data!M19</f>
        <v>23165</v>
      </c>
      <c r="K19" s="16" t="n">
        <f aca="false">Data!F19</f>
        <v>67192</v>
      </c>
      <c r="L19" s="16" t="n">
        <f aca="false">Data!N19+Data!O19+Data!P19+Data!Q19+Data!R19+Data!S19</f>
        <v>9879</v>
      </c>
      <c r="M19" s="15" t="n">
        <f aca="false">Data!T19+Data!U19+Data!V19+Data!W19+Data!X19+Data!Y19+Data!Z19+Data!AA19+Data!AB19+Data!AC19+Data!AD19+Data!AE19+Data!AF19+Data!AG19+Data!AH19+Data!AI19+Data!AJ19+Data!AK19+Data!AL19</f>
        <v>166669</v>
      </c>
      <c r="N19" s="16" t="n">
        <f aca="false">Data!T19+Data!U19+Data!V19+Data!W19</f>
        <v>88429</v>
      </c>
      <c r="O19" s="16" t="n">
        <f aca="false">Data!T19</f>
        <v>62980</v>
      </c>
      <c r="P19" s="16" t="n">
        <f aca="false">Data!U19</f>
        <v>9485</v>
      </c>
      <c r="Q19" s="16" t="n">
        <f aca="false">Data!V19</f>
        <v>8162</v>
      </c>
      <c r="R19" s="16" t="n">
        <f aca="false">Data!W19</f>
        <v>7802</v>
      </c>
      <c r="S19" s="16" t="n">
        <f aca="false">Data!X19</f>
        <v>2203</v>
      </c>
      <c r="T19" s="16" t="n">
        <f aca="false">Data!Y19+Data!Z19+Data!AA19</f>
        <v>8981</v>
      </c>
      <c r="U19" s="16" t="n">
        <f aca="false">Data!Y19</f>
        <v>2891</v>
      </c>
      <c r="V19" s="16" t="n">
        <f aca="false">Data!Z19</f>
        <v>5872</v>
      </c>
      <c r="W19" s="16" t="n">
        <f aca="false">Data!AB19</f>
        <v>26105</v>
      </c>
      <c r="X19" s="16" t="n">
        <f aca="false">Data!AC19</f>
        <v>7973</v>
      </c>
      <c r="Y19" s="16" t="n">
        <f aca="false">Data!AD19+Data!AE19+Data!AF19+Data!AG19+Data!AH19</f>
        <v>4995</v>
      </c>
      <c r="Z19" s="16" t="n">
        <f aca="false">Data!AI19</f>
        <v>5874</v>
      </c>
      <c r="AA19" s="16" t="n">
        <f aca="false">Data!AJ19</f>
        <v>283</v>
      </c>
      <c r="AB19" s="16" t="n">
        <f aca="false">Data!AK19</f>
        <v>4878</v>
      </c>
      <c r="AC19" s="16" t="n">
        <f aca="false">Data!AL19</f>
        <v>16948</v>
      </c>
      <c r="AD19" s="15" t="n">
        <f aca="false">Data!AM19</f>
        <v>3587</v>
      </c>
      <c r="AE19" s="16" t="n">
        <f aca="false">Data!AN19</f>
        <v>9143</v>
      </c>
      <c r="AF19" s="15" t="n">
        <f aca="false">Data!AO19</f>
        <v>-5556</v>
      </c>
    </row>
    <row r="20" customFormat="false" ht="15" hidden="false" customHeight="false" outlineLevel="0" collapsed="false">
      <c r="B20" s="14" t="str">
        <f aca="false">Data!B20</f>
        <v>2017-02</v>
      </c>
      <c r="C20" s="15" t="n">
        <f aca="false">Data!D20+Data!E20+Data!F20+Data!G20+Data!H20+Data!I20+Data!J20+Data!K20+Data!L20+Data!M20+Data!N20+Data!O20+Data!P20+Data!Q20+Data!R20+Data!S20</f>
        <v>136490</v>
      </c>
      <c r="D20" s="16" t="n">
        <f aca="false">Data!D20+Data!E20+Data!G20+Data!H20+Data!I20+Data!J20+Data!K20+Data!L20+Data!M20</f>
        <v>70213</v>
      </c>
      <c r="E20" s="16" t="n">
        <f aca="false">Data!D20</f>
        <v>24068</v>
      </c>
      <c r="F20" s="16" t="n">
        <f aca="false">Data!E20</f>
        <v>17376</v>
      </c>
      <c r="G20" s="16" t="n">
        <f aca="false">Data!K20</f>
        <v>1111</v>
      </c>
      <c r="H20" s="16" t="n">
        <f aca="false">Data!L20</f>
        <v>4182</v>
      </c>
      <c r="I20" s="16" t="n">
        <f aca="false">Data!G20</f>
        <v>9519</v>
      </c>
      <c r="J20" s="16" t="n">
        <f aca="false">Data!H20+Data!I20+Data!J20+Data!M20</f>
        <v>13957</v>
      </c>
      <c r="K20" s="16" t="n">
        <f aca="false">Data!F20</f>
        <v>51972</v>
      </c>
      <c r="L20" s="16" t="n">
        <f aca="false">Data!N20+Data!O20+Data!P20+Data!Q20+Data!R20+Data!S20</f>
        <v>14305</v>
      </c>
      <c r="M20" s="15" t="n">
        <f aca="false">Data!T20+Data!U20+Data!V20+Data!W20+Data!X20+Data!Y20+Data!Z20+Data!AA20+Data!AB20+Data!AC20+Data!AD20+Data!AE20+Data!AF20+Data!AG20+Data!AH20+Data!AI20+Data!AJ20+Data!AK20+Data!AL20</f>
        <v>163237</v>
      </c>
      <c r="N20" s="16" t="n">
        <f aca="false">Data!T20+Data!U20+Data!V20+Data!W20</f>
        <v>84446</v>
      </c>
      <c r="O20" s="16" t="n">
        <f aca="false">Data!T20</f>
        <v>60483</v>
      </c>
      <c r="P20" s="16" t="n">
        <f aca="false">Data!U20</f>
        <v>9670</v>
      </c>
      <c r="Q20" s="16" t="n">
        <f aca="false">Data!V20</f>
        <v>7048</v>
      </c>
      <c r="R20" s="16" t="n">
        <f aca="false">Data!W20</f>
        <v>7245</v>
      </c>
      <c r="S20" s="16" t="n">
        <f aca="false">Data!X20</f>
        <v>1984</v>
      </c>
      <c r="T20" s="16" t="n">
        <f aca="false">Data!Y20+Data!Z20+Data!AA20</f>
        <v>14452</v>
      </c>
      <c r="U20" s="16" t="n">
        <f aca="false">Data!Y20</f>
        <v>6079</v>
      </c>
      <c r="V20" s="16" t="n">
        <f aca="false">Data!Z20</f>
        <v>7787</v>
      </c>
      <c r="W20" s="16" t="n">
        <f aca="false">Data!AB20</f>
        <v>24612</v>
      </c>
      <c r="X20" s="16" t="n">
        <f aca="false">Data!AC20</f>
        <v>4963</v>
      </c>
      <c r="Y20" s="16" t="n">
        <f aca="false">Data!AD20+Data!AE20+Data!AF20+Data!AG20+Data!AH20</f>
        <v>5695</v>
      </c>
      <c r="Z20" s="16" t="n">
        <f aca="false">Data!AI20</f>
        <v>6759</v>
      </c>
      <c r="AA20" s="16" t="n">
        <f aca="false">Data!AJ20</f>
        <v>44</v>
      </c>
      <c r="AB20" s="16" t="n">
        <f aca="false">Data!AK20</f>
        <v>4325</v>
      </c>
      <c r="AC20" s="16" t="n">
        <f aca="false">Data!AL20</f>
        <v>15957</v>
      </c>
      <c r="AD20" s="15" t="n">
        <f aca="false">Data!AM20</f>
        <v>-26747</v>
      </c>
      <c r="AE20" s="16" t="n">
        <f aca="false">Data!AN20</f>
        <v>3253</v>
      </c>
      <c r="AF20" s="15" t="n">
        <f aca="false">Data!AO20</f>
        <v>-30000</v>
      </c>
    </row>
    <row r="21" customFormat="false" ht="15" hidden="false" customHeight="false" outlineLevel="0" collapsed="false">
      <c r="B21" s="14" t="str">
        <f aca="false">Data!B21</f>
        <v>2017-03</v>
      </c>
      <c r="C21" s="15" t="n">
        <f aca="false">Data!D21+Data!E21+Data!F21+Data!G21+Data!H21+Data!I21+Data!J21+Data!K21+Data!L21+Data!M21+Data!N21+Data!O21+Data!P21+Data!Q21+Data!R21+Data!S21</f>
        <v>160941</v>
      </c>
      <c r="D21" s="16" t="n">
        <f aca="false">Data!D21+Data!E21+Data!G21+Data!H21+Data!I21+Data!J21+Data!K21+Data!L21+Data!M21</f>
        <v>94235</v>
      </c>
      <c r="E21" s="16" t="n">
        <f aca="false">Data!D21</f>
        <v>23844</v>
      </c>
      <c r="F21" s="16" t="n">
        <f aca="false">Data!E21</f>
        <v>16294</v>
      </c>
      <c r="G21" s="16" t="n">
        <f aca="false">Data!K21</f>
        <v>5875</v>
      </c>
      <c r="H21" s="16" t="n">
        <f aca="false">Data!L21</f>
        <v>5292</v>
      </c>
      <c r="I21" s="16" t="n">
        <f aca="false">Data!G21</f>
        <v>10941</v>
      </c>
      <c r="J21" s="16" t="n">
        <f aca="false">Data!H21+Data!I21+Data!J21+Data!M21</f>
        <v>31989</v>
      </c>
      <c r="K21" s="16" t="n">
        <f aca="false">Data!F21</f>
        <v>54312</v>
      </c>
      <c r="L21" s="16" t="n">
        <f aca="false">Data!N21+Data!O21+Data!P21+Data!Q21+Data!R21+Data!S21</f>
        <v>12394</v>
      </c>
      <c r="M21" s="15" t="n">
        <f aca="false">Data!T21+Data!U21+Data!V21+Data!W21+Data!X21+Data!Y21+Data!Z21+Data!AA21+Data!AB21+Data!AC21+Data!AD21+Data!AE21+Data!AF21+Data!AG21+Data!AH21+Data!AI21+Data!AJ21+Data!AK21+Data!AL21</f>
        <v>179125</v>
      </c>
      <c r="N21" s="16" t="n">
        <f aca="false">Data!T21+Data!U21+Data!V21+Data!W21</f>
        <v>98657</v>
      </c>
      <c r="O21" s="16" t="n">
        <f aca="false">Data!T21</f>
        <v>66509</v>
      </c>
      <c r="P21" s="16" t="n">
        <f aca="false">Data!U21</f>
        <v>16350</v>
      </c>
      <c r="Q21" s="16" t="n">
        <f aca="false">Data!V21</f>
        <v>7911</v>
      </c>
      <c r="R21" s="16" t="n">
        <f aca="false">Data!W21</f>
        <v>7887</v>
      </c>
      <c r="S21" s="16" t="n">
        <f aca="false">Data!X21</f>
        <v>2581</v>
      </c>
      <c r="T21" s="16" t="n">
        <f aca="false">Data!Y21+Data!Z21+Data!AA21</f>
        <v>12478</v>
      </c>
      <c r="U21" s="16" t="n">
        <f aca="false">Data!Y21</f>
        <v>5753</v>
      </c>
      <c r="V21" s="16" t="n">
        <f aca="false">Data!Z21</f>
        <v>6142</v>
      </c>
      <c r="W21" s="16" t="n">
        <f aca="false">Data!AB21</f>
        <v>23870</v>
      </c>
      <c r="X21" s="16" t="n">
        <f aca="false">Data!AC21</f>
        <v>6644</v>
      </c>
      <c r="Y21" s="16" t="n">
        <f aca="false">Data!AD21+Data!AE21+Data!AF21+Data!AG21+Data!AH21</f>
        <v>6143</v>
      </c>
      <c r="Z21" s="16" t="n">
        <f aca="false">Data!AI21</f>
        <v>6298</v>
      </c>
      <c r="AA21" s="16" t="n">
        <f aca="false">Data!AJ21</f>
        <v>23</v>
      </c>
      <c r="AB21" s="16" t="n">
        <f aca="false">Data!AK21</f>
        <v>3943</v>
      </c>
      <c r="AC21" s="16" t="n">
        <f aca="false">Data!AL21</f>
        <v>18488</v>
      </c>
      <c r="AD21" s="15" t="n">
        <f aca="false">Data!AM21</f>
        <v>-18184</v>
      </c>
      <c r="AE21" s="16" t="n">
        <f aca="false">Data!AN21</f>
        <v>16897</v>
      </c>
      <c r="AF21" s="15" t="n">
        <f aca="false">Data!AO21</f>
        <v>-35081</v>
      </c>
    </row>
    <row r="22" customFormat="false" ht="15" hidden="false" customHeight="false" outlineLevel="0" collapsed="false">
      <c r="B22" s="14" t="str">
        <f aca="false">Data!B22</f>
        <v>2017-04</v>
      </c>
      <c r="C22" s="15" t="n">
        <f aca="false">Data!D22+Data!E22+Data!F22+Data!G22+Data!H22+Data!I22+Data!J22+Data!K22+Data!L22+Data!M22+Data!N22+Data!O22+Data!P22+Data!Q22+Data!R22+Data!S22</f>
        <v>159558</v>
      </c>
      <c r="D22" s="16" t="n">
        <f aca="false">Data!D22+Data!E22+Data!G22+Data!H22+Data!I22+Data!J22+Data!K22+Data!L22+Data!M22</f>
        <v>92645</v>
      </c>
      <c r="E22" s="16" t="n">
        <f aca="false">Data!D22</f>
        <v>26919</v>
      </c>
      <c r="F22" s="16" t="n">
        <f aca="false">Data!E22</f>
        <v>14552</v>
      </c>
      <c r="G22" s="16" t="n">
        <f aca="false">Data!K22</f>
        <v>9223</v>
      </c>
      <c r="H22" s="16" t="n">
        <f aca="false">Data!L22</f>
        <v>4684</v>
      </c>
      <c r="I22" s="16" t="n">
        <f aca="false">Data!G22</f>
        <v>10818</v>
      </c>
      <c r="J22" s="16" t="n">
        <f aca="false">Data!H22+Data!I22+Data!J22+Data!M22</f>
        <v>26449</v>
      </c>
      <c r="K22" s="16" t="n">
        <f aca="false">Data!F22</f>
        <v>56286</v>
      </c>
      <c r="L22" s="16" t="n">
        <f aca="false">Data!N22+Data!O22+Data!P22+Data!Q22+Data!R22+Data!S22</f>
        <v>10627</v>
      </c>
      <c r="M22" s="15" t="n">
        <f aca="false">Data!T22+Data!U22+Data!V22+Data!W22+Data!X22+Data!Y22+Data!Z22+Data!AA22+Data!AB22+Data!AC22+Data!AD22+Data!AE22+Data!AF22+Data!AG22+Data!AH22+Data!AI22+Data!AJ22+Data!AK22+Data!AL22</f>
        <v>178222</v>
      </c>
      <c r="N22" s="16" t="n">
        <f aca="false">Data!T22+Data!U22+Data!V22+Data!W22</f>
        <v>90027</v>
      </c>
      <c r="O22" s="16" t="n">
        <f aca="false">Data!T22</f>
        <v>65186</v>
      </c>
      <c r="P22" s="16" t="n">
        <f aca="false">Data!U22</f>
        <v>10204</v>
      </c>
      <c r="Q22" s="16" t="n">
        <f aca="false">Data!V22</f>
        <v>7557</v>
      </c>
      <c r="R22" s="16" t="n">
        <f aca="false">Data!W22</f>
        <v>7080</v>
      </c>
      <c r="S22" s="16" t="n">
        <f aca="false">Data!X22</f>
        <v>1958</v>
      </c>
      <c r="T22" s="16" t="n">
        <f aca="false">Data!Y22+Data!Z22+Data!AA22</f>
        <v>18878</v>
      </c>
      <c r="U22" s="16" t="n">
        <f aca="false">Data!Y22</f>
        <v>9759</v>
      </c>
      <c r="V22" s="16" t="n">
        <f aca="false">Data!Z22</f>
        <v>8340</v>
      </c>
      <c r="W22" s="16" t="n">
        <f aca="false">Data!AB22</f>
        <v>23747</v>
      </c>
      <c r="X22" s="16" t="n">
        <f aca="false">Data!AC22</f>
        <v>7465</v>
      </c>
      <c r="Y22" s="16" t="n">
        <f aca="false">Data!AD22+Data!AE22+Data!AF22+Data!AG22+Data!AH22</f>
        <v>4605</v>
      </c>
      <c r="Z22" s="16" t="n">
        <f aca="false">Data!AI22</f>
        <v>6519</v>
      </c>
      <c r="AA22" s="16" t="n">
        <f aca="false">Data!AJ22</f>
        <v>898</v>
      </c>
      <c r="AB22" s="16" t="n">
        <f aca="false">Data!AK22</f>
        <v>4150</v>
      </c>
      <c r="AC22" s="16" t="n">
        <f aca="false">Data!AL22</f>
        <v>19975</v>
      </c>
      <c r="AD22" s="15" t="n">
        <f aca="false">Data!AM22</f>
        <v>-18664</v>
      </c>
      <c r="AE22" s="16" t="n">
        <f aca="false">Data!AN22</f>
        <v>30348</v>
      </c>
      <c r="AF22" s="15" t="n">
        <f aca="false">Data!AO22</f>
        <v>-49012</v>
      </c>
    </row>
    <row r="23" customFormat="false" ht="15" hidden="false" customHeight="false" outlineLevel="0" collapsed="false">
      <c r="B23" s="14" t="str">
        <f aca="false">Data!B23</f>
        <v>2017-05</v>
      </c>
      <c r="C23" s="15" t="n">
        <f aca="false">Data!D23+Data!E23+Data!F23+Data!G23+Data!H23+Data!I23+Data!J23+Data!K23+Data!L23+Data!M23+Data!N23+Data!O23+Data!P23+Data!Q23+Data!R23+Data!S23</f>
        <v>156937</v>
      </c>
      <c r="D23" s="16" t="n">
        <f aca="false">Data!D23+Data!E23+Data!G23+Data!H23+Data!I23+Data!J23+Data!K23+Data!L23+Data!M23</f>
        <v>89635</v>
      </c>
      <c r="E23" s="16" t="n">
        <f aca="false">Data!D23</f>
        <v>26732</v>
      </c>
      <c r="F23" s="16" t="n">
        <f aca="false">Data!E23</f>
        <v>25683</v>
      </c>
      <c r="G23" s="16" t="n">
        <f aca="false">Data!K23</f>
        <v>6162</v>
      </c>
      <c r="H23" s="16" t="n">
        <f aca="false">Data!L23</f>
        <v>4922</v>
      </c>
      <c r="I23" s="16" t="n">
        <f aca="false">Data!G23</f>
        <v>10758</v>
      </c>
      <c r="J23" s="16" t="n">
        <f aca="false">Data!H23+Data!I23+Data!J23+Data!M23</f>
        <v>15378</v>
      </c>
      <c r="K23" s="16" t="n">
        <f aca="false">Data!F23</f>
        <v>57242</v>
      </c>
      <c r="L23" s="16" t="n">
        <f aca="false">Data!N23+Data!O23+Data!P23+Data!Q23+Data!R23+Data!S23</f>
        <v>10060</v>
      </c>
      <c r="M23" s="15" t="n">
        <f aca="false">Data!T23+Data!U23+Data!V23+Data!W23+Data!X23+Data!Y23+Data!Z23+Data!AA23+Data!AB23+Data!AC23+Data!AD23+Data!AE23+Data!AF23+Data!AG23+Data!AH23+Data!AI23+Data!AJ23+Data!AK23+Data!AL23</f>
        <v>184176</v>
      </c>
      <c r="N23" s="16" t="n">
        <f aca="false">Data!T23+Data!U23+Data!V23+Data!W23</f>
        <v>98099</v>
      </c>
      <c r="O23" s="16" t="n">
        <f aca="false">Data!T23</f>
        <v>69836</v>
      </c>
      <c r="P23" s="16" t="n">
        <f aca="false">Data!U23</f>
        <v>12032</v>
      </c>
      <c r="Q23" s="16" t="n">
        <f aca="false">Data!V23</f>
        <v>8357</v>
      </c>
      <c r="R23" s="16" t="n">
        <f aca="false">Data!W23</f>
        <v>7874</v>
      </c>
      <c r="S23" s="16" t="n">
        <f aca="false">Data!X23</f>
        <v>2592</v>
      </c>
      <c r="T23" s="16" t="n">
        <f aca="false">Data!Y23+Data!Z23+Data!AA23</f>
        <v>18116</v>
      </c>
      <c r="U23" s="16" t="n">
        <f aca="false">Data!Y23</f>
        <v>9241</v>
      </c>
      <c r="V23" s="16" t="n">
        <f aca="false">Data!Z23</f>
        <v>7735</v>
      </c>
      <c r="W23" s="16" t="n">
        <f aca="false">Data!AB23</f>
        <v>23921</v>
      </c>
      <c r="X23" s="16" t="n">
        <f aca="false">Data!AC23</f>
        <v>8462</v>
      </c>
      <c r="Y23" s="16" t="n">
        <f aca="false">Data!AD23+Data!AE23+Data!AF23+Data!AG23+Data!AH23</f>
        <v>4771</v>
      </c>
      <c r="Z23" s="16" t="n">
        <f aca="false">Data!AI23</f>
        <v>6479</v>
      </c>
      <c r="AA23" s="16" t="n">
        <f aca="false">Data!AJ23</f>
        <v>69</v>
      </c>
      <c r="AB23" s="16" t="n">
        <f aca="false">Data!AK23</f>
        <v>3364</v>
      </c>
      <c r="AC23" s="16" t="n">
        <f aca="false">Data!AL23</f>
        <v>18303</v>
      </c>
      <c r="AD23" s="15" t="n">
        <f aca="false">Data!AM23</f>
        <v>-27239</v>
      </c>
      <c r="AE23" s="16" t="n">
        <f aca="false">Data!AN23</f>
        <v>16806</v>
      </c>
      <c r="AF23" s="15" t="n">
        <f aca="false">Data!AO23</f>
        <v>-44045</v>
      </c>
    </row>
    <row r="24" customFormat="false" ht="15" hidden="false" customHeight="false" outlineLevel="0" collapsed="false">
      <c r="B24" s="14" t="str">
        <f aca="false">Data!B24</f>
        <v>2017-06</v>
      </c>
      <c r="C24" s="15" t="n">
        <f aca="false">Data!D24+Data!E24+Data!F24+Data!G24+Data!H24+Data!I24+Data!J24+Data!K24+Data!L24+Data!M24+Data!N24+Data!O24+Data!P24+Data!Q24+Data!R24+Data!S24</f>
        <v>161650</v>
      </c>
      <c r="D24" s="16" t="n">
        <f aca="false">Data!D24+Data!E24+Data!G24+Data!H24+Data!I24+Data!J24+Data!K24+Data!L24+Data!M24</f>
        <v>97748</v>
      </c>
      <c r="E24" s="16" t="n">
        <f aca="false">Data!D24</f>
        <v>28188</v>
      </c>
      <c r="F24" s="16" t="n">
        <f aca="false">Data!E24</f>
        <v>29959</v>
      </c>
      <c r="G24" s="16" t="n">
        <f aca="false">Data!K24</f>
        <v>5419</v>
      </c>
      <c r="H24" s="16" t="n">
        <f aca="false">Data!L24</f>
        <v>5519</v>
      </c>
      <c r="I24" s="16" t="n">
        <f aca="false">Data!G24</f>
        <v>12154</v>
      </c>
      <c r="J24" s="16" t="n">
        <f aca="false">Data!H24+Data!I24+Data!J24+Data!M24</f>
        <v>16509</v>
      </c>
      <c r="K24" s="16" t="n">
        <f aca="false">Data!F24</f>
        <v>53915</v>
      </c>
      <c r="L24" s="16" t="n">
        <f aca="false">Data!N24+Data!O24+Data!P24+Data!Q24+Data!R24+Data!S24</f>
        <v>9987</v>
      </c>
      <c r="M24" s="15" t="n">
        <f aca="false">Data!T24+Data!U24+Data!V24+Data!W24+Data!X24+Data!Y24+Data!Z24+Data!AA24+Data!AB24+Data!AC24+Data!AD24+Data!AE24+Data!AF24+Data!AG24+Data!AH24+Data!AI24+Data!AJ24+Data!AK24+Data!AL24</f>
        <v>218689</v>
      </c>
      <c r="N24" s="16" t="n">
        <f aca="false">Data!T24+Data!U24+Data!V24+Data!W24</f>
        <v>128370</v>
      </c>
      <c r="O24" s="16" t="n">
        <f aca="false">Data!T24</f>
        <v>98340</v>
      </c>
      <c r="P24" s="16" t="n">
        <f aca="false">Data!U24</f>
        <v>11753</v>
      </c>
      <c r="Q24" s="16" t="n">
        <f aca="false">Data!V24</f>
        <v>10042</v>
      </c>
      <c r="R24" s="16" t="n">
        <f aca="false">Data!W24</f>
        <v>8235</v>
      </c>
      <c r="S24" s="16" t="n">
        <f aca="false">Data!X24</f>
        <v>3778</v>
      </c>
      <c r="T24" s="16" t="n">
        <f aca="false">Data!Y24+Data!Z24+Data!AA24</f>
        <v>19224</v>
      </c>
      <c r="U24" s="16" t="n">
        <f aca="false">Data!Y24</f>
        <v>10799</v>
      </c>
      <c r="V24" s="16" t="n">
        <f aca="false">Data!Z24</f>
        <v>6750</v>
      </c>
      <c r="W24" s="16" t="n">
        <f aca="false">Data!AB24</f>
        <v>25913</v>
      </c>
      <c r="X24" s="16" t="n">
        <f aca="false">Data!AC24</f>
        <v>11534</v>
      </c>
      <c r="Y24" s="16" t="n">
        <f aca="false">Data!AD24+Data!AE24+Data!AF24+Data!AG24+Data!AH24</f>
        <v>5087</v>
      </c>
      <c r="Z24" s="16" t="n">
        <f aca="false">Data!AI24</f>
        <v>5838</v>
      </c>
      <c r="AA24" s="16" t="n">
        <f aca="false">Data!AJ24</f>
        <v>1156</v>
      </c>
      <c r="AB24" s="16" t="n">
        <f aca="false">Data!AK24</f>
        <v>2673</v>
      </c>
      <c r="AC24" s="16" t="n">
        <f aca="false">Data!AL24</f>
        <v>15116</v>
      </c>
      <c r="AD24" s="15" t="n">
        <f aca="false">Data!AM24</f>
        <v>-57039</v>
      </c>
      <c r="AE24" s="16" t="n">
        <f aca="false">Data!AN24</f>
        <v>34813</v>
      </c>
      <c r="AF24" s="15" t="n">
        <f aca="false">Data!AO24</f>
        <v>-91852</v>
      </c>
    </row>
    <row r="25" customFormat="false" ht="15" hidden="false" customHeight="false" outlineLevel="0" collapsed="false">
      <c r="B25" s="14" t="str">
        <f aca="false">Data!B25</f>
        <v>2017-07</v>
      </c>
      <c r="C25" s="15" t="n">
        <f aca="false">Data!D25+Data!E25+Data!F25+Data!G25+Data!H25+Data!I25+Data!J25+Data!K25+Data!L25+Data!M25+Data!N25+Data!O25+Data!P25+Data!Q25+Data!R25+Data!S25</f>
        <v>185138</v>
      </c>
      <c r="D25" s="16" t="n">
        <f aca="false">Data!D25+Data!E25+Data!G25+Data!H25+Data!I25+Data!J25+Data!K25+Data!L25+Data!M25</f>
        <v>95974</v>
      </c>
      <c r="E25" s="16" t="n">
        <f aca="false">Data!D25</f>
        <v>29200</v>
      </c>
      <c r="F25" s="16" t="n">
        <f aca="false">Data!E25</f>
        <v>25373</v>
      </c>
      <c r="G25" s="16" t="n">
        <f aca="false">Data!K25</f>
        <v>7621</v>
      </c>
      <c r="H25" s="16" t="n">
        <f aca="false">Data!L25</f>
        <v>5551</v>
      </c>
      <c r="I25" s="16" t="n">
        <f aca="false">Data!G25</f>
        <v>12252</v>
      </c>
      <c r="J25" s="16" t="n">
        <f aca="false">Data!H25+Data!I25+Data!J25+Data!M25</f>
        <v>15977</v>
      </c>
      <c r="K25" s="16" t="n">
        <f aca="false">Data!F25</f>
        <v>77911</v>
      </c>
      <c r="L25" s="16" t="n">
        <f aca="false">Data!N25+Data!O25+Data!P25+Data!Q25+Data!R25+Data!S25</f>
        <v>11253</v>
      </c>
      <c r="M25" s="15" t="n">
        <f aca="false">Data!T25+Data!U25+Data!V25+Data!W25+Data!X25+Data!Y25+Data!Z25+Data!AA25+Data!AB25+Data!AC25+Data!AD25+Data!AE25+Data!AF25+Data!AG25+Data!AH25+Data!AI25+Data!AJ25+Data!AK25+Data!AL25</f>
        <v>207228</v>
      </c>
      <c r="N25" s="16" t="n">
        <f aca="false">Data!T25+Data!U25+Data!V25+Data!W25</f>
        <v>101653</v>
      </c>
      <c r="O25" s="16" t="n">
        <f aca="false">Data!T25</f>
        <v>72582</v>
      </c>
      <c r="P25" s="16" t="n">
        <f aca="false">Data!U25</f>
        <v>10945</v>
      </c>
      <c r="Q25" s="16" t="n">
        <f aca="false">Data!V25</f>
        <v>7770</v>
      </c>
      <c r="R25" s="16" t="n">
        <f aca="false">Data!W25</f>
        <v>10356</v>
      </c>
      <c r="S25" s="16" t="n">
        <f aca="false">Data!X25</f>
        <v>2628</v>
      </c>
      <c r="T25" s="16" t="n">
        <f aca="false">Data!Y25+Data!Z25+Data!AA25</f>
        <v>20152</v>
      </c>
      <c r="U25" s="16" t="n">
        <f aca="false">Data!Y25</f>
        <v>11105</v>
      </c>
      <c r="V25" s="16" t="n">
        <f aca="false">Data!Z25</f>
        <v>8024</v>
      </c>
      <c r="W25" s="16" t="n">
        <f aca="false">Data!AB25</f>
        <v>35041</v>
      </c>
      <c r="X25" s="16" t="n">
        <f aca="false">Data!AC25</f>
        <v>8827</v>
      </c>
      <c r="Y25" s="16" t="n">
        <f aca="false">Data!AD25+Data!AE25+Data!AF25+Data!AG25+Data!AH25</f>
        <v>6029</v>
      </c>
      <c r="Z25" s="16" t="n">
        <f aca="false">Data!AI25</f>
        <v>8855</v>
      </c>
      <c r="AA25" s="16" t="n">
        <f aca="false">Data!AJ25</f>
        <v>32</v>
      </c>
      <c r="AB25" s="16" t="n">
        <f aca="false">Data!AK25</f>
        <v>3236</v>
      </c>
      <c r="AC25" s="16" t="n">
        <f aca="false">Data!AL25</f>
        <v>20775</v>
      </c>
      <c r="AD25" s="15" t="n">
        <f aca="false">Data!AM25</f>
        <v>-22090</v>
      </c>
      <c r="AE25" s="16" t="n">
        <f aca="false">Data!AN25</f>
        <v>10631</v>
      </c>
      <c r="AF25" s="15" t="n">
        <f aca="false">Data!AO25</f>
        <v>-32721</v>
      </c>
    </row>
    <row r="26" customFormat="false" ht="15" hidden="false" customHeight="false" outlineLevel="0" collapsed="false">
      <c r="B26" s="14" t="str">
        <f aca="false">Data!B26</f>
        <v>2017-08</v>
      </c>
      <c r="C26" s="15" t="n">
        <f aca="false">Data!D26+Data!E26+Data!F26+Data!G26+Data!H26+Data!I26+Data!J26+Data!K26+Data!L26+Data!M26+Data!N26+Data!O26+Data!P26+Data!Q26+Data!R26+Data!S26</f>
        <v>168488</v>
      </c>
      <c r="D26" s="16" t="n">
        <f aca="false">Data!D26+Data!E26+Data!G26+Data!H26+Data!I26+Data!J26+Data!K26+Data!L26+Data!M26</f>
        <v>96681</v>
      </c>
      <c r="E26" s="16" t="n">
        <f aca="false">Data!D26</f>
        <v>31747</v>
      </c>
      <c r="F26" s="16" t="n">
        <f aca="false">Data!E26</f>
        <v>23787</v>
      </c>
      <c r="G26" s="16" t="n">
        <f aca="false">Data!K26</f>
        <v>6450</v>
      </c>
      <c r="H26" s="16" t="n">
        <f aca="false">Data!L26</f>
        <v>6780</v>
      </c>
      <c r="I26" s="16" t="n">
        <f aca="false">Data!G26</f>
        <v>12029</v>
      </c>
      <c r="J26" s="16" t="n">
        <f aca="false">Data!H26+Data!I26+Data!J26+Data!M26</f>
        <v>15888</v>
      </c>
      <c r="K26" s="16" t="n">
        <f aca="false">Data!F26</f>
        <v>58459</v>
      </c>
      <c r="L26" s="16" t="n">
        <f aca="false">Data!N26+Data!O26+Data!P26+Data!Q26+Data!R26+Data!S26</f>
        <v>13348</v>
      </c>
      <c r="M26" s="15" t="n">
        <f aca="false">Data!T26+Data!U26+Data!V26+Data!W26+Data!X26+Data!Y26+Data!Z26+Data!AA26+Data!AB26+Data!AC26+Data!AD26+Data!AE26+Data!AF26+Data!AG26+Data!AH26+Data!AI26+Data!AJ26+Data!AK26+Data!AL26</f>
        <v>193139</v>
      </c>
      <c r="N26" s="16" t="n">
        <f aca="false">Data!T26+Data!U26+Data!V26+Data!W26</f>
        <v>98476</v>
      </c>
      <c r="O26" s="16" t="n">
        <f aca="false">Data!T26</f>
        <v>70302</v>
      </c>
      <c r="P26" s="16" t="n">
        <f aca="false">Data!U26</f>
        <v>11635</v>
      </c>
      <c r="Q26" s="16" t="n">
        <f aca="false">Data!V26</f>
        <v>7950</v>
      </c>
      <c r="R26" s="16" t="n">
        <f aca="false">Data!W26</f>
        <v>8589</v>
      </c>
      <c r="S26" s="16" t="n">
        <f aca="false">Data!X26</f>
        <v>3643</v>
      </c>
      <c r="T26" s="16" t="n">
        <f aca="false">Data!Y26+Data!Z26+Data!AA26</f>
        <v>16067</v>
      </c>
      <c r="U26" s="16" t="n">
        <f aca="false">Data!Y26</f>
        <v>9157</v>
      </c>
      <c r="V26" s="16" t="n">
        <f aca="false">Data!Z26</f>
        <v>6076</v>
      </c>
      <c r="W26" s="16" t="n">
        <f aca="false">Data!AB26</f>
        <v>27073</v>
      </c>
      <c r="X26" s="16" t="n">
        <f aca="false">Data!AC26</f>
        <v>8695</v>
      </c>
      <c r="Y26" s="16" t="n">
        <f aca="false">Data!AD26+Data!AE26+Data!AF26+Data!AG26+Data!AH26</f>
        <v>5749</v>
      </c>
      <c r="Z26" s="16" t="n">
        <f aca="false">Data!AI26</f>
        <v>7176</v>
      </c>
      <c r="AA26" s="16" t="n">
        <f aca="false">Data!AJ26</f>
        <v>2834</v>
      </c>
      <c r="AB26" s="16" t="n">
        <f aca="false">Data!AK26</f>
        <v>4038</v>
      </c>
      <c r="AC26" s="16" t="n">
        <f aca="false">Data!AL26</f>
        <v>19388</v>
      </c>
      <c r="AD26" s="15" t="n">
        <f aca="false">Data!AM26</f>
        <v>-24651</v>
      </c>
      <c r="AE26" s="16" t="n">
        <f aca="false">Data!AN26</f>
        <v>6895</v>
      </c>
      <c r="AF26" s="15" t="n">
        <f aca="false">Data!AO26</f>
        <v>-31545</v>
      </c>
    </row>
    <row r="27" customFormat="false" ht="15" hidden="false" customHeight="false" outlineLevel="0" collapsed="false">
      <c r="B27" s="14" t="str">
        <f aca="false">Data!B27</f>
        <v>2017-09</v>
      </c>
      <c r="C27" s="15" t="n">
        <f aca="false">Data!D27+Data!E27+Data!F27+Data!G27+Data!H27+Data!I27+Data!J27+Data!K27+Data!L27+Data!M27+Data!N27+Data!O27+Data!P27+Data!Q27+Data!R27+Data!S27</f>
        <v>166705</v>
      </c>
      <c r="D27" s="16" t="n">
        <f aca="false">Data!D27+Data!E27+Data!G27+Data!H27+Data!I27+Data!J27+Data!K27+Data!L27+Data!M27</f>
        <v>96766</v>
      </c>
      <c r="E27" s="16" t="n">
        <f aca="false">Data!D27</f>
        <v>31390</v>
      </c>
      <c r="F27" s="16" t="n">
        <f aca="false">Data!E27</f>
        <v>25382</v>
      </c>
      <c r="G27" s="16" t="n">
        <f aca="false">Data!K27</f>
        <v>4812</v>
      </c>
      <c r="H27" s="16" t="n">
        <f aca="false">Data!L27</f>
        <v>6495</v>
      </c>
      <c r="I27" s="16" t="n">
        <f aca="false">Data!G27</f>
        <v>13200</v>
      </c>
      <c r="J27" s="16" t="n">
        <f aca="false">Data!H27+Data!I27+Data!J27+Data!M27</f>
        <v>15487</v>
      </c>
      <c r="K27" s="16" t="n">
        <f aca="false">Data!F27</f>
        <v>60214</v>
      </c>
      <c r="L27" s="16" t="n">
        <f aca="false">Data!N27+Data!O27+Data!P27+Data!Q27+Data!R27+Data!S27</f>
        <v>9725</v>
      </c>
      <c r="M27" s="15" t="n">
        <f aca="false">Data!T27+Data!U27+Data!V27+Data!W27+Data!X27+Data!Y27+Data!Z27+Data!AA27+Data!AB27+Data!AC27+Data!AD27+Data!AE27+Data!AF27+Data!AG27+Data!AH27+Data!AI27+Data!AJ27+Data!AK27+Data!AL27</f>
        <v>198058</v>
      </c>
      <c r="N27" s="16" t="n">
        <f aca="false">Data!T27+Data!U27+Data!V27+Data!W27</f>
        <v>107395</v>
      </c>
      <c r="O27" s="16" t="n">
        <f aca="false">Data!T27</f>
        <v>77813</v>
      </c>
      <c r="P27" s="16" t="n">
        <f aca="false">Data!U27</f>
        <v>12133</v>
      </c>
      <c r="Q27" s="16" t="n">
        <f aca="false">Data!V27</f>
        <v>8593</v>
      </c>
      <c r="R27" s="16" t="n">
        <f aca="false">Data!W27</f>
        <v>8856</v>
      </c>
      <c r="S27" s="16" t="n">
        <f aca="false">Data!X27</f>
        <v>4088</v>
      </c>
      <c r="T27" s="16" t="n">
        <f aca="false">Data!Y27+Data!Z27+Data!AA27</f>
        <v>15575</v>
      </c>
      <c r="U27" s="16" t="n">
        <f aca="false">Data!Y27</f>
        <v>8295</v>
      </c>
      <c r="V27" s="16" t="n">
        <f aca="false">Data!Z27</f>
        <v>6252</v>
      </c>
      <c r="W27" s="16" t="n">
        <f aca="false">Data!AB27</f>
        <v>27449</v>
      </c>
      <c r="X27" s="16" t="n">
        <f aca="false">Data!AC27</f>
        <v>9433</v>
      </c>
      <c r="Y27" s="16" t="n">
        <f aca="false">Data!AD27+Data!AE27+Data!AF27+Data!AG27+Data!AH27</f>
        <v>5730</v>
      </c>
      <c r="Z27" s="16" t="n">
        <f aca="false">Data!AI27</f>
        <v>6893</v>
      </c>
      <c r="AA27" s="16" t="n">
        <f aca="false">Data!AJ27</f>
        <v>616</v>
      </c>
      <c r="AB27" s="16" t="n">
        <f aca="false">Data!AK27</f>
        <v>3456</v>
      </c>
      <c r="AC27" s="16" t="n">
        <f aca="false">Data!AL27</f>
        <v>17423</v>
      </c>
      <c r="AD27" s="15" t="n">
        <f aca="false">Data!AM27</f>
        <v>-31353</v>
      </c>
      <c r="AE27" s="16" t="n">
        <f aca="false">Data!AN27</f>
        <v>19824</v>
      </c>
      <c r="AF27" s="15" t="n">
        <f aca="false">Data!AO27</f>
        <v>-51177</v>
      </c>
    </row>
    <row r="28" customFormat="false" ht="15" hidden="false" customHeight="false" outlineLevel="0" collapsed="false">
      <c r="B28" s="14" t="str">
        <f aca="false">Data!B28</f>
        <v>2017-10</v>
      </c>
      <c r="C28" s="15" t="n">
        <f aca="false">Data!D28+Data!E28+Data!F28+Data!G28+Data!H28+Data!I28+Data!J28+Data!K28+Data!L28+Data!M28+Data!N28+Data!O28+Data!P28+Data!Q28+Data!R28+Data!S28</f>
        <v>168756</v>
      </c>
      <c r="D28" s="16" t="n">
        <f aca="false">Data!D28+Data!E28+Data!G28+Data!H28+Data!I28+Data!J28+Data!K28+Data!L28+Data!M28</f>
        <v>93292</v>
      </c>
      <c r="E28" s="16" t="n">
        <f aca="false">Data!D28</f>
        <v>31759</v>
      </c>
      <c r="F28" s="16" t="n">
        <f aca="false">Data!E28</f>
        <v>23973</v>
      </c>
      <c r="G28" s="16" t="n">
        <f aca="false">Data!K28</f>
        <v>3741</v>
      </c>
      <c r="H28" s="16" t="n">
        <f aca="false">Data!L28</f>
        <v>6524</v>
      </c>
      <c r="I28" s="16" t="n">
        <f aca="false">Data!G28</f>
        <v>11792</v>
      </c>
      <c r="J28" s="16" t="n">
        <f aca="false">Data!H28+Data!I28+Data!J28+Data!M28</f>
        <v>15503</v>
      </c>
      <c r="K28" s="16" t="n">
        <f aca="false">Data!F28</f>
        <v>62465</v>
      </c>
      <c r="L28" s="16" t="n">
        <f aca="false">Data!N28+Data!O28+Data!P28+Data!Q28+Data!R28+Data!S28</f>
        <v>12999</v>
      </c>
      <c r="M28" s="15" t="n">
        <f aca="false">Data!T28+Data!U28+Data!V28+Data!W28+Data!X28+Data!Y28+Data!Z28+Data!AA28+Data!AB28+Data!AC28+Data!AD28+Data!AE28+Data!AF28+Data!AG28+Data!AH28+Data!AI28+Data!AJ28+Data!AK28+Data!AL28</f>
        <v>201251</v>
      </c>
      <c r="N28" s="16" t="n">
        <f aca="false">Data!T28+Data!U28+Data!V28+Data!W28</f>
        <v>110725</v>
      </c>
      <c r="O28" s="16" t="n">
        <f aca="false">Data!T28</f>
        <v>81403</v>
      </c>
      <c r="P28" s="16" t="n">
        <f aca="false">Data!U28</f>
        <v>12190</v>
      </c>
      <c r="Q28" s="16" t="n">
        <f aca="false">Data!V28</f>
        <v>8488</v>
      </c>
      <c r="R28" s="16" t="n">
        <f aca="false">Data!W28</f>
        <v>8644</v>
      </c>
      <c r="S28" s="16" t="n">
        <f aca="false">Data!X28</f>
        <v>3217</v>
      </c>
      <c r="T28" s="16" t="n">
        <f aca="false">Data!Y28+Data!Z28+Data!AA28</f>
        <v>16650</v>
      </c>
      <c r="U28" s="16" t="n">
        <f aca="false">Data!Y28</f>
        <v>9108</v>
      </c>
      <c r="V28" s="16" t="n">
        <f aca="false">Data!Z28</f>
        <v>6739</v>
      </c>
      <c r="W28" s="16" t="n">
        <f aca="false">Data!AB28</f>
        <v>27699</v>
      </c>
      <c r="X28" s="16" t="n">
        <f aca="false">Data!AC28</f>
        <v>8314</v>
      </c>
      <c r="Y28" s="16" t="n">
        <f aca="false">Data!AD28+Data!AE28+Data!AF28+Data!AG28+Data!AH28</f>
        <v>5506</v>
      </c>
      <c r="Z28" s="16" t="n">
        <f aca="false">Data!AI28</f>
        <v>6842</v>
      </c>
      <c r="AA28" s="16" t="n">
        <f aca="false">Data!AJ28</f>
        <v>852</v>
      </c>
      <c r="AB28" s="16" t="n">
        <f aca="false">Data!AK28</f>
        <v>4724</v>
      </c>
      <c r="AC28" s="16" t="n">
        <f aca="false">Data!AL28</f>
        <v>16722</v>
      </c>
      <c r="AD28" s="15" t="n">
        <f aca="false">Data!AM28</f>
        <v>-32495</v>
      </c>
      <c r="AE28" s="16" t="n">
        <f aca="false">Data!AN28</f>
        <v>29437</v>
      </c>
      <c r="AF28" s="15" t="n">
        <f aca="false">Data!AO28</f>
        <v>-61932</v>
      </c>
    </row>
    <row r="29" customFormat="false" ht="15" hidden="false" customHeight="false" outlineLevel="0" collapsed="false">
      <c r="B29" s="14" t="str">
        <f aca="false">Data!B29</f>
        <v>2017-11</v>
      </c>
      <c r="C29" s="15" t="n">
        <f aca="false">Data!D29+Data!E29+Data!F29+Data!G29+Data!H29+Data!I29+Data!J29+Data!K29+Data!L29+Data!M29+Data!N29+Data!O29+Data!P29+Data!Q29+Data!R29+Data!S29</f>
        <v>172674</v>
      </c>
      <c r="D29" s="16" t="n">
        <f aca="false">Data!D29+Data!E29+Data!G29+Data!H29+Data!I29+Data!J29+Data!K29+Data!L29+Data!M29</f>
        <v>96398</v>
      </c>
      <c r="E29" s="16" t="n">
        <f aca="false">Data!D29</f>
        <v>33842</v>
      </c>
      <c r="F29" s="16" t="n">
        <f aca="false">Data!E29</f>
        <v>23293</v>
      </c>
      <c r="G29" s="16" t="n">
        <f aca="false">Data!K29</f>
        <v>4074</v>
      </c>
      <c r="H29" s="16" t="n">
        <f aca="false">Data!L29</f>
        <v>6596</v>
      </c>
      <c r="I29" s="16" t="n">
        <f aca="false">Data!G29</f>
        <v>12948</v>
      </c>
      <c r="J29" s="16" t="n">
        <f aca="false">Data!H29+Data!I29+Data!J29+Data!M29</f>
        <v>15645</v>
      </c>
      <c r="K29" s="16" t="n">
        <f aca="false">Data!F29</f>
        <v>62415</v>
      </c>
      <c r="L29" s="16" t="n">
        <f aca="false">Data!N29+Data!O29+Data!P29+Data!Q29+Data!R29+Data!S29</f>
        <v>13861</v>
      </c>
      <c r="M29" s="15" t="n">
        <f aca="false">Data!T29+Data!U29+Data!V29+Data!W29+Data!X29+Data!Y29+Data!Z29+Data!AA29+Data!AB29+Data!AC29+Data!AD29+Data!AE29+Data!AF29+Data!AG29+Data!AH29+Data!AI29+Data!AJ29+Data!AK29+Data!AL29</f>
        <v>202335</v>
      </c>
      <c r="N29" s="16" t="n">
        <f aca="false">Data!T29+Data!U29+Data!V29+Data!W29</f>
        <v>111199</v>
      </c>
      <c r="O29" s="16" t="n">
        <f aca="false">Data!T29</f>
        <v>80886</v>
      </c>
      <c r="P29" s="16" t="n">
        <f aca="false">Data!U29</f>
        <v>12449</v>
      </c>
      <c r="Q29" s="16" t="n">
        <f aca="false">Data!V29</f>
        <v>9191</v>
      </c>
      <c r="R29" s="16" t="n">
        <f aca="false">Data!W29</f>
        <v>8673</v>
      </c>
      <c r="S29" s="16" t="n">
        <f aca="false">Data!X29</f>
        <v>4018</v>
      </c>
      <c r="T29" s="16" t="n">
        <f aca="false">Data!Y29+Data!Z29+Data!AA29</f>
        <v>16830</v>
      </c>
      <c r="U29" s="16" t="n">
        <f aca="false">Data!Y29</f>
        <v>8274</v>
      </c>
      <c r="V29" s="16" t="n">
        <f aca="false">Data!Z29</f>
        <v>8240</v>
      </c>
      <c r="W29" s="16" t="n">
        <f aca="false">Data!AB29</f>
        <v>28340</v>
      </c>
      <c r="X29" s="16" t="n">
        <f aca="false">Data!AC29</f>
        <v>11753</v>
      </c>
      <c r="Y29" s="16" t="n">
        <f aca="false">Data!AD29+Data!AE29+Data!AF29+Data!AG29+Data!AH29</f>
        <v>6367</v>
      </c>
      <c r="Z29" s="16" t="n">
        <f aca="false">Data!AI29</f>
        <v>6889</v>
      </c>
      <c r="AA29" s="16" t="n">
        <f aca="false">Data!AJ29</f>
        <v>162</v>
      </c>
      <c r="AB29" s="16" t="n">
        <f aca="false">Data!AK29</f>
        <v>4664</v>
      </c>
      <c r="AC29" s="16" t="n">
        <f aca="false">Data!AL29</f>
        <v>12113</v>
      </c>
      <c r="AD29" s="15" t="n">
        <f aca="false">Data!AM29</f>
        <v>-29661</v>
      </c>
      <c r="AE29" s="16" t="n">
        <f aca="false">Data!AN29</f>
        <v>16360</v>
      </c>
      <c r="AF29" s="15" t="n">
        <f aca="false">Data!AO29</f>
        <v>-46021</v>
      </c>
    </row>
    <row r="30" customFormat="false" ht="15" hidden="false" customHeight="false" outlineLevel="0" collapsed="false">
      <c r="B30" s="14" t="str">
        <f aca="false">Data!B30</f>
        <v>2017-12</v>
      </c>
      <c r="C30" s="15" t="n">
        <f aca="false">Data!D30+Data!E30+Data!F30+Data!G30+Data!H30+Data!I30+Data!J30+Data!K30+Data!L30+Data!M30+Data!N30+Data!O30+Data!P30+Data!Q30+Data!R30+Data!S30</f>
        <v>190504</v>
      </c>
      <c r="D30" s="16" t="n">
        <f aca="false">Data!D30+Data!E30+Data!G30+Data!H30+Data!I30+Data!J30+Data!K30+Data!L30+Data!M30</f>
        <v>100845</v>
      </c>
      <c r="E30" s="16" t="n">
        <f aca="false">Data!D30</f>
        <v>34370</v>
      </c>
      <c r="F30" s="16" t="n">
        <f aca="false">Data!E30</f>
        <v>26877</v>
      </c>
      <c r="G30" s="16" t="n">
        <f aca="false">Data!K30</f>
        <v>5138</v>
      </c>
      <c r="H30" s="16" t="n">
        <f aca="false">Data!L30</f>
        <v>4598</v>
      </c>
      <c r="I30" s="16" t="n">
        <f aca="false">Data!G30</f>
        <v>11726</v>
      </c>
      <c r="J30" s="16" t="n">
        <f aca="false">Data!H30+Data!I30+Data!J30+Data!M30</f>
        <v>18136</v>
      </c>
      <c r="K30" s="16" t="n">
        <f aca="false">Data!F30</f>
        <v>64872</v>
      </c>
      <c r="L30" s="16" t="n">
        <f aca="false">Data!N30+Data!O30+Data!P30+Data!Q30+Data!R30+Data!S30</f>
        <v>24787</v>
      </c>
      <c r="M30" s="15" t="n">
        <f aca="false">Data!T30+Data!U30+Data!V30+Data!W30+Data!X30+Data!Y30+Data!Z30+Data!AA30+Data!AB30+Data!AC30+Data!AD30+Data!AE30+Data!AF30+Data!AG30+Data!AH30+Data!AI30+Data!AJ30+Data!AK30+Data!AL30</f>
        <v>310111</v>
      </c>
      <c r="N30" s="16" t="n">
        <f aca="false">Data!T30+Data!U30+Data!V30+Data!W30</f>
        <v>147813</v>
      </c>
      <c r="O30" s="16" t="n">
        <f aca="false">Data!T30</f>
        <v>115823</v>
      </c>
      <c r="P30" s="16" t="n">
        <f aca="false">Data!U30</f>
        <v>12710</v>
      </c>
      <c r="Q30" s="16" t="n">
        <f aca="false">Data!V30</f>
        <v>9331</v>
      </c>
      <c r="R30" s="16" t="n">
        <f aca="false">Data!W30</f>
        <v>9949</v>
      </c>
      <c r="S30" s="16" t="n">
        <f aca="false">Data!X30</f>
        <v>6548</v>
      </c>
      <c r="T30" s="16" t="n">
        <f aca="false">Data!Y30+Data!Z30+Data!AA30</f>
        <v>48305</v>
      </c>
      <c r="U30" s="16" t="n">
        <f aca="false">Data!Y30</f>
        <v>35193</v>
      </c>
      <c r="V30" s="16" t="n">
        <f aca="false">Data!Z30</f>
        <v>12539</v>
      </c>
      <c r="W30" s="16" t="n">
        <f aca="false">Data!AB30</f>
        <v>39425</v>
      </c>
      <c r="X30" s="16" t="n">
        <f aca="false">Data!AC30</f>
        <v>10471</v>
      </c>
      <c r="Y30" s="16" t="n">
        <f aca="false">Data!AD30+Data!AE30+Data!AF30+Data!AG30+Data!AH30</f>
        <v>21984</v>
      </c>
      <c r="Z30" s="16" t="n">
        <f aca="false">Data!AI30</f>
        <v>10353</v>
      </c>
      <c r="AA30" s="16" t="n">
        <f aca="false">Data!AJ30</f>
        <v>1574</v>
      </c>
      <c r="AB30" s="16" t="n">
        <f aca="false">Data!AK30</f>
        <v>6904</v>
      </c>
      <c r="AC30" s="16" t="n">
        <f aca="false">Data!AL30</f>
        <v>16734</v>
      </c>
      <c r="AD30" s="15" t="n">
        <f aca="false">Data!AM30</f>
        <v>-119607</v>
      </c>
      <c r="AE30" s="16" t="n">
        <f aca="false">Data!AN30</f>
        <v>30501</v>
      </c>
      <c r="AF30" s="15" t="n">
        <f aca="false">Data!AO30</f>
        <v>-150108</v>
      </c>
    </row>
    <row r="31" customFormat="false" ht="15" hidden="false" customHeight="false" outlineLevel="0" collapsed="false">
      <c r="B31" s="14" t="str">
        <f aca="false">Data!B31</f>
        <v>2018-01</v>
      </c>
      <c r="C31" s="15" t="n">
        <f aca="false">Data!D31+Data!E31+Data!F31+Data!G31+Data!H31+Data!I31+Data!J31+Data!K31+Data!L31+Data!M31+Data!N31+Data!O31+Data!P31+Data!Q31+Data!R31+Data!S31</f>
        <v>203131</v>
      </c>
      <c r="D31" s="16" t="n">
        <f aca="false">Data!D31+Data!E31+Data!G31+Data!H31+Data!I31+Data!J31+Data!K31+Data!L31+Data!M31</f>
        <v>100864</v>
      </c>
      <c r="E31" s="16" t="n">
        <f aca="false">Data!D31</f>
        <v>38433</v>
      </c>
      <c r="F31" s="16" t="n">
        <f aca="false">Data!E31</f>
        <v>19291</v>
      </c>
      <c r="G31" s="16" t="n">
        <f aca="false">Data!K31</f>
        <v>2708</v>
      </c>
      <c r="H31" s="16" t="n">
        <f aca="false">Data!L31</f>
        <v>7781</v>
      </c>
      <c r="I31" s="16" t="n">
        <f aca="false">Data!G31</f>
        <v>19130</v>
      </c>
      <c r="J31" s="16" t="n">
        <f aca="false">Data!H31+Data!I31+Data!J31+Data!M31</f>
        <v>13521</v>
      </c>
      <c r="K31" s="16" t="n">
        <f aca="false">Data!F31</f>
        <v>86642</v>
      </c>
      <c r="L31" s="16" t="n">
        <f aca="false">Data!N31+Data!O31+Data!P31+Data!Q31+Data!R31+Data!S31</f>
        <v>15625</v>
      </c>
      <c r="M31" s="15" t="n">
        <f aca="false">Data!T31+Data!U31+Data!V31+Data!W31+Data!X31+Data!Y31+Data!Z31+Data!AA31+Data!AB31+Data!AC31+Data!AD31+Data!AE31+Data!AF31+Data!AG31+Data!AH31+Data!AI31+Data!AJ31+Data!AK31+Data!AL31</f>
        <v>199202</v>
      </c>
      <c r="N31" s="16" t="n">
        <f aca="false">Data!T31+Data!U31+Data!V31+Data!W31</f>
        <v>115705</v>
      </c>
      <c r="O31" s="16" t="n">
        <f aca="false">Data!T31</f>
        <v>85101</v>
      </c>
      <c r="P31" s="16" t="n">
        <f aca="false">Data!U31</f>
        <v>12216</v>
      </c>
      <c r="Q31" s="16" t="n">
        <f aca="false">Data!V31</f>
        <v>7136</v>
      </c>
      <c r="R31" s="16" t="n">
        <f aca="false">Data!W31</f>
        <v>11252</v>
      </c>
      <c r="S31" s="16" t="n">
        <f aca="false">Data!X31</f>
        <v>1549</v>
      </c>
      <c r="T31" s="16" t="n">
        <f aca="false">Data!Y31+Data!Z31+Data!AA31</f>
        <v>9149</v>
      </c>
      <c r="U31" s="16" t="n">
        <f aca="false">Data!Y31</f>
        <v>2591</v>
      </c>
      <c r="V31" s="16" t="n">
        <f aca="false">Data!Z31</f>
        <v>6199</v>
      </c>
      <c r="W31" s="16" t="n">
        <f aca="false">Data!AB31</f>
        <v>31442</v>
      </c>
      <c r="X31" s="16" t="n">
        <f aca="false">Data!AC31</f>
        <v>10314</v>
      </c>
      <c r="Y31" s="16" t="n">
        <f aca="false">Data!AD31+Data!AE31+Data!AF31+Data!AG31+Data!AH31</f>
        <v>7003</v>
      </c>
      <c r="Z31" s="16" t="n">
        <f aca="false">Data!AI31</f>
        <v>7358</v>
      </c>
      <c r="AA31" s="16" t="n">
        <f aca="false">Data!AJ31</f>
        <v>1433</v>
      </c>
      <c r="AB31" s="16" t="n">
        <f aca="false">Data!AK31</f>
        <v>5100</v>
      </c>
      <c r="AC31" s="16" t="n">
        <f aca="false">Data!AL31</f>
        <v>10149</v>
      </c>
      <c r="AD31" s="15" t="n">
        <f aca="false">Data!AM31</f>
        <v>3929</v>
      </c>
      <c r="AE31" s="16" t="n">
        <f aca="false">Data!AN31</f>
        <v>29818</v>
      </c>
      <c r="AF31" s="15" t="n">
        <f aca="false">Data!AO31</f>
        <v>-25889</v>
      </c>
    </row>
    <row r="32" customFormat="false" ht="15" hidden="false" customHeight="false" outlineLevel="0" collapsed="false">
      <c r="B32" s="14" t="str">
        <f aca="false">Data!B32</f>
        <v>2018-02</v>
      </c>
      <c r="C32" s="15" t="n">
        <f aca="false">Data!D32+Data!E32+Data!F32+Data!G32+Data!H32+Data!I32+Data!J32+Data!K32+Data!L32+Data!M32+Data!N32+Data!O32+Data!P32+Data!Q32+Data!R32+Data!S32</f>
        <v>172967</v>
      </c>
      <c r="D32" s="16" t="n">
        <f aca="false">Data!D32+Data!E32+Data!G32+Data!H32+Data!I32+Data!J32+Data!K32+Data!L32+Data!M32</f>
        <v>91154</v>
      </c>
      <c r="E32" s="16" t="n">
        <f aca="false">Data!D32</f>
        <v>35211</v>
      </c>
      <c r="F32" s="16" t="n">
        <f aca="false">Data!E32</f>
        <v>17608</v>
      </c>
      <c r="G32" s="16" t="n">
        <f aca="false">Data!K32</f>
        <v>3927</v>
      </c>
      <c r="H32" s="16" t="n">
        <f aca="false">Data!L32</f>
        <v>6273</v>
      </c>
      <c r="I32" s="16" t="n">
        <f aca="false">Data!G32</f>
        <v>13734</v>
      </c>
      <c r="J32" s="16" t="n">
        <f aca="false">Data!H32+Data!I32+Data!J32+Data!M32</f>
        <v>14401</v>
      </c>
      <c r="K32" s="16" t="n">
        <f aca="false">Data!F32</f>
        <v>67190</v>
      </c>
      <c r="L32" s="16" t="n">
        <f aca="false">Data!N32+Data!O32+Data!P32+Data!Q32+Data!R32+Data!S32</f>
        <v>14623</v>
      </c>
      <c r="M32" s="15" t="n">
        <f aca="false">Data!T32+Data!U32+Data!V32+Data!W32+Data!X32+Data!Y32+Data!Z32+Data!AA32+Data!AB32+Data!AC32+Data!AD32+Data!AE32+Data!AF32+Data!AG32+Data!AH32+Data!AI32+Data!AJ32+Data!AK32+Data!AL32</f>
        <v>193195</v>
      </c>
      <c r="N32" s="16" t="n">
        <f aca="false">Data!T32+Data!U32+Data!V32+Data!W32</f>
        <v>111262</v>
      </c>
      <c r="O32" s="16" t="n">
        <f aca="false">Data!T32</f>
        <v>81233</v>
      </c>
      <c r="P32" s="16" t="n">
        <f aca="false">Data!U32</f>
        <v>12620</v>
      </c>
      <c r="Q32" s="16" t="n">
        <f aca="false">Data!V32</f>
        <v>8243</v>
      </c>
      <c r="R32" s="16" t="n">
        <f aca="false">Data!W32</f>
        <v>9166</v>
      </c>
      <c r="S32" s="16" t="n">
        <f aca="false">Data!X32</f>
        <v>3472</v>
      </c>
      <c r="T32" s="16" t="n">
        <f aca="false">Data!Y32+Data!Z32+Data!AA32</f>
        <v>9949</v>
      </c>
      <c r="U32" s="16" t="n">
        <f aca="false">Data!Y32</f>
        <v>2901</v>
      </c>
      <c r="V32" s="16" t="n">
        <f aca="false">Data!Z32</f>
        <v>6973</v>
      </c>
      <c r="W32" s="16" t="n">
        <f aca="false">Data!AB32</f>
        <v>28631</v>
      </c>
      <c r="X32" s="16" t="n">
        <f aca="false">Data!AC32</f>
        <v>8430</v>
      </c>
      <c r="Y32" s="16" t="n">
        <f aca="false">Data!AD32+Data!AE32+Data!AF32+Data!AG32+Data!AH32</f>
        <v>5441</v>
      </c>
      <c r="Z32" s="16" t="n">
        <f aca="false">Data!AI32</f>
        <v>8266</v>
      </c>
      <c r="AA32" s="16" t="n">
        <f aca="false">Data!AJ32</f>
        <v>345</v>
      </c>
      <c r="AB32" s="16" t="n">
        <f aca="false">Data!AK32</f>
        <v>3839</v>
      </c>
      <c r="AC32" s="16" t="n">
        <f aca="false">Data!AL32</f>
        <v>13560</v>
      </c>
      <c r="AD32" s="15" t="n">
        <f aca="false">Data!AM32</f>
        <v>-20228</v>
      </c>
      <c r="AE32" s="16" t="n">
        <f aca="false">Data!AN32</f>
        <v>7510</v>
      </c>
      <c r="AF32" s="15" t="n">
        <f aca="false">Data!AO32</f>
        <v>-27738</v>
      </c>
    </row>
    <row r="33" customFormat="false" ht="15" hidden="false" customHeight="false" outlineLevel="0" collapsed="false">
      <c r="B33" s="14" t="str">
        <f aca="false">Data!B33</f>
        <v>2018-03</v>
      </c>
      <c r="C33" s="15" t="n">
        <f aca="false">Data!D33+Data!E33+Data!F33+Data!G33+Data!H33+Data!I33+Data!J33+Data!K33+Data!L33+Data!M33+Data!N33+Data!O33+Data!P33+Data!Q33+Data!R33+Data!S33</f>
        <v>195944</v>
      </c>
      <c r="D33" s="16" t="n">
        <f aca="false">Data!D33+Data!E33+Data!G33+Data!H33+Data!I33+Data!J33+Data!K33+Data!L33+Data!M33</f>
        <v>94351</v>
      </c>
      <c r="E33" s="16" t="n">
        <f aca="false">Data!D33</f>
        <v>36397</v>
      </c>
      <c r="F33" s="16" t="n">
        <f aca="false">Data!E33</f>
        <v>18200</v>
      </c>
      <c r="G33" s="16" t="n">
        <f aca="false">Data!K33</f>
        <v>2130</v>
      </c>
      <c r="H33" s="16" t="n">
        <f aca="false">Data!L33</f>
        <v>7079</v>
      </c>
      <c r="I33" s="16" t="n">
        <f aca="false">Data!G33</f>
        <v>16213</v>
      </c>
      <c r="J33" s="16" t="n">
        <f aca="false">Data!H33+Data!I33+Data!J33+Data!M33</f>
        <v>14332</v>
      </c>
      <c r="K33" s="16" t="n">
        <f aca="false">Data!F33</f>
        <v>69225</v>
      </c>
      <c r="L33" s="16" t="n">
        <f aca="false">Data!N33+Data!O33+Data!P33+Data!Q33+Data!R33+Data!S33</f>
        <v>32368</v>
      </c>
      <c r="M33" s="15" t="n">
        <f aca="false">Data!T33+Data!U33+Data!V33+Data!W33+Data!X33+Data!Y33+Data!Z33+Data!AA33+Data!AB33+Data!AC33+Data!AD33+Data!AE33+Data!AF33+Data!AG33+Data!AH33+Data!AI33+Data!AJ33+Data!AK33+Data!AL33</f>
        <v>210646</v>
      </c>
      <c r="N33" s="16" t="n">
        <f aca="false">Data!T33+Data!U33+Data!V33+Data!W33</f>
        <v>125153</v>
      </c>
      <c r="O33" s="16" t="n">
        <f aca="false">Data!T33</f>
        <v>85898</v>
      </c>
      <c r="P33" s="16" t="n">
        <f aca="false">Data!U33</f>
        <v>20283</v>
      </c>
      <c r="Q33" s="16" t="n">
        <f aca="false">Data!V33</f>
        <v>9154</v>
      </c>
      <c r="R33" s="16" t="n">
        <f aca="false">Data!W33</f>
        <v>9818</v>
      </c>
      <c r="S33" s="16" t="n">
        <f aca="false">Data!X33</f>
        <v>6038</v>
      </c>
      <c r="T33" s="16" t="n">
        <f aca="false">Data!Y33+Data!Z33+Data!AA33</f>
        <v>9508</v>
      </c>
      <c r="U33" s="16" t="n">
        <f aca="false">Data!Y33</f>
        <v>2086</v>
      </c>
      <c r="V33" s="16" t="n">
        <f aca="false">Data!Z33</f>
        <v>7398</v>
      </c>
      <c r="W33" s="16" t="n">
        <f aca="false">Data!AB33</f>
        <v>28477</v>
      </c>
      <c r="X33" s="16" t="n">
        <f aca="false">Data!AC33</f>
        <v>8755</v>
      </c>
      <c r="Y33" s="16" t="n">
        <f aca="false">Data!AD33+Data!AE33+Data!AF33+Data!AG33+Data!AH33</f>
        <v>3802</v>
      </c>
      <c r="Z33" s="16" t="n">
        <f aca="false">Data!AI33</f>
        <v>8203</v>
      </c>
      <c r="AA33" s="16" t="n">
        <f aca="false">Data!AJ33</f>
        <v>562</v>
      </c>
      <c r="AB33" s="16" t="n">
        <f aca="false">Data!AK33</f>
        <v>4355</v>
      </c>
      <c r="AC33" s="16" t="n">
        <f aca="false">Data!AL33</f>
        <v>15793</v>
      </c>
      <c r="AD33" s="15" t="n">
        <f aca="false">Data!AM33</f>
        <v>-14702</v>
      </c>
      <c r="AE33" s="16" t="n">
        <f aca="false">Data!AN33</f>
        <v>23194</v>
      </c>
      <c r="AF33" s="15" t="n">
        <f aca="false">Data!AO33</f>
        <v>-37896</v>
      </c>
    </row>
    <row r="34" customFormat="false" ht="15" hidden="false" customHeight="false" outlineLevel="0" collapsed="false">
      <c r="B34" s="14" t="str">
        <f aca="false">Data!B34</f>
        <v>2018-04</v>
      </c>
      <c r="C34" s="15" t="n">
        <f aca="false">Data!D34+Data!E34+Data!F34+Data!G34+Data!H34+Data!I34+Data!J34+Data!K34+Data!L34+Data!M34+Data!N34+Data!O34+Data!P34+Data!Q34+Data!R34+Data!S34</f>
        <v>192964</v>
      </c>
      <c r="D34" s="16" t="n">
        <f aca="false">Data!D34+Data!E34+Data!G34+Data!H34+Data!I34+Data!J34+Data!K34+Data!L34+Data!M34</f>
        <v>98339</v>
      </c>
      <c r="E34" s="16" t="n">
        <f aca="false">Data!D34</f>
        <v>36042</v>
      </c>
      <c r="F34" s="16" t="n">
        <f aca="false">Data!E34</f>
        <v>15637</v>
      </c>
      <c r="G34" s="16" t="n">
        <f aca="false">Data!K34</f>
        <v>5314</v>
      </c>
      <c r="H34" s="16" t="n">
        <f aca="false">Data!L34</f>
        <v>7669</v>
      </c>
      <c r="I34" s="16" t="n">
        <f aca="false">Data!G34</f>
        <v>17938</v>
      </c>
      <c r="J34" s="16" t="n">
        <f aca="false">Data!H34+Data!I34+Data!J34+Data!M34</f>
        <v>15739</v>
      </c>
      <c r="K34" s="16" t="n">
        <f aca="false">Data!F34</f>
        <v>70875</v>
      </c>
      <c r="L34" s="16" t="n">
        <f aca="false">Data!N34+Data!O34+Data!P34+Data!Q34+Data!R34+Data!S34</f>
        <v>23750</v>
      </c>
      <c r="M34" s="15" t="n">
        <f aca="false">Data!T34+Data!U34+Data!V34+Data!W34+Data!X34+Data!Y34+Data!Z34+Data!AA34+Data!AB34+Data!AC34+Data!AD34+Data!AE34+Data!AF34+Data!AG34+Data!AH34+Data!AI34+Data!AJ34+Data!AK34+Data!AL34</f>
        <v>203306</v>
      </c>
      <c r="N34" s="16" t="n">
        <f aca="false">Data!T34+Data!U34+Data!V34+Data!W34</f>
        <v>116584</v>
      </c>
      <c r="O34" s="16" t="n">
        <f aca="false">Data!T34</f>
        <v>85564</v>
      </c>
      <c r="P34" s="16" t="n">
        <f aca="false">Data!U34</f>
        <v>12714</v>
      </c>
      <c r="Q34" s="16" t="n">
        <f aca="false">Data!V34</f>
        <v>8409</v>
      </c>
      <c r="R34" s="16" t="n">
        <f aca="false">Data!W34</f>
        <v>9897</v>
      </c>
      <c r="S34" s="16" t="n">
        <f aca="false">Data!X34</f>
        <v>3210</v>
      </c>
      <c r="T34" s="16" t="n">
        <f aca="false">Data!Y34+Data!Z34+Data!AA34</f>
        <v>15561</v>
      </c>
      <c r="U34" s="16" t="n">
        <f aca="false">Data!Y34</f>
        <v>7134</v>
      </c>
      <c r="V34" s="16" t="n">
        <f aca="false">Data!Z34</f>
        <v>8348</v>
      </c>
      <c r="W34" s="16" t="n">
        <f aca="false">Data!AB34</f>
        <v>28287</v>
      </c>
      <c r="X34" s="16" t="n">
        <f aca="false">Data!AC34</f>
        <v>8089</v>
      </c>
      <c r="Y34" s="16" t="n">
        <f aca="false">Data!AD34+Data!AE34+Data!AF34+Data!AG34+Data!AH34</f>
        <v>5087</v>
      </c>
      <c r="Z34" s="16" t="n">
        <f aca="false">Data!AI34</f>
        <v>7988</v>
      </c>
      <c r="AA34" s="16" t="n">
        <f aca="false">Data!AJ34</f>
        <v>36</v>
      </c>
      <c r="AB34" s="16" t="n">
        <f aca="false">Data!AK34</f>
        <v>3408</v>
      </c>
      <c r="AC34" s="16" t="n">
        <f aca="false">Data!AL34</f>
        <v>15056</v>
      </c>
      <c r="AD34" s="15" t="n">
        <f aca="false">Data!AM34</f>
        <v>-10342</v>
      </c>
      <c r="AE34" s="16" t="n">
        <f aca="false">Data!AN34</f>
        <v>33117</v>
      </c>
      <c r="AF34" s="15" t="n">
        <f aca="false">Data!AO34</f>
        <v>-43459</v>
      </c>
    </row>
    <row r="35" customFormat="false" ht="15" hidden="false" customHeight="false" outlineLevel="0" collapsed="false">
      <c r="B35" s="14" t="str">
        <f aca="false">Data!B35</f>
        <v>2018-05</v>
      </c>
      <c r="C35" s="15" t="n">
        <f aca="false">Data!D35+Data!E35+Data!F35+Data!G35+Data!H35+Data!I35+Data!J35+Data!K35+Data!L35+Data!M35+Data!N35+Data!O35+Data!P35+Data!Q35+Data!R35+Data!S35</f>
        <v>209413</v>
      </c>
      <c r="D35" s="16" t="n">
        <f aca="false">Data!D35+Data!E35+Data!G35+Data!H35+Data!I35+Data!J35+Data!K35+Data!L35+Data!M35</f>
        <v>121528</v>
      </c>
      <c r="E35" s="16" t="n">
        <f aca="false">Data!D35</f>
        <v>39946</v>
      </c>
      <c r="F35" s="16" t="n">
        <f aca="false">Data!E35</f>
        <v>29469</v>
      </c>
      <c r="G35" s="16" t="n">
        <f aca="false">Data!K35</f>
        <v>8202</v>
      </c>
      <c r="H35" s="16" t="n">
        <f aca="false">Data!L35</f>
        <v>8537</v>
      </c>
      <c r="I35" s="16" t="n">
        <f aca="false">Data!G35</f>
        <v>18695</v>
      </c>
      <c r="J35" s="16" t="n">
        <f aca="false">Data!H35+Data!I35+Data!J35+Data!M35</f>
        <v>16679</v>
      </c>
      <c r="K35" s="16" t="n">
        <f aca="false">Data!F35</f>
        <v>69709</v>
      </c>
      <c r="L35" s="16" t="n">
        <f aca="false">Data!N35+Data!O35+Data!P35+Data!Q35+Data!R35+Data!S35</f>
        <v>18176</v>
      </c>
      <c r="M35" s="15" t="n">
        <f aca="false">Data!T35+Data!U35+Data!V35+Data!W35+Data!X35+Data!Y35+Data!Z35+Data!AA35+Data!AB35+Data!AC35+Data!AD35+Data!AE35+Data!AF35+Data!AG35+Data!AH35+Data!AI35+Data!AJ35+Data!AK35+Data!AL35</f>
        <v>217231</v>
      </c>
      <c r="N35" s="16" t="n">
        <f aca="false">Data!T35+Data!U35+Data!V35+Data!W35</f>
        <v>120920</v>
      </c>
      <c r="O35" s="16" t="n">
        <f aca="false">Data!T35</f>
        <v>87936</v>
      </c>
      <c r="P35" s="16" t="n">
        <f aca="false">Data!U35</f>
        <v>13486</v>
      </c>
      <c r="Q35" s="16" t="n">
        <f aca="false">Data!V35</f>
        <v>9412</v>
      </c>
      <c r="R35" s="16" t="n">
        <f aca="false">Data!W35</f>
        <v>10086</v>
      </c>
      <c r="S35" s="16" t="n">
        <f aca="false">Data!X35</f>
        <v>4372</v>
      </c>
      <c r="T35" s="16" t="n">
        <f aca="false">Data!Y35+Data!Z35+Data!AA35</f>
        <v>21922</v>
      </c>
      <c r="U35" s="16" t="n">
        <f aca="false">Data!Y35</f>
        <v>13599</v>
      </c>
      <c r="V35" s="16" t="n">
        <f aca="false">Data!Z35</f>
        <v>8257</v>
      </c>
      <c r="W35" s="16" t="n">
        <f aca="false">Data!AB35</f>
        <v>28750</v>
      </c>
      <c r="X35" s="16" t="n">
        <f aca="false">Data!AC35</f>
        <v>9577</v>
      </c>
      <c r="Y35" s="16" t="n">
        <f aca="false">Data!AD35+Data!AE35+Data!AF35+Data!AG35+Data!AH35</f>
        <v>3401</v>
      </c>
      <c r="Z35" s="16" t="n">
        <f aca="false">Data!AI35</f>
        <v>7837</v>
      </c>
      <c r="AA35" s="16" t="n">
        <f aca="false">Data!AJ35</f>
        <v>31</v>
      </c>
      <c r="AB35" s="16" t="n">
        <f aca="false">Data!AK35</f>
        <v>4045</v>
      </c>
      <c r="AC35" s="16" t="n">
        <f aca="false">Data!AL35</f>
        <v>16376</v>
      </c>
      <c r="AD35" s="15" t="n">
        <f aca="false">Data!AM35</f>
        <v>-7818</v>
      </c>
      <c r="AE35" s="16" t="n">
        <f aca="false">Data!AN35</f>
        <v>19521</v>
      </c>
      <c r="AF35" s="15" t="n">
        <f aca="false">Data!AO35</f>
        <v>-27339</v>
      </c>
    </row>
    <row r="36" customFormat="false" ht="15" hidden="false" customHeight="false" outlineLevel="0" collapsed="false">
      <c r="B36" s="14" t="str">
        <f aca="false">Data!B36</f>
        <v>2018-06</v>
      </c>
      <c r="C36" s="15" t="n">
        <f aca="false">Data!D36+Data!E36+Data!F36+Data!G36+Data!H36+Data!I36+Data!J36+Data!K36+Data!L36+Data!M36+Data!N36+Data!O36+Data!P36+Data!Q36+Data!R36+Data!S36</f>
        <v>220584</v>
      </c>
      <c r="D36" s="16" t="n">
        <f aca="false">Data!D36+Data!E36+Data!G36+Data!H36+Data!I36+Data!J36+Data!K36+Data!L36+Data!M36</f>
        <v>133117</v>
      </c>
      <c r="E36" s="16" t="n">
        <f aca="false">Data!D36</f>
        <v>41831</v>
      </c>
      <c r="F36" s="16" t="n">
        <f aca="false">Data!E36</f>
        <v>36345</v>
      </c>
      <c r="G36" s="16" t="n">
        <f aca="false">Data!K36</f>
        <v>8295</v>
      </c>
      <c r="H36" s="16" t="n">
        <f aca="false">Data!L36</f>
        <v>8623</v>
      </c>
      <c r="I36" s="16" t="n">
        <f aca="false">Data!G36</f>
        <v>19794</v>
      </c>
      <c r="J36" s="16" t="n">
        <f aca="false">Data!H36+Data!I36+Data!J36+Data!M36</f>
        <v>18229</v>
      </c>
      <c r="K36" s="16" t="n">
        <f aca="false">Data!F36</f>
        <v>70829</v>
      </c>
      <c r="L36" s="16" t="n">
        <f aca="false">Data!N36+Data!O36+Data!P36+Data!Q36+Data!R36+Data!S36</f>
        <v>16638</v>
      </c>
      <c r="M36" s="15" t="n">
        <f aca="false">Data!T36+Data!U36+Data!V36+Data!W36+Data!X36+Data!Y36+Data!Z36+Data!AA36+Data!AB36+Data!AC36+Data!AD36+Data!AE36+Data!AF36+Data!AG36+Data!AH36+Data!AI36+Data!AJ36+Data!AK36+Data!AL36</f>
        <v>277248</v>
      </c>
      <c r="N36" s="16" t="n">
        <f aca="false">Data!T36+Data!U36+Data!V36+Data!W36</f>
        <v>167171</v>
      </c>
      <c r="O36" s="16" t="n">
        <f aca="false">Data!T36</f>
        <v>129859</v>
      </c>
      <c r="P36" s="16" t="n">
        <f aca="false">Data!U36</f>
        <v>13773</v>
      </c>
      <c r="Q36" s="16" t="n">
        <f aca="false">Data!V36</f>
        <v>12247</v>
      </c>
      <c r="R36" s="16" t="n">
        <f aca="false">Data!W36</f>
        <v>11292</v>
      </c>
      <c r="S36" s="16" t="n">
        <f aca="false">Data!X36</f>
        <v>3767</v>
      </c>
      <c r="T36" s="16" t="n">
        <f aca="false">Data!Y36+Data!Z36+Data!AA36</f>
        <v>33560</v>
      </c>
      <c r="U36" s="16" t="n">
        <f aca="false">Data!Y36</f>
        <v>23180</v>
      </c>
      <c r="V36" s="16" t="n">
        <f aca="false">Data!Z36</f>
        <v>10333</v>
      </c>
      <c r="W36" s="16" t="n">
        <f aca="false">Data!AB36</f>
        <v>30866</v>
      </c>
      <c r="X36" s="16" t="n">
        <f aca="false">Data!AC36</f>
        <v>11372</v>
      </c>
      <c r="Y36" s="16" t="n">
        <f aca="false">Data!AD36+Data!AE36+Data!AF36+Data!AG36+Data!AH36</f>
        <v>4842</v>
      </c>
      <c r="Z36" s="16" t="n">
        <f aca="false">Data!AI36</f>
        <v>7615</v>
      </c>
      <c r="AA36" s="16" t="n">
        <f aca="false">Data!AJ36</f>
        <v>829</v>
      </c>
      <c r="AB36" s="16" t="n">
        <f aca="false">Data!AK36</f>
        <v>4233</v>
      </c>
      <c r="AC36" s="16" t="n">
        <f aca="false">Data!AL36</f>
        <v>12993</v>
      </c>
      <c r="AD36" s="15" t="n">
        <f aca="false">Data!AM36</f>
        <v>-56664</v>
      </c>
      <c r="AE36" s="16" t="n">
        <f aca="false">Data!AN36</f>
        <v>32202</v>
      </c>
      <c r="AF36" s="15" t="n">
        <f aca="false">Data!AO36</f>
        <v>-88866</v>
      </c>
    </row>
    <row r="37" customFormat="false" ht="15" hidden="false" customHeight="false" outlineLevel="0" collapsed="false">
      <c r="B37" s="14" t="str">
        <f aca="false">Data!B37</f>
        <v>2018-07</v>
      </c>
      <c r="C37" s="15" t="n">
        <f aca="false">Data!D37+Data!E37+Data!F37+Data!G37+Data!H37+Data!I37+Data!J37+Data!K37+Data!L37+Data!M37+Data!N37+Data!O37+Data!P37+Data!Q37+Data!R37+Data!S37</f>
        <v>232622</v>
      </c>
      <c r="D37" s="16" t="n">
        <f aca="false">Data!D37+Data!E37+Data!G37+Data!H37+Data!I37+Data!J37+Data!K37+Data!L37+Data!M37</f>
        <v>113003</v>
      </c>
      <c r="E37" s="16" t="n">
        <f aca="false">Data!D37</f>
        <v>40592</v>
      </c>
      <c r="F37" s="16" t="n">
        <f aca="false">Data!E37</f>
        <v>23149</v>
      </c>
      <c r="G37" s="16" t="n">
        <f aca="false">Data!K37</f>
        <v>4656</v>
      </c>
      <c r="H37" s="16" t="n">
        <f aca="false">Data!L37</f>
        <v>9599</v>
      </c>
      <c r="I37" s="16" t="n">
        <f aca="false">Data!G37</f>
        <v>18384</v>
      </c>
      <c r="J37" s="16" t="n">
        <f aca="false">Data!H37+Data!I37+Data!J37+Data!M37</f>
        <v>16623</v>
      </c>
      <c r="K37" s="16" t="n">
        <f aca="false">Data!F37</f>
        <v>92571</v>
      </c>
      <c r="L37" s="16" t="n">
        <f aca="false">Data!N37+Data!O37+Data!P37+Data!Q37+Data!R37+Data!S37</f>
        <v>27048</v>
      </c>
      <c r="M37" s="15" t="n">
        <f aca="false">Data!T37+Data!U37+Data!V37+Data!W37+Data!X37+Data!Y37+Data!Z37+Data!AA37+Data!AB37+Data!AC37+Data!AD37+Data!AE37+Data!AF37+Data!AG37+Data!AH37+Data!AI37+Data!AJ37+Data!AK37+Data!AL37</f>
        <v>246902</v>
      </c>
      <c r="N37" s="16" t="n">
        <f aca="false">Data!T37+Data!U37+Data!V37+Data!W37</f>
        <v>129148</v>
      </c>
      <c r="O37" s="16" t="n">
        <f aca="false">Data!T37</f>
        <v>91200</v>
      </c>
      <c r="P37" s="16" t="n">
        <f aca="false">Data!U37</f>
        <v>15244</v>
      </c>
      <c r="Q37" s="16" t="n">
        <f aca="false">Data!V37</f>
        <v>11328</v>
      </c>
      <c r="R37" s="16" t="n">
        <f aca="false">Data!W37</f>
        <v>11376</v>
      </c>
      <c r="S37" s="16" t="n">
        <f aca="false">Data!X37</f>
        <v>3662</v>
      </c>
      <c r="T37" s="16" t="n">
        <f aca="false">Data!Y37+Data!Z37+Data!AA37</f>
        <v>23762</v>
      </c>
      <c r="U37" s="16" t="n">
        <f aca="false">Data!Y37</f>
        <v>15373</v>
      </c>
      <c r="V37" s="16" t="n">
        <f aca="false">Data!Z37</f>
        <v>8228</v>
      </c>
      <c r="W37" s="16" t="n">
        <f aca="false">Data!AB37</f>
        <v>41403</v>
      </c>
      <c r="X37" s="16" t="n">
        <f aca="false">Data!AC37</f>
        <v>9807</v>
      </c>
      <c r="Y37" s="16" t="n">
        <f aca="false">Data!AD37+Data!AE37+Data!AF37+Data!AG37+Data!AH37</f>
        <v>6058</v>
      </c>
      <c r="Z37" s="16" t="n">
        <f aca="false">Data!AI37</f>
        <v>12050</v>
      </c>
      <c r="AA37" s="16" t="n">
        <f aca="false">Data!AJ37</f>
        <v>31</v>
      </c>
      <c r="AB37" s="16" t="n">
        <f aca="false">Data!AK37</f>
        <v>4193</v>
      </c>
      <c r="AC37" s="16" t="n">
        <f aca="false">Data!AL37</f>
        <v>16788</v>
      </c>
      <c r="AD37" s="15" t="n">
        <f aca="false">Data!AM37</f>
        <v>-14280</v>
      </c>
      <c r="AE37" s="16" t="n">
        <f aca="false">Data!AN37</f>
        <v>48100</v>
      </c>
      <c r="AF37" s="15" t="n">
        <f aca="false">Data!AO37</f>
        <v>-62380</v>
      </c>
    </row>
    <row r="38" customFormat="false" ht="15" hidden="false" customHeight="false" outlineLevel="0" collapsed="false">
      <c r="B38" s="14" t="str">
        <f aca="false">Data!B38</f>
        <v>2018-08</v>
      </c>
      <c r="C38" s="15" t="n">
        <f aca="false">Data!D38+Data!E38+Data!F38+Data!G38+Data!H38+Data!I38+Data!J38+Data!K38+Data!L38+Data!M38+Data!N38+Data!O38+Data!P38+Data!Q38+Data!R38+Data!S38</f>
        <v>222934</v>
      </c>
      <c r="D38" s="16" t="n">
        <f aca="false">Data!D38+Data!E38+Data!G38+Data!H38+Data!I38+Data!J38+Data!K38+Data!L38+Data!M38</f>
        <v>123605</v>
      </c>
      <c r="E38" s="16" t="n">
        <f aca="false">Data!D38</f>
        <v>44104</v>
      </c>
      <c r="F38" s="16" t="n">
        <f aca="false">Data!E38</f>
        <v>26648</v>
      </c>
      <c r="G38" s="16" t="n">
        <f aca="false">Data!K38</f>
        <v>4170</v>
      </c>
      <c r="H38" s="16" t="n">
        <f aca="false">Data!L38</f>
        <v>10205</v>
      </c>
      <c r="I38" s="16" t="n">
        <f aca="false">Data!G38</f>
        <v>20351</v>
      </c>
      <c r="J38" s="16" t="n">
        <f aca="false">Data!H38+Data!I38+Data!J38+Data!M38</f>
        <v>18127</v>
      </c>
      <c r="K38" s="16" t="n">
        <f aca="false">Data!F38</f>
        <v>71779</v>
      </c>
      <c r="L38" s="16" t="n">
        <f aca="false">Data!N38+Data!O38+Data!P38+Data!Q38+Data!R38+Data!S38</f>
        <v>27550</v>
      </c>
      <c r="M38" s="15" t="n">
        <f aca="false">Data!T38+Data!U38+Data!V38+Data!W38+Data!X38+Data!Y38+Data!Z38+Data!AA38+Data!AB38+Data!AC38+Data!AD38+Data!AE38+Data!AF38+Data!AG38+Data!AH38+Data!AI38+Data!AJ38+Data!AK38+Data!AL38</f>
        <v>233290</v>
      </c>
      <c r="N38" s="16" t="n">
        <f aca="false">Data!T38+Data!U38+Data!V38+Data!W38</f>
        <v>124616</v>
      </c>
      <c r="O38" s="16" t="n">
        <f aca="false">Data!T38</f>
        <v>88127</v>
      </c>
      <c r="P38" s="16" t="n">
        <f aca="false">Data!U38</f>
        <v>14469</v>
      </c>
      <c r="Q38" s="16" t="n">
        <f aca="false">Data!V38</f>
        <v>10491</v>
      </c>
      <c r="R38" s="16" t="n">
        <f aca="false">Data!W38</f>
        <v>11529</v>
      </c>
      <c r="S38" s="16" t="n">
        <f aca="false">Data!X38</f>
        <v>4397</v>
      </c>
      <c r="T38" s="16" t="n">
        <f aca="false">Data!Y38+Data!Z38+Data!AA38</f>
        <v>23591</v>
      </c>
      <c r="U38" s="16" t="n">
        <f aca="false">Data!Y38</f>
        <v>17188</v>
      </c>
      <c r="V38" s="16" t="n">
        <f aca="false">Data!Z38</f>
        <v>6341</v>
      </c>
      <c r="W38" s="16" t="n">
        <f aca="false">Data!AB38</f>
        <v>30511</v>
      </c>
      <c r="X38" s="16" t="n">
        <f aca="false">Data!AC38</f>
        <v>10296</v>
      </c>
      <c r="Y38" s="16" t="n">
        <f aca="false">Data!AD38+Data!AE38+Data!AF38+Data!AG38+Data!AH38</f>
        <v>7314</v>
      </c>
      <c r="Z38" s="16" t="n">
        <f aca="false">Data!AI38</f>
        <v>8495</v>
      </c>
      <c r="AA38" s="16" t="n">
        <f aca="false">Data!AJ38</f>
        <v>479</v>
      </c>
      <c r="AB38" s="16" t="n">
        <f aca="false">Data!AK38</f>
        <v>3806</v>
      </c>
      <c r="AC38" s="16" t="n">
        <f aca="false">Data!AL38</f>
        <v>19785</v>
      </c>
      <c r="AD38" s="15" t="n">
        <f aca="false">Data!AM38</f>
        <v>-10356</v>
      </c>
      <c r="AE38" s="16" t="n">
        <f aca="false">Data!AN38</f>
        <v>4161</v>
      </c>
      <c r="AF38" s="15" t="n">
        <f aca="false">Data!AO38</f>
        <v>-14517</v>
      </c>
    </row>
    <row r="39" customFormat="false" ht="15" hidden="false" customHeight="false" outlineLevel="0" collapsed="false">
      <c r="B39" s="14" t="str">
        <f aca="false">Data!B39</f>
        <v>2018-09</v>
      </c>
      <c r="C39" s="15" t="n">
        <f aca="false">Data!D39+Data!E39+Data!F39+Data!G39+Data!H39+Data!I39+Data!J39+Data!K39+Data!L39+Data!M39+Data!N39+Data!O39+Data!P39+Data!Q39+Data!R39+Data!S39</f>
        <v>227680</v>
      </c>
      <c r="D39" s="16" t="n">
        <f aca="false">Data!D39+Data!E39+Data!G39+Data!H39+Data!I39+Data!J39+Data!K39+Data!L39+Data!M39</f>
        <v>130986</v>
      </c>
      <c r="E39" s="16" t="n">
        <f aca="false">Data!D39</f>
        <v>46516</v>
      </c>
      <c r="F39" s="16" t="n">
        <f aca="false">Data!E39</f>
        <v>22870</v>
      </c>
      <c r="G39" s="16" t="n">
        <f aca="false">Data!K39</f>
        <v>12695</v>
      </c>
      <c r="H39" s="16" t="n">
        <f aca="false">Data!L39</f>
        <v>10286</v>
      </c>
      <c r="I39" s="16" t="n">
        <f aca="false">Data!G39</f>
        <v>21832</v>
      </c>
      <c r="J39" s="16" t="n">
        <f aca="false">Data!H39+Data!I39+Data!J39+Data!M39</f>
        <v>16787</v>
      </c>
      <c r="K39" s="16" t="n">
        <f aca="false">Data!F39</f>
        <v>72741</v>
      </c>
      <c r="L39" s="16" t="n">
        <f aca="false">Data!N39+Data!O39+Data!P39+Data!Q39+Data!R39+Data!S39</f>
        <v>23953</v>
      </c>
      <c r="M39" s="15" t="n">
        <f aca="false">Data!T39+Data!U39+Data!V39+Data!W39+Data!X39+Data!Y39+Data!Z39+Data!AA39+Data!AB39+Data!AC39+Data!AD39+Data!AE39+Data!AF39+Data!AG39+Data!AH39+Data!AI39+Data!AJ39+Data!AK39+Data!AL39</f>
        <v>250534</v>
      </c>
      <c r="N39" s="16" t="n">
        <f aca="false">Data!T39+Data!U39+Data!V39+Data!W39</f>
        <v>133116</v>
      </c>
      <c r="O39" s="16" t="n">
        <f aca="false">Data!T39</f>
        <v>93109</v>
      </c>
      <c r="P39" s="16" t="n">
        <f aca="false">Data!U39</f>
        <v>19084</v>
      </c>
      <c r="Q39" s="16" t="n">
        <f aca="false">Data!V39</f>
        <v>10152</v>
      </c>
      <c r="R39" s="16" t="n">
        <f aca="false">Data!W39</f>
        <v>10771</v>
      </c>
      <c r="S39" s="16" t="n">
        <f aca="false">Data!X39</f>
        <v>5083</v>
      </c>
      <c r="T39" s="16" t="n">
        <f aca="false">Data!Y39+Data!Z39+Data!AA39</f>
        <v>29621</v>
      </c>
      <c r="U39" s="16" t="n">
        <f aca="false">Data!Y39</f>
        <v>20638</v>
      </c>
      <c r="V39" s="16" t="n">
        <f aca="false">Data!Z39</f>
        <v>8909</v>
      </c>
      <c r="W39" s="16" t="n">
        <f aca="false">Data!AB39</f>
        <v>31709</v>
      </c>
      <c r="X39" s="16" t="n">
        <f aca="false">Data!AC39</f>
        <v>11372</v>
      </c>
      <c r="Y39" s="16" t="n">
        <f aca="false">Data!AD39+Data!AE39+Data!AF39+Data!AG39+Data!AH39</f>
        <v>6251</v>
      </c>
      <c r="Z39" s="16" t="n">
        <f aca="false">Data!AI39</f>
        <v>8312</v>
      </c>
      <c r="AA39" s="16" t="n">
        <f aca="false">Data!AJ39</f>
        <v>12</v>
      </c>
      <c r="AB39" s="16" t="n">
        <f aca="false">Data!AK39</f>
        <v>4459</v>
      </c>
      <c r="AC39" s="16" t="n">
        <f aca="false">Data!AL39</f>
        <v>20599</v>
      </c>
      <c r="AD39" s="15" t="n">
        <f aca="false">Data!AM39</f>
        <v>-22854</v>
      </c>
      <c r="AE39" s="16" t="n">
        <f aca="false">Data!AN39</f>
        <v>33004</v>
      </c>
      <c r="AF39" s="15" t="n">
        <f aca="false">Data!AO39</f>
        <v>-55858</v>
      </c>
    </row>
    <row r="40" customFormat="false" ht="15" hidden="false" customHeight="false" outlineLevel="0" collapsed="false">
      <c r="B40" s="14" t="str">
        <f aca="false">Data!B40</f>
        <v>2018-10</v>
      </c>
      <c r="C40" s="15" t="n">
        <f aca="false">Data!D40+Data!E40+Data!F40+Data!G40+Data!H40+Data!I40+Data!J40+Data!K40+Data!L40+Data!M40+Data!N40+Data!O40+Data!P40+Data!Q40+Data!R40+Data!S40</f>
        <v>245779</v>
      </c>
      <c r="D40" s="16" t="n">
        <f aca="false">Data!D40+Data!E40+Data!G40+Data!H40+Data!I40+Data!J40+Data!K40+Data!L40+Data!M40</f>
        <v>139912</v>
      </c>
      <c r="E40" s="16" t="n">
        <f aca="false">Data!D40</f>
        <v>50177</v>
      </c>
      <c r="F40" s="16" t="n">
        <f aca="false">Data!E40</f>
        <v>24312</v>
      </c>
      <c r="G40" s="16" t="n">
        <f aca="false">Data!K40</f>
        <v>14815</v>
      </c>
      <c r="H40" s="16" t="n">
        <f aca="false">Data!L40</f>
        <v>11382</v>
      </c>
      <c r="I40" s="16" t="n">
        <f aca="false">Data!G40</f>
        <v>21115</v>
      </c>
      <c r="J40" s="16" t="n">
        <f aca="false">Data!H40+Data!I40+Data!J40+Data!M40</f>
        <v>18111</v>
      </c>
      <c r="K40" s="16" t="n">
        <f aca="false">Data!F40</f>
        <v>75837</v>
      </c>
      <c r="L40" s="16" t="n">
        <f aca="false">Data!N40+Data!O40+Data!P40+Data!Q40+Data!R40+Data!S40</f>
        <v>30030</v>
      </c>
      <c r="M40" s="15" t="n">
        <f aca="false">Data!T40+Data!U40+Data!V40+Data!W40+Data!X40+Data!Y40+Data!Z40+Data!AA40+Data!AB40+Data!AC40+Data!AD40+Data!AE40+Data!AF40+Data!AG40+Data!AH40+Data!AI40+Data!AJ40+Data!AK40+Data!AL40</f>
        <v>262365</v>
      </c>
      <c r="N40" s="16" t="n">
        <f aca="false">Data!T40+Data!U40+Data!V40+Data!W40</f>
        <v>134300</v>
      </c>
      <c r="O40" s="16" t="n">
        <f aca="false">Data!T40</f>
        <v>98064</v>
      </c>
      <c r="P40" s="16" t="n">
        <f aca="false">Data!U40</f>
        <v>14945</v>
      </c>
      <c r="Q40" s="16" t="n">
        <f aca="false">Data!V40</f>
        <v>10265</v>
      </c>
      <c r="R40" s="16" t="n">
        <f aca="false">Data!W40</f>
        <v>11026</v>
      </c>
      <c r="S40" s="16" t="n">
        <f aca="false">Data!X40</f>
        <v>5966</v>
      </c>
      <c r="T40" s="16" t="n">
        <f aca="false">Data!Y40+Data!Z40+Data!AA40</f>
        <v>28945</v>
      </c>
      <c r="U40" s="16" t="n">
        <f aca="false">Data!Y40</f>
        <v>19418</v>
      </c>
      <c r="V40" s="16" t="n">
        <f aca="false">Data!Z40</f>
        <v>9448</v>
      </c>
      <c r="W40" s="16" t="n">
        <f aca="false">Data!AB40</f>
        <v>33502</v>
      </c>
      <c r="X40" s="16" t="n">
        <f aca="false">Data!AC40</f>
        <v>14267</v>
      </c>
      <c r="Y40" s="16" t="n">
        <f aca="false">Data!AD40+Data!AE40+Data!AF40+Data!AG40+Data!AH40</f>
        <v>7196</v>
      </c>
      <c r="Z40" s="16" t="n">
        <f aca="false">Data!AI40</f>
        <v>8535</v>
      </c>
      <c r="AA40" s="16" t="n">
        <f aca="false">Data!AJ40</f>
        <v>9</v>
      </c>
      <c r="AB40" s="16" t="n">
        <f aca="false">Data!AK40</f>
        <v>5884</v>
      </c>
      <c r="AC40" s="16" t="n">
        <f aca="false">Data!AL40</f>
        <v>23761</v>
      </c>
      <c r="AD40" s="15" t="n">
        <f aca="false">Data!AM40</f>
        <v>-16586</v>
      </c>
      <c r="AE40" s="16" t="n">
        <f aca="false">Data!AN40</f>
        <v>61741</v>
      </c>
      <c r="AF40" s="15" t="n">
        <f aca="false">Data!AO40</f>
        <v>-78327</v>
      </c>
    </row>
    <row r="41" customFormat="false" ht="15" hidden="false" customHeight="false" outlineLevel="0" collapsed="false">
      <c r="B41" s="14" t="str">
        <f aca="false">Data!B41</f>
        <v>2018-11</v>
      </c>
      <c r="C41" s="15" t="n">
        <f aca="false">Data!D41+Data!E41+Data!F41+Data!G41+Data!H41+Data!I41+Data!J41+Data!K41+Data!L41+Data!M41+Data!N41+Data!O41+Data!P41+Data!Q41+Data!R41+Data!S41</f>
        <v>233791</v>
      </c>
      <c r="D41" s="16" t="n">
        <f aca="false">Data!D41+Data!E41+Data!G41+Data!H41+Data!I41+Data!J41+Data!K41+Data!L41+Data!M41</f>
        <v>131417</v>
      </c>
      <c r="E41" s="16" t="n">
        <f aca="false">Data!D41</f>
        <v>43505</v>
      </c>
      <c r="F41" s="16" t="n">
        <f aca="false">Data!E41</f>
        <v>25195</v>
      </c>
      <c r="G41" s="16" t="n">
        <f aca="false">Data!K41</f>
        <v>13950</v>
      </c>
      <c r="H41" s="16" t="n">
        <f aca="false">Data!L41</f>
        <v>8432</v>
      </c>
      <c r="I41" s="16" t="n">
        <f aca="false">Data!G41</f>
        <v>23114</v>
      </c>
      <c r="J41" s="16" t="n">
        <f aca="false">Data!H41+Data!I41+Data!J41+Data!M41</f>
        <v>17221</v>
      </c>
      <c r="K41" s="16" t="n">
        <f aca="false">Data!F41</f>
        <v>77447</v>
      </c>
      <c r="L41" s="16" t="n">
        <f aca="false">Data!N41+Data!O41+Data!P41+Data!Q41+Data!R41+Data!S41</f>
        <v>24927</v>
      </c>
      <c r="M41" s="15" t="n">
        <f aca="false">Data!T41+Data!U41+Data!V41+Data!W41+Data!X41+Data!Y41+Data!Z41+Data!AA41+Data!AB41+Data!AC41+Data!AD41+Data!AE41+Data!AF41+Data!AG41+Data!AH41+Data!AI41+Data!AJ41+Data!AK41+Data!AL41</f>
        <v>267561</v>
      </c>
      <c r="N41" s="16" t="n">
        <f aca="false">Data!T41+Data!U41+Data!V41+Data!W41</f>
        <v>134313</v>
      </c>
      <c r="O41" s="16" t="n">
        <f aca="false">Data!T41</f>
        <v>97724</v>
      </c>
      <c r="P41" s="16" t="n">
        <f aca="false">Data!U41</f>
        <v>14438</v>
      </c>
      <c r="Q41" s="16" t="n">
        <f aca="false">Data!V41</f>
        <v>11503</v>
      </c>
      <c r="R41" s="16" t="n">
        <f aca="false">Data!W41</f>
        <v>10648</v>
      </c>
      <c r="S41" s="16" t="n">
        <f aca="false">Data!X41</f>
        <v>6602</v>
      </c>
      <c r="T41" s="16" t="n">
        <f aca="false">Data!Y41+Data!Z41+Data!AA41</f>
        <v>34011</v>
      </c>
      <c r="U41" s="16" t="n">
        <f aca="false">Data!Y41</f>
        <v>24466</v>
      </c>
      <c r="V41" s="16" t="n">
        <f aca="false">Data!Z41</f>
        <v>9464</v>
      </c>
      <c r="W41" s="16" t="n">
        <f aca="false">Data!AB41</f>
        <v>35311</v>
      </c>
      <c r="X41" s="16" t="n">
        <f aca="false">Data!AC41</f>
        <v>13081</v>
      </c>
      <c r="Y41" s="16" t="n">
        <f aca="false">Data!AD41+Data!AE41+Data!AF41+Data!AG41+Data!AH41</f>
        <v>10494</v>
      </c>
      <c r="Z41" s="16" t="n">
        <f aca="false">Data!AI41</f>
        <v>10239</v>
      </c>
      <c r="AA41" s="16" t="n">
        <f aca="false">Data!AJ41</f>
        <v>16</v>
      </c>
      <c r="AB41" s="16" t="n">
        <f aca="false">Data!AK41</f>
        <v>5258</v>
      </c>
      <c r="AC41" s="16" t="n">
        <f aca="false">Data!AL41</f>
        <v>18236</v>
      </c>
      <c r="AD41" s="15" t="n">
        <f aca="false">Data!AM41</f>
        <v>-33770</v>
      </c>
      <c r="AE41" s="16" t="n">
        <f aca="false">Data!AN41</f>
        <v>39114</v>
      </c>
      <c r="AF41" s="15" t="n">
        <f aca="false">Data!AO41</f>
        <v>-72884</v>
      </c>
    </row>
    <row r="42" customFormat="false" ht="15" hidden="false" customHeight="false" outlineLevel="0" collapsed="false">
      <c r="B42" s="14" t="str">
        <f aca="false">Data!B42</f>
        <v>2018-12</v>
      </c>
      <c r="C42" s="15" t="n">
        <f aca="false">Data!D42+Data!E42+Data!F42+Data!G42+Data!H42+Data!I42+Data!J42+Data!K42+Data!L42+Data!M42+Data!N42+Data!O42+Data!P42+Data!Q42+Data!R42+Data!S42</f>
        <v>242761</v>
      </c>
      <c r="D42" s="16" t="n">
        <f aca="false">Data!D42+Data!E42+Data!G42+Data!H42+Data!I42+Data!J42+Data!K42+Data!L42+Data!M42</f>
        <v>136335</v>
      </c>
      <c r="E42" s="16" t="n">
        <f aca="false">Data!D42</f>
        <v>42824</v>
      </c>
      <c r="F42" s="16" t="n">
        <f aca="false">Data!E42</f>
        <v>28004</v>
      </c>
      <c r="G42" s="16" t="n">
        <f aca="false">Data!K42</f>
        <v>15703</v>
      </c>
      <c r="H42" s="16" t="n">
        <f aca="false">Data!L42</f>
        <v>8184</v>
      </c>
      <c r="I42" s="16" t="n">
        <f aca="false">Data!G42</f>
        <v>22292</v>
      </c>
      <c r="J42" s="16" t="n">
        <f aca="false">Data!H42+Data!I42+Data!J42+Data!M42</f>
        <v>19328</v>
      </c>
      <c r="K42" s="16" t="n">
        <f aca="false">Data!F42</f>
        <v>77078</v>
      </c>
      <c r="L42" s="16" t="n">
        <f aca="false">Data!N42+Data!O42+Data!P42+Data!Q42+Data!R42+Data!S42</f>
        <v>29348</v>
      </c>
      <c r="M42" s="15" t="n">
        <f aca="false">Data!T42+Data!U42+Data!V42+Data!W42+Data!X42+Data!Y42+Data!Z42+Data!AA42+Data!AB42+Data!AC42+Data!AD42+Data!AE42+Data!AF42+Data!AG42+Data!AH42+Data!AI42+Data!AJ42+Data!AK42+Data!AL42</f>
        <v>378077</v>
      </c>
      <c r="N42" s="16" t="n">
        <f aca="false">Data!T42+Data!U42+Data!V42+Data!W42</f>
        <v>193365</v>
      </c>
      <c r="O42" s="16" t="n">
        <f aca="false">Data!T42</f>
        <v>146609</v>
      </c>
      <c r="P42" s="16" t="n">
        <f aca="false">Data!U42</f>
        <v>21640</v>
      </c>
      <c r="Q42" s="16" t="n">
        <f aca="false">Data!V42</f>
        <v>12915</v>
      </c>
      <c r="R42" s="16" t="n">
        <f aca="false">Data!W42</f>
        <v>12201</v>
      </c>
      <c r="S42" s="16" t="n">
        <f aca="false">Data!X42</f>
        <v>11221</v>
      </c>
      <c r="T42" s="16" t="n">
        <f aca="false">Data!Y42+Data!Z42+Data!AA42</f>
        <v>41659</v>
      </c>
      <c r="U42" s="16" t="n">
        <f aca="false">Data!Y42</f>
        <v>29313</v>
      </c>
      <c r="V42" s="16" t="n">
        <f aca="false">Data!Z42</f>
        <v>12230</v>
      </c>
      <c r="W42" s="16" t="n">
        <f aca="false">Data!AB42</f>
        <v>51946</v>
      </c>
      <c r="X42" s="16" t="n">
        <f aca="false">Data!AC42</f>
        <v>20007</v>
      </c>
      <c r="Y42" s="16" t="n">
        <f aca="false">Data!AD42+Data!AE42+Data!AF42+Data!AG42+Data!AH42</f>
        <v>12382</v>
      </c>
      <c r="Z42" s="16" t="n">
        <f aca="false">Data!AI42</f>
        <v>13842</v>
      </c>
      <c r="AA42" s="16" t="n">
        <f aca="false">Data!AJ42</f>
        <v>41</v>
      </c>
      <c r="AB42" s="16" t="n">
        <f aca="false">Data!AK42</f>
        <v>6417</v>
      </c>
      <c r="AC42" s="16" t="n">
        <f aca="false">Data!AL42</f>
        <v>27197</v>
      </c>
      <c r="AD42" s="15" t="n">
        <f aca="false">Data!AM42</f>
        <v>-135316</v>
      </c>
      <c r="AE42" s="16" t="n">
        <f aca="false">Data!AN42</f>
        <v>57458</v>
      </c>
      <c r="AF42" s="15" t="n">
        <f aca="false">Data!AO42</f>
        <v>-192774</v>
      </c>
    </row>
    <row r="43" customFormat="false" ht="15" hidden="false" customHeight="false" outlineLevel="0" collapsed="false">
      <c r="B43" s="14" t="str">
        <f aca="false">Data!B43</f>
        <v>2019-01</v>
      </c>
      <c r="C43" s="15" t="n">
        <f aca="false">Data!D43+Data!E43+Data!F43+Data!G43+Data!H43+Data!I43+Data!J43+Data!K43+Data!L43+Data!M43+Data!N43+Data!O43+Data!P43+Data!Q43+Data!R43+Data!S43</f>
        <v>281653</v>
      </c>
      <c r="D43" s="16" t="n">
        <f aca="false">Data!D43+Data!E43+Data!G43+Data!H43+Data!I43+Data!J43+Data!K43+Data!L43+Data!M43</f>
        <v>143174</v>
      </c>
      <c r="E43" s="16" t="n">
        <f aca="false">Data!D43</f>
        <v>56602</v>
      </c>
      <c r="F43" s="16" t="n">
        <f aca="false">Data!E43</f>
        <v>18453</v>
      </c>
      <c r="G43" s="16" t="n">
        <f aca="false">Data!K43</f>
        <v>14706</v>
      </c>
      <c r="H43" s="16" t="n">
        <f aca="false">Data!L43</f>
        <v>9260</v>
      </c>
      <c r="I43" s="16" t="n">
        <f aca="false">Data!G43</f>
        <v>24541</v>
      </c>
      <c r="J43" s="16" t="n">
        <f aca="false">Data!H43+Data!I43+Data!J43+Data!M43</f>
        <v>19612</v>
      </c>
      <c r="K43" s="16" t="n">
        <f aca="false">Data!F43</f>
        <v>111561</v>
      </c>
      <c r="L43" s="16" t="n">
        <f aca="false">Data!N43+Data!O43+Data!P43+Data!Q43+Data!R43+Data!S43</f>
        <v>26918</v>
      </c>
      <c r="M43" s="15" t="n">
        <f aca="false">Data!T43+Data!U43+Data!V43+Data!W43+Data!X43+Data!Y43+Data!Z43+Data!AA43+Data!AB43+Data!AC43+Data!AD43+Data!AE43+Data!AF43+Data!AG43+Data!AH43+Data!AI43+Data!AJ43+Data!AK43+Data!AL43</f>
        <v>264995</v>
      </c>
      <c r="N43" s="16" t="n">
        <f aca="false">Data!T43+Data!U43+Data!V43+Data!W43</f>
        <v>151385</v>
      </c>
      <c r="O43" s="16" t="n">
        <f aca="false">Data!T43</f>
        <v>109340</v>
      </c>
      <c r="P43" s="16" t="n">
        <f aca="false">Data!U43</f>
        <v>15155</v>
      </c>
      <c r="Q43" s="16" t="n">
        <f aca="false">Data!V43</f>
        <v>12862</v>
      </c>
      <c r="R43" s="16" t="n">
        <f aca="false">Data!W43</f>
        <v>14028</v>
      </c>
      <c r="S43" s="16" t="n">
        <f aca="false">Data!X43</f>
        <v>4875</v>
      </c>
      <c r="T43" s="16" t="n">
        <f aca="false">Data!Y43+Data!Z43+Data!AA43</f>
        <v>17564</v>
      </c>
      <c r="U43" s="16" t="n">
        <f aca="false">Data!Y43</f>
        <v>8182</v>
      </c>
      <c r="V43" s="16" t="n">
        <f aca="false">Data!Z43</f>
        <v>9210</v>
      </c>
      <c r="W43" s="16" t="n">
        <f aca="false">Data!AB43</f>
        <v>39388</v>
      </c>
      <c r="X43" s="16" t="n">
        <f aca="false">Data!AC43</f>
        <v>11442</v>
      </c>
      <c r="Y43" s="16" t="n">
        <f aca="false">Data!AD43+Data!AE43+Data!AF43+Data!AG43+Data!AH43</f>
        <v>11948</v>
      </c>
      <c r="Z43" s="16" t="n">
        <f aca="false">Data!AI43</f>
        <v>7902</v>
      </c>
      <c r="AA43" s="16" t="n">
        <f aca="false">Data!AJ43</f>
        <v>-1072</v>
      </c>
      <c r="AB43" s="16" t="n">
        <f aca="false">Data!AK43</f>
        <v>3834</v>
      </c>
      <c r="AC43" s="16" t="n">
        <f aca="false">Data!AL43</f>
        <v>17729</v>
      </c>
      <c r="AD43" s="15" t="n">
        <f aca="false">Data!AM43</f>
        <v>16658</v>
      </c>
      <c r="AE43" s="16" t="n">
        <f aca="false">Data!AN43</f>
        <v>76696</v>
      </c>
      <c r="AF43" s="15" t="n">
        <f aca="false">Data!AO43</f>
        <v>-60038</v>
      </c>
    </row>
    <row r="44" customFormat="false" ht="15" hidden="false" customHeight="false" outlineLevel="0" collapsed="false">
      <c r="B44" s="14" t="str">
        <f aca="false">Data!B44</f>
        <v>2019-02</v>
      </c>
      <c r="C44" s="15" t="n">
        <f aca="false">Data!D44+Data!E44+Data!F44+Data!G44+Data!H44+Data!I44+Data!J44+Data!K44+Data!L44+Data!M44+Data!N44+Data!O44+Data!P44+Data!Q44+Data!R44+Data!S44</f>
        <v>256593</v>
      </c>
      <c r="D44" s="16" t="n">
        <f aca="false">Data!D44+Data!E44+Data!G44+Data!H44+Data!I44+Data!J44+Data!K44+Data!L44+Data!M44</f>
        <v>134024</v>
      </c>
      <c r="E44" s="16" t="n">
        <f aca="false">Data!D44</f>
        <v>49921</v>
      </c>
      <c r="F44" s="16" t="n">
        <f aca="false">Data!E44</f>
        <v>18327</v>
      </c>
      <c r="G44" s="16" t="n">
        <f aca="false">Data!K44</f>
        <v>18038</v>
      </c>
      <c r="H44" s="16" t="n">
        <f aca="false">Data!L44</f>
        <v>7763</v>
      </c>
      <c r="I44" s="16" t="n">
        <f aca="false">Data!G44</f>
        <v>21079</v>
      </c>
      <c r="J44" s="16" t="n">
        <f aca="false">Data!H44+Data!I44+Data!J44+Data!M44</f>
        <v>18896</v>
      </c>
      <c r="K44" s="16" t="n">
        <f aca="false">Data!F44</f>
        <v>88625</v>
      </c>
      <c r="L44" s="16" t="n">
        <f aca="false">Data!N44+Data!O44+Data!P44+Data!Q44+Data!R44+Data!S44</f>
        <v>33944</v>
      </c>
      <c r="M44" s="15" t="n">
        <f aca="false">Data!T44+Data!U44+Data!V44+Data!W44+Data!X44+Data!Y44+Data!Z44+Data!AA44+Data!AB44+Data!AC44+Data!AD44+Data!AE44+Data!AF44+Data!AG44+Data!AH44+Data!AI44+Data!AJ44+Data!AK44+Data!AL44</f>
        <v>249867</v>
      </c>
      <c r="N44" s="16" t="n">
        <f aca="false">Data!T44+Data!U44+Data!V44+Data!W44</f>
        <v>141254</v>
      </c>
      <c r="O44" s="16" t="n">
        <f aca="false">Data!T44</f>
        <v>102991</v>
      </c>
      <c r="P44" s="16" t="n">
        <f aca="false">Data!U44</f>
        <v>14947</v>
      </c>
      <c r="Q44" s="16" t="n">
        <f aca="false">Data!V44</f>
        <v>11012</v>
      </c>
      <c r="R44" s="16" t="n">
        <f aca="false">Data!W44</f>
        <v>12304</v>
      </c>
      <c r="S44" s="16" t="n">
        <f aca="false">Data!X44</f>
        <v>7148</v>
      </c>
      <c r="T44" s="16" t="n">
        <f aca="false">Data!Y44+Data!Z44+Data!AA44</f>
        <v>17692</v>
      </c>
      <c r="U44" s="16" t="n">
        <f aca="false">Data!Y44</f>
        <v>10081</v>
      </c>
      <c r="V44" s="16" t="n">
        <f aca="false">Data!Z44</f>
        <v>7335</v>
      </c>
      <c r="W44" s="16" t="n">
        <f aca="false">Data!AB44</f>
        <v>35672</v>
      </c>
      <c r="X44" s="16" t="n">
        <f aca="false">Data!AC44</f>
        <v>11765</v>
      </c>
      <c r="Y44" s="16" t="n">
        <f aca="false">Data!AD44+Data!AE44+Data!AF44+Data!AG44+Data!AH44</f>
        <v>9802</v>
      </c>
      <c r="Z44" s="16" t="n">
        <f aca="false">Data!AI44</f>
        <v>9376</v>
      </c>
      <c r="AA44" s="16" t="n">
        <f aca="false">Data!AJ44</f>
        <v>-957</v>
      </c>
      <c r="AB44" s="16" t="n">
        <f aca="false">Data!AK44</f>
        <v>2699</v>
      </c>
      <c r="AC44" s="16" t="n">
        <f aca="false">Data!AL44</f>
        <v>15416</v>
      </c>
      <c r="AD44" s="15" t="n">
        <f aca="false">Data!AM44</f>
        <v>6726</v>
      </c>
      <c r="AE44" s="16" t="n">
        <f aca="false">Data!AN44</f>
        <v>11632</v>
      </c>
      <c r="AF44" s="15" t="n">
        <f aca="false">Data!AO44</f>
        <v>-4906</v>
      </c>
    </row>
    <row r="45" customFormat="false" ht="15" hidden="false" customHeight="false" outlineLevel="0" collapsed="false">
      <c r="B45" s="14" t="str">
        <f aca="false">Data!B45</f>
        <v>2019-03</v>
      </c>
      <c r="C45" s="15" t="n">
        <f aca="false">Data!D45+Data!E45+Data!F45+Data!G45+Data!H45+Data!I45+Data!J45+Data!K45+Data!L45+Data!M45+Data!N45+Data!O45+Data!P45+Data!Q45+Data!R45+Data!S45</f>
        <v>261287</v>
      </c>
      <c r="D45" s="16" t="n">
        <f aca="false">Data!D45+Data!E45+Data!G45+Data!H45+Data!I45+Data!J45+Data!K45+Data!L45+Data!M45</f>
        <v>138002</v>
      </c>
      <c r="E45" s="16" t="n">
        <f aca="false">Data!D45</f>
        <v>48942</v>
      </c>
      <c r="F45" s="16" t="n">
        <f aca="false">Data!E45</f>
        <v>18784</v>
      </c>
      <c r="G45" s="16" t="n">
        <f aca="false">Data!K45</f>
        <v>17757</v>
      </c>
      <c r="H45" s="16" t="n">
        <f aca="false">Data!L45</f>
        <v>8972</v>
      </c>
      <c r="I45" s="16" t="n">
        <f aca="false">Data!G45</f>
        <v>25198</v>
      </c>
      <c r="J45" s="16" t="n">
        <f aca="false">Data!H45+Data!I45+Data!J45+Data!M45</f>
        <v>18349</v>
      </c>
      <c r="K45" s="16" t="n">
        <f aca="false">Data!F45</f>
        <v>87169</v>
      </c>
      <c r="L45" s="16" t="n">
        <f aca="false">Data!N45+Data!O45+Data!P45+Data!Q45+Data!R45+Data!S45</f>
        <v>36116</v>
      </c>
      <c r="M45" s="15" t="n">
        <f aca="false">Data!T45+Data!U45+Data!V45+Data!W45+Data!X45+Data!Y45+Data!Z45+Data!AA45+Data!AB45+Data!AC45+Data!AD45+Data!AE45+Data!AF45+Data!AG45+Data!AH45+Data!AI45+Data!AJ45+Data!AK45+Data!AL45</f>
        <v>274324</v>
      </c>
      <c r="N45" s="16" t="n">
        <f aca="false">Data!T45+Data!U45+Data!V45+Data!W45</f>
        <v>165525</v>
      </c>
      <c r="O45" s="16" t="n">
        <f aca="false">Data!T45</f>
        <v>112749</v>
      </c>
      <c r="P45" s="16" t="n">
        <f aca="false">Data!U45</f>
        <v>28704</v>
      </c>
      <c r="Q45" s="16" t="n">
        <f aca="false">Data!V45</f>
        <v>12743</v>
      </c>
      <c r="R45" s="16" t="n">
        <f aca="false">Data!W45</f>
        <v>11329</v>
      </c>
      <c r="S45" s="16" t="n">
        <f aca="false">Data!X45</f>
        <v>8038</v>
      </c>
      <c r="T45" s="16" t="n">
        <f aca="false">Data!Y45+Data!Z45+Data!AA45</f>
        <v>17970</v>
      </c>
      <c r="U45" s="16" t="n">
        <f aca="false">Data!Y45</f>
        <v>10279</v>
      </c>
      <c r="V45" s="16" t="n">
        <f aca="false">Data!Z45</f>
        <v>7551</v>
      </c>
      <c r="W45" s="16" t="n">
        <f aca="false">Data!AB45</f>
        <v>36545</v>
      </c>
      <c r="X45" s="16" t="n">
        <f aca="false">Data!AC45</f>
        <v>11256</v>
      </c>
      <c r="Y45" s="16" t="n">
        <f aca="false">Data!AD45+Data!AE45+Data!AF45+Data!AG45+Data!AH45</f>
        <v>5150</v>
      </c>
      <c r="Z45" s="16" t="n">
        <f aca="false">Data!AI45</f>
        <v>9899</v>
      </c>
      <c r="AA45" s="16" t="n">
        <f aca="false">Data!AJ45</f>
        <v>-587</v>
      </c>
      <c r="AB45" s="16" t="n">
        <f aca="false">Data!AK45</f>
        <v>3475</v>
      </c>
      <c r="AC45" s="16" t="n">
        <f aca="false">Data!AL45</f>
        <v>17053</v>
      </c>
      <c r="AD45" s="15" t="n">
        <f aca="false">Data!AM45</f>
        <v>-13037</v>
      </c>
      <c r="AE45" s="16" t="n">
        <f aca="false">Data!AN45</f>
        <v>36801</v>
      </c>
      <c r="AF45" s="15" t="n">
        <f aca="false">Data!AO45</f>
        <v>-49838</v>
      </c>
    </row>
    <row r="46" customFormat="false" ht="15" hidden="false" customHeight="false" outlineLevel="0" collapsed="false">
      <c r="B46" s="14" t="str">
        <f aca="false">Data!B46</f>
        <v>2019-04</v>
      </c>
      <c r="C46" s="15" t="n">
        <f aca="false">Data!D46+Data!E46+Data!F46+Data!G46+Data!H46+Data!I46+Data!J46+Data!K46+Data!L46+Data!M46+Data!N46+Data!O46+Data!P46+Data!Q46+Data!R46+Data!S46</f>
        <v>277427</v>
      </c>
      <c r="D46" s="16" t="n">
        <f aca="false">Data!D46+Data!E46+Data!G46+Data!H46+Data!I46+Data!J46+Data!K46+Data!L46+Data!M46</f>
        <v>145331</v>
      </c>
      <c r="E46" s="16" t="n">
        <f aca="false">Data!D46</f>
        <v>46906</v>
      </c>
      <c r="F46" s="16" t="n">
        <f aca="false">Data!E46</f>
        <v>23870</v>
      </c>
      <c r="G46" s="16" t="n">
        <f aca="false">Data!K46</f>
        <v>21965</v>
      </c>
      <c r="H46" s="16" t="n">
        <f aca="false">Data!L46</f>
        <v>7932</v>
      </c>
      <c r="I46" s="16" t="n">
        <f aca="false">Data!G46</f>
        <v>23234</v>
      </c>
      <c r="J46" s="16" t="n">
        <f aca="false">Data!H46+Data!I46+Data!J46+Data!M46</f>
        <v>21424</v>
      </c>
      <c r="K46" s="16" t="n">
        <f aca="false">Data!F46</f>
        <v>100634</v>
      </c>
      <c r="L46" s="16" t="n">
        <f aca="false">Data!N46+Data!O46+Data!P46+Data!Q46+Data!R46+Data!S46</f>
        <v>31462</v>
      </c>
      <c r="M46" s="15" t="n">
        <f aca="false">Data!T46+Data!U46+Data!V46+Data!W46+Data!X46+Data!Y46+Data!Z46+Data!AA46+Data!AB46+Data!AC46+Data!AD46+Data!AE46+Data!AF46+Data!AG46+Data!AH46+Data!AI46+Data!AJ46+Data!AK46+Data!AL46</f>
        <v>276928</v>
      </c>
      <c r="N46" s="16" t="n">
        <f aca="false">Data!T46+Data!U46+Data!V46+Data!W46</f>
        <v>160532</v>
      </c>
      <c r="O46" s="16" t="n">
        <f aca="false">Data!T46</f>
        <v>117014</v>
      </c>
      <c r="P46" s="16" t="n">
        <f aca="false">Data!U46</f>
        <v>19561</v>
      </c>
      <c r="Q46" s="16" t="n">
        <f aca="false">Data!V46</f>
        <v>12153</v>
      </c>
      <c r="R46" s="16" t="n">
        <f aca="false">Data!W46</f>
        <v>11804</v>
      </c>
      <c r="S46" s="16" t="n">
        <f aca="false">Data!X46</f>
        <v>6195</v>
      </c>
      <c r="T46" s="16" t="n">
        <f aca="false">Data!Y46+Data!Z46+Data!AA46</f>
        <v>22433</v>
      </c>
      <c r="U46" s="16" t="n">
        <f aca="false">Data!Y46</f>
        <v>14326</v>
      </c>
      <c r="V46" s="16" t="n">
        <f aca="false">Data!Z46</f>
        <v>8057</v>
      </c>
      <c r="W46" s="16" t="n">
        <f aca="false">Data!AB46</f>
        <v>36633</v>
      </c>
      <c r="X46" s="16" t="n">
        <f aca="false">Data!AC46</f>
        <v>14495</v>
      </c>
      <c r="Y46" s="16" t="n">
        <f aca="false">Data!AD46+Data!AE46+Data!AF46+Data!AG46+Data!AH46</f>
        <v>5475</v>
      </c>
      <c r="Z46" s="16" t="n">
        <f aca="false">Data!AI46</f>
        <v>10165</v>
      </c>
      <c r="AA46" s="16" t="n">
        <f aca="false">Data!AJ46</f>
        <v>631</v>
      </c>
      <c r="AB46" s="16" t="n">
        <f aca="false">Data!AK46</f>
        <v>4111</v>
      </c>
      <c r="AC46" s="16" t="n">
        <f aca="false">Data!AL46</f>
        <v>16258</v>
      </c>
      <c r="AD46" s="15" t="n">
        <f aca="false">Data!AM46</f>
        <v>499</v>
      </c>
      <c r="AE46" s="16" t="n">
        <f aca="false">Data!AN46</f>
        <v>66571</v>
      </c>
      <c r="AF46" s="15" t="n">
        <f aca="false">Data!AO46</f>
        <v>-66073</v>
      </c>
    </row>
    <row r="47" customFormat="false" ht="15" hidden="false" customHeight="false" outlineLevel="0" collapsed="false">
      <c r="B47" s="14" t="str">
        <f aca="false">Data!B47</f>
        <v>2019-05</v>
      </c>
      <c r="C47" s="15" t="n">
        <f aca="false">Data!D47+Data!E47+Data!F47+Data!G47+Data!H47+Data!I47+Data!J47+Data!K47+Data!L47+Data!M47+Data!N47+Data!O47+Data!P47+Data!Q47+Data!R47+Data!S47</f>
        <v>320348</v>
      </c>
      <c r="D47" s="16" t="n">
        <f aca="false">Data!D47+Data!E47+Data!G47+Data!H47+Data!I47+Data!J47+Data!K47+Data!L47+Data!M47</f>
        <v>204354</v>
      </c>
      <c r="E47" s="16" t="n">
        <f aca="false">Data!D47</f>
        <v>60788</v>
      </c>
      <c r="F47" s="16" t="n">
        <f aca="false">Data!E47</f>
        <v>45011</v>
      </c>
      <c r="G47" s="16" t="n">
        <f aca="false">Data!K47</f>
        <v>37021</v>
      </c>
      <c r="H47" s="16" t="n">
        <f aca="false">Data!L47</f>
        <v>11369</v>
      </c>
      <c r="I47" s="16" t="n">
        <f aca="false">Data!G47</f>
        <v>28162</v>
      </c>
      <c r="J47" s="16" t="n">
        <f aca="false">Data!H47+Data!I47+Data!J47+Data!M47</f>
        <v>22003</v>
      </c>
      <c r="K47" s="16" t="n">
        <f aca="false">Data!F47</f>
        <v>92507</v>
      </c>
      <c r="L47" s="16" t="n">
        <f aca="false">Data!N47+Data!O47+Data!P47+Data!Q47+Data!R47+Data!S47</f>
        <v>23487</v>
      </c>
      <c r="M47" s="15" t="n">
        <f aca="false">Data!T47+Data!U47+Data!V47+Data!W47+Data!X47+Data!Y47+Data!Z47+Data!AA47+Data!AB47+Data!AC47+Data!AD47+Data!AE47+Data!AF47+Data!AG47+Data!AH47+Data!AI47+Data!AJ47+Data!AK47+Data!AL47</f>
        <v>294374</v>
      </c>
      <c r="N47" s="16" t="n">
        <f aca="false">Data!T47+Data!U47+Data!V47+Data!W47</f>
        <v>167538</v>
      </c>
      <c r="O47" s="16" t="n">
        <f aca="false">Data!T47</f>
        <v>121380</v>
      </c>
      <c r="P47" s="16" t="n">
        <f aca="false">Data!U47</f>
        <v>19348</v>
      </c>
      <c r="Q47" s="16" t="n">
        <f aca="false">Data!V47</f>
        <v>13758</v>
      </c>
      <c r="R47" s="16" t="n">
        <f aca="false">Data!W47</f>
        <v>13052</v>
      </c>
      <c r="S47" s="16" t="n">
        <f aca="false">Data!X47</f>
        <v>8937</v>
      </c>
      <c r="T47" s="16" t="n">
        <f aca="false">Data!Y47+Data!Z47+Data!AA47</f>
        <v>24117</v>
      </c>
      <c r="U47" s="16" t="n">
        <f aca="false">Data!Y47</f>
        <v>16663</v>
      </c>
      <c r="V47" s="16" t="n">
        <f aca="false">Data!Z47</f>
        <v>7284</v>
      </c>
      <c r="W47" s="16" t="n">
        <f aca="false">Data!AB47</f>
        <v>39652</v>
      </c>
      <c r="X47" s="16" t="n">
        <f aca="false">Data!AC47</f>
        <v>13748</v>
      </c>
      <c r="Y47" s="16" t="n">
        <f aca="false">Data!AD47+Data!AE47+Data!AF47+Data!AG47+Data!AH47</f>
        <v>7636</v>
      </c>
      <c r="Z47" s="16" t="n">
        <f aca="false">Data!AI47</f>
        <v>10772</v>
      </c>
      <c r="AA47" s="16" t="n">
        <f aca="false">Data!AJ47</f>
        <v>-2211</v>
      </c>
      <c r="AB47" s="16" t="n">
        <f aca="false">Data!AK47</f>
        <v>4460</v>
      </c>
      <c r="AC47" s="16" t="n">
        <f aca="false">Data!AL47</f>
        <v>19725</v>
      </c>
      <c r="AD47" s="15" t="n">
        <f aca="false">Data!AM47</f>
        <v>25974</v>
      </c>
      <c r="AE47" s="16" t="n">
        <f aca="false">Data!AN47</f>
        <v>64608</v>
      </c>
      <c r="AF47" s="15" t="n">
        <f aca="false">Data!AO47</f>
        <v>-38634</v>
      </c>
    </row>
    <row r="48" customFormat="false" ht="15" hidden="false" customHeight="false" outlineLevel="0" collapsed="false">
      <c r="B48" s="14" t="str">
        <f aca="false">Data!B48</f>
        <v>2019-06</v>
      </c>
      <c r="C48" s="15" t="n">
        <f aca="false">Data!D48+Data!E48+Data!F48+Data!G48+Data!H48+Data!I48+Data!J48+Data!K48+Data!L48+Data!M48+Data!N48+Data!O48+Data!P48+Data!Q48+Data!R48+Data!S48</f>
        <v>373618</v>
      </c>
      <c r="D48" s="16" t="n">
        <f aca="false">Data!D48+Data!E48+Data!G48+Data!H48+Data!I48+Data!J48+Data!K48+Data!L48+Data!M48</f>
        <v>195749</v>
      </c>
      <c r="E48" s="16" t="n">
        <f aca="false">Data!D48</f>
        <v>54551</v>
      </c>
      <c r="F48" s="16" t="n">
        <f aca="false">Data!E48</f>
        <v>47682</v>
      </c>
      <c r="G48" s="16" t="n">
        <f aca="false">Data!K48</f>
        <v>29623</v>
      </c>
      <c r="H48" s="16" t="n">
        <f aca="false">Data!L48</f>
        <v>9740</v>
      </c>
      <c r="I48" s="16" t="n">
        <f aca="false">Data!G48</f>
        <v>26894</v>
      </c>
      <c r="J48" s="16" t="n">
        <f aca="false">Data!H48+Data!I48+Data!J48+Data!M48</f>
        <v>27259</v>
      </c>
      <c r="K48" s="16" t="n">
        <f aca="false">Data!F48</f>
        <v>94352</v>
      </c>
      <c r="L48" s="16" t="n">
        <f aca="false">Data!N48+Data!O48+Data!P48+Data!Q48+Data!R48+Data!S48</f>
        <v>83517</v>
      </c>
      <c r="M48" s="15" t="n">
        <f aca="false">Data!T48+Data!U48+Data!V48+Data!W48+Data!X48+Data!Y48+Data!Z48+Data!AA48+Data!AB48+Data!AC48+Data!AD48+Data!AE48+Data!AF48+Data!AG48+Data!AH48+Data!AI48+Data!AJ48+Data!AK48+Data!AL48</f>
        <v>380216</v>
      </c>
      <c r="N48" s="16" t="n">
        <f aca="false">Data!T48+Data!U48+Data!V48+Data!W48</f>
        <v>236169</v>
      </c>
      <c r="O48" s="16" t="n">
        <f aca="false">Data!T48</f>
        <v>182832</v>
      </c>
      <c r="P48" s="16" t="n">
        <f aca="false">Data!U48</f>
        <v>20928</v>
      </c>
      <c r="Q48" s="16" t="n">
        <f aca="false">Data!V48</f>
        <v>18094</v>
      </c>
      <c r="R48" s="16" t="n">
        <f aca="false">Data!W48</f>
        <v>14315</v>
      </c>
      <c r="S48" s="16" t="n">
        <f aca="false">Data!X48</f>
        <v>8767</v>
      </c>
      <c r="T48" s="16" t="n">
        <f aca="false">Data!Y48+Data!Z48+Data!AA48</f>
        <v>33573</v>
      </c>
      <c r="U48" s="16" t="n">
        <f aca="false">Data!Y48</f>
        <v>22663</v>
      </c>
      <c r="V48" s="16" t="n">
        <f aca="false">Data!Z48</f>
        <v>10683</v>
      </c>
      <c r="W48" s="16" t="n">
        <f aca="false">Data!AB48</f>
        <v>46695</v>
      </c>
      <c r="X48" s="16" t="n">
        <f aca="false">Data!AC48</f>
        <v>15994</v>
      </c>
      <c r="Y48" s="16" t="n">
        <f aca="false">Data!AD48+Data!AE48+Data!AF48+Data!AG48+Data!AH48</f>
        <v>5232</v>
      </c>
      <c r="Z48" s="16" t="n">
        <f aca="false">Data!AI48</f>
        <v>10654</v>
      </c>
      <c r="AA48" s="16" t="n">
        <f aca="false">Data!AJ48</f>
        <v>-361</v>
      </c>
      <c r="AB48" s="16" t="n">
        <f aca="false">Data!AK48</f>
        <v>2371</v>
      </c>
      <c r="AC48" s="16" t="n">
        <f aca="false">Data!AL48</f>
        <v>21122</v>
      </c>
      <c r="AD48" s="15" t="n">
        <f aca="false">Data!AM48</f>
        <v>-6598</v>
      </c>
      <c r="AE48" s="16" t="n">
        <f aca="false">Data!AN48</f>
        <v>61114</v>
      </c>
      <c r="AF48" s="15" t="n">
        <f aca="false">Data!AO48</f>
        <v>-67712</v>
      </c>
    </row>
    <row r="49" customFormat="false" ht="15" hidden="false" customHeight="false" outlineLevel="0" collapsed="false">
      <c r="B49" s="14" t="str">
        <f aca="false">Data!B49</f>
        <v>2019-07</v>
      </c>
      <c r="C49" s="15" t="n">
        <f aca="false">Data!D49+Data!E49+Data!F49+Data!G49+Data!H49+Data!I49+Data!J49+Data!K49+Data!L49+Data!M49+Data!N49+Data!O49+Data!P49+Data!Q49+Data!R49+Data!S49</f>
        <v>375869</v>
      </c>
      <c r="D49" s="16" t="n">
        <f aca="false">Data!D49+Data!E49+Data!G49+Data!H49+Data!I49+Data!J49+Data!K49+Data!L49+Data!M49</f>
        <v>186156</v>
      </c>
      <c r="E49" s="16" t="n">
        <f aca="false">Data!D49</f>
        <v>59295</v>
      </c>
      <c r="F49" s="16" t="n">
        <f aca="false">Data!E49</f>
        <v>33164</v>
      </c>
      <c r="G49" s="16" t="n">
        <f aca="false">Data!K49</f>
        <v>28877</v>
      </c>
      <c r="H49" s="16" t="n">
        <f aca="false">Data!L49</f>
        <v>11033</v>
      </c>
      <c r="I49" s="16" t="n">
        <f aca="false">Data!G49</f>
        <v>28594</v>
      </c>
      <c r="J49" s="16" t="n">
        <f aca="false">Data!H49+Data!I49+Data!J49+Data!M49</f>
        <v>25193</v>
      </c>
      <c r="K49" s="16" t="n">
        <f aca="false">Data!F49</f>
        <v>128787</v>
      </c>
      <c r="L49" s="16" t="n">
        <f aca="false">Data!N49+Data!O49+Data!P49+Data!Q49+Data!R49+Data!S49</f>
        <v>60926</v>
      </c>
      <c r="M49" s="15" t="n">
        <f aca="false">Data!T49+Data!U49+Data!V49+Data!W49+Data!X49+Data!Y49+Data!Z49+Data!AA49+Data!AB49+Data!AC49+Data!AD49+Data!AE49+Data!AF49+Data!AG49+Data!AH49+Data!AI49+Data!AJ49+Data!AK49+Data!AL49</f>
        <v>371576</v>
      </c>
      <c r="N49" s="16" t="n">
        <f aca="false">Data!T49+Data!U49+Data!V49+Data!W49</f>
        <v>186932</v>
      </c>
      <c r="O49" s="16" t="n">
        <f aca="false">Data!T49</f>
        <v>136548</v>
      </c>
      <c r="P49" s="16" t="n">
        <f aca="false">Data!U49</f>
        <v>20799</v>
      </c>
      <c r="Q49" s="16" t="n">
        <f aca="false">Data!V49</f>
        <v>13184</v>
      </c>
      <c r="R49" s="16" t="n">
        <f aca="false">Data!W49</f>
        <v>16401</v>
      </c>
      <c r="S49" s="16" t="n">
        <f aca="false">Data!X49</f>
        <v>10566</v>
      </c>
      <c r="T49" s="16" t="n">
        <f aca="false">Data!Y49+Data!Z49+Data!AA49</f>
        <v>45565</v>
      </c>
      <c r="U49" s="16" t="n">
        <f aca="false">Data!Y49</f>
        <v>35648</v>
      </c>
      <c r="V49" s="16" t="n">
        <f aca="false">Data!Z49</f>
        <v>9661</v>
      </c>
      <c r="W49" s="16" t="n">
        <f aca="false">Data!AB49</f>
        <v>52572</v>
      </c>
      <c r="X49" s="16" t="n">
        <f aca="false">Data!AC49</f>
        <v>15708</v>
      </c>
      <c r="Y49" s="16" t="n">
        <f aca="false">Data!AD49+Data!AE49+Data!AF49+Data!AG49+Data!AH49</f>
        <v>20413</v>
      </c>
      <c r="Z49" s="16" t="n">
        <f aca="false">Data!AI49</f>
        <v>15866</v>
      </c>
      <c r="AA49" s="16" t="n">
        <f aca="false">Data!AJ49</f>
        <v>-956</v>
      </c>
      <c r="AB49" s="16" t="n">
        <f aca="false">Data!AK49</f>
        <v>3729</v>
      </c>
      <c r="AC49" s="16" t="n">
        <f aca="false">Data!AL49</f>
        <v>21181</v>
      </c>
      <c r="AD49" s="15" t="n">
        <f aca="false">Data!AM49</f>
        <v>4293</v>
      </c>
      <c r="AE49" s="16" t="n">
        <f aca="false">Data!AN49</f>
        <v>82160</v>
      </c>
      <c r="AF49" s="15" t="n">
        <f aca="false">Data!AO49</f>
        <v>-77867</v>
      </c>
    </row>
    <row r="50" customFormat="false" ht="15" hidden="false" customHeight="false" outlineLevel="0" collapsed="false">
      <c r="B50" s="14" t="str">
        <f aca="false">Data!B50</f>
        <v>2019-08</v>
      </c>
      <c r="C50" s="15" t="n">
        <f aca="false">Data!D50+Data!E50+Data!F50+Data!G50+Data!H50+Data!I50+Data!J50+Data!K50+Data!L50+Data!M50+Data!N50+Data!O50+Data!P50+Data!Q50+Data!R50+Data!S50</f>
        <v>346423</v>
      </c>
      <c r="D50" s="16" t="n">
        <f aca="false">Data!D50+Data!E50+Data!G50+Data!H50+Data!I50+Data!J50+Data!K50+Data!L50+Data!M50</f>
        <v>206231</v>
      </c>
      <c r="E50" s="16" t="n">
        <f aca="false">Data!D50</f>
        <v>61407</v>
      </c>
      <c r="F50" s="16" t="n">
        <f aca="false">Data!E50</f>
        <v>34011</v>
      </c>
      <c r="G50" s="16" t="n">
        <f aca="false">Data!K50</f>
        <v>38381</v>
      </c>
      <c r="H50" s="16" t="n">
        <f aca="false">Data!L50</f>
        <v>12381</v>
      </c>
      <c r="I50" s="16" t="n">
        <f aca="false">Data!G50</f>
        <v>31301</v>
      </c>
      <c r="J50" s="16" t="n">
        <f aca="false">Data!H50+Data!I50+Data!J50+Data!M50</f>
        <v>28750</v>
      </c>
      <c r="K50" s="16" t="n">
        <f aca="false">Data!F50</f>
        <v>100432</v>
      </c>
      <c r="L50" s="16" t="n">
        <f aca="false">Data!N50+Data!O50+Data!P50+Data!Q50+Data!R50+Data!S50</f>
        <v>39760</v>
      </c>
      <c r="M50" s="15" t="n">
        <f aca="false">Data!T50+Data!U50+Data!V50+Data!W50+Data!X50+Data!Y50+Data!Z50+Data!AA50+Data!AB50+Data!AC50+Data!AD50+Data!AE50+Data!AF50+Data!AG50+Data!AH50+Data!AI50+Data!AJ50+Data!AK50+Data!AL50</f>
        <v>332677</v>
      </c>
      <c r="N50" s="16" t="n">
        <f aca="false">Data!T50+Data!U50+Data!V50+Data!W50</f>
        <v>173766</v>
      </c>
      <c r="O50" s="16" t="n">
        <f aca="false">Data!T50</f>
        <v>128016</v>
      </c>
      <c r="P50" s="16" t="n">
        <f aca="false">Data!U50</f>
        <v>19518</v>
      </c>
      <c r="Q50" s="16" t="n">
        <f aca="false">Data!V50</f>
        <v>11102</v>
      </c>
      <c r="R50" s="16" t="n">
        <f aca="false">Data!W50</f>
        <v>15130</v>
      </c>
      <c r="S50" s="16" t="n">
        <f aca="false">Data!X50</f>
        <v>9469</v>
      </c>
      <c r="T50" s="16" t="n">
        <f aca="false">Data!Y50+Data!Z50+Data!AA50</f>
        <v>34130</v>
      </c>
      <c r="U50" s="16" t="n">
        <f aca="false">Data!Y50</f>
        <v>22146</v>
      </c>
      <c r="V50" s="16" t="n">
        <f aca="false">Data!Z50</f>
        <v>11195</v>
      </c>
      <c r="W50" s="16" t="n">
        <f aca="false">Data!AB50</f>
        <v>45717</v>
      </c>
      <c r="X50" s="16" t="n">
        <f aca="false">Data!AC50</f>
        <v>14784</v>
      </c>
      <c r="Y50" s="16" t="n">
        <f aca="false">Data!AD50+Data!AE50+Data!AF50+Data!AG50+Data!AH50</f>
        <v>11171</v>
      </c>
      <c r="Z50" s="16" t="n">
        <f aca="false">Data!AI50</f>
        <v>12017</v>
      </c>
      <c r="AA50" s="16" t="n">
        <f aca="false">Data!AJ50</f>
        <v>-221</v>
      </c>
      <c r="AB50" s="16" t="n">
        <f aca="false">Data!AK50</f>
        <v>7848</v>
      </c>
      <c r="AC50" s="16" t="n">
        <f aca="false">Data!AL50</f>
        <v>23996</v>
      </c>
      <c r="AD50" s="15" t="n">
        <f aca="false">Data!AM50</f>
        <v>13746</v>
      </c>
      <c r="AE50" s="16" t="n">
        <f aca="false">Data!AN50</f>
        <v>28544</v>
      </c>
      <c r="AF50" s="15" t="n">
        <f aca="false">Data!AO50</f>
        <v>-14798</v>
      </c>
    </row>
    <row r="51" customFormat="false" ht="15" hidden="false" customHeight="false" outlineLevel="0" collapsed="false">
      <c r="B51" s="14" t="str">
        <f aca="false">Data!B51</f>
        <v>2019-09</v>
      </c>
      <c r="C51" s="15" t="n">
        <f aca="false">Data!D51+Data!E51+Data!F51+Data!G51+Data!H51+Data!I51+Data!J51+Data!K51+Data!L51+Data!M51+Data!N51+Data!O51+Data!P51+Data!Q51+Data!R51+Data!S51</f>
        <v>331691</v>
      </c>
      <c r="D51" s="16" t="n">
        <f aca="false">Data!D51+Data!E51+Data!G51+Data!H51+Data!I51+Data!J51+Data!K51+Data!L51+Data!M51</f>
        <v>192268</v>
      </c>
      <c r="E51" s="16" t="n">
        <f aca="false">Data!D51</f>
        <v>62834</v>
      </c>
      <c r="F51" s="16" t="n">
        <f aca="false">Data!E51</f>
        <v>26752</v>
      </c>
      <c r="G51" s="16" t="n">
        <f aca="false">Data!K51</f>
        <v>30254</v>
      </c>
      <c r="H51" s="16" t="n">
        <f aca="false">Data!L51</f>
        <v>12870</v>
      </c>
      <c r="I51" s="16" t="n">
        <f aca="false">Data!G51</f>
        <v>30947</v>
      </c>
      <c r="J51" s="16" t="n">
        <f aca="false">Data!H51+Data!I51+Data!J51+Data!M51</f>
        <v>28611</v>
      </c>
      <c r="K51" s="16" t="n">
        <f aca="false">Data!F51</f>
        <v>96030</v>
      </c>
      <c r="L51" s="16" t="n">
        <f aca="false">Data!N51+Data!O51+Data!P51+Data!Q51+Data!R51+Data!S51</f>
        <v>43393</v>
      </c>
      <c r="M51" s="15" t="n">
        <f aca="false">Data!T51+Data!U51+Data!V51+Data!W51+Data!X51+Data!Y51+Data!Z51+Data!AA51+Data!AB51+Data!AC51+Data!AD51+Data!AE51+Data!AF51+Data!AG51+Data!AH51+Data!AI51+Data!AJ51+Data!AK51+Data!AL51</f>
        <v>357059</v>
      </c>
      <c r="N51" s="16" t="n">
        <f aca="false">Data!T51+Data!U51+Data!V51+Data!W51</f>
        <v>202702</v>
      </c>
      <c r="O51" s="16" t="n">
        <f aca="false">Data!T51</f>
        <v>145697</v>
      </c>
      <c r="P51" s="16" t="n">
        <f aca="false">Data!U51</f>
        <v>26870</v>
      </c>
      <c r="Q51" s="16" t="n">
        <f aca="false">Data!V51</f>
        <v>16157</v>
      </c>
      <c r="R51" s="16" t="n">
        <f aca="false">Data!W51</f>
        <v>13978</v>
      </c>
      <c r="S51" s="16" t="n">
        <f aca="false">Data!X51</f>
        <v>11745</v>
      </c>
      <c r="T51" s="16" t="n">
        <f aca="false">Data!Y51+Data!Z51+Data!AA51</f>
        <v>28789</v>
      </c>
      <c r="U51" s="16" t="n">
        <f aca="false">Data!Y51</f>
        <v>17510</v>
      </c>
      <c r="V51" s="16" t="n">
        <f aca="false">Data!Z51</f>
        <v>10800</v>
      </c>
      <c r="W51" s="16" t="n">
        <f aca="false">Data!AB51</f>
        <v>44186</v>
      </c>
      <c r="X51" s="16" t="n">
        <f aca="false">Data!AC51</f>
        <v>16093</v>
      </c>
      <c r="Y51" s="16" t="n">
        <f aca="false">Data!AD51+Data!AE51+Data!AF51+Data!AG51+Data!AH51</f>
        <v>7984</v>
      </c>
      <c r="Z51" s="16" t="n">
        <f aca="false">Data!AI51</f>
        <v>10935</v>
      </c>
      <c r="AA51" s="16" t="n">
        <f aca="false">Data!AJ51</f>
        <v>-803</v>
      </c>
      <c r="AB51" s="16" t="n">
        <f aca="false">Data!AK51</f>
        <v>7446</v>
      </c>
      <c r="AC51" s="16" t="n">
        <f aca="false">Data!AL51</f>
        <v>27982</v>
      </c>
      <c r="AD51" s="15" t="n">
        <f aca="false">Data!AM51</f>
        <v>-25368</v>
      </c>
      <c r="AE51" s="16" t="n">
        <f aca="false">Data!AN51</f>
        <v>50856</v>
      </c>
      <c r="AF51" s="15" t="n">
        <f aca="false">Data!AO51</f>
        <v>-76224</v>
      </c>
    </row>
    <row r="52" customFormat="false" ht="15" hidden="false" customHeight="false" outlineLevel="0" collapsed="false">
      <c r="B52" s="14" t="str">
        <f aca="false">Data!B52</f>
        <v>2019-10</v>
      </c>
      <c r="C52" s="15" t="n">
        <f aca="false">Data!D52+Data!E52+Data!F52+Data!G52+Data!H52+Data!I52+Data!J52+Data!K52+Data!L52+Data!M52+Data!N52+Data!O52+Data!P52+Data!Q52+Data!R52+Data!S52</f>
        <v>354699</v>
      </c>
      <c r="D52" s="16" t="n">
        <f aca="false">Data!D52+Data!E52+Data!G52+Data!H52+Data!I52+Data!J52+Data!K52+Data!L52+Data!M52</f>
        <v>206535</v>
      </c>
      <c r="E52" s="16" t="n">
        <f aca="false">Data!D52</f>
        <v>65889</v>
      </c>
      <c r="F52" s="16" t="n">
        <f aca="false">Data!E52</f>
        <v>23637</v>
      </c>
      <c r="G52" s="16" t="n">
        <f aca="false">Data!K52</f>
        <v>38898</v>
      </c>
      <c r="H52" s="16" t="n">
        <f aca="false">Data!L52</f>
        <v>14366</v>
      </c>
      <c r="I52" s="16" t="n">
        <f aca="false">Data!G52</f>
        <v>33332</v>
      </c>
      <c r="J52" s="16" t="n">
        <f aca="false">Data!H52+Data!I52+Data!J52+Data!M52</f>
        <v>30413</v>
      </c>
      <c r="K52" s="16" t="n">
        <f aca="false">Data!F52</f>
        <v>100084</v>
      </c>
      <c r="L52" s="16" t="n">
        <f aca="false">Data!N52+Data!O52+Data!P52+Data!Q52+Data!R52+Data!S52</f>
        <v>48080</v>
      </c>
      <c r="M52" s="15" t="n">
        <f aca="false">Data!T52+Data!U52+Data!V52+Data!W52+Data!X52+Data!Y52+Data!Z52+Data!AA52+Data!AB52+Data!AC52+Data!AD52+Data!AE52+Data!AF52+Data!AG52+Data!AH52+Data!AI52+Data!AJ52+Data!AK52+Data!AL52</f>
        <v>346172</v>
      </c>
      <c r="N52" s="16" t="n">
        <f aca="false">Data!T52+Data!U52+Data!V52+Data!W52</f>
        <v>198782</v>
      </c>
      <c r="O52" s="16" t="n">
        <f aca="false">Data!T52</f>
        <v>141761</v>
      </c>
      <c r="P52" s="16" t="n">
        <f aca="false">Data!U52</f>
        <v>26550</v>
      </c>
      <c r="Q52" s="16" t="n">
        <f aca="false">Data!V52</f>
        <v>15091</v>
      </c>
      <c r="R52" s="16" t="n">
        <f aca="false">Data!W52</f>
        <v>15380</v>
      </c>
      <c r="S52" s="16" t="n">
        <f aca="false">Data!X52</f>
        <v>14326</v>
      </c>
      <c r="T52" s="16" t="n">
        <f aca="false">Data!Y52+Data!Z52+Data!AA52</f>
        <v>25772</v>
      </c>
      <c r="U52" s="16" t="n">
        <f aca="false">Data!Y52</f>
        <v>14486</v>
      </c>
      <c r="V52" s="16" t="n">
        <f aca="false">Data!Z52</f>
        <v>11027</v>
      </c>
      <c r="W52" s="16" t="n">
        <f aca="false">Data!AB52</f>
        <v>45077</v>
      </c>
      <c r="X52" s="16" t="n">
        <f aca="false">Data!AC52</f>
        <v>15959</v>
      </c>
      <c r="Y52" s="16" t="n">
        <f aca="false">Data!AD52+Data!AE52+Data!AF52+Data!AG52+Data!AH52</f>
        <v>10412</v>
      </c>
      <c r="Z52" s="16" t="n">
        <f aca="false">Data!AI52</f>
        <v>11517</v>
      </c>
      <c r="AA52" s="16" t="n">
        <f aca="false">Data!AJ52</f>
        <v>1886</v>
      </c>
      <c r="AB52" s="16" t="n">
        <f aca="false">Data!AK52</f>
        <v>3281</v>
      </c>
      <c r="AC52" s="16" t="n">
        <f aca="false">Data!AL52</f>
        <v>19160</v>
      </c>
      <c r="AD52" s="15" t="n">
        <f aca="false">Data!AM52</f>
        <v>8527</v>
      </c>
      <c r="AE52" s="16" t="n">
        <f aca="false">Data!AN52</f>
        <v>72774</v>
      </c>
      <c r="AF52" s="15" t="n">
        <f aca="false">Data!AO52</f>
        <v>-64247</v>
      </c>
    </row>
    <row r="53" customFormat="false" ht="15" hidden="false" customHeight="false" outlineLevel="0" collapsed="false">
      <c r="B53" s="14" t="str">
        <f aca="false">Data!B53</f>
        <v>2019-11</v>
      </c>
      <c r="C53" s="15" t="n">
        <f aca="false">Data!D53+Data!E53+Data!F53+Data!G53+Data!H53+Data!I53+Data!J53+Data!K53+Data!L53+Data!M53+Data!N53+Data!O53+Data!P53+Data!Q53+Data!R53+Data!S53</f>
        <v>368905</v>
      </c>
      <c r="D53" s="16" t="n">
        <f aca="false">Data!D53+Data!E53+Data!G53+Data!H53+Data!I53+Data!J53+Data!K53+Data!L53+Data!M53</f>
        <v>221393</v>
      </c>
      <c r="E53" s="16" t="n">
        <f aca="false">Data!D53</f>
        <v>62282</v>
      </c>
      <c r="F53" s="16" t="n">
        <f aca="false">Data!E53</f>
        <v>28738</v>
      </c>
      <c r="G53" s="16" t="n">
        <f aca="false">Data!K53</f>
        <v>52706</v>
      </c>
      <c r="H53" s="16" t="n">
        <f aca="false">Data!L53</f>
        <v>13113</v>
      </c>
      <c r="I53" s="16" t="n">
        <f aca="false">Data!G53</f>
        <v>35087</v>
      </c>
      <c r="J53" s="16" t="n">
        <f aca="false">Data!H53+Data!I53+Data!J53+Data!M53</f>
        <v>29467</v>
      </c>
      <c r="K53" s="16" t="n">
        <f aca="false">Data!F53</f>
        <v>108100</v>
      </c>
      <c r="L53" s="16" t="n">
        <f aca="false">Data!N53+Data!O53+Data!P53+Data!Q53+Data!R53+Data!S53</f>
        <v>39412</v>
      </c>
      <c r="M53" s="15" t="n">
        <f aca="false">Data!T53+Data!U53+Data!V53+Data!W53+Data!X53+Data!Y53+Data!Z53+Data!AA53+Data!AB53+Data!AC53+Data!AD53+Data!AE53+Data!AF53+Data!AG53+Data!AH53+Data!AI53+Data!AJ53+Data!AK53+Data!AL53</f>
        <v>375302</v>
      </c>
      <c r="N53" s="16" t="n">
        <f aca="false">Data!T53+Data!U53+Data!V53+Data!W53</f>
        <v>207196</v>
      </c>
      <c r="O53" s="16" t="n">
        <f aca="false">Data!T53</f>
        <v>154170</v>
      </c>
      <c r="P53" s="16" t="n">
        <f aca="false">Data!U53</f>
        <v>21840</v>
      </c>
      <c r="Q53" s="16" t="n">
        <f aca="false">Data!V53</f>
        <v>15342</v>
      </c>
      <c r="R53" s="16" t="n">
        <f aca="false">Data!W53</f>
        <v>15844</v>
      </c>
      <c r="S53" s="16" t="n">
        <f aca="false">Data!X53</f>
        <v>10909</v>
      </c>
      <c r="T53" s="16" t="n">
        <f aca="false">Data!Y53+Data!Z53+Data!AA53</f>
        <v>37418</v>
      </c>
      <c r="U53" s="16" t="n">
        <f aca="false">Data!Y53</f>
        <v>23666</v>
      </c>
      <c r="V53" s="16" t="n">
        <f aca="false">Data!Z53</f>
        <v>12939</v>
      </c>
      <c r="W53" s="16" t="n">
        <f aca="false">Data!AB53</f>
        <v>46200</v>
      </c>
      <c r="X53" s="16" t="n">
        <f aca="false">Data!AC53</f>
        <v>14600</v>
      </c>
      <c r="Y53" s="16" t="n">
        <f aca="false">Data!AD53+Data!AE53+Data!AF53+Data!AG53+Data!AH53</f>
        <v>25092</v>
      </c>
      <c r="Z53" s="16" t="n">
        <f aca="false">Data!AI53</f>
        <v>12972</v>
      </c>
      <c r="AA53" s="16" t="n">
        <f aca="false">Data!AJ53</f>
        <v>-634</v>
      </c>
      <c r="AB53" s="16" t="n">
        <f aca="false">Data!AK53</f>
        <v>2560</v>
      </c>
      <c r="AC53" s="16" t="n">
        <f aca="false">Data!AL53</f>
        <v>18989</v>
      </c>
      <c r="AD53" s="15" t="n">
        <f aca="false">Data!AM53</f>
        <v>-6397</v>
      </c>
      <c r="AE53" s="16" t="n">
        <f aca="false">Data!AN53</f>
        <v>67269</v>
      </c>
      <c r="AF53" s="15" t="n">
        <f aca="false">Data!AO53</f>
        <v>-73666</v>
      </c>
    </row>
    <row r="54" customFormat="false" ht="15" hidden="false" customHeight="false" outlineLevel="0" collapsed="false">
      <c r="B54" s="14" t="str">
        <f aca="false">Data!B54</f>
        <v>2019-12</v>
      </c>
      <c r="C54" s="15" t="n">
        <f aca="false">Data!D54+Data!E54+Data!F54+Data!G54+Data!H54+Data!I54+Data!J54+Data!K54+Data!L54+Data!M54+Data!N54+Data!O54+Data!P54+Data!Q54+Data!R54+Data!S54</f>
        <v>388575</v>
      </c>
      <c r="D54" s="16" t="n">
        <f aca="false">Data!D54+Data!E54+Data!G54+Data!H54+Data!I54+Data!J54+Data!K54+Data!L54+Data!M54</f>
        <v>236097</v>
      </c>
      <c r="E54" s="16" t="n">
        <f aca="false">Data!D54</f>
        <v>56336</v>
      </c>
      <c r="F54" s="16" t="n">
        <f aca="false">Data!E54</f>
        <v>33524</v>
      </c>
      <c r="G54" s="16" t="n">
        <f aca="false">Data!K54</f>
        <v>62492</v>
      </c>
      <c r="H54" s="16" t="n">
        <f aca="false">Data!L54</f>
        <v>12191</v>
      </c>
      <c r="I54" s="16" t="n">
        <f aca="false">Data!G54</f>
        <v>34946</v>
      </c>
      <c r="J54" s="16" t="n">
        <f aca="false">Data!H54+Data!I54+Data!J54+Data!M54</f>
        <v>36608</v>
      </c>
      <c r="K54" s="16" t="n">
        <f aca="false">Data!F54</f>
        <v>116158</v>
      </c>
      <c r="L54" s="16" t="n">
        <f aca="false">Data!N54+Data!O54+Data!P54+Data!Q54+Data!R54+Data!S54</f>
        <v>36320</v>
      </c>
      <c r="M54" s="15" t="n">
        <f aca="false">Data!T54+Data!U54+Data!V54+Data!W54+Data!X54+Data!Y54+Data!Z54+Data!AA54+Data!AB54+Data!AC54+Data!AD54+Data!AE54+Data!AF54+Data!AG54+Data!AH54+Data!AI54+Data!AJ54+Data!AK54+Data!AL54</f>
        <v>508718</v>
      </c>
      <c r="N54" s="16" t="n">
        <f aca="false">Data!T54+Data!U54+Data!V54+Data!W54</f>
        <v>311448</v>
      </c>
      <c r="O54" s="16" t="n">
        <f aca="false">Data!T54</f>
        <v>235209</v>
      </c>
      <c r="P54" s="16" t="n">
        <f aca="false">Data!U54</f>
        <v>33179</v>
      </c>
      <c r="Q54" s="16" t="n">
        <f aca="false">Data!V54</f>
        <v>27481</v>
      </c>
      <c r="R54" s="16" t="n">
        <f aca="false">Data!W54</f>
        <v>15579</v>
      </c>
      <c r="S54" s="16" t="n">
        <f aca="false">Data!X54</f>
        <v>34094</v>
      </c>
      <c r="T54" s="16" t="n">
        <f aca="false">Data!Y54+Data!Z54+Data!AA54</f>
        <v>33388</v>
      </c>
      <c r="U54" s="16" t="n">
        <f aca="false">Data!Y54</f>
        <v>18487</v>
      </c>
      <c r="V54" s="16" t="n">
        <f aca="false">Data!Z54</f>
        <v>14610</v>
      </c>
      <c r="W54" s="16" t="n">
        <f aca="false">Data!AB54</f>
        <v>68603</v>
      </c>
      <c r="X54" s="16" t="n">
        <f aca="false">Data!AC54</f>
        <v>12953</v>
      </c>
      <c r="Y54" s="16" t="n">
        <f aca="false">Data!AD54+Data!AE54+Data!AF54+Data!AG54+Data!AH54</f>
        <v>7523</v>
      </c>
      <c r="Z54" s="16" t="n">
        <f aca="false">Data!AI54</f>
        <v>20066</v>
      </c>
      <c r="AA54" s="16" t="n">
        <f aca="false">Data!AJ54</f>
        <v>-439</v>
      </c>
      <c r="AB54" s="16" t="n">
        <f aca="false">Data!AK54</f>
        <v>3327</v>
      </c>
      <c r="AC54" s="16" t="n">
        <f aca="false">Data!AL54</f>
        <v>17755</v>
      </c>
      <c r="AD54" s="15" t="n">
        <f aca="false">Data!AM54</f>
        <v>-120143</v>
      </c>
      <c r="AE54" s="16" t="n">
        <f aca="false">Data!AN54</f>
        <v>105260</v>
      </c>
      <c r="AF54" s="15" t="n">
        <f aca="false">Data!AO54</f>
        <v>-225403</v>
      </c>
    </row>
    <row r="55" customFormat="false" ht="15" hidden="false" customHeight="false" outlineLevel="0" collapsed="false">
      <c r="B55" s="14" t="str">
        <f aca="false">Data!B55</f>
        <v>2020-01</v>
      </c>
      <c r="C55" s="15" t="n">
        <f aca="false">Data!D55+Data!E55+Data!F55+Data!G55+Data!H55+Data!I55+Data!J55+Data!K55+Data!L55+Data!M55+Data!N55+Data!O55+Data!P55+Data!Q55+Data!R55+Data!S55</f>
        <v>395226</v>
      </c>
      <c r="D55" s="16" t="n">
        <f aca="false">Data!D55+Data!E55+Data!G55+Data!H55+Data!I55+Data!J55+Data!K55+Data!L55+Data!M55</f>
        <v>199266</v>
      </c>
      <c r="E55" s="16" t="n">
        <f aca="false">Data!D55</f>
        <v>69965</v>
      </c>
      <c r="F55" s="16" t="n">
        <f aca="false">Data!E55</f>
        <v>29044</v>
      </c>
      <c r="G55" s="16" t="n">
        <f aca="false">Data!K55</f>
        <v>23502</v>
      </c>
      <c r="H55" s="16" t="n">
        <f aca="false">Data!L55</f>
        <v>13369</v>
      </c>
      <c r="I55" s="16" t="n">
        <f aca="false">Data!G55</f>
        <v>35361</v>
      </c>
      <c r="J55" s="16" t="n">
        <f aca="false">Data!H55+Data!I55+Data!J55+Data!M55</f>
        <v>28025</v>
      </c>
      <c r="K55" s="16" t="n">
        <f aca="false">Data!F55</f>
        <v>153481</v>
      </c>
      <c r="L55" s="16" t="n">
        <f aca="false">Data!N55+Data!O55+Data!P55+Data!Q55+Data!R55+Data!S55</f>
        <v>42479</v>
      </c>
      <c r="M55" s="15" t="n">
        <f aca="false">Data!T55+Data!U55+Data!V55+Data!W55+Data!X55+Data!Y55+Data!Z55+Data!AA55+Data!AB55+Data!AC55+Data!AD55+Data!AE55+Data!AF55+Data!AG55+Data!AH55+Data!AI55+Data!AJ55+Data!AK55+Data!AL55</f>
        <v>398992</v>
      </c>
      <c r="N55" s="16" t="n">
        <f aca="false">Data!T55+Data!U55+Data!V55+Data!W55</f>
        <v>222166</v>
      </c>
      <c r="O55" s="16" t="n">
        <f aca="false">Data!T55</f>
        <v>157762</v>
      </c>
      <c r="P55" s="16" t="n">
        <f aca="false">Data!U55</f>
        <v>23553</v>
      </c>
      <c r="Q55" s="16" t="n">
        <f aca="false">Data!V55</f>
        <v>24743</v>
      </c>
      <c r="R55" s="16" t="n">
        <f aca="false">Data!W55</f>
        <v>16108</v>
      </c>
      <c r="S55" s="16" t="n">
        <f aca="false">Data!X55</f>
        <v>31111</v>
      </c>
      <c r="T55" s="16" t="n">
        <f aca="false">Data!Y55+Data!Z55+Data!AA55</f>
        <v>30987</v>
      </c>
      <c r="U55" s="16" t="n">
        <f aca="false">Data!Y55</f>
        <v>18451</v>
      </c>
      <c r="V55" s="16" t="n">
        <f aca="false">Data!Z55</f>
        <v>12337</v>
      </c>
      <c r="W55" s="16" t="n">
        <f aca="false">Data!AB55</f>
        <v>53074</v>
      </c>
      <c r="X55" s="16" t="n">
        <f aca="false">Data!AC55</f>
        <v>14529</v>
      </c>
      <c r="Y55" s="16" t="n">
        <f aca="false">Data!AD55+Data!AE55+Data!AF55+Data!AG55+Data!AH55</f>
        <v>21106</v>
      </c>
      <c r="Z55" s="16" t="n">
        <f aca="false">Data!AI55</f>
        <v>13486</v>
      </c>
      <c r="AA55" s="16" t="n">
        <f aca="false">Data!AJ55</f>
        <v>0</v>
      </c>
      <c r="AB55" s="16" t="n">
        <f aca="false">Data!AK55</f>
        <v>1050</v>
      </c>
      <c r="AC55" s="16" t="n">
        <f aca="false">Data!AL55</f>
        <v>11483</v>
      </c>
      <c r="AD55" s="15" t="n">
        <f aca="false">Data!AM55</f>
        <v>-3766</v>
      </c>
      <c r="AE55" s="16" t="n">
        <f aca="false">Data!AN55</f>
        <v>87052</v>
      </c>
      <c r="AF55" s="15" t="n">
        <f aca="false">Data!AO55</f>
        <v>-90818</v>
      </c>
    </row>
    <row r="56" customFormat="false" ht="15" hidden="false" customHeight="false" outlineLevel="0" collapsed="false">
      <c r="B56" s="14" t="str">
        <f aca="false">Data!B56</f>
        <v>2020-02</v>
      </c>
      <c r="C56" s="15" t="n">
        <f aca="false">Data!D56+Data!E56+Data!F56+Data!G56+Data!H56+Data!I56+Data!J56+Data!K56+Data!L56+Data!M56+Data!N56+Data!O56+Data!P56+Data!Q56+Data!R56+Data!S56</f>
        <v>350916</v>
      </c>
      <c r="D56" s="16" t="n">
        <f aca="false">Data!D56+Data!E56+Data!G56+Data!H56+Data!I56+Data!J56+Data!K56+Data!L56+Data!M56</f>
        <v>188021</v>
      </c>
      <c r="E56" s="16" t="n">
        <f aca="false">Data!D56</f>
        <v>63561</v>
      </c>
      <c r="F56" s="16" t="n">
        <f aca="false">Data!E56</f>
        <v>30121</v>
      </c>
      <c r="G56" s="16" t="n">
        <f aca="false">Data!K56</f>
        <v>20893</v>
      </c>
      <c r="H56" s="16" t="n">
        <f aca="false">Data!L56</f>
        <v>9457</v>
      </c>
      <c r="I56" s="16" t="n">
        <f aca="false">Data!G56</f>
        <v>34564</v>
      </c>
      <c r="J56" s="16" t="n">
        <f aca="false">Data!H56+Data!I56+Data!J56+Data!M56</f>
        <v>29425</v>
      </c>
      <c r="K56" s="16" t="n">
        <f aca="false">Data!F56</f>
        <v>127092</v>
      </c>
      <c r="L56" s="16" t="n">
        <f aca="false">Data!N56+Data!O56+Data!P56+Data!Q56+Data!R56+Data!S56</f>
        <v>35803</v>
      </c>
      <c r="M56" s="15" t="n">
        <f aca="false">Data!T56+Data!U56+Data!V56+Data!W56+Data!X56+Data!Y56+Data!Z56+Data!AA56+Data!AB56+Data!AC56+Data!AD56+Data!AE56+Data!AF56+Data!AG56+Data!AH56+Data!AI56+Data!AJ56+Data!AK56+Data!AL56</f>
        <v>378413</v>
      </c>
      <c r="N56" s="16" t="n">
        <f aca="false">Data!T56+Data!U56+Data!V56+Data!W56</f>
        <v>218318</v>
      </c>
      <c r="O56" s="16" t="n">
        <f aca="false">Data!T56</f>
        <v>160712</v>
      </c>
      <c r="P56" s="16" t="n">
        <f aca="false">Data!U56</f>
        <v>25743</v>
      </c>
      <c r="Q56" s="16" t="n">
        <f aca="false">Data!V56</f>
        <v>15444</v>
      </c>
      <c r="R56" s="16" t="n">
        <f aca="false">Data!W56</f>
        <v>16419</v>
      </c>
      <c r="S56" s="16" t="n">
        <f aca="false">Data!X56</f>
        <v>15424</v>
      </c>
      <c r="T56" s="16" t="n">
        <f aca="false">Data!Y56+Data!Z56+Data!AA56</f>
        <v>33510</v>
      </c>
      <c r="U56" s="16" t="n">
        <f aca="false">Data!Y56</f>
        <v>21874</v>
      </c>
      <c r="V56" s="16" t="n">
        <f aca="false">Data!Z56</f>
        <v>11579</v>
      </c>
      <c r="W56" s="16" t="n">
        <f aca="false">Data!AB56</f>
        <v>53245</v>
      </c>
      <c r="X56" s="16" t="n">
        <f aca="false">Data!AC56</f>
        <v>14172</v>
      </c>
      <c r="Y56" s="16" t="n">
        <f aca="false">Data!AD56+Data!AE56+Data!AF56+Data!AG56+Data!AH56</f>
        <v>12997</v>
      </c>
      <c r="Z56" s="16" t="n">
        <f aca="false">Data!AI56</f>
        <v>14018</v>
      </c>
      <c r="AA56" s="16" t="n">
        <f aca="false">Data!AJ56</f>
        <v>0</v>
      </c>
      <c r="AB56" s="16" t="n">
        <f aca="false">Data!AK56</f>
        <v>3569</v>
      </c>
      <c r="AC56" s="16" t="n">
        <f aca="false">Data!AL56</f>
        <v>13160</v>
      </c>
      <c r="AD56" s="15" t="n">
        <f aca="false">Data!AM56</f>
        <v>-27497</v>
      </c>
      <c r="AE56" s="16" t="n">
        <f aca="false">Data!AN56</f>
        <v>40081</v>
      </c>
      <c r="AF56" s="15" t="n">
        <f aca="false">Data!AO56</f>
        <v>-67578</v>
      </c>
    </row>
    <row r="57" customFormat="false" ht="15" hidden="false" customHeight="false" outlineLevel="0" collapsed="false">
      <c r="B57" s="14" t="str">
        <f aca="false">Data!B57</f>
        <v>2020-03</v>
      </c>
      <c r="C57" s="15" t="n">
        <f aca="false">Data!D57+Data!E57+Data!F57+Data!G57+Data!H57+Data!I57+Data!J57+Data!K57+Data!L57+Data!M57+Data!N57+Data!O57+Data!P57+Data!Q57+Data!R57+Data!S57</f>
        <v>341518</v>
      </c>
      <c r="D57" s="16" t="n">
        <f aca="false">Data!D57+Data!E57+Data!G57+Data!H57+Data!I57+Data!J57+Data!K57+Data!L57+Data!M57</f>
        <v>183645</v>
      </c>
      <c r="E57" s="16" t="n">
        <f aca="false">Data!D57</f>
        <v>61510</v>
      </c>
      <c r="F57" s="16" t="n">
        <f aca="false">Data!E57</f>
        <v>23174</v>
      </c>
      <c r="G57" s="16" t="n">
        <f aca="false">Data!K57</f>
        <v>26895</v>
      </c>
      <c r="H57" s="16" t="n">
        <f aca="false">Data!L57</f>
        <v>11783</v>
      </c>
      <c r="I57" s="16" t="n">
        <f aca="false">Data!G57</f>
        <v>24902</v>
      </c>
      <c r="J57" s="16" t="n">
        <f aca="false">Data!H57+Data!I57+Data!J57+Data!M57</f>
        <v>35381</v>
      </c>
      <c r="K57" s="16" t="n">
        <f aca="false">Data!F57</f>
        <v>123942</v>
      </c>
      <c r="L57" s="16" t="n">
        <f aca="false">Data!N57+Data!O57+Data!P57+Data!Q57+Data!R57+Data!S57</f>
        <v>33931</v>
      </c>
      <c r="M57" s="15" t="n">
        <f aca="false">Data!T57+Data!U57+Data!V57+Data!W57+Data!X57+Data!Y57+Data!Z57+Data!AA57+Data!AB57+Data!AC57+Data!AD57+Data!AE57+Data!AF57+Data!AG57+Data!AH57+Data!AI57+Data!AJ57+Data!AK57+Data!AL57</f>
        <v>466246</v>
      </c>
      <c r="N57" s="16" t="n">
        <f aca="false">Data!T57+Data!U57+Data!V57+Data!W57</f>
        <v>265773</v>
      </c>
      <c r="O57" s="16" t="n">
        <f aca="false">Data!T57</f>
        <v>175074</v>
      </c>
      <c r="P57" s="16" t="n">
        <f aca="false">Data!U57</f>
        <v>55624</v>
      </c>
      <c r="Q57" s="16" t="n">
        <f aca="false">Data!V57</f>
        <v>16879</v>
      </c>
      <c r="R57" s="16" t="n">
        <f aca="false">Data!W57</f>
        <v>18196</v>
      </c>
      <c r="S57" s="16" t="n">
        <f aca="false">Data!X57</f>
        <v>23708</v>
      </c>
      <c r="T57" s="16" t="n">
        <f aca="false">Data!Y57+Data!Z57+Data!AA57</f>
        <v>40458</v>
      </c>
      <c r="U57" s="16" t="n">
        <f aca="false">Data!Y57</f>
        <v>26090</v>
      </c>
      <c r="V57" s="16" t="n">
        <f aca="false">Data!Z57</f>
        <v>14138</v>
      </c>
      <c r="W57" s="16" t="n">
        <f aca="false">Data!AB57</f>
        <v>54245</v>
      </c>
      <c r="X57" s="16" t="n">
        <f aca="false">Data!AC57</f>
        <v>13907</v>
      </c>
      <c r="Y57" s="16" t="n">
        <f aca="false">Data!AD57+Data!AE57+Data!AF57+Data!AG57+Data!AH57</f>
        <v>18876</v>
      </c>
      <c r="Z57" s="16" t="n">
        <f aca="false">Data!AI57</f>
        <v>27848</v>
      </c>
      <c r="AA57" s="16" t="n">
        <f aca="false">Data!AJ57</f>
        <v>0</v>
      </c>
      <c r="AB57" s="16" t="n">
        <f aca="false">Data!AK57</f>
        <v>4832</v>
      </c>
      <c r="AC57" s="16" t="n">
        <f aca="false">Data!AL57</f>
        <v>16599</v>
      </c>
      <c r="AD57" s="15" t="n">
        <f aca="false">Data!AM57</f>
        <v>-124728</v>
      </c>
      <c r="AE57" s="16" t="n">
        <f aca="false">Data!AN57</f>
        <v>41577</v>
      </c>
      <c r="AF57" s="15" t="n">
        <f aca="false">Data!AO57</f>
        <v>-166305</v>
      </c>
    </row>
    <row r="58" customFormat="false" ht="15" hidden="false" customHeight="false" outlineLevel="0" collapsed="false">
      <c r="B58" s="14" t="str">
        <f aca="false">Data!B58</f>
        <v>2020-04</v>
      </c>
      <c r="C58" s="15" t="n">
        <f aca="false">Data!D58+Data!E58+Data!F58+Data!G58+Data!H58+Data!I58+Data!J58+Data!K58+Data!L58+Data!M58+Data!N58+Data!O58+Data!P58+Data!Q58+Data!R58+Data!S58</f>
        <v>316249</v>
      </c>
      <c r="D58" s="16" t="n">
        <f aca="false">Data!D58+Data!E58+Data!G58+Data!H58+Data!I58+Data!J58+Data!K58+Data!L58+Data!M58</f>
        <v>178037</v>
      </c>
      <c r="E58" s="16" t="n">
        <f aca="false">Data!D58</f>
        <v>55271</v>
      </c>
      <c r="F58" s="16" t="n">
        <f aca="false">Data!E58</f>
        <v>22034</v>
      </c>
      <c r="G58" s="16" t="n">
        <f aca="false">Data!K58</f>
        <v>28210</v>
      </c>
      <c r="H58" s="16" t="n">
        <f aca="false">Data!L58</f>
        <v>9414</v>
      </c>
      <c r="I58" s="16" t="n">
        <f aca="false">Data!G58</f>
        <v>35694</v>
      </c>
      <c r="J58" s="16" t="n">
        <f aca="false">Data!H58+Data!I58+Data!J58+Data!M58</f>
        <v>27414</v>
      </c>
      <c r="K58" s="16" t="n">
        <f aca="false">Data!F58</f>
        <v>106742</v>
      </c>
      <c r="L58" s="16" t="n">
        <f aca="false">Data!N58+Data!O58+Data!P58+Data!Q58+Data!R58+Data!S58</f>
        <v>31470</v>
      </c>
      <c r="M58" s="15" t="n">
        <f aca="false">Data!T58+Data!U58+Data!V58+Data!W58+Data!X58+Data!Y58+Data!Z58+Data!AA58+Data!AB58+Data!AC58+Data!AD58+Data!AE58+Data!AF58+Data!AG58+Data!AH58+Data!AI58+Data!AJ58+Data!AK58+Data!AL58</f>
        <v>545071</v>
      </c>
      <c r="N58" s="16" t="n">
        <f aca="false">Data!T58+Data!U58+Data!V58+Data!W58</f>
        <v>247736</v>
      </c>
      <c r="O58" s="16" t="n">
        <f aca="false">Data!T58</f>
        <v>174627</v>
      </c>
      <c r="P58" s="16" t="n">
        <f aca="false">Data!U58</f>
        <v>28114</v>
      </c>
      <c r="Q58" s="16" t="n">
        <f aca="false">Data!V58</f>
        <v>19737</v>
      </c>
      <c r="R58" s="16" t="n">
        <f aca="false">Data!W58</f>
        <v>25258</v>
      </c>
      <c r="S58" s="16" t="n">
        <f aca="false">Data!X58</f>
        <v>84775</v>
      </c>
      <c r="T58" s="16" t="n">
        <f aca="false">Data!Y58+Data!Z58+Data!AA58</f>
        <v>57809</v>
      </c>
      <c r="U58" s="16" t="n">
        <f aca="false">Data!Y58</f>
        <v>43590</v>
      </c>
      <c r="V58" s="16" t="n">
        <f aca="false">Data!Z58</f>
        <v>14115</v>
      </c>
      <c r="W58" s="16" t="n">
        <f aca="false">Data!AB58</f>
        <v>56487</v>
      </c>
      <c r="X58" s="16" t="n">
        <f aca="false">Data!AC58</f>
        <v>18416</v>
      </c>
      <c r="Y58" s="16" t="n">
        <f aca="false">Data!AD58+Data!AE58+Data!AF58+Data!AG58+Data!AH58</f>
        <v>49280</v>
      </c>
      <c r="Z58" s="16" t="n">
        <f aca="false">Data!AI58</f>
        <v>1495</v>
      </c>
      <c r="AA58" s="16" t="n">
        <f aca="false">Data!AJ58</f>
        <v>0</v>
      </c>
      <c r="AB58" s="16" t="n">
        <f aca="false">Data!AK58</f>
        <v>5427</v>
      </c>
      <c r="AC58" s="16" t="n">
        <f aca="false">Data!AL58</f>
        <v>23646</v>
      </c>
      <c r="AD58" s="15" t="n">
        <f aca="false">Data!AM58</f>
        <v>-228822</v>
      </c>
      <c r="AE58" s="16" t="n">
        <f aca="false">Data!AN58</f>
        <v>37228</v>
      </c>
      <c r="AF58" s="15" t="n">
        <f aca="false">Data!AO58</f>
        <v>-266049</v>
      </c>
    </row>
    <row r="59" customFormat="false" ht="15" hidden="false" customHeight="false" outlineLevel="0" collapsed="false">
      <c r="B59" s="14" t="str">
        <f aca="false">Data!B59</f>
        <v>2020-05</v>
      </c>
      <c r="C59" s="15" t="n">
        <f aca="false">Data!D59+Data!E59+Data!F59+Data!G59+Data!H59+Data!I59+Data!J59+Data!K59+Data!L59+Data!M59+Data!N59+Data!O59+Data!P59+Data!Q59+Data!R59+Data!S59</f>
        <v>328121</v>
      </c>
      <c r="D59" s="16" t="n">
        <f aca="false">Data!D59+Data!E59+Data!G59+Data!H59+Data!I59+Data!J59+Data!K59+Data!L59+Data!M59</f>
        <v>197661</v>
      </c>
      <c r="E59" s="16" t="n">
        <f aca="false">Data!D59</f>
        <v>55983</v>
      </c>
      <c r="F59" s="16" t="n">
        <f aca="false">Data!E59</f>
        <v>46568</v>
      </c>
      <c r="G59" s="16" t="n">
        <f aca="false">Data!K59</f>
        <v>23622</v>
      </c>
      <c r="H59" s="16" t="n">
        <f aca="false">Data!L59</f>
        <v>11028</v>
      </c>
      <c r="I59" s="16" t="n">
        <f aca="false">Data!G59</f>
        <v>26728</v>
      </c>
      <c r="J59" s="16" t="n">
        <f aca="false">Data!H59+Data!I59+Data!J59+Data!M59</f>
        <v>33732</v>
      </c>
      <c r="K59" s="16" t="n">
        <f aca="false">Data!F59</f>
        <v>103875</v>
      </c>
      <c r="L59" s="16" t="n">
        <f aca="false">Data!N59+Data!O59+Data!P59+Data!Q59+Data!R59+Data!S59</f>
        <v>26585</v>
      </c>
      <c r="M59" s="15" t="n">
        <f aca="false">Data!T59+Data!U59+Data!V59+Data!W59+Data!X59+Data!Y59+Data!Z59+Data!AA59+Data!AB59+Data!AC59+Data!AD59+Data!AE59+Data!AF59+Data!AG59+Data!AH59+Data!AI59+Data!AJ59+Data!AK59+Data!AL59</f>
        <v>579408</v>
      </c>
      <c r="N59" s="16" t="n">
        <f aca="false">Data!T59+Data!U59+Data!V59+Data!W59</f>
        <v>240365</v>
      </c>
      <c r="O59" s="16" t="n">
        <f aca="false">Data!T59</f>
        <v>174691</v>
      </c>
      <c r="P59" s="16" t="n">
        <f aca="false">Data!U59</f>
        <v>26905</v>
      </c>
      <c r="Q59" s="16" t="n">
        <f aca="false">Data!V59</f>
        <v>19077</v>
      </c>
      <c r="R59" s="16" t="n">
        <f aca="false">Data!W59</f>
        <v>19692</v>
      </c>
      <c r="S59" s="16" t="n">
        <f aca="false">Data!X59</f>
        <v>108678</v>
      </c>
      <c r="T59" s="16" t="n">
        <f aca="false">Data!Y59+Data!Z59+Data!AA59</f>
        <v>67353</v>
      </c>
      <c r="U59" s="16" t="n">
        <f aca="false">Data!Y59</f>
        <v>51711</v>
      </c>
      <c r="V59" s="16" t="n">
        <f aca="false">Data!Z59</f>
        <v>15546</v>
      </c>
      <c r="W59" s="16" t="n">
        <f aca="false">Data!AB59</f>
        <v>49213</v>
      </c>
      <c r="X59" s="16" t="n">
        <f aca="false">Data!AC59</f>
        <v>18395</v>
      </c>
      <c r="Y59" s="16" t="n">
        <f aca="false">Data!AD59+Data!AE59+Data!AF59+Data!AG59+Data!AH59</f>
        <v>45802</v>
      </c>
      <c r="Z59" s="16" t="n">
        <f aca="false">Data!AI59</f>
        <v>15336</v>
      </c>
      <c r="AA59" s="16" t="n">
        <f aca="false">Data!AJ59</f>
        <v>0</v>
      </c>
      <c r="AB59" s="16" t="n">
        <f aca="false">Data!AK59</f>
        <v>8874</v>
      </c>
      <c r="AC59" s="16" t="n">
        <f aca="false">Data!AL59</f>
        <v>25392</v>
      </c>
      <c r="AD59" s="15" t="n">
        <f aca="false">Data!AM59</f>
        <v>-251287</v>
      </c>
      <c r="AE59" s="16" t="n">
        <f aca="false">Data!AN59</f>
        <v>56932</v>
      </c>
      <c r="AF59" s="15" t="n">
        <f aca="false">Data!AO59</f>
        <v>-308219</v>
      </c>
    </row>
    <row r="60" customFormat="false" ht="15" hidden="false" customHeight="false" outlineLevel="0" collapsed="false">
      <c r="B60" s="14" t="str">
        <f aca="false">Data!B60</f>
        <v>2020-06</v>
      </c>
      <c r="C60" s="15" t="n">
        <f aca="false">Data!D60+Data!E60+Data!F60+Data!G60+Data!H60+Data!I60+Data!J60+Data!K60+Data!L60+Data!M60+Data!N60+Data!O60+Data!P60+Data!Q60+Data!R60+Data!S60</f>
        <v>402901</v>
      </c>
      <c r="D60" s="16" t="n">
        <f aca="false">Data!D60+Data!E60+Data!G60+Data!H60+Data!I60+Data!J60+Data!K60+Data!L60+Data!M60</f>
        <v>249756</v>
      </c>
      <c r="E60" s="16" t="n">
        <f aca="false">Data!D60</f>
        <v>61651</v>
      </c>
      <c r="F60" s="16" t="n">
        <f aca="false">Data!E60</f>
        <v>50778</v>
      </c>
      <c r="G60" s="16" t="n">
        <f aca="false">Data!K60</f>
        <v>34475</v>
      </c>
      <c r="H60" s="16" t="n">
        <f aca="false">Data!L60</f>
        <v>12004</v>
      </c>
      <c r="I60" s="16" t="n">
        <f aca="false">Data!G60</f>
        <v>40848</v>
      </c>
      <c r="J60" s="16" t="n">
        <f aca="false">Data!H60+Data!I60+Data!J60+Data!M60</f>
        <v>50000</v>
      </c>
      <c r="K60" s="16" t="n">
        <f aca="false">Data!F60</f>
        <v>115917</v>
      </c>
      <c r="L60" s="16" t="n">
        <f aca="false">Data!N60+Data!O60+Data!P60+Data!Q60+Data!R60+Data!S60</f>
        <v>37228</v>
      </c>
      <c r="M60" s="15" t="n">
        <f aca="false">Data!T60+Data!U60+Data!V60+Data!W60+Data!X60+Data!Y60+Data!Z60+Data!AA60+Data!AB60+Data!AC60+Data!AD60+Data!AE60+Data!AF60+Data!AG60+Data!AH60+Data!AI60+Data!AJ60+Data!AK60+Data!AL60</f>
        <v>656607</v>
      </c>
      <c r="N60" s="16" t="n">
        <f aca="false">Data!T60+Data!U60+Data!V60+Data!W60</f>
        <v>342872</v>
      </c>
      <c r="O60" s="16" t="n">
        <f aca="false">Data!T60</f>
        <v>266374</v>
      </c>
      <c r="P60" s="16" t="n">
        <f aca="false">Data!U60</f>
        <v>27210</v>
      </c>
      <c r="Q60" s="16" t="n">
        <f aca="false">Data!V60</f>
        <v>25001</v>
      </c>
      <c r="R60" s="16" t="n">
        <f aca="false">Data!W60</f>
        <v>24287</v>
      </c>
      <c r="S60" s="16" t="n">
        <f aca="false">Data!X60</f>
        <v>119957</v>
      </c>
      <c r="T60" s="16" t="n">
        <f aca="false">Data!Y60+Data!Z60+Data!AA60</f>
        <v>63517</v>
      </c>
      <c r="U60" s="16" t="n">
        <f aca="false">Data!Y60</f>
        <v>48685</v>
      </c>
      <c r="V60" s="16" t="n">
        <f aca="false">Data!Z60</f>
        <v>14736</v>
      </c>
      <c r="W60" s="16" t="n">
        <f aca="false">Data!AB60</f>
        <v>51460</v>
      </c>
      <c r="X60" s="16" t="n">
        <f aca="false">Data!AC60</f>
        <v>18880</v>
      </c>
      <c r="Y60" s="16" t="n">
        <f aca="false">Data!AD60+Data!AE60+Data!AF60+Data!AG60+Data!AH60</f>
        <v>18031</v>
      </c>
      <c r="Z60" s="16" t="n">
        <f aca="false">Data!AI60</f>
        <v>15641</v>
      </c>
      <c r="AA60" s="16" t="n">
        <f aca="false">Data!AJ60</f>
        <v>0</v>
      </c>
      <c r="AB60" s="16" t="n">
        <f aca="false">Data!AK60</f>
        <v>10588</v>
      </c>
      <c r="AC60" s="16" t="n">
        <f aca="false">Data!AL60</f>
        <v>15661</v>
      </c>
      <c r="AD60" s="15" t="n">
        <f aca="false">Data!AM60</f>
        <v>-253706</v>
      </c>
      <c r="AE60" s="16" t="n">
        <f aca="false">Data!AN60</f>
        <v>34859</v>
      </c>
      <c r="AF60" s="15" t="n">
        <f aca="false">Data!AO60</f>
        <v>-288565</v>
      </c>
    </row>
    <row r="61" customFormat="false" ht="15" hidden="false" customHeight="false" outlineLevel="0" collapsed="false">
      <c r="B61" s="14" t="str">
        <f aca="false">Data!B61</f>
        <v>2020-07</v>
      </c>
      <c r="C61" s="15" t="n">
        <f aca="false">Data!D61+Data!E61+Data!F61+Data!G61+Data!H61+Data!I61+Data!J61+Data!K61+Data!L61+Data!M61+Data!N61+Data!O61+Data!P61+Data!Q61+Data!R61+Data!S61</f>
        <v>436208</v>
      </c>
      <c r="D61" s="16" t="n">
        <f aca="false">Data!D61+Data!E61+Data!G61+Data!H61+Data!I61+Data!J61+Data!K61+Data!L61+Data!M61</f>
        <v>243825</v>
      </c>
      <c r="E61" s="16" t="n">
        <f aca="false">Data!D61</f>
        <v>62442</v>
      </c>
      <c r="F61" s="16" t="n">
        <f aca="false">Data!E61</f>
        <v>33235</v>
      </c>
      <c r="G61" s="16" t="n">
        <f aca="false">Data!K61</f>
        <v>33057</v>
      </c>
      <c r="H61" s="16" t="n">
        <f aca="false">Data!L61</f>
        <v>12220</v>
      </c>
      <c r="I61" s="16" t="n">
        <f aca="false">Data!G61</f>
        <v>36316</v>
      </c>
      <c r="J61" s="16" t="n">
        <f aca="false">Data!H61+Data!I61+Data!J61+Data!M61</f>
        <v>66555</v>
      </c>
      <c r="K61" s="16" t="n">
        <f aca="false">Data!F61</f>
        <v>151887</v>
      </c>
      <c r="L61" s="16" t="n">
        <f aca="false">Data!N61+Data!O61+Data!P61+Data!Q61+Data!R61+Data!S61</f>
        <v>40496</v>
      </c>
      <c r="M61" s="15" t="n">
        <f aca="false">Data!T61+Data!U61+Data!V61+Data!W61+Data!X61+Data!Y61+Data!Z61+Data!AA61+Data!AB61+Data!AC61+Data!AD61+Data!AE61+Data!AF61+Data!AG61+Data!AH61+Data!AI61+Data!AJ61+Data!AK61+Data!AL61</f>
        <v>591732</v>
      </c>
      <c r="N61" s="16" t="n">
        <f aca="false">Data!T61+Data!U61+Data!V61+Data!W61</f>
        <v>249355</v>
      </c>
      <c r="O61" s="16" t="n">
        <f aca="false">Data!T61</f>
        <v>182127</v>
      </c>
      <c r="P61" s="16" t="n">
        <f aca="false">Data!U61</f>
        <v>26517</v>
      </c>
      <c r="Q61" s="16" t="n">
        <f aca="false">Data!V61</f>
        <v>18044</v>
      </c>
      <c r="R61" s="16" t="n">
        <f aca="false">Data!W61</f>
        <v>22667</v>
      </c>
      <c r="S61" s="16" t="n">
        <f aca="false">Data!X61</f>
        <v>96931</v>
      </c>
      <c r="T61" s="16" t="n">
        <f aca="false">Data!Y61+Data!Z61+Data!AA61</f>
        <v>65391</v>
      </c>
      <c r="U61" s="16" t="n">
        <f aca="false">Data!Y61</f>
        <v>47650</v>
      </c>
      <c r="V61" s="16" t="n">
        <f aca="false">Data!Z61</f>
        <v>17636</v>
      </c>
      <c r="W61" s="16" t="n">
        <f aca="false">Data!AB61</f>
        <v>74329</v>
      </c>
      <c r="X61" s="16" t="n">
        <f aca="false">Data!AC61</f>
        <v>16480</v>
      </c>
      <c r="Y61" s="16" t="n">
        <f aca="false">Data!AD61+Data!AE61+Data!AF61+Data!AG61+Data!AH61</f>
        <v>32513</v>
      </c>
      <c r="Z61" s="16" t="n">
        <f aca="false">Data!AI61</f>
        <v>23517</v>
      </c>
      <c r="AA61" s="16" t="n">
        <f aca="false">Data!AJ61</f>
        <v>0</v>
      </c>
      <c r="AB61" s="16" t="n">
        <f aca="false">Data!AK61</f>
        <v>6183</v>
      </c>
      <c r="AC61" s="16" t="n">
        <f aca="false">Data!AL61</f>
        <v>27033</v>
      </c>
      <c r="AD61" s="15" t="n">
        <f aca="false">Data!AM61</f>
        <v>-155524</v>
      </c>
      <c r="AE61" s="16" t="n">
        <f aca="false">Data!AN61</f>
        <v>33566</v>
      </c>
      <c r="AF61" s="15" t="n">
        <f aca="false">Data!AO61</f>
        <v>-189089</v>
      </c>
    </row>
    <row r="62" customFormat="false" ht="15" hidden="false" customHeight="false" outlineLevel="0" collapsed="false">
      <c r="B62" s="14" t="str">
        <f aca="false">Data!B62</f>
        <v>2020-08</v>
      </c>
      <c r="C62" s="15" t="n">
        <f aca="false">Data!D62+Data!E62+Data!F62+Data!G62+Data!H62+Data!I62+Data!J62+Data!K62+Data!L62+Data!M62+Data!N62+Data!O62+Data!P62+Data!Q62+Data!R62+Data!S62</f>
        <v>432535</v>
      </c>
      <c r="D62" s="16" t="n">
        <f aca="false">Data!D62+Data!E62+Data!G62+Data!H62+Data!I62+Data!J62+Data!K62+Data!L62+Data!M62</f>
        <v>273092</v>
      </c>
      <c r="E62" s="16" t="n">
        <f aca="false">Data!D62</f>
        <v>68611</v>
      </c>
      <c r="F62" s="16" t="n">
        <f aca="false">Data!E62</f>
        <v>46643</v>
      </c>
      <c r="G62" s="16" t="n">
        <f aca="false">Data!K62</f>
        <v>36141</v>
      </c>
      <c r="H62" s="16" t="n">
        <f aca="false">Data!L62</f>
        <v>13257</v>
      </c>
      <c r="I62" s="16" t="n">
        <f aca="false">Data!G62</f>
        <v>37776</v>
      </c>
      <c r="J62" s="16" t="n">
        <f aca="false">Data!H62+Data!I62+Data!J62+Data!M62</f>
        <v>70664</v>
      </c>
      <c r="K62" s="16" t="n">
        <f aca="false">Data!F62</f>
        <v>125894</v>
      </c>
      <c r="L62" s="16" t="n">
        <f aca="false">Data!N62+Data!O62+Data!P62+Data!Q62+Data!R62+Data!S62</f>
        <v>33549</v>
      </c>
      <c r="M62" s="15" t="n">
        <f aca="false">Data!T62+Data!U62+Data!V62+Data!W62+Data!X62+Data!Y62+Data!Z62+Data!AA62+Data!AB62+Data!AC62+Data!AD62+Data!AE62+Data!AF62+Data!AG62+Data!AH62+Data!AI62+Data!AJ62+Data!AK62+Data!AL62</f>
        <v>522034</v>
      </c>
      <c r="N62" s="16" t="n">
        <f aca="false">Data!T62+Data!U62+Data!V62+Data!W62</f>
        <v>251702</v>
      </c>
      <c r="O62" s="16" t="n">
        <f aca="false">Data!T62</f>
        <v>183295</v>
      </c>
      <c r="P62" s="16" t="n">
        <f aca="false">Data!U62</f>
        <v>27458</v>
      </c>
      <c r="Q62" s="16" t="n">
        <f aca="false">Data!V62</f>
        <v>18349</v>
      </c>
      <c r="R62" s="16" t="n">
        <f aca="false">Data!W62</f>
        <v>22600</v>
      </c>
      <c r="S62" s="16" t="n">
        <f aca="false">Data!X62</f>
        <v>96608</v>
      </c>
      <c r="T62" s="16" t="n">
        <f aca="false">Data!Y62+Data!Z62+Data!AA62</f>
        <v>42214</v>
      </c>
      <c r="U62" s="16" t="n">
        <f aca="false">Data!Y62</f>
        <v>23769</v>
      </c>
      <c r="V62" s="16" t="n">
        <f aca="false">Data!Z62</f>
        <v>16604</v>
      </c>
      <c r="W62" s="16" t="n">
        <f aca="false">Data!AB62</f>
        <v>54931</v>
      </c>
      <c r="X62" s="16" t="n">
        <f aca="false">Data!AC62</f>
        <v>15565</v>
      </c>
      <c r="Y62" s="16" t="n">
        <f aca="false">Data!AD62+Data!AE62+Data!AF62+Data!AG62+Data!AH62</f>
        <v>16664</v>
      </c>
      <c r="Z62" s="16" t="n">
        <f aca="false">Data!AI62</f>
        <v>18081</v>
      </c>
      <c r="AA62" s="16" t="n">
        <f aca="false">Data!AJ62</f>
        <v>0</v>
      </c>
      <c r="AB62" s="16" t="n">
        <f aca="false">Data!AK62</f>
        <v>5726</v>
      </c>
      <c r="AC62" s="16" t="n">
        <f aca="false">Data!AL62</f>
        <v>20543</v>
      </c>
      <c r="AD62" s="15" t="n">
        <f aca="false">Data!AM62</f>
        <v>-89499</v>
      </c>
      <c r="AE62" s="16" t="n">
        <f aca="false">Data!AN62</f>
        <v>56053</v>
      </c>
      <c r="AF62" s="15" t="n">
        <f aca="false">Data!AO62</f>
        <v>-145552</v>
      </c>
    </row>
    <row r="63" customFormat="false" ht="15" hidden="false" customHeight="false" outlineLevel="0" collapsed="false">
      <c r="B63" s="14" t="str">
        <f aca="false">Data!B63</f>
        <v>2020-09</v>
      </c>
      <c r="C63" s="15" t="n">
        <f aca="false">Data!D63+Data!E63+Data!F63+Data!G63+Data!H63+Data!I63+Data!J63+Data!K63+Data!L63+Data!M63+Data!N63+Data!O63+Data!P63+Data!Q63+Data!R63+Data!S63</f>
        <v>445624</v>
      </c>
      <c r="D63" s="16" t="n">
        <f aca="false">Data!D63+Data!E63+Data!G63+Data!H63+Data!I63+Data!J63+Data!K63+Data!L63+Data!M63</f>
        <v>279210</v>
      </c>
      <c r="E63" s="16" t="n">
        <f aca="false">Data!D63</f>
        <v>75089</v>
      </c>
      <c r="F63" s="16" t="n">
        <f aca="false">Data!E63</f>
        <v>39423</v>
      </c>
      <c r="G63" s="16" t="n">
        <f aca="false">Data!K63</f>
        <v>44619</v>
      </c>
      <c r="H63" s="16" t="n">
        <f aca="false">Data!L63</f>
        <v>15802</v>
      </c>
      <c r="I63" s="16" t="n">
        <f aca="false">Data!G63</f>
        <v>39638</v>
      </c>
      <c r="J63" s="16" t="n">
        <f aca="false">Data!H63+Data!I63+Data!J63+Data!M63</f>
        <v>64639</v>
      </c>
      <c r="K63" s="16" t="n">
        <f aca="false">Data!F63</f>
        <v>128711</v>
      </c>
      <c r="L63" s="16" t="n">
        <f aca="false">Data!N63+Data!O63+Data!P63+Data!Q63+Data!R63+Data!S63</f>
        <v>37703</v>
      </c>
      <c r="M63" s="15" t="n">
        <f aca="false">Data!T63+Data!U63+Data!V63+Data!W63+Data!X63+Data!Y63+Data!Z63+Data!AA63+Data!AB63+Data!AC63+Data!AD63+Data!AE63+Data!AF63+Data!AG63+Data!AH63+Data!AI63+Data!AJ63+Data!AK63+Data!AL63</f>
        <v>612805</v>
      </c>
      <c r="N63" s="16" t="n">
        <f aca="false">Data!T63+Data!U63+Data!V63+Data!W63</f>
        <v>266772</v>
      </c>
      <c r="O63" s="16" t="n">
        <f aca="false">Data!T63</f>
        <v>194893</v>
      </c>
      <c r="P63" s="16" t="n">
        <f aca="false">Data!U63</f>
        <v>31663</v>
      </c>
      <c r="Q63" s="16" t="n">
        <f aca="false">Data!V63</f>
        <v>19429</v>
      </c>
      <c r="R63" s="16" t="n">
        <f aca="false">Data!W63</f>
        <v>20787</v>
      </c>
      <c r="S63" s="16" t="n">
        <f aca="false">Data!X63</f>
        <v>98000</v>
      </c>
      <c r="T63" s="16" t="n">
        <f aca="false">Data!Y63+Data!Z63+Data!AA63</f>
        <v>93488</v>
      </c>
      <c r="U63" s="16" t="n">
        <f aca="false">Data!Y63</f>
        <v>74853</v>
      </c>
      <c r="V63" s="16" t="n">
        <f aca="false">Data!Z63</f>
        <v>17710</v>
      </c>
      <c r="W63" s="16" t="n">
        <f aca="false">Data!AB63</f>
        <v>53097</v>
      </c>
      <c r="X63" s="16" t="n">
        <f aca="false">Data!AC63</f>
        <v>18153</v>
      </c>
      <c r="Y63" s="16" t="n">
        <f aca="false">Data!AD63+Data!AE63+Data!AF63+Data!AG63+Data!AH63</f>
        <v>24555</v>
      </c>
      <c r="Z63" s="16" t="n">
        <f aca="false">Data!AI63</f>
        <v>17512</v>
      </c>
      <c r="AA63" s="16" t="n">
        <f aca="false">Data!AJ63</f>
        <v>0</v>
      </c>
      <c r="AB63" s="16" t="n">
        <f aca="false">Data!AK63</f>
        <v>6947</v>
      </c>
      <c r="AC63" s="16" t="n">
        <f aca="false">Data!AL63</f>
        <v>34281</v>
      </c>
      <c r="AD63" s="15" t="n">
        <f aca="false">Data!AM63</f>
        <v>-167181</v>
      </c>
      <c r="AE63" s="16" t="n">
        <f aca="false">Data!AN63</f>
        <v>44839</v>
      </c>
      <c r="AF63" s="15" t="n">
        <f aca="false">Data!AO63</f>
        <v>-212020</v>
      </c>
    </row>
    <row r="64" customFormat="false" ht="15" hidden="false" customHeight="false" outlineLevel="0" collapsed="false">
      <c r="B64" s="14" t="str">
        <f aca="false">Data!B64</f>
        <v>2020-10</v>
      </c>
      <c r="C64" s="15" t="n">
        <f aca="false">Data!D64+Data!E64+Data!F64+Data!G64+Data!H64+Data!I64+Data!J64+Data!K64+Data!L64+Data!M64+Data!N64+Data!O64+Data!P64+Data!Q64+Data!R64+Data!S64</f>
        <v>454328</v>
      </c>
      <c r="D64" s="16" t="n">
        <f aca="false">Data!D64+Data!E64+Data!G64+Data!H64+Data!I64+Data!J64+Data!K64+Data!L64+Data!M64</f>
        <v>285219</v>
      </c>
      <c r="E64" s="16" t="n">
        <f aca="false">Data!D64</f>
        <v>83681</v>
      </c>
      <c r="F64" s="16" t="n">
        <f aca="false">Data!E64</f>
        <v>47127</v>
      </c>
      <c r="G64" s="16" t="n">
        <f aca="false">Data!K64</f>
        <v>39046</v>
      </c>
      <c r="H64" s="16" t="n">
        <f aca="false">Data!L64</f>
        <v>16338</v>
      </c>
      <c r="I64" s="16" t="n">
        <f aca="false">Data!G64</f>
        <v>41925</v>
      </c>
      <c r="J64" s="16" t="n">
        <f aca="false">Data!H64+Data!I64+Data!J64+Data!M64</f>
        <v>57102</v>
      </c>
      <c r="K64" s="16" t="n">
        <f aca="false">Data!F64</f>
        <v>128416</v>
      </c>
      <c r="L64" s="16" t="n">
        <f aca="false">Data!N64+Data!O64+Data!P64+Data!Q64+Data!R64+Data!S64</f>
        <v>40693</v>
      </c>
      <c r="M64" s="15" t="n">
        <f aca="false">Data!T64+Data!U64+Data!V64+Data!W64+Data!X64+Data!Y64+Data!Z64+Data!AA64+Data!AB64+Data!AC64+Data!AD64+Data!AE64+Data!AF64+Data!AG64+Data!AH64+Data!AI64+Data!AJ64+Data!AK64+Data!AL64</f>
        <v>535955</v>
      </c>
      <c r="N64" s="16" t="n">
        <f aca="false">Data!T64+Data!U64+Data!V64+Data!W64</f>
        <v>272912</v>
      </c>
      <c r="O64" s="16" t="n">
        <f aca="false">Data!T64</f>
        <v>197160</v>
      </c>
      <c r="P64" s="16" t="n">
        <f aca="false">Data!U64</f>
        <v>30441</v>
      </c>
      <c r="Q64" s="16" t="n">
        <f aca="false">Data!V64</f>
        <v>19496</v>
      </c>
      <c r="R64" s="16" t="n">
        <f aca="false">Data!W64</f>
        <v>25815</v>
      </c>
      <c r="S64" s="16" t="n">
        <f aca="false">Data!X64</f>
        <v>55152</v>
      </c>
      <c r="T64" s="16" t="n">
        <f aca="false">Data!Y64+Data!Z64+Data!AA64</f>
        <v>67708</v>
      </c>
      <c r="U64" s="16" t="n">
        <f aca="false">Data!Y64</f>
        <v>47427</v>
      </c>
      <c r="V64" s="16" t="n">
        <f aca="false">Data!Z64</f>
        <v>18848</v>
      </c>
      <c r="W64" s="16" t="n">
        <f aca="false">Data!AB64</f>
        <v>56615</v>
      </c>
      <c r="X64" s="16" t="n">
        <f aca="false">Data!AC64</f>
        <v>18916</v>
      </c>
      <c r="Y64" s="16" t="n">
        <f aca="false">Data!AD64+Data!AE64+Data!AF64+Data!AG64+Data!AH64</f>
        <v>24224</v>
      </c>
      <c r="Z64" s="16" t="n">
        <f aca="false">Data!AI64</f>
        <v>16778</v>
      </c>
      <c r="AA64" s="16" t="n">
        <f aca="false">Data!AJ64</f>
        <v>0</v>
      </c>
      <c r="AB64" s="16" t="n">
        <f aca="false">Data!AK64</f>
        <v>4484</v>
      </c>
      <c r="AC64" s="16" t="n">
        <f aca="false">Data!AL64</f>
        <v>19166</v>
      </c>
      <c r="AD64" s="15" t="n">
        <f aca="false">Data!AM64</f>
        <v>-81627</v>
      </c>
      <c r="AE64" s="16" t="n">
        <f aca="false">Data!AN64</f>
        <v>31069</v>
      </c>
      <c r="AF64" s="15" t="n">
        <f aca="false">Data!AO64</f>
        <v>-112696</v>
      </c>
    </row>
    <row r="65" customFormat="false" ht="15" hidden="false" customHeight="false" outlineLevel="0" collapsed="false">
      <c r="B65" s="14" t="str">
        <f aca="false">Data!B65</f>
        <v>2020-11</v>
      </c>
      <c r="C65" s="15" t="n">
        <f aca="false">Data!D65+Data!E65+Data!F65+Data!G65+Data!H65+Data!I65+Data!J65+Data!K65+Data!L65+Data!M65+Data!N65+Data!O65+Data!P65+Data!Q65+Data!R65+Data!S65</f>
        <v>468453</v>
      </c>
      <c r="D65" s="16" t="n">
        <f aca="false">Data!D65+Data!E65+Data!G65+Data!H65+Data!I65+Data!J65+Data!K65+Data!L65+Data!M65</f>
        <v>292141</v>
      </c>
      <c r="E65" s="16" t="n">
        <f aca="false">Data!D65</f>
        <v>85680</v>
      </c>
      <c r="F65" s="16" t="n">
        <f aca="false">Data!E65</f>
        <v>53634</v>
      </c>
      <c r="G65" s="16" t="n">
        <f aca="false">Data!K65</f>
        <v>38920</v>
      </c>
      <c r="H65" s="16" t="n">
        <f aca="false">Data!L65</f>
        <v>17316</v>
      </c>
      <c r="I65" s="16" t="n">
        <f aca="false">Data!G65</f>
        <v>44355</v>
      </c>
      <c r="J65" s="16" t="n">
        <f aca="false">Data!H65+Data!I65+Data!J65+Data!M65</f>
        <v>52236</v>
      </c>
      <c r="K65" s="16" t="n">
        <f aca="false">Data!F65</f>
        <v>130237</v>
      </c>
      <c r="L65" s="16" t="n">
        <f aca="false">Data!N65+Data!O65+Data!P65+Data!Q65+Data!R65+Data!S65</f>
        <v>46075</v>
      </c>
      <c r="M65" s="15" t="n">
        <f aca="false">Data!T65+Data!U65+Data!V65+Data!W65+Data!X65+Data!Y65+Data!Z65+Data!AA65+Data!AB65+Data!AC65+Data!AD65+Data!AE65+Data!AF65+Data!AG65+Data!AH65+Data!AI65+Data!AJ65+Data!AK65+Data!AL65</f>
        <v>527146</v>
      </c>
      <c r="N65" s="16" t="n">
        <f aca="false">Data!T65+Data!U65+Data!V65+Data!W65</f>
        <v>279562</v>
      </c>
      <c r="O65" s="16" t="n">
        <f aca="false">Data!T65</f>
        <v>202234</v>
      </c>
      <c r="P65" s="16" t="n">
        <f aca="false">Data!U65</f>
        <v>30876</v>
      </c>
      <c r="Q65" s="16" t="n">
        <f aca="false">Data!V65</f>
        <v>21546</v>
      </c>
      <c r="R65" s="16" t="n">
        <f aca="false">Data!W65</f>
        <v>24906</v>
      </c>
      <c r="S65" s="16" t="n">
        <f aca="false">Data!X65</f>
        <v>43627</v>
      </c>
      <c r="T65" s="16" t="n">
        <f aca="false">Data!Y65+Data!Z65+Data!AA65</f>
        <v>52813</v>
      </c>
      <c r="U65" s="16" t="n">
        <f aca="false">Data!Y65</f>
        <v>32664</v>
      </c>
      <c r="V65" s="16" t="n">
        <f aca="false">Data!Z65</f>
        <v>19124</v>
      </c>
      <c r="W65" s="16" t="n">
        <f aca="false">Data!AB65</f>
        <v>58629</v>
      </c>
      <c r="X65" s="16" t="n">
        <f aca="false">Data!AC65</f>
        <v>16443</v>
      </c>
      <c r="Y65" s="16" t="n">
        <f aca="false">Data!AD65+Data!AE65+Data!AF65+Data!AG65+Data!AH65</f>
        <v>22200</v>
      </c>
      <c r="Z65" s="16" t="n">
        <f aca="false">Data!AI65</f>
        <v>16311</v>
      </c>
      <c r="AA65" s="16" t="n">
        <f aca="false">Data!AJ65</f>
        <v>0</v>
      </c>
      <c r="AB65" s="16" t="n">
        <f aca="false">Data!AK65</f>
        <v>10645</v>
      </c>
      <c r="AC65" s="16" t="n">
        <f aca="false">Data!AL65</f>
        <v>26916</v>
      </c>
      <c r="AD65" s="15" t="n">
        <f aca="false">Data!AM65</f>
        <v>-58693</v>
      </c>
      <c r="AE65" s="16" t="n">
        <f aca="false">Data!AN65</f>
        <v>68337</v>
      </c>
      <c r="AF65" s="15" t="n">
        <f aca="false">Data!AO65</f>
        <v>-127029</v>
      </c>
    </row>
    <row r="66" customFormat="false" ht="15" hidden="false" customHeight="false" outlineLevel="0" collapsed="false">
      <c r="B66" s="14" t="str">
        <f aca="false">Data!B66</f>
        <v>2020-12</v>
      </c>
      <c r="C66" s="15" t="n">
        <f aca="false">Data!D66+Data!E66+Data!F66+Data!G66+Data!H66+Data!I66+Data!J66+Data!K66+Data!L66+Data!M66+Data!N66+Data!O66+Data!P66+Data!Q66+Data!R66+Data!S66</f>
        <v>469387</v>
      </c>
      <c r="D66" s="16" t="n">
        <f aca="false">Data!D66+Data!E66+Data!G66+Data!H66+Data!I66+Data!J66+Data!K66+Data!L66+Data!M66</f>
        <v>298329</v>
      </c>
      <c r="E66" s="16" t="n">
        <f aca="false">Data!D66</f>
        <v>91052</v>
      </c>
      <c r="F66" s="16" t="n">
        <f aca="false">Data!E66</f>
        <v>57877</v>
      </c>
      <c r="G66" s="16" t="n">
        <f aca="false">Data!K66</f>
        <v>27425</v>
      </c>
      <c r="H66" s="16" t="n">
        <f aca="false">Data!L66</f>
        <v>19228</v>
      </c>
      <c r="I66" s="16" t="n">
        <f aca="false">Data!G66</f>
        <v>42729</v>
      </c>
      <c r="J66" s="16" t="n">
        <f aca="false">Data!H66+Data!I66+Data!J66+Data!M66</f>
        <v>60018</v>
      </c>
      <c r="K66" s="16" t="n">
        <f aca="false">Data!F66</f>
        <v>136825</v>
      </c>
      <c r="L66" s="16" t="n">
        <f aca="false">Data!N66+Data!O66+Data!P66+Data!Q66+Data!R66+Data!S66</f>
        <v>34233</v>
      </c>
      <c r="M66" s="15" t="n">
        <f aca="false">Data!T66+Data!U66+Data!V66+Data!W66+Data!X66+Data!Y66+Data!Z66+Data!AA66+Data!AB66+Data!AC66+Data!AD66+Data!AE66+Data!AF66+Data!AG66+Data!AH66+Data!AI66+Data!AJ66+Data!AK66+Data!AL66</f>
        <v>777015</v>
      </c>
      <c r="N66" s="16" t="n">
        <f aca="false">Data!T66+Data!U66+Data!V66+Data!W66</f>
        <v>410658</v>
      </c>
      <c r="O66" s="16" t="n">
        <f aca="false">Data!T66</f>
        <v>303608</v>
      </c>
      <c r="P66" s="16" t="n">
        <f aca="false">Data!U66</f>
        <v>55505</v>
      </c>
      <c r="Q66" s="16" t="n">
        <f aca="false">Data!V66</f>
        <v>23529</v>
      </c>
      <c r="R66" s="16" t="n">
        <f aca="false">Data!W66</f>
        <v>28016</v>
      </c>
      <c r="S66" s="16" t="n">
        <f aca="false">Data!X66</f>
        <v>55899</v>
      </c>
      <c r="T66" s="16" t="n">
        <f aca="false">Data!Y66+Data!Z66+Data!AA66</f>
        <v>81562</v>
      </c>
      <c r="U66" s="16" t="n">
        <f aca="false">Data!Y66</f>
        <v>55575</v>
      </c>
      <c r="V66" s="16" t="n">
        <f aca="false">Data!Z66</f>
        <v>24725</v>
      </c>
      <c r="W66" s="16" t="n">
        <f aca="false">Data!AB66</f>
        <v>80703</v>
      </c>
      <c r="X66" s="16" t="n">
        <f aca="false">Data!AC66</f>
        <v>27095</v>
      </c>
      <c r="Y66" s="16" t="n">
        <f aca="false">Data!AD66+Data!AE66+Data!AF66+Data!AG66+Data!AH66</f>
        <v>37481</v>
      </c>
      <c r="Z66" s="16" t="n">
        <f aca="false">Data!AI66</f>
        <v>25157</v>
      </c>
      <c r="AA66" s="16" t="n">
        <f aca="false">Data!AJ66</f>
        <v>0</v>
      </c>
      <c r="AB66" s="16" t="n">
        <f aca="false">Data!AK66</f>
        <v>12701</v>
      </c>
      <c r="AC66" s="16" t="n">
        <f aca="false">Data!AL66</f>
        <v>45759</v>
      </c>
      <c r="AD66" s="15" t="n">
        <f aca="false">Data!AM66</f>
        <v>-307628</v>
      </c>
      <c r="AE66" s="16" t="n">
        <f aca="false">Data!AN66</f>
        <v>11282</v>
      </c>
      <c r="AF66" s="15" t="n">
        <f aca="false">Data!AO66</f>
        <v>-318909</v>
      </c>
    </row>
    <row r="67" customFormat="false" ht="15" hidden="false" customHeight="false" outlineLevel="0" collapsed="false">
      <c r="B67" s="14" t="str">
        <f aca="false">Data!B67</f>
        <v>2021-01</v>
      </c>
      <c r="C67" s="15" t="n">
        <f aca="false">Data!D67+Data!E67+Data!F67+Data!G67+Data!H67+Data!I67+Data!J67+Data!K67+Data!L67+Data!M67+Data!N67+Data!O67+Data!P67+Data!Q67+Data!R67+Data!S67</f>
        <v>605761</v>
      </c>
      <c r="D67" s="16" t="n">
        <f aca="false">Data!D67+Data!E67+Data!G67+Data!H67+Data!I67+Data!J67+Data!K67+Data!L67+Data!M67</f>
        <v>357983</v>
      </c>
      <c r="E67" s="16" t="n">
        <f aca="false">Data!D67</f>
        <v>105174</v>
      </c>
      <c r="F67" s="16" t="n">
        <f aca="false">Data!E67</f>
        <v>52504</v>
      </c>
      <c r="G67" s="16" t="n">
        <f aca="false">Data!K67</f>
        <v>77103</v>
      </c>
      <c r="H67" s="16" t="n">
        <f aca="false">Data!L67</f>
        <v>20183</v>
      </c>
      <c r="I67" s="16" t="n">
        <f aca="false">Data!G67</f>
        <v>50544</v>
      </c>
      <c r="J67" s="16" t="n">
        <f aca="false">Data!H67+Data!I67+Data!J67+Data!M67</f>
        <v>52475</v>
      </c>
      <c r="K67" s="16" t="n">
        <f aca="false">Data!F67</f>
        <v>189912</v>
      </c>
      <c r="L67" s="16" t="n">
        <f aca="false">Data!N67+Data!O67+Data!P67+Data!Q67+Data!R67+Data!S67</f>
        <v>57866</v>
      </c>
      <c r="M67" s="15" t="n">
        <f aca="false">Data!T67+Data!U67+Data!V67+Data!W67+Data!X67+Data!Y67+Data!Z67+Data!AA67+Data!AB67+Data!AC67+Data!AD67+Data!AE67+Data!AF67+Data!AG67+Data!AH67+Data!AI67+Data!AJ67+Data!AK67+Data!AL67</f>
        <v>581687</v>
      </c>
      <c r="N67" s="16" t="n">
        <f aca="false">Data!T67+Data!U67+Data!V67+Data!W67</f>
        <v>291660</v>
      </c>
      <c r="O67" s="16" t="n">
        <f aca="false">Data!T67</f>
        <v>210524</v>
      </c>
      <c r="P67" s="16" t="n">
        <f aca="false">Data!U67</f>
        <v>32549</v>
      </c>
      <c r="Q67" s="16" t="n">
        <f aca="false">Data!V67</f>
        <v>23035</v>
      </c>
      <c r="R67" s="16" t="n">
        <f aca="false">Data!W67</f>
        <v>25552</v>
      </c>
      <c r="S67" s="16" t="n">
        <f aca="false">Data!X67</f>
        <v>38932</v>
      </c>
      <c r="T67" s="16" t="n">
        <f aca="false">Data!Y67+Data!Z67+Data!AA67</f>
        <v>57002</v>
      </c>
      <c r="U67" s="16" t="n">
        <f aca="false">Data!Y67</f>
        <v>34830</v>
      </c>
      <c r="V67" s="16" t="n">
        <f aca="false">Data!Z67</f>
        <v>18412</v>
      </c>
      <c r="W67" s="16" t="n">
        <f aca="false">Data!AB67</f>
        <v>79545</v>
      </c>
      <c r="X67" s="16" t="n">
        <f aca="false">Data!AC67</f>
        <v>23962</v>
      </c>
      <c r="Y67" s="16" t="n">
        <f aca="false">Data!AD67+Data!AE67+Data!AF67+Data!AG67+Data!AH67</f>
        <v>21233</v>
      </c>
      <c r="Z67" s="16" t="n">
        <f aca="false">Data!AI67</f>
        <v>17708</v>
      </c>
      <c r="AA67" s="16" t="n">
        <f aca="false">Data!AJ67</f>
        <v>0</v>
      </c>
      <c r="AB67" s="16" t="n">
        <f aca="false">Data!AK67</f>
        <v>17989</v>
      </c>
      <c r="AC67" s="16" t="n">
        <f aca="false">Data!AL67</f>
        <v>33656</v>
      </c>
      <c r="AD67" s="15" t="n">
        <f aca="false">Data!AM67</f>
        <v>24074</v>
      </c>
      <c r="AE67" s="16" t="n">
        <f aca="false">Data!AN67</f>
        <v>27104</v>
      </c>
      <c r="AF67" s="15" t="n">
        <f aca="false">Data!AO67</f>
        <v>-3030</v>
      </c>
    </row>
    <row r="68" customFormat="false" ht="15" hidden="false" customHeight="false" outlineLevel="0" collapsed="false">
      <c r="B68" s="14" t="str">
        <f aca="false">Data!B68</f>
        <v>2021-02</v>
      </c>
      <c r="C68" s="15" t="n">
        <f aca="false">Data!D68+Data!E68+Data!F68+Data!G68+Data!H68+Data!I68+Data!J68+Data!K68+Data!L68+Data!M68+Data!N68+Data!O68+Data!P68+Data!Q68+Data!R68+Data!S68</f>
        <v>523897</v>
      </c>
      <c r="D68" s="16" t="n">
        <f aca="false">Data!D68+Data!E68+Data!G68+Data!H68+Data!I68+Data!J68+Data!K68+Data!L68+Data!M68</f>
        <v>330940</v>
      </c>
      <c r="E68" s="16" t="n">
        <f aca="false">Data!D68</f>
        <v>89311</v>
      </c>
      <c r="F68" s="16" t="n">
        <f aca="false">Data!E68</f>
        <v>59123</v>
      </c>
      <c r="G68" s="16" t="n">
        <f aca="false">Data!K68</f>
        <v>61816</v>
      </c>
      <c r="H68" s="16" t="n">
        <f aca="false">Data!L68</f>
        <v>17588</v>
      </c>
      <c r="I68" s="16" t="n">
        <f aca="false">Data!G68</f>
        <v>34411</v>
      </c>
      <c r="J68" s="16" t="n">
        <f aca="false">Data!H68+Data!I68+Data!J68+Data!M68</f>
        <v>68691</v>
      </c>
      <c r="K68" s="16" t="n">
        <f aca="false">Data!F68</f>
        <v>160035</v>
      </c>
      <c r="L68" s="16" t="n">
        <f aca="false">Data!N68+Data!O68+Data!P68+Data!Q68+Data!R68+Data!S68</f>
        <v>32922</v>
      </c>
      <c r="M68" s="15" t="n">
        <f aca="false">Data!T68+Data!U68+Data!V68+Data!W68+Data!X68+Data!Y68+Data!Z68+Data!AA68+Data!AB68+Data!AC68+Data!AD68+Data!AE68+Data!AF68+Data!AG68+Data!AH68+Data!AI68+Data!AJ68+Data!AK68+Data!AL68</f>
        <v>542654</v>
      </c>
      <c r="N68" s="16" t="n">
        <f aca="false">Data!T68+Data!U68+Data!V68+Data!W68</f>
        <v>279985</v>
      </c>
      <c r="O68" s="16" t="n">
        <f aca="false">Data!T68</f>
        <v>208630</v>
      </c>
      <c r="P68" s="16" t="n">
        <f aca="false">Data!U68</f>
        <v>31676</v>
      </c>
      <c r="Q68" s="16" t="n">
        <f aca="false">Data!V68</f>
        <v>19658</v>
      </c>
      <c r="R68" s="16" t="n">
        <f aca="false">Data!W68</f>
        <v>20021</v>
      </c>
      <c r="S68" s="16" t="n">
        <f aca="false">Data!X68</f>
        <v>34326</v>
      </c>
      <c r="T68" s="16" t="n">
        <f aca="false">Data!Y68+Data!Z68+Data!AA68</f>
        <v>62492</v>
      </c>
      <c r="U68" s="16" t="n">
        <f aca="false">Data!Y68</f>
        <v>39151</v>
      </c>
      <c r="V68" s="16" t="n">
        <f aca="false">Data!Z68</f>
        <v>22158</v>
      </c>
      <c r="W68" s="16" t="n">
        <f aca="false">Data!AB68</f>
        <v>65173</v>
      </c>
      <c r="X68" s="16" t="n">
        <f aca="false">Data!AC68</f>
        <v>24794</v>
      </c>
      <c r="Y68" s="16" t="n">
        <f aca="false">Data!AD68+Data!AE68+Data!AF68+Data!AG68+Data!AH68</f>
        <v>17556</v>
      </c>
      <c r="Z68" s="16" t="n">
        <f aca="false">Data!AI68</f>
        <v>18323</v>
      </c>
      <c r="AA68" s="16" t="n">
        <f aca="false">Data!AJ68</f>
        <v>0</v>
      </c>
      <c r="AB68" s="16" t="n">
        <f aca="false">Data!AK68</f>
        <v>7141</v>
      </c>
      <c r="AC68" s="16" t="n">
        <f aca="false">Data!AL68</f>
        <v>32864</v>
      </c>
      <c r="AD68" s="15" t="n">
        <f aca="false">Data!AM68</f>
        <v>-18757</v>
      </c>
      <c r="AE68" s="16" t="n">
        <f aca="false">Data!AN68</f>
        <v>45559</v>
      </c>
      <c r="AF68" s="15" t="n">
        <f aca="false">Data!AO68</f>
        <v>-64317</v>
      </c>
    </row>
    <row r="69" customFormat="false" ht="15" hidden="false" customHeight="false" outlineLevel="0" collapsed="false">
      <c r="B69" s="14" t="str">
        <f aca="false">Data!B69</f>
        <v>2021-03</v>
      </c>
      <c r="C69" s="15" t="n">
        <f aca="false">Data!D69+Data!E69+Data!F69+Data!G69+Data!H69+Data!I69+Data!J69+Data!K69+Data!L69+Data!M69+Data!N69+Data!O69+Data!P69+Data!Q69+Data!R69+Data!S69</f>
        <v>560576</v>
      </c>
      <c r="D69" s="16" t="n">
        <f aca="false">Data!D69+Data!E69+Data!G69+Data!H69+Data!I69+Data!J69+Data!K69+Data!L69+Data!M69</f>
        <v>363586</v>
      </c>
      <c r="E69" s="16" t="n">
        <f aca="false">Data!D69</f>
        <v>111086</v>
      </c>
      <c r="F69" s="16" t="n">
        <f aca="false">Data!E69</f>
        <v>47578</v>
      </c>
      <c r="G69" s="16" t="n">
        <f aca="false">Data!K69</f>
        <v>68448</v>
      </c>
      <c r="H69" s="16" t="n">
        <f aca="false">Data!L69</f>
        <v>22815</v>
      </c>
      <c r="I69" s="16" t="n">
        <f aca="false">Data!G69</f>
        <v>59118</v>
      </c>
      <c r="J69" s="16" t="n">
        <f aca="false">Data!H69+Data!I69+Data!J69+Data!M69</f>
        <v>54541</v>
      </c>
      <c r="K69" s="16" t="n">
        <f aca="false">Data!F69</f>
        <v>166666</v>
      </c>
      <c r="L69" s="16" t="n">
        <f aca="false">Data!N69+Data!O69+Data!P69+Data!Q69+Data!R69+Data!S69</f>
        <v>30324</v>
      </c>
      <c r="M69" s="15" t="n">
        <f aca="false">Data!T69+Data!U69+Data!V69+Data!W69+Data!X69+Data!Y69+Data!Z69+Data!AA69+Data!AB69+Data!AC69+Data!AD69+Data!AE69+Data!AF69+Data!AG69+Data!AH69+Data!AI69+Data!AJ69+Data!AK69+Data!AL69</f>
        <v>635042</v>
      </c>
      <c r="N69" s="16" t="n">
        <f aca="false">Data!T69+Data!U69+Data!V69+Data!W69</f>
        <v>333976</v>
      </c>
      <c r="O69" s="16" t="n">
        <f aca="false">Data!T69</f>
        <v>225698</v>
      </c>
      <c r="P69" s="16" t="n">
        <f aca="false">Data!U69</f>
        <v>61776</v>
      </c>
      <c r="Q69" s="16" t="n">
        <f aca="false">Data!V69</f>
        <v>21362</v>
      </c>
      <c r="R69" s="16" t="n">
        <f aca="false">Data!W69</f>
        <v>25140</v>
      </c>
      <c r="S69" s="16" t="n">
        <f aca="false">Data!X69</f>
        <v>48837</v>
      </c>
      <c r="T69" s="16" t="n">
        <f aca="false">Data!Y69+Data!Z69+Data!AA69</f>
        <v>66431</v>
      </c>
      <c r="U69" s="16" t="n">
        <f aca="false">Data!Y69</f>
        <v>41352</v>
      </c>
      <c r="V69" s="16" t="n">
        <f aca="false">Data!Z69</f>
        <v>23326</v>
      </c>
      <c r="W69" s="16" t="n">
        <f aca="false">Data!AB69</f>
        <v>65871</v>
      </c>
      <c r="X69" s="16" t="n">
        <f aca="false">Data!AC69</f>
        <v>31313</v>
      </c>
      <c r="Y69" s="16" t="n">
        <f aca="false">Data!AD69+Data!AE69+Data!AF69+Data!AG69+Data!AH69</f>
        <v>19774</v>
      </c>
      <c r="Z69" s="16" t="n">
        <f aca="false">Data!AI69</f>
        <v>20177</v>
      </c>
      <c r="AA69" s="16" t="n">
        <f aca="false">Data!AJ69</f>
        <v>0</v>
      </c>
      <c r="AB69" s="16" t="n">
        <f aca="false">Data!AK69</f>
        <v>8424</v>
      </c>
      <c r="AC69" s="16" t="n">
        <f aca="false">Data!AL69</f>
        <v>40239</v>
      </c>
      <c r="AD69" s="15" t="n">
        <f aca="false">Data!AM69</f>
        <v>-74466</v>
      </c>
      <c r="AE69" s="16" t="n">
        <f aca="false">Data!AN69</f>
        <v>42595</v>
      </c>
      <c r="AF69" s="15" t="n">
        <f aca="false">Data!AO69</f>
        <v>-117061</v>
      </c>
    </row>
    <row r="70" customFormat="false" ht="15" hidden="false" customHeight="false" outlineLevel="0" collapsed="false">
      <c r="B70" s="14" t="str">
        <f aca="false">Data!B70</f>
        <v>2021-04</v>
      </c>
      <c r="C70" s="15" t="n">
        <f aca="false">Data!D70+Data!E70+Data!F70+Data!G70+Data!H70+Data!I70+Data!J70+Data!K70+Data!L70+Data!M70+Data!N70+Data!O70+Data!P70+Data!Q70+Data!R70+Data!S70</f>
        <v>610182</v>
      </c>
      <c r="D70" s="16" t="n">
        <f aca="false">Data!D70+Data!E70+Data!G70+Data!H70+Data!I70+Data!J70+Data!K70+Data!L70+Data!M70</f>
        <v>389334</v>
      </c>
      <c r="E70" s="16" t="n">
        <f aca="false">Data!D70</f>
        <v>114094</v>
      </c>
      <c r="F70" s="16" t="n">
        <f aca="false">Data!E70</f>
        <v>48152</v>
      </c>
      <c r="G70" s="16" t="n">
        <f aca="false">Data!K70</f>
        <v>78367</v>
      </c>
      <c r="H70" s="16" t="n">
        <f aca="false">Data!L70</f>
        <v>22748</v>
      </c>
      <c r="I70" s="16" t="n">
        <f aca="false">Data!G70</f>
        <v>56164</v>
      </c>
      <c r="J70" s="16" t="n">
        <f aca="false">Data!H70+Data!I70+Data!J70+Data!M70</f>
        <v>69809</v>
      </c>
      <c r="K70" s="16" t="n">
        <f aca="false">Data!F70</f>
        <v>174468</v>
      </c>
      <c r="L70" s="16" t="n">
        <f aca="false">Data!N70+Data!O70+Data!P70+Data!Q70+Data!R70+Data!S70</f>
        <v>46380</v>
      </c>
      <c r="M70" s="15" t="n">
        <f aca="false">Data!T70+Data!U70+Data!V70+Data!W70+Data!X70+Data!Y70+Data!Z70+Data!AA70+Data!AB70+Data!AC70+Data!AD70+Data!AE70+Data!AF70+Data!AG70+Data!AH70+Data!AI70+Data!AJ70+Data!AK70+Data!AL70</f>
        <v>621627</v>
      </c>
      <c r="N70" s="16" t="n">
        <f aca="false">Data!T70+Data!U70+Data!V70+Data!W70</f>
        <v>313349</v>
      </c>
      <c r="O70" s="16" t="n">
        <f aca="false">Data!T70</f>
        <v>228568</v>
      </c>
      <c r="P70" s="16" t="n">
        <f aca="false">Data!U70</f>
        <v>36205</v>
      </c>
      <c r="Q70" s="16" t="n">
        <f aca="false">Data!V70</f>
        <v>23338</v>
      </c>
      <c r="R70" s="16" t="n">
        <f aca="false">Data!W70</f>
        <v>25238</v>
      </c>
      <c r="S70" s="16" t="n">
        <f aca="false">Data!X70</f>
        <v>36987</v>
      </c>
      <c r="T70" s="16" t="n">
        <f aca="false">Data!Y70+Data!Z70+Data!AA70</f>
        <v>65251</v>
      </c>
      <c r="U70" s="16" t="n">
        <f aca="false">Data!Y70</f>
        <v>50115</v>
      </c>
      <c r="V70" s="16" t="n">
        <f aca="false">Data!Z70</f>
        <v>14194</v>
      </c>
      <c r="W70" s="16" t="n">
        <f aca="false">Data!AB70</f>
        <v>66701</v>
      </c>
      <c r="X70" s="16" t="n">
        <f aca="false">Data!AC70</f>
        <v>27641</v>
      </c>
      <c r="Y70" s="16" t="n">
        <f aca="false">Data!AD70+Data!AE70+Data!AF70+Data!AG70+Data!AH70</f>
        <v>21545</v>
      </c>
      <c r="Z70" s="16" t="n">
        <f aca="false">Data!AI70</f>
        <v>18753</v>
      </c>
      <c r="AA70" s="16" t="n">
        <f aca="false">Data!AJ70</f>
        <v>0</v>
      </c>
      <c r="AB70" s="16" t="n">
        <f aca="false">Data!AK70</f>
        <v>23611</v>
      </c>
      <c r="AC70" s="16" t="n">
        <f aca="false">Data!AL70</f>
        <v>47789</v>
      </c>
      <c r="AD70" s="15" t="n">
        <f aca="false">Data!AM70</f>
        <v>-11445</v>
      </c>
      <c r="AE70" s="16" t="n">
        <f aca="false">Data!AN70</f>
        <v>45587</v>
      </c>
      <c r="AF70" s="15" t="n">
        <f aca="false">Data!AO70</f>
        <v>-57032</v>
      </c>
    </row>
    <row r="71" customFormat="false" ht="15" hidden="false" customHeight="false" outlineLevel="0" collapsed="false">
      <c r="B71" s="14" t="str">
        <f aca="false">Data!B71</f>
        <v>2021-05</v>
      </c>
      <c r="C71" s="15" t="n">
        <f aca="false">Data!D71+Data!E71+Data!F71+Data!G71+Data!H71+Data!I71+Data!J71+Data!K71+Data!L71+Data!M71+Data!N71+Data!O71+Data!P71+Data!Q71+Data!R71+Data!S71</f>
        <v>711306</v>
      </c>
      <c r="D71" s="16" t="n">
        <f aca="false">Data!D71+Data!E71+Data!G71+Data!H71+Data!I71+Data!J71+Data!K71+Data!L71+Data!M71</f>
        <v>393766</v>
      </c>
      <c r="E71" s="16" t="n">
        <f aca="false">Data!D71</f>
        <v>106712</v>
      </c>
      <c r="F71" s="16" t="n">
        <f aca="false">Data!E71</f>
        <v>74983</v>
      </c>
      <c r="G71" s="16" t="n">
        <f aca="false">Data!K71</f>
        <v>88761</v>
      </c>
      <c r="H71" s="16" t="n">
        <f aca="false">Data!L71</f>
        <v>20589</v>
      </c>
      <c r="I71" s="16" t="n">
        <f aca="false">Data!G71</f>
        <v>48055</v>
      </c>
      <c r="J71" s="16" t="n">
        <f aca="false">Data!H71+Data!I71+Data!J71+Data!M71</f>
        <v>54666</v>
      </c>
      <c r="K71" s="16" t="n">
        <f aca="false">Data!F71</f>
        <v>176353</v>
      </c>
      <c r="L71" s="16" t="n">
        <f aca="false">Data!N71+Data!O71+Data!P71+Data!Q71+Data!R71+Data!S71</f>
        <v>141187</v>
      </c>
      <c r="M71" s="15" t="n">
        <f aca="false">Data!T71+Data!U71+Data!V71+Data!W71+Data!X71+Data!Y71+Data!Z71+Data!AA71+Data!AB71+Data!AC71+Data!AD71+Data!AE71+Data!AF71+Data!AG71+Data!AH71+Data!AI71+Data!AJ71+Data!AK71+Data!AL71</f>
        <v>685592</v>
      </c>
      <c r="N71" s="16" t="n">
        <f aca="false">Data!T71+Data!U71+Data!V71+Data!W71</f>
        <v>317039</v>
      </c>
      <c r="O71" s="16" t="n">
        <f aca="false">Data!T71</f>
        <v>231072</v>
      </c>
      <c r="P71" s="16" t="n">
        <f aca="false">Data!U71</f>
        <v>35350</v>
      </c>
      <c r="Q71" s="16" t="n">
        <f aca="false">Data!V71</f>
        <v>25952</v>
      </c>
      <c r="R71" s="16" t="n">
        <f aca="false">Data!W71</f>
        <v>24665</v>
      </c>
      <c r="S71" s="16" t="n">
        <f aca="false">Data!X71</f>
        <v>67020</v>
      </c>
      <c r="T71" s="16" t="n">
        <f aca="false">Data!Y71+Data!Z71+Data!AA71</f>
        <v>108782</v>
      </c>
      <c r="U71" s="16" t="n">
        <f aca="false">Data!Y71</f>
        <v>83307</v>
      </c>
      <c r="V71" s="16" t="n">
        <f aca="false">Data!Z71</f>
        <v>24076</v>
      </c>
      <c r="W71" s="16" t="n">
        <f aca="false">Data!AB71</f>
        <v>71891</v>
      </c>
      <c r="X71" s="16" t="n">
        <f aca="false">Data!AC71</f>
        <v>23849</v>
      </c>
      <c r="Y71" s="16" t="n">
        <f aca="false">Data!AD71+Data!AE71+Data!AF71+Data!AG71+Data!AH71</f>
        <v>19823</v>
      </c>
      <c r="Z71" s="16" t="n">
        <f aca="false">Data!AI71</f>
        <v>21898</v>
      </c>
      <c r="AA71" s="16" t="n">
        <f aca="false">Data!AJ71</f>
        <v>0</v>
      </c>
      <c r="AB71" s="16" t="n">
        <f aca="false">Data!AK71</f>
        <v>10497</v>
      </c>
      <c r="AC71" s="16" t="n">
        <f aca="false">Data!AL71</f>
        <v>44793</v>
      </c>
      <c r="AD71" s="15" t="n">
        <f aca="false">Data!AM71</f>
        <v>25714</v>
      </c>
      <c r="AE71" s="16" t="n">
        <f aca="false">Data!AN71</f>
        <v>90332</v>
      </c>
      <c r="AF71" s="15" t="n">
        <f aca="false">Data!AO71</f>
        <v>-64618</v>
      </c>
    </row>
    <row r="72" customFormat="false" ht="15" hidden="false" customHeight="false" outlineLevel="0" collapsed="false">
      <c r="B72" s="14" t="str">
        <f aca="false">Data!B72</f>
        <v>2021-06</v>
      </c>
      <c r="C72" s="15" t="n">
        <f aca="false">Data!D72+Data!E72+Data!F72+Data!G72+Data!H72+Data!I72+Data!J72+Data!K72+Data!L72+Data!M72+Data!N72+Data!O72+Data!P72+Data!Q72+Data!R72+Data!S72</f>
        <v>766679</v>
      </c>
      <c r="D72" s="16" t="n">
        <f aca="false">Data!D72+Data!E72+Data!G72+Data!H72+Data!I72+Data!J72+Data!K72+Data!L72+Data!M72</f>
        <v>451197</v>
      </c>
      <c r="E72" s="16" t="n">
        <f aca="false">Data!D72</f>
        <v>120901</v>
      </c>
      <c r="F72" s="16" t="n">
        <f aca="false">Data!E72</f>
        <v>79216</v>
      </c>
      <c r="G72" s="16" t="n">
        <f aca="false">Data!K72</f>
        <v>83161</v>
      </c>
      <c r="H72" s="16" t="n">
        <f aca="false">Data!L72</f>
        <v>25887</v>
      </c>
      <c r="I72" s="16" t="n">
        <f aca="false">Data!G72</f>
        <v>67051</v>
      </c>
      <c r="J72" s="16" t="n">
        <f aca="false">Data!H72+Data!I72+Data!J72+Data!M72</f>
        <v>74981</v>
      </c>
      <c r="K72" s="16" t="n">
        <f aca="false">Data!F72</f>
        <v>176610</v>
      </c>
      <c r="L72" s="16" t="n">
        <f aca="false">Data!N72+Data!O72+Data!P72+Data!Q72+Data!R72+Data!S72</f>
        <v>138872</v>
      </c>
      <c r="M72" s="15" t="n">
        <f aca="false">Data!T72+Data!U72+Data!V72+Data!W72+Data!X72+Data!Y72+Data!Z72+Data!AA72+Data!AB72+Data!AC72+Data!AD72+Data!AE72+Data!AF72+Data!AG72+Data!AH72+Data!AI72+Data!AJ72+Data!AK72+Data!AL72</f>
        <v>919896</v>
      </c>
      <c r="N72" s="16" t="n">
        <f aca="false">Data!T72+Data!U72+Data!V72+Data!W72</f>
        <v>488946</v>
      </c>
      <c r="O72" s="16" t="n">
        <f aca="false">Data!T72</f>
        <v>373959</v>
      </c>
      <c r="P72" s="16" t="n">
        <f aca="false">Data!U72</f>
        <v>50212</v>
      </c>
      <c r="Q72" s="16" t="n">
        <f aca="false">Data!V72</f>
        <v>34014</v>
      </c>
      <c r="R72" s="16" t="n">
        <f aca="false">Data!W72</f>
        <v>30761</v>
      </c>
      <c r="S72" s="16" t="n">
        <f aca="false">Data!X72</f>
        <v>61300</v>
      </c>
      <c r="T72" s="16" t="n">
        <f aca="false">Data!Y72+Data!Z72+Data!AA72</f>
        <v>137557</v>
      </c>
      <c r="U72" s="16" t="n">
        <f aca="false">Data!Y72</f>
        <v>99154</v>
      </c>
      <c r="V72" s="16" t="n">
        <f aca="false">Data!Z72</f>
        <v>37318</v>
      </c>
      <c r="W72" s="16" t="n">
        <f aca="false">Data!AB72</f>
        <v>84860</v>
      </c>
      <c r="X72" s="16" t="n">
        <f aca="false">Data!AC72</f>
        <v>30281</v>
      </c>
      <c r="Y72" s="16" t="n">
        <f aca="false">Data!AD72+Data!AE72+Data!AF72+Data!AG72+Data!AH72</f>
        <v>29058</v>
      </c>
      <c r="Z72" s="16" t="n">
        <f aca="false">Data!AI72</f>
        <v>23994</v>
      </c>
      <c r="AA72" s="16" t="n">
        <f aca="false">Data!AJ72</f>
        <v>0</v>
      </c>
      <c r="AB72" s="16" t="n">
        <f aca="false">Data!AK72</f>
        <v>15276</v>
      </c>
      <c r="AC72" s="16" t="n">
        <f aca="false">Data!AL72</f>
        <v>48624</v>
      </c>
      <c r="AD72" s="15" t="n">
        <f aca="false">Data!AM72</f>
        <v>-153217</v>
      </c>
      <c r="AE72" s="16" t="n">
        <f aca="false">Data!AN72</f>
        <v>54730</v>
      </c>
      <c r="AF72" s="15" t="n">
        <f aca="false">Data!AO72</f>
        <v>-207947</v>
      </c>
    </row>
    <row r="73" customFormat="false" ht="15" hidden="false" customHeight="false" outlineLevel="0" collapsed="false">
      <c r="B73" s="14" t="str">
        <f aca="false">Data!B73</f>
        <v>2021-07</v>
      </c>
      <c r="C73" s="15" t="n">
        <f aca="false">Data!D73+Data!E73+Data!F73+Data!G73+Data!H73+Data!I73+Data!J73+Data!K73+Data!L73+Data!M73+Data!N73+Data!O73+Data!P73+Data!Q73+Data!R73+Data!S73</f>
        <v>757617</v>
      </c>
      <c r="D73" s="16" t="n">
        <f aca="false">Data!D73+Data!E73+Data!G73+Data!H73+Data!I73+Data!J73+Data!K73+Data!L73+Data!M73</f>
        <v>413552</v>
      </c>
      <c r="E73" s="16" t="n">
        <f aca="false">Data!D73</f>
        <v>121595</v>
      </c>
      <c r="F73" s="16" t="n">
        <f aca="false">Data!E73</f>
        <v>61585</v>
      </c>
      <c r="G73" s="16" t="n">
        <f aca="false">Data!K73</f>
        <v>74398</v>
      </c>
      <c r="H73" s="16" t="n">
        <f aca="false">Data!L73</f>
        <v>24587</v>
      </c>
      <c r="I73" s="16" t="n">
        <f aca="false">Data!G73</f>
        <v>65935</v>
      </c>
      <c r="J73" s="16" t="n">
        <f aca="false">Data!H73+Data!I73+Data!J73+Data!M73</f>
        <v>65452</v>
      </c>
      <c r="K73" s="16" t="n">
        <f aca="false">Data!F73</f>
        <v>255897</v>
      </c>
      <c r="L73" s="16" t="n">
        <f aca="false">Data!N73+Data!O73+Data!P73+Data!Q73+Data!R73+Data!S73</f>
        <v>88168</v>
      </c>
      <c r="M73" s="15" t="n">
        <f aca="false">Data!T73+Data!U73+Data!V73+Data!W73+Data!X73+Data!Y73+Data!Z73+Data!AA73+Data!AB73+Data!AC73+Data!AD73+Data!AE73+Data!AF73+Data!AG73+Data!AH73+Data!AI73+Data!AJ73+Data!AK73+Data!AL73</f>
        <v>856187</v>
      </c>
      <c r="N73" s="16" t="n">
        <f aca="false">Data!T73+Data!U73+Data!V73+Data!W73</f>
        <v>359871</v>
      </c>
      <c r="O73" s="16" t="n">
        <f aca="false">Data!T73</f>
        <v>258512</v>
      </c>
      <c r="P73" s="16" t="n">
        <f aca="false">Data!U73</f>
        <v>46529</v>
      </c>
      <c r="Q73" s="16" t="n">
        <f aca="false">Data!V73</f>
        <v>24404</v>
      </c>
      <c r="R73" s="16" t="n">
        <f aca="false">Data!W73</f>
        <v>30426</v>
      </c>
      <c r="S73" s="16" t="n">
        <f aca="false">Data!X73</f>
        <v>65893</v>
      </c>
      <c r="T73" s="16" t="n">
        <f aca="false">Data!Y73+Data!Z73+Data!AA73</f>
        <v>148920</v>
      </c>
      <c r="U73" s="16" t="n">
        <f aca="false">Data!Y73</f>
        <v>119216</v>
      </c>
      <c r="V73" s="16" t="n">
        <f aca="false">Data!Z73</f>
        <v>27996</v>
      </c>
      <c r="W73" s="16" t="n">
        <f aca="false">Data!AB73</f>
        <v>112519</v>
      </c>
      <c r="X73" s="16" t="n">
        <f aca="false">Data!AC73</f>
        <v>41739</v>
      </c>
      <c r="Y73" s="16" t="n">
        <f aca="false">Data!AD73+Data!AE73+Data!AF73+Data!AG73+Data!AH73</f>
        <v>31361</v>
      </c>
      <c r="Z73" s="16" t="n">
        <f aca="false">Data!AI73</f>
        <v>34664</v>
      </c>
      <c r="AA73" s="16" t="n">
        <f aca="false">Data!AJ73</f>
        <v>0</v>
      </c>
      <c r="AB73" s="16" t="n">
        <f aca="false">Data!AK73</f>
        <v>9432</v>
      </c>
      <c r="AC73" s="16" t="n">
        <f aca="false">Data!AL73</f>
        <v>51788</v>
      </c>
      <c r="AD73" s="15" t="n">
        <f aca="false">Data!AM73</f>
        <v>-98570</v>
      </c>
      <c r="AE73" s="16" t="n">
        <f aca="false">Data!AN73</f>
        <v>64585</v>
      </c>
      <c r="AF73" s="15" t="n">
        <f aca="false">Data!AO73</f>
        <v>-163156</v>
      </c>
    </row>
    <row r="74" customFormat="false" ht="15" hidden="false" customHeight="false" outlineLevel="0" collapsed="false">
      <c r="B74" s="14" t="str">
        <f aca="false">Data!B74</f>
        <v>2021-08</v>
      </c>
      <c r="C74" s="15" t="n">
        <f aca="false">Data!D74+Data!E74+Data!F74+Data!G74+Data!H74+Data!I74+Data!J74+Data!K74+Data!L74+Data!M74+Data!N74+Data!O74+Data!P74+Data!Q74+Data!R74+Data!S74</f>
        <v>735714</v>
      </c>
      <c r="D74" s="16" t="n">
        <f aca="false">Data!D74+Data!E74+Data!G74+Data!H74+Data!I74+Data!J74+Data!K74+Data!L74+Data!M74</f>
        <v>458951</v>
      </c>
      <c r="E74" s="16" t="n">
        <f aca="false">Data!D74</f>
        <v>125622</v>
      </c>
      <c r="F74" s="16" t="n">
        <f aca="false">Data!E74</f>
        <v>77967</v>
      </c>
      <c r="G74" s="16" t="n">
        <f aca="false">Data!K74</f>
        <v>81721</v>
      </c>
      <c r="H74" s="16" t="n">
        <f aca="false">Data!L74</f>
        <v>23676</v>
      </c>
      <c r="I74" s="16" t="n">
        <f aca="false">Data!G74</f>
        <v>62709</v>
      </c>
      <c r="J74" s="16" t="n">
        <f aca="false">Data!H74+Data!I74+Data!J74+Data!M74</f>
        <v>87256</v>
      </c>
      <c r="K74" s="16" t="n">
        <f aca="false">Data!F74</f>
        <v>198089</v>
      </c>
      <c r="L74" s="16" t="n">
        <f aca="false">Data!N74+Data!O74+Data!P74+Data!Q74+Data!R74+Data!S74</f>
        <v>78674</v>
      </c>
      <c r="M74" s="15" t="n">
        <f aca="false">Data!T74+Data!U74+Data!V74+Data!W74+Data!X74+Data!Y74+Data!Z74+Data!AA74+Data!AB74+Data!AC74+Data!AD74+Data!AE74+Data!AF74+Data!AG74+Data!AH74+Data!AI74+Data!AJ74+Data!AK74+Data!AL74</f>
        <v>860549</v>
      </c>
      <c r="N74" s="16" t="n">
        <f aca="false">Data!T74+Data!U74+Data!V74+Data!W74</f>
        <v>370564</v>
      </c>
      <c r="O74" s="16" t="n">
        <f aca="false">Data!T74</f>
        <v>265104</v>
      </c>
      <c r="P74" s="16" t="n">
        <f aca="false">Data!U74</f>
        <v>50418</v>
      </c>
      <c r="Q74" s="16" t="n">
        <f aca="false">Data!V74</f>
        <v>29820</v>
      </c>
      <c r="R74" s="16" t="n">
        <f aca="false">Data!W74</f>
        <v>25222</v>
      </c>
      <c r="S74" s="16" t="n">
        <f aca="false">Data!X74</f>
        <v>88693</v>
      </c>
      <c r="T74" s="16" t="n">
        <f aca="false">Data!Y74+Data!Z74+Data!AA74</f>
        <v>148543</v>
      </c>
      <c r="U74" s="16" t="n">
        <f aca="false">Data!Y74</f>
        <v>126230</v>
      </c>
      <c r="V74" s="16" t="n">
        <f aca="false">Data!Z74</f>
        <v>21435</v>
      </c>
      <c r="W74" s="16" t="n">
        <f aca="false">Data!AB74</f>
        <v>86103</v>
      </c>
      <c r="X74" s="16" t="n">
        <f aca="false">Data!AC74</f>
        <v>49459</v>
      </c>
      <c r="Y74" s="16" t="n">
        <f aca="false">Data!AD74+Data!AE74+Data!AF74+Data!AG74+Data!AH74</f>
        <v>28460</v>
      </c>
      <c r="Z74" s="16" t="n">
        <f aca="false">Data!AI74</f>
        <v>22297</v>
      </c>
      <c r="AA74" s="16" t="n">
        <f aca="false">Data!AJ74</f>
        <v>0</v>
      </c>
      <c r="AB74" s="16" t="n">
        <f aca="false">Data!AK74</f>
        <v>20535</v>
      </c>
      <c r="AC74" s="16" t="n">
        <f aca="false">Data!AL74</f>
        <v>45895</v>
      </c>
      <c r="AD74" s="15" t="n">
        <f aca="false">Data!AM74</f>
        <v>-124835</v>
      </c>
      <c r="AE74" s="16" t="n">
        <f aca="false">Data!AN74</f>
        <v>68558</v>
      </c>
      <c r="AF74" s="15" t="n">
        <f aca="false">Data!AO74</f>
        <v>-193393</v>
      </c>
    </row>
    <row r="75" customFormat="false" ht="15" hidden="false" customHeight="false" outlineLevel="0" collapsed="false">
      <c r="B75" s="14" t="str">
        <f aca="false">Data!B75</f>
        <v>2021-09</v>
      </c>
      <c r="C75" s="15" t="n">
        <f aca="false">Data!D75+Data!E75+Data!F75+Data!G75+Data!H75+Data!I75+Data!J75+Data!K75+Data!L75+Data!M75+Data!N75+Data!O75+Data!P75+Data!Q75+Data!R75+Data!S75</f>
        <v>1164671</v>
      </c>
      <c r="D75" s="16" t="n">
        <f aca="false">Data!D75+Data!E75+Data!G75+Data!H75+Data!I75+Data!J75+Data!K75+Data!L75+Data!M75</f>
        <v>463304</v>
      </c>
      <c r="E75" s="16" t="n">
        <f aca="false">Data!D75</f>
        <v>136102</v>
      </c>
      <c r="F75" s="16" t="n">
        <f aca="false">Data!E75</f>
        <v>71062</v>
      </c>
      <c r="G75" s="16" t="n">
        <f aca="false">Data!K75</f>
        <v>77750</v>
      </c>
      <c r="H75" s="16" t="n">
        <f aca="false">Data!L75</f>
        <v>30124</v>
      </c>
      <c r="I75" s="16" t="n">
        <f aca="false">Data!G75</f>
        <v>71511</v>
      </c>
      <c r="J75" s="16" t="n">
        <f aca="false">Data!H75+Data!I75+Data!J75+Data!M75</f>
        <v>76755</v>
      </c>
      <c r="K75" s="16" t="n">
        <f aca="false">Data!F75</f>
        <v>205432</v>
      </c>
      <c r="L75" s="16" t="n">
        <f aca="false">Data!N75+Data!O75+Data!P75+Data!Q75+Data!R75+Data!S75</f>
        <v>495935</v>
      </c>
      <c r="M75" s="15" t="n">
        <f aca="false">Data!T75+Data!U75+Data!V75+Data!W75+Data!X75+Data!Y75+Data!Z75+Data!AA75+Data!AB75+Data!AC75+Data!AD75+Data!AE75+Data!AF75+Data!AG75+Data!AH75+Data!AI75+Data!AJ75+Data!AK75+Data!AL75</f>
        <v>873243</v>
      </c>
      <c r="N75" s="16" t="n">
        <f aca="false">Data!T75+Data!U75+Data!V75+Data!W75</f>
        <v>397674</v>
      </c>
      <c r="O75" s="16" t="n">
        <f aca="false">Data!T75</f>
        <v>290417</v>
      </c>
      <c r="P75" s="16" t="n">
        <f aca="false">Data!U75</f>
        <v>46590</v>
      </c>
      <c r="Q75" s="16" t="n">
        <f aca="false">Data!V75</f>
        <v>27972</v>
      </c>
      <c r="R75" s="16" t="n">
        <f aca="false">Data!W75</f>
        <v>32695</v>
      </c>
      <c r="S75" s="16" t="n">
        <f aca="false">Data!X75</f>
        <v>60187</v>
      </c>
      <c r="T75" s="16" t="n">
        <f aca="false">Data!Y75+Data!Z75+Data!AA75</f>
        <v>142527</v>
      </c>
      <c r="U75" s="16" t="n">
        <f aca="false">Data!Y75</f>
        <v>119872</v>
      </c>
      <c r="V75" s="16" t="n">
        <f aca="false">Data!Z75</f>
        <v>21098</v>
      </c>
      <c r="W75" s="16" t="n">
        <f aca="false">Data!AB75</f>
        <v>96777</v>
      </c>
      <c r="X75" s="16" t="n">
        <f aca="false">Data!AC75</f>
        <v>39559</v>
      </c>
      <c r="Y75" s="16" t="n">
        <f aca="false">Data!AD75+Data!AE75+Data!AF75+Data!AG75+Data!AH75</f>
        <v>35180</v>
      </c>
      <c r="Z75" s="16" t="n">
        <f aca="false">Data!AI75</f>
        <v>24603</v>
      </c>
      <c r="AA75" s="16" t="n">
        <f aca="false">Data!AJ75</f>
        <v>0</v>
      </c>
      <c r="AB75" s="16" t="n">
        <f aca="false">Data!AK75</f>
        <v>21244</v>
      </c>
      <c r="AC75" s="16" t="n">
        <f aca="false">Data!AL75</f>
        <v>55492</v>
      </c>
      <c r="AD75" s="15" t="n">
        <f aca="false">Data!AM75</f>
        <v>291428</v>
      </c>
      <c r="AE75" s="16" t="n">
        <f aca="false">Data!AN75</f>
        <v>54178</v>
      </c>
      <c r="AF75" s="15" t="n">
        <f aca="false">Data!AO75</f>
        <v>237250</v>
      </c>
    </row>
    <row r="76" customFormat="false" ht="15" hidden="false" customHeight="false" outlineLevel="0" collapsed="false">
      <c r="B76" s="14" t="str">
        <f aca="false">Data!B76</f>
        <v>2021-10</v>
      </c>
      <c r="C76" s="15" t="n">
        <f aca="false">Data!D76+Data!E76+Data!F76+Data!G76+Data!H76+Data!I76+Data!J76+Data!K76+Data!L76+Data!M76+Data!N76+Data!O76+Data!P76+Data!Q76+Data!R76+Data!S76</f>
        <v>771449</v>
      </c>
      <c r="D76" s="16" t="n">
        <f aca="false">Data!D76+Data!E76+Data!G76+Data!H76+Data!I76+Data!J76+Data!K76+Data!L76+Data!M76</f>
        <v>478124</v>
      </c>
      <c r="E76" s="16" t="n">
        <f aca="false">Data!D76</f>
        <v>127458</v>
      </c>
      <c r="F76" s="16" t="n">
        <f aca="false">Data!E76</f>
        <v>78714</v>
      </c>
      <c r="G76" s="16" t="n">
        <f aca="false">Data!K76</f>
        <v>89354</v>
      </c>
      <c r="H76" s="16" t="n">
        <f aca="false">Data!L76</f>
        <v>27530</v>
      </c>
      <c r="I76" s="16" t="n">
        <f aca="false">Data!G76</f>
        <v>69476</v>
      </c>
      <c r="J76" s="16" t="n">
        <f aca="false">Data!H76+Data!I76+Data!J76+Data!M76</f>
        <v>85592</v>
      </c>
      <c r="K76" s="16" t="n">
        <f aca="false">Data!F76</f>
        <v>213957</v>
      </c>
      <c r="L76" s="16" t="n">
        <f aca="false">Data!N76+Data!O76+Data!P76+Data!Q76+Data!R76+Data!S76</f>
        <v>79368</v>
      </c>
      <c r="M76" s="15" t="n">
        <f aca="false">Data!T76+Data!U76+Data!V76+Data!W76+Data!X76+Data!Y76+Data!Z76+Data!AA76+Data!AB76+Data!AC76+Data!AD76+Data!AE76+Data!AF76+Data!AG76+Data!AH76+Data!AI76+Data!AJ76+Data!AK76+Data!AL76</f>
        <v>980618</v>
      </c>
      <c r="N76" s="16" t="n">
        <f aca="false">Data!T76+Data!U76+Data!V76+Data!W76</f>
        <v>423031</v>
      </c>
      <c r="O76" s="16" t="n">
        <f aca="false">Data!T76</f>
        <v>296857</v>
      </c>
      <c r="P76" s="16" t="n">
        <f aca="false">Data!U76</f>
        <v>59054</v>
      </c>
      <c r="Q76" s="16" t="n">
        <f aca="false">Data!V76</f>
        <v>27278</v>
      </c>
      <c r="R76" s="16" t="n">
        <f aca="false">Data!W76</f>
        <v>39842</v>
      </c>
      <c r="S76" s="16" t="n">
        <f aca="false">Data!X76</f>
        <v>82534</v>
      </c>
      <c r="T76" s="16" t="n">
        <f aca="false">Data!Y76+Data!Z76+Data!AA76</f>
        <v>156960</v>
      </c>
      <c r="U76" s="16" t="n">
        <f aca="false">Data!Y76</f>
        <v>122476</v>
      </c>
      <c r="V76" s="16" t="n">
        <f aca="false">Data!Z76</f>
        <v>30583</v>
      </c>
      <c r="W76" s="16" t="n">
        <f aca="false">Data!AB76</f>
        <v>98751</v>
      </c>
      <c r="X76" s="16" t="n">
        <f aca="false">Data!AC76</f>
        <v>62896</v>
      </c>
      <c r="Y76" s="16" t="n">
        <f aca="false">Data!AD76+Data!AE76+Data!AF76+Data!AG76+Data!AH76</f>
        <v>43362</v>
      </c>
      <c r="Z76" s="16" t="n">
        <f aca="false">Data!AI76</f>
        <v>24132</v>
      </c>
      <c r="AA76" s="16" t="n">
        <f aca="false">Data!AJ76</f>
        <v>0</v>
      </c>
      <c r="AB76" s="16" t="n">
        <f aca="false">Data!AK76</f>
        <v>19140</v>
      </c>
      <c r="AC76" s="16" t="n">
        <f aca="false">Data!AL76</f>
        <v>69812</v>
      </c>
      <c r="AD76" s="15" t="n">
        <f aca="false">Data!AM76</f>
        <v>-209169</v>
      </c>
      <c r="AE76" s="16" t="n">
        <f aca="false">Data!AN76</f>
        <v>67926</v>
      </c>
      <c r="AF76" s="15" t="n">
        <f aca="false">Data!AO76</f>
        <v>-277094</v>
      </c>
    </row>
    <row r="77" customFormat="false" ht="15" hidden="false" customHeight="false" outlineLevel="0" collapsed="false">
      <c r="B77" s="14" t="str">
        <f aca="false">Data!B77</f>
        <v>2021-11</v>
      </c>
      <c r="C77" s="15" t="n">
        <f aca="false">Data!D77+Data!E77+Data!F77+Data!G77+Data!H77+Data!I77+Data!J77+Data!K77+Data!L77+Data!M77+Data!N77+Data!O77+Data!P77+Data!Q77+Data!R77+Data!S77</f>
        <v>793087</v>
      </c>
      <c r="D77" s="16" t="n">
        <f aca="false">Data!D77+Data!E77+Data!G77+Data!H77+Data!I77+Data!J77+Data!K77+Data!L77+Data!M77</f>
        <v>471302</v>
      </c>
      <c r="E77" s="16" t="n">
        <f aca="false">Data!D77</f>
        <v>140227</v>
      </c>
      <c r="F77" s="16" t="n">
        <f aca="false">Data!E77</f>
        <v>80173</v>
      </c>
      <c r="G77" s="16" t="n">
        <f aca="false">Data!K77</f>
        <v>71216</v>
      </c>
      <c r="H77" s="16" t="n">
        <f aca="false">Data!L77</f>
        <v>28840</v>
      </c>
      <c r="I77" s="16" t="n">
        <f aca="false">Data!G77</f>
        <v>70833</v>
      </c>
      <c r="J77" s="16" t="n">
        <f aca="false">Data!H77+Data!I77+Data!J77+Data!M77</f>
        <v>80013</v>
      </c>
      <c r="K77" s="16" t="n">
        <f aca="false">Data!F77</f>
        <v>220312</v>
      </c>
      <c r="L77" s="16" t="n">
        <f aca="false">Data!N77+Data!O77+Data!P77+Data!Q77+Data!R77+Data!S77</f>
        <v>101473</v>
      </c>
      <c r="M77" s="15" t="n">
        <f aca="false">Data!T77+Data!U77+Data!V77+Data!W77+Data!X77+Data!Y77+Data!Z77+Data!AA77+Data!AB77+Data!AC77+Data!AD77+Data!AE77+Data!AF77+Data!AG77+Data!AH77+Data!AI77+Data!AJ77+Data!AK77+Data!AL77</f>
        <v>927740</v>
      </c>
      <c r="N77" s="16" t="n">
        <f aca="false">Data!T77+Data!U77+Data!V77+Data!W77</f>
        <v>422032</v>
      </c>
      <c r="O77" s="16" t="n">
        <f aca="false">Data!T77</f>
        <v>301817</v>
      </c>
      <c r="P77" s="16" t="n">
        <f aca="false">Data!U77</f>
        <v>60847</v>
      </c>
      <c r="Q77" s="16" t="n">
        <f aca="false">Data!V77</f>
        <v>31860</v>
      </c>
      <c r="R77" s="16" t="n">
        <f aca="false">Data!W77</f>
        <v>27508</v>
      </c>
      <c r="S77" s="16" t="n">
        <f aca="false">Data!X77</f>
        <v>77440</v>
      </c>
      <c r="T77" s="16" t="n">
        <f aca="false">Data!Y77+Data!Z77+Data!AA77</f>
        <v>126515</v>
      </c>
      <c r="U77" s="16" t="n">
        <f aca="false">Data!Y77</f>
        <v>98267</v>
      </c>
      <c r="V77" s="16" t="n">
        <f aca="false">Data!Z77</f>
        <v>26836</v>
      </c>
      <c r="W77" s="16" t="n">
        <f aca="false">Data!AB77</f>
        <v>101466</v>
      </c>
      <c r="X77" s="16" t="n">
        <f aca="false">Data!AC77</f>
        <v>37454</v>
      </c>
      <c r="Y77" s="16" t="n">
        <f aca="false">Data!AD77+Data!AE77+Data!AF77+Data!AG77+Data!AH77</f>
        <v>42394</v>
      </c>
      <c r="Z77" s="16" t="n">
        <f aca="false">Data!AI77</f>
        <v>28413</v>
      </c>
      <c r="AA77" s="16" t="n">
        <f aca="false">Data!AJ77</f>
        <v>0</v>
      </c>
      <c r="AB77" s="16" t="n">
        <f aca="false">Data!AK77</f>
        <v>19070</v>
      </c>
      <c r="AC77" s="16" t="n">
        <f aca="false">Data!AL77</f>
        <v>72956</v>
      </c>
      <c r="AD77" s="15" t="n">
        <f aca="false">Data!AM77</f>
        <v>-134653</v>
      </c>
      <c r="AE77" s="16" t="n">
        <f aca="false">Data!AN77</f>
        <v>107436</v>
      </c>
      <c r="AF77" s="15" t="n">
        <f aca="false">Data!AO77</f>
        <v>-242089</v>
      </c>
    </row>
    <row r="78" customFormat="false" ht="15" hidden="false" customHeight="false" outlineLevel="0" collapsed="false">
      <c r="B78" s="14" t="str">
        <f aca="false">Data!B78</f>
        <v>2021-12</v>
      </c>
      <c r="C78" s="15" t="n">
        <f aca="false">Data!D78+Data!E78+Data!F78+Data!G78+Data!H78+Data!I78+Data!J78+Data!K78+Data!L78+Data!M78+Data!N78+Data!O78+Data!P78+Data!Q78+Data!R78+Data!S78</f>
        <v>879211</v>
      </c>
      <c r="D78" s="16" t="n">
        <f aca="false">Data!D78+Data!E78+Data!G78+Data!H78+Data!I78+Data!J78+Data!K78+Data!L78+Data!M78</f>
        <v>556491</v>
      </c>
      <c r="E78" s="16" t="n">
        <f aca="false">Data!D78</f>
        <v>159167</v>
      </c>
      <c r="F78" s="16" t="n">
        <f aca="false">Data!E78</f>
        <v>91243</v>
      </c>
      <c r="G78" s="16" t="n">
        <f aca="false">Data!K78</f>
        <v>84748</v>
      </c>
      <c r="H78" s="16" t="n">
        <f aca="false">Data!L78</f>
        <v>35653</v>
      </c>
      <c r="I78" s="16" t="n">
        <f aca="false">Data!G78</f>
        <v>83628</v>
      </c>
      <c r="J78" s="16" t="n">
        <f aca="false">Data!H78+Data!I78+Data!J78+Data!M78</f>
        <v>102052</v>
      </c>
      <c r="K78" s="16" t="n">
        <f aca="false">Data!F78</f>
        <v>244560</v>
      </c>
      <c r="L78" s="16" t="n">
        <f aca="false">Data!N78+Data!O78+Data!P78+Data!Q78+Data!R78+Data!S78</f>
        <v>78160</v>
      </c>
      <c r="M78" s="15" t="n">
        <f aca="false">Data!T78+Data!U78+Data!V78+Data!W78+Data!X78+Data!Y78+Data!Z78+Data!AA78+Data!AB78+Data!AC78+Data!AD78+Data!AE78+Data!AF78+Data!AG78+Data!AH78+Data!AI78+Data!AJ78+Data!AK78+Data!AL78</f>
        <v>1375555</v>
      </c>
      <c r="N78" s="16" t="n">
        <f aca="false">Data!T78+Data!U78+Data!V78+Data!W78</f>
        <v>632606</v>
      </c>
      <c r="O78" s="16" t="n">
        <f aca="false">Data!T78</f>
        <v>481564</v>
      </c>
      <c r="P78" s="16" t="n">
        <f aca="false">Data!U78</f>
        <v>62759</v>
      </c>
      <c r="Q78" s="16" t="n">
        <f aca="false">Data!V78</f>
        <v>48132</v>
      </c>
      <c r="R78" s="16" t="n">
        <f aca="false">Data!W78</f>
        <v>40151</v>
      </c>
      <c r="S78" s="16" t="n">
        <f aca="false">Data!X78</f>
        <v>139528</v>
      </c>
      <c r="T78" s="16" t="n">
        <f aca="false">Data!Y78+Data!Z78+Data!AA78</f>
        <v>160558</v>
      </c>
      <c r="U78" s="16" t="n">
        <f aca="false">Data!Y78</f>
        <v>116833</v>
      </c>
      <c r="V78" s="16" t="n">
        <f aca="false">Data!Z78</f>
        <v>36866</v>
      </c>
      <c r="W78" s="16" t="n">
        <f aca="false">Data!AB78</f>
        <v>148904</v>
      </c>
      <c r="X78" s="16" t="n">
        <f aca="false">Data!AC78</f>
        <v>57805</v>
      </c>
      <c r="Y78" s="16" t="n">
        <f aca="false">Data!AD78+Data!AE78+Data!AF78+Data!AG78+Data!AH78</f>
        <v>50348</v>
      </c>
      <c r="Z78" s="16" t="n">
        <f aca="false">Data!AI78</f>
        <v>36917</v>
      </c>
      <c r="AA78" s="16" t="n">
        <f aca="false">Data!AJ78</f>
        <v>0</v>
      </c>
      <c r="AB78" s="16" t="n">
        <f aca="false">Data!AK78</f>
        <v>41739</v>
      </c>
      <c r="AC78" s="16" t="n">
        <f aca="false">Data!AL78</f>
        <v>107150</v>
      </c>
      <c r="AD78" s="15" t="n">
        <f aca="false">Data!AM78</f>
        <v>-496344</v>
      </c>
      <c r="AE78" s="16" t="n">
        <f aca="false">Data!AN78</f>
        <v>15651</v>
      </c>
      <c r="AF78" s="15" t="n">
        <f aca="false">Data!AO78</f>
        <v>-511995</v>
      </c>
    </row>
    <row r="79" customFormat="false" ht="15" hidden="false" customHeight="false" outlineLevel="0" collapsed="false">
      <c r="B79" s="14" t="str">
        <f aca="false">Data!B79</f>
        <v>2022-01</v>
      </c>
      <c r="C79" s="15" t="n">
        <f aca="false">Data!D79+Data!E79+Data!F79+Data!G79+Data!H79+Data!I79+Data!J79+Data!K79+Data!L79+Data!M79+Data!N79+Data!O79+Data!P79+Data!Q79+Data!R79+Data!S79</f>
        <v>895580</v>
      </c>
      <c r="D79" s="16" t="n">
        <f aca="false">Data!D79+Data!E79+Data!G79+Data!H79+Data!I79+Data!J79+Data!K79+Data!L79+Data!M79</f>
        <v>495723</v>
      </c>
      <c r="E79" s="16" t="n">
        <f aca="false">Data!D79</f>
        <v>161764</v>
      </c>
      <c r="F79" s="16" t="n">
        <f aca="false">Data!E79</f>
        <v>81366</v>
      </c>
      <c r="G79" s="16" t="n">
        <f aca="false">Data!K79</f>
        <v>67323</v>
      </c>
      <c r="H79" s="16" t="n">
        <f aca="false">Data!L79</f>
        <v>33633</v>
      </c>
      <c r="I79" s="16" t="n">
        <f aca="false">Data!G79</f>
        <v>77525</v>
      </c>
      <c r="J79" s="16" t="n">
        <f aca="false">Data!H79+Data!I79+Data!J79+Data!M79</f>
        <v>74112</v>
      </c>
      <c r="K79" s="16" t="n">
        <f aca="false">Data!F79</f>
        <v>323335</v>
      </c>
      <c r="L79" s="16" t="n">
        <f aca="false">Data!N79+Data!O79+Data!P79+Data!Q79+Data!R79+Data!S79</f>
        <v>76522</v>
      </c>
      <c r="M79" s="15" t="n">
        <f aca="false">Data!T79+Data!U79+Data!V79+Data!W79+Data!X79+Data!Y79+Data!Z79+Data!AA79+Data!AB79+Data!AC79+Data!AD79+Data!AE79+Data!AF79+Data!AG79+Data!AH79+Data!AI79+Data!AJ79+Data!AK79+Data!AL79</f>
        <v>912278</v>
      </c>
      <c r="N79" s="16" t="n">
        <f aca="false">Data!T79+Data!U79+Data!V79+Data!W79</f>
        <v>480749</v>
      </c>
      <c r="O79" s="16" t="n">
        <f aca="false">Data!T79</f>
        <v>344512</v>
      </c>
      <c r="P79" s="16" t="n">
        <f aca="false">Data!U79</f>
        <v>60749</v>
      </c>
      <c r="Q79" s="16" t="n">
        <f aca="false">Data!V79</f>
        <v>37421</v>
      </c>
      <c r="R79" s="16" t="n">
        <f aca="false">Data!W79</f>
        <v>38067</v>
      </c>
      <c r="S79" s="16" t="n">
        <f aca="false">Data!X79</f>
        <v>38989</v>
      </c>
      <c r="T79" s="16" t="n">
        <f aca="false">Data!Y79+Data!Z79+Data!AA79</f>
        <v>85267</v>
      </c>
      <c r="U79" s="16" t="n">
        <f aca="false">Data!Y79</f>
        <v>61265</v>
      </c>
      <c r="V79" s="16" t="n">
        <f aca="false">Data!Z79</f>
        <v>22372</v>
      </c>
      <c r="W79" s="16" t="n">
        <f aca="false">Data!AB79</f>
        <v>123835</v>
      </c>
      <c r="X79" s="16" t="n">
        <f aca="false">Data!AC79</f>
        <v>37763</v>
      </c>
      <c r="Y79" s="16" t="n">
        <f aca="false">Data!AD79+Data!AE79+Data!AF79+Data!AG79+Data!AH79</f>
        <v>28810</v>
      </c>
      <c r="Z79" s="16" t="n">
        <f aca="false">Data!AI79</f>
        <v>27459</v>
      </c>
      <c r="AA79" s="16" t="n">
        <f aca="false">Data!AJ79</f>
        <v>0</v>
      </c>
      <c r="AB79" s="16" t="n">
        <f aca="false">Data!AK79</f>
        <v>27756</v>
      </c>
      <c r="AC79" s="16" t="n">
        <f aca="false">Data!AL79</f>
        <v>61650</v>
      </c>
      <c r="AD79" s="15" t="n">
        <f aca="false">Data!AM79</f>
        <v>-16698</v>
      </c>
      <c r="AE79" s="16" t="n">
        <f aca="false">Data!AN79</f>
        <v>133966</v>
      </c>
      <c r="AF79" s="15" t="n">
        <f aca="false">Data!AO79</f>
        <v>-150664</v>
      </c>
    </row>
    <row r="80" customFormat="false" ht="15" hidden="false" customHeight="false" outlineLevel="0" collapsed="false">
      <c r="B80" s="14" t="str">
        <f aca="false">Data!B80</f>
        <v>2022-02</v>
      </c>
      <c r="C80" s="15" t="n">
        <f aca="false">Data!D80+Data!E80+Data!F80+Data!G80+Data!H80+Data!I80+Data!J80+Data!K80+Data!L80+Data!M80+Data!N80+Data!O80+Data!P80+Data!Q80+Data!R80+Data!S80</f>
        <v>846029</v>
      </c>
      <c r="D80" s="16" t="n">
        <f aca="false">Data!D80+Data!E80+Data!G80+Data!H80+Data!I80+Data!J80+Data!K80+Data!L80+Data!M80</f>
        <v>525658</v>
      </c>
      <c r="E80" s="16" t="n">
        <f aca="false">Data!D80</f>
        <v>148772</v>
      </c>
      <c r="F80" s="16" t="n">
        <f aca="false">Data!E80</f>
        <v>83144</v>
      </c>
      <c r="G80" s="16" t="n">
        <f aca="false">Data!K80</f>
        <v>94699</v>
      </c>
      <c r="H80" s="16" t="n">
        <f aca="false">Data!L80</f>
        <v>29538</v>
      </c>
      <c r="I80" s="16" t="n">
        <f aca="false">Data!G80</f>
        <v>76678</v>
      </c>
      <c r="J80" s="16" t="n">
        <f aca="false">Data!H80+Data!I80+Data!J80+Data!M80</f>
        <v>92827</v>
      </c>
      <c r="K80" s="16" t="n">
        <f aca="false">Data!F80</f>
        <v>262230</v>
      </c>
      <c r="L80" s="16" t="n">
        <f aca="false">Data!N80+Data!O80+Data!P80+Data!Q80+Data!R80+Data!S80</f>
        <v>58141</v>
      </c>
      <c r="M80" s="15" t="n">
        <f aca="false">Data!T80+Data!U80+Data!V80+Data!W80+Data!X80+Data!Y80+Data!Z80+Data!AA80+Data!AB80+Data!AC80+Data!AD80+Data!AE80+Data!AF80+Data!AG80+Data!AH80+Data!AI80+Data!AJ80+Data!AK80+Data!AL80</f>
        <v>922312</v>
      </c>
      <c r="N80" s="16" t="n">
        <f aca="false">Data!T80+Data!U80+Data!V80+Data!W80</f>
        <v>462879</v>
      </c>
      <c r="O80" s="16" t="n">
        <f aca="false">Data!T80</f>
        <v>334810</v>
      </c>
      <c r="P80" s="16" t="n">
        <f aca="false">Data!U80</f>
        <v>57444</v>
      </c>
      <c r="Q80" s="16" t="n">
        <f aca="false">Data!V80</f>
        <v>32264</v>
      </c>
      <c r="R80" s="16" t="n">
        <f aca="false">Data!W80</f>
        <v>38361</v>
      </c>
      <c r="S80" s="16" t="n">
        <f aca="false">Data!X80</f>
        <v>66587</v>
      </c>
      <c r="T80" s="16" t="n">
        <f aca="false">Data!Y80+Data!Z80+Data!AA80</f>
        <v>111455</v>
      </c>
      <c r="U80" s="16" t="n">
        <f aca="false">Data!Y80</f>
        <v>76105</v>
      </c>
      <c r="V80" s="16" t="n">
        <f aca="false">Data!Z80</f>
        <v>33653</v>
      </c>
      <c r="W80" s="16" t="n">
        <f aca="false">Data!AB80</f>
        <v>113488</v>
      </c>
      <c r="X80" s="16" t="n">
        <f aca="false">Data!AC80</f>
        <v>33405</v>
      </c>
      <c r="Y80" s="16" t="n">
        <f aca="false">Data!AD80+Data!AE80+Data!AF80+Data!AG80+Data!AH80</f>
        <v>28328</v>
      </c>
      <c r="Z80" s="16" t="n">
        <f aca="false">Data!AI80</f>
        <v>28507</v>
      </c>
      <c r="AA80" s="16" t="n">
        <f aca="false">Data!AJ80</f>
        <v>0</v>
      </c>
      <c r="AB80" s="16" t="n">
        <f aca="false">Data!AK80</f>
        <v>26726</v>
      </c>
      <c r="AC80" s="16" t="n">
        <f aca="false">Data!AL80</f>
        <v>50937</v>
      </c>
      <c r="AD80" s="15" t="n">
        <f aca="false">Data!AM80</f>
        <v>-76283</v>
      </c>
      <c r="AE80" s="16" t="n">
        <f aca="false">Data!AN80</f>
        <v>60615</v>
      </c>
      <c r="AF80" s="15" t="n">
        <f aca="false">Data!AO80</f>
        <v>-136899</v>
      </c>
    </row>
    <row r="81" customFormat="false" ht="15" hidden="false" customHeight="false" outlineLevel="0" collapsed="false">
      <c r="B81" s="14" t="str">
        <f aca="false">Data!B81</f>
        <v>2022-03</v>
      </c>
      <c r="C81" s="15" t="n">
        <f aca="false">Data!D81+Data!E81+Data!F81+Data!G81+Data!H81+Data!I81+Data!J81+Data!K81+Data!L81+Data!M81+Data!N81+Data!O81+Data!P81+Data!Q81+Data!R81+Data!S81</f>
        <v>1074713</v>
      </c>
      <c r="D81" s="16" t="n">
        <f aca="false">Data!D81+Data!E81+Data!G81+Data!H81+Data!I81+Data!J81+Data!K81+Data!L81+Data!M81</f>
        <v>605268</v>
      </c>
      <c r="E81" s="16" t="n">
        <f aca="false">Data!D81</f>
        <v>176736</v>
      </c>
      <c r="F81" s="16" t="n">
        <f aca="false">Data!E81</f>
        <v>76446</v>
      </c>
      <c r="G81" s="16" t="n">
        <f aca="false">Data!K81</f>
        <v>145822</v>
      </c>
      <c r="H81" s="16" t="n">
        <f aca="false">Data!L81</f>
        <v>39245</v>
      </c>
      <c r="I81" s="16" t="n">
        <f aca="false">Data!G81</f>
        <v>77161</v>
      </c>
      <c r="J81" s="16" t="n">
        <f aca="false">Data!H81+Data!I81+Data!J81+Data!M81</f>
        <v>89858</v>
      </c>
      <c r="K81" s="16" t="n">
        <f aca="false">Data!F81</f>
        <v>272291</v>
      </c>
      <c r="L81" s="16" t="n">
        <f aca="false">Data!N81+Data!O81+Data!P81+Data!Q81+Data!R81+Data!S81</f>
        <v>197154</v>
      </c>
      <c r="M81" s="15" t="n">
        <f aca="false">Data!T81+Data!U81+Data!V81+Data!W81+Data!X81+Data!Y81+Data!Z81+Data!AA81+Data!AB81+Data!AC81+Data!AD81+Data!AE81+Data!AF81+Data!AG81+Data!AH81+Data!AI81+Data!AJ81+Data!AK81+Data!AL81</f>
        <v>1174466</v>
      </c>
      <c r="N81" s="16" t="n">
        <f aca="false">Data!T81+Data!U81+Data!V81+Data!W81</f>
        <v>535125</v>
      </c>
      <c r="O81" s="16" t="n">
        <f aca="false">Data!T81</f>
        <v>354744</v>
      </c>
      <c r="P81" s="16" t="n">
        <f aca="false">Data!U81</f>
        <v>104740</v>
      </c>
      <c r="Q81" s="16" t="n">
        <f aca="false">Data!V81</f>
        <v>35377</v>
      </c>
      <c r="R81" s="16" t="n">
        <f aca="false">Data!W81</f>
        <v>40264</v>
      </c>
      <c r="S81" s="16" t="n">
        <f aca="false">Data!X81</f>
        <v>70670</v>
      </c>
      <c r="T81" s="16" t="n">
        <f aca="false">Data!Y81+Data!Z81+Data!AA81</f>
        <v>222218</v>
      </c>
      <c r="U81" s="16" t="n">
        <f aca="false">Data!Y81</f>
        <v>185614</v>
      </c>
      <c r="V81" s="16" t="n">
        <f aca="false">Data!Z81</f>
        <v>35255</v>
      </c>
      <c r="W81" s="16" t="n">
        <f aca="false">Data!AB81</f>
        <v>113743</v>
      </c>
      <c r="X81" s="16" t="n">
        <f aca="false">Data!AC81</f>
        <v>55461</v>
      </c>
      <c r="Y81" s="16" t="n">
        <f aca="false">Data!AD81+Data!AE81+Data!AF81+Data!AG81+Data!AH81</f>
        <v>42621</v>
      </c>
      <c r="Z81" s="16" t="n">
        <f aca="false">Data!AI81</f>
        <v>34248</v>
      </c>
      <c r="AA81" s="16" t="n">
        <f aca="false">Data!AJ81</f>
        <v>0</v>
      </c>
      <c r="AB81" s="16" t="n">
        <f aca="false">Data!AK81</f>
        <v>31879</v>
      </c>
      <c r="AC81" s="16" t="n">
        <f aca="false">Data!AL81</f>
        <v>68501</v>
      </c>
      <c r="AD81" s="15" t="n">
        <f aca="false">Data!AM81</f>
        <v>-99753</v>
      </c>
      <c r="AE81" s="16" t="n">
        <f aca="false">Data!AN81</f>
        <v>72276</v>
      </c>
      <c r="AF81" s="15" t="n">
        <f aca="false">Data!AO81</f>
        <v>-172029</v>
      </c>
    </row>
    <row r="82" customFormat="false" ht="15" hidden="false" customHeight="false" outlineLevel="0" collapsed="false">
      <c r="B82" s="14" t="str">
        <f aca="false">Data!B82</f>
        <v>2022-04</v>
      </c>
      <c r="C82" s="15" t="n">
        <f aca="false">Data!D82+Data!E82+Data!F82+Data!G82+Data!H82+Data!I82+Data!J82+Data!K82+Data!L82+Data!M82+Data!N82+Data!O82+Data!P82+Data!Q82+Data!R82+Data!S82</f>
        <v>1085584</v>
      </c>
      <c r="D82" s="16" t="n">
        <f aca="false">Data!D82+Data!E82+Data!G82+Data!H82+Data!I82+Data!J82+Data!K82+Data!L82+Data!M82</f>
        <v>605166</v>
      </c>
      <c r="E82" s="16" t="n">
        <f aca="false">Data!D82</f>
        <v>191995</v>
      </c>
      <c r="F82" s="16" t="n">
        <f aca="false">Data!E82</f>
        <v>91798</v>
      </c>
      <c r="G82" s="16" t="n">
        <f aca="false">Data!K82</f>
        <v>89318</v>
      </c>
      <c r="H82" s="16" t="n">
        <f aca="false">Data!L82</f>
        <v>36262</v>
      </c>
      <c r="I82" s="16" t="n">
        <f aca="false">Data!G82</f>
        <v>92644</v>
      </c>
      <c r="J82" s="16" t="n">
        <f aca="false">Data!H82+Data!I82+Data!J82+Data!M82</f>
        <v>103149</v>
      </c>
      <c r="K82" s="16" t="n">
        <f aca="false">Data!F82</f>
        <v>298427</v>
      </c>
      <c r="L82" s="16" t="n">
        <f aca="false">Data!N82+Data!O82+Data!P82+Data!Q82+Data!R82+Data!S82</f>
        <v>181991</v>
      </c>
      <c r="M82" s="15" t="n">
        <f aca="false">Data!T82+Data!U82+Data!V82+Data!W82+Data!X82+Data!Y82+Data!Z82+Data!AA82+Data!AB82+Data!AC82+Data!AD82+Data!AE82+Data!AF82+Data!AG82+Data!AH82+Data!AI82+Data!AJ82+Data!AK82+Data!AL82</f>
        <v>1164769</v>
      </c>
      <c r="N82" s="16" t="n">
        <f aca="false">Data!T82+Data!U82+Data!V82+Data!W82</f>
        <v>528173</v>
      </c>
      <c r="O82" s="16" t="n">
        <f aca="false">Data!T82</f>
        <v>380732</v>
      </c>
      <c r="P82" s="16" t="n">
        <f aca="false">Data!U82</f>
        <v>71056</v>
      </c>
      <c r="Q82" s="16" t="n">
        <f aca="false">Data!V82</f>
        <v>35342</v>
      </c>
      <c r="R82" s="16" t="n">
        <f aca="false">Data!W82</f>
        <v>41043</v>
      </c>
      <c r="S82" s="16" t="n">
        <f aca="false">Data!X82</f>
        <v>110786</v>
      </c>
      <c r="T82" s="16" t="n">
        <f aca="false">Data!Y82+Data!Z82+Data!AA82</f>
        <v>162084</v>
      </c>
      <c r="U82" s="16" t="n">
        <f aca="false">Data!Y82</f>
        <v>116673</v>
      </c>
      <c r="V82" s="16" t="n">
        <f aca="false">Data!Z82</f>
        <v>44041</v>
      </c>
      <c r="W82" s="16" t="n">
        <f aca="false">Data!AB82</f>
        <v>123206</v>
      </c>
      <c r="X82" s="16" t="n">
        <f aca="false">Data!AC82</f>
        <v>52112</v>
      </c>
      <c r="Y82" s="16" t="n">
        <f aca="false">Data!AD82+Data!AE82+Data!AF82+Data!AG82+Data!AH82</f>
        <v>50105</v>
      </c>
      <c r="Z82" s="16" t="n">
        <f aca="false">Data!AI82</f>
        <v>34234</v>
      </c>
      <c r="AA82" s="16" t="n">
        <f aca="false">Data!AJ82</f>
        <v>0</v>
      </c>
      <c r="AB82" s="16" t="n">
        <f aca="false">Data!AK82</f>
        <v>15318</v>
      </c>
      <c r="AC82" s="16" t="n">
        <f aca="false">Data!AL82</f>
        <v>88751</v>
      </c>
      <c r="AD82" s="15" t="n">
        <f aca="false">Data!AM82</f>
        <v>-79185</v>
      </c>
      <c r="AE82" s="16" t="n">
        <f aca="false">Data!AN82</f>
        <v>67130</v>
      </c>
      <c r="AF82" s="15" t="n">
        <f aca="false">Data!AO82</f>
        <v>-146315</v>
      </c>
    </row>
    <row r="83" customFormat="false" ht="15" hidden="false" customHeight="false" outlineLevel="0" collapsed="false">
      <c r="B83" s="14" t="str">
        <f aca="false">Data!B83</f>
        <v>2022-05</v>
      </c>
      <c r="C83" s="15" t="n">
        <f aca="false">Data!D83+Data!E83+Data!F83+Data!G83+Data!H83+Data!I83+Data!J83+Data!K83+Data!L83+Data!M83+Data!N83+Data!O83+Data!P83+Data!Q83+Data!R83+Data!S83</f>
        <v>1128633</v>
      </c>
      <c r="D83" s="16" t="n">
        <f aca="false">Data!D83+Data!E83+Data!G83+Data!H83+Data!I83+Data!J83+Data!K83+Data!L83+Data!M83</f>
        <v>693303</v>
      </c>
      <c r="E83" s="16" t="n">
        <f aca="false">Data!D83</f>
        <v>186671</v>
      </c>
      <c r="F83" s="16" t="n">
        <f aca="false">Data!E83</f>
        <v>157494</v>
      </c>
      <c r="G83" s="16" t="n">
        <f aca="false">Data!K83</f>
        <v>116348</v>
      </c>
      <c r="H83" s="16" t="n">
        <f aca="false">Data!L83</f>
        <v>35419</v>
      </c>
      <c r="I83" s="16" t="n">
        <f aca="false">Data!G83</f>
        <v>90638</v>
      </c>
      <c r="J83" s="16" t="n">
        <f aca="false">Data!H83+Data!I83+Data!J83+Data!M83</f>
        <v>106733</v>
      </c>
      <c r="K83" s="16" t="n">
        <f aca="false">Data!F83</f>
        <v>310207</v>
      </c>
      <c r="L83" s="16" t="n">
        <f aca="false">Data!N83+Data!O83+Data!P83+Data!Q83+Data!R83+Data!S83</f>
        <v>125123</v>
      </c>
      <c r="M83" s="15" t="n">
        <f aca="false">Data!T83+Data!U83+Data!V83+Data!W83+Data!X83+Data!Y83+Data!Z83+Data!AA83+Data!AB83+Data!AC83+Data!AD83+Data!AE83+Data!AF83+Data!AG83+Data!AH83+Data!AI83+Data!AJ83+Data!AK83+Data!AL83</f>
        <v>1291045</v>
      </c>
      <c r="N83" s="16" t="n">
        <f aca="false">Data!T83+Data!U83+Data!V83+Data!W83</f>
        <v>538678</v>
      </c>
      <c r="O83" s="16" t="n">
        <f aca="false">Data!T83</f>
        <v>384712</v>
      </c>
      <c r="P83" s="16" t="n">
        <f aca="false">Data!U83</f>
        <v>68913</v>
      </c>
      <c r="Q83" s="16" t="n">
        <f aca="false">Data!V83</f>
        <v>40586</v>
      </c>
      <c r="R83" s="16" t="n">
        <f aca="false">Data!W83</f>
        <v>44467</v>
      </c>
      <c r="S83" s="16" t="n">
        <f aca="false">Data!X83</f>
        <v>209200</v>
      </c>
      <c r="T83" s="16" t="n">
        <f aca="false">Data!Y83+Data!Z83+Data!AA83</f>
        <v>176360</v>
      </c>
      <c r="U83" s="16" t="n">
        <f aca="false">Data!Y83</f>
        <v>133325</v>
      </c>
      <c r="V83" s="16" t="n">
        <f aca="false">Data!Z83</f>
        <v>42022</v>
      </c>
      <c r="W83" s="16" t="n">
        <f aca="false">Data!AB83</f>
        <v>128877</v>
      </c>
      <c r="X83" s="16" t="n">
        <f aca="false">Data!AC83</f>
        <v>41396</v>
      </c>
      <c r="Y83" s="16" t="n">
        <f aca="false">Data!AD83+Data!AE83+Data!AF83+Data!AG83+Data!AH83</f>
        <v>45803</v>
      </c>
      <c r="Z83" s="16" t="n">
        <f aca="false">Data!AI83</f>
        <v>35868</v>
      </c>
      <c r="AA83" s="16" t="n">
        <f aca="false">Data!AJ83</f>
        <v>0</v>
      </c>
      <c r="AB83" s="16" t="n">
        <f aca="false">Data!AK83</f>
        <v>32140</v>
      </c>
      <c r="AC83" s="16" t="n">
        <f aca="false">Data!AL83</f>
        <v>82723</v>
      </c>
      <c r="AD83" s="15" t="n">
        <f aca="false">Data!AM83</f>
        <v>-162412</v>
      </c>
      <c r="AE83" s="16" t="n">
        <f aca="false">Data!AN83</f>
        <v>80021</v>
      </c>
      <c r="AF83" s="15" t="n">
        <f aca="false">Data!AO83</f>
        <v>-242433</v>
      </c>
    </row>
    <row r="84" customFormat="false" ht="15" hidden="false" customHeight="false" outlineLevel="0" collapsed="false">
      <c r="B84" s="14" t="str">
        <f aca="false">Data!B84</f>
        <v>2022-06</v>
      </c>
      <c r="C84" s="15" t="n">
        <f aca="false">Data!D84+Data!E84+Data!F84+Data!G84+Data!H84+Data!I84+Data!J84+Data!K84+Data!L84+Data!M84+Data!N84+Data!O84+Data!P84+Data!Q84+Data!R84+Data!S84</f>
        <v>1201890</v>
      </c>
      <c r="D84" s="16" t="n">
        <f aca="false">Data!D84+Data!E84+Data!G84+Data!H84+Data!I84+Data!J84+Data!K84+Data!L84+Data!M84</f>
        <v>771958</v>
      </c>
      <c r="E84" s="16" t="n">
        <f aca="false">Data!D84</f>
        <v>213906</v>
      </c>
      <c r="F84" s="16" t="n">
        <f aca="false">Data!E84</f>
        <v>170867</v>
      </c>
      <c r="G84" s="16" t="n">
        <f aca="false">Data!K84</f>
        <v>98083</v>
      </c>
      <c r="H84" s="16" t="n">
        <f aca="false">Data!L84</f>
        <v>42321</v>
      </c>
      <c r="I84" s="16" t="n">
        <f aca="false">Data!G84</f>
        <v>109985</v>
      </c>
      <c r="J84" s="16" t="n">
        <f aca="false">Data!H84+Data!I84+Data!J84+Data!M84</f>
        <v>136796</v>
      </c>
      <c r="K84" s="16" t="n">
        <f aca="false">Data!F84</f>
        <v>325383</v>
      </c>
      <c r="L84" s="16" t="n">
        <f aca="false">Data!N84+Data!O84+Data!P84+Data!Q84+Data!R84+Data!S84</f>
        <v>104549</v>
      </c>
      <c r="M84" s="15" t="n">
        <f aca="false">Data!T84+Data!U84+Data!V84+Data!W84+Data!X84+Data!Y84+Data!Z84+Data!AA84+Data!AB84+Data!AC84+Data!AD84+Data!AE84+Data!AF84+Data!AG84+Data!AH84+Data!AI84+Data!AJ84+Data!AK84+Data!AL84</f>
        <v>1523534</v>
      </c>
      <c r="N84" s="16" t="n">
        <f aca="false">Data!T84+Data!U84+Data!V84+Data!W84</f>
        <v>823412</v>
      </c>
      <c r="O84" s="16" t="n">
        <f aca="false">Data!T84</f>
        <v>627962</v>
      </c>
      <c r="P84" s="16" t="n">
        <f aca="false">Data!U84</f>
        <v>72875</v>
      </c>
      <c r="Q84" s="16" t="n">
        <f aca="false">Data!V84</f>
        <v>76695</v>
      </c>
      <c r="R84" s="16" t="n">
        <f aca="false">Data!W84</f>
        <v>45880</v>
      </c>
      <c r="S84" s="16" t="n">
        <f aca="false">Data!X84</f>
        <v>142914</v>
      </c>
      <c r="T84" s="16" t="n">
        <f aca="false">Data!Y84+Data!Z84+Data!AA84</f>
        <v>172339</v>
      </c>
      <c r="U84" s="16" t="n">
        <f aca="false">Data!Y84</f>
        <v>137945</v>
      </c>
      <c r="V84" s="16" t="n">
        <f aca="false">Data!Z84</f>
        <v>33299</v>
      </c>
      <c r="W84" s="16" t="n">
        <f aca="false">Data!AB84</f>
        <v>152542</v>
      </c>
      <c r="X84" s="16" t="n">
        <f aca="false">Data!AC84</f>
        <v>41095</v>
      </c>
      <c r="Y84" s="16" t="n">
        <f aca="false">Data!AD84+Data!AE84+Data!AF84+Data!AG84+Data!AH84</f>
        <v>40348</v>
      </c>
      <c r="Z84" s="16" t="n">
        <f aca="false">Data!AI84</f>
        <v>32911</v>
      </c>
      <c r="AA84" s="16" t="n">
        <f aca="false">Data!AJ84</f>
        <v>0</v>
      </c>
      <c r="AB84" s="16" t="n">
        <f aca="false">Data!AK84</f>
        <v>14038</v>
      </c>
      <c r="AC84" s="16" t="n">
        <f aca="false">Data!AL84</f>
        <v>103935</v>
      </c>
      <c r="AD84" s="15" t="n">
        <f aca="false">Data!AM84</f>
        <v>-321644</v>
      </c>
      <c r="AE84" s="16" t="n">
        <f aca="false">Data!AN84</f>
        <v>74933</v>
      </c>
      <c r="AF84" s="15" t="n">
        <f aca="false">Data!AO84</f>
        <v>-396577</v>
      </c>
    </row>
    <row r="85" customFormat="false" ht="15" hidden="false" customHeight="false" outlineLevel="0" collapsed="false">
      <c r="B85" s="14" t="str">
        <f aca="false">Data!B85</f>
        <v>2022-07</v>
      </c>
      <c r="C85" s="15" t="n">
        <f aca="false">Data!D85+Data!E85+Data!F85+Data!G85+Data!H85+Data!I85+Data!J85+Data!K85+Data!L85+Data!M85+Data!N85+Data!O85+Data!P85+Data!Q85+Data!R85+Data!S85</f>
        <v>1384926</v>
      </c>
      <c r="D85" s="16" t="n">
        <f aca="false">Data!D85+Data!E85+Data!G85+Data!H85+Data!I85+Data!J85+Data!K85+Data!L85+Data!M85</f>
        <v>769087</v>
      </c>
      <c r="E85" s="16" t="n">
        <f aca="false">Data!D85</f>
        <v>225593</v>
      </c>
      <c r="F85" s="16" t="n">
        <f aca="false">Data!E85</f>
        <v>143258</v>
      </c>
      <c r="G85" s="16" t="n">
        <f aca="false">Data!K85</f>
        <v>105081</v>
      </c>
      <c r="H85" s="16" t="n">
        <f aca="false">Data!L85</f>
        <v>44525</v>
      </c>
      <c r="I85" s="16" t="n">
        <f aca="false">Data!G85</f>
        <v>122103</v>
      </c>
      <c r="J85" s="16" t="n">
        <f aca="false">Data!H85+Data!I85+Data!J85+Data!M85</f>
        <v>128527</v>
      </c>
      <c r="K85" s="16" t="n">
        <f aca="false">Data!F85</f>
        <v>445250</v>
      </c>
      <c r="L85" s="16" t="n">
        <f aca="false">Data!N85+Data!O85+Data!P85+Data!Q85+Data!R85+Data!S85</f>
        <v>170589</v>
      </c>
      <c r="M85" s="15" t="n">
        <f aca="false">Data!T85+Data!U85+Data!V85+Data!W85+Data!X85+Data!Y85+Data!Z85+Data!AA85+Data!AB85+Data!AC85+Data!AD85+Data!AE85+Data!AF85+Data!AG85+Data!AH85+Data!AI85+Data!AJ85+Data!AK85+Data!AL85</f>
        <v>1386871</v>
      </c>
      <c r="N85" s="16" t="n">
        <f aca="false">Data!T85+Data!U85+Data!V85+Data!W85</f>
        <v>602854</v>
      </c>
      <c r="O85" s="16" t="n">
        <f aca="false">Data!T85</f>
        <v>444072</v>
      </c>
      <c r="P85" s="16" t="n">
        <f aca="false">Data!U85</f>
        <v>71819</v>
      </c>
      <c r="Q85" s="16" t="n">
        <f aca="false">Data!V85</f>
        <v>42169</v>
      </c>
      <c r="R85" s="16" t="n">
        <f aca="false">Data!W85</f>
        <v>44794</v>
      </c>
      <c r="S85" s="16" t="n">
        <f aca="false">Data!X85</f>
        <v>90259</v>
      </c>
      <c r="T85" s="16" t="n">
        <f aca="false">Data!Y85+Data!Z85+Data!AA85</f>
        <v>244816</v>
      </c>
      <c r="U85" s="16" t="n">
        <f aca="false">Data!Y85</f>
        <v>211901</v>
      </c>
      <c r="V85" s="16" t="n">
        <f aca="false">Data!Z85</f>
        <v>30896</v>
      </c>
      <c r="W85" s="16" t="n">
        <f aca="false">Data!AB85</f>
        <v>210831</v>
      </c>
      <c r="X85" s="16" t="n">
        <f aca="false">Data!AC85</f>
        <v>45794</v>
      </c>
      <c r="Y85" s="16" t="n">
        <f aca="false">Data!AD85+Data!AE85+Data!AF85+Data!AG85+Data!AH85</f>
        <v>36724</v>
      </c>
      <c r="Z85" s="16" t="n">
        <f aca="false">Data!AI85</f>
        <v>54290</v>
      </c>
      <c r="AA85" s="16" t="n">
        <f aca="false">Data!AJ85</f>
        <v>0</v>
      </c>
      <c r="AB85" s="16" t="n">
        <f aca="false">Data!AK85</f>
        <v>14152</v>
      </c>
      <c r="AC85" s="16" t="n">
        <f aca="false">Data!AL85</f>
        <v>87151</v>
      </c>
      <c r="AD85" s="15" t="n">
        <f aca="false">Data!AM85</f>
        <v>-1945</v>
      </c>
      <c r="AE85" s="16" t="n">
        <f aca="false">Data!AN85</f>
        <v>129718</v>
      </c>
      <c r="AF85" s="15" t="n">
        <f aca="false">Data!AO85</f>
        <v>-131663</v>
      </c>
    </row>
    <row r="86" customFormat="false" ht="15" hidden="false" customHeight="false" outlineLevel="0" collapsed="false">
      <c r="B86" s="14" t="str">
        <f aca="false">Data!B86</f>
        <v>2022-08</v>
      </c>
      <c r="C86" s="15" t="n">
        <f aca="false">Data!D86+Data!E86+Data!F86+Data!G86+Data!H86+Data!I86+Data!J86+Data!K86+Data!L86+Data!M86+Data!N86+Data!O86+Data!P86+Data!Q86+Data!R86+Data!S86</f>
        <v>1278182</v>
      </c>
      <c r="D86" s="16" t="n">
        <f aca="false">Data!D86+Data!E86+Data!G86+Data!H86+Data!I86+Data!J86+Data!K86+Data!L86+Data!M86</f>
        <v>768647</v>
      </c>
      <c r="E86" s="16" t="n">
        <f aca="false">Data!D86</f>
        <v>233380</v>
      </c>
      <c r="F86" s="16" t="n">
        <f aca="false">Data!E86</f>
        <v>150565</v>
      </c>
      <c r="G86" s="16" t="n">
        <f aca="false">Data!K86</f>
        <v>81701</v>
      </c>
      <c r="H86" s="16" t="n">
        <f aca="false">Data!L86</f>
        <v>48563</v>
      </c>
      <c r="I86" s="16" t="n">
        <f aca="false">Data!G86</f>
        <v>114387</v>
      </c>
      <c r="J86" s="16" t="n">
        <f aca="false">Data!H86+Data!I86+Data!J86+Data!M86</f>
        <v>140051</v>
      </c>
      <c r="K86" s="16" t="n">
        <f aca="false">Data!F86</f>
        <v>360080</v>
      </c>
      <c r="L86" s="16" t="n">
        <f aca="false">Data!N86+Data!O86+Data!P86+Data!Q86+Data!R86+Data!S86</f>
        <v>149455</v>
      </c>
      <c r="M86" s="15" t="n">
        <f aca="false">Data!T86+Data!U86+Data!V86+Data!W86+Data!X86+Data!Y86+Data!Z86+Data!AA86+Data!AB86+Data!AC86+Data!AD86+Data!AE86+Data!AF86+Data!AG86+Data!AH86+Data!AI86+Data!AJ86+Data!AK86+Data!AL86</f>
        <v>1488234</v>
      </c>
      <c r="N86" s="16" t="n">
        <f aca="false">Data!T86+Data!U86+Data!V86+Data!W86</f>
        <v>627566</v>
      </c>
      <c r="O86" s="16" t="n">
        <f aca="false">Data!T86</f>
        <v>443861</v>
      </c>
      <c r="P86" s="16" t="n">
        <f aca="false">Data!U86</f>
        <v>77622</v>
      </c>
      <c r="Q86" s="16" t="n">
        <f aca="false">Data!V86</f>
        <v>42642</v>
      </c>
      <c r="R86" s="16" t="n">
        <f aca="false">Data!W86</f>
        <v>63441</v>
      </c>
      <c r="S86" s="16" t="n">
        <f aca="false">Data!X86</f>
        <v>117744</v>
      </c>
      <c r="T86" s="16" t="n">
        <f aca="false">Data!Y86+Data!Z86+Data!AA86</f>
        <v>225735</v>
      </c>
      <c r="U86" s="16" t="n">
        <f aca="false">Data!Y86</f>
        <v>185591</v>
      </c>
      <c r="V86" s="16" t="n">
        <f aca="false">Data!Z86</f>
        <v>37987</v>
      </c>
      <c r="W86" s="16" t="n">
        <f aca="false">Data!AB86</f>
        <v>170976</v>
      </c>
      <c r="X86" s="16" t="n">
        <f aca="false">Data!AC86</f>
        <v>55757</v>
      </c>
      <c r="Y86" s="16" t="n">
        <f aca="false">Data!AD86+Data!AE86+Data!AF86+Data!AG86+Data!AH86</f>
        <v>49051</v>
      </c>
      <c r="Z86" s="16" t="n">
        <f aca="false">Data!AI86</f>
        <v>46237</v>
      </c>
      <c r="AA86" s="16" t="n">
        <f aca="false">Data!AJ86</f>
        <v>0</v>
      </c>
      <c r="AB86" s="16" t="n">
        <f aca="false">Data!AK86</f>
        <v>16867</v>
      </c>
      <c r="AC86" s="16" t="n">
        <f aca="false">Data!AL86</f>
        <v>178301</v>
      </c>
      <c r="AD86" s="15" t="n">
        <f aca="false">Data!AM86</f>
        <v>-210052</v>
      </c>
      <c r="AE86" s="16" t="n">
        <f aca="false">Data!AN86</f>
        <v>160053</v>
      </c>
      <c r="AF86" s="15" t="n">
        <f aca="false">Data!AO86</f>
        <v>-370104</v>
      </c>
    </row>
    <row r="87" customFormat="false" ht="15" hidden="false" customHeight="false" outlineLevel="0" collapsed="false">
      <c r="B87" s="14" t="str">
        <f aca="false">Data!B87</f>
        <v>2022-09</v>
      </c>
      <c r="C87" s="15" t="n">
        <f aca="false">Data!D87+Data!E87+Data!F87+Data!G87+Data!H87+Data!I87+Data!J87+Data!K87+Data!L87+Data!M87+Data!N87+Data!O87+Data!P87+Data!Q87+Data!R87+Data!S87</f>
        <v>1642820</v>
      </c>
      <c r="D87" s="16" t="n">
        <f aca="false">Data!D87+Data!E87+Data!G87+Data!H87+Data!I87+Data!J87+Data!K87+Data!L87+Data!M87</f>
        <v>1062644</v>
      </c>
      <c r="E87" s="16" t="n">
        <f aca="false">Data!D87</f>
        <v>249582</v>
      </c>
      <c r="F87" s="16" t="n">
        <f aca="false">Data!E87</f>
        <v>156030</v>
      </c>
      <c r="G87" s="16" t="n">
        <f aca="false">Data!K87</f>
        <v>322330</v>
      </c>
      <c r="H87" s="16" t="n">
        <f aca="false">Data!L87</f>
        <v>52687</v>
      </c>
      <c r="I87" s="16" t="n">
        <f aca="false">Data!G87</f>
        <v>135912</v>
      </c>
      <c r="J87" s="16" t="n">
        <f aca="false">Data!H87+Data!I87+Data!J87+Data!M87</f>
        <v>146103</v>
      </c>
      <c r="K87" s="16" t="n">
        <f aca="false">Data!F87</f>
        <v>382008</v>
      </c>
      <c r="L87" s="16" t="n">
        <f aca="false">Data!N87+Data!O87+Data!P87+Data!Q87+Data!R87+Data!S87</f>
        <v>198168</v>
      </c>
      <c r="M87" s="15" t="n">
        <f aca="false">Data!T87+Data!U87+Data!V87+Data!W87+Data!X87+Data!Y87+Data!Z87+Data!AA87+Data!AB87+Data!AC87+Data!AD87+Data!AE87+Data!AF87+Data!AG87+Data!AH87+Data!AI87+Data!AJ87+Data!AK87+Data!AL87</f>
        <v>1562196</v>
      </c>
      <c r="N87" s="16" t="n">
        <f aca="false">Data!T87+Data!U87+Data!V87+Data!W87</f>
        <v>711548</v>
      </c>
      <c r="O87" s="16" t="n">
        <f aca="false">Data!T87</f>
        <v>502218</v>
      </c>
      <c r="P87" s="16" t="n">
        <f aca="false">Data!U87</f>
        <v>97417</v>
      </c>
      <c r="Q87" s="16" t="n">
        <f aca="false">Data!V87</f>
        <v>57672</v>
      </c>
      <c r="R87" s="16" t="n">
        <f aca="false">Data!W87</f>
        <v>54241</v>
      </c>
      <c r="S87" s="16" t="n">
        <f aca="false">Data!X87</f>
        <v>121994</v>
      </c>
      <c r="T87" s="16" t="n">
        <f aca="false">Data!Y87+Data!Z87+Data!AA87</f>
        <v>218841</v>
      </c>
      <c r="U87" s="16" t="n">
        <f aca="false">Data!Y87</f>
        <v>180193</v>
      </c>
      <c r="V87" s="16" t="n">
        <f aca="false">Data!Z87</f>
        <v>34564</v>
      </c>
      <c r="W87" s="16" t="n">
        <f aca="false">Data!AB87</f>
        <v>177612</v>
      </c>
      <c r="X87" s="16" t="n">
        <f aca="false">Data!AC87</f>
        <v>54872</v>
      </c>
      <c r="Y87" s="16" t="n">
        <f aca="false">Data!AD87+Data!AE87+Data!AF87+Data!AG87+Data!AH87</f>
        <v>53147</v>
      </c>
      <c r="Z87" s="16" t="n">
        <f aca="false">Data!AI87</f>
        <v>45255</v>
      </c>
      <c r="AA87" s="16" t="n">
        <f aca="false">Data!AJ87</f>
        <v>0</v>
      </c>
      <c r="AB87" s="16" t="n">
        <f aca="false">Data!AK87</f>
        <v>28126</v>
      </c>
      <c r="AC87" s="16" t="n">
        <f aca="false">Data!AL87</f>
        <v>150801</v>
      </c>
      <c r="AD87" s="15" t="n">
        <f aca="false">Data!AM87</f>
        <v>80624</v>
      </c>
      <c r="AE87" s="16" t="n">
        <f aca="false">Data!AN87</f>
        <v>85068</v>
      </c>
      <c r="AF87" s="15" t="n">
        <f aca="false">Data!AO87</f>
        <v>-4444</v>
      </c>
    </row>
    <row r="88" customFormat="false" ht="15" hidden="false" customHeight="false" outlineLevel="0" collapsed="false">
      <c r="B88" s="14" t="str">
        <f aca="false">Data!B88</f>
        <v>2022-10</v>
      </c>
      <c r="C88" s="15" t="n">
        <f aca="false">Data!D88+Data!E88+Data!F88+Data!G88+Data!H88+Data!I88+Data!J88+Data!K88+Data!L88+Data!M88+Data!N88+Data!O88+Data!P88+Data!Q88+Data!R88+Data!S88</f>
        <v>1500659</v>
      </c>
      <c r="D88" s="16" t="n">
        <f aca="false">Data!D88+Data!E88+Data!G88+Data!H88+Data!I88+Data!J88+Data!K88+Data!L88+Data!M88</f>
        <v>959472</v>
      </c>
      <c r="E88" s="16" t="n">
        <f aca="false">Data!D88</f>
        <v>265830</v>
      </c>
      <c r="F88" s="16" t="n">
        <f aca="false">Data!E88</f>
        <v>186926</v>
      </c>
      <c r="G88" s="16" t="n">
        <f aca="false">Data!K88</f>
        <v>186224</v>
      </c>
      <c r="H88" s="16" t="n">
        <f aca="false">Data!L88</f>
        <v>47817</v>
      </c>
      <c r="I88" s="16" t="n">
        <f aca="false">Data!G88</f>
        <v>129582</v>
      </c>
      <c r="J88" s="16" t="n">
        <f aca="false">Data!H88+Data!I88+Data!J88+Data!M88</f>
        <v>143093</v>
      </c>
      <c r="K88" s="16" t="n">
        <f aca="false">Data!F88</f>
        <v>403791</v>
      </c>
      <c r="L88" s="16" t="n">
        <f aca="false">Data!N88+Data!O88+Data!P88+Data!Q88+Data!R88+Data!S88</f>
        <v>137396</v>
      </c>
      <c r="M88" s="15" t="n">
        <f aca="false">Data!T88+Data!U88+Data!V88+Data!W88+Data!X88+Data!Y88+Data!Z88+Data!AA88+Data!AB88+Data!AC88+Data!AD88+Data!AE88+Data!AF88+Data!AG88+Data!AH88+Data!AI88+Data!AJ88+Data!AK88+Data!AL88</f>
        <v>1603708</v>
      </c>
      <c r="N88" s="16" t="n">
        <f aca="false">Data!T88+Data!U88+Data!V88+Data!W88</f>
        <v>732940</v>
      </c>
      <c r="O88" s="16" t="n">
        <f aca="false">Data!T88</f>
        <v>523131</v>
      </c>
      <c r="P88" s="16" t="n">
        <f aca="false">Data!U88</f>
        <v>95643</v>
      </c>
      <c r="Q88" s="16" t="n">
        <f aca="false">Data!V88</f>
        <v>57395</v>
      </c>
      <c r="R88" s="16" t="n">
        <f aca="false">Data!W88</f>
        <v>56771</v>
      </c>
      <c r="S88" s="16" t="n">
        <f aca="false">Data!X88</f>
        <v>128892</v>
      </c>
      <c r="T88" s="16" t="n">
        <f aca="false">Data!Y88+Data!Z88+Data!AA88</f>
        <v>234041</v>
      </c>
      <c r="U88" s="16" t="n">
        <f aca="false">Data!Y88</f>
        <v>196816</v>
      </c>
      <c r="V88" s="16" t="n">
        <f aca="false">Data!Z88</f>
        <v>35996</v>
      </c>
      <c r="W88" s="16" t="n">
        <f aca="false">Data!AB88</f>
        <v>181855</v>
      </c>
      <c r="X88" s="16" t="n">
        <f aca="false">Data!AC88</f>
        <v>48610</v>
      </c>
      <c r="Y88" s="16" t="n">
        <f aca="false">Data!AD88+Data!AE88+Data!AF88+Data!AG88+Data!AH88</f>
        <v>55552</v>
      </c>
      <c r="Z88" s="16" t="n">
        <f aca="false">Data!AI88</f>
        <v>49020</v>
      </c>
      <c r="AA88" s="16" t="n">
        <f aca="false">Data!AJ88</f>
        <v>0</v>
      </c>
      <c r="AB88" s="16" t="n">
        <f aca="false">Data!AK88</f>
        <v>35010</v>
      </c>
      <c r="AC88" s="16" t="n">
        <f aca="false">Data!AL88</f>
        <v>137788</v>
      </c>
      <c r="AD88" s="15" t="n">
        <f aca="false">Data!AM88</f>
        <v>-103049</v>
      </c>
      <c r="AE88" s="16" t="n">
        <f aca="false">Data!AN88</f>
        <v>82202</v>
      </c>
      <c r="AF88" s="15" t="n">
        <f aca="false">Data!AO88</f>
        <v>-185251</v>
      </c>
    </row>
    <row r="89" customFormat="false" ht="15" hidden="false" customHeight="false" outlineLevel="0" collapsed="false">
      <c r="B89" s="14" t="str">
        <f aca="false">Data!B89</f>
        <v>2022-11</v>
      </c>
      <c r="C89" s="15" t="n">
        <f aca="false">Data!D89+Data!E89+Data!F89+Data!G89+Data!H89+Data!I89+Data!J89+Data!K89+Data!L89+Data!M89+Data!N89+Data!O89+Data!P89+Data!Q89+Data!R89+Data!S89</f>
        <v>1422492</v>
      </c>
      <c r="D89" s="16" t="n">
        <f aca="false">Data!D89+Data!E89+Data!G89+Data!H89+Data!I89+Data!J89+Data!K89+Data!L89+Data!M89</f>
        <v>841095</v>
      </c>
      <c r="E89" s="16" t="n">
        <f aca="false">Data!D89</f>
        <v>280292</v>
      </c>
      <c r="F89" s="16" t="n">
        <f aca="false">Data!E89</f>
        <v>191551</v>
      </c>
      <c r="G89" s="16" t="n">
        <f aca="false">Data!K89</f>
        <v>48335</v>
      </c>
      <c r="H89" s="16" t="n">
        <f aca="false">Data!L89</f>
        <v>54478</v>
      </c>
      <c r="I89" s="16" t="n">
        <f aca="false">Data!G89</f>
        <v>136102</v>
      </c>
      <c r="J89" s="16" t="n">
        <f aca="false">Data!H89+Data!I89+Data!J89+Data!M89</f>
        <v>130337</v>
      </c>
      <c r="K89" s="16" t="n">
        <f aca="false">Data!F89</f>
        <v>427591</v>
      </c>
      <c r="L89" s="16" t="n">
        <f aca="false">Data!N89+Data!O89+Data!P89+Data!Q89+Data!R89+Data!S89</f>
        <v>153806</v>
      </c>
      <c r="M89" s="15" t="n">
        <f aca="false">Data!T89+Data!U89+Data!V89+Data!W89+Data!X89+Data!Y89+Data!Z89+Data!AA89+Data!AB89+Data!AC89+Data!AD89+Data!AE89+Data!AF89+Data!AG89+Data!AH89+Data!AI89+Data!AJ89+Data!AK89+Data!AL89</f>
        <v>1650330</v>
      </c>
      <c r="N89" s="16" t="n">
        <f aca="false">Data!T89+Data!U89+Data!V89+Data!W89</f>
        <v>755909</v>
      </c>
      <c r="O89" s="16" t="n">
        <f aca="false">Data!T89</f>
        <v>527551</v>
      </c>
      <c r="P89" s="16" t="n">
        <f aca="false">Data!U89</f>
        <v>98717</v>
      </c>
      <c r="Q89" s="16" t="n">
        <f aca="false">Data!V89</f>
        <v>62939</v>
      </c>
      <c r="R89" s="16" t="n">
        <f aca="false">Data!W89</f>
        <v>66702</v>
      </c>
      <c r="S89" s="16" t="n">
        <f aca="false">Data!X89</f>
        <v>164531</v>
      </c>
      <c r="T89" s="16" t="n">
        <f aca="false">Data!Y89+Data!Z89+Data!AA89</f>
        <v>170600</v>
      </c>
      <c r="U89" s="16" t="n">
        <f aca="false">Data!Y89</f>
        <v>124388</v>
      </c>
      <c r="V89" s="16" t="n">
        <f aca="false">Data!Z89</f>
        <v>44765</v>
      </c>
      <c r="W89" s="16" t="n">
        <f aca="false">Data!AB89</f>
        <v>196359</v>
      </c>
      <c r="X89" s="16" t="n">
        <f aca="false">Data!AC89</f>
        <v>59744</v>
      </c>
      <c r="Y89" s="16" t="n">
        <f aca="false">Data!AD89+Data!AE89+Data!AF89+Data!AG89+Data!AH89</f>
        <v>59429</v>
      </c>
      <c r="Z89" s="16" t="n">
        <f aca="false">Data!AI89</f>
        <v>49401</v>
      </c>
      <c r="AA89" s="16" t="n">
        <f aca="false">Data!AJ89</f>
        <v>0</v>
      </c>
      <c r="AB89" s="16" t="n">
        <f aca="false">Data!AK89</f>
        <v>38696</v>
      </c>
      <c r="AC89" s="16" t="n">
        <f aca="false">Data!AL89</f>
        <v>155661</v>
      </c>
      <c r="AD89" s="15" t="n">
        <f aca="false">Data!AM89</f>
        <v>-227838</v>
      </c>
      <c r="AE89" s="16" t="n">
        <f aca="false">Data!AN89</f>
        <v>303439</v>
      </c>
      <c r="AF89" s="15" t="n">
        <f aca="false">Data!AO89</f>
        <v>-531277</v>
      </c>
    </row>
    <row r="90" customFormat="false" ht="15" hidden="false" customHeight="false" outlineLevel="0" collapsed="false">
      <c r="B90" s="14" t="str">
        <f aca="false">Data!B90</f>
        <v>2022-12</v>
      </c>
      <c r="C90" s="15" t="n">
        <f aca="false">Data!D90+Data!E90+Data!F90+Data!G90+Data!H90+Data!I90+Data!J90+Data!K90+Data!L90+Data!M90+Data!N90+Data!O90+Data!P90+Data!Q90+Data!R90+Data!S90</f>
        <v>1688120</v>
      </c>
      <c r="D90" s="16" t="n">
        <f aca="false">Data!D90+Data!E90+Data!G90+Data!H90+Data!I90+Data!J90+Data!K90+Data!L90+Data!M90</f>
        <v>1054116</v>
      </c>
      <c r="E90" s="16" t="n">
        <f aca="false">Data!D90</f>
        <v>300351</v>
      </c>
      <c r="F90" s="16" t="n">
        <f aca="false">Data!E90</f>
        <v>206860</v>
      </c>
      <c r="G90" s="16" t="n">
        <f aca="false">Data!K90</f>
        <v>162784</v>
      </c>
      <c r="H90" s="16" t="n">
        <f aca="false">Data!L90</f>
        <v>56238</v>
      </c>
      <c r="I90" s="16" t="n">
        <f aca="false">Data!G90</f>
        <v>155140</v>
      </c>
      <c r="J90" s="16" t="n">
        <f aca="false">Data!H90+Data!I90+Data!J90+Data!M90</f>
        <v>172743</v>
      </c>
      <c r="K90" s="16" t="n">
        <f aca="false">Data!F90</f>
        <v>463621</v>
      </c>
      <c r="L90" s="16" t="n">
        <f aca="false">Data!N90+Data!O90+Data!P90+Data!Q90+Data!R90+Data!S90</f>
        <v>170383</v>
      </c>
      <c r="M90" s="15" t="n">
        <f aca="false">Data!T90+Data!U90+Data!V90+Data!W90+Data!X90+Data!Y90+Data!Z90+Data!AA90+Data!AB90+Data!AC90+Data!AD90+Data!AE90+Data!AF90+Data!AG90+Data!AH90+Data!AI90+Data!AJ90+Data!AK90+Data!AL90</f>
        <v>2129632</v>
      </c>
      <c r="N90" s="16" t="n">
        <f aca="false">Data!T90+Data!U90+Data!V90+Data!W90</f>
        <v>1075122</v>
      </c>
      <c r="O90" s="16" t="n">
        <f aca="false">Data!T90</f>
        <v>821929</v>
      </c>
      <c r="P90" s="16" t="n">
        <f aca="false">Data!U90</f>
        <v>88229</v>
      </c>
      <c r="Q90" s="16" t="n">
        <f aca="false">Data!V90</f>
        <v>77421</v>
      </c>
      <c r="R90" s="16" t="n">
        <f aca="false">Data!W90</f>
        <v>87543</v>
      </c>
      <c r="S90" s="16" t="n">
        <f aca="false">Data!X90</f>
        <v>214360</v>
      </c>
      <c r="T90" s="16" t="n">
        <f aca="false">Data!Y90+Data!Z90+Data!AA90</f>
        <v>115675</v>
      </c>
      <c r="U90" s="16" t="n">
        <f aca="false">Data!Y90</f>
        <v>47128</v>
      </c>
      <c r="V90" s="16" t="n">
        <f aca="false">Data!Z90</f>
        <v>65420</v>
      </c>
      <c r="W90" s="16" t="n">
        <f aca="false">Data!AB90</f>
        <v>293701</v>
      </c>
      <c r="X90" s="16" t="n">
        <f aca="false">Data!AC90</f>
        <v>80010</v>
      </c>
      <c r="Y90" s="16" t="n">
        <f aca="false">Data!AD90+Data!AE90+Data!AF90+Data!AG90+Data!AH90</f>
        <v>64969</v>
      </c>
      <c r="Z90" s="16" t="n">
        <f aca="false">Data!AI90</f>
        <v>76585</v>
      </c>
      <c r="AA90" s="16" t="n">
        <f aca="false">Data!AJ90</f>
        <v>0</v>
      </c>
      <c r="AB90" s="16" t="n">
        <f aca="false">Data!AK90</f>
        <v>43006</v>
      </c>
      <c r="AC90" s="16" t="n">
        <f aca="false">Data!AL90</f>
        <v>166204</v>
      </c>
      <c r="AD90" s="15" t="n">
        <f aca="false">Data!AM90</f>
        <v>-441512</v>
      </c>
      <c r="AE90" s="16" t="n">
        <f aca="false">Data!AN90</f>
        <v>243589</v>
      </c>
      <c r="AF90" s="15" t="n">
        <f aca="false">Data!AO90</f>
        <v>-685101</v>
      </c>
    </row>
    <row r="91" customFormat="false" ht="15" hidden="false" customHeight="false" outlineLevel="0" collapsed="false">
      <c r="B91" s="14" t="str">
        <f aca="false">Data!B91</f>
        <v>2023-01</v>
      </c>
      <c r="C91" s="15" t="n">
        <f aca="false">Data!D91+Data!E91+Data!F91+Data!G91+Data!H91+Data!I91+Data!J91+Data!K91+Data!L91+Data!M91+Data!N91+Data!O91+Data!P91+Data!Q91+Data!R91+Data!S91</f>
        <v>1723206</v>
      </c>
      <c r="D91" s="16" t="n">
        <f aca="false">Data!D91+Data!E91+Data!G91+Data!H91+Data!I91+Data!J91+Data!K91+Data!L91+Data!M91</f>
        <v>932921</v>
      </c>
      <c r="E91" s="16" t="n">
        <f aca="false">Data!D91</f>
        <v>328791</v>
      </c>
      <c r="F91" s="16" t="n">
        <f aca="false">Data!E91</f>
        <v>166273</v>
      </c>
      <c r="G91" s="16" t="n">
        <f aca="false">Data!K91</f>
        <v>94980</v>
      </c>
      <c r="H91" s="16" t="n">
        <f aca="false">Data!L91</f>
        <v>55107</v>
      </c>
      <c r="I91" s="16" t="n">
        <f aca="false">Data!G91</f>
        <v>152990</v>
      </c>
      <c r="J91" s="16" t="n">
        <f aca="false">Data!H91+Data!I91+Data!J91+Data!M91</f>
        <v>134780</v>
      </c>
      <c r="K91" s="16" t="n">
        <f aca="false">Data!F91</f>
        <v>651671</v>
      </c>
      <c r="L91" s="16" t="n">
        <f aca="false">Data!N91+Data!O91+Data!P91+Data!Q91+Data!R91+Data!S91</f>
        <v>138614</v>
      </c>
      <c r="M91" s="15" t="n">
        <f aca="false">Data!T91+Data!U91+Data!V91+Data!W91+Data!X91+Data!Y91+Data!Z91+Data!AA91+Data!AB91+Data!AC91+Data!AD91+Data!AE91+Data!AF91+Data!AG91+Data!AH91+Data!AI91+Data!AJ91+Data!AK91+Data!AL91</f>
        <v>1927144</v>
      </c>
      <c r="N91" s="16" t="n">
        <f aca="false">Data!T91+Data!U91+Data!V91+Data!W91</f>
        <v>870842</v>
      </c>
      <c r="O91" s="16" t="n">
        <f aca="false">Data!T91</f>
        <v>655677</v>
      </c>
      <c r="P91" s="16" t="n">
        <f aca="false">Data!U91</f>
        <v>87333</v>
      </c>
      <c r="Q91" s="16" t="n">
        <f aca="false">Data!V91</f>
        <v>55216</v>
      </c>
      <c r="R91" s="16" t="n">
        <f aca="false">Data!W91</f>
        <v>72616</v>
      </c>
      <c r="S91" s="16" t="n">
        <f aca="false">Data!X91</f>
        <v>200928</v>
      </c>
      <c r="T91" s="16" t="n">
        <f aca="false">Data!Y91+Data!Z91+Data!AA91</f>
        <v>199193</v>
      </c>
      <c r="U91" s="16" t="n">
        <f aca="false">Data!Y91</f>
        <v>134043</v>
      </c>
      <c r="V91" s="16" t="n">
        <f aca="false">Data!Z91</f>
        <v>47961</v>
      </c>
      <c r="W91" s="16" t="n">
        <f aca="false">Data!AB91</f>
        <v>267832</v>
      </c>
      <c r="X91" s="16" t="n">
        <f aca="false">Data!AC91</f>
        <v>71399</v>
      </c>
      <c r="Y91" s="16" t="n">
        <f aca="false">Data!AD91+Data!AE91+Data!AF91+Data!AG91+Data!AH91</f>
        <v>62690</v>
      </c>
      <c r="Z91" s="16" t="n">
        <f aca="false">Data!AI91</f>
        <v>59742</v>
      </c>
      <c r="AA91" s="16" t="n">
        <f aca="false">Data!AJ91</f>
        <v>0</v>
      </c>
      <c r="AB91" s="16" t="n">
        <f aca="false">Data!AK91</f>
        <v>39425</v>
      </c>
      <c r="AC91" s="16" t="n">
        <f aca="false">Data!AL91</f>
        <v>155093</v>
      </c>
      <c r="AD91" s="15" t="n">
        <f aca="false">Data!AM91</f>
        <v>-203938</v>
      </c>
      <c r="AE91" s="16" t="n">
        <f aca="false">Data!AN91</f>
        <v>334031</v>
      </c>
      <c r="AF91" s="15" t="n">
        <f aca="false">Data!AO91</f>
        <v>-537970</v>
      </c>
    </row>
    <row r="92" customFormat="false" ht="15" hidden="false" customHeight="false" outlineLevel="0" collapsed="false">
      <c r="B92" s="14" t="str">
        <f aca="false">Data!B92</f>
        <v>2023-02</v>
      </c>
      <c r="C92" s="15" t="n">
        <f aca="false">Data!D92+Data!E92+Data!F92+Data!G92+Data!H92+Data!I92+Data!J92+Data!K92+Data!L92+Data!M92+Data!N92+Data!O92+Data!P92+Data!Q92+Data!R92+Data!S92</f>
        <v>1570393</v>
      </c>
      <c r="D92" s="16" t="n">
        <f aca="false">Data!D92+Data!E92+Data!G92+Data!H92+Data!I92+Data!J92+Data!K92+Data!L92+Data!M92</f>
        <v>874906</v>
      </c>
      <c r="E92" s="16" t="n">
        <f aca="false">Data!D92</f>
        <v>308198</v>
      </c>
      <c r="F92" s="16" t="n">
        <f aca="false">Data!E92</f>
        <v>165728</v>
      </c>
      <c r="G92" s="16" t="n">
        <f aca="false">Data!K92</f>
        <v>52093</v>
      </c>
      <c r="H92" s="16" t="n">
        <f aca="false">Data!L92</f>
        <v>38075</v>
      </c>
      <c r="I92" s="16" t="n">
        <f aca="false">Data!G92</f>
        <v>151399</v>
      </c>
      <c r="J92" s="16" t="n">
        <f aca="false">Data!H92+Data!I92+Data!J92+Data!M92</f>
        <v>159413</v>
      </c>
      <c r="K92" s="16" t="n">
        <f aca="false">Data!F92</f>
        <v>542479</v>
      </c>
      <c r="L92" s="16" t="n">
        <f aca="false">Data!N92+Data!O92+Data!P92+Data!Q92+Data!R92+Data!S92</f>
        <v>153008</v>
      </c>
      <c r="M92" s="15" t="n">
        <f aca="false">Data!T92+Data!U92+Data!V92+Data!W92+Data!X92+Data!Y92+Data!Z92+Data!AA92+Data!AB92+Data!AC92+Data!AD92+Data!AE92+Data!AF92+Data!AG92+Data!AH92+Data!AI92+Data!AJ92+Data!AK92+Data!AL92</f>
        <v>1798527</v>
      </c>
      <c r="N92" s="16" t="n">
        <f aca="false">Data!T92+Data!U92+Data!V92+Data!W92</f>
        <v>821875</v>
      </c>
      <c r="O92" s="16" t="n">
        <f aca="false">Data!T92</f>
        <v>609228</v>
      </c>
      <c r="P92" s="16" t="n">
        <f aca="false">Data!U92</f>
        <v>77870</v>
      </c>
      <c r="Q92" s="16" t="n">
        <f aca="false">Data!V92</f>
        <v>58220</v>
      </c>
      <c r="R92" s="16" t="n">
        <f aca="false">Data!W92</f>
        <v>76557</v>
      </c>
      <c r="S92" s="16" t="n">
        <f aca="false">Data!X92</f>
        <v>186077</v>
      </c>
      <c r="T92" s="16" t="n">
        <f aca="false">Data!Y92+Data!Z92+Data!AA92</f>
        <v>186975</v>
      </c>
      <c r="U92" s="16" t="n">
        <f aca="false">Data!Y92</f>
        <v>129752</v>
      </c>
      <c r="V92" s="16" t="n">
        <f aca="false">Data!Z92</f>
        <v>54949</v>
      </c>
      <c r="W92" s="16" t="n">
        <f aca="false">Data!AB92</f>
        <v>232080</v>
      </c>
      <c r="X92" s="16" t="n">
        <f aca="false">Data!AC92</f>
        <v>57108</v>
      </c>
      <c r="Y92" s="16" t="n">
        <f aca="false">Data!AD92+Data!AE92+Data!AF92+Data!AG92+Data!AH92</f>
        <v>35917</v>
      </c>
      <c r="Z92" s="16" t="n">
        <f aca="false">Data!AI92</f>
        <v>56823</v>
      </c>
      <c r="AA92" s="16" t="n">
        <f aca="false">Data!AJ92</f>
        <v>0</v>
      </c>
      <c r="AB92" s="16" t="n">
        <f aca="false">Data!AK92</f>
        <v>45133</v>
      </c>
      <c r="AC92" s="16" t="n">
        <f aca="false">Data!AL92</f>
        <v>176539</v>
      </c>
      <c r="AD92" s="15" t="n">
        <f aca="false">Data!AM92</f>
        <v>-228134</v>
      </c>
      <c r="AE92" s="16" t="n">
        <f aca="false">Data!AN92</f>
        <v>257457</v>
      </c>
      <c r="AF92" s="15" t="n">
        <f aca="false">Data!AO92</f>
        <v>-485591</v>
      </c>
    </row>
    <row r="93" customFormat="false" ht="15" hidden="false" customHeight="false" outlineLevel="0" collapsed="false">
      <c r="B93" s="14" t="str">
        <f aca="false">Data!B93</f>
        <v>2023-03</v>
      </c>
      <c r="C93" s="15" t="n">
        <f aca="false">Data!D93+Data!E93+Data!F93+Data!G93+Data!H93+Data!I93+Data!J93+Data!K93+Data!L93+Data!M93+Data!N93+Data!O93+Data!P93+Data!Q93+Data!R93+Data!S93</f>
        <v>1726778</v>
      </c>
      <c r="D93" s="16" t="n">
        <f aca="false">Data!D93+Data!E93+Data!G93+Data!H93+Data!I93+Data!J93+Data!K93+Data!L93+Data!M93</f>
        <v>982827</v>
      </c>
      <c r="E93" s="16" t="n">
        <f aca="false">Data!D93</f>
        <v>385691</v>
      </c>
      <c r="F93" s="16" t="n">
        <f aca="false">Data!E93</f>
        <v>154801</v>
      </c>
      <c r="G93" s="16" t="n">
        <f aca="false">Data!K93</f>
        <v>46529</v>
      </c>
      <c r="H93" s="16" t="n">
        <f aca="false">Data!L93</f>
        <v>67672</v>
      </c>
      <c r="I93" s="16" t="n">
        <f aca="false">Data!G93</f>
        <v>174179</v>
      </c>
      <c r="J93" s="16" t="n">
        <f aca="false">Data!H93+Data!I93+Data!J93+Data!M93</f>
        <v>153955</v>
      </c>
      <c r="K93" s="16" t="n">
        <f aca="false">Data!F93</f>
        <v>573488</v>
      </c>
      <c r="L93" s="16" t="n">
        <f aca="false">Data!N93+Data!O93+Data!P93+Data!Q93+Data!R93+Data!S93</f>
        <v>170463</v>
      </c>
      <c r="M93" s="15" t="n">
        <f aca="false">Data!T93+Data!U93+Data!V93+Data!W93+Data!X93+Data!Y93+Data!Z93+Data!AA93+Data!AB93+Data!AC93+Data!AD93+Data!AE93+Data!AF93+Data!AG93+Data!AH93+Data!AI93+Data!AJ93+Data!AK93+Data!AL93</f>
        <v>1984634</v>
      </c>
      <c r="N93" s="16" t="n">
        <f aca="false">Data!T93+Data!U93+Data!V93+Data!W93</f>
        <v>988813</v>
      </c>
      <c r="O93" s="16" t="n">
        <f aca="false">Data!T93</f>
        <v>679505</v>
      </c>
      <c r="P93" s="16" t="n">
        <f aca="false">Data!U93</f>
        <v>150903</v>
      </c>
      <c r="Q93" s="16" t="n">
        <f aca="false">Data!V93</f>
        <v>66068</v>
      </c>
      <c r="R93" s="16" t="n">
        <f aca="false">Data!W93</f>
        <v>92337</v>
      </c>
      <c r="S93" s="16" t="n">
        <f aca="false">Data!X93</f>
        <v>202729</v>
      </c>
      <c r="T93" s="16" t="n">
        <f aca="false">Data!Y93+Data!Z93+Data!AA93</f>
        <v>143561</v>
      </c>
      <c r="U93" s="16" t="n">
        <f aca="false">Data!Y93</f>
        <v>95573</v>
      </c>
      <c r="V93" s="16" t="n">
        <f aca="false">Data!Z93</f>
        <v>43644</v>
      </c>
      <c r="W93" s="16" t="n">
        <f aca="false">Data!AB93</f>
        <v>262667</v>
      </c>
      <c r="X93" s="16" t="n">
        <f aca="false">Data!AC93</f>
        <v>64073</v>
      </c>
      <c r="Y93" s="16" t="n">
        <f aca="false">Data!AD93+Data!AE93+Data!AF93+Data!AG93+Data!AH93</f>
        <v>64476</v>
      </c>
      <c r="Z93" s="16" t="n">
        <f aca="false">Data!AI93</f>
        <v>58391</v>
      </c>
      <c r="AA93" s="16" t="n">
        <f aca="false">Data!AJ93</f>
        <v>0</v>
      </c>
      <c r="AB93" s="16" t="n">
        <f aca="false">Data!AK93</f>
        <v>31273</v>
      </c>
      <c r="AC93" s="16" t="n">
        <f aca="false">Data!AL93</f>
        <v>168651</v>
      </c>
      <c r="AD93" s="15" t="n">
        <f aca="false">Data!AM93</f>
        <v>-257856</v>
      </c>
      <c r="AE93" s="16" t="n">
        <f aca="false">Data!AN93</f>
        <v>130150</v>
      </c>
      <c r="AF93" s="15" t="n">
        <f aca="false">Data!AO93</f>
        <v>-388006</v>
      </c>
    </row>
    <row r="94" customFormat="false" ht="15" hidden="false" customHeight="false" outlineLevel="0" collapsed="false">
      <c r="B94" s="14" t="str">
        <f aca="false">Data!B94</f>
        <v>2023-04</v>
      </c>
      <c r="C94" s="15" t="n">
        <f aca="false">Data!D94+Data!E94+Data!F94+Data!G94+Data!H94+Data!I94+Data!J94+Data!K94+Data!L94+Data!M94+Data!N94+Data!O94+Data!P94+Data!Q94+Data!R94+Data!S94</f>
        <v>1866321</v>
      </c>
      <c r="D94" s="16" t="n">
        <f aca="false">Data!D94+Data!E94+Data!G94+Data!H94+Data!I94+Data!J94+Data!K94+Data!L94+Data!M94</f>
        <v>1069274</v>
      </c>
      <c r="E94" s="16" t="n">
        <f aca="false">Data!D94</f>
        <v>413203</v>
      </c>
      <c r="F94" s="16" t="n">
        <f aca="false">Data!E94</f>
        <v>175985</v>
      </c>
      <c r="G94" s="16" t="n">
        <f aca="false">Data!K94</f>
        <v>59803</v>
      </c>
      <c r="H94" s="16" t="n">
        <f aca="false">Data!L94</f>
        <v>60528</v>
      </c>
      <c r="I94" s="16" t="n">
        <f aca="false">Data!G94</f>
        <v>183196</v>
      </c>
      <c r="J94" s="16" t="n">
        <f aca="false">Data!H94+Data!I94+Data!J94+Data!M94</f>
        <v>176559</v>
      </c>
      <c r="K94" s="16" t="n">
        <f aca="false">Data!F94</f>
        <v>628288</v>
      </c>
      <c r="L94" s="16" t="n">
        <f aca="false">Data!N94+Data!O94+Data!P94+Data!Q94+Data!R94+Data!S94</f>
        <v>168759</v>
      </c>
      <c r="M94" s="15" t="n">
        <f aca="false">Data!T94+Data!U94+Data!V94+Data!W94+Data!X94+Data!Y94+Data!Z94+Data!AA94+Data!AB94+Data!AC94+Data!AD94+Data!AE94+Data!AF94+Data!AG94+Data!AH94+Data!AI94+Data!AJ94+Data!AK94+Data!AL94</f>
        <v>2197694</v>
      </c>
      <c r="N94" s="16" t="n">
        <f aca="false">Data!T94+Data!U94+Data!V94+Data!W94</f>
        <v>991480</v>
      </c>
      <c r="O94" s="16" t="n">
        <f aca="false">Data!T94</f>
        <v>728373</v>
      </c>
      <c r="P94" s="16" t="n">
        <f aca="false">Data!U94</f>
        <v>104142</v>
      </c>
      <c r="Q94" s="16" t="n">
        <f aca="false">Data!V94</f>
        <v>66058</v>
      </c>
      <c r="R94" s="16" t="n">
        <f aca="false">Data!W94</f>
        <v>92907</v>
      </c>
      <c r="S94" s="16" t="n">
        <f aca="false">Data!X94</f>
        <v>219993</v>
      </c>
      <c r="T94" s="16" t="n">
        <f aca="false">Data!Y94+Data!Z94+Data!AA94</f>
        <v>284798</v>
      </c>
      <c r="U94" s="16" t="n">
        <f aca="false">Data!Y94</f>
        <v>229760</v>
      </c>
      <c r="V94" s="16" t="n">
        <f aca="false">Data!Z94</f>
        <v>49757</v>
      </c>
      <c r="W94" s="16" t="n">
        <f aca="false">Data!AB94</f>
        <v>279644</v>
      </c>
      <c r="X94" s="16" t="n">
        <f aca="false">Data!AC94</f>
        <v>61961</v>
      </c>
      <c r="Y94" s="16" t="n">
        <f aca="false">Data!AD94+Data!AE94+Data!AF94+Data!AG94+Data!AH94</f>
        <v>65572</v>
      </c>
      <c r="Z94" s="16" t="n">
        <f aca="false">Data!AI94</f>
        <v>76396</v>
      </c>
      <c r="AA94" s="16" t="n">
        <f aca="false">Data!AJ94</f>
        <v>0</v>
      </c>
      <c r="AB94" s="16" t="n">
        <f aca="false">Data!AK94</f>
        <v>40849</v>
      </c>
      <c r="AC94" s="16" t="n">
        <f aca="false">Data!AL94</f>
        <v>177001</v>
      </c>
      <c r="AD94" s="15" t="n">
        <f aca="false">Data!AM94</f>
        <v>-331373</v>
      </c>
      <c r="AE94" s="16" t="n">
        <f aca="false">Data!AN94</f>
        <v>76015</v>
      </c>
      <c r="AF94" s="15" t="n">
        <f aca="false">Data!AO94</f>
        <v>-407388</v>
      </c>
    </row>
    <row r="95" customFormat="false" ht="15" hidden="false" customHeight="false" outlineLevel="0" collapsed="false">
      <c r="B95" s="14" t="str">
        <f aca="false">Data!B95</f>
        <v>2023-05</v>
      </c>
      <c r="C95" s="15" t="n">
        <f aca="false">Data!D95+Data!E95+Data!F95+Data!G95+Data!H95+Data!I95+Data!J95+Data!K95+Data!L95+Data!M95+Data!N95+Data!O95+Data!P95+Data!Q95+Data!R95+Data!S95</f>
        <v>2311572</v>
      </c>
      <c r="D95" s="16" t="n">
        <f aca="false">Data!D95+Data!E95+Data!G95+Data!H95+Data!I95+Data!J95+Data!K95+Data!L95+Data!M95</f>
        <v>1369876</v>
      </c>
      <c r="E95" s="16" t="n">
        <f aca="false">Data!D95</f>
        <v>458935</v>
      </c>
      <c r="F95" s="16" t="n">
        <f aca="false">Data!E95</f>
        <v>296672</v>
      </c>
      <c r="G95" s="16" t="n">
        <f aca="false">Data!K95</f>
        <v>136135</v>
      </c>
      <c r="H95" s="16" t="n">
        <f aca="false">Data!L95</f>
        <v>74280</v>
      </c>
      <c r="I95" s="16" t="n">
        <f aca="false">Data!G95</f>
        <v>218207</v>
      </c>
      <c r="J95" s="16" t="n">
        <f aca="false">Data!H95+Data!I95+Data!J95+Data!M95</f>
        <v>185647</v>
      </c>
      <c r="K95" s="16" t="n">
        <f aca="false">Data!F95</f>
        <v>679249</v>
      </c>
      <c r="L95" s="16" t="n">
        <f aca="false">Data!N95+Data!O95+Data!P95+Data!Q95+Data!R95+Data!S95</f>
        <v>262447</v>
      </c>
      <c r="M95" s="15" t="n">
        <f aca="false">Data!T95+Data!U95+Data!V95+Data!W95+Data!X95+Data!Y95+Data!Z95+Data!AA95+Data!AB95+Data!AC95+Data!AD95+Data!AE95+Data!AF95+Data!AG95+Data!AH95+Data!AI95+Data!AJ95+Data!AK95+Data!AL95</f>
        <v>2559223</v>
      </c>
      <c r="N95" s="16" t="n">
        <f aca="false">Data!T95+Data!U95+Data!V95+Data!W95</f>
        <v>1027163</v>
      </c>
      <c r="O95" s="16" t="n">
        <f aca="false">Data!T95</f>
        <v>740038</v>
      </c>
      <c r="P95" s="16" t="n">
        <f aca="false">Data!U95</f>
        <v>99547</v>
      </c>
      <c r="Q95" s="16" t="n">
        <f aca="false">Data!V95</f>
        <v>78034</v>
      </c>
      <c r="R95" s="16" t="n">
        <f aca="false">Data!W95</f>
        <v>109544</v>
      </c>
      <c r="S95" s="16" t="n">
        <f aca="false">Data!X95</f>
        <v>262558</v>
      </c>
      <c r="T95" s="16" t="n">
        <f aca="false">Data!Y95+Data!Z95+Data!AA95</f>
        <v>431099</v>
      </c>
      <c r="U95" s="16" t="n">
        <f aca="false">Data!Y95</f>
        <v>359338</v>
      </c>
      <c r="V95" s="16" t="n">
        <f aca="false">Data!Z95</f>
        <v>69212</v>
      </c>
      <c r="W95" s="16" t="n">
        <f aca="false">Data!AB95</f>
        <v>292076</v>
      </c>
      <c r="X95" s="16" t="n">
        <f aca="false">Data!AC95</f>
        <v>91886</v>
      </c>
      <c r="Y95" s="16" t="n">
        <f aca="false">Data!AD95+Data!AE95+Data!AF95+Data!AG95+Data!AH95</f>
        <v>69274</v>
      </c>
      <c r="Z95" s="16" t="n">
        <f aca="false">Data!AI95</f>
        <v>80782</v>
      </c>
      <c r="AA95" s="16" t="n">
        <f aca="false">Data!AJ95</f>
        <v>0</v>
      </c>
      <c r="AB95" s="16" t="n">
        <f aca="false">Data!AK95</f>
        <v>62420</v>
      </c>
      <c r="AC95" s="16" t="n">
        <f aca="false">Data!AL95</f>
        <v>241965</v>
      </c>
      <c r="AD95" s="15" t="n">
        <f aca="false">Data!AM95</f>
        <v>-247651</v>
      </c>
      <c r="AE95" s="16" t="n">
        <f aca="false">Data!AN95</f>
        <v>383421</v>
      </c>
      <c r="AF95" s="15" t="n">
        <f aca="false">Data!AO95</f>
        <v>-631072</v>
      </c>
    </row>
    <row r="96" customFormat="false" ht="15" hidden="false" customHeight="false" outlineLevel="0" collapsed="false">
      <c r="B96" s="14" t="str">
        <f aca="false">Data!B96</f>
        <v>2023-06</v>
      </c>
      <c r="C96" s="15" t="n">
        <f aca="false">Data!D96+Data!E96+Data!F96+Data!G96+Data!H96+Data!I96+Data!J96+Data!K96+Data!L96+Data!M96+Data!N96+Data!O96+Data!P96+Data!Q96+Data!R96+Data!S96</f>
        <v>2584205</v>
      </c>
      <c r="D96" s="16" t="n">
        <f aca="false">Data!D96+Data!E96+Data!G96+Data!H96+Data!I96+Data!J96+Data!K96+Data!L96+Data!M96</f>
        <v>1642529</v>
      </c>
      <c r="E96" s="16" t="n">
        <f aca="false">Data!D96</f>
        <v>526656</v>
      </c>
      <c r="F96" s="16" t="n">
        <f aca="false">Data!E96</f>
        <v>301933</v>
      </c>
      <c r="G96" s="16" t="n">
        <f aca="false">Data!K96</f>
        <v>212391</v>
      </c>
      <c r="H96" s="16" t="n">
        <f aca="false">Data!L96</f>
        <v>85035</v>
      </c>
      <c r="I96" s="16" t="n">
        <f aca="false">Data!G96</f>
        <v>230570</v>
      </c>
      <c r="J96" s="16" t="n">
        <f aca="false">Data!H96+Data!I96+Data!J96+Data!M96</f>
        <v>285944</v>
      </c>
      <c r="K96" s="16" t="n">
        <f aca="false">Data!F96</f>
        <v>691526</v>
      </c>
      <c r="L96" s="16" t="n">
        <f aca="false">Data!N96+Data!O96+Data!P96+Data!Q96+Data!R96+Data!S96</f>
        <v>250150</v>
      </c>
      <c r="M96" s="15" t="n">
        <f aca="false">Data!T96+Data!U96+Data!V96+Data!W96+Data!X96+Data!Y96+Data!Z96+Data!AA96+Data!AB96+Data!AC96+Data!AD96+Data!AE96+Data!AF96+Data!AG96+Data!AH96+Data!AI96+Data!AJ96+Data!AK96+Data!AL96</f>
        <v>3195948</v>
      </c>
      <c r="N96" s="16" t="n">
        <f aca="false">Data!T96+Data!U96+Data!V96+Data!W96</f>
        <v>1608049</v>
      </c>
      <c r="O96" s="16" t="n">
        <f aca="false">Data!T96</f>
        <v>1253896</v>
      </c>
      <c r="P96" s="16" t="n">
        <f aca="false">Data!U96</f>
        <v>127626</v>
      </c>
      <c r="Q96" s="16" t="n">
        <f aca="false">Data!V96</f>
        <v>112650</v>
      </c>
      <c r="R96" s="16" t="n">
        <f aca="false">Data!W96</f>
        <v>113877</v>
      </c>
      <c r="S96" s="16" t="n">
        <f aca="false">Data!X96</f>
        <v>253295</v>
      </c>
      <c r="T96" s="16" t="n">
        <f aca="false">Data!Y96+Data!Z96+Data!AA96</f>
        <v>427002</v>
      </c>
      <c r="U96" s="16" t="n">
        <f aca="false">Data!Y96</f>
        <v>341941</v>
      </c>
      <c r="V96" s="16" t="n">
        <f aca="false">Data!Z96</f>
        <v>81611</v>
      </c>
      <c r="W96" s="16" t="n">
        <f aca="false">Data!AB96</f>
        <v>344141</v>
      </c>
      <c r="X96" s="16" t="n">
        <f aca="false">Data!AC96</f>
        <v>100215</v>
      </c>
      <c r="Y96" s="16" t="n">
        <f aca="false">Data!AD96+Data!AE96+Data!AF96+Data!AG96+Data!AH96</f>
        <v>81091</v>
      </c>
      <c r="Z96" s="16" t="n">
        <f aca="false">Data!AI96</f>
        <v>90859</v>
      </c>
      <c r="AA96" s="16" t="n">
        <f aca="false">Data!AJ96</f>
        <v>0</v>
      </c>
      <c r="AB96" s="16" t="n">
        <f aca="false">Data!AK96</f>
        <v>37198</v>
      </c>
      <c r="AC96" s="16" t="n">
        <f aca="false">Data!AL96</f>
        <v>254098</v>
      </c>
      <c r="AD96" s="15" t="n">
        <f aca="false">Data!AM96</f>
        <v>-611743</v>
      </c>
      <c r="AE96" s="16" t="n">
        <f aca="false">Data!AN96</f>
        <v>96861</v>
      </c>
      <c r="AF96" s="15" t="n">
        <f aca="false">Data!AO96</f>
        <v>-708603</v>
      </c>
    </row>
    <row r="97" customFormat="false" ht="15" hidden="false" customHeight="false" outlineLevel="0" collapsed="false">
      <c r="B97" s="14" t="str">
        <f aca="false">Data!B97</f>
        <v>2023-07</v>
      </c>
      <c r="C97" s="15" t="n">
        <f aca="false">Data!D97+Data!E97+Data!F97+Data!G97+Data!H97+Data!I97+Data!J97+Data!K97+Data!L97+Data!M97+Data!N97+Data!O97+Data!P97+Data!Q97+Data!R97+Data!S97</f>
        <v>2701718</v>
      </c>
      <c r="D97" s="16" t="n">
        <f aca="false">Data!D97+Data!E97+Data!G97+Data!H97+Data!I97+Data!J97+Data!K97+Data!L97+Data!M97</f>
        <v>1406823</v>
      </c>
      <c r="E97" s="16" t="n">
        <f aca="false">Data!D97</f>
        <v>531174</v>
      </c>
      <c r="F97" s="16" t="n">
        <f aca="false">Data!E97</f>
        <v>255183</v>
      </c>
      <c r="G97" s="16" t="n">
        <f aca="false">Data!K97</f>
        <v>60901</v>
      </c>
      <c r="H97" s="16" t="n">
        <f aca="false">Data!L97</f>
        <v>84650</v>
      </c>
      <c r="I97" s="16" t="n">
        <f aca="false">Data!G97</f>
        <v>251846</v>
      </c>
      <c r="J97" s="16" t="n">
        <f aca="false">Data!H97+Data!I97+Data!J97+Data!M97</f>
        <v>223069</v>
      </c>
      <c r="K97" s="16" t="n">
        <f aca="false">Data!F97</f>
        <v>1005257</v>
      </c>
      <c r="L97" s="16" t="n">
        <f aca="false">Data!N97+Data!O97+Data!P97+Data!Q97+Data!R97+Data!S97</f>
        <v>289638</v>
      </c>
      <c r="M97" s="15" t="n">
        <f aca="false">Data!T97+Data!U97+Data!V97+Data!W97+Data!X97+Data!Y97+Data!Z97+Data!AA97+Data!AB97+Data!AC97+Data!AD97+Data!AE97+Data!AF97+Data!AG97+Data!AH97+Data!AI97+Data!AJ97+Data!AK97+Data!AL97</f>
        <v>3036084</v>
      </c>
      <c r="N97" s="16" t="n">
        <f aca="false">Data!T97+Data!U97+Data!V97+Data!W97</f>
        <v>1232608</v>
      </c>
      <c r="O97" s="16" t="n">
        <f aca="false">Data!T97</f>
        <v>888753</v>
      </c>
      <c r="P97" s="16" t="n">
        <f aca="false">Data!U97</f>
        <v>141074</v>
      </c>
      <c r="Q97" s="16" t="n">
        <f aca="false">Data!V97</f>
        <v>81502</v>
      </c>
      <c r="R97" s="16" t="n">
        <f aca="false">Data!W97</f>
        <v>121279</v>
      </c>
      <c r="S97" s="16" t="n">
        <f aca="false">Data!X97</f>
        <v>300998</v>
      </c>
      <c r="T97" s="16" t="n">
        <f aca="false">Data!Y97+Data!Z97+Data!AA97</f>
        <v>350724</v>
      </c>
      <c r="U97" s="16" t="n">
        <f aca="false">Data!Y97</f>
        <v>262688</v>
      </c>
      <c r="V97" s="16" t="n">
        <f aca="false">Data!Z97</f>
        <v>82821</v>
      </c>
      <c r="W97" s="16" t="n">
        <f aca="false">Data!AB97</f>
        <v>485467</v>
      </c>
      <c r="X97" s="16" t="n">
        <f aca="false">Data!AC97</f>
        <v>110854</v>
      </c>
      <c r="Y97" s="16" t="n">
        <f aca="false">Data!AD97+Data!AE97+Data!AF97+Data!AG97+Data!AH97</f>
        <v>94885</v>
      </c>
      <c r="Z97" s="16" t="n">
        <f aca="false">Data!AI97</f>
        <v>132187</v>
      </c>
      <c r="AA97" s="16" t="n">
        <f aca="false">Data!AJ97</f>
        <v>0</v>
      </c>
      <c r="AB97" s="16" t="n">
        <f aca="false">Data!AK97</f>
        <v>65659</v>
      </c>
      <c r="AC97" s="16" t="n">
        <f aca="false">Data!AL97</f>
        <v>262702</v>
      </c>
      <c r="AD97" s="15" t="n">
        <f aca="false">Data!AM97</f>
        <v>-334366</v>
      </c>
      <c r="AE97" s="16" t="n">
        <f aca="false">Data!AN97</f>
        <v>419877</v>
      </c>
      <c r="AF97" s="15" t="n">
        <f aca="false">Data!AO97</f>
        <v>-754243</v>
      </c>
    </row>
    <row r="98" customFormat="false" ht="15" hidden="false" customHeight="false" outlineLevel="0" collapsed="false">
      <c r="B98" s="14" t="str">
        <f aca="false">Data!B98</f>
        <v>2023-08</v>
      </c>
      <c r="C98" s="15" t="n">
        <f aca="false">Data!D98+Data!E98+Data!F98+Data!G98+Data!H98+Data!I98+Data!J98+Data!K98+Data!L98+Data!M98+Data!N98+Data!O98+Data!P98+Data!Q98+Data!R98+Data!S98</f>
        <v>3018390</v>
      </c>
      <c r="D98" s="16" t="n">
        <f aca="false">Data!D98+Data!E98+Data!G98+Data!H98+Data!I98+Data!J98+Data!K98+Data!L98+Data!M98</f>
        <v>1870735</v>
      </c>
      <c r="E98" s="16" t="n">
        <f aca="false">Data!D98</f>
        <v>621791</v>
      </c>
      <c r="F98" s="16" t="n">
        <f aca="false">Data!E98</f>
        <v>318429</v>
      </c>
      <c r="G98" s="16" t="n">
        <f aca="false">Data!K98</f>
        <v>103949</v>
      </c>
      <c r="H98" s="16" t="n">
        <f aca="false">Data!L98</f>
        <v>115081</v>
      </c>
      <c r="I98" s="16" t="n">
        <f aca="false">Data!G98</f>
        <v>272482</v>
      </c>
      <c r="J98" s="16" t="n">
        <f aca="false">Data!H98+Data!I98+Data!J98+Data!M98</f>
        <v>439003</v>
      </c>
      <c r="K98" s="16" t="n">
        <f aca="false">Data!F98</f>
        <v>845798</v>
      </c>
      <c r="L98" s="16" t="n">
        <f aca="false">Data!N98+Data!O98+Data!P98+Data!Q98+Data!R98+Data!S98</f>
        <v>301857</v>
      </c>
      <c r="M98" s="15" t="n">
        <f aca="false">Data!T98+Data!U98+Data!V98+Data!W98+Data!X98+Data!Y98+Data!Z98+Data!AA98+Data!AB98+Data!AC98+Data!AD98+Data!AE98+Data!AF98+Data!AG98+Data!AH98+Data!AI98+Data!AJ98+Data!AK98+Data!AL98</f>
        <v>3055354</v>
      </c>
      <c r="N98" s="16" t="n">
        <f aca="false">Data!T98+Data!U98+Data!V98+Data!W98</f>
        <v>1302985</v>
      </c>
      <c r="O98" s="16" t="n">
        <f aca="false">Data!T98</f>
        <v>950295</v>
      </c>
      <c r="P98" s="16" t="n">
        <f aca="false">Data!U98</f>
        <v>120785</v>
      </c>
      <c r="Q98" s="16" t="n">
        <f aca="false">Data!V98</f>
        <v>86761</v>
      </c>
      <c r="R98" s="16" t="n">
        <f aca="false">Data!W98</f>
        <v>145144</v>
      </c>
      <c r="S98" s="16" t="n">
        <f aca="false">Data!X98</f>
        <v>315664</v>
      </c>
      <c r="T98" s="16" t="n">
        <f aca="false">Data!Y98+Data!Z98+Data!AA98</f>
        <v>391538</v>
      </c>
      <c r="U98" s="16" t="n">
        <f aca="false">Data!Y98</f>
        <v>320529</v>
      </c>
      <c r="V98" s="16" t="n">
        <f aca="false">Data!Z98</f>
        <v>65509</v>
      </c>
      <c r="W98" s="16" t="n">
        <f aca="false">Data!AB98</f>
        <v>396352</v>
      </c>
      <c r="X98" s="16" t="n">
        <f aca="false">Data!AC98</f>
        <v>136456</v>
      </c>
      <c r="Y98" s="16" t="n">
        <f aca="false">Data!AD98+Data!AE98+Data!AF98+Data!AG98+Data!AH98</f>
        <v>114437</v>
      </c>
      <c r="Z98" s="16" t="n">
        <f aca="false">Data!AI98</f>
        <v>100808</v>
      </c>
      <c r="AA98" s="16" t="n">
        <f aca="false">Data!AJ98</f>
        <v>0</v>
      </c>
      <c r="AB98" s="16" t="n">
        <f aca="false">Data!AK98</f>
        <v>31362</v>
      </c>
      <c r="AC98" s="16" t="n">
        <f aca="false">Data!AL98</f>
        <v>265752</v>
      </c>
      <c r="AD98" s="15" t="n">
        <f aca="false">Data!AM98</f>
        <v>-36964</v>
      </c>
      <c r="AE98" s="16" t="n">
        <f aca="false">Data!AN98</f>
        <v>347540</v>
      </c>
      <c r="AF98" s="15" t="n">
        <f aca="false">Data!AO98</f>
        <v>-384504</v>
      </c>
    </row>
    <row r="99" customFormat="false" ht="15" hidden="false" customHeight="false" outlineLevel="0" collapsed="false">
      <c r="B99" s="14" t="str">
        <f aca="false">Data!B99</f>
        <v>2023-09</v>
      </c>
      <c r="C99" s="15" t="n">
        <f aca="false">Data!D99+Data!E99+Data!F99+Data!G99+Data!H99+Data!I99+Data!J99+Data!K99+Data!L99+Data!M99+Data!N99+Data!O99+Data!P99+Data!Q99+Data!R99+Data!S99</f>
        <v>3209898</v>
      </c>
      <c r="D99" s="16" t="n">
        <f aca="false">Data!D99+Data!E99+Data!G99+Data!H99+Data!I99+Data!J99+Data!K99+Data!L99+Data!M99</f>
        <v>1999780</v>
      </c>
      <c r="E99" s="16" t="n">
        <f aca="false">Data!D99</f>
        <v>735389</v>
      </c>
      <c r="F99" s="16" t="n">
        <f aca="false">Data!E99</f>
        <v>295605</v>
      </c>
      <c r="G99" s="16" t="n">
        <f aca="false">Data!K99</f>
        <v>111110</v>
      </c>
      <c r="H99" s="16" t="n">
        <f aca="false">Data!L99</f>
        <v>124862</v>
      </c>
      <c r="I99" s="16" t="n">
        <f aca="false">Data!G99</f>
        <v>310176</v>
      </c>
      <c r="J99" s="16" t="n">
        <f aca="false">Data!H99+Data!I99+Data!J99+Data!M99</f>
        <v>422638</v>
      </c>
      <c r="K99" s="16" t="n">
        <f aca="false">Data!F99</f>
        <v>862117</v>
      </c>
      <c r="L99" s="16" t="n">
        <f aca="false">Data!N99+Data!O99+Data!P99+Data!Q99+Data!R99+Data!S99</f>
        <v>348001</v>
      </c>
      <c r="M99" s="15" t="n">
        <f aca="false">Data!T99+Data!U99+Data!V99+Data!W99+Data!X99+Data!Y99+Data!Z99+Data!AA99+Data!AB99+Data!AC99+Data!AD99+Data!AE99+Data!AF99+Data!AG99+Data!AH99+Data!AI99+Data!AJ99+Data!AK99+Data!AL99</f>
        <v>3590371</v>
      </c>
      <c r="N99" s="16" t="n">
        <f aca="false">Data!T99+Data!U99+Data!V99+Data!W99</f>
        <v>1540011</v>
      </c>
      <c r="O99" s="16" t="n">
        <f aca="false">Data!T99</f>
        <v>1085558</v>
      </c>
      <c r="P99" s="16" t="n">
        <f aca="false">Data!U99</f>
        <v>154497</v>
      </c>
      <c r="Q99" s="16" t="n">
        <f aca="false">Data!V99</f>
        <v>100447</v>
      </c>
      <c r="R99" s="16" t="n">
        <f aca="false">Data!W99</f>
        <v>199509</v>
      </c>
      <c r="S99" s="16" t="n">
        <f aca="false">Data!X99</f>
        <v>423466</v>
      </c>
      <c r="T99" s="16" t="n">
        <f aca="false">Data!Y99+Data!Z99+Data!AA99</f>
        <v>265462</v>
      </c>
      <c r="U99" s="16" t="n">
        <f aca="false">Data!Y99</f>
        <v>177660</v>
      </c>
      <c r="V99" s="16" t="n">
        <f aca="false">Data!Z99</f>
        <v>81118</v>
      </c>
      <c r="W99" s="16" t="n">
        <f aca="false">Data!AB99</f>
        <v>437156</v>
      </c>
      <c r="X99" s="16" t="n">
        <f aca="false">Data!AC99</f>
        <v>127052</v>
      </c>
      <c r="Y99" s="16" t="n">
        <f aca="false">Data!AD99+Data!AE99+Data!AF99+Data!AG99+Data!AH99</f>
        <v>200055</v>
      </c>
      <c r="Z99" s="16" t="n">
        <f aca="false">Data!AI99</f>
        <v>112123</v>
      </c>
      <c r="AA99" s="16" t="n">
        <f aca="false">Data!AJ99</f>
        <v>0</v>
      </c>
      <c r="AB99" s="16" t="n">
        <f aca="false">Data!AK99</f>
        <v>107678</v>
      </c>
      <c r="AC99" s="16" t="n">
        <f aca="false">Data!AL99</f>
        <v>377368</v>
      </c>
      <c r="AD99" s="15" t="n">
        <f aca="false">Data!AM99</f>
        <v>-380473</v>
      </c>
      <c r="AE99" s="16" t="n">
        <f aca="false">Data!AN99</f>
        <v>131059</v>
      </c>
      <c r="AF99" s="15" t="n">
        <f aca="false">Data!AO99</f>
        <v>-511533</v>
      </c>
    </row>
    <row r="100" customFormat="false" ht="15" hidden="false" customHeight="false" outlineLevel="0" collapsed="false">
      <c r="B100" s="14" t="str">
        <f aca="false">Data!B100</f>
        <v>2023-10</v>
      </c>
      <c r="C100" s="15" t="n">
        <f aca="false">Data!D100+Data!E100+Data!F100+Data!G100+Data!H100+Data!I100+Data!J100+Data!K100+Data!L100+Data!M100+Data!N100+Data!O100+Data!P100+Data!Q100+Data!R100+Data!S100</f>
        <v>3494621</v>
      </c>
      <c r="D100" s="16" t="n">
        <f aca="false">Data!D100+Data!E100+Data!G100+Data!H100+Data!I100+Data!J100+Data!K100+Data!L100+Data!M100</f>
        <v>2170340</v>
      </c>
      <c r="E100" s="16" t="n">
        <f aca="false">Data!D100</f>
        <v>682696</v>
      </c>
      <c r="F100" s="16" t="n">
        <f aca="false">Data!E100</f>
        <v>354062</v>
      </c>
      <c r="G100" s="16" t="n">
        <f aca="false">Data!K100</f>
        <v>172674</v>
      </c>
      <c r="H100" s="16" t="n">
        <f aca="false">Data!L100</f>
        <v>131505</v>
      </c>
      <c r="I100" s="16" t="n">
        <f aca="false">Data!G100</f>
        <v>346858</v>
      </c>
      <c r="J100" s="16" t="n">
        <f aca="false">Data!H100+Data!I100+Data!J100+Data!M100</f>
        <v>482545</v>
      </c>
      <c r="K100" s="16" t="n">
        <f aca="false">Data!F100</f>
        <v>910489</v>
      </c>
      <c r="L100" s="16" t="n">
        <f aca="false">Data!N100+Data!O100+Data!P100+Data!Q100+Data!R100+Data!S100</f>
        <v>413792</v>
      </c>
      <c r="M100" s="15" t="n">
        <f aca="false">Data!T100+Data!U100+Data!V100+Data!W100+Data!X100+Data!Y100+Data!Z100+Data!AA100+Data!AB100+Data!AC100+Data!AD100+Data!AE100+Data!AF100+Data!AG100+Data!AH100+Data!AI100+Data!AJ100+Data!AK100+Data!AL100</f>
        <v>3824959</v>
      </c>
      <c r="N100" s="16" t="n">
        <f aca="false">Data!T100+Data!U100+Data!V100+Data!W100</f>
        <v>1627594</v>
      </c>
      <c r="O100" s="16" t="n">
        <f aca="false">Data!T100</f>
        <v>1132768</v>
      </c>
      <c r="P100" s="16" t="n">
        <f aca="false">Data!U100</f>
        <v>149866</v>
      </c>
      <c r="Q100" s="16" t="n">
        <f aca="false">Data!V100</f>
        <v>101394</v>
      </c>
      <c r="R100" s="16" t="n">
        <f aca="false">Data!W100</f>
        <v>243566</v>
      </c>
      <c r="S100" s="16" t="n">
        <f aca="false">Data!X100</f>
        <v>583290</v>
      </c>
      <c r="T100" s="16" t="n">
        <f aca="false">Data!Y100+Data!Z100+Data!AA100</f>
        <v>326850</v>
      </c>
      <c r="U100" s="16" t="n">
        <f aca="false">Data!Y100</f>
        <v>220134</v>
      </c>
      <c r="V100" s="16" t="n">
        <f aca="false">Data!Z100</f>
        <v>89967</v>
      </c>
      <c r="W100" s="16" t="n">
        <f aca="false">Data!AB100</f>
        <v>480500</v>
      </c>
      <c r="X100" s="16" t="n">
        <f aca="false">Data!AC100</f>
        <v>143077</v>
      </c>
      <c r="Y100" s="16" t="n">
        <f aca="false">Data!AD100+Data!AE100+Data!AF100+Data!AG100+Data!AH100</f>
        <v>155536</v>
      </c>
      <c r="Z100" s="16" t="n">
        <f aca="false">Data!AI100</f>
        <v>118297</v>
      </c>
      <c r="AA100" s="16" t="n">
        <f aca="false">Data!AJ100</f>
        <v>0</v>
      </c>
      <c r="AB100" s="16" t="n">
        <f aca="false">Data!AK100</f>
        <v>91074</v>
      </c>
      <c r="AC100" s="16" t="n">
        <f aca="false">Data!AL100</f>
        <v>298741</v>
      </c>
      <c r="AD100" s="15" t="n">
        <f aca="false">Data!AM100</f>
        <v>-330338</v>
      </c>
      <c r="AE100" s="16" t="n">
        <f aca="false">Data!AN100</f>
        <v>123911</v>
      </c>
      <c r="AF100" s="15" t="n">
        <f aca="false">Data!AO100</f>
        <v>-454249</v>
      </c>
    </row>
    <row r="101" customFormat="false" ht="15" hidden="false" customHeight="false" outlineLevel="0" collapsed="false">
      <c r="B101" s="14" t="str">
        <f aca="false">Data!B101</f>
        <v>2023-11</v>
      </c>
      <c r="C101" s="15" t="n">
        <f aca="false">Data!D101+Data!E101+Data!F101+Data!G101+Data!H101+Data!I101+Data!J101+Data!K101+Data!L101+Data!M101+Data!N101+Data!O101+Data!P101+Data!Q101+Data!R101+Data!S101</f>
        <v>3885960</v>
      </c>
      <c r="D101" s="16" t="n">
        <f aca="false">Data!D101+Data!E101+Data!G101+Data!H101+Data!I101+Data!J101+Data!K101+Data!L101+Data!M101</f>
        <v>2106955</v>
      </c>
      <c r="E101" s="16" t="n">
        <f aca="false">Data!D101</f>
        <v>758863</v>
      </c>
      <c r="F101" s="16" t="n">
        <f aca="false">Data!E101</f>
        <v>340876</v>
      </c>
      <c r="G101" s="16" t="n">
        <f aca="false">Data!K101</f>
        <v>96797</v>
      </c>
      <c r="H101" s="16" t="n">
        <f aca="false">Data!L101</f>
        <v>116813</v>
      </c>
      <c r="I101" s="16" t="n">
        <f aca="false">Data!G101</f>
        <v>375202</v>
      </c>
      <c r="J101" s="16" t="n">
        <f aca="false">Data!H101+Data!I101+Data!J101+Data!M101</f>
        <v>418404</v>
      </c>
      <c r="K101" s="16" t="n">
        <f aca="false">Data!F101</f>
        <v>1059420</v>
      </c>
      <c r="L101" s="16" t="n">
        <f aca="false">Data!N101+Data!O101+Data!P101+Data!Q101+Data!R101+Data!S101</f>
        <v>719585</v>
      </c>
      <c r="M101" s="15" t="n">
        <f aca="false">Data!T101+Data!U101+Data!V101+Data!W101+Data!X101+Data!Y101+Data!Z101+Data!AA101+Data!AB101+Data!AC101+Data!AD101+Data!AE101+Data!AF101+Data!AG101+Data!AH101+Data!AI101+Data!AJ101+Data!AK101+Data!AL101</f>
        <v>4096444</v>
      </c>
      <c r="N101" s="16" t="n">
        <f aca="false">Data!T101+Data!U101+Data!V101+Data!W101</f>
        <v>1690201</v>
      </c>
      <c r="O101" s="16" t="n">
        <f aca="false">Data!T101</f>
        <v>1163769</v>
      </c>
      <c r="P101" s="16" t="n">
        <f aca="false">Data!U101</f>
        <v>145729</v>
      </c>
      <c r="Q101" s="16" t="n">
        <f aca="false">Data!V101</f>
        <v>117786</v>
      </c>
      <c r="R101" s="16" t="n">
        <f aca="false">Data!W101</f>
        <v>262917</v>
      </c>
      <c r="S101" s="16" t="n">
        <f aca="false">Data!X101</f>
        <v>626666</v>
      </c>
      <c r="T101" s="16" t="n">
        <f aca="false">Data!Y101+Data!Z101+Data!AA101</f>
        <v>269869</v>
      </c>
      <c r="U101" s="16" t="n">
        <f aca="false">Data!Y101</f>
        <v>137828</v>
      </c>
      <c r="V101" s="16" t="n">
        <f aca="false">Data!Z101</f>
        <v>114765</v>
      </c>
      <c r="W101" s="16" t="n">
        <f aca="false">Data!AB101</f>
        <v>542297</v>
      </c>
      <c r="X101" s="16" t="n">
        <f aca="false">Data!AC101</f>
        <v>137287</v>
      </c>
      <c r="Y101" s="16" t="n">
        <f aca="false">Data!AD101+Data!AE101+Data!AF101+Data!AG101+Data!AH101</f>
        <v>197993</v>
      </c>
      <c r="Z101" s="16" t="n">
        <f aca="false">Data!AI101</f>
        <v>158878</v>
      </c>
      <c r="AA101" s="16" t="n">
        <f aca="false">Data!AJ101</f>
        <v>0</v>
      </c>
      <c r="AB101" s="16" t="n">
        <f aca="false">Data!AK101</f>
        <v>90534</v>
      </c>
      <c r="AC101" s="16" t="n">
        <f aca="false">Data!AL101</f>
        <v>382719</v>
      </c>
      <c r="AD101" s="15" t="n">
        <f aca="false">Data!AM101</f>
        <v>-210484</v>
      </c>
      <c r="AE101" s="16" t="n">
        <f aca="false">Data!AN101</f>
        <v>544472</v>
      </c>
      <c r="AF101" s="15" t="n">
        <f aca="false">Data!AO101</f>
        <v>-754956</v>
      </c>
    </row>
    <row r="102" customFormat="false" ht="15" hidden="false" customHeight="false" outlineLevel="0" collapsed="false">
      <c r="B102" s="14" t="str">
        <f aca="false">Data!B102</f>
        <v>2023-12</v>
      </c>
      <c r="C102" s="15" t="n">
        <f aca="false">Data!D102+Data!E102+Data!F102+Data!G102+Data!H102+Data!I102+Data!J102+Data!K102+Data!L102+Data!M102+Data!N102+Data!O102+Data!P102+Data!Q102+Data!R102+Data!S102</f>
        <v>4227124</v>
      </c>
      <c r="D102" s="16" t="n">
        <f aca="false">Data!D102+Data!E102+Data!G102+Data!H102+Data!I102+Data!J102+Data!K102+Data!L102+Data!M102</f>
        <v>2578599</v>
      </c>
      <c r="E102" s="16" t="n">
        <f aca="false">Data!D102</f>
        <v>899361</v>
      </c>
      <c r="F102" s="16" t="n">
        <f aca="false">Data!E102</f>
        <v>282669</v>
      </c>
      <c r="G102" s="16" t="n">
        <f aca="false">Data!K102</f>
        <v>382499</v>
      </c>
      <c r="H102" s="16" t="n">
        <f aca="false">Data!L102</f>
        <v>145653</v>
      </c>
      <c r="I102" s="16" t="n">
        <f aca="false">Data!G102</f>
        <v>340825</v>
      </c>
      <c r="J102" s="16" t="n">
        <f aca="false">Data!H102+Data!I102+Data!J102+Data!M102</f>
        <v>527592</v>
      </c>
      <c r="K102" s="16" t="n">
        <f aca="false">Data!F102</f>
        <v>1169987</v>
      </c>
      <c r="L102" s="16" t="n">
        <f aca="false">Data!N102+Data!O102+Data!P102+Data!Q102+Data!R102+Data!S102</f>
        <v>478538</v>
      </c>
      <c r="M102" s="15" t="n">
        <f aca="false">Data!T102+Data!U102+Data!V102+Data!W102+Data!X102+Data!Y102+Data!Z102+Data!AA102+Data!AB102+Data!AC102+Data!AD102+Data!AE102+Data!AF102+Data!AG102+Data!AH102+Data!AI102+Data!AJ102+Data!AK102+Data!AL102</f>
        <v>6218440</v>
      </c>
      <c r="N102" s="16" t="n">
        <f aca="false">Data!T102+Data!U102+Data!V102+Data!W102</f>
        <v>2549797</v>
      </c>
      <c r="O102" s="16" t="n">
        <f aca="false">Data!T102</f>
        <v>1948979</v>
      </c>
      <c r="P102" s="16" t="n">
        <f aca="false">Data!U102</f>
        <v>188949</v>
      </c>
      <c r="Q102" s="16" t="n">
        <f aca="false">Data!V102</f>
        <v>153217</v>
      </c>
      <c r="R102" s="16" t="n">
        <f aca="false">Data!W102</f>
        <v>258652</v>
      </c>
      <c r="S102" s="16" t="n">
        <f aca="false">Data!X102</f>
        <v>556761</v>
      </c>
      <c r="T102" s="16" t="n">
        <f aca="false">Data!Y102+Data!Z102+Data!AA102</f>
        <v>702713</v>
      </c>
      <c r="U102" s="16" t="n">
        <f aca="false">Data!Y102</f>
        <v>542422</v>
      </c>
      <c r="V102" s="16" t="n">
        <f aca="false">Data!Z102</f>
        <v>134737</v>
      </c>
      <c r="W102" s="16" t="n">
        <f aca="false">Data!AB102</f>
        <v>1017616</v>
      </c>
      <c r="X102" s="16" t="n">
        <f aca="false">Data!AC102</f>
        <v>170203</v>
      </c>
      <c r="Y102" s="16" t="n">
        <f aca="false">Data!AD102+Data!AE102+Data!AF102+Data!AG102+Data!AH102</f>
        <v>295734</v>
      </c>
      <c r="Z102" s="16" t="n">
        <f aca="false">Data!AI102</f>
        <v>367510</v>
      </c>
      <c r="AA102" s="16" t="n">
        <f aca="false">Data!AJ102</f>
        <v>0</v>
      </c>
      <c r="AB102" s="16" t="n">
        <f aca="false">Data!AK102</f>
        <v>248380</v>
      </c>
      <c r="AC102" s="16" t="n">
        <f aca="false">Data!AL102</f>
        <v>309726</v>
      </c>
      <c r="AD102" s="15" t="n">
        <f aca="false">Data!AM102</f>
        <v>-1991316</v>
      </c>
      <c r="AE102" s="16" t="n">
        <f aca="false">Data!AN102</f>
        <v>409037</v>
      </c>
      <c r="AF102" s="15" t="n">
        <f aca="false">Data!AO102</f>
        <v>-2400353</v>
      </c>
    </row>
    <row r="103" customFormat="false" ht="15" hidden="false" customHeight="false" outlineLevel="0" collapsed="false">
      <c r="B103" s="14" t="str">
        <f aca="false">Data!B103</f>
        <v>2024-01</v>
      </c>
      <c r="C103" s="15" t="n">
        <f aca="false">Data!D103+Data!E103+Data!F103+Data!G103+Data!H103+Data!I103+Data!J103+Data!K103+Data!L103+Data!M103+Data!N103+Data!O103+Data!P103+Data!Q103+Data!R103+Data!S103</f>
        <v>6147232</v>
      </c>
      <c r="D103" s="16" t="n">
        <f aca="false">Data!D103+Data!E103+Data!G103+Data!H103+Data!I103+Data!J103+Data!K103+Data!L103+Data!M103</f>
        <v>3924635</v>
      </c>
      <c r="E103" s="16" t="n">
        <f aca="false">Data!D103</f>
        <v>1278108</v>
      </c>
      <c r="F103" s="16" t="n">
        <f aca="false">Data!E103</f>
        <v>369132</v>
      </c>
      <c r="G103" s="16" t="n">
        <f aca="false">Data!K103</f>
        <v>640461</v>
      </c>
      <c r="H103" s="16" t="n">
        <f aca="false">Data!L103</f>
        <v>263050</v>
      </c>
      <c r="I103" s="16" t="n">
        <f aca="false">Data!G103</f>
        <v>532937</v>
      </c>
      <c r="J103" s="16" t="n">
        <f aca="false">Data!H103+Data!I103+Data!J103+Data!M103</f>
        <v>840947</v>
      </c>
      <c r="K103" s="16" t="n">
        <f aca="false">Data!F103</f>
        <v>1731460</v>
      </c>
      <c r="L103" s="16" t="n">
        <f aca="false">Data!N103+Data!O103+Data!P103+Data!Q103+Data!R103+Data!S103</f>
        <v>491137</v>
      </c>
      <c r="M103" s="15" t="n">
        <f aca="false">Data!T103+Data!U103+Data!V103+Data!W103+Data!X103+Data!Y103+Data!Z103+Data!AA103+Data!AB103+Data!AC103+Data!AD103+Data!AE103+Data!AF103+Data!AG103+Data!AH103+Data!AI103+Data!AJ103+Data!AK103+Data!AL103</f>
        <v>4136486</v>
      </c>
      <c r="N103" s="16" t="n">
        <f aca="false">Data!T103+Data!U103+Data!V103+Data!W103</f>
        <v>2122980</v>
      </c>
      <c r="O103" s="16" t="n">
        <f aca="false">Data!T103</f>
        <v>1437651</v>
      </c>
      <c r="P103" s="16" t="n">
        <f aca="false">Data!U103</f>
        <v>257438</v>
      </c>
      <c r="Q103" s="16" t="n">
        <f aca="false">Data!V103</f>
        <v>162025</v>
      </c>
      <c r="R103" s="16" t="n">
        <f aca="false">Data!W103</f>
        <v>265866</v>
      </c>
      <c r="S103" s="16" t="n">
        <f aca="false">Data!X103</f>
        <v>547614</v>
      </c>
      <c r="T103" s="16" t="n">
        <f aca="false">Data!Y103+Data!Z103+Data!AA103</f>
        <v>254069</v>
      </c>
      <c r="U103" s="16" t="n">
        <f aca="false">Data!Y103</f>
        <v>108394</v>
      </c>
      <c r="V103" s="16" t="n">
        <f aca="false">Data!Z103</f>
        <v>140897</v>
      </c>
      <c r="W103" s="16" t="n">
        <f aca="false">Data!AB103</f>
        <v>691168</v>
      </c>
      <c r="X103" s="16" t="n">
        <f aca="false">Data!AC103</f>
        <v>170395</v>
      </c>
      <c r="Y103" s="16" t="n">
        <f aca="false">Data!AD103+Data!AE103+Data!AF103+Data!AG103+Data!AH103</f>
        <v>62130</v>
      </c>
      <c r="Z103" s="16" t="n">
        <f aca="false">Data!AI103</f>
        <v>145682</v>
      </c>
      <c r="AA103" s="16" t="n">
        <f aca="false">Data!AJ103</f>
        <v>0</v>
      </c>
      <c r="AB103" s="16" t="n">
        <f aca="false">Data!AK103</f>
        <v>65344</v>
      </c>
      <c r="AC103" s="16" t="n">
        <f aca="false">Data!AL103</f>
        <v>77104</v>
      </c>
      <c r="AD103" s="15" t="n">
        <f aca="false">Data!AM103</f>
        <v>2010746</v>
      </c>
      <c r="AE103" s="16" t="n">
        <f aca="false">Data!AN103</f>
        <v>1492338</v>
      </c>
      <c r="AF103" s="15" t="n">
        <f aca="false">Data!AO103</f>
        <v>518408</v>
      </c>
    </row>
    <row r="104" customFormat="false" ht="15" hidden="false" customHeight="false" outlineLevel="0" collapsed="false">
      <c r="B104" s="14" t="str">
        <f aca="false">Data!B104</f>
        <v>2024-02</v>
      </c>
      <c r="C104" s="15" t="n">
        <f aca="false">Data!D104+Data!E104+Data!F104+Data!G104+Data!H104+Data!I104+Data!J104+Data!K104+Data!L104+Data!M104+Data!N104+Data!O104+Data!P104+Data!Q104+Data!R104+Data!S104</f>
        <v>5535658</v>
      </c>
      <c r="D104" s="16" t="n">
        <f aca="false">Data!D104+Data!E104+Data!G104+Data!H104+Data!I104+Data!J104+Data!K104+Data!L104+Data!M104</f>
        <v>3449080</v>
      </c>
      <c r="E104" s="16" t="n">
        <f aca="false">Data!D104</f>
        <v>1260110</v>
      </c>
      <c r="F104" s="16" t="n">
        <f aca="false">Data!E104</f>
        <v>401261</v>
      </c>
      <c r="G104" s="16" t="n">
        <f aca="false">Data!K104</f>
        <v>262977</v>
      </c>
      <c r="H104" s="16" t="n">
        <f aca="false">Data!L104</f>
        <v>188037</v>
      </c>
      <c r="I104" s="16" t="n">
        <f aca="false">Data!G104</f>
        <v>560048</v>
      </c>
      <c r="J104" s="16" t="n">
        <f aca="false">Data!H104+Data!I104+Data!J104+Data!M104</f>
        <v>776647</v>
      </c>
      <c r="K104" s="16" t="n">
        <f aca="false">Data!F104</f>
        <v>1581907</v>
      </c>
      <c r="L104" s="16" t="n">
        <f aca="false">Data!N104+Data!O104+Data!P104+Data!Q104+Data!R104+Data!S104</f>
        <v>504671</v>
      </c>
      <c r="M104" s="15" t="n">
        <f aca="false">Data!T104+Data!U104+Data!V104+Data!W104+Data!X104+Data!Y104+Data!Z104+Data!AA104+Data!AB104+Data!AC104+Data!AD104+Data!AE104+Data!AF104+Data!AG104+Data!AH104+Data!AI104+Data!AJ104+Data!AK104+Data!AL104</f>
        <v>4303133</v>
      </c>
      <c r="N104" s="16" t="n">
        <f aca="false">Data!T104+Data!U104+Data!V104+Data!W104</f>
        <v>2081860</v>
      </c>
      <c r="O104" s="16" t="n">
        <f aca="false">Data!T104</f>
        <v>1420791</v>
      </c>
      <c r="P104" s="16" t="n">
        <f aca="false">Data!U104</f>
        <v>254718</v>
      </c>
      <c r="Q104" s="16" t="n">
        <f aca="false">Data!V104</f>
        <v>125129</v>
      </c>
      <c r="R104" s="16" t="n">
        <f aca="false">Data!W104</f>
        <v>281222</v>
      </c>
      <c r="S104" s="16" t="n">
        <f aca="false">Data!X104</f>
        <v>583898</v>
      </c>
      <c r="T104" s="16" t="n">
        <f aca="false">Data!Y104+Data!Z104+Data!AA104</f>
        <v>402159</v>
      </c>
      <c r="U104" s="16" t="n">
        <f aca="false">Data!Y104</f>
        <v>271045</v>
      </c>
      <c r="V104" s="16" t="n">
        <f aca="false">Data!Z104</f>
        <v>123598</v>
      </c>
      <c r="W104" s="16" t="n">
        <f aca="false">Data!AB104</f>
        <v>779833</v>
      </c>
      <c r="X104" s="16" t="n">
        <f aca="false">Data!AC104</f>
        <v>138137</v>
      </c>
      <c r="Y104" s="16" t="n">
        <f aca="false">Data!AD104+Data!AE104+Data!AF104+Data!AG104+Data!AH104</f>
        <v>19606</v>
      </c>
      <c r="Z104" s="16" t="n">
        <f aca="false">Data!AI104</f>
        <v>159277</v>
      </c>
      <c r="AA104" s="16" t="n">
        <f aca="false">Data!AJ104</f>
        <v>0</v>
      </c>
      <c r="AB104" s="16" t="n">
        <f aca="false">Data!AK104</f>
        <v>57783</v>
      </c>
      <c r="AC104" s="16" t="n">
        <f aca="false">Data!AL104</f>
        <v>80580</v>
      </c>
      <c r="AD104" s="15" t="n">
        <f aca="false">Data!AM104</f>
        <v>1232525</v>
      </c>
      <c r="AE104" s="16" t="n">
        <f aca="false">Data!AN104</f>
        <v>894412</v>
      </c>
      <c r="AF104" s="15" t="n">
        <f aca="false">Data!AO104</f>
        <v>338112</v>
      </c>
    </row>
    <row r="105" customFormat="false" ht="15" hidden="false" customHeight="false" outlineLevel="0" collapsed="false">
      <c r="B105" s="14" t="str">
        <f aca="false">Data!B105</f>
        <v>2024-03</v>
      </c>
      <c r="C105" s="15" t="n">
        <f aca="false">Data!D105+Data!E105+Data!F105+Data!G105+Data!H105+Data!I105+Data!J105+Data!K105+Data!L105+Data!M105+Data!N105+Data!O105+Data!P105+Data!Q105+Data!R105+Data!S105</f>
        <v>6121629</v>
      </c>
      <c r="D105" s="16" t="n">
        <f aca="false">Data!D105+Data!E105+Data!G105+Data!H105+Data!I105+Data!J105+Data!K105+Data!L105+Data!M105</f>
        <v>3737510</v>
      </c>
      <c r="E105" s="16" t="n">
        <f aca="false">Data!D105</f>
        <v>1264664</v>
      </c>
      <c r="F105" s="16" t="n">
        <f aca="false">Data!E105</f>
        <v>369759</v>
      </c>
      <c r="G105" s="16" t="n">
        <f aca="false">Data!K105</f>
        <v>313835</v>
      </c>
      <c r="H105" s="16" t="n">
        <f aca="false">Data!L105</f>
        <v>190225</v>
      </c>
      <c r="I105" s="16" t="n">
        <f aca="false">Data!G105</f>
        <v>589073</v>
      </c>
      <c r="J105" s="16" t="n">
        <f aca="false">Data!H105+Data!I105+Data!J105+Data!M105</f>
        <v>1009954</v>
      </c>
      <c r="K105" s="16" t="n">
        <f aca="false">Data!F105</f>
        <v>1779993</v>
      </c>
      <c r="L105" s="16" t="n">
        <f aca="false">Data!N105+Data!O105+Data!P105+Data!Q105+Data!R105+Data!S105</f>
        <v>604126</v>
      </c>
      <c r="M105" s="15" t="n">
        <f aca="false">Data!T105+Data!U105+Data!V105+Data!W105+Data!X105+Data!Y105+Data!Z105+Data!AA105+Data!AB105+Data!AC105+Data!AD105+Data!AE105+Data!AF105+Data!AG105+Data!AH105+Data!AI105+Data!AJ105+Data!AK105+Data!AL105</f>
        <v>5496595</v>
      </c>
      <c r="N105" s="16" t="n">
        <f aca="false">Data!T105+Data!U105+Data!V105+Data!W105</f>
        <v>2964355</v>
      </c>
      <c r="O105" s="16" t="n">
        <f aca="false">Data!T105</f>
        <v>1821020</v>
      </c>
      <c r="P105" s="16" t="n">
        <f aca="false">Data!U105</f>
        <v>681877</v>
      </c>
      <c r="Q105" s="16" t="n">
        <f aca="false">Data!V105</f>
        <v>154268</v>
      </c>
      <c r="R105" s="16" t="n">
        <f aca="false">Data!W105</f>
        <v>307190</v>
      </c>
      <c r="S105" s="16" t="n">
        <f aca="false">Data!X105</f>
        <v>680639</v>
      </c>
      <c r="T105" s="16" t="n">
        <f aca="false">Data!Y105+Data!Z105+Data!AA105</f>
        <v>440439</v>
      </c>
      <c r="U105" s="16" t="n">
        <f aca="false">Data!Y105</f>
        <v>308939</v>
      </c>
      <c r="V105" s="16" t="n">
        <f aca="false">Data!Z105</f>
        <v>104053</v>
      </c>
      <c r="W105" s="16" t="n">
        <f aca="false">Data!AB105</f>
        <v>823892</v>
      </c>
      <c r="X105" s="16" t="n">
        <f aca="false">Data!AC105</f>
        <v>178712</v>
      </c>
      <c r="Y105" s="16" t="n">
        <f aca="false">Data!AD105+Data!AE105+Data!AF105+Data!AG105+Data!AH105</f>
        <v>60885</v>
      </c>
      <c r="Z105" s="16" t="n">
        <f aca="false">Data!AI105</f>
        <v>185266</v>
      </c>
      <c r="AA105" s="16" t="n">
        <f aca="false">Data!AJ105</f>
        <v>0</v>
      </c>
      <c r="AB105" s="16" t="n">
        <f aca="false">Data!AK105</f>
        <v>74557</v>
      </c>
      <c r="AC105" s="16" t="n">
        <f aca="false">Data!AL105</f>
        <v>87850</v>
      </c>
      <c r="AD105" s="15" t="n">
        <f aca="false">Data!AM105</f>
        <v>625034</v>
      </c>
      <c r="AE105" s="16" t="n">
        <f aca="false">Data!AN105</f>
        <v>348396</v>
      </c>
      <c r="AF105" s="15" t="n">
        <f aca="false">Data!AO105</f>
        <v>276638</v>
      </c>
    </row>
    <row r="106" customFormat="false" ht="15" hidden="false" customHeight="false" outlineLevel="0" collapsed="false">
      <c r="B106" s="14" t="str">
        <f aca="false">Data!B106</f>
        <v>2024-04</v>
      </c>
      <c r="C106" s="15" t="n">
        <f aca="false">Data!D106+Data!E106+Data!F106+Data!G106+Data!H106+Data!I106+Data!J106+Data!K106+Data!L106+Data!M106+Data!N106+Data!O106+Data!P106+Data!Q106+Data!R106+Data!S106</f>
        <v>6792204</v>
      </c>
      <c r="D106" s="16" t="n">
        <f aca="false">Data!D106+Data!E106+Data!G106+Data!H106+Data!I106+Data!J106+Data!K106+Data!L106+Data!M106</f>
        <v>4023457</v>
      </c>
      <c r="E106" s="16" t="n">
        <f aca="false">Data!D106</f>
        <v>1478647</v>
      </c>
      <c r="F106" s="16" t="n">
        <f aca="false">Data!E106</f>
        <v>434520</v>
      </c>
      <c r="G106" s="16" t="n">
        <f aca="false">Data!K106</f>
        <v>309920</v>
      </c>
      <c r="H106" s="16" t="n">
        <f aca="false">Data!L106</f>
        <v>233897</v>
      </c>
      <c r="I106" s="16" t="n">
        <f aca="false">Data!G106</f>
        <v>600620</v>
      </c>
      <c r="J106" s="16" t="n">
        <f aca="false">Data!H106+Data!I106+Data!J106+Data!M106</f>
        <v>965853</v>
      </c>
      <c r="K106" s="16" t="n">
        <f aca="false">Data!F106</f>
        <v>1995518</v>
      </c>
      <c r="L106" s="16" t="n">
        <f aca="false">Data!N106+Data!O106+Data!P106+Data!Q106+Data!R106+Data!S106</f>
        <v>773229</v>
      </c>
      <c r="M106" s="15" t="n">
        <f aca="false">Data!T106+Data!U106+Data!V106+Data!W106+Data!X106+Data!Y106+Data!Z106+Data!AA106+Data!AB106+Data!AC106+Data!AD106+Data!AE106+Data!AF106+Data!AG106+Data!AH106+Data!AI106+Data!AJ106+Data!AK106+Data!AL106</f>
        <v>6527252</v>
      </c>
      <c r="N106" s="16" t="n">
        <f aca="false">Data!T106+Data!U106+Data!V106+Data!W106</f>
        <v>3011464</v>
      </c>
      <c r="O106" s="16" t="n">
        <f aca="false">Data!T106</f>
        <v>2093967</v>
      </c>
      <c r="P106" s="16" t="n">
        <f aca="false">Data!U106</f>
        <v>332273</v>
      </c>
      <c r="Q106" s="16" t="n">
        <f aca="false">Data!V106</f>
        <v>198204</v>
      </c>
      <c r="R106" s="16" t="n">
        <f aca="false">Data!W106</f>
        <v>387020</v>
      </c>
      <c r="S106" s="16" t="n">
        <f aca="false">Data!X106</f>
        <v>883620</v>
      </c>
      <c r="T106" s="16" t="n">
        <f aca="false">Data!Y106+Data!Z106+Data!AA106</f>
        <v>952583</v>
      </c>
      <c r="U106" s="16" t="n">
        <f aca="false">Data!Y106</f>
        <v>779585</v>
      </c>
      <c r="V106" s="16" t="n">
        <f aca="false">Data!Z106</f>
        <v>161158</v>
      </c>
      <c r="W106" s="16" t="n">
        <f aca="false">Data!AB106</f>
        <v>894498</v>
      </c>
      <c r="X106" s="16" t="n">
        <f aca="false">Data!AC106</f>
        <v>198821</v>
      </c>
      <c r="Y106" s="16" t="n">
        <f aca="false">Data!AD106+Data!AE106+Data!AF106+Data!AG106+Data!AH106</f>
        <v>67898</v>
      </c>
      <c r="Z106" s="16" t="n">
        <f aca="false">Data!AI106</f>
        <v>215956</v>
      </c>
      <c r="AA106" s="16" t="n">
        <f aca="false">Data!AJ106</f>
        <v>0</v>
      </c>
      <c r="AB106" s="16" t="n">
        <f aca="false">Data!AK106</f>
        <v>151561</v>
      </c>
      <c r="AC106" s="16" t="n">
        <f aca="false">Data!AL106</f>
        <v>150851</v>
      </c>
      <c r="AD106" s="15" t="n">
        <f aca="false">Data!AM106</f>
        <v>264952</v>
      </c>
      <c r="AE106" s="16" t="n">
        <f aca="false">Data!AN106</f>
        <v>247543</v>
      </c>
      <c r="AF106" s="15" t="n">
        <f aca="false">Data!AO106</f>
        <v>17409</v>
      </c>
    </row>
    <row r="107" customFormat="false" ht="15" hidden="false" customHeight="false" outlineLevel="0" collapsed="false">
      <c r="B107" s="14" t="str">
        <f aca="false">Data!B107</f>
        <v>2024-05</v>
      </c>
      <c r="C107" s="15" t="n">
        <f aca="false">Data!D107+Data!E107+Data!F107+Data!G107+Data!H107+Data!I107+Data!J107+Data!K107+Data!L107+Data!M107+Data!N107+Data!O107+Data!P107+Data!Q107+Data!R107+Data!S107</f>
        <v>9204126</v>
      </c>
      <c r="D107" s="16" t="n">
        <f aca="false">Data!D107+Data!E107+Data!G107+Data!H107+Data!I107+Data!J107+Data!K107+Data!L107+Data!M107</f>
        <v>6226729</v>
      </c>
      <c r="E107" s="16" t="n">
        <f aca="false">Data!D107</f>
        <v>1411778</v>
      </c>
      <c r="F107" s="16" t="n">
        <f aca="false">Data!E107</f>
        <v>2150039</v>
      </c>
      <c r="G107" s="16" t="n">
        <f aca="false">Data!K107</f>
        <v>741908</v>
      </c>
      <c r="H107" s="16" t="n">
        <f aca="false">Data!L107</f>
        <v>222291</v>
      </c>
      <c r="I107" s="16" t="n">
        <f aca="false">Data!G107</f>
        <v>626861</v>
      </c>
      <c r="J107" s="16" t="n">
        <f aca="false">Data!H107+Data!I107+Data!J107+Data!M107</f>
        <v>1073852</v>
      </c>
      <c r="K107" s="16" t="n">
        <f aca="false">Data!F107</f>
        <v>2259603</v>
      </c>
      <c r="L107" s="16" t="n">
        <f aca="false">Data!N107+Data!O107+Data!P107+Data!Q107+Data!R107+Data!S107</f>
        <v>717794</v>
      </c>
      <c r="M107" s="15" t="n">
        <f aca="false">Data!T107+Data!U107+Data!V107+Data!W107+Data!X107+Data!Y107+Data!Z107+Data!AA107+Data!AB107+Data!AC107+Data!AD107+Data!AE107+Data!AF107+Data!AG107+Data!AH107+Data!AI107+Data!AJ107+Data!AK107+Data!AL107</f>
        <v>6871921</v>
      </c>
      <c r="N107" s="16" t="n">
        <f aca="false">Data!T107+Data!U107+Data!V107+Data!W107</f>
        <v>3291352</v>
      </c>
      <c r="O107" s="16" t="n">
        <f aca="false">Data!T107</f>
        <v>2339383</v>
      </c>
      <c r="P107" s="16" t="n">
        <f aca="false">Data!U107</f>
        <v>323446</v>
      </c>
      <c r="Q107" s="16" t="n">
        <f aca="false">Data!V107</f>
        <v>215916</v>
      </c>
      <c r="R107" s="16" t="n">
        <f aca="false">Data!W107</f>
        <v>412607</v>
      </c>
      <c r="S107" s="16" t="n">
        <f aca="false">Data!X107</f>
        <v>708113</v>
      </c>
      <c r="T107" s="16" t="n">
        <f aca="false">Data!Y107+Data!Z107+Data!AA107</f>
        <v>1106972</v>
      </c>
      <c r="U107" s="16" t="n">
        <f aca="false">Data!Y107</f>
        <v>948107</v>
      </c>
      <c r="V107" s="16" t="n">
        <f aca="false">Data!Z107</f>
        <v>150995</v>
      </c>
      <c r="W107" s="16" t="n">
        <f aca="false">Data!AB107</f>
        <v>939207</v>
      </c>
      <c r="X107" s="16" t="n">
        <f aca="false">Data!AC107</f>
        <v>218223</v>
      </c>
      <c r="Y107" s="16" t="n">
        <f aca="false">Data!AD107+Data!AE107+Data!AF107+Data!AG107+Data!AH107</f>
        <v>67139</v>
      </c>
      <c r="Z107" s="16" t="n">
        <f aca="false">Data!AI107</f>
        <v>247512</v>
      </c>
      <c r="AA107" s="16" t="n">
        <f aca="false">Data!AJ107</f>
        <v>0</v>
      </c>
      <c r="AB107" s="16" t="n">
        <f aca="false">Data!AK107</f>
        <v>92240</v>
      </c>
      <c r="AC107" s="16" t="n">
        <f aca="false">Data!AL107</f>
        <v>201163</v>
      </c>
      <c r="AD107" s="15" t="n">
        <f aca="false">Data!AM107</f>
        <v>2332205</v>
      </c>
      <c r="AE107" s="16" t="n">
        <f aca="false">Data!AN107</f>
        <v>1148634</v>
      </c>
      <c r="AF107" s="15" t="n">
        <f aca="false">Data!AO107</f>
        <v>1183571</v>
      </c>
    </row>
    <row r="108" customFormat="false" ht="15" hidden="false" customHeight="false" outlineLevel="0" collapsed="false">
      <c r="B108" s="14" t="str">
        <f aca="false">Data!B108</f>
        <v>2024-06</v>
      </c>
      <c r="C108" s="15" t="n">
        <f aca="false">Data!D108+Data!E108+Data!F108+Data!G108+Data!H108+Data!I108+Data!J108+Data!K108+Data!L108+Data!M108+Data!N108+Data!O108+Data!P108+Data!Q108+Data!R108+Data!S108</f>
        <v>8182493</v>
      </c>
      <c r="D108" s="16" t="n">
        <f aca="false">Data!D108+Data!E108+Data!G108+Data!H108+Data!I108+Data!J108+Data!K108+Data!L108+Data!M108</f>
        <v>5300248</v>
      </c>
      <c r="E108" s="16" t="n">
        <f aca="false">Data!D108</f>
        <v>1563865</v>
      </c>
      <c r="F108" s="16" t="n">
        <f aca="false">Data!E108</f>
        <v>944915</v>
      </c>
      <c r="G108" s="16" t="n">
        <f aca="false">Data!K108</f>
        <v>444032</v>
      </c>
      <c r="H108" s="16" t="n">
        <f aca="false">Data!L108</f>
        <v>161557</v>
      </c>
      <c r="I108" s="16" t="n">
        <f aca="false">Data!G108</f>
        <v>870373</v>
      </c>
      <c r="J108" s="16" t="n">
        <f aca="false">Data!H108+Data!I108+Data!J108+Data!M108</f>
        <v>1315506</v>
      </c>
      <c r="K108" s="16" t="n">
        <f aca="false">Data!F108</f>
        <v>2324901</v>
      </c>
      <c r="L108" s="16" t="n">
        <f aca="false">Data!N108+Data!O108+Data!P108+Data!Q108+Data!R108+Data!S108</f>
        <v>557344</v>
      </c>
      <c r="M108" s="15" t="n">
        <f aca="false">Data!T108+Data!U108+Data!V108+Data!W108+Data!X108+Data!Y108+Data!Z108+Data!AA108+Data!AB108+Data!AC108+Data!AD108+Data!AE108+Data!AF108+Data!AG108+Data!AH108+Data!AI108+Data!AJ108+Data!AK108+Data!AL108</f>
        <v>7693924</v>
      </c>
      <c r="N108" s="16" t="n">
        <f aca="false">Data!T108+Data!U108+Data!V108+Data!W108</f>
        <v>5125986</v>
      </c>
      <c r="O108" s="16" t="n">
        <f aca="false">Data!T108</f>
        <v>3830359</v>
      </c>
      <c r="P108" s="16" t="n">
        <f aca="false">Data!U108</f>
        <v>467979</v>
      </c>
      <c r="Q108" s="16" t="n">
        <f aca="false">Data!V108</f>
        <v>372364</v>
      </c>
      <c r="R108" s="16" t="n">
        <f aca="false">Data!W108</f>
        <v>455284</v>
      </c>
      <c r="S108" s="16" t="n">
        <f aca="false">Data!X108</f>
        <v>497292</v>
      </c>
      <c r="T108" s="16" t="n">
        <f aca="false">Data!Y108+Data!Z108+Data!AA108</f>
        <v>409063</v>
      </c>
      <c r="U108" s="16" t="n">
        <f aca="false">Data!Y108</f>
        <v>238661</v>
      </c>
      <c r="V108" s="16" t="n">
        <f aca="false">Data!Z108</f>
        <v>154948</v>
      </c>
      <c r="W108" s="16" t="n">
        <f aca="false">Data!AB108</f>
        <v>1038443</v>
      </c>
      <c r="X108" s="16" t="n">
        <f aca="false">Data!AC108</f>
        <v>183911</v>
      </c>
      <c r="Y108" s="16" t="n">
        <f aca="false">Data!AD108+Data!AE108+Data!AF108+Data!AG108+Data!AH108</f>
        <v>83719</v>
      </c>
      <c r="Z108" s="16" t="n">
        <f aca="false">Data!AI108</f>
        <v>16566</v>
      </c>
      <c r="AA108" s="16" t="n">
        <f aca="false">Data!AJ108</f>
        <v>0</v>
      </c>
      <c r="AB108" s="16" t="n">
        <f aca="false">Data!AK108</f>
        <v>97349</v>
      </c>
      <c r="AC108" s="16" t="n">
        <f aca="false">Data!AL108</f>
        <v>241595</v>
      </c>
      <c r="AD108" s="15" t="n">
        <f aca="false">Data!AM108</f>
        <v>488569</v>
      </c>
      <c r="AE108" s="16" t="n">
        <f aca="false">Data!AN108</f>
        <v>250380</v>
      </c>
      <c r="AF108" s="15" t="n">
        <f aca="false">Data!AO108</f>
        <v>238189</v>
      </c>
    </row>
    <row r="109" customFormat="false" ht="15" hidden="false" customHeight="false" outlineLevel="0" collapsed="false">
      <c r="B109" s="14" t="str">
        <f aca="false">Data!B109</f>
        <v>2024-07</v>
      </c>
      <c r="C109" s="15" t="n">
        <f aca="false">Data!D109+Data!E109+Data!F109+Data!G109+Data!H109+Data!I109+Data!J109+Data!K109+Data!L109+Data!M109+Data!N109+Data!O109+Data!P109+Data!Q109+Data!R109+Data!S109</f>
        <v>9333749</v>
      </c>
      <c r="D109" s="16" t="n">
        <f aca="false">Data!D109+Data!E109+Data!G109+Data!H109+Data!I109+Data!J109+Data!K109+Data!L109+Data!M109</f>
        <v>5320988</v>
      </c>
      <c r="E109" s="16" t="n">
        <f aca="false">Data!D109</f>
        <v>1706989</v>
      </c>
      <c r="F109" s="16" t="n">
        <f aca="false">Data!E109</f>
        <v>690462</v>
      </c>
      <c r="G109" s="16" t="n">
        <f aca="false">Data!K109</f>
        <v>553661</v>
      </c>
      <c r="H109" s="16" t="n">
        <f aca="false">Data!L109</f>
        <v>266628</v>
      </c>
      <c r="I109" s="16" t="n">
        <f aca="false">Data!G109</f>
        <v>863209</v>
      </c>
      <c r="J109" s="16" t="n">
        <f aca="false">Data!H109+Data!I109+Data!J109+Data!M109</f>
        <v>1240039</v>
      </c>
      <c r="K109" s="16" t="n">
        <f aca="false">Data!F109</f>
        <v>3355431</v>
      </c>
      <c r="L109" s="16" t="n">
        <f aca="false">Data!N109+Data!O109+Data!P109+Data!Q109+Data!R109+Data!S109</f>
        <v>657330</v>
      </c>
      <c r="M109" s="15" t="n">
        <f aca="false">Data!T109+Data!U109+Data!V109+Data!W109+Data!X109+Data!Y109+Data!Z109+Data!AA109+Data!AB109+Data!AC109+Data!AD109+Data!AE109+Data!AF109+Data!AG109+Data!AH109+Data!AI109+Data!AJ109+Data!AK109+Data!AL109</f>
        <v>8425496</v>
      </c>
      <c r="N109" s="16" t="n">
        <f aca="false">Data!T109+Data!U109+Data!V109+Data!W109</f>
        <v>4101966</v>
      </c>
      <c r="O109" s="16" t="n">
        <f aca="false">Data!T109</f>
        <v>2746496</v>
      </c>
      <c r="P109" s="16" t="n">
        <f aca="false">Data!U109</f>
        <v>533103</v>
      </c>
      <c r="Q109" s="16" t="n">
        <f aca="false">Data!V109</f>
        <v>264276</v>
      </c>
      <c r="R109" s="16" t="n">
        <f aca="false">Data!W109</f>
        <v>558091</v>
      </c>
      <c r="S109" s="16" t="n">
        <f aca="false">Data!X109</f>
        <v>796727</v>
      </c>
      <c r="T109" s="16" t="n">
        <f aca="false">Data!Y109+Data!Z109+Data!AA109</f>
        <v>1080140</v>
      </c>
      <c r="U109" s="16" t="n">
        <f aca="false">Data!Y109</f>
        <v>833909</v>
      </c>
      <c r="V109" s="16" t="n">
        <f aca="false">Data!Z109</f>
        <v>217560</v>
      </c>
      <c r="W109" s="16" t="n">
        <f aca="false">Data!AB109</f>
        <v>1378255</v>
      </c>
      <c r="X109" s="16" t="n">
        <f aca="false">Data!AC109</f>
        <v>282430</v>
      </c>
      <c r="Y109" s="16" t="n">
        <f aca="false">Data!AD109+Data!AE109+Data!AF109+Data!AG109+Data!AH109</f>
        <v>80959</v>
      </c>
      <c r="Z109" s="16" t="n">
        <f aca="false">Data!AI109</f>
        <v>383588</v>
      </c>
      <c r="AA109" s="16" t="n">
        <f aca="false">Data!AJ109</f>
        <v>0</v>
      </c>
      <c r="AB109" s="16" t="n">
        <f aca="false">Data!AK109</f>
        <v>121653</v>
      </c>
      <c r="AC109" s="16" t="n">
        <f aca="false">Data!AL109</f>
        <v>199778</v>
      </c>
      <c r="AD109" s="15" t="n">
        <f aca="false">Data!AM109</f>
        <v>908253</v>
      </c>
      <c r="AE109" s="16" t="n">
        <f aca="false">Data!AN109</f>
        <v>1509210</v>
      </c>
      <c r="AF109" s="15" t="n">
        <f aca="false">Data!AO109</f>
        <v>-600957</v>
      </c>
    </row>
    <row r="110" customFormat="false" ht="15" hidden="false" customHeight="false" outlineLevel="0" collapsed="false">
      <c r="B110" s="14" t="str">
        <f aca="false">Data!B110</f>
        <v>2024-08</v>
      </c>
      <c r="C110" s="15" t="n">
        <f aca="false">Data!D110+Data!E110+Data!F110+Data!G110+Data!H110+Data!I110+Data!J110+Data!K110+Data!L110+Data!M110+Data!N110+Data!O110+Data!P110+Data!Q110+Data!R110+Data!S110</f>
        <v>8748467</v>
      </c>
      <c r="D110" s="16" t="n">
        <f aca="false">Data!D110+Data!E110+Data!G110+Data!H110+Data!I110+Data!J110+Data!K110+Data!L110+Data!M110</f>
        <v>5475029</v>
      </c>
      <c r="E110" s="16" t="n">
        <f aca="false">Data!D110</f>
        <v>1791169</v>
      </c>
      <c r="F110" s="16" t="n">
        <f aca="false">Data!E110</f>
        <v>770458</v>
      </c>
      <c r="G110" s="16" t="n">
        <f aca="false">Data!K110</f>
        <v>433867</v>
      </c>
      <c r="H110" s="16" t="n">
        <f aca="false">Data!L110</f>
        <v>259564</v>
      </c>
      <c r="I110" s="16" t="n">
        <f aca="false">Data!G110</f>
        <v>905096</v>
      </c>
      <c r="J110" s="16" t="n">
        <f aca="false">Data!H110+Data!I110+Data!J110+Data!M110</f>
        <v>1314875</v>
      </c>
      <c r="K110" s="16" t="n">
        <f aca="false">Data!F110</f>
        <v>2664024</v>
      </c>
      <c r="L110" s="16" t="n">
        <f aca="false">Data!N110+Data!O110+Data!P110+Data!Q110+Data!R110+Data!S110</f>
        <v>609414</v>
      </c>
      <c r="M110" s="15" t="n">
        <f aca="false">Data!T110+Data!U110+Data!V110+Data!W110+Data!X110+Data!Y110+Data!Z110+Data!AA110+Data!AB110+Data!AC110+Data!AD110+Data!AE110+Data!AF110+Data!AG110+Data!AH110+Data!AI110+Data!AJ110+Data!AK110+Data!AL110</f>
        <v>7848807</v>
      </c>
      <c r="N110" s="16" t="n">
        <f aca="false">Data!T110+Data!U110+Data!V110+Data!W110</f>
        <v>4006971</v>
      </c>
      <c r="O110" s="16" t="n">
        <f aca="false">Data!T110</f>
        <v>2843271</v>
      </c>
      <c r="P110" s="16" t="n">
        <f aca="false">Data!U110</f>
        <v>500339</v>
      </c>
      <c r="Q110" s="16" t="n">
        <f aca="false">Data!V110</f>
        <v>275261</v>
      </c>
      <c r="R110" s="16" t="n">
        <f aca="false">Data!W110</f>
        <v>388100</v>
      </c>
      <c r="S110" s="16" t="n">
        <f aca="false">Data!X110</f>
        <v>561964</v>
      </c>
      <c r="T110" s="16" t="n">
        <f aca="false">Data!Y110+Data!Z110+Data!AA110</f>
        <v>1144263</v>
      </c>
      <c r="U110" s="16" t="n">
        <f aca="false">Data!Y110</f>
        <v>870818</v>
      </c>
      <c r="V110" s="16" t="n">
        <f aca="false">Data!Z110</f>
        <v>269681</v>
      </c>
      <c r="W110" s="16" t="n">
        <f aca="false">Data!AB110</f>
        <v>1039967</v>
      </c>
      <c r="X110" s="16" t="n">
        <f aca="false">Data!AC110</f>
        <v>345722</v>
      </c>
      <c r="Y110" s="16" t="n">
        <f aca="false">Data!AD110+Data!AE110+Data!AF110+Data!AG110+Data!AH110</f>
        <v>227543</v>
      </c>
      <c r="Z110" s="16" t="n">
        <f aca="false">Data!AI110</f>
        <v>233829</v>
      </c>
      <c r="AA110" s="16" t="n">
        <f aca="false">Data!AJ110</f>
        <v>0</v>
      </c>
      <c r="AB110" s="16" t="n">
        <f aca="false">Data!AK110</f>
        <v>35629</v>
      </c>
      <c r="AC110" s="16" t="n">
        <f aca="false">Data!AL110</f>
        <v>252919</v>
      </c>
      <c r="AD110" s="15" t="n">
        <f aca="false">Data!AM110</f>
        <v>899660</v>
      </c>
      <c r="AE110" s="16" t="n">
        <f aca="false">Data!AN110</f>
        <v>896129</v>
      </c>
      <c r="AF110" s="15" t="n">
        <f aca="false">Data!AO110</f>
        <v>3530</v>
      </c>
    </row>
    <row r="111" customFormat="false" ht="15" hidden="false" customHeight="false" outlineLevel="0" collapsed="false">
      <c r="B111" s="14" t="str">
        <f aca="false">Data!B111</f>
        <v>2024-09</v>
      </c>
      <c r="C111" s="15" t="n">
        <f aca="false">Data!D111+Data!E111+Data!F111+Data!G111+Data!H111+Data!I111+Data!J111+Data!K111+Data!L111+Data!M111+Data!N111+Data!O111+Data!P111+Data!Q111+Data!R111+Data!S111</f>
        <v>9114215</v>
      </c>
      <c r="D111" s="16" t="n">
        <f aca="false">Data!D111+Data!E111+Data!G111+Data!H111+Data!I111+Data!J111+Data!K111+Data!L111+Data!M111</f>
        <v>5752807</v>
      </c>
      <c r="E111" s="16" t="n">
        <f aca="false">Data!D111</f>
        <v>1882919</v>
      </c>
      <c r="F111" s="16" t="n">
        <f aca="false">Data!E111</f>
        <v>779197</v>
      </c>
      <c r="G111" s="16" t="n">
        <f aca="false">Data!K111</f>
        <v>532561</v>
      </c>
      <c r="H111" s="16" t="n">
        <f aca="false">Data!L111</f>
        <v>282635</v>
      </c>
      <c r="I111" s="16" t="n">
        <f aca="false">Data!G111</f>
        <v>854269</v>
      </c>
      <c r="J111" s="16" t="n">
        <f aca="false">Data!H111+Data!I111+Data!J111+Data!M111</f>
        <v>1421226</v>
      </c>
      <c r="K111" s="16" t="n">
        <f aca="false">Data!F111</f>
        <v>2755434</v>
      </c>
      <c r="L111" s="16" t="n">
        <f aca="false">Data!N111+Data!O111+Data!P111+Data!Q111+Data!R111+Data!S111</f>
        <v>605974</v>
      </c>
      <c r="M111" s="15" t="n">
        <f aca="false">Data!T111+Data!U111+Data!V111+Data!W111+Data!X111+Data!Y111+Data!Z111+Data!AA111+Data!AB111+Data!AC111+Data!AD111+Data!AE111+Data!AF111+Data!AG111+Data!AH111+Data!AI111+Data!AJ111+Data!AK111+Data!AL111</f>
        <v>8297768</v>
      </c>
      <c r="N111" s="16" t="n">
        <f aca="false">Data!T111+Data!U111+Data!V111+Data!W111</f>
        <v>4379943</v>
      </c>
      <c r="O111" s="16" t="n">
        <f aca="false">Data!T111</f>
        <v>2972172</v>
      </c>
      <c r="P111" s="16" t="n">
        <f aca="false">Data!U111</f>
        <v>519178</v>
      </c>
      <c r="Q111" s="16" t="n">
        <f aca="false">Data!V111</f>
        <v>284538</v>
      </c>
      <c r="R111" s="16" t="n">
        <f aca="false">Data!W111</f>
        <v>604055</v>
      </c>
      <c r="S111" s="16" t="n">
        <f aca="false">Data!X111</f>
        <v>1003667</v>
      </c>
      <c r="T111" s="16" t="n">
        <f aca="false">Data!Y111+Data!Z111+Data!AA111</f>
        <v>711951</v>
      </c>
      <c r="U111" s="16" t="n">
        <f aca="false">Data!Y111</f>
        <v>512970</v>
      </c>
      <c r="V111" s="16" t="n">
        <f aca="false">Data!Z111</f>
        <v>177623</v>
      </c>
      <c r="W111" s="16" t="n">
        <f aca="false">Data!AB111</f>
        <v>1073546</v>
      </c>
      <c r="X111" s="16" t="n">
        <f aca="false">Data!AC111</f>
        <v>287882</v>
      </c>
      <c r="Y111" s="16" t="n">
        <f aca="false">Data!AD111+Data!AE111+Data!AF111+Data!AG111+Data!AH111</f>
        <v>176391</v>
      </c>
      <c r="Z111" s="16" t="n">
        <f aca="false">Data!AI111</f>
        <v>278185</v>
      </c>
      <c r="AA111" s="16" t="n">
        <f aca="false">Data!AJ111</f>
        <v>0</v>
      </c>
      <c r="AB111" s="16" t="n">
        <f aca="false">Data!AK111</f>
        <v>73188</v>
      </c>
      <c r="AC111" s="16" t="n">
        <f aca="false">Data!AL111</f>
        <v>313015</v>
      </c>
      <c r="AD111" s="15" t="n">
        <f aca="false">Data!AM111</f>
        <v>816447</v>
      </c>
      <c r="AE111" s="16" t="n">
        <f aca="false">Data!AN111</f>
        <v>349816</v>
      </c>
      <c r="AF111" s="15" t="n">
        <f aca="false">Data!AO111</f>
        <v>466631</v>
      </c>
    </row>
    <row r="112" customFormat="false" ht="15" hidden="false" customHeight="false" outlineLevel="0" collapsed="false">
      <c r="B112" s="14" t="str">
        <f aca="false">Data!B112</f>
        <v>2024-10</v>
      </c>
      <c r="C112" s="15" t="n">
        <f aca="false">Data!D112+Data!E112+Data!F112+Data!G112+Data!H112+Data!I112+Data!J112+Data!K112+Data!L112+Data!M112+Data!N112+Data!O112+Data!P112+Data!Q112+Data!R112+Data!S112</f>
        <v>9358313</v>
      </c>
      <c r="D112" s="16" t="n">
        <f aca="false">Data!D112+Data!E112+Data!G112+Data!H112+Data!I112+Data!J112+Data!K112+Data!L112+Data!M112</f>
        <v>5818446</v>
      </c>
      <c r="E112" s="16" t="n">
        <f aca="false">Data!D112</f>
        <v>1998867</v>
      </c>
      <c r="F112" s="16" t="n">
        <f aca="false">Data!E112</f>
        <v>763173</v>
      </c>
      <c r="G112" s="16" t="n">
        <f aca="false">Data!K112</f>
        <v>552242</v>
      </c>
      <c r="H112" s="16" t="n">
        <f aca="false">Data!L112</f>
        <v>398544</v>
      </c>
      <c r="I112" s="16" t="n">
        <f aca="false">Data!G112</f>
        <v>933109</v>
      </c>
      <c r="J112" s="16" t="n">
        <f aca="false">Data!H112+Data!I112+Data!J112+Data!M112</f>
        <v>1172511</v>
      </c>
      <c r="K112" s="16" t="n">
        <f aca="false">Data!F112</f>
        <v>2851968</v>
      </c>
      <c r="L112" s="16" t="n">
        <f aca="false">Data!N112+Data!O112+Data!P112+Data!Q112+Data!R112+Data!S112</f>
        <v>687899</v>
      </c>
      <c r="M112" s="15" t="n">
        <f aca="false">Data!T112+Data!U112+Data!V112+Data!W112+Data!X112+Data!Y112+Data!Z112+Data!AA112+Data!AB112+Data!AC112+Data!AD112+Data!AE112+Data!AF112+Data!AG112+Data!AH112+Data!AI112+Data!AJ112+Data!AK112+Data!AL112</f>
        <v>8611392</v>
      </c>
      <c r="N112" s="16" t="n">
        <f aca="false">Data!T112+Data!U112+Data!V112+Data!W112</f>
        <v>4474799</v>
      </c>
      <c r="O112" s="16" t="n">
        <f aca="false">Data!T112</f>
        <v>3058118</v>
      </c>
      <c r="P112" s="16" t="n">
        <f aca="false">Data!U112</f>
        <v>548609</v>
      </c>
      <c r="Q112" s="16" t="n">
        <f aca="false">Data!V112</f>
        <v>276367</v>
      </c>
      <c r="R112" s="16" t="n">
        <f aca="false">Data!W112</f>
        <v>591705</v>
      </c>
      <c r="S112" s="16" t="n">
        <f aca="false">Data!X112</f>
        <v>767070</v>
      </c>
      <c r="T112" s="16" t="n">
        <f aca="false">Data!Y112+Data!Z112+Data!AA112</f>
        <v>818961</v>
      </c>
      <c r="U112" s="16" t="n">
        <f aca="false">Data!Y112</f>
        <v>608493</v>
      </c>
      <c r="V112" s="16" t="n">
        <f aca="false">Data!Z112</f>
        <v>202723</v>
      </c>
      <c r="W112" s="16" t="n">
        <f aca="false">Data!AB112</f>
        <v>1161699</v>
      </c>
      <c r="X112" s="16" t="n">
        <f aca="false">Data!AC112</f>
        <v>251364</v>
      </c>
      <c r="Y112" s="16" t="n">
        <f aca="false">Data!AD112+Data!AE112+Data!AF112+Data!AG112+Data!AH112</f>
        <v>224776</v>
      </c>
      <c r="Z112" s="16" t="n">
        <f aca="false">Data!AI112</f>
        <v>604236</v>
      </c>
      <c r="AA112" s="16" t="n">
        <f aca="false">Data!AJ112</f>
        <v>0</v>
      </c>
      <c r="AB112" s="16" t="n">
        <f aca="false">Data!AK112</f>
        <v>51497</v>
      </c>
      <c r="AC112" s="16" t="n">
        <f aca="false">Data!AL112</f>
        <v>256990</v>
      </c>
      <c r="AD112" s="15" t="n">
        <f aca="false">Data!AM112</f>
        <v>746921</v>
      </c>
      <c r="AE112" s="16" t="n">
        <f aca="false">Data!AN112</f>
        <v>223523</v>
      </c>
      <c r="AF112" s="15" t="n">
        <f aca="false">Data!AO112</f>
        <v>523398</v>
      </c>
    </row>
    <row r="113" customFormat="false" ht="15" hidden="false" customHeight="false" outlineLevel="0" collapsed="false">
      <c r="B113" s="14" t="str">
        <f aca="false">Data!B113</f>
        <v>2024-11</v>
      </c>
      <c r="C113" s="15" t="n">
        <f aca="false">Data!D113+Data!E113+Data!F113+Data!G113+Data!H113+Data!I113+Data!J113+Data!K113+Data!L113+Data!M113+Data!N113+Data!O113+Data!P113+Data!Q113+Data!R113+Data!S113</f>
        <v>9609299</v>
      </c>
      <c r="D113" s="16" t="n">
        <f aca="false">Data!D113+Data!E113+Data!G113+Data!H113+Data!I113+Data!J113+Data!K113+Data!L113+Data!M113</f>
        <v>5908683</v>
      </c>
      <c r="E113" s="16" t="n">
        <f aca="false">Data!D113</f>
        <v>1944885</v>
      </c>
      <c r="F113" s="16" t="n">
        <f aca="false">Data!E113</f>
        <v>947063</v>
      </c>
      <c r="G113" s="16" t="n">
        <f aca="false">Data!K113</f>
        <v>558928</v>
      </c>
      <c r="H113" s="16" t="n">
        <f aca="false">Data!L113</f>
        <v>336294</v>
      </c>
      <c r="I113" s="16" t="n">
        <f aca="false">Data!G113</f>
        <v>984843</v>
      </c>
      <c r="J113" s="16" t="n">
        <f aca="false">Data!H113+Data!I113+Data!J113+Data!M113</f>
        <v>1136670</v>
      </c>
      <c r="K113" s="16" t="n">
        <f aca="false">Data!F113</f>
        <v>3024923</v>
      </c>
      <c r="L113" s="16" t="n">
        <f aca="false">Data!N113+Data!O113+Data!P113+Data!Q113+Data!R113+Data!S113</f>
        <v>675693</v>
      </c>
      <c r="M113" s="15" t="n">
        <f aca="false">Data!T113+Data!U113+Data!V113+Data!W113+Data!X113+Data!Y113+Data!Z113+Data!AA113+Data!AB113+Data!AC113+Data!AD113+Data!AE113+Data!AF113+Data!AG113+Data!AH113+Data!AI113+Data!AJ113+Data!AK113+Data!AL113</f>
        <v>8227754</v>
      </c>
      <c r="N113" s="16" t="n">
        <f aca="false">Data!T113+Data!U113+Data!V113+Data!W113</f>
        <v>4784640</v>
      </c>
      <c r="O113" s="16" t="n">
        <f aca="false">Data!T113</f>
        <v>3208888</v>
      </c>
      <c r="P113" s="16" t="n">
        <f aca="false">Data!U113</f>
        <v>572445</v>
      </c>
      <c r="Q113" s="16" t="n">
        <f aca="false">Data!V113</f>
        <v>296890</v>
      </c>
      <c r="R113" s="16" t="n">
        <f aca="false">Data!W113</f>
        <v>706417</v>
      </c>
      <c r="S113" s="16" t="n">
        <f aca="false">Data!X113</f>
        <v>746724</v>
      </c>
      <c r="T113" s="16" t="n">
        <f aca="false">Data!Y113+Data!Z113+Data!AA113</f>
        <v>560990</v>
      </c>
      <c r="U113" s="16" t="n">
        <f aca="false">Data!Y113</f>
        <v>346809</v>
      </c>
      <c r="V113" s="16" t="n">
        <f aca="false">Data!Z113</f>
        <v>206436</v>
      </c>
      <c r="W113" s="16" t="n">
        <f aca="false">Data!AB113</f>
        <v>1133684</v>
      </c>
      <c r="X113" s="16" t="n">
        <f aca="false">Data!AC113</f>
        <v>262818</v>
      </c>
      <c r="Y113" s="16" t="n">
        <f aca="false">Data!AD113+Data!AE113+Data!AF113+Data!AG113+Data!AH113</f>
        <v>169135</v>
      </c>
      <c r="Z113" s="16" t="n">
        <f aca="false">Data!AI113</f>
        <v>308207</v>
      </c>
      <c r="AA113" s="16" t="n">
        <f aca="false">Data!AJ113</f>
        <v>0</v>
      </c>
      <c r="AB113" s="16" t="n">
        <f aca="false">Data!AK113</f>
        <v>13415</v>
      </c>
      <c r="AC113" s="16" t="n">
        <f aca="false">Data!AL113</f>
        <v>248141</v>
      </c>
      <c r="AD113" s="15" t="n">
        <f aca="false">Data!AM113</f>
        <v>1381545</v>
      </c>
      <c r="AE113" s="16" t="n">
        <f aca="false">Data!AN113</f>
        <v>1024383</v>
      </c>
      <c r="AF113" s="15" t="n">
        <f aca="false">Data!AO113</f>
        <v>357162</v>
      </c>
    </row>
    <row r="114" customFormat="false" ht="15" hidden="false" customHeight="false" outlineLevel="0" collapsed="false">
      <c r="B114" s="14" t="str">
        <f aca="false">Data!B114</f>
        <v>2024-12</v>
      </c>
      <c r="C114" s="15" t="n">
        <f aca="false">Data!D114+Data!E114+Data!F114+Data!G114+Data!H114+Data!I114+Data!J114+Data!K114+Data!L114+Data!M114+Data!N114+Data!O114+Data!P114+Data!Q114+Data!R114+Data!S114</f>
        <v>9871119</v>
      </c>
      <c r="D114" s="16" t="n">
        <f aca="false">Data!D114+Data!E114+Data!G114+Data!H114+Data!I114+Data!J114+Data!K114+Data!L114+Data!M114</f>
        <v>5692721</v>
      </c>
      <c r="E114" s="16" t="n">
        <f aca="false">Data!D114</f>
        <v>2008557</v>
      </c>
      <c r="F114" s="16" t="n">
        <f aca="false">Data!E114</f>
        <v>900983</v>
      </c>
      <c r="G114" s="16" t="n">
        <f aca="false">Data!K114</f>
        <v>557788</v>
      </c>
      <c r="H114" s="16" t="n">
        <f aca="false">Data!L114</f>
        <v>345268</v>
      </c>
      <c r="I114" s="16" t="n">
        <f aca="false">Data!G114</f>
        <v>956680</v>
      </c>
      <c r="J114" s="16" t="n">
        <f aca="false">Data!H114+Data!I114+Data!J114+Data!M114</f>
        <v>923445</v>
      </c>
      <c r="K114" s="16" t="n">
        <f aca="false">Data!F114</f>
        <v>3119097</v>
      </c>
      <c r="L114" s="16" t="n">
        <f aca="false">Data!N114+Data!O114+Data!P114+Data!Q114+Data!R114+Data!S114</f>
        <v>1059301</v>
      </c>
      <c r="M114" s="15" t="n">
        <f aca="false">Data!T114+Data!U114+Data!V114+Data!W114+Data!X114+Data!Y114+Data!Z114+Data!AA114+Data!AB114+Data!AC114+Data!AD114+Data!AE114+Data!AF114+Data!AG114+Data!AH114+Data!AI114+Data!AJ114+Data!AK114+Data!AL114</f>
        <v>11172165</v>
      </c>
      <c r="N114" s="16" t="n">
        <f aca="false">Data!T114+Data!U114+Data!V114+Data!W114</f>
        <v>6430233</v>
      </c>
      <c r="O114" s="16" t="n">
        <f aca="false">Data!T114</f>
        <v>4882775</v>
      </c>
      <c r="P114" s="16" t="n">
        <f aca="false">Data!U114</f>
        <v>609592</v>
      </c>
      <c r="Q114" s="16" t="n">
        <f aca="false">Data!V114</f>
        <v>453040</v>
      </c>
      <c r="R114" s="16" t="n">
        <f aca="false">Data!W114</f>
        <v>484826</v>
      </c>
      <c r="S114" s="16" t="n">
        <f aca="false">Data!X114</f>
        <v>782138</v>
      </c>
      <c r="T114" s="16" t="n">
        <f aca="false">Data!Y114+Data!Z114+Data!AA114</f>
        <v>844348</v>
      </c>
      <c r="U114" s="16" t="n">
        <f aca="false">Data!Y114</f>
        <v>656333</v>
      </c>
      <c r="V114" s="16" t="n">
        <f aca="false">Data!Z114</f>
        <v>184169</v>
      </c>
      <c r="W114" s="16" t="n">
        <f aca="false">Data!AB114</f>
        <v>1634415</v>
      </c>
      <c r="X114" s="16" t="n">
        <f aca="false">Data!AC114</f>
        <v>521830</v>
      </c>
      <c r="Y114" s="16" t="n">
        <f aca="false">Data!AD114+Data!AE114+Data!AF114+Data!AG114+Data!AH114</f>
        <v>211487</v>
      </c>
      <c r="Z114" s="16" t="n">
        <f aca="false">Data!AI114</f>
        <v>473297</v>
      </c>
      <c r="AA114" s="16" t="n">
        <f aca="false">Data!AJ114</f>
        <v>0</v>
      </c>
      <c r="AB114" s="16" t="n">
        <f aca="false">Data!AK114</f>
        <v>15197</v>
      </c>
      <c r="AC114" s="16" t="n">
        <f aca="false">Data!AL114</f>
        <v>259220</v>
      </c>
      <c r="AD114" s="15" t="n">
        <f aca="false">Data!AM114</f>
        <v>-1301046</v>
      </c>
      <c r="AE114" s="16" t="n">
        <f aca="false">Data!AN114</f>
        <v>256260</v>
      </c>
      <c r="AF114" s="15" t="n">
        <f aca="false">Data!AO114</f>
        <v>-1557305</v>
      </c>
    </row>
    <row r="115" customFormat="false" ht="15" hidden="false" customHeight="false" outlineLevel="0" collapsed="false">
      <c r="B115" s="14" t="str">
        <f aca="false">Data!B115</f>
        <v>2025-01</v>
      </c>
      <c r="C115" s="15" t="n">
        <f aca="false">Data!D115+Data!E115+Data!F115+Data!G115+Data!H115+Data!I115+Data!J115+Data!K115+Data!L115+Data!M115+Data!N115+Data!O115+Data!P115+Data!Q115+Data!R115+Data!S115</f>
        <v>11100492</v>
      </c>
      <c r="D115" s="16" t="n">
        <f aca="false">Data!D115+Data!E115+Data!G115+Data!H115+Data!I115+Data!J115+Data!K115+Data!L115+Data!M115</f>
        <v>6061536</v>
      </c>
      <c r="E115" s="16" t="n">
        <f aca="false">Data!D115</f>
        <v>2453627</v>
      </c>
      <c r="F115" s="16" t="n">
        <f aca="false">Data!E115</f>
        <v>874276</v>
      </c>
      <c r="G115" s="16" t="n">
        <f aca="false">Data!K115</f>
        <v>543903</v>
      </c>
      <c r="H115" s="16" t="n">
        <f aca="false">Data!L115</f>
        <v>413646</v>
      </c>
      <c r="I115" s="16" t="n">
        <f aca="false">Data!G115</f>
        <v>1086915</v>
      </c>
      <c r="J115" s="16" t="n">
        <f aca="false">Data!H115+Data!I115+Data!J115+Data!M115</f>
        <v>689169</v>
      </c>
      <c r="K115" s="16" t="n">
        <f aca="false">Data!F115</f>
        <v>4379546</v>
      </c>
      <c r="L115" s="16" t="n">
        <f aca="false">Data!N115+Data!O115+Data!P115+Data!Q115+Data!R115+Data!S115</f>
        <v>659410</v>
      </c>
      <c r="M115" s="15" t="n">
        <f aca="false">Data!T115+Data!U115+Data!V115+Data!W115+Data!X115+Data!Y115+Data!Z115+Data!AA115+Data!AB115+Data!AC115+Data!AD115+Data!AE115+Data!AF115+Data!AG115+Data!AH115+Data!AI115+Data!AJ115+Data!AK115+Data!AL115</f>
        <v>8665627</v>
      </c>
      <c r="N115" s="16" t="n">
        <f aca="false">Data!T115+Data!U115+Data!V115+Data!W115</f>
        <v>4979383</v>
      </c>
      <c r="O115" s="16" t="n">
        <f aca="false">Data!T115</f>
        <v>3452664</v>
      </c>
      <c r="P115" s="16" t="n">
        <f aca="false">Data!U115</f>
        <v>603737</v>
      </c>
      <c r="Q115" s="16" t="n">
        <f aca="false">Data!V115</f>
        <v>309687</v>
      </c>
      <c r="R115" s="16" t="n">
        <f aca="false">Data!W115</f>
        <v>613295</v>
      </c>
      <c r="S115" s="16" t="n">
        <f aca="false">Data!X115</f>
        <v>696122</v>
      </c>
      <c r="T115" s="16" t="n">
        <f aca="false">Data!Y115+Data!Z115+Data!AA115</f>
        <v>418329</v>
      </c>
      <c r="U115" s="16" t="n">
        <f aca="false">Data!Y115</f>
        <v>213350</v>
      </c>
      <c r="V115" s="16" t="n">
        <f aca="false">Data!Z115</f>
        <v>197752</v>
      </c>
      <c r="W115" s="16" t="n">
        <f aca="false">Data!AB115</f>
        <v>1341592</v>
      </c>
      <c r="X115" s="16" t="n">
        <f aca="false">Data!AC115</f>
        <v>443075</v>
      </c>
      <c r="Y115" s="16" t="n">
        <f aca="false">Data!AD115+Data!AE115+Data!AF115+Data!AG115+Data!AH115</f>
        <v>140697</v>
      </c>
      <c r="Z115" s="16" t="n">
        <f aca="false">Data!AI115</f>
        <v>321169</v>
      </c>
      <c r="AA115" s="16" t="n">
        <f aca="false">Data!AJ115</f>
        <v>0</v>
      </c>
      <c r="AB115" s="16" t="n">
        <f aca="false">Data!AK115</f>
        <v>155592</v>
      </c>
      <c r="AC115" s="16" t="n">
        <f aca="false">Data!AL115</f>
        <v>169668</v>
      </c>
      <c r="AD115" s="15" t="n">
        <f aca="false">Data!AM115</f>
        <v>2434865</v>
      </c>
      <c r="AE115" s="16" t="n">
        <f aca="false">Data!AN115</f>
        <v>1835112</v>
      </c>
      <c r="AF115" s="15" t="n">
        <f aca="false">Data!AO115</f>
        <v>599753</v>
      </c>
    </row>
    <row r="116" customFormat="false" ht="15" hidden="false" customHeight="false" outlineLevel="0" collapsed="false">
      <c r="B116" s="14" t="str">
        <f aca="false">Data!B116</f>
        <v>2025-02</v>
      </c>
      <c r="C116" s="15" t="n">
        <f aca="false">Data!D116+Data!E116+Data!F116+Data!G116+Data!H116+Data!I116+Data!J116+Data!K116+Data!L116+Data!M116+Data!N116+Data!O116+Data!P116+Data!Q116+Data!R116+Data!S116</f>
        <v>9732769</v>
      </c>
      <c r="D116" s="16" t="n">
        <f aca="false">Data!D116+Data!E116+Data!G116+Data!H116+Data!I116+Data!J116+Data!K116+Data!L116+Data!M116</f>
        <v>5654486</v>
      </c>
      <c r="E116" s="16" t="n">
        <f aca="false">Data!D116</f>
        <v>2155451</v>
      </c>
      <c r="F116" s="16" t="n">
        <f aca="false">Data!E116</f>
        <v>889872</v>
      </c>
      <c r="G116" s="16" t="n">
        <f aca="false">Data!K116</f>
        <v>523881</v>
      </c>
      <c r="H116" s="16" t="n">
        <f aca="false">Data!L116</f>
        <v>383497</v>
      </c>
      <c r="I116" s="16" t="n">
        <f aca="false">Data!G116</f>
        <v>976646</v>
      </c>
      <c r="J116" s="16" t="n">
        <f aca="false">Data!H116+Data!I116+Data!J116+Data!M116</f>
        <v>725139</v>
      </c>
      <c r="K116" s="16" t="n">
        <f aca="false">Data!F116</f>
        <v>3480115</v>
      </c>
      <c r="L116" s="16" t="n">
        <f aca="false">Data!N116+Data!O116+Data!P116+Data!Q116+Data!R116+Data!S116</f>
        <v>598168</v>
      </c>
      <c r="M116" s="15" t="n">
        <f aca="false">Data!T116+Data!U116+Data!V116+Data!W116+Data!X116+Data!Y116+Data!Z116+Data!AA116+Data!AB116+Data!AC116+Data!AD116+Data!AE116+Data!AF116+Data!AG116+Data!AH116+Data!AI116+Data!AJ116+Data!AK116+Data!AL116</f>
        <v>8555854</v>
      </c>
      <c r="N116" s="16" t="n">
        <f aca="false">Data!T116+Data!U116+Data!V116+Data!W116</f>
        <v>5099626</v>
      </c>
      <c r="O116" s="16" t="n">
        <f aca="false">Data!T116</f>
        <v>3566775</v>
      </c>
      <c r="P116" s="16" t="n">
        <f aca="false">Data!U116</f>
        <v>615040</v>
      </c>
      <c r="Q116" s="16" t="n">
        <f aca="false">Data!V116</f>
        <v>296976</v>
      </c>
      <c r="R116" s="16" t="n">
        <f aca="false">Data!W116</f>
        <v>620835</v>
      </c>
      <c r="S116" s="16" t="n">
        <f aca="false">Data!X116</f>
        <v>734355</v>
      </c>
      <c r="T116" s="16" t="n">
        <f aca="false">Data!Y116+Data!Z116+Data!AA116</f>
        <v>425779</v>
      </c>
      <c r="U116" s="16" t="n">
        <f aca="false">Data!Y116</f>
        <v>155911</v>
      </c>
      <c r="V116" s="16" t="n">
        <f aca="false">Data!Z116</f>
        <v>264248</v>
      </c>
      <c r="W116" s="16" t="n">
        <f aca="false">Data!AB116</f>
        <v>1209045</v>
      </c>
      <c r="X116" s="16" t="n">
        <f aca="false">Data!AC116</f>
        <v>325725</v>
      </c>
      <c r="Y116" s="16" t="n">
        <f aca="false">Data!AD116+Data!AE116+Data!AF116+Data!AG116+Data!AH116</f>
        <v>143861</v>
      </c>
      <c r="Z116" s="16" t="n">
        <f aca="false">Data!AI116</f>
        <v>304755</v>
      </c>
      <c r="AA116" s="16" t="n">
        <f aca="false">Data!AJ116</f>
        <v>0</v>
      </c>
      <c r="AB116" s="16" t="n">
        <f aca="false">Data!AK116</f>
        <v>108351</v>
      </c>
      <c r="AC116" s="16" t="n">
        <f aca="false">Data!AL116</f>
        <v>204357</v>
      </c>
      <c r="AD116" s="15" t="n">
        <f aca="false">Data!AM116</f>
        <v>1176915</v>
      </c>
      <c r="AE116" s="16" t="n">
        <f aca="false">Data!AN116</f>
        <v>866189</v>
      </c>
      <c r="AF116" s="15" t="n">
        <f aca="false">Data!AO116</f>
        <v>310726</v>
      </c>
    </row>
    <row r="117" customFormat="false" ht="15" hidden="false" customHeight="false" outlineLevel="0" collapsed="false">
      <c r="B117" s="14" t="str">
        <f aca="false">Data!B117</f>
        <v>2025-03</v>
      </c>
      <c r="C117" s="15" t="n">
        <f aca="false">Data!D117+Data!E117+Data!F117+Data!G117+Data!H117+Data!I117+Data!J117+Data!K117+Data!L117+Data!M117+Data!N117+Data!O117+Data!P117+Data!Q117+Data!R117+Data!S117</f>
        <v>9476622</v>
      </c>
      <c r="D117" s="16" t="n">
        <f aca="false">Data!D117+Data!E117+Data!G117+Data!H117+Data!I117+Data!J117+Data!K117+Data!L117+Data!M117</f>
        <v>5280330</v>
      </c>
      <c r="E117" s="16" t="n">
        <f aca="false">Data!D117</f>
        <v>2015445</v>
      </c>
      <c r="F117" s="16" t="n">
        <f aca="false">Data!E117</f>
        <v>755386</v>
      </c>
      <c r="G117" s="16" t="n">
        <f aca="false">Data!K117</f>
        <v>558783</v>
      </c>
      <c r="H117" s="16" t="n">
        <f aca="false">Data!L117</f>
        <v>360962</v>
      </c>
      <c r="I117" s="16" t="n">
        <f aca="false">Data!G117</f>
        <v>924868</v>
      </c>
      <c r="J117" s="16" t="n">
        <f aca="false">Data!H117+Data!I117+Data!J117+Data!M117</f>
        <v>664886</v>
      </c>
      <c r="K117" s="16" t="n">
        <f aca="false">Data!F117</f>
        <v>3554658</v>
      </c>
      <c r="L117" s="16" t="n">
        <f aca="false">Data!N117+Data!O117+Data!P117+Data!Q117+Data!R117+Data!S117</f>
        <v>641634</v>
      </c>
      <c r="M117" s="15" t="n">
        <f aca="false">Data!T117+Data!U117+Data!V117+Data!W117+Data!X117+Data!Y117+Data!Z117+Data!AA117+Data!AB117+Data!AC117+Data!AD117+Data!AE117+Data!AF117+Data!AG117+Data!AH117+Data!AI117+Data!AJ117+Data!AK117+Data!AL117</f>
        <v>8731283</v>
      </c>
      <c r="N117" s="16" t="n">
        <f aca="false">Data!T117+Data!U117+Data!V117+Data!W117</f>
        <v>5680947</v>
      </c>
      <c r="O117" s="16" t="n">
        <f aca="false">Data!T117</f>
        <v>3642958</v>
      </c>
      <c r="P117" s="16" t="n">
        <f aca="false">Data!U117</f>
        <v>1116002</v>
      </c>
      <c r="Q117" s="16" t="n">
        <f aca="false">Data!V117</f>
        <v>302425</v>
      </c>
      <c r="R117" s="16" t="n">
        <f aca="false">Data!W117</f>
        <v>619562</v>
      </c>
      <c r="S117" s="16" t="n">
        <f aca="false">Data!X117</f>
        <v>625257</v>
      </c>
      <c r="T117" s="16" t="n">
        <f aca="false">Data!Y117+Data!Z117+Data!AA117</f>
        <v>387940</v>
      </c>
      <c r="U117" s="16" t="n">
        <f aca="false">Data!Y117</f>
        <v>145026</v>
      </c>
      <c r="V117" s="16" t="n">
        <f aca="false">Data!Z117</f>
        <v>223367</v>
      </c>
      <c r="W117" s="16" t="n">
        <f aca="false">Data!AB117</f>
        <v>1147470</v>
      </c>
      <c r="X117" s="16" t="n">
        <f aca="false">Data!AC117</f>
        <v>295388</v>
      </c>
      <c r="Y117" s="16" t="n">
        <f aca="false">Data!AD117+Data!AE117+Data!AF117+Data!AG117+Data!AH117</f>
        <v>276912</v>
      </c>
      <c r="Z117" s="16" t="n">
        <f aca="false">Data!AI117</f>
        <v>32176</v>
      </c>
      <c r="AA117" s="16" t="n">
        <f aca="false">Data!AJ117</f>
        <v>0</v>
      </c>
      <c r="AB117" s="16" t="n">
        <f aca="false">Data!AK117</f>
        <v>89958</v>
      </c>
      <c r="AC117" s="16" t="n">
        <f aca="false">Data!AL117</f>
        <v>195235</v>
      </c>
      <c r="AD117" s="15" t="n">
        <f aca="false">Data!AM117</f>
        <v>745339</v>
      </c>
      <c r="AE117" s="16" t="n">
        <f aca="false">Data!AN117</f>
        <v>346430</v>
      </c>
      <c r="AF117" s="15" t="n">
        <f aca="false">Data!AO117</f>
        <v>398909</v>
      </c>
    </row>
    <row r="118" customFormat="false" ht="15" hidden="false" customHeight="false" outlineLevel="0" collapsed="false">
      <c r="B118" s="14" t="str">
        <f aca="false">Data!B118</f>
        <v>2025-04</v>
      </c>
      <c r="C118" s="15" t="n">
        <f aca="false">Data!D118+Data!E118+Data!F118+Data!G118+Data!H118+Data!I118+Data!J118+Data!K118+Data!L118+Data!M118+Data!N118+Data!O118+Data!P118+Data!Q118+Data!R118+Data!S118</f>
        <v>10346518</v>
      </c>
      <c r="D118" s="16" t="n">
        <f aca="false">Data!D118+Data!E118+Data!G118+Data!H118+Data!I118+Data!J118+Data!K118+Data!L118+Data!M118</f>
        <v>5790339</v>
      </c>
      <c r="E118" s="16" t="n">
        <f aca="false">Data!D118</f>
        <v>2151026</v>
      </c>
      <c r="F118" s="16" t="n">
        <f aca="false">Data!E118</f>
        <v>782839</v>
      </c>
      <c r="G118" s="16" t="n">
        <f aca="false">Data!K118</f>
        <v>691637</v>
      </c>
      <c r="H118" s="16" t="n">
        <f aca="false">Data!L118</f>
        <v>417004</v>
      </c>
      <c r="I118" s="16" t="n">
        <f aca="false">Data!G118</f>
        <v>1035324</v>
      </c>
      <c r="J118" s="16" t="n">
        <f aca="false">Data!H118+Data!I118+Data!J118+Data!M118</f>
        <v>712509</v>
      </c>
      <c r="K118" s="16" t="n">
        <f aca="false">Data!F118</f>
        <v>3692211</v>
      </c>
      <c r="L118" s="16" t="n">
        <f aca="false">Data!N118+Data!O118+Data!P118+Data!Q118+Data!R118+Data!S118</f>
        <v>863968</v>
      </c>
      <c r="M118" s="15" t="n">
        <f aca="false">Data!T118+Data!U118+Data!V118+Data!W118+Data!X118+Data!Y118+Data!Z118+Data!AA118+Data!AB118+Data!AC118+Data!AD118+Data!AE118+Data!AF118+Data!AG118+Data!AH118+Data!AI118+Data!AJ118+Data!AK118+Data!AL118</f>
        <v>9500569</v>
      </c>
      <c r="N118" s="16" t="n">
        <f aca="false">Data!T118+Data!U118+Data!V118+Data!W118</f>
        <v>5358634</v>
      </c>
      <c r="O118" s="16" t="n">
        <f aca="false">Data!T118</f>
        <v>3738242</v>
      </c>
      <c r="P118" s="16" t="n">
        <f aca="false">Data!U118</f>
        <v>653163</v>
      </c>
      <c r="Q118" s="16" t="n">
        <f aca="false">Data!V118</f>
        <v>309227</v>
      </c>
      <c r="R118" s="16" t="n">
        <f aca="false">Data!W118</f>
        <v>658002</v>
      </c>
      <c r="S118" s="16" t="n">
        <f aca="false">Data!X118</f>
        <v>762493</v>
      </c>
      <c r="T118" s="16" t="n">
        <f aca="false">Data!Y118+Data!Z118+Data!AA118</f>
        <v>473256</v>
      </c>
      <c r="U118" s="16" t="n">
        <f aca="false">Data!Y118</f>
        <v>251635</v>
      </c>
      <c r="V118" s="16" t="n">
        <f aca="false">Data!Z118</f>
        <v>217793</v>
      </c>
      <c r="W118" s="16" t="n">
        <f aca="false">Data!AB118</f>
        <v>1265269</v>
      </c>
      <c r="X118" s="16" t="n">
        <f aca="false">Data!AC118</f>
        <v>452546</v>
      </c>
      <c r="Y118" s="16" t="n">
        <f aca="false">Data!AD118+Data!AE118+Data!AF118+Data!AG118+Data!AH118</f>
        <v>255319</v>
      </c>
      <c r="Z118" s="16" t="n">
        <f aca="false">Data!AI118</f>
        <v>610292</v>
      </c>
      <c r="AA118" s="16" t="n">
        <f aca="false">Data!AJ118</f>
        <v>0</v>
      </c>
      <c r="AB118" s="16" t="n">
        <f aca="false">Data!AK118</f>
        <v>134294</v>
      </c>
      <c r="AC118" s="16" t="n">
        <f aca="false">Data!AL118</f>
        <v>188466</v>
      </c>
      <c r="AD118" s="15" t="n">
        <f aca="false">Data!AM118</f>
        <v>845949</v>
      </c>
      <c r="AE118" s="16" t="n">
        <f aca="false">Data!AN118</f>
        <v>273608</v>
      </c>
      <c r="AF118" s="15" t="n">
        <f aca="false">Data!AO118</f>
        <v>572341</v>
      </c>
    </row>
    <row r="119" customFormat="false" ht="15" hidden="false" customHeight="false" outlineLevel="0" collapsed="false">
      <c r="B119" s="14" t="str">
        <f aca="false">Data!B119</f>
        <v>2025-05</v>
      </c>
      <c r="C119" s="15" t="n">
        <f aca="false">Data!D119+Data!E119+Data!F119+Data!G119+Data!H119+Data!I119+Data!J119+Data!K119+Data!L119+Data!M119+Data!N119+Data!O119+Data!P119+Data!Q119+Data!R119+Data!S119</f>
        <v>11374132</v>
      </c>
      <c r="D119" s="16" t="n">
        <f aca="false">Data!D119+Data!E119+Data!G119+Data!H119+Data!I119+Data!J119+Data!K119+Data!L119+Data!M119</f>
        <v>6691236</v>
      </c>
      <c r="E119" s="16" t="n">
        <f aca="false">Data!D119</f>
        <v>2017722</v>
      </c>
      <c r="F119" s="16" t="n">
        <f aca="false">Data!E119</f>
        <v>1721970</v>
      </c>
      <c r="G119" s="16" t="n">
        <f aca="false">Data!K119</f>
        <v>660609</v>
      </c>
      <c r="H119" s="16" t="n">
        <f aca="false">Data!L119</f>
        <v>391196</v>
      </c>
      <c r="I119" s="16" t="n">
        <f aca="false">Data!G119</f>
        <v>1105287</v>
      </c>
      <c r="J119" s="16" t="n">
        <f aca="false">Data!H119+Data!I119+Data!J119+Data!M119</f>
        <v>794452</v>
      </c>
      <c r="K119" s="16" t="n">
        <f aca="false">Data!F119</f>
        <v>3716604</v>
      </c>
      <c r="L119" s="16" t="n">
        <f aca="false">Data!N119+Data!O119+Data!P119+Data!Q119+Data!R119+Data!S119</f>
        <v>966292</v>
      </c>
      <c r="M119" s="15" t="n">
        <f aca="false">Data!T119+Data!U119+Data!V119+Data!W119+Data!X119+Data!Y119+Data!Z119+Data!AA119+Data!AB119+Data!AC119+Data!AD119+Data!AE119+Data!AF119+Data!AG119+Data!AH119+Data!AI119+Data!AJ119+Data!AK119+Data!AL119</f>
        <v>9677215</v>
      </c>
      <c r="N119" s="16" t="n">
        <f aca="false">Data!T119+Data!U119+Data!V119+Data!W119</f>
        <v>5454101</v>
      </c>
      <c r="O119" s="16" t="n">
        <f aca="false">Data!T119</f>
        <v>3896832</v>
      </c>
      <c r="P119" s="16" t="n">
        <f aca="false">Data!U119</f>
        <v>651757</v>
      </c>
      <c r="Q119" s="16" t="n">
        <f aca="false">Data!V119</f>
        <v>328110</v>
      </c>
      <c r="R119" s="16" t="n">
        <f aca="false">Data!W119</f>
        <v>577402</v>
      </c>
      <c r="S119" s="16" t="n">
        <f aca="false">Data!X119</f>
        <v>837522</v>
      </c>
      <c r="T119" s="16" t="n">
        <f aca="false">Data!Y119+Data!Z119+Data!AA119</f>
        <v>734077</v>
      </c>
      <c r="U119" s="16" t="n">
        <f aca="false">Data!Y119</f>
        <v>482306</v>
      </c>
      <c r="V119" s="16" t="n">
        <f aca="false">Data!Z119</f>
        <v>247943</v>
      </c>
      <c r="W119" s="16" t="n">
        <f aca="false">Data!AB119</f>
        <v>1275278</v>
      </c>
      <c r="X119" s="16" t="n">
        <f aca="false">Data!AC119</f>
        <v>411231</v>
      </c>
      <c r="Y119" s="16" t="n">
        <f aca="false">Data!AD119+Data!AE119+Data!AF119+Data!AG119+Data!AH119</f>
        <v>200880</v>
      </c>
      <c r="Z119" s="16" t="n">
        <f aca="false">Data!AI119</f>
        <v>328091</v>
      </c>
      <c r="AA119" s="16" t="n">
        <f aca="false">Data!AJ119</f>
        <v>0</v>
      </c>
      <c r="AB119" s="16" t="n">
        <f aca="false">Data!AK119</f>
        <v>245183</v>
      </c>
      <c r="AC119" s="16" t="n">
        <f aca="false">Data!AL119</f>
        <v>190852</v>
      </c>
      <c r="AD119" s="15" t="n">
        <f aca="false">Data!AM119</f>
        <v>1696917</v>
      </c>
      <c r="AE119" s="16" t="n">
        <f aca="false">Data!AN119</f>
        <v>1034795</v>
      </c>
      <c r="AF119" s="15" t="n">
        <f aca="false">Data!AO119</f>
        <v>662123</v>
      </c>
    </row>
    <row r="120" customFormat="false" ht="15" hidden="false" customHeight="false" outlineLevel="0" collapsed="false">
      <c r="B120" s="14" t="str">
        <f aca="false">Data!B120</f>
        <v>2025-06</v>
      </c>
      <c r="C120" s="15" t="n">
        <f aca="false">Data!D120+Data!E120+Data!F120+Data!G120+Data!H120+Data!I120+Data!J120+Data!K120+Data!L120+Data!M120+Data!N120+Data!O120+Data!P120+Data!Q120+Data!R120+Data!S120</f>
        <v>11583224</v>
      </c>
      <c r="D120" s="16" t="n">
        <f aca="false">Data!D120+Data!E120+Data!G120+Data!H120+Data!I120+Data!J120+Data!K120+Data!L120+Data!M120</f>
        <v>7171939</v>
      </c>
      <c r="E120" s="16" t="n">
        <f aca="false">Data!D120</f>
        <v>2345596</v>
      </c>
      <c r="F120" s="16" t="n">
        <f aca="false">Data!E120</f>
        <v>934666</v>
      </c>
      <c r="G120" s="16" t="n">
        <f aca="false">Data!K120</f>
        <v>1197750</v>
      </c>
      <c r="H120" s="16" t="n">
        <f aca="false">Data!L120</f>
        <v>388523</v>
      </c>
      <c r="I120" s="16" t="n">
        <f aca="false">Data!G120</f>
        <v>1054560</v>
      </c>
      <c r="J120" s="16" t="n">
        <f aca="false">Data!H120+Data!I120+Data!J120+Data!M120</f>
        <v>1250844</v>
      </c>
      <c r="K120" s="16" t="n">
        <f aca="false">Data!F120</f>
        <v>3658124</v>
      </c>
      <c r="L120" s="16" t="n">
        <f aca="false">Data!N120+Data!O120+Data!P120+Data!Q120+Data!R120+Data!S120</f>
        <v>753161</v>
      </c>
      <c r="M120" s="15" t="n">
        <f aca="false">Data!T120+Data!U120+Data!V120+Data!W120+Data!X120+Data!Y120+Data!Z120+Data!AA120+Data!AB120+Data!AC120+Data!AD120+Data!AE120+Data!AF120+Data!AG120+Data!AH120+Data!AI120+Data!AJ120+Data!AK120+Data!AL120</f>
        <v>10792691</v>
      </c>
      <c r="N120" s="16" t="n">
        <f aca="false">Data!T120+Data!U120+Data!V120+Data!W120</f>
        <v>7537284</v>
      </c>
      <c r="O120" s="16" t="n">
        <f aca="false">Data!T120</f>
        <v>5693397</v>
      </c>
      <c r="P120" s="16" t="n">
        <f aca="false">Data!U120</f>
        <v>684313</v>
      </c>
      <c r="Q120" s="16" t="n">
        <f aca="false">Data!V120</f>
        <v>502719</v>
      </c>
      <c r="R120" s="16" t="n">
        <f aca="false">Data!W120</f>
        <v>656855</v>
      </c>
      <c r="S120" s="16" t="n">
        <f aca="false">Data!X120</f>
        <v>474151</v>
      </c>
      <c r="T120" s="16" t="n">
        <f aca="false">Data!Y120+Data!Z120+Data!AA120</f>
        <v>408463</v>
      </c>
      <c r="U120" s="16" t="n">
        <f aca="false">Data!Y120</f>
        <v>237272</v>
      </c>
      <c r="V120" s="16" t="n">
        <f aca="false">Data!Z120</f>
        <v>169870</v>
      </c>
      <c r="W120" s="16" t="n">
        <f aca="false">Data!AB120</f>
        <v>1339245</v>
      </c>
      <c r="X120" s="16" t="n">
        <f aca="false">Data!AC120</f>
        <v>334791</v>
      </c>
      <c r="Y120" s="16" t="n">
        <f aca="false">Data!AD120+Data!AE120+Data!AF120+Data!AG120+Data!AH120</f>
        <v>276046</v>
      </c>
      <c r="Z120" s="16" t="n">
        <f aca="false">Data!AI120</f>
        <v>38041</v>
      </c>
      <c r="AA120" s="16" t="n">
        <f aca="false">Data!AJ120</f>
        <v>0</v>
      </c>
      <c r="AB120" s="16" t="n">
        <f aca="false">Data!AK120</f>
        <v>148460</v>
      </c>
      <c r="AC120" s="16" t="n">
        <f aca="false">Data!AL120</f>
        <v>236210</v>
      </c>
      <c r="AD120" s="15" t="n">
        <f aca="false">Data!AM120</f>
        <v>790533</v>
      </c>
      <c r="AE120" s="16" t="n">
        <f aca="false">Data!AN120</f>
        <v>239299</v>
      </c>
      <c r="AF120" s="15" t="n">
        <f aca="false">Data!AO120</f>
        <v>551234</v>
      </c>
    </row>
    <row r="121" customFormat="false" ht="15" hidden="false" customHeight="false" outlineLevel="0" collapsed="false">
      <c r="B121" s="14" t="str">
        <f aca="false">Data!B121</f>
        <v>2025-07</v>
      </c>
      <c r="C121" s="15" t="n">
        <f aca="false">Data!D121+Data!E121+Data!F121+Data!G121+Data!H121+Data!I121+Data!J121+Data!K121+Data!L121+Data!M121+Data!N121+Data!O121+Data!P121+Data!Q121+Data!R121+Data!S121</f>
        <v>13105876</v>
      </c>
      <c r="D121" s="16" t="n">
        <f aca="false">Data!D121+Data!E121+Data!G121+Data!H121+Data!I121+Data!J121+Data!K121+Data!L121+Data!M121</f>
        <v>7103534</v>
      </c>
      <c r="E121" s="16" t="n">
        <f aca="false">Data!D121</f>
        <v>2351669</v>
      </c>
      <c r="F121" s="16" t="n">
        <f aca="false">Data!E121</f>
        <v>1065336</v>
      </c>
      <c r="G121" s="16" t="n">
        <f aca="false">Data!K121</f>
        <v>1141728</v>
      </c>
      <c r="H121" s="16" t="n">
        <f aca="false">Data!L121</f>
        <v>479485</v>
      </c>
      <c r="I121" s="16" t="n">
        <f aca="false">Data!G121</f>
        <v>1276874</v>
      </c>
      <c r="J121" s="16" t="n">
        <f aca="false">Data!H121+Data!I121+Data!J121+Data!M121</f>
        <v>788442</v>
      </c>
      <c r="K121" s="16" t="n">
        <f aca="false">Data!F121</f>
        <v>5028168</v>
      </c>
      <c r="L121" s="16" t="n">
        <f aca="false">Data!N121+Data!O121+Data!P121+Data!Q121+Data!R121+Data!S121</f>
        <v>974174</v>
      </c>
      <c r="M121" s="15" t="n">
        <f aca="false">Data!T121+Data!U121+Data!V121+Data!W121+Data!X121+Data!Y121+Data!Z121+Data!AA121+Data!AB121+Data!AC121+Data!AD121+Data!AE121+Data!AF121+Data!AG121+Data!AH121+Data!AI121+Data!AJ121+Data!AK121+Data!AL121</f>
        <v>11356490</v>
      </c>
      <c r="N121" s="16" t="n">
        <f aca="false">Data!T121+Data!U121+Data!V121+Data!W121</f>
        <v>6105352</v>
      </c>
      <c r="O121" s="16" t="n">
        <f aca="false">Data!T121</f>
        <v>4370060</v>
      </c>
      <c r="P121" s="16" t="n">
        <f aca="false">Data!U121</f>
        <v>692011</v>
      </c>
      <c r="Q121" s="16" t="n">
        <f aca="false">Data!V121</f>
        <v>337316</v>
      </c>
      <c r="R121" s="16" t="n">
        <f aca="false">Data!W121</f>
        <v>705965</v>
      </c>
      <c r="S121" s="16" t="n">
        <f aca="false">Data!X121</f>
        <v>961112</v>
      </c>
      <c r="T121" s="16" t="n">
        <f aca="false">Data!Y121+Data!Z121+Data!AA121</f>
        <v>1082467</v>
      </c>
      <c r="U121" s="16" t="n">
        <f aca="false">Data!Y121</f>
        <v>817062</v>
      </c>
      <c r="V121" s="16" t="n">
        <f aca="false">Data!Z121</f>
        <v>258235</v>
      </c>
      <c r="W121" s="16" t="n">
        <f aca="false">Data!AB121</f>
        <v>1693146</v>
      </c>
      <c r="X121" s="16" t="n">
        <f aca="false">Data!AC121</f>
        <v>461852</v>
      </c>
      <c r="Y121" s="16" t="n">
        <f aca="false">Data!AD121+Data!AE121+Data!AF121+Data!AG121+Data!AH121</f>
        <v>220661</v>
      </c>
      <c r="Z121" s="16" t="n">
        <f aca="false">Data!AI121</f>
        <v>481413</v>
      </c>
      <c r="AA121" s="16" t="n">
        <f aca="false">Data!AJ121</f>
        <v>0</v>
      </c>
      <c r="AB121" s="16" t="n">
        <f aca="false">Data!AK121</f>
        <v>153279</v>
      </c>
      <c r="AC121" s="16" t="n">
        <f aca="false">Data!AL121</f>
        <v>197208</v>
      </c>
      <c r="AD121" s="15" t="n">
        <f aca="false">Data!AM121</f>
        <v>1749386</v>
      </c>
      <c r="AE121" s="16" t="n">
        <f aca="false">Data!AN121</f>
        <v>1917901</v>
      </c>
      <c r="AF121" s="15" t="n">
        <f aca="false">Data!AO121</f>
        <v>-168515</v>
      </c>
    </row>
    <row r="122" customFormat="false" ht="15" hidden="false" customHeight="false" outlineLevel="0" collapsed="false">
      <c r="B122" s="14" t="str">
        <f aca="false">Data!B122</f>
        <v>2025-08</v>
      </c>
      <c r="C122" s="15" t="n">
        <f aca="false">Data!D122+Data!E122+Data!F122+Data!G122+Data!H122+Data!I122+Data!J122+Data!K122+Data!L122+Data!M122+Data!N122+Data!O122+Data!P122+Data!Q122+Data!R122+Data!S122</f>
        <v>11366068</v>
      </c>
      <c r="D122" s="16" t="n">
        <f aca="false">Data!D122+Data!E122+Data!G122+Data!H122+Data!I122+Data!J122+Data!K122+Data!L122+Data!M122</f>
        <v>6465354</v>
      </c>
      <c r="E122" s="16" t="n">
        <f aca="false">Data!D122</f>
        <v>2408372</v>
      </c>
      <c r="F122" s="16" t="n">
        <f aca="false">Data!E122</f>
        <v>1080636</v>
      </c>
      <c r="G122" s="16" t="n">
        <f aca="false">Data!K122</f>
        <v>406574</v>
      </c>
      <c r="H122" s="16" t="n">
        <f aca="false">Data!L122</f>
        <v>470677</v>
      </c>
      <c r="I122" s="16" t="n">
        <f aca="false">Data!G122</f>
        <v>1228328</v>
      </c>
      <c r="J122" s="16" t="n">
        <f aca="false">Data!H122+Data!I122+Data!J122+Data!M122</f>
        <v>870767</v>
      </c>
      <c r="K122" s="16" t="n">
        <f aca="false">Data!F122</f>
        <v>3765603</v>
      </c>
      <c r="L122" s="16" t="n">
        <f aca="false">Data!N122+Data!O122+Data!P122+Data!Q122+Data!R122+Data!S122</f>
        <v>1135111</v>
      </c>
      <c r="M122" s="15" t="n">
        <f aca="false">Data!T122+Data!U122+Data!V122+Data!W122+Data!X122+Data!Y122+Data!Z122+Data!AA122+Data!AB122+Data!AC122+Data!AD122+Data!AE122+Data!AF122+Data!AG122+Data!AH122+Data!AI122+Data!AJ122+Data!AK122+Data!AL122</f>
        <v>9809204</v>
      </c>
      <c r="N122" s="16" t="n">
        <f aca="false">Data!T122+Data!U122+Data!V122+Data!W122</f>
        <v>5766661</v>
      </c>
      <c r="O122" s="16" t="n">
        <f aca="false">Data!T122</f>
        <v>4141616</v>
      </c>
      <c r="P122" s="16" t="n">
        <f aca="false">Data!U122</f>
        <v>688762</v>
      </c>
      <c r="Q122" s="16" t="n">
        <f aca="false">Data!V122</f>
        <v>327205</v>
      </c>
      <c r="R122" s="16" t="n">
        <f aca="false">Data!W122</f>
        <v>609078</v>
      </c>
      <c r="S122" s="16" t="n">
        <f aca="false">Data!X122</f>
        <v>515322</v>
      </c>
      <c r="T122" s="16" t="n">
        <f aca="false">Data!Y122+Data!Z122+Data!AA122</f>
        <v>929331</v>
      </c>
      <c r="U122" s="16" t="n">
        <f aca="false">Data!Y122</f>
        <v>704711</v>
      </c>
      <c r="V122" s="16" t="n">
        <f aca="false">Data!Z122</f>
        <v>217450</v>
      </c>
      <c r="W122" s="16" t="n">
        <f aca="false">Data!AB122</f>
        <v>1292966</v>
      </c>
      <c r="X122" s="16" t="n">
        <f aca="false">Data!AC122</f>
        <v>457517</v>
      </c>
      <c r="Y122" s="16" t="n">
        <f aca="false">Data!AD122+Data!AE122+Data!AF122+Data!AG122+Data!AH122</f>
        <v>148350</v>
      </c>
      <c r="Z122" s="16" t="n">
        <f aca="false">Data!AI122</f>
        <v>341231</v>
      </c>
      <c r="AA122" s="16" t="n">
        <f aca="false">Data!AJ122</f>
        <v>0</v>
      </c>
      <c r="AB122" s="16" t="n">
        <f aca="false">Data!AK122</f>
        <v>145538</v>
      </c>
      <c r="AC122" s="16" t="n">
        <f aca="false">Data!AL122</f>
        <v>212288</v>
      </c>
      <c r="AD122" s="15" t="n">
        <f aca="false">Data!AM122</f>
        <v>1556864</v>
      </c>
      <c r="AE122" s="16" t="n">
        <f aca="false">Data!AN122</f>
        <v>1166564</v>
      </c>
      <c r="AF122" s="15" t="n">
        <f aca="false">Data!AO122</f>
        <v>390301</v>
      </c>
    </row>
    <row r="123" customFormat="false" ht="15" hidden="false" customHeight="false" outlineLevel="0" collapsed="false">
      <c r="B123" s="14" t="str">
        <f aca="false">Data!B123</f>
        <v>2025-09</v>
      </c>
      <c r="C123" s="15" t="n">
        <f aca="false">Data!D123+Data!E123+Data!F123+Data!G123+Data!H123+Data!I123+Data!J123+Data!K123+Data!L123+Data!M123+Data!N123+Data!O123+Data!P123+Data!Q123+Data!R123+Data!S123</f>
        <v>11634621</v>
      </c>
      <c r="D123" s="16" t="n">
        <f aca="false">Data!D123+Data!E123+Data!G123+Data!H123+Data!I123+Data!J123+Data!K123+Data!L123+Data!M123</f>
        <v>6652673</v>
      </c>
      <c r="E123" s="16" t="n">
        <f aca="false">Data!D123</f>
        <v>2513246</v>
      </c>
      <c r="F123" s="16" t="n">
        <f aca="false">Data!E123</f>
        <v>954331</v>
      </c>
      <c r="G123" s="16" t="n">
        <f aca="false">Data!K123</f>
        <v>522190</v>
      </c>
      <c r="H123" s="16" t="n">
        <f aca="false">Data!L123</f>
        <v>581750</v>
      </c>
      <c r="I123" s="16" t="n">
        <f aca="false">Data!G123</f>
        <v>1183900</v>
      </c>
      <c r="J123" s="16" t="n">
        <f aca="false">Data!H123+Data!I123+Data!J123+Data!M123</f>
        <v>897256</v>
      </c>
      <c r="K123" s="16" t="n">
        <f aca="false">Data!F123</f>
        <v>3798285</v>
      </c>
      <c r="L123" s="16" t="n">
        <f aca="false">Data!N123+Data!O123+Data!P123+Data!Q123+Data!R123+Data!S123</f>
        <v>1183663</v>
      </c>
      <c r="M123" s="15" t="n">
        <f aca="false">Data!T123+Data!U123+Data!V123+Data!W123+Data!X123+Data!Y123+Data!Z123+Data!AA123+Data!AB123+Data!AC123+Data!AD123+Data!AE123+Data!AF123+Data!AG123+Data!AH123+Data!AI123+Data!AJ123+Data!AK123+Data!AL123</f>
        <v>10937656</v>
      </c>
      <c r="N123" s="16" t="n">
        <f aca="false">Data!T123+Data!U123+Data!V123+Data!W123</f>
        <v>6085425</v>
      </c>
      <c r="O123" s="16" t="n">
        <f aca="false">Data!T123</f>
        <v>4265341</v>
      </c>
      <c r="P123" s="16" t="n">
        <f aca="false">Data!U123</f>
        <v>818321</v>
      </c>
      <c r="Q123" s="16" t="n">
        <f aca="false">Data!V123</f>
        <v>330451</v>
      </c>
      <c r="R123" s="16" t="n">
        <f aca="false">Data!W123</f>
        <v>671312</v>
      </c>
      <c r="S123" s="16" t="n">
        <f aca="false">Data!X123</f>
        <v>965234</v>
      </c>
      <c r="T123" s="16" t="n">
        <f aca="false">Data!Y123+Data!Z123+Data!AA123</f>
        <v>969818</v>
      </c>
      <c r="U123" s="16" t="n">
        <f aca="false">Data!Y123</f>
        <v>700016</v>
      </c>
      <c r="V123" s="16" t="n">
        <f aca="false">Data!Z123</f>
        <v>259996</v>
      </c>
      <c r="W123" s="16" t="n">
        <f aca="false">Data!AB123</f>
        <v>1263291</v>
      </c>
      <c r="X123" s="16" t="n">
        <f aca="false">Data!AC123</f>
        <v>465390</v>
      </c>
      <c r="Y123" s="16" t="n">
        <f aca="false">Data!AD123+Data!AE123+Data!AF123+Data!AG123+Data!AH123</f>
        <v>147822</v>
      </c>
      <c r="Z123" s="16" t="n">
        <f aca="false">Data!AI123</f>
        <v>378302</v>
      </c>
      <c r="AA123" s="16" t="n">
        <f aca="false">Data!AJ123</f>
        <v>0</v>
      </c>
      <c r="AB123" s="16" t="n">
        <f aca="false">Data!AK123</f>
        <v>178805</v>
      </c>
      <c r="AC123" s="16" t="n">
        <f aca="false">Data!AL123</f>
        <v>483569</v>
      </c>
      <c r="AD123" s="15" t="n">
        <f aca="false">Data!AM123</f>
        <v>696965</v>
      </c>
      <c r="AE123" s="16" t="n">
        <f aca="false">Data!AN123</f>
        <v>387342</v>
      </c>
      <c r="AF123" s="15" t="n">
        <f aca="false">Data!AO123</f>
        <v>309623</v>
      </c>
    </row>
    <row r="124" customFormat="false" ht="15" hidden="false" customHeight="false" outlineLevel="0" collapsed="false">
      <c r="B124" s="14" t="str">
        <f aca="false">Data!B124</f>
        <v>2025-10</v>
      </c>
      <c r="C124" s="15" t="n">
        <f aca="false">Data!D124+Data!E124+Data!F124+Data!G124+Data!H124+Data!I124+Data!J124+Data!K124+Data!L124+Data!M124+Data!N124+Data!O124+Data!P124+Data!Q124+Data!R124+Data!S124</f>
        <v>11987193</v>
      </c>
      <c r="D124" s="16" t="n">
        <f aca="false">Data!D124+Data!E124+Data!G124+Data!H124+Data!I124+Data!J124+Data!K124+Data!L124+Data!M124</f>
        <v>6910370</v>
      </c>
      <c r="E124" s="16" t="n">
        <f aca="false">Data!D124</f>
        <v>2628353</v>
      </c>
      <c r="F124" s="16" t="n">
        <f aca="false">Data!E124</f>
        <v>1082138</v>
      </c>
      <c r="G124" s="16" t="n">
        <f aca="false">Data!K124</f>
        <v>276898</v>
      </c>
      <c r="H124" s="16" t="n">
        <f aca="false">Data!L124</f>
        <v>660480</v>
      </c>
      <c r="I124" s="16" t="n">
        <f aca="false">Data!G124</f>
        <v>1317466</v>
      </c>
      <c r="J124" s="16" t="n">
        <f aca="false">Data!H124+Data!I124+Data!J124+Data!M124</f>
        <v>945035</v>
      </c>
      <c r="K124" s="16" t="n">
        <f aca="false">Data!F124</f>
        <v>3876000</v>
      </c>
      <c r="L124" s="16" t="n">
        <f aca="false">Data!N124+Data!O124+Data!P124+Data!Q124+Data!R124+Data!S124</f>
        <v>1200823</v>
      </c>
      <c r="M124" s="15" t="n">
        <f aca="false">Data!T124+Data!U124+Data!V124+Data!W124+Data!X124+Data!Y124+Data!Z124+Data!AA124+Data!AB124+Data!AC124+Data!AD124+Data!AE124+Data!AF124+Data!AG124+Data!AH124+Data!AI124+Data!AJ124+Data!AK124+Data!AL124</f>
        <v>11163268</v>
      </c>
      <c r="N124" s="16" t="n">
        <f aca="false">Data!T124+Data!U124+Data!V124+Data!W124</f>
        <v>6148213</v>
      </c>
      <c r="O124" s="16" t="n">
        <f aca="false">Data!T124</f>
        <v>4341679</v>
      </c>
      <c r="P124" s="16" t="n">
        <f aca="false">Data!U124</f>
        <v>728476</v>
      </c>
      <c r="Q124" s="16" t="n">
        <f aca="false">Data!V124</f>
        <v>342647</v>
      </c>
      <c r="R124" s="16" t="n">
        <f aca="false">Data!W124</f>
        <v>735411</v>
      </c>
      <c r="S124" s="16" t="n">
        <f aca="false">Data!X124</f>
        <v>743157</v>
      </c>
      <c r="T124" s="16" t="n">
        <f aca="false">Data!Y124+Data!Z124+Data!AA124</f>
        <v>1041225</v>
      </c>
      <c r="U124" s="16" t="n">
        <f aca="false">Data!Y124</f>
        <v>780059</v>
      </c>
      <c r="V124" s="16" t="n">
        <f aca="false">Data!Z124</f>
        <v>257979</v>
      </c>
      <c r="W124" s="16" t="n">
        <f aca="false">Data!AB124</f>
        <v>1416199</v>
      </c>
      <c r="X124" s="16" t="n">
        <f aca="false">Data!AC124</f>
        <v>492163</v>
      </c>
      <c r="Y124" s="16" t="n">
        <f aca="false">Data!AD124+Data!AE124+Data!AF124+Data!AG124+Data!AH124</f>
        <v>207503</v>
      </c>
      <c r="Z124" s="16" t="n">
        <f aca="false">Data!AI124</f>
        <v>693269</v>
      </c>
      <c r="AA124" s="16" t="n">
        <f aca="false">Data!AJ124</f>
        <v>0</v>
      </c>
      <c r="AB124" s="16" t="n">
        <f aca="false">Data!AK124</f>
        <v>125292</v>
      </c>
      <c r="AC124" s="16" t="n">
        <f aca="false">Data!AL124</f>
        <v>296247</v>
      </c>
      <c r="AD124" s="15" t="n">
        <f aca="false">Data!AM124</f>
        <v>823925</v>
      </c>
      <c r="AE124" s="16" t="n">
        <f aca="false">Data!AN124</f>
        <v>306253</v>
      </c>
      <c r="AF124" s="15" t="n">
        <f aca="false">Data!AO124</f>
        <v>517672</v>
      </c>
    </row>
    <row r="125" customFormat="false" ht="15" hidden="false" customHeight="false" outlineLevel="0" collapsed="false">
      <c r="B125" s="14" t="str">
        <f aca="false">Data!B125</f>
        <v>2025-11</v>
      </c>
      <c r="C125" s="15" t="n">
        <f aca="false">Data!D125+Data!E125+Data!F125+Data!G125+Data!H125+Data!I125+Data!J125+Data!K125+Data!L125+Data!M125+Data!N125+Data!O125+Data!P125+Data!Q125+Data!R125+Data!S125</f>
        <v>11402651</v>
      </c>
      <c r="D125" s="16" t="n">
        <f aca="false">Data!D125+Data!E125+Data!G125+Data!H125+Data!I125+Data!J125+Data!K125+Data!L125+Data!M125</f>
        <v>6438749</v>
      </c>
      <c r="E125" s="16" t="n">
        <f aca="false">Data!D125</f>
        <v>2461208</v>
      </c>
      <c r="F125" s="16" t="n">
        <f aca="false">Data!E125</f>
        <v>1148632</v>
      </c>
      <c r="G125" s="16" t="n">
        <f aca="false">Data!K125</f>
        <v>240811</v>
      </c>
      <c r="H125" s="16" t="n">
        <f aca="false">Data!L125</f>
        <v>477262</v>
      </c>
      <c r="I125" s="16" t="n">
        <f aca="false">Data!G125</f>
        <v>1207571</v>
      </c>
      <c r="J125" s="16" t="n">
        <f aca="false">Data!H125+Data!I125+Data!J125+Data!M125</f>
        <v>903265</v>
      </c>
      <c r="K125" s="16" t="n">
        <f aca="false">Data!F125</f>
        <v>3949434</v>
      </c>
      <c r="L125" s="16" t="n">
        <f aca="false">Data!N125+Data!O125+Data!P125+Data!Q125+Data!R125+Data!S125</f>
        <v>1014468</v>
      </c>
      <c r="M125" s="15" t="n">
        <f aca="false">Data!T125+Data!U125+Data!V125+Data!W125+Data!X125+Data!Y125+Data!Z125+Data!AA125+Data!AB125+Data!AC125+Data!AD125+Data!AE125+Data!AF125+Data!AG125+Data!AH125+Data!AI125+Data!AJ125+Data!AK125+Data!AL125</f>
        <v>9274642</v>
      </c>
      <c r="N125" s="16" t="n">
        <f aca="false">Data!T125+Data!U125+Data!V125+Data!W125</f>
        <v>6054109</v>
      </c>
      <c r="O125" s="16" t="n">
        <f aca="false">Data!T125</f>
        <v>4447335</v>
      </c>
      <c r="P125" s="16" t="n">
        <f aca="false">Data!U125</f>
        <v>754741</v>
      </c>
      <c r="Q125" s="16" t="n">
        <f aca="false">Data!V125</f>
        <v>342567</v>
      </c>
      <c r="R125" s="16" t="n">
        <f aca="false">Data!W125</f>
        <v>509466</v>
      </c>
      <c r="S125" s="16" t="n">
        <f aca="false">Data!X125</f>
        <v>443071</v>
      </c>
      <c r="T125" s="16" t="n">
        <f aca="false">Data!Y125+Data!Z125+Data!AA125</f>
        <v>700226</v>
      </c>
      <c r="U125" s="16" t="n">
        <f aca="false">Data!Y125</f>
        <v>489082</v>
      </c>
      <c r="V125" s="16" t="n">
        <f aca="false">Data!Z125</f>
        <v>209343</v>
      </c>
      <c r="W125" s="16" t="n">
        <f aca="false">Data!AB125</f>
        <v>1247830</v>
      </c>
      <c r="X125" s="16" t="n">
        <f aca="false">Data!AC125</f>
        <v>309563</v>
      </c>
      <c r="Y125" s="16" t="n">
        <f aca="false">Data!AD125+Data!AE125+Data!AF125+Data!AG125+Data!AH125</f>
        <v>138976</v>
      </c>
      <c r="Z125" s="16" t="n">
        <f aca="false">Data!AI125</f>
        <v>18149</v>
      </c>
      <c r="AA125" s="16" t="n">
        <f aca="false">Data!AJ125</f>
        <v>0</v>
      </c>
      <c r="AB125" s="16" t="n">
        <f aca="false">Data!AK125</f>
        <v>142756</v>
      </c>
      <c r="AC125" s="16" t="n">
        <f aca="false">Data!AL125</f>
        <v>219962</v>
      </c>
      <c r="AD125" s="15" t="n">
        <f aca="false">Data!AM125</f>
        <v>2128009</v>
      </c>
      <c r="AE125" s="16" t="n">
        <f aca="false">Data!AN125</f>
        <v>1528056</v>
      </c>
      <c r="AF125" s="15" t="n">
        <f aca="false">Data!AO125</f>
        <v>599954</v>
      </c>
    </row>
    <row r="126" customFormat="false" ht="15" hidden="false" customHeight="false" outlineLevel="0" collapsed="false">
      <c r="B126" s="14" t="str">
        <f aca="false">Data!B126</f>
        <v>2025-12</v>
      </c>
      <c r="C126" s="15" t="n">
        <f aca="false">Data!D126+Data!E126+Data!F126+Data!G126+Data!H126+Data!I126+Data!J126+Data!K126+Data!L126+Data!M126+Data!N126+Data!O126+Data!P126+Data!Q126+Data!R126+Data!S126</f>
        <v>12068871</v>
      </c>
      <c r="D126" s="16" t="n">
        <f aca="false">Data!D126+Data!E126+Data!G126+Data!H126+Data!I126+Data!J126+Data!K126+Data!L126+Data!M126</f>
        <v>6910022</v>
      </c>
      <c r="E126" s="16" t="n">
        <f aca="false">Data!D126</f>
        <v>2531677</v>
      </c>
      <c r="F126" s="16" t="n">
        <f aca="false">Data!E126</f>
        <v>1156709</v>
      </c>
      <c r="G126" s="16" t="n">
        <f aca="false">Data!K126</f>
        <v>310655</v>
      </c>
      <c r="H126" s="16" t="n">
        <f aca="false">Data!L126</f>
        <v>494886</v>
      </c>
      <c r="I126" s="16" t="n">
        <f aca="false">Data!G126</f>
        <v>1371037</v>
      </c>
      <c r="J126" s="16" t="n">
        <f aca="false">Data!H126+Data!I126+Data!J126+Data!M126</f>
        <v>1045058</v>
      </c>
      <c r="K126" s="16" t="n">
        <f aca="false">Data!F126</f>
        <v>4089727</v>
      </c>
      <c r="L126" s="16" t="n">
        <f aca="false">Data!N126+Data!O126+Data!P126+Data!Q126+Data!R126+Data!S126</f>
        <v>1069122</v>
      </c>
      <c r="M126" s="15" t="n">
        <f aca="false">Data!T126+Data!U126+Data!V126+Data!W126+Data!X126+Data!Y126+Data!Z126+Data!AA126+Data!AB126+Data!AC126+Data!AD126+Data!AE126+Data!AF126+Data!AG126+Data!AH126+Data!AI126+Data!AJ126+Data!AK126+Data!AL126</f>
        <v>14945321</v>
      </c>
      <c r="N126" s="16" t="n">
        <f aca="false">Data!T126+Data!U126+Data!V126+Data!W126</f>
        <v>8971021</v>
      </c>
      <c r="O126" s="16" t="n">
        <f aca="false">Data!T126</f>
        <v>6753415</v>
      </c>
      <c r="P126" s="16" t="n">
        <f aca="false">Data!U126</f>
        <v>821773</v>
      </c>
      <c r="Q126" s="16" t="n">
        <f aca="false">Data!V126</f>
        <v>633496</v>
      </c>
      <c r="R126" s="16" t="n">
        <f aca="false">Data!W126</f>
        <v>762337</v>
      </c>
      <c r="S126" s="16" t="n">
        <f aca="false">Data!X126</f>
        <v>1085696</v>
      </c>
      <c r="T126" s="16" t="n">
        <f aca="false">Data!Y126+Data!Z126+Data!AA126</f>
        <v>957212</v>
      </c>
      <c r="U126" s="16" t="n">
        <f aca="false">Data!Y126</f>
        <v>735569</v>
      </c>
      <c r="V126" s="16" t="n">
        <f aca="false">Data!Z126</f>
        <v>220524</v>
      </c>
      <c r="W126" s="16" t="n">
        <f aca="false">Data!AB126</f>
        <v>1865772</v>
      </c>
      <c r="X126" s="16" t="n">
        <f aca="false">Data!AC126</f>
        <v>599760</v>
      </c>
      <c r="Y126" s="16" t="n">
        <f aca="false">Data!AD126+Data!AE126+Data!AF126+Data!AG126+Data!AH126</f>
        <v>278941</v>
      </c>
      <c r="Z126" s="16" t="n">
        <f aca="false">Data!AI126</f>
        <v>499381</v>
      </c>
      <c r="AA126" s="16" t="n">
        <f aca="false">Data!AJ126</f>
        <v>0</v>
      </c>
      <c r="AB126" s="16" t="n">
        <f aca="false">Data!AK126</f>
        <v>223226</v>
      </c>
      <c r="AC126" s="16" t="n">
        <f aca="false">Data!AL126</f>
        <v>464312</v>
      </c>
      <c r="AD126" s="15" t="n">
        <f aca="false">Data!AM126</f>
        <v>-2876450</v>
      </c>
      <c r="AE126" s="16" t="n">
        <f aca="false">Data!AN126</f>
        <v>413852</v>
      </c>
      <c r="AF126" s="15" t="n">
        <f aca="false">Data!AO126</f>
        <v>-3290302</v>
      </c>
    </row>
    <row r="127" customFormat="false" ht="15" hidden="false" customHeight="false" outlineLevel="0" collapsed="false">
      <c r="B127" s="14" t="str">
        <f aca="false">Data!B127</f>
        <v>2026-01</v>
      </c>
      <c r="C127" s="15" t="n">
        <f aca="false">Data!D127+Data!E127+Data!F127+Data!G127+Data!H127+Data!I127+Data!J127+Data!K127+Data!L127+Data!M127+Data!N127+Data!O127+Data!P127+Data!Q127+Data!R127+Data!S127</f>
        <v>14517259</v>
      </c>
      <c r="D127" s="16" t="n">
        <f aca="false">Data!D127+Data!E127+Data!G127+Data!H127+Data!I127+Data!J127+Data!K127+Data!L127+Data!M127</f>
        <v>7121520</v>
      </c>
      <c r="E127" s="16" t="n">
        <f aca="false">Data!D127</f>
        <v>2855646</v>
      </c>
      <c r="F127" s="16" t="n">
        <f aca="false">Data!E127</f>
        <v>1123551</v>
      </c>
      <c r="G127" s="16" t="n">
        <f aca="false">Data!K127</f>
        <v>427225</v>
      </c>
      <c r="H127" s="16" t="n">
        <f aca="false">Data!L127</f>
        <v>469674</v>
      </c>
      <c r="I127" s="16" t="n">
        <f aca="false">Data!G127</f>
        <v>1381393</v>
      </c>
      <c r="J127" s="16" t="n">
        <f aca="false">Data!H127+Data!I127+Data!J127+Data!M127</f>
        <v>864031</v>
      </c>
      <c r="K127" s="16" t="n">
        <f aca="false">Data!F127</f>
        <v>5576593</v>
      </c>
      <c r="L127" s="16" t="n">
        <f aca="false">Data!N127+Data!O127+Data!P127+Data!Q127+Data!R127+Data!S127</f>
        <v>1819146</v>
      </c>
      <c r="M127" s="15" t="n">
        <f aca="false">Data!T127+Data!U127+Data!V127+Data!W127+Data!X127+Data!Y127+Data!Z127+Data!AA127+Data!AB127+Data!AC127+Data!AD127+Data!AE127+Data!AF127+Data!AG127+Data!AH127+Data!AI127+Data!AJ127+Data!AK127+Data!AL127</f>
        <v>11391522</v>
      </c>
      <c r="N127" s="16" t="n">
        <f aca="false">Data!T127+Data!U127+Data!V127+Data!W127</f>
        <v>6696020</v>
      </c>
      <c r="O127" s="16" t="n">
        <f aca="false">Data!T127</f>
        <v>4699344</v>
      </c>
      <c r="P127" s="16" t="n">
        <f aca="false">Data!U127</f>
        <v>803531</v>
      </c>
      <c r="Q127" s="16" t="n">
        <f aca="false">Data!V127</f>
        <v>377726</v>
      </c>
      <c r="R127" s="16" t="n">
        <f aca="false">Data!W127</f>
        <v>815419</v>
      </c>
      <c r="S127" s="16" t="n">
        <f aca="false">Data!X127</f>
        <v>704721</v>
      </c>
      <c r="T127" s="16" t="n">
        <f aca="false">Data!Y127+Data!Z127+Data!AA127</f>
        <v>1067175</v>
      </c>
      <c r="U127" s="16" t="n">
        <f aca="false">Data!Y127</f>
        <v>822791</v>
      </c>
      <c r="V127" s="16" t="n">
        <f aca="false">Data!Z127</f>
        <v>242348</v>
      </c>
      <c r="W127" s="16" t="n">
        <f aca="false">Data!AB127</f>
        <v>1582285</v>
      </c>
      <c r="X127" s="16" t="n">
        <f aca="false">Data!AC127</f>
        <v>408028</v>
      </c>
      <c r="Y127" s="16" t="n">
        <f aca="false">Data!AD127+Data!AE127+Data!AF127+Data!AG127+Data!AH127</f>
        <v>246035</v>
      </c>
      <c r="Z127" s="16" t="n">
        <f aca="false">Data!AI127</f>
        <v>387689</v>
      </c>
      <c r="AA127" s="16" t="n">
        <f aca="false">Data!AJ127</f>
        <v>0</v>
      </c>
      <c r="AB127" s="16" t="n">
        <f aca="false">Data!AK127</f>
        <v>155696</v>
      </c>
      <c r="AC127" s="16" t="n">
        <f aca="false">Data!AL127</f>
        <v>143873</v>
      </c>
      <c r="AD127" s="15" t="n">
        <f aca="false">Data!AM127</f>
        <v>3125737</v>
      </c>
      <c r="AE127" s="16" t="n">
        <f aca="false">Data!AN127</f>
        <v>2020578</v>
      </c>
      <c r="AF127" s="15" t="n">
        <f aca="false">Data!AO127</f>
        <v>1105159</v>
      </c>
    </row>
    <row r="128" customFormat="false" ht="15" hidden="false" customHeight="false" outlineLevel="0" collapsed="false">
      <c r="B128" s="14" t="str">
        <f aca="false">Data!B128</f>
        <v>2026-02</v>
      </c>
      <c r="C128" s="15" t="n">
        <f aca="false">Data!D128+Data!E128+Data!F128+Data!G128+Data!H128+Data!I128+Data!J128+Data!K128+Data!L128+Data!M128+Data!N128+Data!O128+Data!P128+Data!Q128+Data!R128+Data!S128</f>
        <v>11793011</v>
      </c>
      <c r="D128" s="16" t="n">
        <f aca="false">Data!D128+Data!E128+Data!G128+Data!H128+Data!I128+Data!J128+Data!K128+Data!L128+Data!M128</f>
        <v>6547984</v>
      </c>
      <c r="E128" s="16" t="n">
        <f aca="false">Data!D128</f>
        <v>2493294</v>
      </c>
      <c r="F128" s="16" t="n">
        <f aca="false">Data!E128</f>
        <v>1138014</v>
      </c>
      <c r="G128" s="16" t="n">
        <f aca="false">Data!K128</f>
        <v>417196</v>
      </c>
      <c r="H128" s="16" t="n">
        <f aca="false">Data!L128</f>
        <v>353025</v>
      </c>
      <c r="I128" s="16" t="n">
        <f aca="false">Data!G128</f>
        <v>1198409</v>
      </c>
      <c r="J128" s="16" t="n">
        <f aca="false">Data!H128+Data!I128+Data!J128+Data!M128</f>
        <v>948046</v>
      </c>
      <c r="K128" s="16" t="n">
        <f aca="false">Data!F128</f>
        <v>4384453</v>
      </c>
      <c r="L128" s="16" t="n">
        <f aca="false">Data!N128+Data!O128+Data!P128+Data!Q128+Data!R128+Data!S128</f>
        <v>860574</v>
      </c>
      <c r="M128" s="15" t="n">
        <f aca="false">Data!T128+Data!U128+Data!V128+Data!W128+Data!X128+Data!Y128+Data!Z128+Data!AA128+Data!AB128+Data!AC128+Data!AD128+Data!AE128+Data!AF128+Data!AG128+Data!AH128+Data!AI128+Data!AJ128+Data!AK128+Data!AL128</f>
        <v>10382371</v>
      </c>
      <c r="N128" s="16" t="n">
        <f aca="false">Data!T128+Data!U128+Data!V128+Data!W128</f>
        <v>6817672</v>
      </c>
      <c r="O128" s="16" t="n">
        <f aca="false">Data!T128</f>
        <v>4830097</v>
      </c>
      <c r="P128" s="16" t="n">
        <f aca="false">Data!U128</f>
        <v>870218</v>
      </c>
      <c r="Q128" s="16" t="n">
        <f aca="false">Data!V128</f>
        <v>390372</v>
      </c>
      <c r="R128" s="16" t="n">
        <f aca="false">Data!W128</f>
        <v>726985</v>
      </c>
      <c r="S128" s="16" t="n">
        <f aca="false">Data!X128</f>
        <v>369515</v>
      </c>
      <c r="T128" s="16" t="n">
        <f aca="false">Data!Y128+Data!Z128+Data!AA128</f>
        <v>554487</v>
      </c>
      <c r="U128" s="16" t="n">
        <f aca="false">Data!Y128</f>
        <v>348417</v>
      </c>
      <c r="V128" s="16" t="n">
        <f aca="false">Data!Z128</f>
        <v>206070</v>
      </c>
      <c r="W128" s="16" t="n">
        <f aca="false">Data!AB128</f>
        <v>1481390</v>
      </c>
      <c r="X128" s="16" t="n">
        <f aca="false">Data!AC128</f>
        <v>308712</v>
      </c>
      <c r="Y128" s="16" t="n">
        <f aca="false">Data!AD128+Data!AE128+Data!AF128+Data!AG128+Data!AH128</f>
        <v>100604</v>
      </c>
      <c r="Z128" s="16" t="n">
        <f aca="false">Data!AI128</f>
        <v>400466</v>
      </c>
      <c r="AA128" s="16" t="n">
        <f aca="false">Data!AJ128</f>
        <v>0</v>
      </c>
      <c r="AB128" s="16" t="n">
        <f aca="false">Data!AK128</f>
        <v>130427</v>
      </c>
      <c r="AC128" s="16" t="n">
        <f aca="false">Data!AL128</f>
        <v>219098</v>
      </c>
      <c r="AD128" s="15" t="n">
        <f aca="false">Data!AM128</f>
        <v>1410640</v>
      </c>
      <c r="AE128" s="16" t="n">
        <f aca="false">Data!AN128</f>
        <v>1266218</v>
      </c>
      <c r="AF128" s="15" t="n">
        <f aca="false">Data!AO128</f>
        <v>144421</v>
      </c>
    </row>
    <row r="129" customFormat="false" ht="15" hidden="false" customHeight="false" outlineLevel="0" collapsed="false">
      <c r="B129" s="14" t="str">
        <f aca="false">Data!B129</f>
        <v>2026-03</v>
      </c>
      <c r="C129" s="15" t="n">
        <f aca="false">Data!D129+Data!E129+Data!F129+Data!G129+Data!H129+Data!I129+Data!J129+Data!K129+Data!L129+Data!M129+Data!N129+Data!O129+Data!P129+Data!Q129+Data!R129+Data!S129</f>
        <v>11841368</v>
      </c>
      <c r="D129" s="16" t="n">
        <f aca="false">Data!D129+Data!E129+Data!G129+Data!H129+Data!I129+Data!J129+Data!K129+Data!L129+Data!M129</f>
        <v>6469527</v>
      </c>
      <c r="E129" s="16" t="n">
        <f aca="false">Data!D129</f>
        <v>2558848</v>
      </c>
      <c r="F129" s="16" t="n">
        <f aca="false">Data!E129</f>
        <v>761866</v>
      </c>
      <c r="G129" s="16" t="n">
        <f aca="false">Data!K129</f>
        <v>489859</v>
      </c>
      <c r="H129" s="16" t="n">
        <f aca="false">Data!L129</f>
        <v>408756</v>
      </c>
      <c r="I129" s="16" t="n">
        <f aca="false">Data!G129</f>
        <v>1279731</v>
      </c>
      <c r="J129" s="16" t="n">
        <f aca="false">Data!H129+Data!I129+Data!J129+Data!M129</f>
        <v>970467</v>
      </c>
      <c r="K129" s="16" t="n">
        <f aca="false">Data!F129</f>
        <v>4581731</v>
      </c>
      <c r="L129" s="16" t="n">
        <f aca="false">Data!N129+Data!O129+Data!P129+Data!Q129+Data!R129+Data!S129</f>
        <v>790110</v>
      </c>
      <c r="M129" s="15" t="n">
        <f aca="false">Data!T129+Data!U129+Data!V129+Data!W129+Data!X129+Data!Y129+Data!Z129+Data!AA129+Data!AB129+Data!AC129+Data!AD129+Data!AE129+Data!AF129+Data!AG129+Data!AH129+Data!AI129+Data!AJ129+Data!AK129+Data!AL129</f>
        <v>10911084</v>
      </c>
      <c r="N129" s="16" t="n">
        <f aca="false">Data!T129+Data!U129+Data!V129+Data!W129</f>
        <v>7234138</v>
      </c>
      <c r="O129" s="16" t="n">
        <f aca="false">Data!T129</f>
        <v>4934590</v>
      </c>
      <c r="P129" s="16" t="n">
        <f aca="false">Data!U129</f>
        <v>1296786</v>
      </c>
      <c r="Q129" s="16" t="n">
        <f aca="false">Data!V129</f>
        <v>400590</v>
      </c>
      <c r="R129" s="16" t="n">
        <f aca="false">Data!W129</f>
        <v>602172</v>
      </c>
      <c r="S129" s="16" t="n">
        <f aca="false">Data!X129</f>
        <v>820055</v>
      </c>
      <c r="T129" s="16" t="n">
        <f aca="false">Data!Y129+Data!Z129+Data!AA129</f>
        <v>258209</v>
      </c>
      <c r="U129" s="16" t="n">
        <f aca="false">Data!Y129</f>
        <v>83443</v>
      </c>
      <c r="V129" s="16" t="n">
        <f aca="false">Data!Z129</f>
        <v>174766</v>
      </c>
      <c r="W129" s="16" t="n">
        <f aca="false">Data!AB129</f>
        <v>1441915</v>
      </c>
      <c r="X129" s="16" t="n">
        <f aca="false">Data!AC129</f>
        <v>293711</v>
      </c>
      <c r="Y129" s="16" t="n">
        <f aca="false">Data!AD129+Data!AE129+Data!AF129+Data!AG129+Data!AH129</f>
        <v>112509</v>
      </c>
      <c r="Z129" s="16" t="n">
        <f aca="false">Data!AI129</f>
        <v>369370</v>
      </c>
      <c r="AA129" s="16" t="n">
        <f aca="false">Data!AJ129</f>
        <v>0</v>
      </c>
      <c r="AB129" s="16" t="n">
        <f aca="false">Data!AK129</f>
        <v>184742</v>
      </c>
      <c r="AC129" s="16" t="n">
        <f aca="false">Data!AL129</f>
        <v>196435</v>
      </c>
      <c r="AD129" s="15" t="n">
        <f aca="false">Data!AM129</f>
        <v>930284</v>
      </c>
      <c r="AE129" s="16" t="n">
        <f aca="false">Data!AN129</f>
        <v>445495</v>
      </c>
      <c r="AF129" s="15" t="n">
        <f aca="false">Data!AO129</f>
        <v>484789</v>
      </c>
    </row>
    <row r="130" customFormat="false" ht="15" hidden="false" customHeight="false" outlineLevel="0" collapsed="false">
      <c r="B130" s="14" t="str">
        <f aca="false">Data!B130</f>
        <v>2026-04</v>
      </c>
      <c r="C130" s="15" t="n">
        <f aca="false">Data!D130+Data!E130+Data!F130+Data!G130+Data!H130+Data!I130+Data!J130+Data!K130+Data!L130+Data!M130+Data!N130+Data!O130+Data!P130+Data!Q130+Data!R130+Data!S130</f>
        <v>13411787</v>
      </c>
      <c r="D130" s="16" t="n">
        <f aca="false">Data!D130+Data!E130+Data!G130+Data!H130+Data!I130+Data!J130+Data!K130+Data!L130+Data!M130</f>
        <v>7295065</v>
      </c>
      <c r="E130" s="16" t="n">
        <f aca="false">Data!D130</f>
        <v>2755454</v>
      </c>
      <c r="F130" s="16" t="n">
        <f aca="false">Data!E130</f>
        <v>1008684</v>
      </c>
      <c r="G130" s="16" t="n">
        <f aca="false">Data!K130</f>
        <v>571579</v>
      </c>
      <c r="H130" s="16" t="n">
        <f aca="false">Data!L130</f>
        <v>471403</v>
      </c>
      <c r="I130" s="16" t="n">
        <f aca="false">Data!G130</f>
        <v>1399061</v>
      </c>
      <c r="J130" s="16" t="n">
        <f aca="false">Data!H130+Data!I130+Data!J130+Data!M130</f>
        <v>1088884</v>
      </c>
      <c r="K130" s="16" t="n">
        <f aca="false">Data!F130</f>
        <v>4742205</v>
      </c>
      <c r="L130" s="16" t="n">
        <f aca="false">Data!N130+Data!O130+Data!P130+Data!Q130+Data!R130+Data!S130</f>
        <v>1374517</v>
      </c>
      <c r="M130" s="15" t="n">
        <f aca="false">Data!T130+Data!U130+Data!V130+Data!W130+Data!X130+Data!Y130+Data!Z130+Data!AA130+Data!AB130+Data!AC130+Data!AD130+Data!AE130+Data!AF130+Data!AG130+Data!AH130+Data!AI130+Data!AJ130+Data!AK130+Data!AL130</f>
        <v>12778943</v>
      </c>
      <c r="N130" s="16" t="n">
        <f aca="false">Data!T130+Data!U130+Data!V130+Data!W130</f>
        <v>7266978</v>
      </c>
      <c r="O130" s="16" t="n">
        <f aca="false">Data!T130</f>
        <v>5127453</v>
      </c>
      <c r="P130" s="16" t="n">
        <f aca="false">Data!U130</f>
        <v>894383</v>
      </c>
      <c r="Q130" s="16" t="n">
        <f aca="false">Data!V130</f>
        <v>412620</v>
      </c>
      <c r="R130" s="16" t="n">
        <f aca="false">Data!W130</f>
        <v>832522</v>
      </c>
      <c r="S130" s="16" t="n">
        <f aca="false">Data!X130</f>
        <v>827880</v>
      </c>
      <c r="T130" s="16" t="n">
        <f aca="false">Data!Y130+Data!Z130+Data!AA130</f>
        <v>1175128</v>
      </c>
      <c r="U130" s="16" t="n">
        <f aca="false">Data!Y130</f>
        <v>833118</v>
      </c>
      <c r="V130" s="16" t="n">
        <f aca="false">Data!Z130</f>
        <v>341077</v>
      </c>
      <c r="W130" s="16" t="n">
        <f aca="false">Data!AB130</f>
        <v>1620999</v>
      </c>
      <c r="X130" s="16" t="n">
        <f aca="false">Data!AC130</f>
        <v>596477</v>
      </c>
      <c r="Y130" s="16" t="n">
        <f aca="false">Data!AD130+Data!AE130+Data!AF130+Data!AG130+Data!AH130</f>
        <v>154979</v>
      </c>
      <c r="Z130" s="16" t="n">
        <f aca="false">Data!AI130</f>
        <v>412546</v>
      </c>
      <c r="AA130" s="16" t="n">
        <f aca="false">Data!AJ130</f>
        <v>0</v>
      </c>
      <c r="AB130" s="16" t="n">
        <f aca="false">Data!AK130</f>
        <v>303295</v>
      </c>
      <c r="AC130" s="16" t="n">
        <f aca="false">Data!AL130</f>
        <v>420661</v>
      </c>
      <c r="AD130" s="15" t="n">
        <f aca="false">Data!AM130</f>
        <v>632844</v>
      </c>
      <c r="AE130" s="16" t="n">
        <f aca="false">Data!AN130</f>
        <v>364741</v>
      </c>
      <c r="AF130" s="15" t="n">
        <f aca="false">Data!AO130</f>
        <v>268103</v>
      </c>
    </row>
    <row r="131" customFormat="false" ht="15" hidden="false" customHeight="false" outlineLevel="0" collapsed="false">
      <c r="B131" s="14" t="str">
        <f aca="false">Data!B131</f>
        <v>2026-05</v>
      </c>
      <c r="C131" s="15" t="n">
        <f aca="false">Data!D131+Data!E131+Data!F131+Data!G131+Data!H131+Data!I131+Data!J131+Data!K131+Data!L131+Data!M131+Data!N131+Data!O131+Data!P131+Data!Q131+Data!R131+Data!S131</f>
        <v>14531656</v>
      </c>
      <c r="D131" s="16" t="n">
        <f aca="false">Data!D131+Data!E131+Data!G131+Data!H131+Data!I131+Data!J131+Data!K131+Data!L131+Data!M131</f>
        <v>8798590</v>
      </c>
      <c r="E131" s="16" t="n">
        <f aca="false">Data!D131</f>
        <v>2433370</v>
      </c>
      <c r="F131" s="16" t="n">
        <f aca="false">Data!E131</f>
        <v>2970423</v>
      </c>
      <c r="G131" s="16" t="n">
        <f aca="false">Data!K131</f>
        <v>545337</v>
      </c>
      <c r="H131" s="16" t="n">
        <f aca="false">Data!L131</f>
        <v>394152</v>
      </c>
      <c r="I131" s="16" t="n">
        <f aca="false">Data!G131</f>
        <v>1419595</v>
      </c>
      <c r="J131" s="16" t="n">
        <f aca="false">Data!H131+Data!I131+Data!J131+Data!M131</f>
        <v>1035713</v>
      </c>
      <c r="K131" s="16" t="n">
        <f aca="false">Data!F131</f>
        <v>4736191</v>
      </c>
      <c r="L131" s="16" t="n">
        <f aca="false">Data!N131+Data!O131+Data!P131+Data!Q131+Data!R131+Data!S131</f>
        <v>996875</v>
      </c>
      <c r="M131" s="15" t="n">
        <f aca="false">Data!T131+Data!U131+Data!V131+Data!W131+Data!X131+Data!Y131+Data!Z131+Data!AA131+Data!AB131+Data!AC131+Data!AD131+Data!AE131+Data!AF131+Data!AG131+Data!AH131+Data!AI131+Data!AJ131+Data!AK131+Data!AL131</f>
        <v>12607289</v>
      </c>
      <c r="N131" s="16" t="n">
        <f aca="false">Data!T131+Data!U131+Data!V131+Data!W131</f>
        <v>7428268</v>
      </c>
      <c r="O131" s="16" t="n">
        <f aca="false">Data!T131</f>
        <v>5253082</v>
      </c>
      <c r="P131" s="16" t="n">
        <f aca="false">Data!U131</f>
        <v>900085</v>
      </c>
      <c r="Q131" s="16" t="n">
        <f aca="false">Data!V131</f>
        <v>424468</v>
      </c>
      <c r="R131" s="16" t="n">
        <f aca="false">Data!W131</f>
        <v>850633</v>
      </c>
      <c r="S131" s="16" t="n">
        <f aca="false">Data!X131</f>
        <v>953150</v>
      </c>
      <c r="T131" s="16" t="n">
        <f aca="false">Data!Y131+Data!Z131+Data!AA131</f>
        <v>784177</v>
      </c>
      <c r="U131" s="16" t="n">
        <f aca="false">Data!Y131</f>
        <v>523417</v>
      </c>
      <c r="V131" s="16" t="n">
        <f aca="false">Data!Z131</f>
        <v>258687</v>
      </c>
      <c r="W131" s="16" t="n">
        <f aca="false">Data!AB131</f>
        <v>1618197</v>
      </c>
      <c r="X131" s="16" t="n">
        <f aca="false">Data!AC131</f>
        <v>471191</v>
      </c>
      <c r="Y131" s="16" t="n">
        <f aca="false">Data!AD131+Data!AE131+Data!AF131+Data!AG131+Data!AH131</f>
        <v>160299</v>
      </c>
      <c r="Z131" s="16" t="n">
        <f aca="false">Data!AI131</f>
        <v>780000</v>
      </c>
      <c r="AA131" s="16" t="n">
        <f aca="false">Data!AJ131</f>
        <v>0</v>
      </c>
      <c r="AB131" s="16" t="n">
        <f aca="false">Data!AK131</f>
        <v>228489</v>
      </c>
      <c r="AC131" s="16" t="n">
        <f aca="false">Data!AL131</f>
        <v>183518</v>
      </c>
      <c r="AD131" s="15" t="n">
        <f aca="false">Data!AM131</f>
        <v>1924367</v>
      </c>
      <c r="AE131" s="16" t="n">
        <f aca="false">Data!AN131</f>
        <v>1445754</v>
      </c>
      <c r="AF131" s="15" t="n">
        <f aca="false">Data!AO131</f>
        <v>478613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AF1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1"/>
    <col collapsed="false" customWidth="true" hidden="false" outlineLevel="0" max="32" min="3" style="0" width="13"/>
  </cols>
  <sheetData>
    <row r="2" customFormat="false" ht="25.5" hidden="false" customHeight="true" outlineLevel="0" collapsed="false">
      <c r="B2" s="1" t="s">
        <v>228</v>
      </c>
    </row>
    <row r="3" customFormat="false" ht="15" hidden="false" customHeight="false" outlineLevel="0" collapsed="false">
      <c r="B3" s="2" t="s">
        <v>229</v>
      </c>
    </row>
    <row r="6" customFormat="false" ht="42" hidden="false" customHeight="true" outlineLevel="0" collapsed="false">
      <c r="B6" s="6" t="s">
        <v>28</v>
      </c>
      <c r="C6" s="7" t="s">
        <v>198</v>
      </c>
      <c r="D6" s="7" t="s">
        <v>199</v>
      </c>
      <c r="E6" s="7" t="s">
        <v>200</v>
      </c>
      <c r="F6" s="7" t="s">
        <v>201</v>
      </c>
      <c r="G6" s="7" t="s">
        <v>202</v>
      </c>
      <c r="H6" s="7" t="s">
        <v>203</v>
      </c>
      <c r="I6" s="7" t="s">
        <v>204</v>
      </c>
      <c r="J6" s="7" t="s">
        <v>205</v>
      </c>
      <c r="K6" s="7" t="s">
        <v>206</v>
      </c>
      <c r="L6" s="7" t="s">
        <v>207</v>
      </c>
      <c r="M6" s="7" t="s">
        <v>208</v>
      </c>
      <c r="N6" s="7" t="s">
        <v>209</v>
      </c>
      <c r="O6" s="7" t="s">
        <v>210</v>
      </c>
      <c r="P6" s="7" t="s">
        <v>211</v>
      </c>
      <c r="Q6" s="7" t="s">
        <v>212</v>
      </c>
      <c r="R6" s="7" t="s">
        <v>213</v>
      </c>
      <c r="S6" s="7" t="s">
        <v>214</v>
      </c>
      <c r="T6" s="7" t="s">
        <v>215</v>
      </c>
      <c r="U6" s="7" t="s">
        <v>216</v>
      </c>
      <c r="V6" s="7" t="s">
        <v>217</v>
      </c>
      <c r="W6" s="7" t="s">
        <v>218</v>
      </c>
      <c r="X6" s="7" t="s">
        <v>219</v>
      </c>
      <c r="Y6" s="7" t="s">
        <v>220</v>
      </c>
      <c r="Z6" s="7" t="s">
        <v>221</v>
      </c>
      <c r="AA6" s="7" t="s">
        <v>222</v>
      </c>
      <c r="AB6" s="7" t="s">
        <v>223</v>
      </c>
      <c r="AC6" s="7" t="s">
        <v>224</v>
      </c>
      <c r="AD6" s="7" t="s">
        <v>225</v>
      </c>
      <c r="AE6" s="7" t="s">
        <v>226</v>
      </c>
      <c r="AF6" s="7" t="s">
        <v>227</v>
      </c>
    </row>
    <row r="7" customFormat="false" ht="15" hidden="false" customHeight="false" outlineLevel="0" collapsed="false">
      <c r="B7" s="14" t="str">
        <f aca="false">Data!B7</f>
        <v>2016-01</v>
      </c>
    </row>
    <row r="8" customFormat="false" ht="15" hidden="false" customHeight="false" outlineLevel="0" collapsed="false">
      <c r="B8" s="14" t="str">
        <f aca="false">Data!B8</f>
        <v>2016-02</v>
      </c>
    </row>
    <row r="9" customFormat="false" ht="15" hidden="false" customHeight="false" outlineLevel="0" collapsed="false">
      <c r="B9" s="14" t="str">
        <f aca="false">Data!B9</f>
        <v>2016-03</v>
      </c>
    </row>
    <row r="10" customFormat="false" ht="15" hidden="false" customHeight="false" outlineLevel="0" collapsed="false">
      <c r="B10" s="14" t="str">
        <f aca="false">Data!B10</f>
        <v>2016-04</v>
      </c>
    </row>
    <row r="11" customFormat="false" ht="15" hidden="false" customHeight="false" outlineLevel="0" collapsed="false">
      <c r="B11" s="14" t="str">
        <f aca="false">Data!B11</f>
        <v>2016-05</v>
      </c>
    </row>
    <row r="12" customFormat="false" ht="15" hidden="false" customHeight="false" outlineLevel="0" collapsed="false">
      <c r="B12" s="14" t="str">
        <f aca="false">Data!B12</f>
        <v>2016-06</v>
      </c>
    </row>
    <row r="13" customFormat="false" ht="15" hidden="false" customHeight="false" outlineLevel="0" collapsed="false">
      <c r="B13" s="14" t="str">
        <f aca="false">Data!B13</f>
        <v>2016-07</v>
      </c>
    </row>
    <row r="14" customFormat="false" ht="15" hidden="false" customHeight="false" outlineLevel="0" collapsed="false">
      <c r="B14" s="14" t="str">
        <f aca="false">Data!B14</f>
        <v>2016-08</v>
      </c>
    </row>
    <row r="15" customFormat="false" ht="15" hidden="false" customHeight="false" outlineLevel="0" collapsed="false">
      <c r="B15" s="14" t="str">
        <f aca="false">Data!B15</f>
        <v>2016-09</v>
      </c>
    </row>
    <row r="16" customFormat="false" ht="15" hidden="false" customHeight="false" outlineLevel="0" collapsed="false">
      <c r="B16" s="14" t="str">
        <f aca="false">Data!B16</f>
        <v>2016-10</v>
      </c>
    </row>
    <row r="17" customFormat="false" ht="15" hidden="false" customHeight="false" outlineLevel="0" collapsed="false">
      <c r="B17" s="14" t="str">
        <f aca="false">Data!B17</f>
        <v>2016-11</v>
      </c>
    </row>
    <row r="18" customFormat="false" ht="15" hidden="false" customHeight="false" outlineLevel="0" collapsed="false">
      <c r="B18" s="14" t="str">
        <f aca="false">Data!B18</f>
        <v>2016-12</v>
      </c>
      <c r="C18" s="15" t="n">
        <f aca="false">Data!D7+Data!E7+Data!F7+Data!G7+Data!H7+Data!I7+Data!J7+Data!K7+Data!L7+Data!M7+Data!N7+Data!O7+Data!P7+Data!Q7+Data!R7+Data!S7+Data!D8+Data!E8+Data!F8+Data!G8+Data!H8+Data!I8+Data!J8+Data!K8+Data!L8+Data!M8+Data!N8+Data!O8+Data!P8+Data!Q8+Data!R8+Data!S8+Data!D9+Data!E9+Data!F9+Data!G9+Data!H9+Data!I9+Data!J9+Data!K9+Data!L9+Data!M9+Data!N9+Data!O9+Data!P9+Data!Q9+Data!R9+Data!S9+Data!D10+Data!E10+Data!F10+Data!G10+Data!H10+Data!I10+Data!J10+Data!K10+Data!L10+Data!M10+Data!N10+Data!O10+Data!P10+Data!Q10+Data!R10+Data!S10+Data!D11+Data!E11+Data!F11+Data!G11+Data!H11+Data!I11+Data!J11+Data!K11+Data!L11+Data!M11+Data!N11+Data!O11+Data!P11+Data!Q11+Data!R11+Data!S11+Data!D12+Data!E12+Data!F12+Data!G12+Data!H12+Data!I12+Data!J12+Data!K12+Data!L12+Data!M12+Data!N12+Data!O12+Data!P12+Data!Q12+Data!R12+Data!S12+Data!D13+Data!E13+Data!F13+Data!G13+Data!H13+Data!I13+Data!J13+Data!K13+Data!L13+Data!M13+Data!N13+Data!O13+Data!P13+Data!Q13+Data!R13+Data!S13+Data!D14+Data!E14+Data!F14+Data!G14+Data!H14+Data!I14+Data!J14+Data!K14+Data!L14+Data!M14+Data!N14+Data!O14+Data!P14+Data!Q14+Data!R14+Data!S14+Data!D15+Data!E15+Data!F15+Data!G15+Data!H15+Data!I15+Data!J15+Data!K15+Data!L15+Data!M15+Data!N15+Data!O15+Data!P15+Data!Q15+Data!R15+Data!S15+Data!D16+Data!E16+Data!F16+Data!G16+Data!H16+Data!I16+Data!J16+Data!K16+Data!L16+Data!M16+Data!N16+Data!O16+Data!P16+Data!Q16+Data!R16+Data!S16+Data!D17+Data!E17+Data!F17+Data!G17+Data!H17+Data!I17+Data!J17+Data!K17+Data!L17+Data!M17+Data!N17+Data!O17+Data!P17+Data!Q17+Data!R17+Data!S17+Data!D18+Data!E18+Data!F18+Data!G18+Data!H18+Data!I18+Data!J18+Data!K18+Data!L18+Data!M18+Data!N18+Data!O18+Data!P18+Data!Q18+Data!R18+Data!S18</f>
        <v>1629314</v>
      </c>
      <c r="D18" s="16" t="n">
        <f aca="false">Data!D7+Data!E7+Data!G7+Data!H7+Data!I7+Data!J7+Data!K7+Data!L7+Data!M7+Data!D8+Data!E8+Data!G8+Data!H8+Data!I8+Data!J8+Data!K8+Data!L8+Data!M8+Data!D9+Data!E9+Data!G9+Data!H9+Data!I9+Data!J9+Data!K9+Data!L9+Data!M9+Data!D10+Data!E10+Data!G10+Data!H10+Data!I10+Data!J10+Data!K10+Data!L10+Data!M10+Data!D11+Data!E11+Data!G11+Data!H11+Data!I11+Data!J11+Data!K11+Data!L11+Data!M11+Data!D12+Data!E12+Data!G12+Data!H12+Data!I12+Data!J12+Data!K12+Data!L12+Data!M12+Data!D13+Data!E13+Data!G13+Data!H13+Data!I13+Data!J13+Data!K13+Data!L13+Data!M13+Data!D14+Data!E14+Data!G14+Data!H14+Data!I14+Data!J14+Data!K14+Data!L14+Data!M14+Data!D15+Data!E15+Data!G15+Data!H15+Data!I15+Data!J15+Data!K15+Data!L15+Data!M15+Data!D16+Data!E16+Data!G16+Data!H16+Data!I16+Data!J16+Data!K16+Data!L16+Data!M16+Data!D17+Data!E17+Data!G17+Data!H17+Data!I17+Data!J17+Data!K17+Data!L17+Data!M17+Data!D18+Data!E18+Data!G18+Data!H18+Data!I18+Data!J18+Data!K18+Data!L18+Data!M18</f>
        <v>976663</v>
      </c>
      <c r="E18" s="16" t="n">
        <f aca="false">Data!D7+Data!D8+Data!D9+Data!D10+Data!D11+Data!D12+Data!D13+Data!D14+Data!D15+Data!D16+Data!D17+Data!D18</f>
        <v>277842</v>
      </c>
      <c r="F18" s="16" t="n">
        <f aca="false">Data!E7+Data!E8+Data!E9+Data!E10+Data!E11+Data!E12+Data!E13+Data!E14+Data!E15+Data!E16+Data!E17+Data!E18</f>
        <v>223422</v>
      </c>
      <c r="G18" s="16" t="n">
        <f aca="false">Data!K7+Data!K8+Data!K9+Data!K10+Data!K11+Data!K12+Data!K13+Data!K14+Data!K15+Data!K16+Data!K17+Data!K18</f>
        <v>72118</v>
      </c>
      <c r="H18" s="16" t="n">
        <f aca="false">Data!L7+Data!L8+Data!L9+Data!L10+Data!L11+Data!L12+Data!L13+Data!L14+Data!L15+Data!L16+Data!L17+Data!L18</f>
        <v>55396</v>
      </c>
      <c r="I18" s="16" t="n">
        <f aca="false">Data!G7+Data!G8+Data!G9+Data!G10+Data!G11+Data!G12+Data!G13+Data!G14+Data!G15+Data!G16+Data!G17+Data!G18</f>
        <v>109339</v>
      </c>
      <c r="J18" s="16" t="n">
        <f aca="false">Data!H7+Data!I7+Data!J7+Data!M7+Data!H8+Data!I8+Data!J8+Data!M8+Data!H9+Data!I9+Data!J9+Data!M9+Data!H10+Data!I10+Data!J10+Data!M10+Data!H11+Data!I11+Data!J11+Data!M11+Data!H12+Data!I12+Data!J12+Data!M12+Data!H13+Data!I13+Data!J13+Data!M13+Data!H14+Data!I14+Data!J14+Data!M14+Data!H15+Data!I15+Data!J15+Data!M15+Data!H16+Data!I16+Data!J16+Data!M16+Data!H17+Data!I17+Data!J17+Data!M17+Data!H18+Data!I18+Data!J18+Data!M18</f>
        <v>238546</v>
      </c>
      <c r="K18" s="16" t="n">
        <f aca="false">Data!F7+Data!F8+Data!F9+Data!F10+Data!F11+Data!F12+Data!F13+Data!F14+Data!F15+Data!F16+Data!F17+Data!F18</f>
        <v>558088</v>
      </c>
      <c r="L18" s="16" t="n">
        <f aca="false">Data!N7+Data!O7+Data!P7+Data!Q7+Data!R7+Data!S7+Data!N8+Data!O8+Data!P8+Data!Q8+Data!R8+Data!S8+Data!N9+Data!O9+Data!P9+Data!Q9+Data!R9+Data!S9+Data!N10+Data!O10+Data!P10+Data!Q10+Data!R10+Data!S10+Data!N11+Data!O11+Data!P11+Data!Q11+Data!R11+Data!S11+Data!N12+Data!O12+Data!P12+Data!Q12+Data!R12+Data!S12+Data!N13+Data!O13+Data!P13+Data!Q13+Data!R13+Data!S13+Data!N14+Data!O14+Data!P14+Data!Q14+Data!R14+Data!S14+Data!N15+Data!O15+Data!P15+Data!Q15+Data!R15+Data!S15+Data!N16+Data!O16+Data!P16+Data!Q16+Data!R16+Data!S16+Data!N17+Data!O17+Data!P17+Data!Q17+Data!R17+Data!S17+Data!N18+Data!O18+Data!P18+Data!Q18+Data!R18+Data!S18</f>
        <v>94563</v>
      </c>
      <c r="M18" s="15" t="n">
        <f aca="false">Data!T7+Data!U7+Data!V7+Data!W7+Data!X7+Data!Y7+Data!Z7+Data!AA7+Data!AB7+Data!AC7+Data!AD7+Data!AE7+Data!AF7+Data!AG7+Data!AH7+Data!AI7+Data!AJ7+Data!AK7+Data!AL7+Data!T8+Data!U8+Data!V8+Data!W8+Data!X8+Data!Y8+Data!Z8+Data!AA8+Data!AB8+Data!AC8+Data!AD8+Data!AE8+Data!AF8+Data!AG8+Data!AH8+Data!AI8+Data!AJ8+Data!AK8+Data!AL8+Data!T9+Data!U9+Data!V9+Data!W9+Data!X9+Data!Y9+Data!Z9+Data!AA9+Data!AB9+Data!AC9+Data!AD9+Data!AE9+Data!AF9+Data!AG9+Data!AH9+Data!AI9+Data!AJ9+Data!AK9+Data!AL9+Data!T10+Data!U10+Data!V10+Data!W10+Data!X10+Data!Y10+Data!Z10+Data!AA10+Data!AB10+Data!AC10+Data!AD10+Data!AE10+Data!AF10+Data!AG10+Data!AH10+Data!AI10+Data!AJ10+Data!AK10+Data!AL10+Data!T11+Data!U11+Data!V11+Data!W11+Data!X11+Data!Y11+Data!Z11+Data!AA11+Data!AB11+Data!AC11+Data!AD11+Data!AE11+Data!AF11+Data!AG11+Data!AH11+Data!AI11+Data!AJ11+Data!AK11+Data!AL11+Data!T12+Data!U12+Data!V12+Data!W12+Data!X12+Data!Y12+Data!Z12+Data!AA12+Data!AB12+Data!AC12+Data!AD12+Data!AE12+Data!AF12+Data!AG12+Data!AH12+Data!AI12+Data!AJ12+Data!AK12+Data!AL12+Data!T13+Data!U13+Data!V13+Data!W13+Data!X13+Data!Y13+Data!Z13+Data!AA13+Data!AB13+Data!AC13+Data!AD13+Data!AE13+Data!AF13+Data!AG13+Data!AH13+Data!AI13+Data!AJ13+Data!AK13+Data!AL13+Data!T14+Data!U14+Data!V14+Data!W14+Data!X14+Data!Y14+Data!Z14+Data!AA14+Data!AB14+Data!AC14+Data!AD14+Data!AE14+Data!AF14+Data!AG14+Data!AH14+Data!AI14+Data!AJ14+Data!AK14+Data!AL14+Data!T15+Data!U15+Data!V15+Data!W15+Data!X15+Data!Y15+Data!Z15+Data!AA15+Data!AB15+Data!AC15+Data!AD15+Data!AE15+Data!AF15+Data!AG15+Data!AH15+Data!AI15+Data!AJ15+Data!AK15+Data!AL15+Data!T16+Data!U16+Data!V16+Data!W16+Data!X16+Data!Y16+Data!Z16+Data!AA16+Data!AB16+Data!AC16+Data!AD16+Data!AE16+Data!AF16+Data!AG16+Data!AH16+Data!AI16+Data!AJ16+Data!AK16+Data!AL16+Data!T17+Data!U17+Data!V17+Data!W17+Data!X17+Data!Y17+Data!Z17+Data!AA17+Data!AB17+Data!AC17+Data!AD17+Data!AE17+Data!AF17+Data!AG17+Data!AH17+Data!AI17+Data!AJ17+Data!AK17+Data!AL17+Data!T18+Data!U18+Data!V18+Data!W18+Data!X18+Data!Y18+Data!Z18+Data!AA18+Data!AB18+Data!AC18+Data!AD18+Data!AE18+Data!AF18+Data!AG18+Data!AH18+Data!AI18+Data!AJ18+Data!AK18+Data!AL18</f>
        <v>1972838</v>
      </c>
      <c r="N18" s="16" t="n">
        <f aca="false">Data!T7+Data!U7+Data!V7+Data!W7+Data!T8+Data!U8+Data!V8+Data!W8+Data!T9+Data!U9+Data!V9+Data!W9+Data!T10+Data!U10+Data!V10+Data!W10+Data!T11+Data!U11+Data!V11+Data!W11+Data!T12+Data!U12+Data!V12+Data!W12+Data!T13+Data!U13+Data!V13+Data!W13+Data!T14+Data!U14+Data!V14+Data!W14+Data!T15+Data!U15+Data!V15+Data!W15+Data!T16+Data!U16+Data!V16+Data!W16+Data!T17+Data!U17+Data!V17+Data!W17+Data!T18+Data!U18+Data!V18+Data!W18</f>
        <v>924288</v>
      </c>
      <c r="O18" s="16" t="n">
        <f aca="false">Data!T7+Data!T8+Data!T9+Data!T10+Data!T11+Data!T12+Data!T13+Data!T14+Data!T15+Data!T16+Data!T17+Data!T18</f>
        <v>654470</v>
      </c>
      <c r="P18" s="16" t="n">
        <f aca="false">Data!U7+Data!U8+Data!U9+Data!U10+Data!U11+Data!U12+Data!U13+Data!U14+Data!U15+Data!U16+Data!U17+Data!U18</f>
        <v>108160</v>
      </c>
      <c r="Q18" s="16" t="n">
        <f aca="false">Data!V7+Data!V8+Data!V9+Data!V10+Data!V11+Data!V12+Data!V13+Data!V14+Data!V15+Data!V16+Data!V17+Data!V18</f>
        <v>80249</v>
      </c>
      <c r="R18" s="16" t="n">
        <f aca="false">Data!W7+Data!W8+Data!W9+Data!W10+Data!W11+Data!W12+Data!W13+Data!W14+Data!W15+Data!W16+Data!W17+Data!W18</f>
        <v>81409</v>
      </c>
      <c r="S18" s="16" t="n">
        <f aca="false">Data!X7+Data!X8+Data!X9+Data!X10+Data!X11+Data!X12+Data!X13+Data!X14+Data!X15+Data!X16+Data!X17+Data!X18</f>
        <v>30302</v>
      </c>
      <c r="T18" s="16" t="n">
        <f aca="false">Data!Y7+Data!Z7+Data!AA7+Data!Y8+Data!Z8+Data!AA8+Data!Y9+Data!Z9+Data!AA9+Data!Y10+Data!Z10+Data!AA10+Data!Y11+Data!Z11+Data!AA11+Data!Y12+Data!Z12+Data!AA12+Data!Y13+Data!Z13+Data!AA13+Data!Y14+Data!Z14+Data!AA14+Data!Y15+Data!Z15+Data!AA15+Data!Y16+Data!Z16+Data!AA16+Data!Y17+Data!Z17+Data!AA17+Data!Y18+Data!Z18+Data!AA18</f>
        <v>291171</v>
      </c>
      <c r="U18" s="16" t="n">
        <f aca="false">Data!Y7+Data!Y8+Data!Y9+Data!Y10+Data!Y11+Data!Y12+Data!Y13+Data!Y14+Data!Y15+Data!Y16+Data!Y17+Data!Y18</f>
        <v>209203</v>
      </c>
      <c r="V18" s="16" t="n">
        <f aca="false">Data!Z7+Data!Z8+Data!Z9+Data!Z10+Data!Z11+Data!Z12+Data!Z13+Data!Z14+Data!Z15+Data!Z16+Data!Z17+Data!Z18</f>
        <v>80247</v>
      </c>
      <c r="W18" s="16" t="n">
        <f aca="false">Data!AB7+Data!AB8+Data!AB9+Data!AB10+Data!AB11+Data!AB12+Data!AB13+Data!AB14+Data!AB15+Data!AB16+Data!AB17+Data!AB18</f>
        <v>266830</v>
      </c>
      <c r="X18" s="16" t="n">
        <f aca="false">Data!AC7+Data!AC8+Data!AC9+Data!AC10+Data!AC11+Data!AC12+Data!AC13+Data!AC14+Data!AC15+Data!AC16+Data!AC17+Data!AC18</f>
        <v>79340</v>
      </c>
      <c r="Y18" s="16" t="n">
        <f aca="false">Data!AD7+Data!AE7+Data!AF7+Data!AG7+Data!AH7+Data!AD8+Data!AE8+Data!AF8+Data!AG8+Data!AH8+Data!AD9+Data!AE9+Data!AF9+Data!AG9+Data!AH9+Data!AD10+Data!AE10+Data!AF10+Data!AG10+Data!AH10+Data!AD11+Data!AE11+Data!AF11+Data!AG11+Data!AH11+Data!AD12+Data!AE12+Data!AF12+Data!AG12+Data!AH12+Data!AD13+Data!AE13+Data!AF13+Data!AG13+Data!AH13+Data!AD14+Data!AE14+Data!AF14+Data!AG14+Data!AH14+Data!AD15+Data!AE15+Data!AF15+Data!AG15+Data!AH15+Data!AD16+Data!AE16+Data!AF16+Data!AG16+Data!AH16+Data!AD17+Data!AE17+Data!AF17+Data!AG17+Data!AH17+Data!AD18+Data!AE18+Data!AF18+Data!AG18+Data!AH18</f>
        <v>73593</v>
      </c>
      <c r="Z18" s="16" t="n">
        <f aca="false">Data!AI7+Data!AI8+Data!AI9+Data!AI10+Data!AI11+Data!AI12+Data!AI13+Data!AI14+Data!AI15+Data!AI16+Data!AI17+Data!AI18</f>
        <v>62502</v>
      </c>
      <c r="AA18" s="16" t="n">
        <f aca="false">Data!AJ7+Data!AJ8+Data!AJ9+Data!AJ10+Data!AJ11+Data!AJ12+Data!AJ13+Data!AJ14+Data!AJ15+Data!AJ16+Data!AJ17+Data!AJ18</f>
        <v>8139</v>
      </c>
      <c r="AB18" s="16" t="n">
        <f aca="false">Data!AK7+Data!AK8+Data!AK9+Data!AK10+Data!AK11+Data!AK12+Data!AK13+Data!AK14+Data!AK15+Data!AK16+Data!AK17+Data!AK18</f>
        <v>54630</v>
      </c>
      <c r="AC18" s="16" t="n">
        <f aca="false">Data!AL7+Data!AL8+Data!AL9+Data!AL10+Data!AL11+Data!AL12+Data!AL13+Data!AL14+Data!AL15+Data!AL16+Data!AL17+Data!AL18</f>
        <v>182043</v>
      </c>
      <c r="AD18" s="15" t="n">
        <f aca="false">Data!AM7+Data!AM8+Data!AM9+Data!AM10+Data!AM11+Data!AM12+Data!AM13+Data!AM14+Data!AM15+Data!AM16+Data!AM17+Data!AM18</f>
        <v>-343524</v>
      </c>
      <c r="AE18" s="16" t="n">
        <f aca="false">Data!AN7+Data!AN8+Data!AN9+Data!AN10+Data!AN11+Data!AN12+Data!AN13+Data!AN14+Data!AN15+Data!AN16+Data!AN17+Data!AN18</f>
        <v>131259</v>
      </c>
      <c r="AF18" s="15" t="n">
        <f aca="false">Data!AO7+Data!AO8+Data!AO9+Data!AO10+Data!AO11+Data!AO12+Data!AO13+Data!AO14+Data!AO15+Data!AO16+Data!AO17+Data!AO18</f>
        <v>-474785</v>
      </c>
    </row>
    <row r="19" customFormat="false" ht="15" hidden="false" customHeight="false" outlineLevel="0" collapsed="false">
      <c r="B19" s="14" t="str">
        <f aca="false">Data!B19</f>
        <v>2017-01</v>
      </c>
      <c r="C19" s="15" t="n">
        <f aca="false">Data!D8+Data!E8+Data!F8+Data!G8+Data!H8+Data!I8+Data!J8+Data!K8+Data!L8+Data!M8+Data!N8+Data!O8+Data!P8+Data!Q8+Data!R8+Data!S8+Data!D9+Data!E9+Data!F9+Data!G9+Data!H9+Data!I9+Data!J9+Data!K9+Data!L9+Data!M9+Data!N9+Data!O9+Data!P9+Data!Q9+Data!R9+Data!S9+Data!D10+Data!E10+Data!F10+Data!G10+Data!H10+Data!I10+Data!J10+Data!K10+Data!L10+Data!M10+Data!N10+Data!O10+Data!P10+Data!Q10+Data!R10+Data!S10+Data!D11+Data!E11+Data!F11+Data!G11+Data!H11+Data!I11+Data!J11+Data!K11+Data!L11+Data!M11+Data!N11+Data!O11+Data!P11+Data!Q11+Data!R11+Data!S11+Data!D12+Data!E12+Data!F12+Data!G12+Data!H12+Data!I12+Data!J12+Data!K12+Data!L12+Data!M12+Data!N12+Data!O12+Data!P12+Data!Q12+Data!R12+Data!S12+Data!D13+Data!E13+Data!F13+Data!G13+Data!H13+Data!I13+Data!J13+Data!K13+Data!L13+Data!M13+Data!N13+Data!O13+Data!P13+Data!Q13+Data!R13+Data!S13+Data!D14+Data!E14+Data!F14+Data!G14+Data!H14+Data!I14+Data!J14+Data!K14+Data!L14+Data!M14+Data!N14+Data!O14+Data!P14+Data!Q14+Data!R14+Data!S14+Data!D15+Data!E15+Data!F15+Data!G15+Data!H15+Data!I15+Data!J15+Data!K15+Data!L15+Data!M15+Data!N15+Data!O15+Data!P15+Data!Q15+Data!R15+Data!S15+Data!D16+Data!E16+Data!F16+Data!G16+Data!H16+Data!I16+Data!J16+Data!K16+Data!L16+Data!M16+Data!N16+Data!O16+Data!P16+Data!Q16+Data!R16+Data!S16+Data!D17+Data!E17+Data!F17+Data!G17+Data!H17+Data!I17+Data!J17+Data!K17+Data!L17+Data!M17+Data!N17+Data!O17+Data!P17+Data!Q17+Data!R17+Data!S17+Data!D18+Data!E18+Data!F18+Data!G18+Data!H18+Data!I18+Data!J18+Data!K18+Data!L18+Data!M18+Data!N18+Data!O18+Data!P18+Data!Q18+Data!R18+Data!S18+Data!D19+Data!E19+Data!F19+Data!G19+Data!H19+Data!I19+Data!J19+Data!K19+Data!L19+Data!M19+Data!N19+Data!O19+Data!P19+Data!Q19+Data!R19+Data!S19</f>
        <v>1677949</v>
      </c>
      <c r="D19" s="16" t="n">
        <f aca="false">Data!D8+Data!E8+Data!G8+Data!H8+Data!I8+Data!J8+Data!K8+Data!L8+Data!M8+Data!D9+Data!E9+Data!G9+Data!H9+Data!I9+Data!J9+Data!K9+Data!L9+Data!M9+Data!D10+Data!E10+Data!G10+Data!H10+Data!I10+Data!J10+Data!K10+Data!L10+Data!M10+Data!D11+Data!E11+Data!G11+Data!H11+Data!I11+Data!J11+Data!K11+Data!L11+Data!M11+Data!D12+Data!E12+Data!G12+Data!H12+Data!I12+Data!J12+Data!K12+Data!L12+Data!M12+Data!D13+Data!E13+Data!G13+Data!H13+Data!I13+Data!J13+Data!K13+Data!L13+Data!M13+Data!D14+Data!E14+Data!G14+Data!H14+Data!I14+Data!J14+Data!K14+Data!L14+Data!M14+Data!D15+Data!E15+Data!G15+Data!H15+Data!I15+Data!J15+Data!K15+Data!L15+Data!M15+Data!D16+Data!E16+Data!G16+Data!H16+Data!I16+Data!J16+Data!K16+Data!L16+Data!M16+Data!D17+Data!E17+Data!G17+Data!H17+Data!I17+Data!J17+Data!K17+Data!L17+Data!M17+Data!D18+Data!E18+Data!G18+Data!H18+Data!I18+Data!J18+Data!K18+Data!L18+Data!M18+Data!D19+Data!E19+Data!G19+Data!H19+Data!I19+Data!J19+Data!K19+Data!L19+Data!M19</f>
        <v>1004340</v>
      </c>
      <c r="E19" s="16" t="n">
        <f aca="false">Data!D8+Data!D9+Data!D10+Data!D11+Data!D12+Data!D13+Data!D14+Data!D15+Data!D16+Data!D17+Data!D18+Data!D19</f>
        <v>283872</v>
      </c>
      <c r="F19" s="16" t="n">
        <f aca="false">Data!E8+Data!E9+Data!E10+Data!E11+Data!E12+Data!E13+Data!E14+Data!E15+Data!E16+Data!E17+Data!E18+Data!E19</f>
        <v>224706</v>
      </c>
      <c r="G19" s="16" t="n">
        <f aca="false">Data!K8+Data!K9+Data!K10+Data!K11+Data!K12+Data!K13+Data!K14+Data!K15+Data!K16+Data!K17+Data!K18+Data!K19</f>
        <v>73014</v>
      </c>
      <c r="H19" s="16" t="n">
        <f aca="false">Data!L8+Data!L9+Data!L10+Data!L11+Data!L12+Data!L13+Data!L14+Data!L15+Data!L16+Data!L17+Data!L18+Data!L19</f>
        <v>56581</v>
      </c>
      <c r="I19" s="16" t="n">
        <f aca="false">Data!G8+Data!G9+Data!G10+Data!G11+Data!G12+Data!G13+Data!G14+Data!G15+Data!G16+Data!G17+Data!G18+Data!G19</f>
        <v>112443</v>
      </c>
      <c r="J19" s="16" t="n">
        <f aca="false">Data!H8+Data!I8+Data!J8+Data!M8+Data!H9+Data!I9+Data!J9+Data!M9+Data!H10+Data!I10+Data!J10+Data!M10+Data!H11+Data!I11+Data!J11+Data!M11+Data!H12+Data!I12+Data!J12+Data!M12+Data!H13+Data!I13+Data!J13+Data!M13+Data!H14+Data!I14+Data!J14+Data!M14+Data!H15+Data!I15+Data!J15+Data!M15+Data!H16+Data!I16+Data!J16+Data!M16+Data!H17+Data!I17+Data!J17+Data!M17+Data!H18+Data!I18+Data!J18+Data!M18+Data!H19+Data!I19+Data!J19+Data!M19</f>
        <v>253724</v>
      </c>
      <c r="K19" s="16" t="n">
        <f aca="false">Data!F8+Data!F9+Data!F10+Data!F11+Data!F12+Data!F13+Data!F14+Data!F15+Data!F16+Data!F17+Data!F18+Data!F19</f>
        <v>574456</v>
      </c>
      <c r="L19" s="16" t="n">
        <f aca="false">Data!N8+Data!O8+Data!P8+Data!Q8+Data!R8+Data!S8+Data!N9+Data!O9+Data!P9+Data!Q9+Data!R9+Data!S9+Data!N10+Data!O10+Data!P10+Data!Q10+Data!R10+Data!S10+Data!N11+Data!O11+Data!P11+Data!Q11+Data!R11+Data!S11+Data!N12+Data!O12+Data!P12+Data!Q12+Data!R12+Data!S12+Data!N13+Data!O13+Data!P13+Data!Q13+Data!R13+Data!S13+Data!N14+Data!O14+Data!P14+Data!Q14+Data!R14+Data!S14+Data!N15+Data!O15+Data!P15+Data!Q15+Data!R15+Data!S15+Data!N16+Data!O16+Data!P16+Data!Q16+Data!R16+Data!S16+Data!N17+Data!O17+Data!P17+Data!Q17+Data!R17+Data!S17+Data!N18+Data!O18+Data!P18+Data!Q18+Data!R18+Data!S18+Data!N19+Data!O19+Data!P19+Data!Q19+Data!R19+Data!S19</f>
        <v>99153</v>
      </c>
      <c r="M19" s="15" t="n">
        <f aca="false">Data!T8+Data!U8+Data!V8+Data!W8+Data!X8+Data!Y8+Data!Z8+Data!AA8+Data!AB8+Data!AC8+Data!AD8+Data!AE8+Data!AF8+Data!AG8+Data!AH8+Data!AI8+Data!AJ8+Data!AK8+Data!AL8+Data!T9+Data!U9+Data!V9+Data!W9+Data!X9+Data!Y9+Data!Z9+Data!AA9+Data!AB9+Data!AC9+Data!AD9+Data!AE9+Data!AF9+Data!AG9+Data!AH9+Data!AI9+Data!AJ9+Data!AK9+Data!AL9+Data!T10+Data!U10+Data!V10+Data!W10+Data!X10+Data!Y10+Data!Z10+Data!AA10+Data!AB10+Data!AC10+Data!AD10+Data!AE10+Data!AF10+Data!AG10+Data!AH10+Data!AI10+Data!AJ10+Data!AK10+Data!AL10+Data!T11+Data!U11+Data!V11+Data!W11+Data!X11+Data!Y11+Data!Z11+Data!AA11+Data!AB11+Data!AC11+Data!AD11+Data!AE11+Data!AF11+Data!AG11+Data!AH11+Data!AI11+Data!AJ11+Data!AK11+Data!AL11+Data!T12+Data!U12+Data!V12+Data!W12+Data!X12+Data!Y12+Data!Z12+Data!AA12+Data!AB12+Data!AC12+Data!AD12+Data!AE12+Data!AF12+Data!AG12+Data!AH12+Data!AI12+Data!AJ12+Data!AK12+Data!AL12+Data!T13+Data!U13+Data!V13+Data!W13+Data!X13+Data!Y13+Data!Z13+Data!AA13+Data!AB13+Data!AC13+Data!AD13+Data!AE13+Data!AF13+Data!AG13+Data!AH13+Data!AI13+Data!AJ13+Data!AK13+Data!AL13+Data!T14+Data!U14+Data!V14+Data!W14+Data!X14+Data!Y14+Data!Z14+Data!AA14+Data!AB14+Data!AC14+Data!AD14+Data!AE14+Data!AF14+Data!AG14+Data!AH14+Data!AI14+Data!AJ14+Data!AK14+Data!AL14+Data!T15+Data!U15+Data!V15+Data!W15+Data!X15+Data!Y15+Data!Z15+Data!AA15+Data!AB15+Data!AC15+Data!AD15+Data!AE15+Data!AF15+Data!AG15+Data!AH15+Data!AI15+Data!AJ15+Data!AK15+Data!AL15+Data!T16+Data!U16+Data!V16+Data!W16+Data!X16+Data!Y16+Data!Z16+Data!AA16+Data!AB16+Data!AC16+Data!AD16+Data!AE16+Data!AF16+Data!AG16+Data!AH16+Data!AI16+Data!AJ16+Data!AK16+Data!AL16+Data!T17+Data!U17+Data!V17+Data!W17+Data!X17+Data!Y17+Data!Z17+Data!AA17+Data!AB17+Data!AC17+Data!AD17+Data!AE17+Data!AF17+Data!AG17+Data!AH17+Data!AI17+Data!AJ17+Data!AK17+Data!AL17+Data!T18+Data!U18+Data!V18+Data!W18+Data!X18+Data!Y18+Data!Z18+Data!AA18+Data!AB18+Data!AC18+Data!AD18+Data!AE18+Data!AF18+Data!AG18+Data!AH18+Data!AI18+Data!AJ18+Data!AK18+Data!AL18+Data!T19+Data!U19+Data!V19+Data!W19+Data!X19+Data!Y19+Data!Z19+Data!AA19+Data!AB19+Data!AC19+Data!AD19+Data!AE19+Data!AF19+Data!AG19+Data!AH19+Data!AI19+Data!AJ19+Data!AK19+Data!AL19</f>
        <v>2018627</v>
      </c>
      <c r="N19" s="16" t="n">
        <f aca="false">Data!T8+Data!U8+Data!V8+Data!W8+Data!T9+Data!U9+Data!V9+Data!W9+Data!T10+Data!U10+Data!V10+Data!W10+Data!T11+Data!U11+Data!V11+Data!W11+Data!T12+Data!U12+Data!V12+Data!W12+Data!T13+Data!U13+Data!V13+Data!W13+Data!T14+Data!U14+Data!V14+Data!W14+Data!T15+Data!U15+Data!V15+Data!W15+Data!T16+Data!U16+Data!V16+Data!W16+Data!T17+Data!U17+Data!V17+Data!W17+Data!T18+Data!U18+Data!V18+Data!W18+Data!T19+Data!U19+Data!V19+Data!W19</f>
        <v>950075</v>
      </c>
      <c r="O19" s="16" t="n">
        <f aca="false">Data!T8+Data!T9+Data!T10+Data!T11+Data!T12+Data!T13+Data!T14+Data!T15+Data!T16+Data!T17+Data!T18+Data!T19</f>
        <v>672515</v>
      </c>
      <c r="P19" s="16" t="n">
        <f aca="false">Data!U8+Data!U9+Data!U10+Data!U11+Data!U12+Data!U13+Data!U14+Data!U15+Data!U16+Data!U17+Data!U18+Data!U19</f>
        <v>112645</v>
      </c>
      <c r="Q19" s="16" t="n">
        <f aca="false">Data!V8+Data!V9+Data!V10+Data!V11+Data!V12+Data!V13+Data!V14+Data!V15+Data!V16+Data!V17+Data!V18+Data!V19</f>
        <v>81141</v>
      </c>
      <c r="R19" s="16" t="n">
        <f aca="false">Data!W8+Data!W9+Data!W10+Data!W11+Data!W12+Data!W13+Data!W14+Data!W15+Data!W16+Data!W17+Data!W18+Data!W19</f>
        <v>83774</v>
      </c>
      <c r="S19" s="16" t="n">
        <f aca="false">Data!X8+Data!X9+Data!X10+Data!X11+Data!X12+Data!X13+Data!X14+Data!X15+Data!X16+Data!X17+Data!X18+Data!X19</f>
        <v>31453</v>
      </c>
      <c r="T19" s="16" t="n">
        <f aca="false">Data!Y8+Data!Z8+Data!AA8+Data!Y9+Data!Z9+Data!AA9+Data!Y10+Data!Z10+Data!AA10+Data!Y11+Data!Z11+Data!AA11+Data!Y12+Data!Z12+Data!AA12+Data!Y13+Data!Z13+Data!AA13+Data!Y14+Data!Z14+Data!AA14+Data!Y15+Data!Z15+Data!AA15+Data!Y16+Data!Z16+Data!AA16+Data!Y17+Data!Z17+Data!AA17+Data!Y18+Data!Z18+Data!AA18+Data!Y19+Data!Z19+Data!AA19</f>
        <v>290528</v>
      </c>
      <c r="U19" s="16" t="n">
        <f aca="false">Data!Y8+Data!Y9+Data!Y10+Data!Y11+Data!Y12+Data!Y13+Data!Y14+Data!Y15+Data!Y16+Data!Y17+Data!Y18+Data!Y19</f>
        <v>208340</v>
      </c>
      <c r="V19" s="16" t="n">
        <f aca="false">Data!Z8+Data!Z9+Data!Z10+Data!Z11+Data!Z12+Data!Z13+Data!Z14+Data!Z15+Data!Z16+Data!Z17+Data!Z18+Data!Z19</f>
        <v>80387</v>
      </c>
      <c r="W19" s="16" t="n">
        <f aca="false">Data!AB8+Data!AB9+Data!AB10+Data!AB11+Data!AB12+Data!AB13+Data!AB14+Data!AB15+Data!AB16+Data!AB17+Data!AB18+Data!AB19</f>
        <v>273836</v>
      </c>
      <c r="X19" s="16" t="n">
        <f aca="false">Data!AC8+Data!AC9+Data!AC10+Data!AC11+Data!AC12+Data!AC13+Data!AC14+Data!AC15+Data!AC16+Data!AC17+Data!AC18+Data!AC19</f>
        <v>82865</v>
      </c>
      <c r="Y19" s="16" t="n">
        <f aca="false">Data!AD8+Data!AE8+Data!AF8+Data!AG8+Data!AH8+Data!AD9+Data!AE9+Data!AF9+Data!AG9+Data!AH9+Data!AD10+Data!AE10+Data!AF10+Data!AG10+Data!AH10+Data!AD11+Data!AE11+Data!AF11+Data!AG11+Data!AH11+Data!AD12+Data!AE12+Data!AF12+Data!AG12+Data!AH12+Data!AD13+Data!AE13+Data!AF13+Data!AG13+Data!AH13+Data!AD14+Data!AE14+Data!AF14+Data!AG14+Data!AH14+Data!AD15+Data!AE15+Data!AF15+Data!AG15+Data!AH15+Data!AD16+Data!AE16+Data!AF16+Data!AG16+Data!AH16+Data!AD17+Data!AE17+Data!AF17+Data!AG17+Data!AH17+Data!AD18+Data!AE18+Data!AF18+Data!AG18+Data!AH18+Data!AD19+Data!AE19+Data!AF19+Data!AG19+Data!AH19</f>
        <v>76934</v>
      </c>
      <c r="Z19" s="16" t="n">
        <f aca="false">Data!AI8+Data!AI9+Data!AI10+Data!AI11+Data!AI12+Data!AI13+Data!AI14+Data!AI15+Data!AI16+Data!AI17+Data!AI18+Data!AI19</f>
        <v>63965</v>
      </c>
      <c r="AA19" s="16" t="n">
        <f aca="false">Data!AJ8+Data!AJ9+Data!AJ10+Data!AJ11+Data!AJ12+Data!AJ13+Data!AJ14+Data!AJ15+Data!AJ16+Data!AJ17+Data!AJ18+Data!AJ19</f>
        <v>8141</v>
      </c>
      <c r="AB19" s="16" t="n">
        <f aca="false">Data!AK8+Data!AK9+Data!AK10+Data!AK11+Data!AK12+Data!AK13+Data!AK14+Data!AK15+Data!AK16+Data!AK17+Data!AK18+Data!AK19</f>
        <v>56691</v>
      </c>
      <c r="AC19" s="16" t="n">
        <f aca="false">Data!AL8+Data!AL9+Data!AL10+Data!AL11+Data!AL12+Data!AL13+Data!AL14+Data!AL15+Data!AL16+Data!AL17+Data!AL18+Data!AL19</f>
        <v>184139</v>
      </c>
      <c r="AD19" s="15" t="n">
        <f aca="false">Data!AM8+Data!AM9+Data!AM10+Data!AM11+Data!AM12+Data!AM13+Data!AM14+Data!AM15+Data!AM16+Data!AM17+Data!AM18+Data!AM19</f>
        <v>-340678</v>
      </c>
      <c r="AE19" s="16" t="n">
        <f aca="false">Data!AN8+Data!AN9+Data!AN10+Data!AN11+Data!AN12+Data!AN13+Data!AN14+Data!AN15+Data!AN16+Data!AN17+Data!AN18+Data!AN19</f>
        <v>137464</v>
      </c>
      <c r="AF19" s="15" t="n">
        <f aca="false">Data!AO8+Data!AO9+Data!AO10+Data!AO11+Data!AO12+Data!AO13+Data!AO14+Data!AO15+Data!AO16+Data!AO17+Data!AO18+Data!AO19</f>
        <v>-478144</v>
      </c>
    </row>
    <row r="20" customFormat="false" ht="15" hidden="false" customHeight="false" outlineLevel="0" collapsed="false">
      <c r="B20" s="14" t="str">
        <f aca="false">Data!B20</f>
        <v>2017-02</v>
      </c>
      <c r="C20" s="15" t="n">
        <f aca="false">Data!D9+Data!E9+Data!F9+Data!G9+Data!H9+Data!I9+Data!J9+Data!K9+Data!L9+Data!M9+Data!N9+Data!O9+Data!P9+Data!Q9+Data!R9+Data!S9+Data!D10+Data!E10+Data!F10+Data!G10+Data!H10+Data!I10+Data!J10+Data!K10+Data!L10+Data!M10+Data!N10+Data!O10+Data!P10+Data!Q10+Data!R10+Data!S10+Data!D11+Data!E11+Data!F11+Data!G11+Data!H11+Data!I11+Data!J11+Data!K11+Data!L11+Data!M11+Data!N11+Data!O11+Data!P11+Data!Q11+Data!R11+Data!S11+Data!D12+Data!E12+Data!F12+Data!G12+Data!H12+Data!I12+Data!J12+Data!K12+Data!L12+Data!M12+Data!N12+Data!O12+Data!P12+Data!Q12+Data!R12+Data!S12+Data!D13+Data!E13+Data!F13+Data!G13+Data!H13+Data!I13+Data!J13+Data!K13+Data!L13+Data!M13+Data!N13+Data!O13+Data!P13+Data!Q13+Data!R13+Data!S13+Data!D14+Data!E14+Data!F14+Data!G14+Data!H14+Data!I14+Data!J14+Data!K14+Data!L14+Data!M14+Data!N14+Data!O14+Data!P14+Data!Q14+Data!R14+Data!S14+Data!D15+Data!E15+Data!F15+Data!G15+Data!H15+Data!I15+Data!J15+Data!K15+Data!L15+Data!M15+Data!N15+Data!O15+Data!P15+Data!Q15+Data!R15+Data!S15+Data!D16+Data!E16+Data!F16+Data!G16+Data!H16+Data!I16+Data!J16+Data!K16+Data!L16+Data!M16+Data!N16+Data!O16+Data!P16+Data!Q16+Data!R16+Data!S16+Data!D17+Data!E17+Data!F17+Data!G17+Data!H17+Data!I17+Data!J17+Data!K17+Data!L17+Data!M17+Data!N17+Data!O17+Data!P17+Data!Q17+Data!R17+Data!S17+Data!D18+Data!E18+Data!F18+Data!G18+Data!H18+Data!I18+Data!J18+Data!K18+Data!L18+Data!M18+Data!N18+Data!O18+Data!P18+Data!Q18+Data!R18+Data!S18+Data!D19+Data!E19+Data!F19+Data!G19+Data!H19+Data!I19+Data!J19+Data!K19+Data!L19+Data!M19+Data!N19+Data!O19+Data!P19+Data!Q19+Data!R19+Data!S19+Data!D20+Data!E20+Data!F20+Data!G20+Data!H20+Data!I20+Data!J20+Data!K20+Data!L20+Data!M20+Data!N20+Data!O20+Data!P20+Data!Q20+Data!R20+Data!S20</f>
        <v>1713761</v>
      </c>
      <c r="D20" s="16" t="n">
        <f aca="false">Data!D9+Data!E9+Data!G9+Data!H9+Data!I9+Data!J9+Data!K9+Data!L9+Data!M9+Data!D10+Data!E10+Data!G10+Data!H10+Data!I10+Data!J10+Data!K10+Data!L10+Data!M10+Data!D11+Data!E11+Data!G11+Data!H11+Data!I11+Data!J11+Data!K11+Data!L11+Data!M11+Data!D12+Data!E12+Data!G12+Data!H12+Data!I12+Data!J12+Data!K12+Data!L12+Data!M12+Data!D13+Data!E13+Data!G13+Data!H13+Data!I13+Data!J13+Data!K13+Data!L13+Data!M13+Data!D14+Data!E14+Data!G14+Data!H14+Data!I14+Data!J14+Data!K14+Data!L14+Data!M14+Data!D15+Data!E15+Data!G15+Data!H15+Data!I15+Data!J15+Data!K15+Data!L15+Data!M15+Data!D16+Data!E16+Data!G16+Data!H16+Data!I16+Data!J16+Data!K16+Data!L16+Data!M16+Data!D17+Data!E17+Data!G17+Data!H17+Data!I17+Data!J17+Data!K17+Data!L17+Data!M17+Data!D18+Data!E18+Data!G18+Data!H18+Data!I18+Data!J18+Data!K18+Data!L18+Data!M18+Data!D19+Data!E19+Data!G19+Data!H19+Data!I19+Data!J19+Data!K19+Data!L19+Data!M19+Data!D20+Data!E20+Data!G20+Data!H20+Data!I20+Data!J20+Data!K20+Data!L20+Data!M20</f>
        <v>1015958</v>
      </c>
      <c r="E20" s="16" t="n">
        <f aca="false">Data!D9+Data!D10+Data!D11+Data!D12+Data!D13+Data!D14+Data!D15+Data!D16+Data!D17+Data!D18+Data!D19+Data!D20</f>
        <v>287830</v>
      </c>
      <c r="F20" s="16" t="n">
        <f aca="false">Data!E9+Data!E10+Data!E11+Data!E12+Data!E13+Data!E14+Data!E15+Data!E16+Data!E17+Data!E18+Data!E19+Data!E20</f>
        <v>226551</v>
      </c>
      <c r="G20" s="16" t="n">
        <f aca="false">Data!K9+Data!K10+Data!K11+Data!K12+Data!K13+Data!K14+Data!K15+Data!K16+Data!K17+Data!K18+Data!K19+Data!K20</f>
        <v>70613</v>
      </c>
      <c r="H20" s="16" t="n">
        <f aca="false">Data!L9+Data!L10+Data!L11+Data!L12+Data!L13+Data!L14+Data!L15+Data!L16+Data!L17+Data!L18+Data!L19+Data!L20</f>
        <v>57084</v>
      </c>
      <c r="I20" s="16" t="n">
        <f aca="false">Data!G9+Data!G10+Data!G11+Data!G12+Data!G13+Data!G14+Data!G15+Data!G16+Data!G17+Data!G18+Data!G19+Data!G20</f>
        <v>114729</v>
      </c>
      <c r="J20" s="16" t="n">
        <f aca="false">Data!H9+Data!I9+Data!J9+Data!M9+Data!H10+Data!I10+Data!J10+Data!M10+Data!H11+Data!I11+Data!J11+Data!M11+Data!H12+Data!I12+Data!J12+Data!M12+Data!H13+Data!I13+Data!J13+Data!M13+Data!H14+Data!I14+Data!J14+Data!M14+Data!H15+Data!I15+Data!J15+Data!M15+Data!H16+Data!I16+Data!J16+Data!M16+Data!H17+Data!I17+Data!J17+Data!M17+Data!H18+Data!I18+Data!J18+Data!M18+Data!H19+Data!I19+Data!J19+Data!M19+Data!H20+Data!I20+Data!J20+Data!M20</f>
        <v>259151</v>
      </c>
      <c r="K20" s="16" t="n">
        <f aca="false">Data!F9+Data!F10+Data!F11+Data!F12+Data!F13+Data!F14+Data!F15+Data!F16+Data!F17+Data!F18+Data!F19+Data!F20</f>
        <v>589182</v>
      </c>
      <c r="L20" s="16" t="n">
        <f aca="false">Data!N9+Data!O9+Data!P9+Data!Q9+Data!R9+Data!S9+Data!N10+Data!O10+Data!P10+Data!Q10+Data!R10+Data!S10+Data!N11+Data!O11+Data!P11+Data!Q11+Data!R11+Data!S11+Data!N12+Data!O12+Data!P12+Data!Q12+Data!R12+Data!S12+Data!N13+Data!O13+Data!P13+Data!Q13+Data!R13+Data!S13+Data!N14+Data!O14+Data!P14+Data!Q14+Data!R14+Data!S14+Data!N15+Data!O15+Data!P15+Data!Q15+Data!R15+Data!S15+Data!N16+Data!O16+Data!P16+Data!Q16+Data!R16+Data!S16+Data!N17+Data!O17+Data!P17+Data!Q17+Data!R17+Data!S17+Data!N18+Data!O18+Data!P18+Data!Q18+Data!R18+Data!S18+Data!N19+Data!O19+Data!P19+Data!Q19+Data!R19+Data!S19+Data!N20+Data!O20+Data!P20+Data!Q20+Data!R20+Data!S20</f>
        <v>108621</v>
      </c>
      <c r="M20" s="15" t="n">
        <f aca="false">Data!T9+Data!U9+Data!V9+Data!W9+Data!X9+Data!Y9+Data!Z9+Data!AA9+Data!AB9+Data!AC9+Data!AD9+Data!AE9+Data!AF9+Data!AG9+Data!AH9+Data!AI9+Data!AJ9+Data!AK9+Data!AL9+Data!T10+Data!U10+Data!V10+Data!W10+Data!X10+Data!Y10+Data!Z10+Data!AA10+Data!AB10+Data!AC10+Data!AD10+Data!AE10+Data!AF10+Data!AG10+Data!AH10+Data!AI10+Data!AJ10+Data!AK10+Data!AL10+Data!T11+Data!U11+Data!V11+Data!W11+Data!X11+Data!Y11+Data!Z11+Data!AA11+Data!AB11+Data!AC11+Data!AD11+Data!AE11+Data!AF11+Data!AG11+Data!AH11+Data!AI11+Data!AJ11+Data!AK11+Data!AL11+Data!T12+Data!U12+Data!V12+Data!W12+Data!X12+Data!Y12+Data!Z12+Data!AA12+Data!AB12+Data!AC12+Data!AD12+Data!AE12+Data!AF12+Data!AG12+Data!AH12+Data!AI12+Data!AJ12+Data!AK12+Data!AL12+Data!T13+Data!U13+Data!V13+Data!W13+Data!X13+Data!Y13+Data!Z13+Data!AA13+Data!AB13+Data!AC13+Data!AD13+Data!AE13+Data!AF13+Data!AG13+Data!AH13+Data!AI13+Data!AJ13+Data!AK13+Data!AL13+Data!T14+Data!U14+Data!V14+Data!W14+Data!X14+Data!Y14+Data!Z14+Data!AA14+Data!AB14+Data!AC14+Data!AD14+Data!AE14+Data!AF14+Data!AG14+Data!AH14+Data!AI14+Data!AJ14+Data!AK14+Data!AL14+Data!T15+Data!U15+Data!V15+Data!W15+Data!X15+Data!Y15+Data!Z15+Data!AA15+Data!AB15+Data!AC15+Data!AD15+Data!AE15+Data!AF15+Data!AG15+Data!AH15+Data!AI15+Data!AJ15+Data!AK15+Data!AL15+Data!T16+Data!U16+Data!V16+Data!W16+Data!X16+Data!Y16+Data!Z16+Data!AA16+Data!AB16+Data!AC16+Data!AD16+Data!AE16+Data!AF16+Data!AG16+Data!AH16+Data!AI16+Data!AJ16+Data!AK16+Data!AL16+Data!T17+Data!U17+Data!V17+Data!W17+Data!X17+Data!Y17+Data!Z17+Data!AA17+Data!AB17+Data!AC17+Data!AD17+Data!AE17+Data!AF17+Data!AG17+Data!AH17+Data!AI17+Data!AJ17+Data!AK17+Data!AL17+Data!T18+Data!U18+Data!V18+Data!W18+Data!X18+Data!Y18+Data!Z18+Data!AA18+Data!AB18+Data!AC18+Data!AD18+Data!AE18+Data!AF18+Data!AG18+Data!AH18+Data!AI18+Data!AJ18+Data!AK18+Data!AL18+Data!T19+Data!U19+Data!V19+Data!W19+Data!X19+Data!Y19+Data!Z19+Data!AA19+Data!AB19+Data!AC19+Data!AD19+Data!AE19+Data!AF19+Data!AG19+Data!AH19+Data!AI19+Data!AJ19+Data!AK19+Data!AL19+Data!T20+Data!U20+Data!V20+Data!W20+Data!X20+Data!Y20+Data!Z20+Data!AA20+Data!AB20+Data!AC20+Data!AD20+Data!AE20+Data!AF20+Data!AG20+Data!AH20+Data!AI20+Data!AJ20+Data!AK20+Data!AL20</f>
        <v>2064544</v>
      </c>
      <c r="N20" s="16" t="n">
        <f aca="false">Data!T9+Data!U9+Data!V9+Data!W9+Data!T10+Data!U10+Data!V10+Data!W10+Data!T11+Data!U11+Data!V11+Data!W11+Data!T12+Data!U12+Data!V12+Data!W12+Data!T13+Data!U13+Data!V13+Data!W13+Data!T14+Data!U14+Data!V14+Data!W14+Data!T15+Data!U15+Data!V15+Data!W15+Data!T16+Data!U16+Data!V16+Data!W16+Data!T17+Data!U17+Data!V17+Data!W17+Data!T18+Data!U18+Data!V18+Data!W18+Data!T19+Data!U19+Data!V19+Data!W19+Data!T20+Data!U20+Data!V20+Data!W20</f>
        <v>978059</v>
      </c>
      <c r="O20" s="16" t="n">
        <f aca="false">Data!T9+Data!T10+Data!T11+Data!T12+Data!T13+Data!T14+Data!T15+Data!T16+Data!T17+Data!T18+Data!T19+Data!T20</f>
        <v>692538</v>
      </c>
      <c r="P20" s="16" t="n">
        <f aca="false">Data!U9+Data!U10+Data!U11+Data!U12+Data!U13+Data!U14+Data!U15+Data!U16+Data!U17+Data!U18+Data!U19+Data!U20</f>
        <v>116473</v>
      </c>
      <c r="Q20" s="16" t="n">
        <f aca="false">Data!V9+Data!V10+Data!V11+Data!V12+Data!V13+Data!V14+Data!V15+Data!V16+Data!V17+Data!V18+Data!V19+Data!V20</f>
        <v>83696</v>
      </c>
      <c r="R20" s="16" t="n">
        <f aca="false">Data!W9+Data!W10+Data!W11+Data!W12+Data!W13+Data!W14+Data!W15+Data!W16+Data!W17+Data!W18+Data!W19+Data!W20</f>
        <v>85352</v>
      </c>
      <c r="S20" s="16" t="n">
        <f aca="false">Data!X9+Data!X10+Data!X11+Data!X12+Data!X13+Data!X14+Data!X15+Data!X16+Data!X17+Data!X18+Data!X19+Data!X20</f>
        <v>31135</v>
      </c>
      <c r="T20" s="16" t="n">
        <f aca="false">Data!Y9+Data!Z9+Data!AA9+Data!Y10+Data!Z10+Data!AA10+Data!Y11+Data!Z11+Data!AA11+Data!Y12+Data!Z12+Data!AA12+Data!Y13+Data!Z13+Data!AA13+Data!Y14+Data!Z14+Data!AA14+Data!Y15+Data!Z15+Data!AA15+Data!Y16+Data!Z16+Data!AA16+Data!Y17+Data!Z17+Data!AA17+Data!Y18+Data!Z18+Data!AA18+Data!Y19+Data!Z19+Data!AA19+Data!Y20+Data!Z20+Data!AA20</f>
        <v>293480</v>
      </c>
      <c r="U20" s="16" t="n">
        <f aca="false">Data!Y9+Data!Y10+Data!Y11+Data!Y12+Data!Y13+Data!Y14+Data!Y15+Data!Y16+Data!Y17+Data!Y18+Data!Y19+Data!Y20</f>
        <v>207955</v>
      </c>
      <c r="V20" s="16" t="n">
        <f aca="false">Data!Z9+Data!Z10+Data!Z11+Data!Z12+Data!Z13+Data!Z14+Data!Z15+Data!Z16+Data!Z17+Data!Z18+Data!Z19+Data!Z20</f>
        <v>83211</v>
      </c>
      <c r="W20" s="16" t="n">
        <f aca="false">Data!AB9+Data!AB10+Data!AB11+Data!AB12+Data!AB13+Data!AB14+Data!AB15+Data!AB16+Data!AB17+Data!AB18+Data!AB19+Data!AB20</f>
        <v>279416</v>
      </c>
      <c r="X20" s="16" t="n">
        <f aca="false">Data!AC9+Data!AC10+Data!AC11+Data!AC12+Data!AC13+Data!AC14+Data!AC15+Data!AC16+Data!AC17+Data!AC18+Data!AC19+Data!AC20</f>
        <v>82885</v>
      </c>
      <c r="Y20" s="16" t="n">
        <f aca="false">Data!AD9+Data!AE9+Data!AF9+Data!AG9+Data!AH9+Data!AD10+Data!AE10+Data!AF10+Data!AG10+Data!AH10+Data!AD11+Data!AE11+Data!AF11+Data!AG11+Data!AH11+Data!AD12+Data!AE12+Data!AF12+Data!AG12+Data!AH12+Data!AD13+Data!AE13+Data!AF13+Data!AG13+Data!AH13+Data!AD14+Data!AE14+Data!AF14+Data!AG14+Data!AH14+Data!AD15+Data!AE15+Data!AF15+Data!AG15+Data!AH15+Data!AD16+Data!AE16+Data!AF16+Data!AG16+Data!AH16+Data!AD17+Data!AE17+Data!AF17+Data!AG17+Data!AH17+Data!AD18+Data!AE18+Data!AF18+Data!AG18+Data!AH18+Data!AD19+Data!AE19+Data!AF19+Data!AG19+Data!AH19+Data!AD20+Data!AE20+Data!AF20+Data!AG20+Data!AH20</f>
        <v>81201</v>
      </c>
      <c r="Z20" s="16" t="n">
        <f aca="false">Data!AI9+Data!AI10+Data!AI11+Data!AI12+Data!AI13+Data!AI14+Data!AI15+Data!AI16+Data!AI17+Data!AI18+Data!AI19+Data!AI20</f>
        <v>66537</v>
      </c>
      <c r="AA20" s="16" t="n">
        <f aca="false">Data!AJ9+Data!AJ10+Data!AJ11+Data!AJ12+Data!AJ13+Data!AJ14+Data!AJ15+Data!AJ16+Data!AJ17+Data!AJ18+Data!AJ19+Data!AJ20</f>
        <v>6209</v>
      </c>
      <c r="AB20" s="16" t="n">
        <f aca="false">Data!AK9+Data!AK10+Data!AK11+Data!AK12+Data!AK13+Data!AK14+Data!AK15+Data!AK16+Data!AK17+Data!AK18+Data!AK19+Data!AK20</f>
        <v>55255</v>
      </c>
      <c r="AC20" s="16" t="n">
        <f aca="false">Data!AL9+Data!AL10+Data!AL11+Data!AL12+Data!AL13+Data!AL14+Data!AL15+Data!AL16+Data!AL17+Data!AL18+Data!AL19+Data!AL20</f>
        <v>190367</v>
      </c>
      <c r="AD20" s="15" t="n">
        <f aca="false">Data!AM9+Data!AM10+Data!AM11+Data!AM12+Data!AM13+Data!AM14+Data!AM15+Data!AM16+Data!AM17+Data!AM18+Data!AM19+Data!AM20</f>
        <v>-350783</v>
      </c>
      <c r="AE20" s="16" t="n">
        <f aca="false">Data!AN9+Data!AN10+Data!AN11+Data!AN12+Data!AN13+Data!AN14+Data!AN15+Data!AN16+Data!AN17+Data!AN18+Data!AN19+Data!AN20</f>
        <v>136823</v>
      </c>
      <c r="AF20" s="15" t="n">
        <f aca="false">Data!AO9+Data!AO10+Data!AO11+Data!AO12+Data!AO13+Data!AO14+Data!AO15+Data!AO16+Data!AO17+Data!AO18+Data!AO19+Data!AO20</f>
        <v>-487607</v>
      </c>
    </row>
    <row r="21" customFormat="false" ht="15" hidden="false" customHeight="false" outlineLevel="0" collapsed="false">
      <c r="B21" s="14" t="str">
        <f aca="false">Data!B21</f>
        <v>2017-03</v>
      </c>
      <c r="C21" s="15" t="n">
        <f aca="false">Data!D10+Data!E10+Data!F10+Data!G10+Data!H10+Data!I10+Data!J10+Data!K10+Data!L10+Data!M10+Data!N10+Data!O10+Data!P10+Data!Q10+Data!R10+Data!S10+Data!D11+Data!E11+Data!F11+Data!G11+Data!H11+Data!I11+Data!J11+Data!K11+Data!L11+Data!M11+Data!N11+Data!O11+Data!P11+Data!Q11+Data!R11+Data!S11+Data!D12+Data!E12+Data!F12+Data!G12+Data!H12+Data!I12+Data!J12+Data!K12+Data!L12+Data!M12+Data!N12+Data!O12+Data!P12+Data!Q12+Data!R12+Data!S12+Data!D13+Data!E13+Data!F13+Data!G13+Data!H13+Data!I13+Data!J13+Data!K13+Data!L13+Data!M13+Data!N13+Data!O13+Data!P13+Data!Q13+Data!R13+Data!S13+Data!D14+Data!E14+Data!F14+Data!G14+Data!H14+Data!I14+Data!J14+Data!K14+Data!L14+Data!M14+Data!N14+Data!O14+Data!P14+Data!Q14+Data!R14+Data!S14+Data!D15+Data!E15+Data!F15+Data!G15+Data!H15+Data!I15+Data!J15+Data!K15+Data!L15+Data!M15+Data!N15+Data!O15+Data!P15+Data!Q15+Data!R15+Data!S15+Data!D16+Data!E16+Data!F16+Data!G16+Data!H16+Data!I16+Data!J16+Data!K16+Data!L16+Data!M16+Data!N16+Data!O16+Data!P16+Data!Q16+Data!R16+Data!S16+Data!D17+Data!E17+Data!F17+Data!G17+Data!H17+Data!I17+Data!J17+Data!K17+Data!L17+Data!M17+Data!N17+Data!O17+Data!P17+Data!Q17+Data!R17+Data!S17+Data!D18+Data!E18+Data!F18+Data!G18+Data!H18+Data!I18+Data!J18+Data!K18+Data!L18+Data!M18+Data!N18+Data!O18+Data!P18+Data!Q18+Data!R18+Data!S18+Data!D19+Data!E19+Data!F19+Data!G19+Data!H19+Data!I19+Data!J19+Data!K19+Data!L19+Data!M19+Data!N19+Data!O19+Data!P19+Data!Q19+Data!R19+Data!S19+Data!D20+Data!E20+Data!F20+Data!G20+Data!H20+Data!I20+Data!J20+Data!K20+Data!L20+Data!M20+Data!N20+Data!O20+Data!P20+Data!Q20+Data!R20+Data!S20+Data!D21+Data!E21+Data!F21+Data!G21+Data!H21+Data!I21+Data!J21+Data!K21+Data!L21+Data!M21+Data!N21+Data!O21+Data!P21+Data!Q21+Data!R21+Data!S21</f>
        <v>1765869</v>
      </c>
      <c r="D21" s="16" t="n">
        <f aca="false">Data!D10+Data!E10+Data!G10+Data!H10+Data!I10+Data!J10+Data!K10+Data!L10+Data!M10+Data!D11+Data!E11+Data!G11+Data!H11+Data!I11+Data!J11+Data!K11+Data!L11+Data!M11+Data!D12+Data!E12+Data!G12+Data!H12+Data!I12+Data!J12+Data!K12+Data!L12+Data!M12+Data!D13+Data!E13+Data!G13+Data!H13+Data!I13+Data!J13+Data!K13+Data!L13+Data!M13+Data!D14+Data!E14+Data!G14+Data!H14+Data!I14+Data!J14+Data!K14+Data!L14+Data!M14+Data!D15+Data!E15+Data!G15+Data!H15+Data!I15+Data!J15+Data!K15+Data!L15+Data!M15+Data!D16+Data!E16+Data!G16+Data!H16+Data!I16+Data!J16+Data!K16+Data!L16+Data!M16+Data!D17+Data!E17+Data!G17+Data!H17+Data!I17+Data!J17+Data!K17+Data!L17+Data!M17+Data!D18+Data!E18+Data!G18+Data!H18+Data!I18+Data!J18+Data!K18+Data!L18+Data!M18+Data!D19+Data!E19+Data!G19+Data!H19+Data!I19+Data!J19+Data!K19+Data!L19+Data!M19+Data!D20+Data!E20+Data!G20+Data!H20+Data!I20+Data!J20+Data!K20+Data!L20+Data!M20+Data!D21+Data!E21+Data!G21+Data!H21+Data!I21+Data!J21+Data!K21+Data!L21+Data!M21</f>
        <v>1048366</v>
      </c>
      <c r="E21" s="16" t="n">
        <f aca="false">Data!D10+Data!D11+Data!D12+Data!D13+Data!D14+Data!D15+Data!D16+Data!D17+Data!D18+Data!D19+Data!D20+Data!D21</f>
        <v>289731</v>
      </c>
      <c r="F21" s="16" t="n">
        <f aca="false">Data!E10+Data!E11+Data!E12+Data!E13+Data!E14+Data!E15+Data!E16+Data!E17+Data!E18+Data!E19+Data!E20+Data!E21</f>
        <v>230174</v>
      </c>
      <c r="G21" s="16" t="n">
        <f aca="false">Data!K10+Data!K11+Data!K12+Data!K13+Data!K14+Data!K15+Data!K16+Data!K17+Data!K18+Data!K19+Data!K20+Data!K21</f>
        <v>69738</v>
      </c>
      <c r="H21" s="16" t="n">
        <f aca="false">Data!L10+Data!L11+Data!L12+Data!L13+Data!L14+Data!L15+Data!L16+Data!L17+Data!L18+Data!L19+Data!L20+Data!L21</f>
        <v>57696</v>
      </c>
      <c r="I21" s="16" t="n">
        <f aca="false">Data!G10+Data!G11+Data!G12+Data!G13+Data!G14+Data!G15+Data!G16+Data!G17+Data!G18+Data!G19+Data!G20+Data!G21</f>
        <v>117779</v>
      </c>
      <c r="J21" s="16" t="n">
        <f aca="false">Data!H10+Data!I10+Data!J10+Data!M10+Data!H11+Data!I11+Data!J11+Data!M11+Data!H12+Data!I12+Data!J12+Data!M12+Data!H13+Data!I13+Data!J13+Data!M13+Data!H14+Data!I14+Data!J14+Data!M14+Data!H15+Data!I15+Data!J15+Data!M15+Data!H16+Data!I16+Data!J16+Data!M16+Data!H17+Data!I17+Data!J17+Data!M17+Data!H18+Data!I18+Data!J18+Data!M18+Data!H19+Data!I19+Data!J19+Data!M19+Data!H20+Data!I20+Data!J20+Data!M20+Data!H21+Data!I21+Data!J21+Data!M21</f>
        <v>283248</v>
      </c>
      <c r="K21" s="16" t="n">
        <f aca="false">Data!F10+Data!F11+Data!F12+Data!F13+Data!F14+Data!F15+Data!F16+Data!F17+Data!F18+Data!F19+Data!F20+Data!F21</f>
        <v>605587</v>
      </c>
      <c r="L21" s="16" t="n">
        <f aca="false">Data!N10+Data!O10+Data!P10+Data!Q10+Data!R10+Data!S10+Data!N11+Data!O11+Data!P11+Data!Q11+Data!R11+Data!S11+Data!N12+Data!O12+Data!P12+Data!Q12+Data!R12+Data!S12+Data!N13+Data!O13+Data!P13+Data!Q13+Data!R13+Data!S13+Data!N14+Data!O14+Data!P14+Data!Q14+Data!R14+Data!S14+Data!N15+Data!O15+Data!P15+Data!Q15+Data!R15+Data!S15+Data!N16+Data!O16+Data!P16+Data!Q16+Data!R16+Data!S16+Data!N17+Data!O17+Data!P17+Data!Q17+Data!R17+Data!S17+Data!N18+Data!O18+Data!P18+Data!Q18+Data!R18+Data!S18+Data!N19+Data!O19+Data!P19+Data!Q19+Data!R19+Data!S19+Data!N20+Data!O20+Data!P20+Data!Q20+Data!R20+Data!S20+Data!N21+Data!O21+Data!P21+Data!Q21+Data!R21+Data!S21</f>
        <v>111916</v>
      </c>
      <c r="M21" s="15" t="n">
        <f aca="false">Data!T10+Data!U10+Data!V10+Data!W10+Data!X10+Data!Y10+Data!Z10+Data!AA10+Data!AB10+Data!AC10+Data!AD10+Data!AE10+Data!AF10+Data!AG10+Data!AH10+Data!AI10+Data!AJ10+Data!AK10+Data!AL10+Data!T11+Data!U11+Data!V11+Data!W11+Data!X11+Data!Y11+Data!Z11+Data!AA11+Data!AB11+Data!AC11+Data!AD11+Data!AE11+Data!AF11+Data!AG11+Data!AH11+Data!AI11+Data!AJ11+Data!AK11+Data!AL11+Data!T12+Data!U12+Data!V12+Data!W12+Data!X12+Data!Y12+Data!Z12+Data!AA12+Data!AB12+Data!AC12+Data!AD12+Data!AE12+Data!AF12+Data!AG12+Data!AH12+Data!AI12+Data!AJ12+Data!AK12+Data!AL12+Data!T13+Data!U13+Data!V13+Data!W13+Data!X13+Data!Y13+Data!Z13+Data!AA13+Data!AB13+Data!AC13+Data!AD13+Data!AE13+Data!AF13+Data!AG13+Data!AH13+Data!AI13+Data!AJ13+Data!AK13+Data!AL13+Data!T14+Data!U14+Data!V14+Data!W14+Data!X14+Data!Y14+Data!Z14+Data!AA14+Data!AB14+Data!AC14+Data!AD14+Data!AE14+Data!AF14+Data!AG14+Data!AH14+Data!AI14+Data!AJ14+Data!AK14+Data!AL14+Data!T15+Data!U15+Data!V15+Data!W15+Data!X15+Data!Y15+Data!Z15+Data!AA15+Data!AB15+Data!AC15+Data!AD15+Data!AE15+Data!AF15+Data!AG15+Data!AH15+Data!AI15+Data!AJ15+Data!AK15+Data!AL15+Data!T16+Data!U16+Data!V16+Data!W16+Data!X16+Data!Y16+Data!Z16+Data!AA16+Data!AB16+Data!AC16+Data!AD16+Data!AE16+Data!AF16+Data!AG16+Data!AH16+Data!AI16+Data!AJ16+Data!AK16+Data!AL16+Data!T17+Data!U17+Data!V17+Data!W17+Data!X17+Data!Y17+Data!Z17+Data!AA17+Data!AB17+Data!AC17+Data!AD17+Data!AE17+Data!AF17+Data!AG17+Data!AH17+Data!AI17+Data!AJ17+Data!AK17+Data!AL17+Data!T18+Data!U18+Data!V18+Data!W18+Data!X18+Data!Y18+Data!Z18+Data!AA18+Data!AB18+Data!AC18+Data!AD18+Data!AE18+Data!AF18+Data!AG18+Data!AH18+Data!AI18+Data!AJ18+Data!AK18+Data!AL18+Data!T19+Data!U19+Data!V19+Data!W19+Data!X19+Data!Y19+Data!Z19+Data!AA19+Data!AB19+Data!AC19+Data!AD19+Data!AE19+Data!AF19+Data!AG19+Data!AH19+Data!AI19+Data!AJ19+Data!AK19+Data!AL19+Data!T20+Data!U20+Data!V20+Data!W20+Data!X20+Data!Y20+Data!Z20+Data!AA20+Data!AB20+Data!AC20+Data!AD20+Data!AE20+Data!AF20+Data!AG20+Data!AH20+Data!AI20+Data!AJ20+Data!AK20+Data!AL20+Data!T21+Data!U21+Data!V21+Data!W21+Data!X21+Data!Y21+Data!Z21+Data!AA21+Data!AB21+Data!AC21+Data!AD21+Data!AE21+Data!AF21+Data!AG21+Data!AH21+Data!AI21+Data!AJ21+Data!AK21+Data!AL21</f>
        <v>2104824</v>
      </c>
      <c r="N21" s="16" t="n">
        <f aca="false">Data!T10+Data!U10+Data!V10+Data!W10+Data!T11+Data!U11+Data!V11+Data!W11+Data!T12+Data!U12+Data!V12+Data!W12+Data!T13+Data!U13+Data!V13+Data!W13+Data!T14+Data!U14+Data!V14+Data!W14+Data!T15+Data!U15+Data!V15+Data!W15+Data!T16+Data!U16+Data!V16+Data!W16+Data!T17+Data!U17+Data!V17+Data!W17+Data!T18+Data!U18+Data!V18+Data!W18+Data!T19+Data!U19+Data!V19+Data!W19+Data!T20+Data!U20+Data!V20+Data!W20+Data!T21+Data!U21+Data!V21+Data!W21</f>
        <v>1005468</v>
      </c>
      <c r="O21" s="16" t="n">
        <f aca="false">Data!T10+Data!T11+Data!T12+Data!T13+Data!T14+Data!T15+Data!T16+Data!T17+Data!T18+Data!T19+Data!T20+Data!T21</f>
        <v>711955</v>
      </c>
      <c r="P21" s="16" t="n">
        <f aca="false">Data!U10+Data!U11+Data!U12+Data!U13+Data!U14+Data!U15+Data!U16+Data!U17+Data!U18+Data!U19+Data!U20+Data!U21</f>
        <v>120789</v>
      </c>
      <c r="Q21" s="16" t="n">
        <f aca="false">Data!V10+Data!V11+Data!V12+Data!V13+Data!V14+Data!V15+Data!V16+Data!V17+Data!V18+Data!V19+Data!V20+Data!V21</f>
        <v>85396</v>
      </c>
      <c r="R21" s="16" t="n">
        <f aca="false">Data!W10+Data!W11+Data!W12+Data!W13+Data!W14+Data!W15+Data!W16+Data!W17+Data!W18+Data!W19+Data!W20+Data!W21</f>
        <v>87328</v>
      </c>
      <c r="S21" s="16" t="n">
        <f aca="false">Data!X10+Data!X11+Data!X12+Data!X13+Data!X14+Data!X15+Data!X16+Data!X17+Data!X18+Data!X19+Data!X20+Data!X21</f>
        <v>32241</v>
      </c>
      <c r="T21" s="16" t="n">
        <f aca="false">Data!Y10+Data!Z10+Data!AA10+Data!Y11+Data!Z11+Data!AA11+Data!Y12+Data!Z12+Data!AA12+Data!Y13+Data!Z13+Data!AA13+Data!Y14+Data!Z14+Data!AA14+Data!Y15+Data!Z15+Data!AA15+Data!Y16+Data!Z16+Data!AA16+Data!Y17+Data!Z17+Data!AA17+Data!Y18+Data!Z18+Data!AA18+Data!Y19+Data!Z19+Data!AA19+Data!Y20+Data!Z20+Data!AA20+Data!Y21+Data!Z21+Data!AA21</f>
        <v>291135</v>
      </c>
      <c r="U21" s="16" t="n">
        <f aca="false">Data!Y10+Data!Y11+Data!Y12+Data!Y13+Data!Y14+Data!Y15+Data!Y16+Data!Y17+Data!Y18+Data!Y19+Data!Y20+Data!Y21</f>
        <v>205123</v>
      </c>
      <c r="V21" s="16" t="n">
        <f aca="false">Data!Z10+Data!Z11+Data!Z12+Data!Z13+Data!Z14+Data!Z15+Data!Z16+Data!Z17+Data!Z18+Data!Z19+Data!Z20+Data!Z21</f>
        <v>83172</v>
      </c>
      <c r="W21" s="16" t="n">
        <f aca="false">Data!AB10+Data!AB11+Data!AB12+Data!AB13+Data!AB14+Data!AB15+Data!AB16+Data!AB17+Data!AB18+Data!AB19+Data!AB20+Data!AB21</f>
        <v>284795</v>
      </c>
      <c r="X21" s="16" t="n">
        <f aca="false">Data!AC10+Data!AC11+Data!AC12+Data!AC13+Data!AC14+Data!AC15+Data!AC16+Data!AC17+Data!AC18+Data!AC19+Data!AC20+Data!AC21</f>
        <v>84367</v>
      </c>
      <c r="Y21" s="16" t="n">
        <f aca="false">Data!AD10+Data!AE10+Data!AF10+Data!AG10+Data!AH10+Data!AD11+Data!AE11+Data!AF11+Data!AG11+Data!AH11+Data!AD12+Data!AE12+Data!AF12+Data!AG12+Data!AH12+Data!AD13+Data!AE13+Data!AF13+Data!AG13+Data!AH13+Data!AD14+Data!AE14+Data!AF14+Data!AG14+Data!AH14+Data!AD15+Data!AE15+Data!AF15+Data!AG15+Data!AH15+Data!AD16+Data!AE16+Data!AF16+Data!AG16+Data!AH16+Data!AD17+Data!AE17+Data!AF17+Data!AG17+Data!AH17+Data!AD18+Data!AE18+Data!AF18+Data!AG18+Data!AH18+Data!AD19+Data!AE19+Data!AF19+Data!AG19+Data!AH19+Data!AD20+Data!AE20+Data!AF20+Data!AG20+Data!AH20+Data!AD21+Data!AE21+Data!AF21+Data!AG21+Data!AH21</f>
        <v>83239</v>
      </c>
      <c r="Z21" s="16" t="n">
        <f aca="false">Data!AI10+Data!AI11+Data!AI12+Data!AI13+Data!AI14+Data!AI15+Data!AI16+Data!AI17+Data!AI18+Data!AI19+Data!AI20+Data!AI21</f>
        <v>68511</v>
      </c>
      <c r="AA21" s="16" t="n">
        <f aca="false">Data!AJ10+Data!AJ11+Data!AJ12+Data!AJ13+Data!AJ14+Data!AJ15+Data!AJ16+Data!AJ17+Data!AJ18+Data!AJ19+Data!AJ20+Data!AJ21</f>
        <v>5627</v>
      </c>
      <c r="AB21" s="16" t="n">
        <f aca="false">Data!AK10+Data!AK11+Data!AK12+Data!AK13+Data!AK14+Data!AK15+Data!AK16+Data!AK17+Data!AK18+Data!AK19+Data!AK20+Data!AK21</f>
        <v>53422</v>
      </c>
      <c r="AC21" s="16" t="n">
        <f aca="false">Data!AL10+Data!AL11+Data!AL12+Data!AL13+Data!AL14+Data!AL15+Data!AL16+Data!AL17+Data!AL18+Data!AL19+Data!AL20+Data!AL21</f>
        <v>196019</v>
      </c>
      <c r="AD21" s="15" t="n">
        <f aca="false">Data!AM10+Data!AM11+Data!AM12+Data!AM13+Data!AM14+Data!AM15+Data!AM16+Data!AM17+Data!AM18+Data!AM19+Data!AM20+Data!AM21</f>
        <v>-338955</v>
      </c>
      <c r="AE21" s="16" t="n">
        <f aca="false">Data!AN10+Data!AN11+Data!AN12+Data!AN13+Data!AN14+Data!AN15+Data!AN16+Data!AN17+Data!AN18+Data!AN19+Data!AN20+Data!AN21</f>
        <v>141900</v>
      </c>
      <c r="AF21" s="15" t="n">
        <f aca="false">Data!AO10+Data!AO11+Data!AO12+Data!AO13+Data!AO14+Data!AO15+Data!AO16+Data!AO17+Data!AO18+Data!AO19+Data!AO20+Data!AO21</f>
        <v>-480856</v>
      </c>
    </row>
    <row r="22" customFormat="false" ht="15" hidden="false" customHeight="false" outlineLevel="0" collapsed="false">
      <c r="B22" s="14" t="str">
        <f aca="false">Data!B22</f>
        <v>2017-04</v>
      </c>
      <c r="C22" s="15" t="n">
        <f aca="false">Data!D11+Data!E11+Data!F11+Data!G11+Data!H11+Data!I11+Data!J11+Data!K11+Data!L11+Data!M11+Data!N11+Data!O11+Data!P11+Data!Q11+Data!R11+Data!S11+Data!D12+Data!E12+Data!F12+Data!G12+Data!H12+Data!I12+Data!J12+Data!K12+Data!L12+Data!M12+Data!N12+Data!O12+Data!P12+Data!Q12+Data!R12+Data!S12+Data!D13+Data!E13+Data!F13+Data!G13+Data!H13+Data!I13+Data!J13+Data!K13+Data!L13+Data!M13+Data!N13+Data!O13+Data!P13+Data!Q13+Data!R13+Data!S13+Data!D14+Data!E14+Data!F14+Data!G14+Data!H14+Data!I14+Data!J14+Data!K14+Data!L14+Data!M14+Data!N14+Data!O14+Data!P14+Data!Q14+Data!R14+Data!S14+Data!D15+Data!E15+Data!F15+Data!G15+Data!H15+Data!I15+Data!J15+Data!K15+Data!L15+Data!M15+Data!N15+Data!O15+Data!P15+Data!Q15+Data!R15+Data!S15+Data!D16+Data!E16+Data!F16+Data!G16+Data!H16+Data!I16+Data!J16+Data!K16+Data!L16+Data!M16+Data!N16+Data!O16+Data!P16+Data!Q16+Data!R16+Data!S16+Data!D17+Data!E17+Data!F17+Data!G17+Data!H17+Data!I17+Data!J17+Data!K17+Data!L17+Data!M17+Data!N17+Data!O17+Data!P17+Data!Q17+Data!R17+Data!S17+Data!D18+Data!E18+Data!F18+Data!G18+Data!H18+Data!I18+Data!J18+Data!K18+Data!L18+Data!M18+Data!N18+Data!O18+Data!P18+Data!Q18+Data!R18+Data!S18+Data!D19+Data!E19+Data!F19+Data!G19+Data!H19+Data!I19+Data!J19+Data!K19+Data!L19+Data!M19+Data!N19+Data!O19+Data!P19+Data!Q19+Data!R19+Data!S19+Data!D20+Data!E20+Data!F20+Data!G20+Data!H20+Data!I20+Data!J20+Data!K20+Data!L20+Data!M20+Data!N20+Data!O20+Data!P20+Data!Q20+Data!R20+Data!S20+Data!D21+Data!E21+Data!F21+Data!G21+Data!H21+Data!I21+Data!J21+Data!K21+Data!L21+Data!M21+Data!N21+Data!O21+Data!P21+Data!Q21+Data!R21+Data!S21+Data!D22+Data!E22+Data!F22+Data!G22+Data!H22+Data!I22+Data!J22+Data!K22+Data!L22+Data!M22+Data!N22+Data!O22+Data!P22+Data!Q22+Data!R22+Data!S22</f>
        <v>1807280</v>
      </c>
      <c r="D22" s="16" t="n">
        <f aca="false">Data!D11+Data!E11+Data!G11+Data!H11+Data!I11+Data!J11+Data!K11+Data!L11+Data!M11+Data!D12+Data!E12+Data!G12+Data!H12+Data!I12+Data!J12+Data!K12+Data!L12+Data!M12+Data!D13+Data!E13+Data!G13+Data!H13+Data!I13+Data!J13+Data!K13+Data!L13+Data!M13+Data!D14+Data!E14+Data!G14+Data!H14+Data!I14+Data!J14+Data!K14+Data!L14+Data!M14+Data!D15+Data!E15+Data!G15+Data!H15+Data!I15+Data!J15+Data!K15+Data!L15+Data!M15+Data!D16+Data!E16+Data!G16+Data!H16+Data!I16+Data!J16+Data!K16+Data!L16+Data!M16+Data!D17+Data!E17+Data!G17+Data!H17+Data!I17+Data!J17+Data!K17+Data!L17+Data!M17+Data!D18+Data!E18+Data!G18+Data!H18+Data!I18+Data!J18+Data!K18+Data!L18+Data!M18+Data!D19+Data!E19+Data!G19+Data!H19+Data!I19+Data!J19+Data!K19+Data!L19+Data!M19+Data!D20+Data!E20+Data!G20+Data!H20+Data!I20+Data!J20+Data!K20+Data!L20+Data!M20+Data!D21+Data!E21+Data!G21+Data!H21+Data!I21+Data!J21+Data!K21+Data!L21+Data!M21+Data!D22+Data!E22+Data!G22+Data!H22+Data!I22+Data!J22+Data!K22+Data!L22+Data!M22</f>
        <v>1071738</v>
      </c>
      <c r="E22" s="16" t="n">
        <f aca="false">Data!D11+Data!D12+Data!D13+Data!D14+Data!D15+Data!D16+Data!D17+Data!D18+Data!D19+Data!D20+Data!D21+Data!D22</f>
        <v>293746</v>
      </c>
      <c r="F22" s="16" t="n">
        <f aca="false">Data!E11+Data!E12+Data!E13+Data!E14+Data!E15+Data!E16+Data!E17+Data!E18+Data!E19+Data!E20+Data!E21+Data!E22</f>
        <v>232828</v>
      </c>
      <c r="G22" s="16" t="n">
        <f aca="false">Data!K11+Data!K12+Data!K13+Data!K14+Data!K15+Data!K16+Data!K17+Data!K18+Data!K19+Data!K20+Data!K21+Data!K22</f>
        <v>66747</v>
      </c>
      <c r="H22" s="16" t="n">
        <f aca="false">Data!L11+Data!L12+Data!L13+Data!L14+Data!L15+Data!L16+Data!L17+Data!L18+Data!L19+Data!L20+Data!L21+Data!L22</f>
        <v>57750</v>
      </c>
      <c r="I22" s="16" t="n">
        <f aca="false">Data!G11+Data!G12+Data!G13+Data!G14+Data!G15+Data!G16+Data!G17+Data!G18+Data!G19+Data!G20+Data!G21+Data!G22</f>
        <v>119782</v>
      </c>
      <c r="J22" s="16" t="n">
        <f aca="false">Data!H11+Data!I11+Data!J11+Data!M11+Data!H12+Data!I12+Data!J12+Data!M12+Data!H13+Data!I13+Data!J13+Data!M13+Data!H14+Data!I14+Data!J14+Data!M14+Data!H15+Data!I15+Data!J15+Data!M15+Data!H16+Data!I16+Data!J16+Data!M16+Data!H17+Data!I17+Data!J17+Data!M17+Data!H18+Data!I18+Data!J18+Data!M18+Data!H19+Data!I19+Data!J19+Data!M19+Data!H20+Data!I20+Data!J20+Data!M20+Data!H21+Data!I21+Data!J21+Data!M21+Data!H22+Data!I22+Data!J22+Data!M22</f>
        <v>300885</v>
      </c>
      <c r="K22" s="16" t="n">
        <f aca="false">Data!F11+Data!F12+Data!F13+Data!F14+Data!F15+Data!F16+Data!F17+Data!F18+Data!F19+Data!F20+Data!F21+Data!F22</f>
        <v>619142</v>
      </c>
      <c r="L22" s="16" t="n">
        <f aca="false">Data!N11+Data!O11+Data!P11+Data!Q11+Data!R11+Data!S11+Data!N12+Data!O12+Data!P12+Data!Q12+Data!R12+Data!S12+Data!N13+Data!O13+Data!P13+Data!Q13+Data!R13+Data!S13+Data!N14+Data!O14+Data!P14+Data!Q14+Data!R14+Data!S14+Data!N15+Data!O15+Data!P15+Data!Q15+Data!R15+Data!S15+Data!N16+Data!O16+Data!P16+Data!Q16+Data!R16+Data!S16+Data!N17+Data!O17+Data!P17+Data!Q17+Data!R17+Data!S17+Data!N18+Data!O18+Data!P18+Data!Q18+Data!R18+Data!S18+Data!N19+Data!O19+Data!P19+Data!Q19+Data!R19+Data!S19+Data!N20+Data!O20+Data!P20+Data!Q20+Data!R20+Data!S20+Data!N21+Data!O21+Data!P21+Data!Q21+Data!R21+Data!S21+Data!N22+Data!O22+Data!P22+Data!Q22+Data!R22+Data!S22</f>
        <v>116400</v>
      </c>
      <c r="M22" s="15" t="n">
        <f aca="false">Data!T11+Data!U11+Data!V11+Data!W11+Data!X11+Data!Y11+Data!Z11+Data!AA11+Data!AB11+Data!AC11+Data!AD11+Data!AE11+Data!AF11+Data!AG11+Data!AH11+Data!AI11+Data!AJ11+Data!AK11+Data!AL11+Data!T12+Data!U12+Data!V12+Data!W12+Data!X12+Data!Y12+Data!Z12+Data!AA12+Data!AB12+Data!AC12+Data!AD12+Data!AE12+Data!AF12+Data!AG12+Data!AH12+Data!AI12+Data!AJ12+Data!AK12+Data!AL12+Data!T13+Data!U13+Data!V13+Data!W13+Data!X13+Data!Y13+Data!Z13+Data!AA13+Data!AB13+Data!AC13+Data!AD13+Data!AE13+Data!AF13+Data!AG13+Data!AH13+Data!AI13+Data!AJ13+Data!AK13+Data!AL13+Data!T14+Data!U14+Data!V14+Data!W14+Data!X14+Data!Y14+Data!Z14+Data!AA14+Data!AB14+Data!AC14+Data!AD14+Data!AE14+Data!AF14+Data!AG14+Data!AH14+Data!AI14+Data!AJ14+Data!AK14+Data!AL14+Data!T15+Data!U15+Data!V15+Data!W15+Data!X15+Data!Y15+Data!Z15+Data!AA15+Data!AB15+Data!AC15+Data!AD15+Data!AE15+Data!AF15+Data!AG15+Data!AH15+Data!AI15+Data!AJ15+Data!AK15+Data!AL15+Data!T16+Data!U16+Data!V16+Data!W16+Data!X16+Data!Y16+Data!Z16+Data!AA16+Data!AB16+Data!AC16+Data!AD16+Data!AE16+Data!AF16+Data!AG16+Data!AH16+Data!AI16+Data!AJ16+Data!AK16+Data!AL16+Data!T17+Data!U17+Data!V17+Data!W17+Data!X17+Data!Y17+Data!Z17+Data!AA17+Data!AB17+Data!AC17+Data!AD17+Data!AE17+Data!AF17+Data!AG17+Data!AH17+Data!AI17+Data!AJ17+Data!AK17+Data!AL17+Data!T18+Data!U18+Data!V18+Data!W18+Data!X18+Data!Y18+Data!Z18+Data!AA18+Data!AB18+Data!AC18+Data!AD18+Data!AE18+Data!AF18+Data!AG18+Data!AH18+Data!AI18+Data!AJ18+Data!AK18+Data!AL18+Data!T19+Data!U19+Data!V19+Data!W19+Data!X19+Data!Y19+Data!Z19+Data!AA19+Data!AB19+Data!AC19+Data!AD19+Data!AE19+Data!AF19+Data!AG19+Data!AH19+Data!AI19+Data!AJ19+Data!AK19+Data!AL19+Data!T20+Data!U20+Data!V20+Data!W20+Data!X20+Data!Y20+Data!Z20+Data!AA20+Data!AB20+Data!AC20+Data!AD20+Data!AE20+Data!AF20+Data!AG20+Data!AH20+Data!AI20+Data!AJ20+Data!AK20+Data!AL20+Data!T21+Data!U21+Data!V21+Data!W21+Data!X21+Data!Y21+Data!Z21+Data!AA21+Data!AB21+Data!AC21+Data!AD21+Data!AE21+Data!AF21+Data!AG21+Data!AH21+Data!AI21+Data!AJ21+Data!AK21+Data!AL21+Data!T22+Data!U22+Data!V22+Data!W22+Data!X22+Data!Y22+Data!Z22+Data!AA22+Data!AB22+Data!AC22+Data!AD22+Data!AE22+Data!AF22+Data!AG22+Data!AH22+Data!AI22+Data!AJ22+Data!AK22+Data!AL22</f>
        <v>2154006</v>
      </c>
      <c r="N22" s="16" t="n">
        <f aca="false">Data!T11+Data!U11+Data!V11+Data!W11+Data!T12+Data!U12+Data!V12+Data!W12+Data!T13+Data!U13+Data!V13+Data!W13+Data!T14+Data!U14+Data!V14+Data!W14+Data!T15+Data!U15+Data!V15+Data!W15+Data!T16+Data!U16+Data!V16+Data!W16+Data!T17+Data!U17+Data!V17+Data!W17+Data!T18+Data!U18+Data!V18+Data!W18+Data!T19+Data!U19+Data!V19+Data!W19+Data!T20+Data!U20+Data!V20+Data!W20+Data!T21+Data!U21+Data!V21+Data!W21+Data!T22+Data!U22+Data!V22+Data!W22</f>
        <v>1028553</v>
      </c>
      <c r="O22" s="16" t="n">
        <f aca="false">Data!T11+Data!T12+Data!T13+Data!T14+Data!T15+Data!T16+Data!T17+Data!T18+Data!T19+Data!T20+Data!T21+Data!T22</f>
        <v>729346</v>
      </c>
      <c r="P22" s="16" t="n">
        <f aca="false">Data!U11+Data!U12+Data!U13+Data!U14+Data!U15+Data!U16+Data!U17+Data!U18+Data!U19+Data!U20+Data!U21+Data!U22</f>
        <v>123286</v>
      </c>
      <c r="Q22" s="16" t="n">
        <f aca="false">Data!V11+Data!V12+Data!V13+Data!V14+Data!V15+Data!V16+Data!V17+Data!V18+Data!V19+Data!V20+Data!V21+Data!V22</f>
        <v>86784</v>
      </c>
      <c r="R22" s="16" t="n">
        <f aca="false">Data!W11+Data!W12+Data!W13+Data!W14+Data!W15+Data!W16+Data!W17+Data!W18+Data!W19+Data!W20+Data!W21+Data!W22</f>
        <v>89137</v>
      </c>
      <c r="S22" s="16" t="n">
        <f aca="false">Data!X11+Data!X12+Data!X13+Data!X14+Data!X15+Data!X16+Data!X17+Data!X18+Data!X19+Data!X20+Data!X21+Data!X22</f>
        <v>32118</v>
      </c>
      <c r="T22" s="16" t="n">
        <f aca="false">Data!Y11+Data!Z11+Data!AA11+Data!Y12+Data!Z12+Data!AA12+Data!Y13+Data!Z13+Data!AA13+Data!Y14+Data!Z14+Data!AA14+Data!Y15+Data!Z15+Data!AA15+Data!Y16+Data!Z16+Data!AA16+Data!Y17+Data!Z17+Data!AA17+Data!Y18+Data!Z18+Data!AA18+Data!Y19+Data!Z19+Data!AA19+Data!Y20+Data!Z20+Data!AA20+Data!Y21+Data!Z21+Data!AA21+Data!Y22+Data!Z22+Data!AA22</f>
        <v>294833</v>
      </c>
      <c r="U22" s="16" t="n">
        <f aca="false">Data!Y11+Data!Y12+Data!Y13+Data!Y14+Data!Y15+Data!Y16+Data!Y17+Data!Y18+Data!Y19+Data!Y20+Data!Y21+Data!Y22</f>
        <v>206357</v>
      </c>
      <c r="V22" s="16" t="n">
        <f aca="false">Data!Z11+Data!Z12+Data!Z13+Data!Z14+Data!Z15+Data!Z16+Data!Z17+Data!Z18+Data!Z19+Data!Z20+Data!Z21+Data!Z22</f>
        <v>85023</v>
      </c>
      <c r="W22" s="16" t="n">
        <f aca="false">Data!AB11+Data!AB12+Data!AB13+Data!AB14+Data!AB15+Data!AB16+Data!AB17+Data!AB18+Data!AB19+Data!AB20+Data!AB21+Data!AB22</f>
        <v>291598</v>
      </c>
      <c r="X22" s="16" t="n">
        <f aca="false">Data!AC11+Data!AC12+Data!AC13+Data!AC14+Data!AC15+Data!AC16+Data!AC17+Data!AC18+Data!AC19+Data!AC20+Data!AC21+Data!AC22</f>
        <v>86764</v>
      </c>
      <c r="Y22" s="16" t="n">
        <f aca="false">Data!AD11+Data!AE11+Data!AF11+Data!AG11+Data!AH11+Data!AD12+Data!AE12+Data!AF12+Data!AG12+Data!AH12+Data!AD13+Data!AE13+Data!AF13+Data!AG13+Data!AH13+Data!AD14+Data!AE14+Data!AF14+Data!AG14+Data!AH14+Data!AD15+Data!AE15+Data!AF15+Data!AG15+Data!AH15+Data!AD16+Data!AE16+Data!AF16+Data!AG16+Data!AH16+Data!AD17+Data!AE17+Data!AF17+Data!AG17+Data!AH17+Data!AD18+Data!AE18+Data!AF18+Data!AG18+Data!AH18+Data!AD19+Data!AE19+Data!AF19+Data!AG19+Data!AH19+Data!AD20+Data!AE20+Data!AF20+Data!AG20+Data!AH20+Data!AD21+Data!AE21+Data!AF21+Data!AG21+Data!AH21+Data!AD22+Data!AE22+Data!AF22+Data!AG22+Data!AH22</f>
        <v>85113</v>
      </c>
      <c r="Z22" s="16" t="n">
        <f aca="false">Data!AI11+Data!AI12+Data!AI13+Data!AI14+Data!AI15+Data!AI16+Data!AI17+Data!AI18+Data!AI19+Data!AI20+Data!AI21+Data!AI22</f>
        <v>70402</v>
      </c>
      <c r="AA22" s="16" t="n">
        <f aca="false">Data!AJ11+Data!AJ12+Data!AJ13+Data!AJ14+Data!AJ15+Data!AJ16+Data!AJ17+Data!AJ18+Data!AJ19+Data!AJ20+Data!AJ21+Data!AJ22</f>
        <v>6374</v>
      </c>
      <c r="AB22" s="16" t="n">
        <f aca="false">Data!AK11+Data!AK12+Data!AK13+Data!AK14+Data!AK15+Data!AK16+Data!AK17+Data!AK18+Data!AK19+Data!AK20+Data!AK21+Data!AK22</f>
        <v>54207</v>
      </c>
      <c r="AC22" s="16" t="n">
        <f aca="false">Data!AL11+Data!AL12+Data!AL13+Data!AL14+Data!AL15+Data!AL16+Data!AL17+Data!AL18+Data!AL19+Data!AL20+Data!AL21+Data!AL22</f>
        <v>204044</v>
      </c>
      <c r="AD22" s="15" t="n">
        <f aca="false">Data!AM11+Data!AM12+Data!AM13+Data!AM14+Data!AM15+Data!AM16+Data!AM17+Data!AM18+Data!AM19+Data!AM20+Data!AM21+Data!AM22</f>
        <v>-346726</v>
      </c>
      <c r="AE22" s="16" t="n">
        <f aca="false">Data!AN11+Data!AN12+Data!AN13+Data!AN14+Data!AN15+Data!AN16+Data!AN17+Data!AN18+Data!AN19+Data!AN20+Data!AN21+Data!AN22</f>
        <v>166067</v>
      </c>
      <c r="AF22" s="15" t="n">
        <f aca="false">Data!AO11+Data!AO12+Data!AO13+Data!AO14+Data!AO15+Data!AO16+Data!AO17+Data!AO18+Data!AO19+Data!AO20+Data!AO21+Data!AO22</f>
        <v>-512793</v>
      </c>
    </row>
    <row r="23" customFormat="false" ht="15" hidden="false" customHeight="false" outlineLevel="0" collapsed="false">
      <c r="B23" s="14" t="str">
        <f aca="false">Data!B23</f>
        <v>2017-05</v>
      </c>
      <c r="C23" s="15" t="n">
        <f aca="false">Data!D12+Data!E12+Data!F12+Data!G12+Data!H12+Data!I12+Data!J12+Data!K12+Data!L12+Data!M12+Data!N12+Data!O12+Data!P12+Data!Q12+Data!R12+Data!S12+Data!D13+Data!E13+Data!F13+Data!G13+Data!H13+Data!I13+Data!J13+Data!K13+Data!L13+Data!M13+Data!N13+Data!O13+Data!P13+Data!Q13+Data!R13+Data!S13+Data!D14+Data!E14+Data!F14+Data!G14+Data!H14+Data!I14+Data!J14+Data!K14+Data!L14+Data!M14+Data!N14+Data!O14+Data!P14+Data!Q14+Data!R14+Data!S14+Data!D15+Data!E15+Data!F15+Data!G15+Data!H15+Data!I15+Data!J15+Data!K15+Data!L15+Data!M15+Data!N15+Data!O15+Data!P15+Data!Q15+Data!R15+Data!S15+Data!D16+Data!E16+Data!F16+Data!G16+Data!H16+Data!I16+Data!J16+Data!K16+Data!L16+Data!M16+Data!N16+Data!O16+Data!P16+Data!Q16+Data!R16+Data!S16+Data!D17+Data!E17+Data!F17+Data!G17+Data!H17+Data!I17+Data!J17+Data!K17+Data!L17+Data!M17+Data!N17+Data!O17+Data!P17+Data!Q17+Data!R17+Data!S17+Data!D18+Data!E18+Data!F18+Data!G18+Data!H18+Data!I18+Data!J18+Data!K18+Data!L18+Data!M18+Data!N18+Data!O18+Data!P18+Data!Q18+Data!R18+Data!S18+Data!D19+Data!E19+Data!F19+Data!G19+Data!H19+Data!I19+Data!J19+Data!K19+Data!L19+Data!M19+Data!N19+Data!O19+Data!P19+Data!Q19+Data!R19+Data!S19+Data!D20+Data!E20+Data!F20+Data!G20+Data!H20+Data!I20+Data!J20+Data!K20+Data!L20+Data!M20+Data!N20+Data!O20+Data!P20+Data!Q20+Data!R20+Data!S20+Data!D21+Data!E21+Data!F21+Data!G21+Data!H21+Data!I21+Data!J21+Data!K21+Data!L21+Data!M21+Data!N21+Data!O21+Data!P21+Data!Q21+Data!R21+Data!S21+Data!D22+Data!E22+Data!F22+Data!G22+Data!H22+Data!I22+Data!J22+Data!K22+Data!L22+Data!M22+Data!N22+Data!O22+Data!P22+Data!Q22+Data!R22+Data!S22+Data!D23+Data!E23+Data!F23+Data!G23+Data!H23+Data!I23+Data!J23+Data!K23+Data!L23+Data!M23+Data!N23+Data!O23+Data!P23+Data!Q23+Data!R23+Data!S23</f>
        <v>1827192</v>
      </c>
      <c r="D23" s="16" t="n">
        <f aca="false">Data!D12+Data!E12+Data!G12+Data!H12+Data!I12+Data!J12+Data!K12+Data!L12+Data!M12+Data!D13+Data!E13+Data!G13+Data!H13+Data!I13+Data!J13+Data!K13+Data!L13+Data!M13+Data!D14+Data!E14+Data!G14+Data!H14+Data!I14+Data!J14+Data!K14+Data!L14+Data!M14+Data!D15+Data!E15+Data!G15+Data!H15+Data!I15+Data!J15+Data!K15+Data!L15+Data!M15+Data!D16+Data!E16+Data!G16+Data!H16+Data!I16+Data!J16+Data!K16+Data!L16+Data!M16+Data!D17+Data!E17+Data!G17+Data!H17+Data!I17+Data!J17+Data!K17+Data!L17+Data!M17+Data!D18+Data!E18+Data!G18+Data!H18+Data!I18+Data!J18+Data!K18+Data!L18+Data!M18+Data!D19+Data!E19+Data!G19+Data!H19+Data!I19+Data!J19+Data!K19+Data!L19+Data!M19+Data!D20+Data!E20+Data!G20+Data!H20+Data!I20+Data!J20+Data!K20+Data!L20+Data!M20+Data!D21+Data!E21+Data!G21+Data!H21+Data!I21+Data!J21+Data!K21+Data!L21+Data!M21+Data!D22+Data!E22+Data!G22+Data!H22+Data!I22+Data!J22+Data!K22+Data!L22+Data!M22+Data!D23+Data!E23+Data!G23+Data!H23+Data!I23+Data!J23+Data!K23+Data!L23+Data!M23</f>
        <v>1074880</v>
      </c>
      <c r="E23" s="16" t="n">
        <f aca="false">Data!D12+Data!D13+Data!D14+Data!D15+Data!D16+Data!D17+Data!D18+Data!D19+Data!D20+Data!D21+Data!D22+Data!D23</f>
        <v>293740</v>
      </c>
      <c r="F23" s="16" t="n">
        <f aca="false">Data!E12+Data!E13+Data!E14+Data!E15+Data!E16+Data!E17+Data!E18+Data!E19+Data!E20+Data!E21+Data!E22+Data!E23</f>
        <v>232550</v>
      </c>
      <c r="G23" s="16" t="n">
        <f aca="false">Data!K12+Data!K13+Data!K14+Data!K15+Data!K16+Data!K17+Data!K18+Data!K19+Data!K20+Data!K21+Data!K22+Data!K23</f>
        <v>64710</v>
      </c>
      <c r="H23" s="16" t="n">
        <f aca="false">Data!L12+Data!L13+Data!L14+Data!L15+Data!L16+Data!L17+Data!L18+Data!L19+Data!L20+Data!L21+Data!L22+Data!L23</f>
        <v>58153</v>
      </c>
      <c r="I23" s="16" t="n">
        <f aca="false">Data!G12+Data!G13+Data!G14+Data!G15+Data!G16+Data!G17+Data!G18+Data!G19+Data!G20+Data!G21+Data!G22+Data!G23</f>
        <v>121621</v>
      </c>
      <c r="J23" s="16" t="n">
        <f aca="false">Data!H12+Data!I12+Data!J12+Data!M12+Data!H13+Data!I13+Data!J13+Data!M13+Data!H14+Data!I14+Data!J14+Data!M14+Data!H15+Data!I15+Data!J15+Data!M15+Data!H16+Data!I16+Data!J16+Data!M16+Data!H17+Data!I17+Data!J17+Data!M17+Data!H18+Data!I18+Data!J18+Data!M18+Data!H19+Data!I19+Data!J19+Data!M19+Data!H20+Data!I20+Data!J20+Data!M20+Data!H21+Data!I21+Data!J21+Data!M21+Data!H22+Data!I22+Data!J22+Data!M22+Data!H23+Data!I23+Data!J23+Data!M23</f>
        <v>304106</v>
      </c>
      <c r="K23" s="16" t="n">
        <f aca="false">Data!F12+Data!F13+Data!F14+Data!F15+Data!F16+Data!F17+Data!F18+Data!F19+Data!F20+Data!F21+Data!F22+Data!F23</f>
        <v>633744</v>
      </c>
      <c r="L23" s="16" t="n">
        <f aca="false">Data!N12+Data!O12+Data!P12+Data!Q12+Data!R12+Data!S12+Data!N13+Data!O13+Data!P13+Data!Q13+Data!R13+Data!S13+Data!N14+Data!O14+Data!P14+Data!Q14+Data!R14+Data!S14+Data!N15+Data!O15+Data!P15+Data!Q15+Data!R15+Data!S15+Data!N16+Data!O16+Data!P16+Data!Q16+Data!R16+Data!S16+Data!N17+Data!O17+Data!P17+Data!Q17+Data!R17+Data!S17+Data!N18+Data!O18+Data!P18+Data!Q18+Data!R18+Data!S18+Data!N19+Data!O19+Data!P19+Data!Q19+Data!R19+Data!S19+Data!N20+Data!O20+Data!P20+Data!Q20+Data!R20+Data!S20+Data!N21+Data!O21+Data!P21+Data!Q21+Data!R21+Data!S21+Data!N22+Data!O22+Data!P22+Data!Q22+Data!R22+Data!S22+Data!N23+Data!O23+Data!P23+Data!Q23+Data!R23+Data!S23</f>
        <v>118568</v>
      </c>
      <c r="M23" s="15" t="n">
        <f aca="false">Data!T12+Data!U12+Data!V12+Data!W12+Data!X12+Data!Y12+Data!Z12+Data!AA12+Data!AB12+Data!AC12+Data!AD12+Data!AE12+Data!AF12+Data!AG12+Data!AH12+Data!AI12+Data!AJ12+Data!AK12+Data!AL12+Data!T13+Data!U13+Data!V13+Data!W13+Data!X13+Data!Y13+Data!Z13+Data!AA13+Data!AB13+Data!AC13+Data!AD13+Data!AE13+Data!AF13+Data!AG13+Data!AH13+Data!AI13+Data!AJ13+Data!AK13+Data!AL13+Data!T14+Data!U14+Data!V14+Data!W14+Data!X14+Data!Y14+Data!Z14+Data!AA14+Data!AB14+Data!AC14+Data!AD14+Data!AE14+Data!AF14+Data!AG14+Data!AH14+Data!AI14+Data!AJ14+Data!AK14+Data!AL14+Data!T15+Data!U15+Data!V15+Data!W15+Data!X15+Data!Y15+Data!Z15+Data!AA15+Data!AB15+Data!AC15+Data!AD15+Data!AE15+Data!AF15+Data!AG15+Data!AH15+Data!AI15+Data!AJ15+Data!AK15+Data!AL15+Data!T16+Data!U16+Data!V16+Data!W16+Data!X16+Data!Y16+Data!Z16+Data!AA16+Data!AB16+Data!AC16+Data!AD16+Data!AE16+Data!AF16+Data!AG16+Data!AH16+Data!AI16+Data!AJ16+Data!AK16+Data!AL16+Data!T17+Data!U17+Data!V17+Data!W17+Data!X17+Data!Y17+Data!Z17+Data!AA17+Data!AB17+Data!AC17+Data!AD17+Data!AE17+Data!AF17+Data!AG17+Data!AH17+Data!AI17+Data!AJ17+Data!AK17+Data!AL17+Data!T18+Data!U18+Data!V18+Data!W18+Data!X18+Data!Y18+Data!Z18+Data!AA18+Data!AB18+Data!AC18+Data!AD18+Data!AE18+Data!AF18+Data!AG18+Data!AH18+Data!AI18+Data!AJ18+Data!AK18+Data!AL18+Data!T19+Data!U19+Data!V19+Data!W19+Data!X19+Data!Y19+Data!Z19+Data!AA19+Data!AB19+Data!AC19+Data!AD19+Data!AE19+Data!AF19+Data!AG19+Data!AH19+Data!AI19+Data!AJ19+Data!AK19+Data!AL19+Data!T20+Data!U20+Data!V20+Data!W20+Data!X20+Data!Y20+Data!Z20+Data!AA20+Data!AB20+Data!AC20+Data!AD20+Data!AE20+Data!AF20+Data!AG20+Data!AH20+Data!AI20+Data!AJ20+Data!AK20+Data!AL20+Data!T21+Data!U21+Data!V21+Data!W21+Data!X21+Data!Y21+Data!Z21+Data!AA21+Data!AB21+Data!AC21+Data!AD21+Data!AE21+Data!AF21+Data!AG21+Data!AH21+Data!AI21+Data!AJ21+Data!AK21+Data!AL21+Data!T22+Data!U22+Data!V22+Data!W22+Data!X22+Data!Y22+Data!Z22+Data!AA22+Data!AB22+Data!AC22+Data!AD22+Data!AE22+Data!AF22+Data!AG22+Data!AH22+Data!AI22+Data!AJ22+Data!AK22+Data!AL22+Data!T23+Data!U23+Data!V23+Data!W23+Data!X23+Data!Y23+Data!Z23+Data!AA23+Data!AB23+Data!AC23+Data!AD23+Data!AE23+Data!AF23+Data!AG23+Data!AH23+Data!AI23+Data!AJ23+Data!AK23+Data!AL23</f>
        <v>2189183</v>
      </c>
      <c r="N23" s="16" t="n">
        <f aca="false">Data!T12+Data!U12+Data!V12+Data!W12+Data!T13+Data!U13+Data!V13+Data!W13+Data!T14+Data!U14+Data!V14+Data!W14+Data!T15+Data!U15+Data!V15+Data!W15+Data!T16+Data!U16+Data!V16+Data!W16+Data!T17+Data!U17+Data!V17+Data!W17+Data!T18+Data!U18+Data!V18+Data!W18+Data!T19+Data!U19+Data!V19+Data!W19+Data!T20+Data!U20+Data!V20+Data!W20+Data!T21+Data!U21+Data!V21+Data!W21+Data!T22+Data!U22+Data!V22+Data!W22+Data!T23+Data!U23+Data!V23+Data!W23</f>
        <v>1054188</v>
      </c>
      <c r="O23" s="16" t="n">
        <f aca="false">Data!T12+Data!T13+Data!T14+Data!T15+Data!T16+Data!T17+Data!T18+Data!T19+Data!T20+Data!T21+Data!T22+Data!T23</f>
        <v>750380</v>
      </c>
      <c r="P23" s="16" t="n">
        <f aca="false">Data!U12+Data!U13+Data!U14+Data!U15+Data!U16+Data!U17+Data!U18+Data!U19+Data!U20+Data!U21+Data!U22+Data!U23</f>
        <v>124732</v>
      </c>
      <c r="Q23" s="16" t="n">
        <f aca="false">Data!V12+Data!V13+Data!V14+Data!V15+Data!V16+Data!V17+Data!V18+Data!V19+Data!V20+Data!V21+Data!V22+Data!V23</f>
        <v>87958</v>
      </c>
      <c r="R23" s="16" t="n">
        <f aca="false">Data!W12+Data!W13+Data!W14+Data!W15+Data!W16+Data!W17+Data!W18+Data!W19+Data!W20+Data!W21+Data!W22+Data!W23</f>
        <v>91118</v>
      </c>
      <c r="S23" s="16" t="n">
        <f aca="false">Data!X12+Data!X13+Data!X14+Data!X15+Data!X16+Data!X17+Data!X18+Data!X19+Data!X20+Data!X21+Data!X22+Data!X23</f>
        <v>32414</v>
      </c>
      <c r="T23" s="16" t="n">
        <f aca="false">Data!Y12+Data!Z12+Data!AA12+Data!Y13+Data!Z13+Data!AA13+Data!Y14+Data!Z14+Data!AA14+Data!Y15+Data!Z15+Data!AA15+Data!Y16+Data!Z16+Data!AA16+Data!Y17+Data!Z17+Data!AA17+Data!Y18+Data!Z18+Data!AA18+Data!Y19+Data!Z19+Data!AA19+Data!Y20+Data!Z20+Data!AA20+Data!Y21+Data!Z21+Data!AA21+Data!Y22+Data!Z22+Data!AA22+Data!Y23+Data!Z23+Data!AA23</f>
        <v>291546</v>
      </c>
      <c r="U23" s="16" t="n">
        <f aca="false">Data!Y12+Data!Y13+Data!Y14+Data!Y15+Data!Y16+Data!Y17+Data!Y18+Data!Y19+Data!Y20+Data!Y21+Data!Y22+Data!Y23</f>
        <v>200980</v>
      </c>
      <c r="V23" s="16" t="n">
        <f aca="false">Data!Z12+Data!Z13+Data!Z14+Data!Z15+Data!Z16+Data!Z17+Data!Z18+Data!Z19+Data!Z20+Data!Z21+Data!Z22+Data!Z23</f>
        <v>86117</v>
      </c>
      <c r="W23" s="16" t="n">
        <f aca="false">Data!AB12+Data!AB13+Data!AB14+Data!AB15+Data!AB16+Data!AB17+Data!AB18+Data!AB19+Data!AB20+Data!AB21+Data!AB22+Data!AB23</f>
        <v>297989</v>
      </c>
      <c r="X23" s="16" t="n">
        <f aca="false">Data!AC12+Data!AC13+Data!AC14+Data!AC15+Data!AC16+Data!AC17+Data!AC18+Data!AC19+Data!AC20+Data!AC21+Data!AC22+Data!AC23</f>
        <v>89117</v>
      </c>
      <c r="Y23" s="16" t="n">
        <f aca="false">Data!AD12+Data!AE12+Data!AF12+Data!AG12+Data!AH12+Data!AD13+Data!AE13+Data!AF13+Data!AG13+Data!AH13+Data!AD14+Data!AE14+Data!AF14+Data!AG14+Data!AH14+Data!AD15+Data!AE15+Data!AF15+Data!AG15+Data!AH15+Data!AD16+Data!AE16+Data!AF16+Data!AG16+Data!AH16+Data!AD17+Data!AE17+Data!AF17+Data!AG17+Data!AH17+Data!AD18+Data!AE18+Data!AF18+Data!AG18+Data!AH18+Data!AD19+Data!AE19+Data!AF19+Data!AG19+Data!AH19+Data!AD20+Data!AE20+Data!AF20+Data!AG20+Data!AH20+Data!AD21+Data!AE21+Data!AF21+Data!AG21+Data!AH21+Data!AD22+Data!AE22+Data!AF22+Data!AG22+Data!AH22+Data!AD23+Data!AE23+Data!AF23+Data!AG23+Data!AH23</f>
        <v>86969</v>
      </c>
      <c r="Z23" s="16" t="n">
        <f aca="false">Data!AI12+Data!AI13+Data!AI14+Data!AI15+Data!AI16+Data!AI17+Data!AI18+Data!AI19+Data!AI20+Data!AI21+Data!AI22+Data!AI23</f>
        <v>72007</v>
      </c>
      <c r="AA23" s="16" t="n">
        <f aca="false">Data!AJ12+Data!AJ13+Data!AJ14+Data!AJ15+Data!AJ16+Data!AJ17+Data!AJ18+Data!AJ19+Data!AJ20+Data!AJ21+Data!AJ22+Data!AJ23</f>
        <v>5458</v>
      </c>
      <c r="AB23" s="16" t="n">
        <f aca="false">Data!AK12+Data!AK13+Data!AK14+Data!AK15+Data!AK16+Data!AK17+Data!AK18+Data!AK19+Data!AK20+Data!AK21+Data!AK22+Data!AK23</f>
        <v>52962</v>
      </c>
      <c r="AC23" s="16" t="n">
        <f aca="false">Data!AL12+Data!AL13+Data!AL14+Data!AL15+Data!AL16+Data!AL17+Data!AL18+Data!AL19+Data!AL20+Data!AL21+Data!AL22+Data!AL23</f>
        <v>206533</v>
      </c>
      <c r="AD23" s="15" t="n">
        <f aca="false">Data!AM12+Data!AM13+Data!AM14+Data!AM15+Data!AM16+Data!AM17+Data!AM18+Data!AM19+Data!AM20+Data!AM21+Data!AM22+Data!AM23</f>
        <v>-361991</v>
      </c>
      <c r="AE23" s="16" t="n">
        <f aca="false">Data!AN12+Data!AN13+Data!AN14+Data!AN15+Data!AN16+Data!AN17+Data!AN18+Data!AN19+Data!AN20+Data!AN21+Data!AN22+Data!AN23</f>
        <v>170854</v>
      </c>
      <c r="AF23" s="15" t="n">
        <f aca="false">Data!AO12+Data!AO13+Data!AO14+Data!AO15+Data!AO16+Data!AO17+Data!AO18+Data!AO19+Data!AO20+Data!AO21+Data!AO22+Data!AO23</f>
        <v>-532844</v>
      </c>
    </row>
    <row r="24" customFormat="false" ht="15" hidden="false" customHeight="false" outlineLevel="0" collapsed="false">
      <c r="B24" s="14" t="str">
        <f aca="false">Data!B24</f>
        <v>2017-06</v>
      </c>
      <c r="C24" s="15" t="n">
        <f aca="false">Data!D13+Data!E13+Data!F13+Data!G13+Data!H13+Data!I13+Data!J13+Data!K13+Data!L13+Data!M13+Data!N13+Data!O13+Data!P13+Data!Q13+Data!R13+Data!S13+Data!D14+Data!E14+Data!F14+Data!G14+Data!H14+Data!I14+Data!J14+Data!K14+Data!L14+Data!M14+Data!N14+Data!O14+Data!P14+Data!Q14+Data!R14+Data!S14+Data!D15+Data!E15+Data!F15+Data!G15+Data!H15+Data!I15+Data!J15+Data!K15+Data!L15+Data!M15+Data!N15+Data!O15+Data!P15+Data!Q15+Data!R15+Data!S15+Data!D16+Data!E16+Data!F16+Data!G16+Data!H16+Data!I16+Data!J16+Data!K16+Data!L16+Data!M16+Data!N16+Data!O16+Data!P16+Data!Q16+Data!R16+Data!S16+Data!D17+Data!E17+Data!F17+Data!G17+Data!H17+Data!I17+Data!J17+Data!K17+Data!L17+Data!M17+Data!N17+Data!O17+Data!P17+Data!Q17+Data!R17+Data!S17+Data!D18+Data!E18+Data!F18+Data!G18+Data!H18+Data!I18+Data!J18+Data!K18+Data!L18+Data!M18+Data!N18+Data!O18+Data!P18+Data!Q18+Data!R18+Data!S18+Data!D19+Data!E19+Data!F19+Data!G19+Data!H19+Data!I19+Data!J19+Data!K19+Data!L19+Data!M19+Data!N19+Data!O19+Data!P19+Data!Q19+Data!R19+Data!S19+Data!D20+Data!E20+Data!F20+Data!G20+Data!H20+Data!I20+Data!J20+Data!K20+Data!L20+Data!M20+Data!N20+Data!O20+Data!P20+Data!Q20+Data!R20+Data!S20+Data!D21+Data!E21+Data!F21+Data!G21+Data!H21+Data!I21+Data!J21+Data!K21+Data!L21+Data!M21+Data!N21+Data!O21+Data!P21+Data!Q21+Data!R21+Data!S21+Data!D22+Data!E22+Data!F22+Data!G22+Data!H22+Data!I22+Data!J22+Data!K22+Data!L22+Data!M22+Data!N22+Data!O22+Data!P22+Data!Q22+Data!R22+Data!S22+Data!D23+Data!E23+Data!F23+Data!G23+Data!H23+Data!I23+Data!J23+Data!K23+Data!L23+Data!M23+Data!N23+Data!O23+Data!P23+Data!Q23+Data!R23+Data!S23+Data!D24+Data!E24+Data!F24+Data!G24+Data!H24+Data!I24+Data!J24+Data!K24+Data!L24+Data!M24+Data!N24+Data!O24+Data!P24+Data!Q24+Data!R24+Data!S24</f>
        <v>1858790</v>
      </c>
      <c r="D24" s="16" t="n">
        <f aca="false">Data!D13+Data!E13+Data!G13+Data!H13+Data!I13+Data!J13+Data!K13+Data!L13+Data!M13+Data!D14+Data!E14+Data!G14+Data!H14+Data!I14+Data!J14+Data!K14+Data!L14+Data!M14+Data!D15+Data!E15+Data!G15+Data!H15+Data!I15+Data!J15+Data!K15+Data!L15+Data!M15+Data!D16+Data!E16+Data!G16+Data!H16+Data!I16+Data!J16+Data!K16+Data!L16+Data!M16+Data!D17+Data!E17+Data!G17+Data!H17+Data!I17+Data!J17+Data!K17+Data!L17+Data!M17+Data!D18+Data!E18+Data!G18+Data!H18+Data!I18+Data!J18+Data!K18+Data!L18+Data!M18+Data!D19+Data!E19+Data!G19+Data!H19+Data!I19+Data!J19+Data!K19+Data!L19+Data!M19+Data!D20+Data!E20+Data!G20+Data!H20+Data!I20+Data!J20+Data!K20+Data!L20+Data!M20+Data!D21+Data!E21+Data!G21+Data!H21+Data!I21+Data!J21+Data!K21+Data!L21+Data!M21+Data!D22+Data!E22+Data!G22+Data!H22+Data!I22+Data!J22+Data!K22+Data!L22+Data!M22+Data!D23+Data!E23+Data!G23+Data!H23+Data!I23+Data!J23+Data!K23+Data!L23+Data!M23+Data!D24+Data!E24+Data!G24+Data!H24+Data!I24+Data!J24+Data!K24+Data!L24+Data!M24</f>
        <v>1092969</v>
      </c>
      <c r="E24" s="16" t="n">
        <f aca="false">Data!D13+Data!D14+Data!D15+Data!D16+Data!D17+Data!D18+Data!D19+Data!D20+Data!D21+Data!D22+Data!D23+Data!D24</f>
        <v>299710</v>
      </c>
      <c r="F24" s="16" t="n">
        <f aca="false">Data!E13+Data!E14+Data!E15+Data!E16+Data!E17+Data!E18+Data!E19+Data!E20+Data!E21+Data!E22+Data!E23+Data!E24</f>
        <v>237235</v>
      </c>
      <c r="G24" s="16" t="n">
        <f aca="false">Data!K13+Data!K14+Data!K15+Data!K16+Data!K17+Data!K18+Data!K19+Data!K20+Data!K21+Data!K22+Data!K23+Data!K24</f>
        <v>65125</v>
      </c>
      <c r="H24" s="16" t="n">
        <f aca="false">Data!L13+Data!L14+Data!L15+Data!L16+Data!L17+Data!L18+Data!L19+Data!L20+Data!L21+Data!L22+Data!L23+Data!L24</f>
        <v>59060</v>
      </c>
      <c r="I24" s="16" t="n">
        <f aca="false">Data!G13+Data!G14+Data!G15+Data!G16+Data!G17+Data!G18+Data!G19+Data!G20+Data!G21+Data!G22+Data!G23+Data!G24</f>
        <v>124512</v>
      </c>
      <c r="J24" s="16" t="n">
        <f aca="false">Data!H13+Data!I13+Data!J13+Data!M13+Data!H14+Data!I14+Data!J14+Data!M14+Data!H15+Data!I15+Data!J15+Data!M15+Data!H16+Data!I16+Data!J16+Data!M16+Data!H17+Data!I17+Data!J17+Data!M17+Data!H18+Data!I18+Data!J18+Data!M18+Data!H19+Data!I19+Data!J19+Data!M19+Data!H20+Data!I20+Data!J20+Data!M20+Data!H21+Data!I21+Data!J21+Data!M21+Data!H22+Data!I22+Data!J22+Data!M22+Data!H23+Data!I23+Data!J23+Data!M23+Data!H24+Data!I24+Data!J24+Data!M24</f>
        <v>307327</v>
      </c>
      <c r="K24" s="16" t="n">
        <f aca="false">Data!F13+Data!F14+Data!F15+Data!F16+Data!F17+Data!F18+Data!F19+Data!F20+Data!F21+Data!F22+Data!F23+Data!F24</f>
        <v>644629</v>
      </c>
      <c r="L24" s="16" t="n">
        <f aca="false">Data!N13+Data!O13+Data!P13+Data!Q13+Data!R13+Data!S13+Data!N14+Data!O14+Data!P14+Data!Q14+Data!R14+Data!S14+Data!N15+Data!O15+Data!P15+Data!Q15+Data!R15+Data!S15+Data!N16+Data!O16+Data!P16+Data!Q16+Data!R16+Data!S16+Data!N17+Data!O17+Data!P17+Data!Q17+Data!R17+Data!S17+Data!N18+Data!O18+Data!P18+Data!Q18+Data!R18+Data!S18+Data!N19+Data!O19+Data!P19+Data!Q19+Data!R19+Data!S19+Data!N20+Data!O20+Data!P20+Data!Q20+Data!R20+Data!S20+Data!N21+Data!O21+Data!P21+Data!Q21+Data!R21+Data!S21+Data!N22+Data!O22+Data!P22+Data!Q22+Data!R22+Data!S22+Data!N23+Data!O23+Data!P23+Data!Q23+Data!R23+Data!S23+Data!N24+Data!O24+Data!P24+Data!Q24+Data!R24+Data!S24</f>
        <v>121192</v>
      </c>
      <c r="M24" s="15" t="n">
        <f aca="false">Data!T13+Data!U13+Data!V13+Data!W13+Data!X13+Data!Y13+Data!Z13+Data!AA13+Data!AB13+Data!AC13+Data!AD13+Data!AE13+Data!AF13+Data!AG13+Data!AH13+Data!AI13+Data!AJ13+Data!AK13+Data!AL13+Data!T14+Data!U14+Data!V14+Data!W14+Data!X14+Data!Y14+Data!Z14+Data!AA14+Data!AB14+Data!AC14+Data!AD14+Data!AE14+Data!AF14+Data!AG14+Data!AH14+Data!AI14+Data!AJ14+Data!AK14+Data!AL14+Data!T15+Data!U15+Data!V15+Data!W15+Data!X15+Data!Y15+Data!Z15+Data!AA15+Data!AB15+Data!AC15+Data!AD15+Data!AE15+Data!AF15+Data!AG15+Data!AH15+Data!AI15+Data!AJ15+Data!AK15+Data!AL15+Data!T16+Data!U16+Data!V16+Data!W16+Data!X16+Data!Y16+Data!Z16+Data!AA16+Data!AB16+Data!AC16+Data!AD16+Data!AE16+Data!AF16+Data!AG16+Data!AH16+Data!AI16+Data!AJ16+Data!AK16+Data!AL16+Data!T17+Data!U17+Data!V17+Data!W17+Data!X17+Data!Y17+Data!Z17+Data!AA17+Data!AB17+Data!AC17+Data!AD17+Data!AE17+Data!AF17+Data!AG17+Data!AH17+Data!AI17+Data!AJ17+Data!AK17+Data!AL17+Data!T18+Data!U18+Data!V18+Data!W18+Data!X18+Data!Y18+Data!Z18+Data!AA18+Data!AB18+Data!AC18+Data!AD18+Data!AE18+Data!AF18+Data!AG18+Data!AH18+Data!AI18+Data!AJ18+Data!AK18+Data!AL18+Data!T19+Data!U19+Data!V19+Data!W19+Data!X19+Data!Y19+Data!Z19+Data!AA19+Data!AB19+Data!AC19+Data!AD19+Data!AE19+Data!AF19+Data!AG19+Data!AH19+Data!AI19+Data!AJ19+Data!AK19+Data!AL19+Data!T20+Data!U20+Data!V20+Data!W20+Data!X20+Data!Y20+Data!Z20+Data!AA20+Data!AB20+Data!AC20+Data!AD20+Data!AE20+Data!AF20+Data!AG20+Data!AH20+Data!AI20+Data!AJ20+Data!AK20+Data!AL20+Data!T21+Data!U21+Data!V21+Data!W21+Data!X21+Data!Y21+Data!Z21+Data!AA21+Data!AB21+Data!AC21+Data!AD21+Data!AE21+Data!AF21+Data!AG21+Data!AH21+Data!AI21+Data!AJ21+Data!AK21+Data!AL21+Data!T22+Data!U22+Data!V22+Data!W22+Data!X22+Data!Y22+Data!Z22+Data!AA22+Data!AB22+Data!AC22+Data!AD22+Data!AE22+Data!AF22+Data!AG22+Data!AH22+Data!AI22+Data!AJ22+Data!AK22+Data!AL22+Data!T23+Data!U23+Data!V23+Data!W23+Data!X23+Data!Y23+Data!Z23+Data!AA23+Data!AB23+Data!AC23+Data!AD23+Data!AE23+Data!AF23+Data!AG23+Data!AH23+Data!AI23+Data!AJ23+Data!AK23+Data!AL23+Data!T24+Data!U24+Data!V24+Data!W24+Data!X24+Data!Y24+Data!Z24+Data!AA24+Data!AB24+Data!AC24+Data!AD24+Data!AE24+Data!AF24+Data!AG24+Data!AH24+Data!AI24+Data!AJ24+Data!AK24+Data!AL24</f>
        <v>2233812</v>
      </c>
      <c r="N24" s="16" t="n">
        <f aca="false">Data!T13+Data!U13+Data!V13+Data!W13+Data!T14+Data!U14+Data!V14+Data!W14+Data!T15+Data!U15+Data!V15+Data!W15+Data!T16+Data!U16+Data!V16+Data!W16+Data!T17+Data!U17+Data!V17+Data!W17+Data!T18+Data!U18+Data!V18+Data!W18+Data!T19+Data!U19+Data!V19+Data!W19+Data!T20+Data!U20+Data!V20+Data!W20+Data!T21+Data!U21+Data!V21+Data!W21+Data!T22+Data!U22+Data!V22+Data!W22+Data!T23+Data!U23+Data!V23+Data!W23+Data!T24+Data!U24+Data!V24+Data!W24</f>
        <v>1089154</v>
      </c>
      <c r="O24" s="16" t="n">
        <f aca="false">Data!T13+Data!T14+Data!T15+Data!T16+Data!T17+Data!T18+Data!T19+Data!T20+Data!T21+Data!T22+Data!T23+Data!T24</f>
        <v>778324</v>
      </c>
      <c r="P24" s="16" t="n">
        <f aca="false">Data!U13+Data!U14+Data!U15+Data!U16+Data!U17+Data!U18+Data!U19+Data!U20+Data!U21+Data!U22+Data!U23+Data!U24</f>
        <v>127803</v>
      </c>
      <c r="Q24" s="16" t="n">
        <f aca="false">Data!V13+Data!V14+Data!V15+Data!V16+Data!V17+Data!V18+Data!V19+Data!V20+Data!V21+Data!V22+Data!V23+Data!V24</f>
        <v>89945</v>
      </c>
      <c r="R24" s="16" t="n">
        <f aca="false">Data!W13+Data!W14+Data!W15+Data!W16+Data!W17+Data!W18+Data!W19+Data!W20+Data!W21+Data!W22+Data!W23+Data!W24</f>
        <v>93082</v>
      </c>
      <c r="S24" s="16" t="n">
        <f aca="false">Data!X13+Data!X14+Data!X15+Data!X16+Data!X17+Data!X18+Data!X19+Data!X20+Data!X21+Data!X22+Data!X23+Data!X24</f>
        <v>34787</v>
      </c>
      <c r="T24" s="16" t="n">
        <f aca="false">Data!Y13+Data!Z13+Data!AA13+Data!Y14+Data!Z14+Data!AA14+Data!Y15+Data!Z15+Data!AA15+Data!Y16+Data!Z16+Data!AA16+Data!Y17+Data!Z17+Data!AA17+Data!Y18+Data!Z18+Data!AA18+Data!Y19+Data!Z19+Data!AA19+Data!Y20+Data!Z20+Data!AA20+Data!Y21+Data!Z21+Data!AA21+Data!Y22+Data!Z22+Data!AA22+Data!Y23+Data!Z23+Data!AA23+Data!Y24+Data!Z24+Data!AA24</f>
        <v>286209</v>
      </c>
      <c r="U24" s="16" t="n">
        <f aca="false">Data!Y13+Data!Y14+Data!Y15+Data!Y16+Data!Y17+Data!Y18+Data!Y19+Data!Y20+Data!Y21+Data!Y22+Data!Y23+Data!Y24</f>
        <v>194621</v>
      </c>
      <c r="V24" s="16" t="n">
        <f aca="false">Data!Z13+Data!Z14+Data!Z15+Data!Z16+Data!Z17+Data!Z18+Data!Z19+Data!Z20+Data!Z21+Data!Z22+Data!Z23+Data!Z24</f>
        <v>85874</v>
      </c>
      <c r="W24" s="16" t="n">
        <f aca="false">Data!AB13+Data!AB14+Data!AB15+Data!AB16+Data!AB17+Data!AB18+Data!AB19+Data!AB20+Data!AB21+Data!AB22+Data!AB23+Data!AB24</f>
        <v>303630</v>
      </c>
      <c r="X24" s="16" t="n">
        <f aca="false">Data!AC13+Data!AC14+Data!AC15+Data!AC16+Data!AC17+Data!AC18+Data!AC19+Data!AC20+Data!AC21+Data!AC22+Data!AC23+Data!AC24</f>
        <v>94365</v>
      </c>
      <c r="Y24" s="16" t="n">
        <f aca="false">Data!AD13+Data!AE13+Data!AF13+Data!AG13+Data!AH13+Data!AD14+Data!AE14+Data!AF14+Data!AG14+Data!AH14+Data!AD15+Data!AE15+Data!AF15+Data!AG15+Data!AH15+Data!AD16+Data!AE16+Data!AF16+Data!AG16+Data!AH16+Data!AD17+Data!AE17+Data!AF17+Data!AG17+Data!AH17+Data!AD18+Data!AE18+Data!AF18+Data!AG18+Data!AH18+Data!AD19+Data!AE19+Data!AF19+Data!AG19+Data!AH19+Data!AD20+Data!AE20+Data!AF20+Data!AG20+Data!AH20+Data!AD21+Data!AE21+Data!AF21+Data!AG21+Data!AH21+Data!AD22+Data!AE22+Data!AF22+Data!AG22+Data!AH22+Data!AD23+Data!AE23+Data!AF23+Data!AG23+Data!AH23+Data!AD24+Data!AE24+Data!AF24+Data!AG24+Data!AH24</f>
        <v>88946</v>
      </c>
      <c r="Z24" s="16" t="n">
        <f aca="false">Data!AI13+Data!AI14+Data!AI15+Data!AI16+Data!AI17+Data!AI18+Data!AI19+Data!AI20+Data!AI21+Data!AI22+Data!AI23+Data!AI24</f>
        <v>73174</v>
      </c>
      <c r="AA24" s="16" t="n">
        <f aca="false">Data!AJ13+Data!AJ14+Data!AJ15+Data!AJ16+Data!AJ17+Data!AJ18+Data!AJ19+Data!AJ20+Data!AJ21+Data!AJ22+Data!AJ23+Data!AJ24</f>
        <v>5869</v>
      </c>
      <c r="AB24" s="16" t="n">
        <f aca="false">Data!AK13+Data!AK14+Data!AK15+Data!AK16+Data!AK17+Data!AK18+Data!AK19+Data!AK20+Data!AK21+Data!AK22+Data!AK23+Data!AK24</f>
        <v>51091</v>
      </c>
      <c r="AC24" s="16" t="n">
        <f aca="false">Data!AL13+Data!AL14+Data!AL15+Data!AL16+Data!AL17+Data!AL18+Data!AL19+Data!AL20+Data!AL21+Data!AL22+Data!AL23+Data!AL24</f>
        <v>206587</v>
      </c>
      <c r="AD24" s="15" t="n">
        <f aca="false">Data!AM13+Data!AM14+Data!AM15+Data!AM16+Data!AM17+Data!AM18+Data!AM19+Data!AM20+Data!AM21+Data!AM22+Data!AM23+Data!AM24</f>
        <v>-375022</v>
      </c>
      <c r="AE24" s="16" t="n">
        <f aca="false">Data!AN13+Data!AN14+Data!AN15+Data!AN16+Data!AN17+Data!AN18+Data!AN19+Data!AN20+Data!AN21+Data!AN22+Data!AN23+Data!AN24</f>
        <v>177088</v>
      </c>
      <c r="AF24" s="15" t="n">
        <f aca="false">Data!AO13+Data!AO14+Data!AO15+Data!AO16+Data!AO17+Data!AO18+Data!AO19+Data!AO20+Data!AO21+Data!AO22+Data!AO23+Data!AO24</f>
        <v>-552109</v>
      </c>
    </row>
    <row r="25" customFormat="false" ht="15" hidden="false" customHeight="false" outlineLevel="0" collapsed="false">
      <c r="B25" s="14" t="str">
        <f aca="false">Data!B25</f>
        <v>2017-07</v>
      </c>
      <c r="C25" s="15" t="n">
        <f aca="false">Data!D14+Data!E14+Data!F14+Data!G14+Data!H14+Data!I14+Data!J14+Data!K14+Data!L14+Data!M14+Data!N14+Data!O14+Data!P14+Data!Q14+Data!R14+Data!S14+Data!D15+Data!E15+Data!F15+Data!G15+Data!H15+Data!I15+Data!J15+Data!K15+Data!L15+Data!M15+Data!N15+Data!O15+Data!P15+Data!Q15+Data!R15+Data!S15+Data!D16+Data!E16+Data!F16+Data!G16+Data!H16+Data!I16+Data!J16+Data!K16+Data!L16+Data!M16+Data!N16+Data!O16+Data!P16+Data!Q16+Data!R16+Data!S16+Data!D17+Data!E17+Data!F17+Data!G17+Data!H17+Data!I17+Data!J17+Data!K17+Data!L17+Data!M17+Data!N17+Data!O17+Data!P17+Data!Q17+Data!R17+Data!S17+Data!D18+Data!E18+Data!F18+Data!G18+Data!H18+Data!I18+Data!J18+Data!K18+Data!L18+Data!M18+Data!N18+Data!O18+Data!P18+Data!Q18+Data!R18+Data!S18+Data!D19+Data!E19+Data!F19+Data!G19+Data!H19+Data!I19+Data!J19+Data!K19+Data!L19+Data!M19+Data!N19+Data!O19+Data!P19+Data!Q19+Data!R19+Data!S19+Data!D20+Data!E20+Data!F20+Data!G20+Data!H20+Data!I20+Data!J20+Data!K20+Data!L20+Data!M20+Data!N20+Data!O20+Data!P20+Data!Q20+Data!R20+Data!S20+Data!D21+Data!E21+Data!F21+Data!G21+Data!H21+Data!I21+Data!J21+Data!K21+Data!L21+Data!M21+Data!N21+Data!O21+Data!P21+Data!Q21+Data!R21+Data!S21+Data!D22+Data!E22+Data!F22+Data!G22+Data!H22+Data!I22+Data!J22+Data!K22+Data!L22+Data!M22+Data!N22+Data!O22+Data!P22+Data!Q22+Data!R22+Data!S22+Data!D23+Data!E23+Data!F23+Data!G23+Data!H23+Data!I23+Data!J23+Data!K23+Data!L23+Data!M23+Data!N23+Data!O23+Data!P23+Data!Q23+Data!R23+Data!S23+Data!D24+Data!E24+Data!F24+Data!G24+Data!H24+Data!I24+Data!J24+Data!K24+Data!L24+Data!M24+Data!N24+Data!O24+Data!P24+Data!Q24+Data!R24+Data!S24+Data!D25+Data!E25+Data!F25+Data!G25+Data!H25+Data!I25+Data!J25+Data!K25+Data!L25+Data!M25+Data!N25+Data!O25+Data!P25+Data!Q25+Data!R25+Data!S25</f>
        <v>1899655</v>
      </c>
      <c r="D25" s="16" t="n">
        <f aca="false">Data!D14+Data!E14+Data!G14+Data!H14+Data!I14+Data!J14+Data!K14+Data!L14+Data!M14+Data!D15+Data!E15+Data!G15+Data!H15+Data!I15+Data!J15+Data!K15+Data!L15+Data!M15+Data!D16+Data!E16+Data!G16+Data!H16+Data!I16+Data!J16+Data!K16+Data!L16+Data!M16+Data!D17+Data!E17+Data!G17+Data!H17+Data!I17+Data!J17+Data!K17+Data!L17+Data!M17+Data!D18+Data!E18+Data!G18+Data!H18+Data!I18+Data!J18+Data!K18+Data!L18+Data!M18+Data!D19+Data!E19+Data!G19+Data!H19+Data!I19+Data!J19+Data!K19+Data!L19+Data!M19+Data!D20+Data!E20+Data!G20+Data!H20+Data!I20+Data!J20+Data!K20+Data!L20+Data!M20+Data!D21+Data!E21+Data!G21+Data!H21+Data!I21+Data!J21+Data!K21+Data!L21+Data!M21+Data!D22+Data!E22+Data!G22+Data!H22+Data!I22+Data!J22+Data!K22+Data!L22+Data!M22+Data!D23+Data!E23+Data!G23+Data!H23+Data!I23+Data!J23+Data!K23+Data!L23+Data!M23+Data!D24+Data!E24+Data!G24+Data!H24+Data!I24+Data!J24+Data!K24+Data!L24+Data!M24+Data!D25+Data!E25+Data!G25+Data!H25+Data!I25+Data!J25+Data!K25+Data!L25+Data!M25</f>
        <v>1112393</v>
      </c>
      <c r="E25" s="16" t="n">
        <f aca="false">Data!D14+Data!D15+Data!D16+Data!D17+Data!D18+Data!D19+Data!D20+Data!D21+Data!D22+Data!D23+Data!D24+Data!D25</f>
        <v>306428</v>
      </c>
      <c r="F25" s="16" t="n">
        <f aca="false">Data!E14+Data!E15+Data!E16+Data!E17+Data!E18+Data!E19+Data!E20+Data!E21+Data!E22+Data!E23+Data!E24+Data!E25</f>
        <v>243994</v>
      </c>
      <c r="G25" s="16" t="n">
        <f aca="false">Data!K14+Data!K15+Data!K16+Data!K17+Data!K18+Data!K19+Data!K20+Data!K21+Data!K22+Data!K23+Data!K24+Data!K25</f>
        <v>65048</v>
      </c>
      <c r="H25" s="16" t="n">
        <f aca="false">Data!L14+Data!L15+Data!L16+Data!L17+Data!L18+Data!L19+Data!L20+Data!L21+Data!L22+Data!L23+Data!L24+Data!L25</f>
        <v>59884</v>
      </c>
      <c r="I25" s="16" t="n">
        <f aca="false">Data!G14+Data!G15+Data!G16+Data!G17+Data!G18+Data!G19+Data!G20+Data!G21+Data!G22+Data!G23+Data!G24+Data!G25</f>
        <v>126666</v>
      </c>
      <c r="J25" s="16" t="n">
        <f aca="false">Data!H14+Data!I14+Data!J14+Data!M14+Data!H15+Data!I15+Data!J15+Data!M15+Data!H16+Data!I16+Data!J16+Data!M16+Data!H17+Data!I17+Data!J17+Data!M17+Data!H18+Data!I18+Data!J18+Data!M18+Data!H19+Data!I19+Data!J19+Data!M19+Data!H20+Data!I20+Data!J20+Data!M20+Data!H21+Data!I21+Data!J21+Data!M21+Data!H22+Data!I22+Data!J22+Data!M22+Data!H23+Data!I23+Data!J23+Data!M23+Data!H24+Data!I24+Data!J24+Data!M24+Data!H25+Data!I25+Data!J25+Data!M25</f>
        <v>310373</v>
      </c>
      <c r="K25" s="16" t="n">
        <f aca="false">Data!F14+Data!F15+Data!F16+Data!F17+Data!F18+Data!F19+Data!F20+Data!F21+Data!F22+Data!F23+Data!F24+Data!F25</f>
        <v>663141</v>
      </c>
      <c r="L25" s="16" t="n">
        <f aca="false">Data!N14+Data!O14+Data!P14+Data!Q14+Data!R14+Data!S14+Data!N15+Data!O15+Data!P15+Data!Q15+Data!R15+Data!S15+Data!N16+Data!O16+Data!P16+Data!Q16+Data!R16+Data!S16+Data!N17+Data!O17+Data!P17+Data!Q17+Data!R17+Data!S17+Data!N18+Data!O18+Data!P18+Data!Q18+Data!R18+Data!S18+Data!N19+Data!O19+Data!P19+Data!Q19+Data!R19+Data!S19+Data!N20+Data!O20+Data!P20+Data!Q20+Data!R20+Data!S20+Data!N21+Data!O21+Data!P21+Data!Q21+Data!R21+Data!S21+Data!N22+Data!O22+Data!P22+Data!Q22+Data!R22+Data!S22+Data!N23+Data!O23+Data!P23+Data!Q23+Data!R23+Data!S23+Data!N24+Data!O24+Data!P24+Data!Q24+Data!R24+Data!S24+Data!N25+Data!O25+Data!P25+Data!Q25+Data!R25+Data!S25</f>
        <v>124121</v>
      </c>
      <c r="M25" s="15" t="n">
        <f aca="false">Data!T14+Data!U14+Data!V14+Data!W14+Data!X14+Data!Y14+Data!Z14+Data!AA14+Data!AB14+Data!AC14+Data!AD14+Data!AE14+Data!AF14+Data!AG14+Data!AH14+Data!AI14+Data!AJ14+Data!AK14+Data!AL14+Data!T15+Data!U15+Data!V15+Data!W15+Data!X15+Data!Y15+Data!Z15+Data!AA15+Data!AB15+Data!AC15+Data!AD15+Data!AE15+Data!AF15+Data!AG15+Data!AH15+Data!AI15+Data!AJ15+Data!AK15+Data!AL15+Data!T16+Data!U16+Data!V16+Data!W16+Data!X16+Data!Y16+Data!Z16+Data!AA16+Data!AB16+Data!AC16+Data!AD16+Data!AE16+Data!AF16+Data!AG16+Data!AH16+Data!AI16+Data!AJ16+Data!AK16+Data!AL16+Data!T17+Data!U17+Data!V17+Data!W17+Data!X17+Data!Y17+Data!Z17+Data!AA17+Data!AB17+Data!AC17+Data!AD17+Data!AE17+Data!AF17+Data!AG17+Data!AH17+Data!AI17+Data!AJ17+Data!AK17+Data!AL17+Data!T18+Data!U18+Data!V18+Data!W18+Data!X18+Data!Y18+Data!Z18+Data!AA18+Data!AB18+Data!AC18+Data!AD18+Data!AE18+Data!AF18+Data!AG18+Data!AH18+Data!AI18+Data!AJ18+Data!AK18+Data!AL18+Data!T19+Data!U19+Data!V19+Data!W19+Data!X19+Data!Y19+Data!Z19+Data!AA19+Data!AB19+Data!AC19+Data!AD19+Data!AE19+Data!AF19+Data!AG19+Data!AH19+Data!AI19+Data!AJ19+Data!AK19+Data!AL19+Data!T20+Data!U20+Data!V20+Data!W20+Data!X20+Data!Y20+Data!Z20+Data!AA20+Data!AB20+Data!AC20+Data!AD20+Data!AE20+Data!AF20+Data!AG20+Data!AH20+Data!AI20+Data!AJ20+Data!AK20+Data!AL20+Data!T21+Data!U21+Data!V21+Data!W21+Data!X21+Data!Y21+Data!Z21+Data!AA21+Data!AB21+Data!AC21+Data!AD21+Data!AE21+Data!AF21+Data!AG21+Data!AH21+Data!AI21+Data!AJ21+Data!AK21+Data!AL21+Data!T22+Data!U22+Data!V22+Data!W22+Data!X22+Data!Y22+Data!Z22+Data!AA22+Data!AB22+Data!AC22+Data!AD22+Data!AE22+Data!AF22+Data!AG22+Data!AH22+Data!AI22+Data!AJ22+Data!AK22+Data!AL22+Data!T23+Data!U23+Data!V23+Data!W23+Data!X23+Data!Y23+Data!Z23+Data!AA23+Data!AB23+Data!AC23+Data!AD23+Data!AE23+Data!AF23+Data!AG23+Data!AH23+Data!AI23+Data!AJ23+Data!AK23+Data!AL23+Data!T24+Data!U24+Data!V24+Data!W24+Data!X24+Data!Y24+Data!Z24+Data!AA24+Data!AB24+Data!AC24+Data!AD24+Data!AE24+Data!AF24+Data!AG24+Data!AH24+Data!AI24+Data!AJ24+Data!AK24+Data!AL24+Data!T25+Data!U25+Data!V25+Data!W25+Data!X25+Data!Y25+Data!Z25+Data!AA25+Data!AB25+Data!AC25+Data!AD25+Data!AE25+Data!AF25+Data!AG25+Data!AH25+Data!AI25+Data!AJ25+Data!AK25+Data!AL25</f>
        <v>2272401</v>
      </c>
      <c r="N25" s="16" t="n">
        <f aca="false">Data!T14+Data!U14+Data!V14+Data!W14+Data!T15+Data!U15+Data!V15+Data!W15+Data!T16+Data!U16+Data!V16+Data!W16+Data!T17+Data!U17+Data!V17+Data!W17+Data!T18+Data!U18+Data!V18+Data!W18+Data!T19+Data!U19+Data!V19+Data!W19+Data!T20+Data!U20+Data!V20+Data!W20+Data!T21+Data!U21+Data!V21+Data!W21+Data!T22+Data!U22+Data!V22+Data!W22+Data!T23+Data!U23+Data!V23+Data!W23+Data!T24+Data!U24+Data!V24+Data!W24+Data!T25+Data!U25+Data!V25+Data!W25</f>
        <v>1121317</v>
      </c>
      <c r="O25" s="16" t="n">
        <f aca="false">Data!T14+Data!T15+Data!T16+Data!T17+Data!T18+Data!T19+Data!T20+Data!T21+Data!T22+Data!T23+Data!T24+Data!T25</f>
        <v>801709</v>
      </c>
      <c r="P25" s="16" t="n">
        <f aca="false">Data!U14+Data!U15+Data!U16+Data!U17+Data!U18+Data!U19+Data!U20+Data!U21+Data!U22+Data!U23+Data!U24+Data!U25</f>
        <v>130752</v>
      </c>
      <c r="Q25" s="16" t="n">
        <f aca="false">Data!V14+Data!V15+Data!V16+Data!V17+Data!V18+Data!V19+Data!V20+Data!V21+Data!V22+Data!V23+Data!V24+Data!V25</f>
        <v>91741</v>
      </c>
      <c r="R25" s="16" t="n">
        <f aca="false">Data!W14+Data!W15+Data!W16+Data!W17+Data!W18+Data!W19+Data!W20+Data!W21+Data!W22+Data!W23+Data!W24+Data!W25</f>
        <v>97115</v>
      </c>
      <c r="S25" s="16" t="n">
        <f aca="false">Data!X14+Data!X15+Data!X16+Data!X17+Data!X18+Data!X19+Data!X20+Data!X21+Data!X22+Data!X23+Data!X24+Data!X25</f>
        <v>35440</v>
      </c>
      <c r="T25" s="16" t="n">
        <f aca="false">Data!Y14+Data!Z14+Data!AA14+Data!Y15+Data!Z15+Data!AA15+Data!Y16+Data!Z16+Data!AA16+Data!Y17+Data!Z17+Data!AA17+Data!Y18+Data!Z18+Data!AA18+Data!Y19+Data!Z19+Data!AA19+Data!Y20+Data!Z20+Data!AA20+Data!Y21+Data!Z21+Data!AA21+Data!Y22+Data!Z22+Data!AA22+Data!Y23+Data!Z23+Data!AA23+Data!Y24+Data!Z24+Data!AA24+Data!Y25+Data!Z25+Data!AA25</f>
        <v>277869</v>
      </c>
      <c r="U25" s="16" t="n">
        <f aca="false">Data!Y14+Data!Y15+Data!Y16+Data!Y17+Data!Y18+Data!Y19+Data!Y20+Data!Y21+Data!Y22+Data!Y23+Data!Y24+Data!Y25</f>
        <v>183955</v>
      </c>
      <c r="V25" s="16" t="n">
        <f aca="false">Data!Z14+Data!Z15+Data!Z16+Data!Z17+Data!Z18+Data!Z19+Data!Z20+Data!Z21+Data!Z22+Data!Z23+Data!Z24+Data!Z25</f>
        <v>87355</v>
      </c>
      <c r="W25" s="16" t="n">
        <f aca="false">Data!AB14+Data!AB15+Data!AB16+Data!AB17+Data!AB18+Data!AB19+Data!AB20+Data!AB21+Data!AB22+Data!AB23+Data!AB24+Data!AB25</f>
        <v>311586</v>
      </c>
      <c r="X25" s="16" t="n">
        <f aca="false">Data!AC14+Data!AC15+Data!AC16+Data!AC17+Data!AC18+Data!AC19+Data!AC20+Data!AC21+Data!AC22+Data!AC23+Data!AC24+Data!AC25</f>
        <v>96728</v>
      </c>
      <c r="Y25" s="16" t="n">
        <f aca="false">Data!AD14+Data!AE14+Data!AF14+Data!AG14+Data!AH14+Data!AD15+Data!AE15+Data!AF15+Data!AG15+Data!AH15+Data!AD16+Data!AE16+Data!AF16+Data!AG16+Data!AH16+Data!AD17+Data!AE17+Data!AF17+Data!AG17+Data!AH17+Data!AD18+Data!AE18+Data!AF18+Data!AG18+Data!AH18+Data!AD19+Data!AE19+Data!AF19+Data!AG19+Data!AH19+Data!AD20+Data!AE20+Data!AF20+Data!AG20+Data!AH20+Data!AD21+Data!AE21+Data!AF21+Data!AG21+Data!AH21+Data!AD22+Data!AE22+Data!AF22+Data!AG22+Data!AH22+Data!AD23+Data!AE23+Data!AF23+Data!AG23+Data!AH23+Data!AD24+Data!AE24+Data!AF24+Data!AG24+Data!AH24+Data!AD25+Data!AE25+Data!AF25+Data!AG25+Data!AH25</f>
        <v>85026</v>
      </c>
      <c r="Z25" s="16" t="n">
        <f aca="false">Data!AI14+Data!AI15+Data!AI16+Data!AI17+Data!AI18+Data!AI19+Data!AI20+Data!AI21+Data!AI22+Data!AI23+Data!AI24+Data!AI25</f>
        <v>74626</v>
      </c>
      <c r="AA25" s="16" t="n">
        <f aca="false">Data!AJ14+Data!AJ15+Data!AJ16+Data!AJ17+Data!AJ18+Data!AJ19+Data!AJ20+Data!AJ21+Data!AJ22+Data!AJ23+Data!AJ24+Data!AJ25</f>
        <v>5665</v>
      </c>
      <c r="AB25" s="16" t="n">
        <f aca="false">Data!AK14+Data!AK15+Data!AK16+Data!AK17+Data!AK18+Data!AK19+Data!AK20+Data!AK21+Data!AK22+Data!AK23+Data!AK24+Data!AK25</f>
        <v>49298</v>
      </c>
      <c r="AC25" s="16" t="n">
        <f aca="false">Data!AL14+Data!AL15+Data!AL16+Data!AL17+Data!AL18+Data!AL19+Data!AL20+Data!AL21+Data!AL22+Data!AL23+Data!AL24+Data!AL25</f>
        <v>214846</v>
      </c>
      <c r="AD25" s="15" t="n">
        <f aca="false">Data!AM14+Data!AM15+Data!AM16+Data!AM17+Data!AM18+Data!AM19+Data!AM20+Data!AM21+Data!AM22+Data!AM23+Data!AM24+Data!AM25</f>
        <v>-372746</v>
      </c>
      <c r="AE25" s="16" t="n">
        <f aca="false">Data!AN14+Data!AN15+Data!AN16+Data!AN17+Data!AN18+Data!AN19+Data!AN20+Data!AN21+Data!AN22+Data!AN23+Data!AN24+Data!AN25</f>
        <v>184501</v>
      </c>
      <c r="AF25" s="15" t="n">
        <f aca="false">Data!AO14+Data!AO15+Data!AO16+Data!AO17+Data!AO18+Data!AO19+Data!AO20+Data!AO21+Data!AO22+Data!AO23+Data!AO24+Data!AO25</f>
        <v>-557246</v>
      </c>
    </row>
    <row r="26" customFormat="false" ht="15" hidden="false" customHeight="false" outlineLevel="0" collapsed="false">
      <c r="B26" s="14" t="str">
        <f aca="false">Data!B26</f>
        <v>2017-08</v>
      </c>
      <c r="C26" s="15" t="n">
        <f aca="false">Data!D15+Data!E15+Data!F15+Data!G15+Data!H15+Data!I15+Data!J15+Data!K15+Data!L15+Data!M15+Data!N15+Data!O15+Data!P15+Data!Q15+Data!R15+Data!S15+Data!D16+Data!E16+Data!F16+Data!G16+Data!H16+Data!I16+Data!J16+Data!K16+Data!L16+Data!M16+Data!N16+Data!O16+Data!P16+Data!Q16+Data!R16+Data!S16+Data!D17+Data!E17+Data!F17+Data!G17+Data!H17+Data!I17+Data!J17+Data!K17+Data!L17+Data!M17+Data!N17+Data!O17+Data!P17+Data!Q17+Data!R17+Data!S17+Data!D18+Data!E18+Data!F18+Data!G18+Data!H18+Data!I18+Data!J18+Data!K18+Data!L18+Data!M18+Data!N18+Data!O18+Data!P18+Data!Q18+Data!R18+Data!S18+Data!D19+Data!E19+Data!F19+Data!G19+Data!H19+Data!I19+Data!J19+Data!K19+Data!L19+Data!M19+Data!N19+Data!O19+Data!P19+Data!Q19+Data!R19+Data!S19+Data!D20+Data!E20+Data!F20+Data!G20+Data!H20+Data!I20+Data!J20+Data!K20+Data!L20+Data!M20+Data!N20+Data!O20+Data!P20+Data!Q20+Data!R20+Data!S20+Data!D21+Data!E21+Data!F21+Data!G21+Data!H21+Data!I21+Data!J21+Data!K21+Data!L21+Data!M21+Data!N21+Data!O21+Data!P21+Data!Q21+Data!R21+Data!S21+Data!D22+Data!E22+Data!F22+Data!G22+Data!H22+Data!I22+Data!J22+Data!K22+Data!L22+Data!M22+Data!N22+Data!O22+Data!P22+Data!Q22+Data!R22+Data!S22+Data!D23+Data!E23+Data!F23+Data!G23+Data!H23+Data!I23+Data!J23+Data!K23+Data!L23+Data!M23+Data!N23+Data!O23+Data!P23+Data!Q23+Data!R23+Data!S23+Data!D24+Data!E24+Data!F24+Data!G24+Data!H24+Data!I24+Data!J24+Data!K24+Data!L24+Data!M24+Data!N24+Data!O24+Data!P24+Data!Q24+Data!R24+Data!S24+Data!D25+Data!E25+Data!F25+Data!G25+Data!H25+Data!I25+Data!J25+Data!K25+Data!L25+Data!M25+Data!N25+Data!O25+Data!P25+Data!Q25+Data!R25+Data!S25+Data!D26+Data!E26+Data!F26+Data!G26+Data!H26+Data!I26+Data!J26+Data!K26+Data!L26+Data!M26+Data!N26+Data!O26+Data!P26+Data!Q26+Data!R26+Data!S26</f>
        <v>1939034</v>
      </c>
      <c r="D26" s="16" t="n">
        <f aca="false">Data!D15+Data!E15+Data!G15+Data!H15+Data!I15+Data!J15+Data!K15+Data!L15+Data!M15+Data!D16+Data!E16+Data!G16+Data!H16+Data!I16+Data!J16+Data!K16+Data!L16+Data!M16+Data!D17+Data!E17+Data!G17+Data!H17+Data!I17+Data!J17+Data!K17+Data!L17+Data!M17+Data!D18+Data!E18+Data!G18+Data!H18+Data!I18+Data!J18+Data!K18+Data!L18+Data!M18+Data!D19+Data!E19+Data!G19+Data!H19+Data!I19+Data!J19+Data!K19+Data!L19+Data!M19+Data!D20+Data!E20+Data!G20+Data!H20+Data!I20+Data!J20+Data!K20+Data!L20+Data!M20+Data!D21+Data!E21+Data!G21+Data!H21+Data!I21+Data!J21+Data!K21+Data!L21+Data!M21+Data!D22+Data!E22+Data!G22+Data!H22+Data!I22+Data!J22+Data!K22+Data!L22+Data!M22+Data!D23+Data!E23+Data!G23+Data!H23+Data!I23+Data!J23+Data!K23+Data!L23+Data!M23+Data!D24+Data!E24+Data!G24+Data!H24+Data!I24+Data!J24+Data!K24+Data!L24+Data!M24+Data!D25+Data!E25+Data!G25+Data!H25+Data!I25+Data!J25+Data!K25+Data!L25+Data!M25+Data!D26+Data!E26+Data!G26+Data!H26+Data!I26+Data!J26+Data!K26+Data!L26+Data!M26</f>
        <v>1135798</v>
      </c>
      <c r="E26" s="16" t="n">
        <f aca="false">Data!D15+Data!D16+Data!D17+Data!D18+Data!D19+Data!D20+Data!D21+Data!D22+Data!D23+Data!D24+Data!D25+Data!D26</f>
        <v>314168</v>
      </c>
      <c r="F26" s="16" t="n">
        <f aca="false">Data!E15+Data!E16+Data!E17+Data!E18+Data!E19+Data!E20+Data!E21+Data!E22+Data!E23+Data!E24+Data!E25+Data!E26</f>
        <v>250274</v>
      </c>
      <c r="G26" s="16" t="n">
        <f aca="false">Data!K15+Data!K16+Data!K17+Data!K18+Data!K19+Data!K20+Data!K21+Data!K22+Data!K23+Data!K24+Data!K25+Data!K26</f>
        <v>67033</v>
      </c>
      <c r="H26" s="16" t="n">
        <f aca="false">Data!L15+Data!L16+Data!L17+Data!L18+Data!L19+Data!L20+Data!L21+Data!L22+Data!L23+Data!L24+Data!L25+Data!L26</f>
        <v>61666</v>
      </c>
      <c r="I26" s="16" t="n">
        <f aca="false">Data!G15+Data!G16+Data!G17+Data!G18+Data!G19+Data!G20+Data!G21+Data!G22+Data!G23+Data!G24+Data!G25+Data!G26</f>
        <v>129676</v>
      </c>
      <c r="J26" s="16" t="n">
        <f aca="false">Data!H15+Data!I15+Data!J15+Data!M15+Data!H16+Data!I16+Data!J16+Data!M16+Data!H17+Data!I17+Data!J17+Data!M17+Data!H18+Data!I18+Data!J18+Data!M18+Data!H19+Data!I19+Data!J19+Data!M19+Data!H20+Data!I20+Data!J20+Data!M20+Data!H21+Data!I21+Data!J21+Data!M21+Data!H22+Data!I22+Data!J22+Data!M22+Data!H23+Data!I23+Data!J23+Data!M23+Data!H24+Data!I24+Data!J24+Data!M24+Data!H25+Data!I25+Data!J25+Data!M25+Data!H26+Data!I26+Data!J26+Data!M26</f>
        <v>312981</v>
      </c>
      <c r="K26" s="16" t="n">
        <f aca="false">Data!F15+Data!F16+Data!F17+Data!F18+Data!F19+Data!F20+Data!F21+Data!F22+Data!F23+Data!F24+Data!F25+Data!F26</f>
        <v>675148</v>
      </c>
      <c r="L26" s="16" t="n">
        <f aca="false">Data!N15+Data!O15+Data!P15+Data!Q15+Data!R15+Data!S15+Data!N16+Data!O16+Data!P16+Data!Q16+Data!R16+Data!S16+Data!N17+Data!O17+Data!P17+Data!Q17+Data!R17+Data!S17+Data!N18+Data!O18+Data!P18+Data!Q18+Data!R18+Data!S18+Data!N19+Data!O19+Data!P19+Data!Q19+Data!R19+Data!S19+Data!N20+Data!O20+Data!P20+Data!Q20+Data!R20+Data!S20+Data!N21+Data!O21+Data!P21+Data!Q21+Data!R21+Data!S21+Data!N22+Data!O22+Data!P22+Data!Q22+Data!R22+Data!S22+Data!N23+Data!O23+Data!P23+Data!Q23+Data!R23+Data!S23+Data!N24+Data!O24+Data!P24+Data!Q24+Data!R24+Data!S24+Data!N25+Data!O25+Data!P25+Data!Q25+Data!R25+Data!S25+Data!N26+Data!O26+Data!P26+Data!Q26+Data!R26+Data!S26</f>
        <v>128088</v>
      </c>
      <c r="M26" s="15" t="n">
        <f aca="false">Data!T15+Data!U15+Data!V15+Data!W15+Data!X15+Data!Y15+Data!Z15+Data!AA15+Data!AB15+Data!AC15+Data!AD15+Data!AE15+Data!AF15+Data!AG15+Data!AH15+Data!AI15+Data!AJ15+Data!AK15+Data!AL15+Data!T16+Data!U16+Data!V16+Data!W16+Data!X16+Data!Y16+Data!Z16+Data!AA16+Data!AB16+Data!AC16+Data!AD16+Data!AE16+Data!AF16+Data!AG16+Data!AH16+Data!AI16+Data!AJ16+Data!AK16+Data!AL16+Data!T17+Data!U17+Data!V17+Data!W17+Data!X17+Data!Y17+Data!Z17+Data!AA17+Data!AB17+Data!AC17+Data!AD17+Data!AE17+Data!AF17+Data!AG17+Data!AH17+Data!AI17+Data!AJ17+Data!AK17+Data!AL17+Data!T18+Data!U18+Data!V18+Data!W18+Data!X18+Data!Y18+Data!Z18+Data!AA18+Data!AB18+Data!AC18+Data!AD18+Data!AE18+Data!AF18+Data!AG18+Data!AH18+Data!AI18+Data!AJ18+Data!AK18+Data!AL18+Data!T19+Data!U19+Data!V19+Data!W19+Data!X19+Data!Y19+Data!Z19+Data!AA19+Data!AB19+Data!AC19+Data!AD19+Data!AE19+Data!AF19+Data!AG19+Data!AH19+Data!AI19+Data!AJ19+Data!AK19+Data!AL19+Data!T20+Data!U20+Data!V20+Data!W20+Data!X20+Data!Y20+Data!Z20+Data!AA20+Data!AB20+Data!AC20+Data!AD20+Data!AE20+Data!AF20+Data!AG20+Data!AH20+Data!AI20+Data!AJ20+Data!AK20+Data!AL20+Data!T21+Data!U21+Data!V21+Data!W21+Data!X21+Data!Y21+Data!Z21+Data!AA21+Data!AB21+Data!AC21+Data!AD21+Data!AE21+Data!AF21+Data!AG21+Data!AH21+Data!AI21+Data!AJ21+Data!AK21+Data!AL21+Data!T22+Data!U22+Data!V22+Data!W22+Data!X22+Data!Y22+Data!Z22+Data!AA22+Data!AB22+Data!AC22+Data!AD22+Data!AE22+Data!AF22+Data!AG22+Data!AH22+Data!AI22+Data!AJ22+Data!AK22+Data!AL22+Data!T23+Data!U23+Data!V23+Data!W23+Data!X23+Data!Y23+Data!Z23+Data!AA23+Data!AB23+Data!AC23+Data!AD23+Data!AE23+Data!AF23+Data!AG23+Data!AH23+Data!AI23+Data!AJ23+Data!AK23+Data!AL23+Data!T24+Data!U24+Data!V24+Data!W24+Data!X24+Data!Y24+Data!Z24+Data!AA24+Data!AB24+Data!AC24+Data!AD24+Data!AE24+Data!AF24+Data!AG24+Data!AH24+Data!AI24+Data!AJ24+Data!AK24+Data!AL24+Data!T25+Data!U25+Data!V25+Data!W25+Data!X25+Data!Y25+Data!Z25+Data!AA25+Data!AB25+Data!AC25+Data!AD25+Data!AE25+Data!AF25+Data!AG25+Data!AH25+Data!AI25+Data!AJ25+Data!AK25+Data!AL25+Data!T26+Data!U26+Data!V26+Data!W26+Data!X26+Data!Y26+Data!Z26+Data!AA26+Data!AB26+Data!AC26+Data!AD26+Data!AE26+Data!AF26+Data!AG26+Data!AH26+Data!AI26+Data!AJ26+Data!AK26+Data!AL26</f>
        <v>2301015</v>
      </c>
      <c r="N26" s="16" t="n">
        <f aca="false">Data!T15+Data!U15+Data!V15+Data!W15+Data!T16+Data!U16+Data!V16+Data!W16+Data!T17+Data!U17+Data!V17+Data!W17+Data!T18+Data!U18+Data!V18+Data!W18+Data!T19+Data!U19+Data!V19+Data!W19+Data!T20+Data!U20+Data!V20+Data!W20+Data!T21+Data!U21+Data!V21+Data!W21+Data!T22+Data!U22+Data!V22+Data!W22+Data!T23+Data!U23+Data!V23+Data!W23+Data!T24+Data!U24+Data!V24+Data!W24+Data!T25+Data!U25+Data!V25+Data!W25+Data!T26+Data!U26+Data!V26+Data!W26</f>
        <v>1144904</v>
      </c>
      <c r="O26" s="16" t="n">
        <f aca="false">Data!T15+Data!T16+Data!T17+Data!T18+Data!T19+Data!T20+Data!T21+Data!T22+Data!T23+Data!T24+Data!T25+Data!T26</f>
        <v>822063</v>
      </c>
      <c r="P26" s="16" t="n">
        <f aca="false">Data!U15+Data!U16+Data!U17+Data!U18+Data!U19+Data!U20+Data!U21+Data!U22+Data!U23+Data!U24+Data!U25+Data!U26</f>
        <v>133519</v>
      </c>
      <c r="Q26" s="16" t="n">
        <f aca="false">Data!V15+Data!V16+Data!V17+Data!V18+Data!V19+Data!V20+Data!V21+Data!V22+Data!V23+Data!V24+Data!V25+Data!V26</f>
        <v>93526</v>
      </c>
      <c r="R26" s="16" t="n">
        <f aca="false">Data!W15+Data!W16+Data!W17+Data!W18+Data!W19+Data!W20+Data!W21+Data!W22+Data!W23+Data!W24+Data!W25+Data!W26</f>
        <v>95796</v>
      </c>
      <c r="S26" s="16" t="n">
        <f aca="false">Data!X15+Data!X16+Data!X17+Data!X18+Data!X19+Data!X20+Data!X21+Data!X22+Data!X23+Data!X24+Data!X25+Data!X26</f>
        <v>36661</v>
      </c>
      <c r="T26" s="16" t="n">
        <f aca="false">Data!Y15+Data!Z15+Data!AA15+Data!Y16+Data!Z16+Data!AA16+Data!Y17+Data!Z17+Data!AA17+Data!Y18+Data!Z18+Data!AA18+Data!Y19+Data!Z19+Data!AA19+Data!Y20+Data!Z20+Data!AA20+Data!Y21+Data!Z21+Data!AA21+Data!Y22+Data!Z22+Data!AA22+Data!Y23+Data!Z23+Data!AA23+Data!Y24+Data!Z24+Data!AA24+Data!Y25+Data!Z25+Data!AA25+Data!Y26+Data!Z26+Data!AA26</f>
        <v>270981</v>
      </c>
      <c r="U26" s="16" t="n">
        <f aca="false">Data!Y15+Data!Y16+Data!Y17+Data!Y18+Data!Y19+Data!Y20+Data!Y21+Data!Y22+Data!Y23+Data!Y24+Data!Y25+Data!Y26</f>
        <v>178200</v>
      </c>
      <c r="V26" s="16" t="n">
        <f aca="false">Data!Z15+Data!Z16+Data!Z17+Data!Z18+Data!Z19+Data!Z20+Data!Z21+Data!Z22+Data!Z23+Data!Z24+Data!Z25+Data!Z26</f>
        <v>85521</v>
      </c>
      <c r="W26" s="16" t="n">
        <f aca="false">Data!AB15+Data!AB16+Data!AB17+Data!AB18+Data!AB19+Data!AB20+Data!AB21+Data!AB22+Data!AB23+Data!AB24+Data!AB25+Data!AB26</f>
        <v>315650</v>
      </c>
      <c r="X26" s="16" t="n">
        <f aca="false">Data!AC15+Data!AC16+Data!AC17+Data!AC18+Data!AC19+Data!AC20+Data!AC21+Data!AC22+Data!AC23+Data!AC24+Data!AC25+Data!AC26</f>
        <v>99279</v>
      </c>
      <c r="Y26" s="16" t="n">
        <f aca="false">Data!AD15+Data!AE15+Data!AF15+Data!AG15+Data!AH15+Data!AD16+Data!AE16+Data!AF16+Data!AG16+Data!AH16+Data!AD17+Data!AE17+Data!AF17+Data!AG17+Data!AH17+Data!AD18+Data!AE18+Data!AF18+Data!AG18+Data!AH18+Data!AD19+Data!AE19+Data!AF19+Data!AG19+Data!AH19+Data!AD20+Data!AE20+Data!AF20+Data!AG20+Data!AH20+Data!AD21+Data!AE21+Data!AF21+Data!AG21+Data!AH21+Data!AD22+Data!AE22+Data!AF22+Data!AG22+Data!AH22+Data!AD23+Data!AE23+Data!AF23+Data!AG23+Data!AH23+Data!AD24+Data!AE24+Data!AF24+Data!AG24+Data!AH24+Data!AD25+Data!AE25+Data!AF25+Data!AG25+Data!AH25+Data!AD26+Data!AE26+Data!AF26+Data!AG26+Data!AH26</f>
        <v>85466</v>
      </c>
      <c r="Z26" s="16" t="n">
        <f aca="false">Data!AI15+Data!AI16+Data!AI17+Data!AI18+Data!AI19+Data!AI20+Data!AI21+Data!AI22+Data!AI23+Data!AI24+Data!AI25+Data!AI26</f>
        <v>76599</v>
      </c>
      <c r="AA26" s="16" t="n">
        <f aca="false">Data!AJ15+Data!AJ16+Data!AJ17+Data!AJ18+Data!AJ19+Data!AJ20+Data!AJ21+Data!AJ22+Data!AJ23+Data!AJ24+Data!AJ25+Data!AJ26</f>
        <v>7685</v>
      </c>
      <c r="AB26" s="16" t="n">
        <f aca="false">Data!AK15+Data!AK16+Data!AK17+Data!AK18+Data!AK19+Data!AK20+Data!AK21+Data!AK22+Data!AK23+Data!AK24+Data!AK25+Data!AK26</f>
        <v>48566</v>
      </c>
      <c r="AC26" s="16" t="n">
        <f aca="false">Data!AL15+Data!AL16+Data!AL17+Data!AL18+Data!AL19+Data!AL20+Data!AL21+Data!AL22+Data!AL23+Data!AL24+Data!AL25+Data!AL26</f>
        <v>215224</v>
      </c>
      <c r="AD26" s="15" t="n">
        <f aca="false">Data!AM15+Data!AM16+Data!AM17+Data!AM18+Data!AM19+Data!AM20+Data!AM21+Data!AM22+Data!AM23+Data!AM24+Data!AM25+Data!AM26</f>
        <v>-361981</v>
      </c>
      <c r="AE26" s="16" t="n">
        <f aca="false">Data!AN15+Data!AN16+Data!AN17+Data!AN18+Data!AN19+Data!AN20+Data!AN21+Data!AN22+Data!AN23+Data!AN24+Data!AN25+Data!AN26</f>
        <v>188036</v>
      </c>
      <c r="AF26" s="15" t="n">
        <f aca="false">Data!AO15+Data!AO16+Data!AO17+Data!AO18+Data!AO19+Data!AO20+Data!AO21+Data!AO22+Data!AO23+Data!AO24+Data!AO25+Data!AO26</f>
        <v>-550016</v>
      </c>
    </row>
    <row r="27" customFormat="false" ht="15" hidden="false" customHeight="false" outlineLevel="0" collapsed="false">
      <c r="B27" s="14" t="str">
        <f aca="false">Data!B27</f>
        <v>2017-09</v>
      </c>
      <c r="C27" s="15" t="n">
        <f aca="false">Data!D16+Data!E16+Data!F16+Data!G16+Data!H16+Data!I16+Data!J16+Data!K16+Data!L16+Data!M16+Data!N16+Data!O16+Data!P16+Data!Q16+Data!R16+Data!S16+Data!D17+Data!E17+Data!F17+Data!G17+Data!H17+Data!I17+Data!J17+Data!K17+Data!L17+Data!M17+Data!N17+Data!O17+Data!P17+Data!Q17+Data!R17+Data!S17+Data!D18+Data!E18+Data!F18+Data!G18+Data!H18+Data!I18+Data!J18+Data!K18+Data!L18+Data!M18+Data!N18+Data!O18+Data!P18+Data!Q18+Data!R18+Data!S18+Data!D19+Data!E19+Data!F19+Data!G19+Data!H19+Data!I19+Data!J19+Data!K19+Data!L19+Data!M19+Data!N19+Data!O19+Data!P19+Data!Q19+Data!R19+Data!S19+Data!D20+Data!E20+Data!F20+Data!G20+Data!H20+Data!I20+Data!J20+Data!K20+Data!L20+Data!M20+Data!N20+Data!O20+Data!P20+Data!Q20+Data!R20+Data!S20+Data!D21+Data!E21+Data!F21+Data!G21+Data!H21+Data!I21+Data!J21+Data!K21+Data!L21+Data!M21+Data!N21+Data!O21+Data!P21+Data!Q21+Data!R21+Data!S21+Data!D22+Data!E22+Data!F22+Data!G22+Data!H22+Data!I22+Data!J22+Data!K22+Data!L22+Data!M22+Data!N22+Data!O22+Data!P22+Data!Q22+Data!R22+Data!S22+Data!D23+Data!E23+Data!F23+Data!G23+Data!H23+Data!I23+Data!J23+Data!K23+Data!L23+Data!M23+Data!N23+Data!O23+Data!P23+Data!Q23+Data!R23+Data!S23+Data!D24+Data!E24+Data!F24+Data!G24+Data!H24+Data!I24+Data!J24+Data!K24+Data!L24+Data!M24+Data!N24+Data!O24+Data!P24+Data!Q24+Data!R24+Data!S24+Data!D25+Data!E25+Data!F25+Data!G25+Data!H25+Data!I25+Data!J25+Data!K25+Data!L25+Data!M25+Data!N25+Data!O25+Data!P25+Data!Q25+Data!R25+Data!S25+Data!D26+Data!E26+Data!F26+Data!G26+Data!H26+Data!I26+Data!J26+Data!K26+Data!L26+Data!M26+Data!N26+Data!O26+Data!P26+Data!Q26+Data!R26+Data!S26+Data!D27+Data!E27+Data!F27+Data!G27+Data!H27+Data!I27+Data!J27+Data!K27+Data!L27+Data!M27+Data!N27+Data!O27+Data!P27+Data!Q27+Data!R27+Data!S27</f>
        <v>1973973</v>
      </c>
      <c r="D27" s="16" t="n">
        <f aca="false">Data!D16+Data!E16+Data!G16+Data!H16+Data!I16+Data!J16+Data!K16+Data!L16+Data!M16+Data!D17+Data!E17+Data!G17+Data!H17+Data!I17+Data!J17+Data!K17+Data!L17+Data!M17+Data!D18+Data!E18+Data!G18+Data!H18+Data!I18+Data!J18+Data!K18+Data!L18+Data!M18+Data!D19+Data!E19+Data!G19+Data!H19+Data!I19+Data!J19+Data!K19+Data!L19+Data!M19+Data!D20+Data!E20+Data!G20+Data!H20+Data!I20+Data!J20+Data!K20+Data!L20+Data!M20+Data!D21+Data!E21+Data!G21+Data!H21+Data!I21+Data!J21+Data!K21+Data!L21+Data!M21+Data!D22+Data!E22+Data!G22+Data!H22+Data!I22+Data!J22+Data!K22+Data!L22+Data!M22+Data!D23+Data!E23+Data!G23+Data!H23+Data!I23+Data!J23+Data!K23+Data!L23+Data!M23+Data!D24+Data!E24+Data!G24+Data!H24+Data!I24+Data!J24+Data!K24+Data!L24+Data!M24+Data!D25+Data!E25+Data!G25+Data!H25+Data!I25+Data!J25+Data!K25+Data!L25+Data!M25+Data!D26+Data!E26+Data!G26+Data!H26+Data!I26+Data!J26+Data!K26+Data!L26+Data!M26+Data!D27+Data!E27+Data!G27+Data!H27+Data!I27+Data!J27+Data!K27+Data!L27+Data!M27</f>
        <v>1157654</v>
      </c>
      <c r="E27" s="16" t="n">
        <f aca="false">Data!D16+Data!D17+Data!D18+Data!D19+Data!D20+Data!D21+Data!D22+Data!D23+Data!D24+Data!D25+Data!D26+Data!D27</f>
        <v>320302</v>
      </c>
      <c r="F27" s="16" t="n">
        <f aca="false">Data!E16+Data!E17+Data!E18+Data!E19+Data!E20+Data!E21+Data!E22+Data!E23+Data!E24+Data!E25+Data!E26+Data!E27</f>
        <v>258254</v>
      </c>
      <c r="G27" s="16" t="n">
        <f aca="false">Data!K16+Data!K17+Data!K18+Data!K19+Data!K20+Data!K21+Data!K22+Data!K23+Data!K24+Data!K25+Data!K26+Data!K27</f>
        <v>66596</v>
      </c>
      <c r="H27" s="16" t="n">
        <f aca="false">Data!L16+Data!L17+Data!L18+Data!L19+Data!L20+Data!L21+Data!L22+Data!L23+Data!L24+Data!L25+Data!L26+Data!L27</f>
        <v>62867</v>
      </c>
      <c r="I27" s="16" t="n">
        <f aca="false">Data!G16+Data!G17+Data!G18+Data!G19+Data!G20+Data!G21+Data!G22+Data!G23+Data!G24+Data!G25+Data!G26+Data!G27</f>
        <v>132754</v>
      </c>
      <c r="J27" s="16" t="n">
        <f aca="false">Data!H16+Data!I16+Data!J16+Data!M16+Data!H17+Data!I17+Data!J17+Data!M17+Data!H18+Data!I18+Data!J18+Data!M18+Data!H19+Data!I19+Data!J19+Data!M19+Data!H20+Data!I20+Data!J20+Data!M20+Data!H21+Data!I21+Data!J21+Data!M21+Data!H22+Data!I22+Data!J22+Data!M22+Data!H23+Data!I23+Data!J23+Data!M23+Data!H24+Data!I24+Data!J24+Data!M24+Data!H25+Data!I25+Data!J25+Data!M25+Data!H26+Data!I26+Data!J26+Data!M26+Data!H27+Data!I27+Data!J27+Data!M27</f>
        <v>316881</v>
      </c>
      <c r="K27" s="16" t="n">
        <f aca="false">Data!F16+Data!F17+Data!F18+Data!F19+Data!F20+Data!F21+Data!F22+Data!F23+Data!F24+Data!F25+Data!F26+Data!F27</f>
        <v>689292</v>
      </c>
      <c r="L27" s="16" t="n">
        <f aca="false">Data!N16+Data!O16+Data!P16+Data!Q16+Data!R16+Data!S16+Data!N17+Data!O17+Data!P17+Data!Q17+Data!R17+Data!S17+Data!N18+Data!O18+Data!P18+Data!Q18+Data!R18+Data!S18+Data!N19+Data!O19+Data!P19+Data!Q19+Data!R19+Data!S19+Data!N20+Data!O20+Data!P20+Data!Q20+Data!R20+Data!S20+Data!N21+Data!O21+Data!P21+Data!Q21+Data!R21+Data!S21+Data!N22+Data!O22+Data!P22+Data!Q22+Data!R22+Data!S22+Data!N23+Data!O23+Data!P23+Data!Q23+Data!R23+Data!S23+Data!N24+Data!O24+Data!P24+Data!Q24+Data!R24+Data!S24+Data!N25+Data!O25+Data!P25+Data!Q25+Data!R25+Data!S25+Data!N26+Data!O26+Data!P26+Data!Q26+Data!R26+Data!S26+Data!N27+Data!O27+Data!P27+Data!Q27+Data!R27+Data!S27</f>
        <v>127027</v>
      </c>
      <c r="M27" s="15" t="n">
        <f aca="false">Data!T16+Data!U16+Data!V16+Data!W16+Data!X16+Data!Y16+Data!Z16+Data!AA16+Data!AB16+Data!AC16+Data!AD16+Data!AE16+Data!AF16+Data!AG16+Data!AH16+Data!AI16+Data!AJ16+Data!AK16+Data!AL16+Data!T17+Data!U17+Data!V17+Data!W17+Data!X17+Data!Y17+Data!Z17+Data!AA17+Data!AB17+Data!AC17+Data!AD17+Data!AE17+Data!AF17+Data!AG17+Data!AH17+Data!AI17+Data!AJ17+Data!AK17+Data!AL17+Data!T18+Data!U18+Data!V18+Data!W18+Data!X18+Data!Y18+Data!Z18+Data!AA18+Data!AB18+Data!AC18+Data!AD18+Data!AE18+Data!AF18+Data!AG18+Data!AH18+Data!AI18+Data!AJ18+Data!AK18+Data!AL18+Data!T19+Data!U19+Data!V19+Data!W19+Data!X19+Data!Y19+Data!Z19+Data!AA19+Data!AB19+Data!AC19+Data!AD19+Data!AE19+Data!AF19+Data!AG19+Data!AH19+Data!AI19+Data!AJ19+Data!AK19+Data!AL19+Data!T20+Data!U20+Data!V20+Data!W20+Data!X20+Data!Y20+Data!Z20+Data!AA20+Data!AB20+Data!AC20+Data!AD20+Data!AE20+Data!AF20+Data!AG20+Data!AH20+Data!AI20+Data!AJ20+Data!AK20+Data!AL20+Data!T21+Data!U21+Data!V21+Data!W21+Data!X21+Data!Y21+Data!Z21+Data!AA21+Data!AB21+Data!AC21+Data!AD21+Data!AE21+Data!AF21+Data!AG21+Data!AH21+Data!AI21+Data!AJ21+Data!AK21+Data!AL21+Data!T22+Data!U22+Data!V22+Data!W22+Data!X22+Data!Y22+Data!Z22+Data!AA22+Data!AB22+Data!AC22+Data!AD22+Data!AE22+Data!AF22+Data!AG22+Data!AH22+Data!AI22+Data!AJ22+Data!AK22+Data!AL22+Data!T23+Data!U23+Data!V23+Data!W23+Data!X23+Data!Y23+Data!Z23+Data!AA23+Data!AB23+Data!AC23+Data!AD23+Data!AE23+Data!AF23+Data!AG23+Data!AH23+Data!AI23+Data!AJ23+Data!AK23+Data!AL23+Data!T24+Data!U24+Data!V24+Data!W24+Data!X24+Data!Y24+Data!Z24+Data!AA24+Data!AB24+Data!AC24+Data!AD24+Data!AE24+Data!AF24+Data!AG24+Data!AH24+Data!AI24+Data!AJ24+Data!AK24+Data!AL24+Data!T25+Data!U25+Data!V25+Data!W25+Data!X25+Data!Y25+Data!Z25+Data!AA25+Data!AB25+Data!AC25+Data!AD25+Data!AE25+Data!AF25+Data!AG25+Data!AH25+Data!AI25+Data!AJ25+Data!AK25+Data!AL25+Data!T26+Data!U26+Data!V26+Data!W26+Data!X26+Data!Y26+Data!Z26+Data!AA26+Data!AB26+Data!AC26+Data!AD26+Data!AE26+Data!AF26+Data!AG26+Data!AH26+Data!AI26+Data!AJ26+Data!AK26+Data!AL26+Data!T27+Data!U27+Data!V27+Data!W27+Data!X27+Data!Y27+Data!Z27+Data!AA27+Data!AB27+Data!AC27+Data!AD27+Data!AE27+Data!AF27+Data!AG27+Data!AH27+Data!AI27+Data!AJ27+Data!AK27+Data!AL27</f>
        <v>2330290</v>
      </c>
      <c r="N27" s="16" t="n">
        <f aca="false">Data!T16+Data!U16+Data!V16+Data!W16+Data!T17+Data!U17+Data!V17+Data!W17+Data!T18+Data!U18+Data!V18+Data!W18+Data!T19+Data!U19+Data!V19+Data!W19+Data!T20+Data!U20+Data!V20+Data!W20+Data!T21+Data!U21+Data!V21+Data!W21+Data!T22+Data!U22+Data!V22+Data!W22+Data!T23+Data!U23+Data!V23+Data!W23+Data!T24+Data!U24+Data!V24+Data!W24+Data!T25+Data!U25+Data!V25+Data!W25+Data!T26+Data!U26+Data!V26+Data!W26+Data!T27+Data!U27+Data!V27+Data!W27</f>
        <v>1173159</v>
      </c>
      <c r="O27" s="16" t="n">
        <f aca="false">Data!T16+Data!T17+Data!T18+Data!T19+Data!T20+Data!T21+Data!T22+Data!T23+Data!T24+Data!T25+Data!T26+Data!T27</f>
        <v>843827</v>
      </c>
      <c r="P27" s="16" t="n">
        <f aca="false">Data!U16+Data!U17+Data!U18+Data!U19+Data!U20+Data!U21+Data!U22+Data!U23+Data!U24+Data!U25+Data!U26+Data!U27</f>
        <v>135983</v>
      </c>
      <c r="Q27" s="16" t="n">
        <f aca="false">Data!V16+Data!V17+Data!V18+Data!V19+Data!V20+Data!V21+Data!V22+Data!V23+Data!V24+Data!V25+Data!V26+Data!V27</f>
        <v>95312</v>
      </c>
      <c r="R27" s="16" t="n">
        <f aca="false">Data!W16+Data!W17+Data!W18+Data!W19+Data!W20+Data!W21+Data!W22+Data!W23+Data!W24+Data!W25+Data!W26+Data!W27</f>
        <v>98037</v>
      </c>
      <c r="S27" s="16" t="n">
        <f aca="false">Data!X16+Data!X17+Data!X18+Data!X19+Data!X20+Data!X21+Data!X22+Data!X23+Data!X24+Data!X25+Data!X26+Data!X27</f>
        <v>38156</v>
      </c>
      <c r="T27" s="16" t="n">
        <f aca="false">Data!Y16+Data!Z16+Data!AA16+Data!Y17+Data!Z17+Data!AA17+Data!Y18+Data!Z18+Data!AA18+Data!Y19+Data!Z19+Data!AA19+Data!Y20+Data!Z20+Data!AA20+Data!Y21+Data!Z21+Data!AA21+Data!Y22+Data!Z22+Data!AA22+Data!Y23+Data!Z23+Data!AA23+Data!Y24+Data!Z24+Data!AA24+Data!Y25+Data!Z25+Data!AA25+Data!Y26+Data!Z26+Data!AA26+Data!Y27+Data!Z27+Data!AA27</f>
        <v>259660</v>
      </c>
      <c r="U27" s="16" t="n">
        <f aca="false">Data!Y16+Data!Y17+Data!Y18+Data!Y19+Data!Y20+Data!Y21+Data!Y22+Data!Y23+Data!Y24+Data!Y25+Data!Y26+Data!Y27</f>
        <v>166291</v>
      </c>
      <c r="V27" s="16" t="n">
        <f aca="false">Data!Z16+Data!Z17+Data!Z18+Data!Z19+Data!Z20+Data!Z21+Data!Z22+Data!Z23+Data!Z24+Data!Z25+Data!Z26+Data!Z27</f>
        <v>85181</v>
      </c>
      <c r="W27" s="16" t="n">
        <f aca="false">Data!AB16+Data!AB17+Data!AB18+Data!AB19+Data!AB20+Data!AB21+Data!AB22+Data!AB23+Data!AB24+Data!AB25+Data!AB26+Data!AB27</f>
        <v>318996</v>
      </c>
      <c r="X27" s="16" t="n">
        <f aca="false">Data!AC16+Data!AC17+Data!AC18+Data!AC19+Data!AC20+Data!AC21+Data!AC22+Data!AC23+Data!AC24+Data!AC25+Data!AC26+Data!AC27</f>
        <v>102281</v>
      </c>
      <c r="Y27" s="16" t="n">
        <f aca="false">Data!AD16+Data!AE16+Data!AF16+Data!AG16+Data!AH16+Data!AD17+Data!AE17+Data!AF17+Data!AG17+Data!AH17+Data!AD18+Data!AE18+Data!AF18+Data!AG18+Data!AH18+Data!AD19+Data!AE19+Data!AF19+Data!AG19+Data!AH19+Data!AD20+Data!AE20+Data!AF20+Data!AG20+Data!AH20+Data!AD21+Data!AE21+Data!AF21+Data!AG21+Data!AH21+Data!AD22+Data!AE22+Data!AF22+Data!AG22+Data!AH22+Data!AD23+Data!AE23+Data!AF23+Data!AG23+Data!AH23+Data!AD24+Data!AE24+Data!AF24+Data!AG24+Data!AH24+Data!AD25+Data!AE25+Data!AF25+Data!AG25+Data!AH25+Data!AD26+Data!AE26+Data!AF26+Data!AG26+Data!AH26+Data!AD27+Data!AE27+Data!AF27+Data!AG27+Data!AH27</f>
        <v>85932</v>
      </c>
      <c r="Z27" s="16" t="n">
        <f aca="false">Data!AI16+Data!AI17+Data!AI18+Data!AI19+Data!AI20+Data!AI21+Data!AI22+Data!AI23+Data!AI24+Data!AI25+Data!AI26+Data!AI27</f>
        <v>78922</v>
      </c>
      <c r="AA27" s="16" t="n">
        <f aca="false">Data!AJ16+Data!AJ17+Data!AJ18+Data!AJ19+Data!AJ20+Data!AJ21+Data!AJ22+Data!AJ23+Data!AJ24+Data!AJ25+Data!AJ26+Data!AJ27</f>
        <v>7787</v>
      </c>
      <c r="AB27" s="16" t="n">
        <f aca="false">Data!AK16+Data!AK17+Data!AK18+Data!AK19+Data!AK20+Data!AK21+Data!AK22+Data!AK23+Data!AK24+Data!AK25+Data!AK26+Data!AK27</f>
        <v>46639</v>
      </c>
      <c r="AC27" s="16" t="n">
        <f aca="false">Data!AL16+Data!AL17+Data!AL18+Data!AL19+Data!AL20+Data!AL21+Data!AL22+Data!AL23+Data!AL24+Data!AL25+Data!AL26+Data!AL27</f>
        <v>218758</v>
      </c>
      <c r="AD27" s="15" t="n">
        <f aca="false">Data!AM16+Data!AM17+Data!AM18+Data!AM19+Data!AM20+Data!AM21+Data!AM22+Data!AM23+Data!AM24+Data!AM25+Data!AM26+Data!AM27</f>
        <v>-356317</v>
      </c>
      <c r="AE27" s="16" t="n">
        <f aca="false">Data!AN16+Data!AN17+Data!AN18+Data!AN19+Data!AN20+Data!AN21+Data!AN22+Data!AN23+Data!AN24+Data!AN25+Data!AN26+Data!AN27</f>
        <v>195881</v>
      </c>
      <c r="AF27" s="15" t="n">
        <f aca="false">Data!AO16+Data!AO17+Data!AO18+Data!AO19+Data!AO20+Data!AO21+Data!AO22+Data!AO23+Data!AO24+Data!AO25+Data!AO26+Data!AO27</f>
        <v>-552197</v>
      </c>
    </row>
    <row r="28" customFormat="false" ht="15" hidden="false" customHeight="false" outlineLevel="0" collapsed="false">
      <c r="B28" s="14" t="str">
        <f aca="false">Data!B28</f>
        <v>2017-10</v>
      </c>
      <c r="C28" s="15" t="n">
        <f aca="false">Data!D17+Data!E17+Data!F17+Data!G17+Data!H17+Data!I17+Data!J17+Data!K17+Data!L17+Data!M17+Data!N17+Data!O17+Data!P17+Data!Q17+Data!R17+Data!S17+Data!D18+Data!E18+Data!F18+Data!G18+Data!H18+Data!I18+Data!J18+Data!K18+Data!L18+Data!M18+Data!N18+Data!O18+Data!P18+Data!Q18+Data!R18+Data!S18+Data!D19+Data!E19+Data!F19+Data!G19+Data!H19+Data!I19+Data!J19+Data!K19+Data!L19+Data!M19+Data!N19+Data!O19+Data!P19+Data!Q19+Data!R19+Data!S19+Data!D20+Data!E20+Data!F20+Data!G20+Data!H20+Data!I20+Data!J20+Data!K20+Data!L20+Data!M20+Data!N20+Data!O20+Data!P20+Data!Q20+Data!R20+Data!S20+Data!D21+Data!E21+Data!F21+Data!G21+Data!H21+Data!I21+Data!J21+Data!K21+Data!L21+Data!M21+Data!N21+Data!O21+Data!P21+Data!Q21+Data!R21+Data!S21+Data!D22+Data!E22+Data!F22+Data!G22+Data!H22+Data!I22+Data!J22+Data!K22+Data!L22+Data!M22+Data!N22+Data!O22+Data!P22+Data!Q22+Data!R22+Data!S22+Data!D23+Data!E23+Data!F23+Data!G23+Data!H23+Data!I23+Data!J23+Data!K23+Data!L23+Data!M23+Data!N23+Data!O23+Data!P23+Data!Q23+Data!R23+Data!S23+Data!D24+Data!E24+Data!F24+Data!G24+Data!H24+Data!I24+Data!J24+Data!K24+Data!L24+Data!M24+Data!N24+Data!O24+Data!P24+Data!Q24+Data!R24+Data!S24+Data!D25+Data!E25+Data!F25+Data!G25+Data!H25+Data!I25+Data!J25+Data!K25+Data!L25+Data!M25+Data!N25+Data!O25+Data!P25+Data!Q25+Data!R25+Data!S25+Data!D26+Data!E26+Data!F26+Data!G26+Data!H26+Data!I26+Data!J26+Data!K26+Data!L26+Data!M26+Data!N26+Data!O26+Data!P26+Data!Q26+Data!R26+Data!S26+Data!D27+Data!E27+Data!F27+Data!G27+Data!H27+Data!I27+Data!J27+Data!K27+Data!L27+Data!M27+Data!N27+Data!O27+Data!P27+Data!Q27+Data!R27+Data!S27+Data!D28+Data!E28+Data!F28+Data!G28+Data!H28+Data!I28+Data!J28+Data!K28+Data!L28+Data!M28+Data!N28+Data!O28+Data!P28+Data!Q28+Data!R28+Data!S28</f>
        <v>2014656</v>
      </c>
      <c r="D28" s="16" t="n">
        <f aca="false">Data!D17+Data!E17+Data!G17+Data!H17+Data!I17+Data!J17+Data!K17+Data!L17+Data!M17+Data!D18+Data!E18+Data!G18+Data!H18+Data!I18+Data!J18+Data!K18+Data!L18+Data!M18+Data!D19+Data!E19+Data!G19+Data!H19+Data!I19+Data!J19+Data!K19+Data!L19+Data!M19+Data!D20+Data!E20+Data!G20+Data!H20+Data!I20+Data!J20+Data!K20+Data!L20+Data!M20+Data!D21+Data!E21+Data!G21+Data!H21+Data!I21+Data!J21+Data!K21+Data!L21+Data!M21+Data!D22+Data!E22+Data!G22+Data!H22+Data!I22+Data!J22+Data!K22+Data!L22+Data!M22+Data!D23+Data!E23+Data!G23+Data!H23+Data!I23+Data!J23+Data!K23+Data!L23+Data!M23+Data!D24+Data!E24+Data!G24+Data!H24+Data!I24+Data!J24+Data!K24+Data!L24+Data!M24+Data!D25+Data!E25+Data!G25+Data!H25+Data!I25+Data!J25+Data!K25+Data!L25+Data!M25+Data!D26+Data!E26+Data!G26+Data!H26+Data!I26+Data!J26+Data!K26+Data!L26+Data!M26+Data!D27+Data!E27+Data!G27+Data!H27+Data!I27+Data!J27+Data!K27+Data!L27+Data!M27+Data!D28+Data!E28+Data!G28+Data!H28+Data!I28+Data!J28+Data!K28+Data!L28+Data!M28</f>
        <v>1177081</v>
      </c>
      <c r="E28" s="16" t="n">
        <f aca="false">Data!D17+Data!D18+Data!D19+Data!D20+Data!D21+Data!D22+Data!D23+Data!D24+Data!D25+Data!D26+Data!D27+Data!D28</f>
        <v>329144</v>
      </c>
      <c r="F28" s="16" t="n">
        <f aca="false">Data!E17+Data!E18+Data!E19+Data!E20+Data!E21+Data!E22+Data!E23+Data!E24+Data!E25+Data!E26+Data!E27+Data!E28</f>
        <v>264450</v>
      </c>
      <c r="G28" s="16" t="n">
        <f aca="false">Data!K17+Data!K18+Data!K19+Data!K20+Data!K21+Data!K22+Data!K23+Data!K24+Data!K25+Data!K26+Data!K27+Data!K28</f>
        <v>65830</v>
      </c>
      <c r="H28" s="16" t="n">
        <f aca="false">Data!L17+Data!L18+Data!L19+Data!L20+Data!L21+Data!L22+Data!L23+Data!L24+Data!L25+Data!L26+Data!L27+Data!L28</f>
        <v>64601</v>
      </c>
      <c r="I28" s="16" t="n">
        <f aca="false">Data!G17+Data!G18+Data!G19+Data!G20+Data!G21+Data!G22+Data!G23+Data!G24+Data!G25+Data!G26+Data!G27+Data!G28</f>
        <v>135360</v>
      </c>
      <c r="J28" s="16" t="n">
        <f aca="false">Data!H17+Data!I17+Data!J17+Data!M17+Data!H18+Data!I18+Data!J18+Data!M18+Data!H19+Data!I19+Data!J19+Data!M19+Data!H20+Data!I20+Data!J20+Data!M20+Data!H21+Data!I21+Data!J21+Data!M21+Data!H22+Data!I22+Data!J22+Data!M22+Data!H23+Data!I23+Data!J23+Data!M23+Data!H24+Data!I24+Data!J24+Data!M24+Data!H25+Data!I25+Data!J25+Data!M25+Data!H26+Data!I26+Data!J26+Data!M26+Data!H27+Data!I27+Data!J27+Data!M27+Data!H28+Data!I28+Data!J28+Data!M28</f>
        <v>317696</v>
      </c>
      <c r="K28" s="16" t="n">
        <f aca="false">Data!F17+Data!F18+Data!F19+Data!F20+Data!F21+Data!F22+Data!F23+Data!F24+Data!F25+Data!F26+Data!F27+Data!F28</f>
        <v>705281</v>
      </c>
      <c r="L28" s="16" t="n">
        <f aca="false">Data!N17+Data!O17+Data!P17+Data!Q17+Data!R17+Data!S17+Data!N18+Data!O18+Data!P18+Data!Q18+Data!R18+Data!S18+Data!N19+Data!O19+Data!P19+Data!Q19+Data!R19+Data!S19+Data!N20+Data!O20+Data!P20+Data!Q20+Data!R20+Data!S20+Data!N21+Data!O21+Data!P21+Data!Q21+Data!R21+Data!S21+Data!N22+Data!O22+Data!P22+Data!Q22+Data!R22+Data!S22+Data!N23+Data!O23+Data!P23+Data!Q23+Data!R23+Data!S23+Data!N24+Data!O24+Data!P24+Data!Q24+Data!R24+Data!S24+Data!N25+Data!O25+Data!P25+Data!Q25+Data!R25+Data!S25+Data!N26+Data!O26+Data!P26+Data!Q26+Data!R26+Data!S26+Data!N27+Data!O27+Data!P27+Data!Q27+Data!R27+Data!S27+Data!N28+Data!O28+Data!P28+Data!Q28+Data!R28+Data!S28</f>
        <v>132294</v>
      </c>
      <c r="M28" s="15" t="n">
        <f aca="false">Data!T17+Data!U17+Data!V17+Data!W17+Data!X17+Data!Y17+Data!Z17+Data!AA17+Data!AB17+Data!AC17+Data!AD17+Data!AE17+Data!AF17+Data!AG17+Data!AH17+Data!AI17+Data!AJ17+Data!AK17+Data!AL17+Data!T18+Data!U18+Data!V18+Data!W18+Data!X18+Data!Y18+Data!Z18+Data!AA18+Data!AB18+Data!AC18+Data!AD18+Data!AE18+Data!AF18+Data!AG18+Data!AH18+Data!AI18+Data!AJ18+Data!AK18+Data!AL18+Data!T19+Data!U19+Data!V19+Data!W19+Data!X19+Data!Y19+Data!Z19+Data!AA19+Data!AB19+Data!AC19+Data!AD19+Data!AE19+Data!AF19+Data!AG19+Data!AH19+Data!AI19+Data!AJ19+Data!AK19+Data!AL19+Data!T20+Data!U20+Data!V20+Data!W20+Data!X20+Data!Y20+Data!Z20+Data!AA20+Data!AB20+Data!AC20+Data!AD20+Data!AE20+Data!AF20+Data!AG20+Data!AH20+Data!AI20+Data!AJ20+Data!AK20+Data!AL20+Data!T21+Data!U21+Data!V21+Data!W21+Data!X21+Data!Y21+Data!Z21+Data!AA21+Data!AB21+Data!AC21+Data!AD21+Data!AE21+Data!AF21+Data!AG21+Data!AH21+Data!AI21+Data!AJ21+Data!AK21+Data!AL21+Data!T22+Data!U22+Data!V22+Data!W22+Data!X22+Data!Y22+Data!Z22+Data!AA22+Data!AB22+Data!AC22+Data!AD22+Data!AE22+Data!AF22+Data!AG22+Data!AH22+Data!AI22+Data!AJ22+Data!AK22+Data!AL22+Data!T23+Data!U23+Data!V23+Data!W23+Data!X23+Data!Y23+Data!Z23+Data!AA23+Data!AB23+Data!AC23+Data!AD23+Data!AE23+Data!AF23+Data!AG23+Data!AH23+Data!AI23+Data!AJ23+Data!AK23+Data!AL23+Data!T24+Data!U24+Data!V24+Data!W24+Data!X24+Data!Y24+Data!Z24+Data!AA24+Data!AB24+Data!AC24+Data!AD24+Data!AE24+Data!AF24+Data!AG24+Data!AH24+Data!AI24+Data!AJ24+Data!AK24+Data!AL24+Data!T25+Data!U25+Data!V25+Data!W25+Data!X25+Data!Y25+Data!Z25+Data!AA25+Data!AB25+Data!AC25+Data!AD25+Data!AE25+Data!AF25+Data!AG25+Data!AH25+Data!AI25+Data!AJ25+Data!AK25+Data!AL25+Data!T26+Data!U26+Data!V26+Data!W26+Data!X26+Data!Y26+Data!Z26+Data!AA26+Data!AB26+Data!AC26+Data!AD26+Data!AE26+Data!AF26+Data!AG26+Data!AH26+Data!AI26+Data!AJ26+Data!AK26+Data!AL26+Data!T27+Data!U27+Data!V27+Data!W27+Data!X27+Data!Y27+Data!Z27+Data!AA27+Data!AB27+Data!AC27+Data!AD27+Data!AE27+Data!AF27+Data!AG27+Data!AH27+Data!AI27+Data!AJ27+Data!AK27+Data!AL27+Data!T28+Data!U28+Data!V28+Data!W28+Data!X28+Data!Y28+Data!Z28+Data!AA28+Data!AB28+Data!AC28+Data!AD28+Data!AE28+Data!AF28+Data!AG28+Data!AH28+Data!AI28+Data!AJ28+Data!AK28+Data!AL28</f>
        <v>2341600</v>
      </c>
      <c r="N28" s="16" t="n">
        <f aca="false">Data!T17+Data!U17+Data!V17+Data!W17+Data!T18+Data!U18+Data!V18+Data!W18+Data!T19+Data!U19+Data!V19+Data!W19+Data!T20+Data!U20+Data!V20+Data!W20+Data!T21+Data!U21+Data!V21+Data!W21+Data!T22+Data!U22+Data!V22+Data!W22+Data!T23+Data!U23+Data!V23+Data!W23+Data!T24+Data!U24+Data!V24+Data!W24+Data!T25+Data!U25+Data!V25+Data!W25+Data!T26+Data!U26+Data!V26+Data!W26+Data!T27+Data!U27+Data!V27+Data!W27+Data!T28+Data!U28+Data!V28+Data!W28</f>
        <v>1202068</v>
      </c>
      <c r="O28" s="16" t="n">
        <f aca="false">Data!T17+Data!T18+Data!T19+Data!T20+Data!T21+Data!T22+Data!T23+Data!T24+Data!T25+Data!T26+Data!T27+Data!T28</f>
        <v>867978</v>
      </c>
      <c r="P28" s="16" t="n">
        <f aca="false">Data!U17+Data!U18+Data!U19+Data!U20+Data!U21+Data!U22+Data!U23+Data!U24+Data!U25+Data!U26+Data!U27+Data!U28</f>
        <v>138457</v>
      </c>
      <c r="Q28" s="16" t="n">
        <f aca="false">Data!V17+Data!V18+Data!V19+Data!V20+Data!V21+Data!V22+Data!V23+Data!V24+Data!V25+Data!V26+Data!V27+Data!V28</f>
        <v>97058</v>
      </c>
      <c r="R28" s="16" t="n">
        <f aca="false">Data!W17+Data!W18+Data!W19+Data!W20+Data!W21+Data!W22+Data!W23+Data!W24+Data!W25+Data!W26+Data!W27+Data!W28</f>
        <v>98575</v>
      </c>
      <c r="S28" s="16" t="n">
        <f aca="false">Data!X17+Data!X18+Data!X19+Data!X20+Data!X21+Data!X22+Data!X23+Data!X24+Data!X25+Data!X26+Data!X27+Data!X28</f>
        <v>38741</v>
      </c>
      <c r="T28" s="16" t="n">
        <f aca="false">Data!Y17+Data!Z17+Data!AA17+Data!Y18+Data!Z18+Data!AA18+Data!Y19+Data!Z19+Data!AA19+Data!Y20+Data!Z20+Data!AA20+Data!Y21+Data!Z21+Data!AA21+Data!Y22+Data!Z22+Data!AA22+Data!Y23+Data!Z23+Data!AA23+Data!Y24+Data!Z24+Data!AA24+Data!Y25+Data!Z25+Data!AA25+Data!Y26+Data!Z26+Data!AA26+Data!Y27+Data!Z27+Data!AA27+Data!Y28+Data!Z28+Data!AA28</f>
        <v>243583</v>
      </c>
      <c r="U28" s="16" t="n">
        <f aca="false">Data!Y17+Data!Y18+Data!Y19+Data!Y20+Data!Y21+Data!Y22+Data!Y23+Data!Y24+Data!Y25+Data!Y26+Data!Y27+Data!Y28</f>
        <v>149620</v>
      </c>
      <c r="V28" s="16" t="n">
        <f aca="false">Data!Z17+Data!Z18+Data!Z19+Data!Z20+Data!Z21+Data!Z22+Data!Z23+Data!Z24+Data!Z25+Data!Z26+Data!Z27+Data!Z28</f>
        <v>85078</v>
      </c>
      <c r="W28" s="16" t="n">
        <f aca="false">Data!AB17+Data!AB18+Data!AB19+Data!AB20+Data!AB21+Data!AB22+Data!AB23+Data!AB24+Data!AB25+Data!AB26+Data!AB27+Data!AB28</f>
        <v>323060</v>
      </c>
      <c r="X28" s="16" t="n">
        <f aca="false">Data!AC17+Data!AC18+Data!AC19+Data!AC20+Data!AC21+Data!AC22+Data!AC23+Data!AC24+Data!AC25+Data!AC26+Data!AC27+Data!AC28</f>
        <v>99588</v>
      </c>
      <c r="Y28" s="16" t="n">
        <f aca="false">Data!AD17+Data!AE17+Data!AF17+Data!AG17+Data!AH17+Data!AD18+Data!AE18+Data!AF18+Data!AG18+Data!AH18+Data!AD19+Data!AE19+Data!AF19+Data!AG19+Data!AH19+Data!AD20+Data!AE20+Data!AF20+Data!AG20+Data!AH20+Data!AD21+Data!AE21+Data!AF21+Data!AG21+Data!AH21+Data!AD22+Data!AE22+Data!AF22+Data!AG22+Data!AH22+Data!AD23+Data!AE23+Data!AF23+Data!AG23+Data!AH23+Data!AD24+Data!AE24+Data!AF24+Data!AG24+Data!AH24+Data!AD25+Data!AE25+Data!AF25+Data!AG25+Data!AH25+Data!AD26+Data!AE26+Data!AF26+Data!AG26+Data!AH26+Data!AD27+Data!AE27+Data!AF27+Data!AG27+Data!AH27+Data!AD28+Data!AE28+Data!AF28+Data!AG28+Data!AH28</f>
        <v>85933</v>
      </c>
      <c r="Z28" s="16" t="n">
        <f aca="false">Data!AI17+Data!AI18+Data!AI19+Data!AI20+Data!AI21+Data!AI22+Data!AI23+Data!AI24+Data!AI25+Data!AI26+Data!AI27+Data!AI28</f>
        <v>80514</v>
      </c>
      <c r="AA28" s="16" t="n">
        <f aca="false">Data!AJ17+Data!AJ18+Data!AJ19+Data!AJ20+Data!AJ21+Data!AJ22+Data!AJ23+Data!AJ24+Data!AJ25+Data!AJ26+Data!AJ27+Data!AJ28</f>
        <v>8535</v>
      </c>
      <c r="AB28" s="16" t="n">
        <f aca="false">Data!AK17+Data!AK18+Data!AK19+Data!AK20+Data!AK21+Data!AK22+Data!AK23+Data!AK24+Data!AK25+Data!AK26+Data!AK27+Data!AK28</f>
        <v>47236</v>
      </c>
      <c r="AC28" s="16" t="n">
        <f aca="false">Data!AL17+Data!AL18+Data!AL19+Data!AL20+Data!AL21+Data!AL22+Data!AL23+Data!AL24+Data!AL25+Data!AL26+Data!AL27+Data!AL28</f>
        <v>212342</v>
      </c>
      <c r="AD28" s="15" t="n">
        <f aca="false">Data!AM17+Data!AM18+Data!AM19+Data!AM20+Data!AM21+Data!AM22+Data!AM23+Data!AM24+Data!AM25+Data!AM26+Data!AM27+Data!AM28</f>
        <v>-326944</v>
      </c>
      <c r="AE28" s="16" t="n">
        <f aca="false">Data!AN17+Data!AN18+Data!AN19+Data!AN20+Data!AN21+Data!AN22+Data!AN23+Data!AN24+Data!AN25+Data!AN26+Data!AN27+Data!AN28</f>
        <v>209686</v>
      </c>
      <c r="AF28" s="15" t="n">
        <f aca="false">Data!AO17+Data!AO18+Data!AO19+Data!AO20+Data!AO21+Data!AO22+Data!AO23+Data!AO24+Data!AO25+Data!AO26+Data!AO27+Data!AO28</f>
        <v>-536629</v>
      </c>
    </row>
    <row r="29" customFormat="false" ht="15" hidden="false" customHeight="false" outlineLevel="0" collapsed="false">
      <c r="B29" s="14" t="str">
        <f aca="false">Data!B29</f>
        <v>2017-11</v>
      </c>
      <c r="C29" s="15" t="n">
        <f aca="false">Data!D18+Data!E18+Data!F18+Data!G18+Data!H18+Data!I18+Data!J18+Data!K18+Data!L18+Data!M18+Data!N18+Data!O18+Data!P18+Data!Q18+Data!R18+Data!S18+Data!D19+Data!E19+Data!F19+Data!G19+Data!H19+Data!I19+Data!J19+Data!K19+Data!L19+Data!M19+Data!N19+Data!O19+Data!P19+Data!Q19+Data!R19+Data!S19+Data!D20+Data!E20+Data!F20+Data!G20+Data!H20+Data!I20+Data!J20+Data!K20+Data!L20+Data!M20+Data!N20+Data!O20+Data!P20+Data!Q20+Data!R20+Data!S20+Data!D21+Data!E21+Data!F21+Data!G21+Data!H21+Data!I21+Data!J21+Data!K21+Data!L21+Data!M21+Data!N21+Data!O21+Data!P21+Data!Q21+Data!R21+Data!S21+Data!D22+Data!E22+Data!F22+Data!G22+Data!H22+Data!I22+Data!J22+Data!K22+Data!L22+Data!M22+Data!N22+Data!O22+Data!P22+Data!Q22+Data!R22+Data!S22+Data!D23+Data!E23+Data!F23+Data!G23+Data!H23+Data!I23+Data!J23+Data!K23+Data!L23+Data!M23+Data!N23+Data!O23+Data!P23+Data!Q23+Data!R23+Data!S23+Data!D24+Data!E24+Data!F24+Data!G24+Data!H24+Data!I24+Data!J24+Data!K24+Data!L24+Data!M24+Data!N24+Data!O24+Data!P24+Data!Q24+Data!R24+Data!S24+Data!D25+Data!E25+Data!F25+Data!G25+Data!H25+Data!I25+Data!J25+Data!K25+Data!L25+Data!M25+Data!N25+Data!O25+Data!P25+Data!Q25+Data!R25+Data!S25+Data!D26+Data!E26+Data!F26+Data!G26+Data!H26+Data!I26+Data!J26+Data!K26+Data!L26+Data!M26+Data!N26+Data!O26+Data!P26+Data!Q26+Data!R26+Data!S26+Data!D27+Data!E27+Data!F27+Data!G27+Data!H27+Data!I27+Data!J27+Data!K27+Data!L27+Data!M27+Data!N27+Data!O27+Data!P27+Data!Q27+Data!R27+Data!S27+Data!D28+Data!E28+Data!F28+Data!G28+Data!H28+Data!I28+Data!J28+Data!K28+Data!L28+Data!M28+Data!N28+Data!O28+Data!P28+Data!Q28+Data!R28+Data!S28+Data!D29+Data!E29+Data!F29+Data!G29+Data!H29+Data!I29+Data!J29+Data!K29+Data!L29+Data!M29+Data!N29+Data!O29+Data!P29+Data!Q29+Data!R29+Data!S29</f>
        <v>2041545</v>
      </c>
      <c r="D29" s="16" t="n">
        <f aca="false">Data!D18+Data!E18+Data!G18+Data!H18+Data!I18+Data!J18+Data!K18+Data!L18+Data!M18+Data!D19+Data!E19+Data!G19+Data!H19+Data!I19+Data!J19+Data!K19+Data!L19+Data!M19+Data!D20+Data!E20+Data!G20+Data!H20+Data!I20+Data!J20+Data!K20+Data!L20+Data!M20+Data!D21+Data!E21+Data!G21+Data!H21+Data!I21+Data!J21+Data!K21+Data!L21+Data!M21+Data!D22+Data!E22+Data!G22+Data!H22+Data!I22+Data!J22+Data!K22+Data!L22+Data!M22+Data!D23+Data!E23+Data!G23+Data!H23+Data!I23+Data!J23+Data!K23+Data!L23+Data!M23+Data!D24+Data!E24+Data!G24+Data!H24+Data!I24+Data!J24+Data!K24+Data!L24+Data!M24+Data!D25+Data!E25+Data!G25+Data!H25+Data!I25+Data!J25+Data!K25+Data!L25+Data!M25+Data!D26+Data!E26+Data!G26+Data!H26+Data!I26+Data!J26+Data!K26+Data!L26+Data!M26+Data!D27+Data!E27+Data!G27+Data!H27+Data!I27+Data!J27+Data!K27+Data!L27+Data!M27+Data!D28+Data!E28+Data!G28+Data!H28+Data!I28+Data!J28+Data!K28+Data!L28+Data!M28+Data!D29+Data!E29+Data!G29+Data!H29+Data!I29+Data!J29+Data!K29+Data!L29+Data!M29</f>
        <v>1187490</v>
      </c>
      <c r="E29" s="16" t="n">
        <f aca="false">Data!D18+Data!D19+Data!D20+Data!D21+Data!D22+Data!D23+Data!D24+Data!D25+Data!D26+Data!D27+Data!D28+Data!D29</f>
        <v>339075</v>
      </c>
      <c r="F29" s="16" t="n">
        <f aca="false">Data!E18+Data!E19+Data!E20+Data!E21+Data!E22+Data!E23+Data!E24+Data!E25+Data!E26+Data!E27+Data!E28+Data!E29</f>
        <v>268591</v>
      </c>
      <c r="G29" s="16" t="n">
        <f aca="false">Data!K18+Data!K19+Data!K20+Data!K21+Data!K22+Data!K23+Data!K24+Data!K25+Data!K26+Data!K27+Data!K28+Data!K29</f>
        <v>65591</v>
      </c>
      <c r="H29" s="16" t="n">
        <f aca="false">Data!L18+Data!L19+Data!L20+Data!L21+Data!L22+Data!L23+Data!L24+Data!L25+Data!L26+Data!L27+Data!L28+Data!L29</f>
        <v>66786</v>
      </c>
      <c r="I29" s="16" t="n">
        <f aca="false">Data!G18+Data!G19+Data!G20+Data!G21+Data!G22+Data!G23+Data!G24+Data!G25+Data!G26+Data!G27+Data!G28+Data!G29</f>
        <v>138120</v>
      </c>
      <c r="J29" s="16" t="n">
        <f aca="false">Data!H18+Data!I18+Data!J18+Data!M18+Data!H19+Data!I19+Data!J19+Data!M19+Data!H20+Data!I20+Data!J20+Data!M20+Data!H21+Data!I21+Data!J21+Data!M21+Data!H22+Data!I22+Data!J22+Data!M22+Data!H23+Data!I23+Data!J23+Data!M23+Data!H24+Data!I24+Data!J24+Data!M24+Data!H25+Data!I25+Data!J25+Data!M25+Data!H26+Data!I26+Data!J26+Data!M26+Data!H27+Data!I27+Data!J27+Data!M27+Data!H28+Data!I28+Data!J28+Data!M28+Data!H29+Data!I29+Data!J29+Data!M29</f>
        <v>309327</v>
      </c>
      <c r="K29" s="16" t="n">
        <f aca="false">Data!F18+Data!F19+Data!F20+Data!F21+Data!F22+Data!F23+Data!F24+Data!F25+Data!F26+Data!F27+Data!F28+Data!F29</f>
        <v>715754</v>
      </c>
      <c r="L29" s="16" t="n">
        <f aca="false">Data!N18+Data!O18+Data!P18+Data!Q18+Data!R18+Data!S18+Data!N19+Data!O19+Data!P19+Data!Q19+Data!R19+Data!S19+Data!N20+Data!O20+Data!P20+Data!Q20+Data!R20+Data!S20+Data!N21+Data!O21+Data!P21+Data!Q21+Data!R21+Data!S21+Data!N22+Data!O22+Data!P22+Data!Q22+Data!R22+Data!S22+Data!N23+Data!O23+Data!P23+Data!Q23+Data!R23+Data!S23+Data!N24+Data!O24+Data!P24+Data!Q24+Data!R24+Data!S24+Data!N25+Data!O25+Data!P25+Data!Q25+Data!R25+Data!S25+Data!N26+Data!O26+Data!P26+Data!Q26+Data!R26+Data!S26+Data!N27+Data!O27+Data!P27+Data!Q27+Data!R27+Data!S27+Data!N28+Data!O28+Data!P28+Data!Q28+Data!R28+Data!S28+Data!N29+Data!O29+Data!P29+Data!Q29+Data!R29+Data!S29</f>
        <v>138301</v>
      </c>
      <c r="M29" s="15" t="n">
        <f aca="false">Data!T18+Data!U18+Data!V18+Data!W18+Data!X18+Data!Y18+Data!Z18+Data!AA18+Data!AB18+Data!AC18+Data!AD18+Data!AE18+Data!AF18+Data!AG18+Data!AH18+Data!AI18+Data!AJ18+Data!AK18+Data!AL18+Data!T19+Data!U19+Data!V19+Data!W19+Data!X19+Data!Y19+Data!Z19+Data!AA19+Data!AB19+Data!AC19+Data!AD19+Data!AE19+Data!AF19+Data!AG19+Data!AH19+Data!AI19+Data!AJ19+Data!AK19+Data!AL19+Data!T20+Data!U20+Data!V20+Data!W20+Data!X20+Data!Y20+Data!Z20+Data!AA20+Data!AB20+Data!AC20+Data!AD20+Data!AE20+Data!AF20+Data!AG20+Data!AH20+Data!AI20+Data!AJ20+Data!AK20+Data!AL20+Data!T21+Data!U21+Data!V21+Data!W21+Data!X21+Data!Y21+Data!Z21+Data!AA21+Data!AB21+Data!AC21+Data!AD21+Data!AE21+Data!AF21+Data!AG21+Data!AH21+Data!AI21+Data!AJ21+Data!AK21+Data!AL21+Data!T22+Data!U22+Data!V22+Data!W22+Data!X22+Data!Y22+Data!Z22+Data!AA22+Data!AB22+Data!AC22+Data!AD22+Data!AE22+Data!AF22+Data!AG22+Data!AH22+Data!AI22+Data!AJ22+Data!AK22+Data!AL22+Data!T23+Data!U23+Data!V23+Data!W23+Data!X23+Data!Y23+Data!Z23+Data!AA23+Data!AB23+Data!AC23+Data!AD23+Data!AE23+Data!AF23+Data!AG23+Data!AH23+Data!AI23+Data!AJ23+Data!AK23+Data!AL23+Data!T24+Data!U24+Data!V24+Data!W24+Data!X24+Data!Y24+Data!Z24+Data!AA24+Data!AB24+Data!AC24+Data!AD24+Data!AE24+Data!AF24+Data!AG24+Data!AH24+Data!AI24+Data!AJ24+Data!AK24+Data!AL24+Data!T25+Data!U25+Data!V25+Data!W25+Data!X25+Data!Y25+Data!Z25+Data!AA25+Data!AB25+Data!AC25+Data!AD25+Data!AE25+Data!AF25+Data!AG25+Data!AH25+Data!AI25+Data!AJ25+Data!AK25+Data!AL25+Data!T26+Data!U26+Data!V26+Data!W26+Data!X26+Data!Y26+Data!Z26+Data!AA26+Data!AB26+Data!AC26+Data!AD26+Data!AE26+Data!AF26+Data!AG26+Data!AH26+Data!AI26+Data!AJ26+Data!AK26+Data!AL26+Data!T27+Data!U27+Data!V27+Data!W27+Data!X27+Data!Y27+Data!Z27+Data!AA27+Data!AB27+Data!AC27+Data!AD27+Data!AE27+Data!AF27+Data!AG27+Data!AH27+Data!AI27+Data!AJ27+Data!AK27+Data!AL27+Data!T28+Data!U28+Data!V28+Data!W28+Data!X28+Data!Y28+Data!Z28+Data!AA28+Data!AB28+Data!AC28+Data!AD28+Data!AE28+Data!AF28+Data!AG28+Data!AH28+Data!AI28+Data!AJ28+Data!AK28+Data!AL28+Data!T29+Data!U29+Data!V29+Data!W29+Data!X29+Data!Y29+Data!Z29+Data!AA29+Data!AB29+Data!AC29+Data!AD29+Data!AE29+Data!AF29+Data!AG29+Data!AH29+Data!AI29+Data!AJ29+Data!AK29+Data!AL29</f>
        <v>2384850</v>
      </c>
      <c r="N29" s="16" t="n">
        <f aca="false">Data!T18+Data!U18+Data!V18+Data!W18+Data!T19+Data!U19+Data!V19+Data!W19+Data!T20+Data!U20+Data!V20+Data!W20+Data!T21+Data!U21+Data!V21+Data!W21+Data!T22+Data!U22+Data!V22+Data!W22+Data!T23+Data!U23+Data!V23+Data!W23+Data!T24+Data!U24+Data!V24+Data!W24+Data!T25+Data!U25+Data!V25+Data!W25+Data!T26+Data!U26+Data!V26+Data!W26+Data!T27+Data!U27+Data!V27+Data!W27+Data!T28+Data!U28+Data!V28+Data!W28+Data!T29+Data!U29+Data!V29+Data!W29</f>
        <v>1229703</v>
      </c>
      <c r="O29" s="16" t="n">
        <f aca="false">Data!T18+Data!T19+Data!T20+Data!T21+Data!T22+Data!T23+Data!T24+Data!T25+Data!T26+Data!T27+Data!T28+Data!T29</f>
        <v>891401</v>
      </c>
      <c r="P29" s="16" t="n">
        <f aca="false">Data!U18+Data!U19+Data!U20+Data!U21+Data!U22+Data!U23+Data!U24+Data!U25+Data!U26+Data!U27+Data!U28+Data!U29</f>
        <v>141140</v>
      </c>
      <c r="Q29" s="16" t="n">
        <f aca="false">Data!V18+Data!V19+Data!V20+Data!V21+Data!V22+Data!V23+Data!V24+Data!V25+Data!V26+Data!V27+Data!V28+Data!V29</f>
        <v>96860</v>
      </c>
      <c r="R29" s="16" t="n">
        <f aca="false">Data!W18+Data!W19+Data!W20+Data!W21+Data!W22+Data!W23+Data!W24+Data!W25+Data!W26+Data!W27+Data!W28+Data!W29</f>
        <v>100302</v>
      </c>
      <c r="S29" s="16" t="n">
        <f aca="false">Data!X18+Data!X19+Data!X20+Data!X21+Data!X22+Data!X23+Data!X24+Data!X25+Data!X26+Data!X27+Data!X28+Data!X29</f>
        <v>40523</v>
      </c>
      <c r="T29" s="16" t="n">
        <f aca="false">Data!Y18+Data!Z18+Data!AA18+Data!Y19+Data!Z19+Data!AA19+Data!Y20+Data!Z20+Data!AA20+Data!Y21+Data!Z21+Data!AA21+Data!Y22+Data!Z22+Data!AA22+Data!Y23+Data!Z23+Data!AA23+Data!Y24+Data!Z24+Data!AA24+Data!Y25+Data!Z25+Data!AA25+Data!Y26+Data!Z26+Data!AA26+Data!Y27+Data!Z27+Data!AA27+Data!Y28+Data!Z28+Data!AA28+Data!Y29+Data!Z29+Data!AA29</f>
        <v>243214</v>
      </c>
      <c r="U29" s="16" t="n">
        <f aca="false">Data!Y18+Data!Y19+Data!Y20+Data!Y21+Data!Y22+Data!Y23+Data!Y24+Data!Y25+Data!Y26+Data!Y27+Data!Y28+Data!Y29</f>
        <v>147288</v>
      </c>
      <c r="V29" s="16" t="n">
        <f aca="false">Data!Z18+Data!Z19+Data!Z20+Data!Z21+Data!Z22+Data!Z23+Data!Z24+Data!Z25+Data!Z26+Data!Z27+Data!Z28+Data!Z29</f>
        <v>86820</v>
      </c>
      <c r="W29" s="16" t="n">
        <f aca="false">Data!AB18+Data!AB19+Data!AB20+Data!AB21+Data!AB22+Data!AB23+Data!AB24+Data!AB25+Data!AB26+Data!AB27+Data!AB28+Data!AB29</f>
        <v>328647</v>
      </c>
      <c r="X29" s="16" t="n">
        <f aca="false">Data!AC18+Data!AC19+Data!AC20+Data!AC21+Data!AC22+Data!AC23+Data!AC24+Data!AC25+Data!AC26+Data!AC27+Data!AC28+Data!AC29</f>
        <v>103073</v>
      </c>
      <c r="Y29" s="16" t="n">
        <f aca="false">Data!AD18+Data!AE18+Data!AF18+Data!AG18+Data!AH18+Data!AD19+Data!AE19+Data!AF19+Data!AG19+Data!AH19+Data!AD20+Data!AE20+Data!AF20+Data!AG20+Data!AH20+Data!AD21+Data!AE21+Data!AF21+Data!AG21+Data!AH21+Data!AD22+Data!AE22+Data!AF22+Data!AG22+Data!AH22+Data!AD23+Data!AE23+Data!AF23+Data!AG23+Data!AH23+Data!AD24+Data!AE24+Data!AF24+Data!AG24+Data!AH24+Data!AD25+Data!AE25+Data!AF25+Data!AG25+Data!AH25+Data!AD26+Data!AE26+Data!AF26+Data!AG26+Data!AH26+Data!AD27+Data!AE27+Data!AF27+Data!AG27+Data!AH27+Data!AD28+Data!AE28+Data!AF28+Data!AG28+Data!AH28+Data!AD29+Data!AE29+Data!AF29+Data!AG29+Data!AH29</f>
        <v>86127</v>
      </c>
      <c r="Z29" s="16" t="n">
        <f aca="false">Data!AI18+Data!AI19+Data!AI20+Data!AI21+Data!AI22+Data!AI23+Data!AI24+Data!AI25+Data!AI26+Data!AI27+Data!AI28+Data!AI29</f>
        <v>82347</v>
      </c>
      <c r="AA29" s="16" t="n">
        <f aca="false">Data!AJ18+Data!AJ19+Data!AJ20+Data!AJ21+Data!AJ22+Data!AJ23+Data!AJ24+Data!AJ25+Data!AJ26+Data!AJ27+Data!AJ28+Data!AJ29</f>
        <v>8301</v>
      </c>
      <c r="AB29" s="16" t="n">
        <f aca="false">Data!AK18+Data!AK19+Data!AK20+Data!AK21+Data!AK22+Data!AK23+Data!AK24+Data!AK25+Data!AK26+Data!AK27+Data!AK28+Data!AK29</f>
        <v>49439</v>
      </c>
      <c r="AC29" s="16" t="n">
        <f aca="false">Data!AL18+Data!AL19+Data!AL20+Data!AL21+Data!AL22+Data!AL23+Data!AL24+Data!AL25+Data!AL26+Data!AL27+Data!AL28+Data!AL29</f>
        <v>213476</v>
      </c>
      <c r="AD29" s="15" t="n">
        <f aca="false">Data!AM18+Data!AM19+Data!AM20+Data!AM21+Data!AM22+Data!AM23+Data!AM24+Data!AM25+Data!AM26+Data!AM27+Data!AM28+Data!AM29</f>
        <v>-343305</v>
      </c>
      <c r="AE29" s="16" t="n">
        <f aca="false">Data!AN18+Data!AN19+Data!AN20+Data!AN21+Data!AN22+Data!AN23+Data!AN24+Data!AN25+Data!AN26+Data!AN27+Data!AN28+Data!AN29</f>
        <v>219488</v>
      </c>
      <c r="AF29" s="15" t="n">
        <f aca="false">Data!AO18+Data!AO19+Data!AO20+Data!AO21+Data!AO22+Data!AO23+Data!AO24+Data!AO25+Data!AO26+Data!AO27+Data!AO28+Data!AO29</f>
        <v>-562792</v>
      </c>
    </row>
    <row r="30" customFormat="false" ht="15" hidden="false" customHeight="false" outlineLevel="0" collapsed="false">
      <c r="B30" s="14" t="str">
        <f aca="false">Data!B30</f>
        <v>2017-12</v>
      </c>
      <c r="C30" s="15" t="n">
        <f aca="false">Data!D19+Data!E19+Data!F19+Data!G19+Data!H19+Data!I19+Data!J19+Data!K19+Data!L19+Data!M19+Data!N19+Data!O19+Data!P19+Data!Q19+Data!R19+Data!S19+Data!D20+Data!E20+Data!F20+Data!G20+Data!H20+Data!I20+Data!J20+Data!K20+Data!L20+Data!M20+Data!N20+Data!O20+Data!P20+Data!Q20+Data!R20+Data!S20+Data!D21+Data!E21+Data!F21+Data!G21+Data!H21+Data!I21+Data!J21+Data!K21+Data!L21+Data!M21+Data!N21+Data!O21+Data!P21+Data!Q21+Data!R21+Data!S21+Data!D22+Data!E22+Data!F22+Data!G22+Data!H22+Data!I22+Data!J22+Data!K22+Data!L22+Data!M22+Data!N22+Data!O22+Data!P22+Data!Q22+Data!R22+Data!S22+Data!D23+Data!E23+Data!F23+Data!G23+Data!H23+Data!I23+Data!J23+Data!K23+Data!L23+Data!M23+Data!N23+Data!O23+Data!P23+Data!Q23+Data!R23+Data!S23+Data!D24+Data!E24+Data!F24+Data!G24+Data!H24+Data!I24+Data!J24+Data!K24+Data!L24+Data!M24+Data!N24+Data!O24+Data!P24+Data!Q24+Data!R24+Data!S24+Data!D25+Data!E25+Data!F25+Data!G25+Data!H25+Data!I25+Data!J25+Data!K25+Data!L25+Data!M25+Data!N25+Data!O25+Data!P25+Data!Q25+Data!R25+Data!S25+Data!D26+Data!E26+Data!F26+Data!G26+Data!H26+Data!I26+Data!J26+Data!K26+Data!L26+Data!M26+Data!N26+Data!O26+Data!P26+Data!Q26+Data!R26+Data!S26+Data!D27+Data!E27+Data!F27+Data!G27+Data!H27+Data!I27+Data!J27+Data!K27+Data!L27+Data!M27+Data!N27+Data!O27+Data!P27+Data!Q27+Data!R27+Data!S27+Data!D28+Data!E28+Data!F28+Data!G28+Data!H28+Data!I28+Data!J28+Data!K28+Data!L28+Data!M28+Data!N28+Data!O28+Data!P28+Data!Q28+Data!R28+Data!S28+Data!D29+Data!E29+Data!F29+Data!G29+Data!H29+Data!I29+Data!J29+Data!K29+Data!L29+Data!M29+Data!N29+Data!O29+Data!P29+Data!Q29+Data!R29+Data!S29+Data!D30+Data!E30+Data!F30+Data!G30+Data!H30+Data!I30+Data!J30+Data!K30+Data!L30+Data!M30+Data!N30+Data!O30+Data!P30+Data!Q30+Data!R30+Data!S30</f>
        <v>1998097</v>
      </c>
      <c r="D30" s="16" t="n">
        <f aca="false">Data!D19+Data!E19+Data!G19+Data!H19+Data!I19+Data!J19+Data!K19+Data!L19+Data!M19+Data!D20+Data!E20+Data!G20+Data!H20+Data!I20+Data!J20+Data!K20+Data!L20+Data!M20+Data!D21+Data!E21+Data!G21+Data!H21+Data!I21+Data!J21+Data!K21+Data!L21+Data!M21+Data!D22+Data!E22+Data!G22+Data!H22+Data!I22+Data!J22+Data!K22+Data!L22+Data!M22+Data!D23+Data!E23+Data!G23+Data!H23+Data!I23+Data!J23+Data!K23+Data!L23+Data!M23+Data!D24+Data!E24+Data!G24+Data!H24+Data!I24+Data!J24+Data!K24+Data!L24+Data!M24+Data!D25+Data!E25+Data!G25+Data!H25+Data!I25+Data!J25+Data!K25+Data!L25+Data!M25+Data!D26+Data!E26+Data!G26+Data!H26+Data!I26+Data!J26+Data!K26+Data!L26+Data!M26+Data!D27+Data!E27+Data!G27+Data!H27+Data!I27+Data!J27+Data!K27+Data!L27+Data!M27+Data!D28+Data!E28+Data!G28+Data!H28+Data!I28+Data!J28+Data!K28+Data!L28+Data!M28+Data!D29+Data!E29+Data!G29+Data!H29+Data!I29+Data!J29+Data!K29+Data!L29+Data!M29+Data!D30+Data!E30+Data!G30+Data!H30+Data!I30+Data!J30+Data!K30+Data!L30+Data!M30</f>
        <v>1117617</v>
      </c>
      <c r="E30" s="16" t="n">
        <f aca="false">Data!D19+Data!D20+Data!D21+Data!D22+Data!D23+Data!D24+Data!D25+Data!D26+Data!D27+Data!D28+Data!D29+Data!D30</f>
        <v>348556</v>
      </c>
      <c r="F30" s="16" t="n">
        <f aca="false">Data!E19+Data!E20+Data!E21+Data!E22+Data!E23+Data!E24+Data!E25+Data!E26+Data!E27+Data!E28+Data!E29+Data!E30</f>
        <v>274173</v>
      </c>
      <c r="G30" s="16" t="n">
        <f aca="false">Data!K19+Data!K20+Data!K21+Data!K22+Data!K23+Data!K24+Data!K25+Data!K26+Data!K27+Data!K28+Data!K29+Data!K30</f>
        <v>65625</v>
      </c>
      <c r="H30" s="16" t="n">
        <f aca="false">Data!L19+Data!L20+Data!L21+Data!L22+Data!L23+Data!L24+Data!L25+Data!L26+Data!L27+Data!L28+Data!L29+Data!L30</f>
        <v>66174</v>
      </c>
      <c r="I30" s="16" t="n">
        <f aca="false">Data!G19+Data!G20+Data!G21+Data!G22+Data!G23+Data!G24+Data!G25+Data!G26+Data!G27+Data!G28+Data!G29+Data!G30</f>
        <v>139006</v>
      </c>
      <c r="J30" s="16" t="n">
        <f aca="false">Data!H19+Data!I19+Data!J19+Data!M19+Data!H20+Data!I20+Data!J20+Data!M20+Data!H21+Data!I21+Data!J21+Data!M21+Data!H22+Data!I22+Data!J22+Data!M22+Data!H23+Data!I23+Data!J23+Data!M23+Data!H24+Data!I24+Data!J24+Data!M24+Data!H25+Data!I25+Data!J25+Data!M25+Data!H26+Data!I26+Data!J26+Data!M26+Data!H27+Data!I27+Data!J27+Data!M27+Data!H28+Data!I28+Data!J28+Data!M28+Data!H29+Data!I29+Data!J29+Data!M29+Data!H30+Data!I30+Data!J30+Data!M30</f>
        <v>224083</v>
      </c>
      <c r="K30" s="16" t="n">
        <f aca="false">Data!F19+Data!F20+Data!F21+Data!F22+Data!F23+Data!F24+Data!F25+Data!F26+Data!F27+Data!F28+Data!F29+Data!F30</f>
        <v>727255</v>
      </c>
      <c r="L30" s="16" t="n">
        <f aca="false">Data!N19+Data!O19+Data!P19+Data!Q19+Data!R19+Data!S19+Data!N20+Data!O20+Data!P20+Data!Q20+Data!R20+Data!S20+Data!N21+Data!O21+Data!P21+Data!Q21+Data!R21+Data!S21+Data!N22+Data!O22+Data!P22+Data!Q22+Data!R22+Data!S22+Data!N23+Data!O23+Data!P23+Data!Q23+Data!R23+Data!S23+Data!N24+Data!O24+Data!P24+Data!Q24+Data!R24+Data!S24+Data!N25+Data!O25+Data!P25+Data!Q25+Data!R25+Data!S25+Data!N26+Data!O26+Data!P26+Data!Q26+Data!R26+Data!S26+Data!N27+Data!O27+Data!P27+Data!Q27+Data!R27+Data!S27+Data!N28+Data!O28+Data!P28+Data!Q28+Data!R28+Data!S28+Data!N29+Data!O29+Data!P29+Data!Q29+Data!R29+Data!S29+Data!N30+Data!O30+Data!P30+Data!Q30+Data!R30+Data!S30</f>
        <v>153225</v>
      </c>
      <c r="M30" s="15" t="n">
        <f aca="false">Data!T19+Data!U19+Data!V19+Data!W19+Data!X19+Data!Y19+Data!Z19+Data!AA19+Data!AB19+Data!AC19+Data!AD19+Data!AE19+Data!AF19+Data!AG19+Data!AH19+Data!AI19+Data!AJ19+Data!AK19+Data!AL19+Data!T20+Data!U20+Data!V20+Data!W20+Data!X20+Data!Y20+Data!Z20+Data!AA20+Data!AB20+Data!AC20+Data!AD20+Data!AE20+Data!AF20+Data!AG20+Data!AH20+Data!AI20+Data!AJ20+Data!AK20+Data!AL20+Data!T21+Data!U21+Data!V21+Data!W21+Data!X21+Data!Y21+Data!Z21+Data!AA21+Data!AB21+Data!AC21+Data!AD21+Data!AE21+Data!AF21+Data!AG21+Data!AH21+Data!AI21+Data!AJ21+Data!AK21+Data!AL21+Data!T22+Data!U22+Data!V22+Data!W22+Data!X22+Data!Y22+Data!Z22+Data!AA22+Data!AB22+Data!AC22+Data!AD22+Data!AE22+Data!AF22+Data!AG22+Data!AH22+Data!AI22+Data!AJ22+Data!AK22+Data!AL22+Data!T23+Data!U23+Data!V23+Data!W23+Data!X23+Data!Y23+Data!Z23+Data!AA23+Data!AB23+Data!AC23+Data!AD23+Data!AE23+Data!AF23+Data!AG23+Data!AH23+Data!AI23+Data!AJ23+Data!AK23+Data!AL23+Data!T24+Data!U24+Data!V24+Data!W24+Data!X24+Data!Y24+Data!Z24+Data!AA24+Data!AB24+Data!AC24+Data!AD24+Data!AE24+Data!AF24+Data!AG24+Data!AH24+Data!AI24+Data!AJ24+Data!AK24+Data!AL24+Data!T25+Data!U25+Data!V25+Data!W25+Data!X25+Data!Y25+Data!Z25+Data!AA25+Data!AB25+Data!AC25+Data!AD25+Data!AE25+Data!AF25+Data!AG25+Data!AH25+Data!AI25+Data!AJ25+Data!AK25+Data!AL25+Data!T26+Data!U26+Data!V26+Data!W26+Data!X26+Data!Y26+Data!Z26+Data!AA26+Data!AB26+Data!AC26+Data!AD26+Data!AE26+Data!AF26+Data!AG26+Data!AH26+Data!AI26+Data!AJ26+Data!AK26+Data!AL26+Data!T27+Data!U27+Data!V27+Data!W27+Data!X27+Data!Y27+Data!Z27+Data!AA27+Data!AB27+Data!AC27+Data!AD27+Data!AE27+Data!AF27+Data!AG27+Data!AH27+Data!AI27+Data!AJ27+Data!AK27+Data!AL27+Data!T28+Data!U28+Data!V28+Data!W28+Data!X28+Data!Y28+Data!Z28+Data!AA28+Data!AB28+Data!AC28+Data!AD28+Data!AE28+Data!AF28+Data!AG28+Data!AH28+Data!AI28+Data!AJ28+Data!AK28+Data!AL28+Data!T29+Data!U29+Data!V29+Data!W29+Data!X29+Data!Y29+Data!Z29+Data!AA29+Data!AB29+Data!AC29+Data!AD29+Data!AE29+Data!AF29+Data!AG29+Data!AH29+Data!AI29+Data!AJ29+Data!AK29+Data!AL29+Data!T30+Data!U30+Data!V30+Data!W30+Data!X30+Data!Y30+Data!Z30+Data!AA30+Data!AB30+Data!AC30+Data!AD30+Data!AE30+Data!AF30+Data!AG30+Data!AH30+Data!AI30+Data!AJ30+Data!AK30+Data!AL30</f>
        <v>2402240</v>
      </c>
      <c r="N30" s="16" t="n">
        <f aca="false">Data!T19+Data!U19+Data!V19+Data!W19+Data!T20+Data!U20+Data!V20+Data!W20+Data!T21+Data!U21+Data!V21+Data!W21+Data!T22+Data!U22+Data!V22+Data!W22+Data!T23+Data!U23+Data!V23+Data!W23+Data!T24+Data!U24+Data!V24+Data!W24+Data!T25+Data!U25+Data!V25+Data!W25+Data!T26+Data!U26+Data!V26+Data!W26+Data!T27+Data!U27+Data!V27+Data!W27+Data!T28+Data!U28+Data!V28+Data!W28+Data!T29+Data!U29+Data!V29+Data!W29+Data!T30+Data!U30+Data!V30+Data!W30</f>
        <v>1265289</v>
      </c>
      <c r="O30" s="16" t="n">
        <f aca="false">Data!T19+Data!T20+Data!T21+Data!T22+Data!T23+Data!T24+Data!T25+Data!T26+Data!T27+Data!T28+Data!T29+Data!T30</f>
        <v>922143</v>
      </c>
      <c r="P30" s="16" t="n">
        <f aca="false">Data!U19+Data!U20+Data!U21+Data!U22+Data!U23+Data!U24+Data!U25+Data!U26+Data!U27+Data!U28+Data!U29+Data!U30</f>
        <v>141556</v>
      </c>
      <c r="Q30" s="16" t="n">
        <f aca="false">Data!V19+Data!V20+Data!V21+Data!V22+Data!V23+Data!V24+Data!V25+Data!V26+Data!V27+Data!V28+Data!V29+Data!V30</f>
        <v>100400</v>
      </c>
      <c r="R30" s="16" t="n">
        <f aca="false">Data!W19+Data!W20+Data!W21+Data!W22+Data!W23+Data!W24+Data!W25+Data!W26+Data!W27+Data!W28+Data!W29+Data!W30</f>
        <v>101190</v>
      </c>
      <c r="S30" s="16" t="n">
        <f aca="false">Data!X19+Data!X20+Data!X21+Data!X22+Data!X23+Data!X24+Data!X25+Data!X26+Data!X27+Data!X28+Data!X29+Data!X30</f>
        <v>39238</v>
      </c>
      <c r="T30" s="16" t="n">
        <f aca="false">Data!Y19+Data!Z19+Data!AA19+Data!Y20+Data!Z20+Data!AA20+Data!Y21+Data!Z21+Data!AA21+Data!Y22+Data!Z22+Data!AA22+Data!Y23+Data!Z23+Data!AA23+Data!Y24+Data!Z24+Data!AA24+Data!Y25+Data!Z25+Data!AA25+Data!Y26+Data!Z26+Data!AA26+Data!Y27+Data!Z27+Data!AA27+Data!Y28+Data!Z28+Data!AA28+Data!Y29+Data!Z29+Data!AA29+Data!Y30+Data!Z30+Data!AA30</f>
        <v>225708</v>
      </c>
      <c r="U30" s="16" t="n">
        <f aca="false">Data!Y19+Data!Y20+Data!Y21+Data!Y22+Data!Y23+Data!Y24+Data!Y25+Data!Y26+Data!Y27+Data!Y28+Data!Y29+Data!Y30</f>
        <v>125654</v>
      </c>
      <c r="V30" s="16" t="n">
        <f aca="false">Data!Z19+Data!Z20+Data!Z21+Data!Z22+Data!Z23+Data!Z24+Data!Z25+Data!Z26+Data!Z27+Data!Z28+Data!Z29+Data!Z30</f>
        <v>90496</v>
      </c>
      <c r="W30" s="16" t="n">
        <f aca="false">Data!AB19+Data!AB20+Data!AB21+Data!AB22+Data!AB23+Data!AB24+Data!AB25+Data!AB26+Data!AB27+Data!AB28+Data!AB29+Data!AB30</f>
        <v>333195</v>
      </c>
      <c r="X30" s="16" t="n">
        <f aca="false">Data!AC19+Data!AC20+Data!AC21+Data!AC22+Data!AC23+Data!AC24+Data!AC25+Data!AC26+Data!AC27+Data!AC28+Data!AC29+Data!AC30</f>
        <v>104534</v>
      </c>
      <c r="Y30" s="16" t="n">
        <f aca="false">Data!AD19+Data!AE19+Data!AF19+Data!AG19+Data!AH19+Data!AD20+Data!AE20+Data!AF20+Data!AG20+Data!AH20+Data!AD21+Data!AE21+Data!AF21+Data!AG21+Data!AH21+Data!AD22+Data!AE22+Data!AF22+Data!AG22+Data!AH22+Data!AD23+Data!AE23+Data!AF23+Data!AG23+Data!AH23+Data!AD24+Data!AE24+Data!AF24+Data!AG24+Data!AH24+Data!AD25+Data!AE25+Data!AF25+Data!AG25+Data!AH25+Data!AD26+Data!AE26+Data!AF26+Data!AG26+Data!AH26+Data!AD27+Data!AE27+Data!AF27+Data!AG27+Data!AH27+Data!AD28+Data!AE28+Data!AF28+Data!AG28+Data!AH28+Data!AD29+Data!AE29+Data!AF29+Data!AG29+Data!AH29+Data!AD30+Data!AE30+Data!AF30+Data!AG30+Data!AH30</f>
        <v>82661</v>
      </c>
      <c r="Z30" s="16" t="n">
        <f aca="false">Data!AI19+Data!AI20+Data!AI21+Data!AI22+Data!AI23+Data!AI24+Data!AI25+Data!AI26+Data!AI27+Data!AI28+Data!AI29+Data!AI30</f>
        <v>84775</v>
      </c>
      <c r="AA30" s="16" t="n">
        <f aca="false">Data!AJ19+Data!AJ20+Data!AJ21+Data!AJ22+Data!AJ23+Data!AJ24+Data!AJ25+Data!AJ26+Data!AJ27+Data!AJ28+Data!AJ29+Data!AJ30</f>
        <v>8543</v>
      </c>
      <c r="AB30" s="16" t="n">
        <f aca="false">Data!AK19+Data!AK20+Data!AK21+Data!AK22+Data!AK23+Data!AK24+Data!AK25+Data!AK26+Data!AK27+Data!AK28+Data!AK29+Data!AK30</f>
        <v>50355</v>
      </c>
      <c r="AC30" s="16" t="n">
        <f aca="false">Data!AL19+Data!AL20+Data!AL21+Data!AL22+Data!AL23+Data!AL24+Data!AL25+Data!AL26+Data!AL27+Data!AL28+Data!AL29+Data!AL30</f>
        <v>207942</v>
      </c>
      <c r="AD30" s="15" t="n">
        <f aca="false">Data!AM19+Data!AM20+Data!AM21+Data!AM22+Data!AM23+Data!AM24+Data!AM25+Data!AM26+Data!AM27+Data!AM28+Data!AM29+Data!AM30</f>
        <v>-404143</v>
      </c>
      <c r="AE30" s="16" t="n">
        <f aca="false">Data!AN19+Data!AN20+Data!AN21+Data!AN22+Data!AN23+Data!AN24+Data!AN25+Data!AN26+Data!AN27+Data!AN28+Data!AN29+Data!AN30</f>
        <v>224908</v>
      </c>
      <c r="AF30" s="15" t="n">
        <f aca="false">Data!AO19+Data!AO20+Data!AO21+Data!AO22+Data!AO23+Data!AO24+Data!AO25+Data!AO26+Data!AO27+Data!AO28+Data!AO29+Data!AO30</f>
        <v>-629050</v>
      </c>
    </row>
    <row r="31" customFormat="false" ht="15" hidden="false" customHeight="false" outlineLevel="0" collapsed="false">
      <c r="B31" s="14" t="str">
        <f aca="false">Data!B31</f>
        <v>2018-01</v>
      </c>
      <c r="C31" s="15" t="n">
        <f aca="false">Data!D20+Data!E20+Data!F20+Data!G20+Data!H20+Data!I20+Data!J20+Data!K20+Data!L20+Data!M20+Data!N20+Data!O20+Data!P20+Data!Q20+Data!R20+Data!S20+Data!D21+Data!E21+Data!F21+Data!G21+Data!H21+Data!I21+Data!J21+Data!K21+Data!L21+Data!M21+Data!N21+Data!O21+Data!P21+Data!Q21+Data!R21+Data!S21+Data!D22+Data!E22+Data!F22+Data!G22+Data!H22+Data!I22+Data!J22+Data!K22+Data!L22+Data!M22+Data!N22+Data!O22+Data!P22+Data!Q22+Data!R22+Data!S22+Data!D23+Data!E23+Data!F23+Data!G23+Data!H23+Data!I23+Data!J23+Data!K23+Data!L23+Data!M23+Data!N23+Data!O23+Data!P23+Data!Q23+Data!R23+Data!S23+Data!D24+Data!E24+Data!F24+Data!G24+Data!H24+Data!I24+Data!J24+Data!K24+Data!L24+Data!M24+Data!N24+Data!O24+Data!P24+Data!Q24+Data!R24+Data!S24+Data!D25+Data!E25+Data!F25+Data!G25+Data!H25+Data!I25+Data!J25+Data!K25+Data!L25+Data!M25+Data!N25+Data!O25+Data!P25+Data!Q25+Data!R25+Data!S25+Data!D26+Data!E26+Data!F26+Data!G26+Data!H26+Data!I26+Data!J26+Data!K26+Data!L26+Data!M26+Data!N26+Data!O26+Data!P26+Data!Q26+Data!R26+Data!S26+Data!D27+Data!E27+Data!F27+Data!G27+Data!H27+Data!I27+Data!J27+Data!K27+Data!L27+Data!M27+Data!N27+Data!O27+Data!P27+Data!Q27+Data!R27+Data!S27+Data!D28+Data!E28+Data!F28+Data!G28+Data!H28+Data!I28+Data!J28+Data!K28+Data!L28+Data!M28+Data!N28+Data!O28+Data!P28+Data!Q28+Data!R28+Data!S28+Data!D29+Data!E29+Data!F29+Data!G29+Data!H29+Data!I29+Data!J29+Data!K29+Data!L29+Data!M29+Data!N29+Data!O29+Data!P29+Data!Q29+Data!R29+Data!S29+Data!D30+Data!E30+Data!F30+Data!G30+Data!H30+Data!I30+Data!J30+Data!K30+Data!L30+Data!M30+Data!N30+Data!O30+Data!P30+Data!Q30+Data!R30+Data!S30+Data!D31+Data!E31+Data!F31+Data!G31+Data!H31+Data!I31+Data!J31+Data!K31+Data!L31+Data!M31+Data!N31+Data!O31+Data!P31+Data!Q31+Data!R31+Data!S31</f>
        <v>2030972</v>
      </c>
      <c r="D31" s="16" t="n">
        <f aca="false">Data!D20+Data!E20+Data!G20+Data!H20+Data!I20+Data!J20+Data!K20+Data!L20+Data!M20+Data!D21+Data!E21+Data!G21+Data!H21+Data!I21+Data!J21+Data!K21+Data!L21+Data!M21+Data!D22+Data!E22+Data!G22+Data!H22+Data!I22+Data!J22+Data!K22+Data!L22+Data!M22+Data!D23+Data!E23+Data!G23+Data!H23+Data!I23+Data!J23+Data!K23+Data!L23+Data!M23+Data!D24+Data!E24+Data!G24+Data!H24+Data!I24+Data!J24+Data!K24+Data!L24+Data!M24+Data!D25+Data!E25+Data!G25+Data!H25+Data!I25+Data!J25+Data!K25+Data!L25+Data!M25+Data!D26+Data!E26+Data!G26+Data!H26+Data!I26+Data!J26+Data!K26+Data!L26+Data!M26+Data!D27+Data!E27+Data!G27+Data!H27+Data!I27+Data!J27+Data!K27+Data!L27+Data!M27+Data!D28+Data!E28+Data!G28+Data!H28+Data!I28+Data!J28+Data!K28+Data!L28+Data!M28+Data!D29+Data!E29+Data!G29+Data!H29+Data!I29+Data!J29+Data!K29+Data!L29+Data!M29+Data!D30+Data!E30+Data!G30+Data!H30+Data!I30+Data!J30+Data!K30+Data!L30+Data!M30+Data!D31+Data!E31+Data!G31+Data!H31+Data!I31+Data!J31+Data!K31+Data!L31+Data!M31</f>
        <v>1125296</v>
      </c>
      <c r="E31" s="16" t="n">
        <f aca="false">Data!D20+Data!D21+Data!D22+Data!D23+Data!D24+Data!D25+Data!D26+Data!D27+Data!D28+Data!D29+Data!D30+Data!D31</f>
        <v>360492</v>
      </c>
      <c r="F31" s="16" t="n">
        <f aca="false">Data!E20+Data!E21+Data!E22+Data!E23+Data!E24+Data!E25+Data!E26+Data!E27+Data!E28+Data!E29+Data!E30+Data!E31</f>
        <v>271840</v>
      </c>
      <c r="G31" s="16" t="n">
        <f aca="false">Data!K20+Data!K21+Data!K22+Data!K23+Data!K24+Data!K25+Data!K26+Data!K27+Data!K28+Data!K29+Data!K30+Data!K31</f>
        <v>62334</v>
      </c>
      <c r="H31" s="16" t="n">
        <f aca="false">Data!L20+Data!L21+Data!L22+Data!L23+Data!L24+Data!L25+Data!L26+Data!L27+Data!L28+Data!L29+Data!L30+Data!L31</f>
        <v>68924</v>
      </c>
      <c r="I31" s="16" t="n">
        <f aca="false">Data!G20+Data!G21+Data!G22+Data!G23+Data!G24+Data!G25+Data!G26+Data!G27+Data!G28+Data!G29+Data!G30+Data!G31</f>
        <v>147267</v>
      </c>
      <c r="J31" s="16" t="n">
        <f aca="false">Data!H20+Data!I20+Data!J20+Data!M20+Data!H21+Data!I21+Data!J21+Data!M21+Data!H22+Data!I22+Data!J22+Data!M22+Data!H23+Data!I23+Data!J23+Data!M23+Data!H24+Data!I24+Data!J24+Data!M24+Data!H25+Data!I25+Data!J25+Data!M25+Data!H26+Data!I26+Data!J26+Data!M26+Data!H27+Data!I27+Data!J27+Data!M27+Data!H28+Data!I28+Data!J28+Data!M28+Data!H29+Data!I29+Data!J29+Data!M29+Data!H30+Data!I30+Data!J30+Data!M30+Data!H31+Data!I31+Data!J31+Data!M31</f>
        <v>214439</v>
      </c>
      <c r="K31" s="16" t="n">
        <f aca="false">Data!F20+Data!F21+Data!F22+Data!F23+Data!F24+Data!F25+Data!F26+Data!F27+Data!F28+Data!F29+Data!F30+Data!F31</f>
        <v>746705</v>
      </c>
      <c r="L31" s="16" t="n">
        <f aca="false">Data!N20+Data!O20+Data!P20+Data!Q20+Data!R20+Data!S20+Data!N21+Data!O21+Data!P21+Data!Q21+Data!R21+Data!S21+Data!N22+Data!O22+Data!P22+Data!Q22+Data!R22+Data!S22+Data!N23+Data!O23+Data!P23+Data!Q23+Data!R23+Data!S23+Data!N24+Data!O24+Data!P24+Data!Q24+Data!R24+Data!S24+Data!N25+Data!O25+Data!P25+Data!Q25+Data!R25+Data!S25+Data!N26+Data!O26+Data!P26+Data!Q26+Data!R26+Data!S26+Data!N27+Data!O27+Data!P27+Data!Q27+Data!R27+Data!S27+Data!N28+Data!O28+Data!P28+Data!Q28+Data!R28+Data!S28+Data!N29+Data!O29+Data!P29+Data!Q29+Data!R29+Data!S29+Data!N30+Data!O30+Data!P30+Data!Q30+Data!R30+Data!S30+Data!N31+Data!O31+Data!P31+Data!Q31+Data!R31+Data!S31</f>
        <v>158971</v>
      </c>
      <c r="M31" s="15" t="n">
        <f aca="false">Data!T20+Data!U20+Data!V20+Data!W20+Data!X20+Data!Y20+Data!Z20+Data!AA20+Data!AB20+Data!AC20+Data!AD20+Data!AE20+Data!AF20+Data!AG20+Data!AH20+Data!AI20+Data!AJ20+Data!AK20+Data!AL20+Data!T21+Data!U21+Data!V21+Data!W21+Data!X21+Data!Y21+Data!Z21+Data!AA21+Data!AB21+Data!AC21+Data!AD21+Data!AE21+Data!AF21+Data!AG21+Data!AH21+Data!AI21+Data!AJ21+Data!AK21+Data!AL21+Data!T22+Data!U22+Data!V22+Data!W22+Data!X22+Data!Y22+Data!Z22+Data!AA22+Data!AB22+Data!AC22+Data!AD22+Data!AE22+Data!AF22+Data!AG22+Data!AH22+Data!AI22+Data!AJ22+Data!AK22+Data!AL22+Data!T23+Data!U23+Data!V23+Data!W23+Data!X23+Data!Y23+Data!Z23+Data!AA23+Data!AB23+Data!AC23+Data!AD23+Data!AE23+Data!AF23+Data!AG23+Data!AH23+Data!AI23+Data!AJ23+Data!AK23+Data!AL23+Data!T24+Data!U24+Data!V24+Data!W24+Data!X24+Data!Y24+Data!Z24+Data!AA24+Data!AB24+Data!AC24+Data!AD24+Data!AE24+Data!AF24+Data!AG24+Data!AH24+Data!AI24+Data!AJ24+Data!AK24+Data!AL24+Data!T25+Data!U25+Data!V25+Data!W25+Data!X25+Data!Y25+Data!Z25+Data!AA25+Data!AB25+Data!AC25+Data!AD25+Data!AE25+Data!AF25+Data!AG25+Data!AH25+Data!AI25+Data!AJ25+Data!AK25+Data!AL25+Data!T26+Data!U26+Data!V26+Data!W26+Data!X26+Data!Y26+Data!Z26+Data!AA26+Data!AB26+Data!AC26+Data!AD26+Data!AE26+Data!AF26+Data!AG26+Data!AH26+Data!AI26+Data!AJ26+Data!AK26+Data!AL26+Data!T27+Data!U27+Data!V27+Data!W27+Data!X27+Data!Y27+Data!Z27+Data!AA27+Data!AB27+Data!AC27+Data!AD27+Data!AE27+Data!AF27+Data!AG27+Data!AH27+Data!AI27+Data!AJ27+Data!AK27+Data!AL27+Data!T28+Data!U28+Data!V28+Data!W28+Data!X28+Data!Y28+Data!Z28+Data!AA28+Data!AB28+Data!AC28+Data!AD28+Data!AE28+Data!AF28+Data!AG28+Data!AH28+Data!AI28+Data!AJ28+Data!AK28+Data!AL28+Data!T29+Data!U29+Data!V29+Data!W29+Data!X29+Data!Y29+Data!Z29+Data!AA29+Data!AB29+Data!AC29+Data!AD29+Data!AE29+Data!AF29+Data!AG29+Data!AH29+Data!AI29+Data!AJ29+Data!AK29+Data!AL29+Data!T30+Data!U30+Data!V30+Data!W30+Data!X30+Data!Y30+Data!Z30+Data!AA30+Data!AB30+Data!AC30+Data!AD30+Data!AE30+Data!AF30+Data!AG30+Data!AH30+Data!AI30+Data!AJ30+Data!AK30+Data!AL30+Data!T31+Data!U31+Data!V31+Data!W31+Data!X31+Data!Y31+Data!Z31+Data!AA31+Data!AB31+Data!AC31+Data!AD31+Data!AE31+Data!AF31+Data!AG31+Data!AH31+Data!AI31+Data!AJ31+Data!AK31+Data!AL31</f>
        <v>2434773</v>
      </c>
      <c r="N31" s="16" t="n">
        <f aca="false">Data!T20+Data!U20+Data!V20+Data!W20+Data!T21+Data!U21+Data!V21+Data!W21+Data!T22+Data!U22+Data!V22+Data!W22+Data!T23+Data!U23+Data!V23+Data!W23+Data!T24+Data!U24+Data!V24+Data!W24+Data!T25+Data!U25+Data!V25+Data!W25+Data!T26+Data!U26+Data!V26+Data!W26+Data!T27+Data!U27+Data!V27+Data!W27+Data!T28+Data!U28+Data!V28+Data!W28+Data!T29+Data!U29+Data!V29+Data!W29+Data!T30+Data!U30+Data!V30+Data!W30+Data!T31+Data!U31+Data!V31+Data!W31</f>
        <v>1292565</v>
      </c>
      <c r="O31" s="16" t="n">
        <f aca="false">Data!T20+Data!T21+Data!T22+Data!T23+Data!T24+Data!T25+Data!T26+Data!T27+Data!T28+Data!T29+Data!T30+Data!T31</f>
        <v>944264</v>
      </c>
      <c r="P31" s="16" t="n">
        <f aca="false">Data!U20+Data!U21+Data!U22+Data!U23+Data!U24+Data!U25+Data!U26+Data!U27+Data!U28+Data!U29+Data!U30+Data!U31</f>
        <v>144287</v>
      </c>
      <c r="Q31" s="16" t="n">
        <f aca="false">Data!V20+Data!V21+Data!V22+Data!V23+Data!V24+Data!V25+Data!V26+Data!V27+Data!V28+Data!V29+Data!V30+Data!V31</f>
        <v>99374</v>
      </c>
      <c r="R31" s="16" t="n">
        <f aca="false">Data!W20+Data!W21+Data!W22+Data!W23+Data!W24+Data!W25+Data!W26+Data!W27+Data!W28+Data!W29+Data!W30+Data!W31</f>
        <v>104640</v>
      </c>
      <c r="S31" s="16" t="n">
        <f aca="false">Data!X20+Data!X21+Data!X22+Data!X23+Data!X24+Data!X25+Data!X26+Data!X27+Data!X28+Data!X29+Data!X30+Data!X31</f>
        <v>38584</v>
      </c>
      <c r="T31" s="16" t="n">
        <f aca="false">Data!Y20+Data!Z20+Data!AA20+Data!Y21+Data!Z21+Data!AA21+Data!Y22+Data!Z22+Data!AA22+Data!Y23+Data!Z23+Data!AA23+Data!Y24+Data!Z24+Data!AA24+Data!Y25+Data!Z25+Data!AA25+Data!Y26+Data!Z26+Data!AA26+Data!Y27+Data!Z27+Data!AA27+Data!Y28+Data!Z28+Data!AA28+Data!Y29+Data!Z29+Data!AA29+Data!Y30+Data!Z30+Data!AA30+Data!Y31+Data!Z31+Data!AA31</f>
        <v>225876</v>
      </c>
      <c r="U31" s="16" t="n">
        <f aca="false">Data!Y20+Data!Y21+Data!Y22+Data!Y23+Data!Y24+Data!Y25+Data!Y26+Data!Y27+Data!Y28+Data!Y29+Data!Y30+Data!Y31</f>
        <v>125354</v>
      </c>
      <c r="V31" s="16" t="n">
        <f aca="false">Data!Z20+Data!Z21+Data!Z22+Data!Z23+Data!Z24+Data!Z25+Data!Z26+Data!Z27+Data!Z28+Data!Z29+Data!Z30+Data!Z31</f>
        <v>90823</v>
      </c>
      <c r="W31" s="16" t="n">
        <f aca="false">Data!AB20+Data!AB21+Data!AB22+Data!AB23+Data!AB24+Data!AB25+Data!AB26+Data!AB27+Data!AB28+Data!AB29+Data!AB30+Data!AB31</f>
        <v>338532</v>
      </c>
      <c r="X31" s="16" t="n">
        <f aca="false">Data!AC20+Data!AC21+Data!AC22+Data!AC23+Data!AC24+Data!AC25+Data!AC26+Data!AC27+Data!AC28+Data!AC29+Data!AC30+Data!AC31</f>
        <v>106875</v>
      </c>
      <c r="Y31" s="16" t="n">
        <f aca="false">Data!AD20+Data!AE20+Data!AF20+Data!AG20+Data!AH20+Data!AD21+Data!AE21+Data!AF21+Data!AG21+Data!AH21+Data!AD22+Data!AE22+Data!AF22+Data!AG22+Data!AH22+Data!AD23+Data!AE23+Data!AF23+Data!AG23+Data!AH23+Data!AD24+Data!AE24+Data!AF24+Data!AG24+Data!AH24+Data!AD25+Data!AE25+Data!AF25+Data!AG25+Data!AH25+Data!AD26+Data!AE26+Data!AF26+Data!AG26+Data!AH26+Data!AD27+Data!AE27+Data!AF27+Data!AG27+Data!AH27+Data!AD28+Data!AE28+Data!AF28+Data!AG28+Data!AH28+Data!AD29+Data!AE29+Data!AF29+Data!AG29+Data!AH29+Data!AD30+Data!AE30+Data!AF30+Data!AG30+Data!AH30+Data!AD31+Data!AE31+Data!AF31+Data!AG31+Data!AH31</f>
        <v>84669</v>
      </c>
      <c r="Z31" s="16" t="n">
        <f aca="false">Data!AI20+Data!AI21+Data!AI22+Data!AI23+Data!AI24+Data!AI25+Data!AI26+Data!AI27+Data!AI28+Data!AI29+Data!AI30+Data!AI31</f>
        <v>86259</v>
      </c>
      <c r="AA31" s="16" t="n">
        <f aca="false">Data!AJ20+Data!AJ21+Data!AJ22+Data!AJ23+Data!AJ24+Data!AJ25+Data!AJ26+Data!AJ27+Data!AJ28+Data!AJ29+Data!AJ30+Data!AJ31</f>
        <v>9693</v>
      </c>
      <c r="AB31" s="16" t="n">
        <f aca="false">Data!AK20+Data!AK21+Data!AK22+Data!AK23+Data!AK24+Data!AK25+Data!AK26+Data!AK27+Data!AK28+Data!AK29+Data!AK30+Data!AK31</f>
        <v>50577</v>
      </c>
      <c r="AC31" s="16" t="n">
        <f aca="false">Data!AL20+Data!AL21+Data!AL22+Data!AL23+Data!AL24+Data!AL25+Data!AL26+Data!AL27+Data!AL28+Data!AL29+Data!AL30+Data!AL31</f>
        <v>201143</v>
      </c>
      <c r="AD31" s="15" t="n">
        <f aca="false">Data!AM20+Data!AM21+Data!AM22+Data!AM23+Data!AM24+Data!AM25+Data!AM26+Data!AM27+Data!AM28+Data!AM29+Data!AM30+Data!AM31</f>
        <v>-403801</v>
      </c>
      <c r="AE31" s="16" t="n">
        <f aca="false">Data!AN20+Data!AN21+Data!AN22+Data!AN23+Data!AN24+Data!AN25+Data!AN26+Data!AN27+Data!AN28+Data!AN29+Data!AN30+Data!AN31</f>
        <v>245583</v>
      </c>
      <c r="AF31" s="15" t="n">
        <f aca="false">Data!AO20+Data!AO21+Data!AO22+Data!AO23+Data!AO24+Data!AO25+Data!AO26+Data!AO27+Data!AO28+Data!AO29+Data!AO30+Data!AO31</f>
        <v>-649383</v>
      </c>
    </row>
    <row r="32" customFormat="false" ht="15" hidden="false" customHeight="false" outlineLevel="0" collapsed="false">
      <c r="B32" s="14" t="str">
        <f aca="false">Data!B32</f>
        <v>2018-02</v>
      </c>
      <c r="C32" s="15" t="n">
        <f aca="false">Data!D21+Data!E21+Data!F21+Data!G21+Data!H21+Data!I21+Data!J21+Data!K21+Data!L21+Data!M21+Data!N21+Data!O21+Data!P21+Data!Q21+Data!R21+Data!S21+Data!D22+Data!E22+Data!F22+Data!G22+Data!H22+Data!I22+Data!J22+Data!K22+Data!L22+Data!M22+Data!N22+Data!O22+Data!P22+Data!Q22+Data!R22+Data!S22+Data!D23+Data!E23+Data!F23+Data!G23+Data!H23+Data!I23+Data!J23+Data!K23+Data!L23+Data!M23+Data!N23+Data!O23+Data!P23+Data!Q23+Data!R23+Data!S23+Data!D24+Data!E24+Data!F24+Data!G24+Data!H24+Data!I24+Data!J24+Data!K24+Data!L24+Data!M24+Data!N24+Data!O24+Data!P24+Data!Q24+Data!R24+Data!S24+Data!D25+Data!E25+Data!F25+Data!G25+Data!H25+Data!I25+Data!J25+Data!K25+Data!L25+Data!M25+Data!N25+Data!O25+Data!P25+Data!Q25+Data!R25+Data!S25+Data!D26+Data!E26+Data!F26+Data!G26+Data!H26+Data!I26+Data!J26+Data!K26+Data!L26+Data!M26+Data!N26+Data!O26+Data!P26+Data!Q26+Data!R26+Data!S26+Data!D27+Data!E27+Data!F27+Data!G27+Data!H27+Data!I27+Data!J27+Data!K27+Data!L27+Data!M27+Data!N27+Data!O27+Data!P27+Data!Q27+Data!R27+Data!S27+Data!D28+Data!E28+Data!F28+Data!G28+Data!H28+Data!I28+Data!J28+Data!K28+Data!L28+Data!M28+Data!N28+Data!O28+Data!P28+Data!Q28+Data!R28+Data!S28+Data!D29+Data!E29+Data!F29+Data!G29+Data!H29+Data!I29+Data!J29+Data!K29+Data!L29+Data!M29+Data!N29+Data!O29+Data!P29+Data!Q29+Data!R29+Data!S29+Data!D30+Data!E30+Data!F30+Data!G30+Data!H30+Data!I30+Data!J30+Data!K30+Data!L30+Data!M30+Data!N30+Data!O30+Data!P30+Data!Q30+Data!R30+Data!S30+Data!D31+Data!E31+Data!F31+Data!G31+Data!H31+Data!I31+Data!J31+Data!K31+Data!L31+Data!M31+Data!N31+Data!O31+Data!P31+Data!Q31+Data!R31+Data!S31+Data!D32+Data!E32+Data!F32+Data!G32+Data!H32+Data!I32+Data!J32+Data!K32+Data!L32+Data!M32+Data!N32+Data!O32+Data!P32+Data!Q32+Data!R32+Data!S32</f>
        <v>2067449</v>
      </c>
      <c r="D32" s="16" t="n">
        <f aca="false">Data!D21+Data!E21+Data!G21+Data!H21+Data!I21+Data!J21+Data!K21+Data!L21+Data!M21+Data!D22+Data!E22+Data!G22+Data!H22+Data!I22+Data!J22+Data!K22+Data!L22+Data!M22+Data!D23+Data!E23+Data!G23+Data!H23+Data!I23+Data!J23+Data!K23+Data!L23+Data!M23+Data!D24+Data!E24+Data!G24+Data!H24+Data!I24+Data!J24+Data!K24+Data!L24+Data!M24+Data!D25+Data!E25+Data!G25+Data!H25+Data!I25+Data!J25+Data!K25+Data!L25+Data!M25+Data!D26+Data!E26+Data!G26+Data!H26+Data!I26+Data!J26+Data!K26+Data!L26+Data!M26+Data!D27+Data!E27+Data!G27+Data!H27+Data!I27+Data!J27+Data!K27+Data!L27+Data!M27+Data!D28+Data!E28+Data!G28+Data!H28+Data!I28+Data!J28+Data!K28+Data!L28+Data!M28+Data!D29+Data!E29+Data!G29+Data!H29+Data!I29+Data!J29+Data!K29+Data!L29+Data!M29+Data!D30+Data!E30+Data!G30+Data!H30+Data!I30+Data!J30+Data!K30+Data!L30+Data!M30+Data!D31+Data!E31+Data!G31+Data!H31+Data!I31+Data!J31+Data!K31+Data!L31+Data!M31+Data!D32+Data!E32+Data!G32+Data!H32+Data!I32+Data!J32+Data!K32+Data!L32+Data!M32</f>
        <v>1146237</v>
      </c>
      <c r="E32" s="16" t="n">
        <f aca="false">Data!D21+Data!D22+Data!D23+Data!D24+Data!D25+Data!D26+Data!D27+Data!D28+Data!D29+Data!D30+Data!D31+Data!D32</f>
        <v>371635</v>
      </c>
      <c r="F32" s="16" t="n">
        <f aca="false">Data!E21+Data!E22+Data!E23+Data!E24+Data!E25+Data!E26+Data!E27+Data!E28+Data!E29+Data!E30+Data!E31+Data!E32</f>
        <v>272072</v>
      </c>
      <c r="G32" s="16" t="n">
        <f aca="false">Data!K21+Data!K22+Data!K23+Data!K24+Data!K25+Data!K26+Data!K27+Data!K28+Data!K29+Data!K30+Data!K31+Data!K32</f>
        <v>65150</v>
      </c>
      <c r="H32" s="16" t="n">
        <f aca="false">Data!L21+Data!L22+Data!L23+Data!L24+Data!L25+Data!L26+Data!L27+Data!L28+Data!L29+Data!L30+Data!L31+Data!L32</f>
        <v>71015</v>
      </c>
      <c r="I32" s="16" t="n">
        <f aca="false">Data!G21+Data!G22+Data!G23+Data!G24+Data!G25+Data!G26+Data!G27+Data!G28+Data!G29+Data!G30+Data!G31+Data!G32</f>
        <v>151482</v>
      </c>
      <c r="J32" s="16" t="n">
        <f aca="false">Data!H21+Data!I21+Data!J21+Data!M21+Data!H22+Data!I22+Data!J22+Data!M22+Data!H23+Data!I23+Data!J23+Data!M23+Data!H24+Data!I24+Data!J24+Data!M24+Data!H25+Data!I25+Data!J25+Data!M25+Data!H26+Data!I26+Data!J26+Data!M26+Data!H27+Data!I27+Data!J27+Data!M27+Data!H28+Data!I28+Data!J28+Data!M28+Data!H29+Data!I29+Data!J29+Data!M29+Data!H30+Data!I30+Data!J30+Data!M30+Data!H31+Data!I31+Data!J31+Data!M31+Data!H32+Data!I32+Data!J32+Data!M32</f>
        <v>214883</v>
      </c>
      <c r="K32" s="16" t="n">
        <f aca="false">Data!F21+Data!F22+Data!F23+Data!F24+Data!F25+Data!F26+Data!F27+Data!F28+Data!F29+Data!F30+Data!F31+Data!F32</f>
        <v>761923</v>
      </c>
      <c r="L32" s="16" t="n">
        <f aca="false">Data!N21+Data!O21+Data!P21+Data!Q21+Data!R21+Data!S21+Data!N22+Data!O22+Data!P22+Data!Q22+Data!R22+Data!S22+Data!N23+Data!O23+Data!P23+Data!Q23+Data!R23+Data!S23+Data!N24+Data!O24+Data!P24+Data!Q24+Data!R24+Data!S24+Data!N25+Data!O25+Data!P25+Data!Q25+Data!R25+Data!S25+Data!N26+Data!O26+Data!P26+Data!Q26+Data!R26+Data!S26+Data!N27+Data!O27+Data!P27+Data!Q27+Data!R27+Data!S27+Data!N28+Data!O28+Data!P28+Data!Q28+Data!R28+Data!S28+Data!N29+Data!O29+Data!P29+Data!Q29+Data!R29+Data!S29+Data!N30+Data!O30+Data!P30+Data!Q30+Data!R30+Data!S30+Data!N31+Data!O31+Data!P31+Data!Q31+Data!R31+Data!S31+Data!N32+Data!O32+Data!P32+Data!Q32+Data!R32+Data!S32</f>
        <v>159289</v>
      </c>
      <c r="M32" s="15" t="n">
        <f aca="false">Data!T21+Data!U21+Data!V21+Data!W21+Data!X21+Data!Y21+Data!Z21+Data!AA21+Data!AB21+Data!AC21+Data!AD21+Data!AE21+Data!AF21+Data!AG21+Data!AH21+Data!AI21+Data!AJ21+Data!AK21+Data!AL21+Data!T22+Data!U22+Data!V22+Data!W22+Data!X22+Data!Y22+Data!Z22+Data!AA22+Data!AB22+Data!AC22+Data!AD22+Data!AE22+Data!AF22+Data!AG22+Data!AH22+Data!AI22+Data!AJ22+Data!AK22+Data!AL22+Data!T23+Data!U23+Data!V23+Data!W23+Data!X23+Data!Y23+Data!Z23+Data!AA23+Data!AB23+Data!AC23+Data!AD23+Data!AE23+Data!AF23+Data!AG23+Data!AH23+Data!AI23+Data!AJ23+Data!AK23+Data!AL23+Data!T24+Data!U24+Data!V24+Data!W24+Data!X24+Data!Y24+Data!Z24+Data!AA24+Data!AB24+Data!AC24+Data!AD24+Data!AE24+Data!AF24+Data!AG24+Data!AH24+Data!AI24+Data!AJ24+Data!AK24+Data!AL24+Data!T25+Data!U25+Data!V25+Data!W25+Data!X25+Data!Y25+Data!Z25+Data!AA25+Data!AB25+Data!AC25+Data!AD25+Data!AE25+Data!AF25+Data!AG25+Data!AH25+Data!AI25+Data!AJ25+Data!AK25+Data!AL25+Data!T26+Data!U26+Data!V26+Data!W26+Data!X26+Data!Y26+Data!Z26+Data!AA26+Data!AB26+Data!AC26+Data!AD26+Data!AE26+Data!AF26+Data!AG26+Data!AH26+Data!AI26+Data!AJ26+Data!AK26+Data!AL26+Data!T27+Data!U27+Data!V27+Data!W27+Data!X27+Data!Y27+Data!Z27+Data!AA27+Data!AB27+Data!AC27+Data!AD27+Data!AE27+Data!AF27+Data!AG27+Data!AH27+Data!AI27+Data!AJ27+Data!AK27+Data!AL27+Data!T28+Data!U28+Data!V28+Data!W28+Data!X28+Data!Y28+Data!Z28+Data!AA28+Data!AB28+Data!AC28+Data!AD28+Data!AE28+Data!AF28+Data!AG28+Data!AH28+Data!AI28+Data!AJ28+Data!AK28+Data!AL28+Data!T29+Data!U29+Data!V29+Data!W29+Data!X29+Data!Y29+Data!Z29+Data!AA29+Data!AB29+Data!AC29+Data!AD29+Data!AE29+Data!AF29+Data!AG29+Data!AH29+Data!AI29+Data!AJ29+Data!AK29+Data!AL29+Data!T30+Data!U30+Data!V30+Data!W30+Data!X30+Data!Y30+Data!Z30+Data!AA30+Data!AB30+Data!AC30+Data!AD30+Data!AE30+Data!AF30+Data!AG30+Data!AH30+Data!AI30+Data!AJ30+Data!AK30+Data!AL30+Data!T31+Data!U31+Data!V31+Data!W31+Data!X31+Data!Y31+Data!Z31+Data!AA31+Data!AB31+Data!AC31+Data!AD31+Data!AE31+Data!AF31+Data!AG31+Data!AH31+Data!AI31+Data!AJ31+Data!AK31+Data!AL31+Data!T32+Data!U32+Data!V32+Data!W32+Data!X32+Data!Y32+Data!Z32+Data!AA32+Data!AB32+Data!AC32+Data!AD32+Data!AE32+Data!AF32+Data!AG32+Data!AH32+Data!AI32+Data!AJ32+Data!AK32+Data!AL32</f>
        <v>2464731</v>
      </c>
      <c r="N32" s="16" t="n">
        <f aca="false">Data!T21+Data!U21+Data!V21+Data!W21+Data!T22+Data!U22+Data!V22+Data!W22+Data!T23+Data!U23+Data!V23+Data!W23+Data!T24+Data!U24+Data!V24+Data!W24+Data!T25+Data!U25+Data!V25+Data!W25+Data!T26+Data!U26+Data!V26+Data!W26+Data!T27+Data!U27+Data!V27+Data!W27+Data!T28+Data!U28+Data!V28+Data!W28+Data!T29+Data!U29+Data!V29+Data!W29+Data!T30+Data!U30+Data!V30+Data!W30+Data!T31+Data!U31+Data!V31+Data!W31+Data!T32+Data!U32+Data!V32+Data!W32</f>
        <v>1319381</v>
      </c>
      <c r="O32" s="16" t="n">
        <f aca="false">Data!T21+Data!T22+Data!T23+Data!T24+Data!T25+Data!T26+Data!T27+Data!T28+Data!T29+Data!T30+Data!T31+Data!T32</f>
        <v>965014</v>
      </c>
      <c r="P32" s="16" t="n">
        <f aca="false">Data!U21+Data!U22+Data!U23+Data!U24+Data!U25+Data!U26+Data!U27+Data!U28+Data!U29+Data!U30+Data!U31+Data!U32</f>
        <v>147237</v>
      </c>
      <c r="Q32" s="16" t="n">
        <f aca="false">Data!V21+Data!V22+Data!V23+Data!V24+Data!V25+Data!V26+Data!V27+Data!V28+Data!V29+Data!V30+Data!V31+Data!V32</f>
        <v>100569</v>
      </c>
      <c r="R32" s="16" t="n">
        <f aca="false">Data!W21+Data!W22+Data!W23+Data!W24+Data!W25+Data!W26+Data!W27+Data!W28+Data!W29+Data!W30+Data!W31+Data!W32</f>
        <v>106561</v>
      </c>
      <c r="S32" s="16" t="n">
        <f aca="false">Data!X21+Data!X22+Data!X23+Data!X24+Data!X25+Data!X26+Data!X27+Data!X28+Data!X29+Data!X30+Data!X31+Data!X32</f>
        <v>40072</v>
      </c>
      <c r="T32" s="16" t="n">
        <f aca="false">Data!Y21+Data!Z21+Data!AA21+Data!Y22+Data!Z22+Data!AA22+Data!Y23+Data!Z23+Data!AA23+Data!Y24+Data!Z24+Data!AA24+Data!Y25+Data!Z25+Data!AA25+Data!Y26+Data!Z26+Data!AA26+Data!Y27+Data!Z27+Data!AA27+Data!Y28+Data!Z28+Data!AA28+Data!Y29+Data!Z29+Data!AA29+Data!Y30+Data!Z30+Data!AA30+Data!Y31+Data!Z31+Data!AA31+Data!Y32+Data!Z32+Data!AA32</f>
        <v>221373</v>
      </c>
      <c r="U32" s="16" t="n">
        <f aca="false">Data!Y21+Data!Y22+Data!Y23+Data!Y24+Data!Y25+Data!Y26+Data!Y27+Data!Y28+Data!Y29+Data!Y30+Data!Y31+Data!Y32</f>
        <v>122176</v>
      </c>
      <c r="V32" s="16" t="n">
        <f aca="false">Data!Z21+Data!Z22+Data!Z23+Data!Z24+Data!Z25+Data!Z26+Data!Z27+Data!Z28+Data!Z29+Data!Z30+Data!Z31+Data!Z32</f>
        <v>90009</v>
      </c>
      <c r="W32" s="16" t="n">
        <f aca="false">Data!AB21+Data!AB22+Data!AB23+Data!AB24+Data!AB25+Data!AB26+Data!AB27+Data!AB28+Data!AB29+Data!AB30+Data!AB31+Data!AB32</f>
        <v>342551</v>
      </c>
      <c r="X32" s="16" t="n">
        <f aca="false">Data!AC21+Data!AC22+Data!AC23+Data!AC24+Data!AC25+Data!AC26+Data!AC27+Data!AC28+Data!AC29+Data!AC30+Data!AC31+Data!AC32</f>
        <v>110342</v>
      </c>
      <c r="Y32" s="16" t="n">
        <f aca="false">Data!AD21+Data!AE21+Data!AF21+Data!AG21+Data!AH21+Data!AD22+Data!AE22+Data!AF22+Data!AG22+Data!AH22+Data!AD23+Data!AE23+Data!AF23+Data!AG23+Data!AH23+Data!AD24+Data!AE24+Data!AF24+Data!AG24+Data!AH24+Data!AD25+Data!AE25+Data!AF25+Data!AG25+Data!AH25+Data!AD26+Data!AE26+Data!AF26+Data!AG26+Data!AH26+Data!AD27+Data!AE27+Data!AF27+Data!AG27+Data!AH27+Data!AD28+Data!AE28+Data!AF28+Data!AG28+Data!AH28+Data!AD29+Data!AE29+Data!AF29+Data!AG29+Data!AH29+Data!AD30+Data!AE30+Data!AF30+Data!AG30+Data!AH30+Data!AD31+Data!AE31+Data!AF31+Data!AG31+Data!AH31+Data!AD32+Data!AE32+Data!AF32+Data!AG32+Data!AH32</f>
        <v>84415</v>
      </c>
      <c r="Z32" s="16" t="n">
        <f aca="false">Data!AI21+Data!AI22+Data!AI23+Data!AI24+Data!AI25+Data!AI26+Data!AI27+Data!AI28+Data!AI29+Data!AI30+Data!AI31+Data!AI32</f>
        <v>87766</v>
      </c>
      <c r="AA32" s="16" t="n">
        <f aca="false">Data!AJ21+Data!AJ22+Data!AJ23+Data!AJ24+Data!AJ25+Data!AJ26+Data!AJ27+Data!AJ28+Data!AJ29+Data!AJ30+Data!AJ31+Data!AJ32</f>
        <v>9994</v>
      </c>
      <c r="AB32" s="16" t="n">
        <f aca="false">Data!AK21+Data!AK22+Data!AK23+Data!AK24+Data!AK25+Data!AK26+Data!AK27+Data!AK28+Data!AK29+Data!AK30+Data!AK31+Data!AK32</f>
        <v>50091</v>
      </c>
      <c r="AC32" s="16" t="n">
        <f aca="false">Data!AL21+Data!AL22+Data!AL23+Data!AL24+Data!AL25+Data!AL26+Data!AL27+Data!AL28+Data!AL29+Data!AL30+Data!AL31+Data!AL32</f>
        <v>198746</v>
      </c>
      <c r="AD32" s="15" t="n">
        <f aca="false">Data!AM21+Data!AM22+Data!AM23+Data!AM24+Data!AM25+Data!AM26+Data!AM27+Data!AM28+Data!AM29+Data!AM30+Data!AM31+Data!AM32</f>
        <v>-397282</v>
      </c>
      <c r="AE32" s="16" t="n">
        <f aca="false">Data!AN21+Data!AN22+Data!AN23+Data!AN24+Data!AN25+Data!AN26+Data!AN27+Data!AN28+Data!AN29+Data!AN30+Data!AN31+Data!AN32</f>
        <v>249840</v>
      </c>
      <c r="AF32" s="15" t="n">
        <f aca="false">Data!AO21+Data!AO22+Data!AO23+Data!AO24+Data!AO25+Data!AO26+Data!AO27+Data!AO28+Data!AO29+Data!AO30+Data!AO31+Data!AO32</f>
        <v>-647121</v>
      </c>
    </row>
    <row r="33" customFormat="false" ht="15" hidden="false" customHeight="false" outlineLevel="0" collapsed="false">
      <c r="B33" s="14" t="str">
        <f aca="false">Data!B33</f>
        <v>2018-03</v>
      </c>
      <c r="C33" s="15" t="n">
        <f aca="false">Data!D22+Data!E22+Data!F22+Data!G22+Data!H22+Data!I22+Data!J22+Data!K22+Data!L22+Data!M22+Data!N22+Data!O22+Data!P22+Data!Q22+Data!R22+Data!S22+Data!D23+Data!E23+Data!F23+Data!G23+Data!H23+Data!I23+Data!J23+Data!K23+Data!L23+Data!M23+Data!N23+Data!O23+Data!P23+Data!Q23+Data!R23+Data!S23+Data!D24+Data!E24+Data!F24+Data!G24+Data!H24+Data!I24+Data!J24+Data!K24+Data!L24+Data!M24+Data!N24+Data!O24+Data!P24+Data!Q24+Data!R24+Data!S24+Data!D25+Data!E25+Data!F25+Data!G25+Data!H25+Data!I25+Data!J25+Data!K25+Data!L25+Data!M25+Data!N25+Data!O25+Data!P25+Data!Q25+Data!R25+Data!S25+Data!D26+Data!E26+Data!F26+Data!G26+Data!H26+Data!I26+Data!J26+Data!K26+Data!L26+Data!M26+Data!N26+Data!O26+Data!P26+Data!Q26+Data!R26+Data!S26+Data!D27+Data!E27+Data!F27+Data!G27+Data!H27+Data!I27+Data!J27+Data!K27+Data!L27+Data!M27+Data!N27+Data!O27+Data!P27+Data!Q27+Data!R27+Data!S27+Data!D28+Data!E28+Data!F28+Data!G28+Data!H28+Data!I28+Data!J28+Data!K28+Data!L28+Data!M28+Data!N28+Data!O28+Data!P28+Data!Q28+Data!R28+Data!S28+Data!D29+Data!E29+Data!F29+Data!G29+Data!H29+Data!I29+Data!J29+Data!K29+Data!L29+Data!M29+Data!N29+Data!O29+Data!P29+Data!Q29+Data!R29+Data!S29+Data!D30+Data!E30+Data!F30+Data!G30+Data!H30+Data!I30+Data!J30+Data!K30+Data!L30+Data!M30+Data!N30+Data!O30+Data!P30+Data!Q30+Data!R30+Data!S30+Data!D31+Data!E31+Data!F31+Data!G31+Data!H31+Data!I31+Data!J31+Data!K31+Data!L31+Data!M31+Data!N31+Data!O31+Data!P31+Data!Q31+Data!R31+Data!S31+Data!D32+Data!E32+Data!F32+Data!G32+Data!H32+Data!I32+Data!J32+Data!K32+Data!L32+Data!M32+Data!N32+Data!O32+Data!P32+Data!Q32+Data!R32+Data!S32+Data!D33+Data!E33+Data!F33+Data!G33+Data!H33+Data!I33+Data!J33+Data!K33+Data!L33+Data!M33+Data!N33+Data!O33+Data!P33+Data!Q33+Data!R33+Data!S33</f>
        <v>2102452</v>
      </c>
      <c r="D33" s="16" t="n">
        <f aca="false">Data!D22+Data!E22+Data!G22+Data!H22+Data!I22+Data!J22+Data!K22+Data!L22+Data!M22+Data!D23+Data!E23+Data!G23+Data!H23+Data!I23+Data!J23+Data!K23+Data!L23+Data!M23+Data!D24+Data!E24+Data!G24+Data!H24+Data!I24+Data!J24+Data!K24+Data!L24+Data!M24+Data!D25+Data!E25+Data!G25+Data!H25+Data!I25+Data!J25+Data!K25+Data!L25+Data!M25+Data!D26+Data!E26+Data!G26+Data!H26+Data!I26+Data!J26+Data!K26+Data!L26+Data!M26+Data!D27+Data!E27+Data!G27+Data!H27+Data!I27+Data!J27+Data!K27+Data!L27+Data!M27+Data!D28+Data!E28+Data!G28+Data!H28+Data!I28+Data!J28+Data!K28+Data!L28+Data!M28+Data!D29+Data!E29+Data!G29+Data!H29+Data!I29+Data!J29+Data!K29+Data!L29+Data!M29+Data!D30+Data!E30+Data!G30+Data!H30+Data!I30+Data!J30+Data!K30+Data!L30+Data!M30+Data!D31+Data!E31+Data!G31+Data!H31+Data!I31+Data!J31+Data!K31+Data!L31+Data!M31+Data!D32+Data!E32+Data!G32+Data!H32+Data!I32+Data!J32+Data!K32+Data!L32+Data!M32+Data!D33+Data!E33+Data!G33+Data!H33+Data!I33+Data!J33+Data!K33+Data!L33+Data!M33</f>
        <v>1146353</v>
      </c>
      <c r="E33" s="16" t="n">
        <f aca="false">Data!D22+Data!D23+Data!D24+Data!D25+Data!D26+Data!D27+Data!D28+Data!D29+Data!D30+Data!D31+Data!D32+Data!D33</f>
        <v>384188</v>
      </c>
      <c r="F33" s="16" t="n">
        <f aca="false">Data!E22+Data!E23+Data!E24+Data!E25+Data!E26+Data!E27+Data!E28+Data!E29+Data!E30+Data!E31+Data!E32+Data!E33</f>
        <v>273978</v>
      </c>
      <c r="G33" s="16" t="n">
        <f aca="false">Data!K22+Data!K23+Data!K24+Data!K25+Data!K26+Data!K27+Data!K28+Data!K29+Data!K30+Data!K31+Data!K32+Data!K33</f>
        <v>61405</v>
      </c>
      <c r="H33" s="16" t="n">
        <f aca="false">Data!L22+Data!L23+Data!L24+Data!L25+Data!L26+Data!L27+Data!L28+Data!L29+Data!L30+Data!L31+Data!L32+Data!L33</f>
        <v>72802</v>
      </c>
      <c r="I33" s="16" t="n">
        <f aca="false">Data!G22+Data!G23+Data!G24+Data!G25+Data!G26+Data!G27+Data!G28+Data!G29+Data!G30+Data!G31+Data!G32+Data!G33</f>
        <v>156754</v>
      </c>
      <c r="J33" s="16" t="n">
        <f aca="false">Data!H22+Data!I22+Data!J22+Data!M22+Data!H23+Data!I23+Data!J23+Data!M23+Data!H24+Data!I24+Data!J24+Data!M24+Data!H25+Data!I25+Data!J25+Data!M25+Data!H26+Data!I26+Data!J26+Data!M26+Data!H27+Data!I27+Data!J27+Data!M27+Data!H28+Data!I28+Data!J28+Data!M28+Data!H29+Data!I29+Data!J29+Data!M29+Data!H30+Data!I30+Data!J30+Data!M30+Data!H31+Data!I31+Data!J31+Data!M31+Data!H32+Data!I32+Data!J32+Data!M32+Data!H33+Data!I33+Data!J33+Data!M33</f>
        <v>197226</v>
      </c>
      <c r="K33" s="16" t="n">
        <f aca="false">Data!F22+Data!F23+Data!F24+Data!F25+Data!F26+Data!F27+Data!F28+Data!F29+Data!F30+Data!F31+Data!F32+Data!F33</f>
        <v>776836</v>
      </c>
      <c r="L33" s="16" t="n">
        <f aca="false">Data!N22+Data!O22+Data!P22+Data!Q22+Data!R22+Data!S22+Data!N23+Data!O23+Data!P23+Data!Q23+Data!R23+Data!S23+Data!N24+Data!O24+Data!P24+Data!Q24+Data!R24+Data!S24+Data!N25+Data!O25+Data!P25+Data!Q25+Data!R25+Data!S25+Data!N26+Data!O26+Data!P26+Data!Q26+Data!R26+Data!S26+Data!N27+Data!O27+Data!P27+Data!Q27+Data!R27+Data!S27+Data!N28+Data!O28+Data!P28+Data!Q28+Data!R28+Data!S28+Data!N29+Data!O29+Data!P29+Data!Q29+Data!R29+Data!S29+Data!N30+Data!O30+Data!P30+Data!Q30+Data!R30+Data!S30+Data!N31+Data!O31+Data!P31+Data!Q31+Data!R31+Data!S31+Data!N32+Data!O32+Data!P32+Data!Q32+Data!R32+Data!S32+Data!N33+Data!O33+Data!P33+Data!Q33+Data!R33+Data!S33</f>
        <v>179263</v>
      </c>
      <c r="M33" s="15" t="n">
        <f aca="false">Data!T22+Data!U22+Data!V22+Data!W22+Data!X22+Data!Y22+Data!Z22+Data!AA22+Data!AB22+Data!AC22+Data!AD22+Data!AE22+Data!AF22+Data!AG22+Data!AH22+Data!AI22+Data!AJ22+Data!AK22+Data!AL22+Data!T23+Data!U23+Data!V23+Data!W23+Data!X23+Data!Y23+Data!Z23+Data!AA23+Data!AB23+Data!AC23+Data!AD23+Data!AE23+Data!AF23+Data!AG23+Data!AH23+Data!AI23+Data!AJ23+Data!AK23+Data!AL23+Data!T24+Data!U24+Data!V24+Data!W24+Data!X24+Data!Y24+Data!Z24+Data!AA24+Data!AB24+Data!AC24+Data!AD24+Data!AE24+Data!AF24+Data!AG24+Data!AH24+Data!AI24+Data!AJ24+Data!AK24+Data!AL24+Data!T25+Data!U25+Data!V25+Data!W25+Data!X25+Data!Y25+Data!Z25+Data!AA25+Data!AB25+Data!AC25+Data!AD25+Data!AE25+Data!AF25+Data!AG25+Data!AH25+Data!AI25+Data!AJ25+Data!AK25+Data!AL25+Data!T26+Data!U26+Data!V26+Data!W26+Data!X26+Data!Y26+Data!Z26+Data!AA26+Data!AB26+Data!AC26+Data!AD26+Data!AE26+Data!AF26+Data!AG26+Data!AH26+Data!AI26+Data!AJ26+Data!AK26+Data!AL26+Data!T27+Data!U27+Data!V27+Data!W27+Data!X27+Data!Y27+Data!Z27+Data!AA27+Data!AB27+Data!AC27+Data!AD27+Data!AE27+Data!AF27+Data!AG27+Data!AH27+Data!AI27+Data!AJ27+Data!AK27+Data!AL27+Data!T28+Data!U28+Data!V28+Data!W28+Data!X28+Data!Y28+Data!Z28+Data!AA28+Data!AB28+Data!AC28+Data!AD28+Data!AE28+Data!AF28+Data!AG28+Data!AH28+Data!AI28+Data!AJ28+Data!AK28+Data!AL28+Data!T29+Data!U29+Data!V29+Data!W29+Data!X29+Data!Y29+Data!Z29+Data!AA29+Data!AB29+Data!AC29+Data!AD29+Data!AE29+Data!AF29+Data!AG29+Data!AH29+Data!AI29+Data!AJ29+Data!AK29+Data!AL29+Data!T30+Data!U30+Data!V30+Data!W30+Data!X30+Data!Y30+Data!Z30+Data!AA30+Data!AB30+Data!AC30+Data!AD30+Data!AE30+Data!AF30+Data!AG30+Data!AH30+Data!AI30+Data!AJ30+Data!AK30+Data!AL30+Data!T31+Data!U31+Data!V31+Data!W31+Data!X31+Data!Y31+Data!Z31+Data!AA31+Data!AB31+Data!AC31+Data!AD31+Data!AE31+Data!AF31+Data!AG31+Data!AH31+Data!AI31+Data!AJ31+Data!AK31+Data!AL31+Data!T32+Data!U32+Data!V32+Data!W32+Data!X32+Data!Y32+Data!Z32+Data!AA32+Data!AB32+Data!AC32+Data!AD32+Data!AE32+Data!AF32+Data!AG32+Data!AH32+Data!AI32+Data!AJ32+Data!AK32+Data!AL32+Data!T33+Data!U33+Data!V33+Data!W33+Data!X33+Data!Y33+Data!Z33+Data!AA33+Data!AB33+Data!AC33+Data!AD33+Data!AE33+Data!AF33+Data!AG33+Data!AH33+Data!AI33+Data!AJ33+Data!AK33+Data!AL33</f>
        <v>2496252</v>
      </c>
      <c r="N33" s="16" t="n">
        <f aca="false">Data!T22+Data!U22+Data!V22+Data!W22+Data!T23+Data!U23+Data!V23+Data!W23+Data!T24+Data!U24+Data!V24+Data!W24+Data!T25+Data!U25+Data!V25+Data!W25+Data!T26+Data!U26+Data!V26+Data!W26+Data!T27+Data!U27+Data!V27+Data!W27+Data!T28+Data!U28+Data!V28+Data!W28+Data!T29+Data!U29+Data!V29+Data!W29+Data!T30+Data!U30+Data!V30+Data!W30+Data!T31+Data!U31+Data!V31+Data!W31+Data!T32+Data!U32+Data!V32+Data!W32+Data!T33+Data!U33+Data!V33+Data!W33</f>
        <v>1345877</v>
      </c>
      <c r="O33" s="16" t="n">
        <f aca="false">Data!T22+Data!T23+Data!T24+Data!T25+Data!T26+Data!T27+Data!T28+Data!T29+Data!T30+Data!T31+Data!T32+Data!T33</f>
        <v>984403</v>
      </c>
      <c r="P33" s="16" t="n">
        <f aca="false">Data!U22+Data!U23+Data!U24+Data!U25+Data!U26+Data!U27+Data!U28+Data!U29+Data!U30+Data!U31+Data!U32+Data!U33</f>
        <v>151170</v>
      </c>
      <c r="Q33" s="16" t="n">
        <f aca="false">Data!V22+Data!V23+Data!V24+Data!V25+Data!V26+Data!V27+Data!V28+Data!V29+Data!V30+Data!V31+Data!V32+Data!V33</f>
        <v>101812</v>
      </c>
      <c r="R33" s="16" t="n">
        <f aca="false">Data!W22+Data!W23+Data!W24+Data!W25+Data!W26+Data!W27+Data!W28+Data!W29+Data!W30+Data!W31+Data!W32+Data!W33</f>
        <v>108492</v>
      </c>
      <c r="S33" s="16" t="n">
        <f aca="false">Data!X22+Data!X23+Data!X24+Data!X25+Data!X26+Data!X27+Data!X28+Data!X29+Data!X30+Data!X31+Data!X32+Data!X33</f>
        <v>43529</v>
      </c>
      <c r="T33" s="16" t="n">
        <f aca="false">Data!Y22+Data!Z22+Data!AA22+Data!Y23+Data!Z23+Data!AA23+Data!Y24+Data!Z24+Data!AA24+Data!Y25+Data!Z25+Data!AA25+Data!Y26+Data!Z26+Data!AA26+Data!Y27+Data!Z27+Data!AA27+Data!Y28+Data!Z28+Data!AA28+Data!Y29+Data!Z29+Data!AA29+Data!Y30+Data!Z30+Data!AA30+Data!Y31+Data!Z31+Data!AA31+Data!Y32+Data!Z32+Data!AA32+Data!Y33+Data!Z33+Data!AA33</f>
        <v>218403</v>
      </c>
      <c r="U33" s="16" t="n">
        <f aca="false">Data!Y22+Data!Y23+Data!Y24+Data!Y25+Data!Y26+Data!Y27+Data!Y28+Data!Y29+Data!Y30+Data!Y31+Data!Y32+Data!Y33</f>
        <v>118509</v>
      </c>
      <c r="V33" s="16" t="n">
        <f aca="false">Data!Z22+Data!Z23+Data!Z24+Data!Z25+Data!Z26+Data!Z27+Data!Z28+Data!Z29+Data!Z30+Data!Z31+Data!Z32+Data!Z33</f>
        <v>91265</v>
      </c>
      <c r="W33" s="16" t="n">
        <f aca="false">Data!AB22+Data!AB23+Data!AB24+Data!AB25+Data!AB26+Data!AB27+Data!AB28+Data!AB29+Data!AB30+Data!AB31+Data!AB32+Data!AB33</f>
        <v>347158</v>
      </c>
      <c r="X33" s="16" t="n">
        <f aca="false">Data!AC22+Data!AC23+Data!AC24+Data!AC25+Data!AC26+Data!AC27+Data!AC28+Data!AC29+Data!AC30+Data!AC31+Data!AC32+Data!AC33</f>
        <v>112453</v>
      </c>
      <c r="Y33" s="16" t="n">
        <f aca="false">Data!AD22+Data!AE22+Data!AF22+Data!AG22+Data!AH22+Data!AD23+Data!AE23+Data!AF23+Data!AG23+Data!AH23+Data!AD24+Data!AE24+Data!AF24+Data!AG24+Data!AH24+Data!AD25+Data!AE25+Data!AF25+Data!AG25+Data!AH25+Data!AD26+Data!AE26+Data!AF26+Data!AG26+Data!AH26+Data!AD27+Data!AE27+Data!AF27+Data!AG27+Data!AH27+Data!AD28+Data!AE28+Data!AF28+Data!AG28+Data!AH28+Data!AD29+Data!AE29+Data!AF29+Data!AG29+Data!AH29+Data!AD30+Data!AE30+Data!AF30+Data!AG30+Data!AH30+Data!AD31+Data!AE31+Data!AF31+Data!AG31+Data!AH31+Data!AD32+Data!AE32+Data!AF32+Data!AG32+Data!AH32+Data!AD33+Data!AE33+Data!AF33+Data!AG33+Data!AH33</f>
        <v>82074</v>
      </c>
      <c r="Z33" s="16" t="n">
        <f aca="false">Data!AI22+Data!AI23+Data!AI24+Data!AI25+Data!AI26+Data!AI27+Data!AI28+Data!AI29+Data!AI30+Data!AI31+Data!AI32+Data!AI33</f>
        <v>89671</v>
      </c>
      <c r="AA33" s="16" t="n">
        <f aca="false">Data!AJ22+Data!AJ23+Data!AJ24+Data!AJ25+Data!AJ26+Data!AJ27+Data!AJ28+Data!AJ29+Data!AJ30+Data!AJ31+Data!AJ32+Data!AJ33</f>
        <v>10533</v>
      </c>
      <c r="AB33" s="16" t="n">
        <f aca="false">Data!AK22+Data!AK23+Data!AK24+Data!AK25+Data!AK26+Data!AK27+Data!AK28+Data!AK29+Data!AK30+Data!AK31+Data!AK32+Data!AK33</f>
        <v>50503</v>
      </c>
      <c r="AC33" s="16" t="n">
        <f aca="false">Data!AL22+Data!AL23+Data!AL24+Data!AL25+Data!AL26+Data!AL27+Data!AL28+Data!AL29+Data!AL30+Data!AL31+Data!AL32+Data!AL33</f>
        <v>196051</v>
      </c>
      <c r="AD33" s="15" t="n">
        <f aca="false">Data!AM22+Data!AM23+Data!AM24+Data!AM25+Data!AM26+Data!AM27+Data!AM28+Data!AM29+Data!AM30+Data!AM31+Data!AM32+Data!AM33</f>
        <v>-393800</v>
      </c>
      <c r="AE33" s="16" t="n">
        <f aca="false">Data!AN22+Data!AN23+Data!AN24+Data!AN25+Data!AN26+Data!AN27+Data!AN28+Data!AN29+Data!AN30+Data!AN31+Data!AN32+Data!AN33</f>
        <v>256137</v>
      </c>
      <c r="AF33" s="15" t="n">
        <f aca="false">Data!AO22+Data!AO23+Data!AO24+Data!AO25+Data!AO26+Data!AO27+Data!AO28+Data!AO29+Data!AO30+Data!AO31+Data!AO32+Data!AO33</f>
        <v>-649936</v>
      </c>
    </row>
    <row r="34" customFormat="false" ht="15" hidden="false" customHeight="false" outlineLevel="0" collapsed="false">
      <c r="B34" s="14" t="str">
        <f aca="false">Data!B34</f>
        <v>2018-04</v>
      </c>
      <c r="C34" s="15" t="n">
        <f aca="false">Data!D23+Data!E23+Data!F23+Data!G23+Data!H23+Data!I23+Data!J23+Data!K23+Data!L23+Data!M23+Data!N23+Data!O23+Data!P23+Data!Q23+Data!R23+Data!S23+Data!D24+Data!E24+Data!F24+Data!G24+Data!H24+Data!I24+Data!J24+Data!K24+Data!L24+Data!M24+Data!N24+Data!O24+Data!P24+Data!Q24+Data!R24+Data!S24+Data!D25+Data!E25+Data!F25+Data!G25+Data!H25+Data!I25+Data!J25+Data!K25+Data!L25+Data!M25+Data!N25+Data!O25+Data!P25+Data!Q25+Data!R25+Data!S25+Data!D26+Data!E26+Data!F26+Data!G26+Data!H26+Data!I26+Data!J26+Data!K26+Data!L26+Data!M26+Data!N26+Data!O26+Data!P26+Data!Q26+Data!R26+Data!S26+Data!D27+Data!E27+Data!F27+Data!G27+Data!H27+Data!I27+Data!J27+Data!K27+Data!L27+Data!M27+Data!N27+Data!O27+Data!P27+Data!Q27+Data!R27+Data!S27+Data!D28+Data!E28+Data!F28+Data!G28+Data!H28+Data!I28+Data!J28+Data!K28+Data!L28+Data!M28+Data!N28+Data!O28+Data!P28+Data!Q28+Data!R28+Data!S28+Data!D29+Data!E29+Data!F29+Data!G29+Data!H29+Data!I29+Data!J29+Data!K29+Data!L29+Data!M29+Data!N29+Data!O29+Data!P29+Data!Q29+Data!R29+Data!S29+Data!D30+Data!E30+Data!F30+Data!G30+Data!H30+Data!I30+Data!J30+Data!K30+Data!L30+Data!M30+Data!N30+Data!O30+Data!P30+Data!Q30+Data!R30+Data!S30+Data!D31+Data!E31+Data!F31+Data!G31+Data!H31+Data!I31+Data!J31+Data!K31+Data!L31+Data!M31+Data!N31+Data!O31+Data!P31+Data!Q31+Data!R31+Data!S31+Data!D32+Data!E32+Data!F32+Data!G32+Data!H32+Data!I32+Data!J32+Data!K32+Data!L32+Data!M32+Data!N32+Data!O32+Data!P32+Data!Q32+Data!R32+Data!S32+Data!D33+Data!E33+Data!F33+Data!G33+Data!H33+Data!I33+Data!J33+Data!K33+Data!L33+Data!M33+Data!N33+Data!O33+Data!P33+Data!Q33+Data!R33+Data!S33+Data!D34+Data!E34+Data!F34+Data!G34+Data!H34+Data!I34+Data!J34+Data!K34+Data!L34+Data!M34+Data!N34+Data!O34+Data!P34+Data!Q34+Data!R34+Data!S34</f>
        <v>2135858</v>
      </c>
      <c r="D34" s="16" t="n">
        <f aca="false">Data!D23+Data!E23+Data!G23+Data!H23+Data!I23+Data!J23+Data!K23+Data!L23+Data!M23+Data!D24+Data!E24+Data!G24+Data!H24+Data!I24+Data!J24+Data!K24+Data!L24+Data!M24+Data!D25+Data!E25+Data!G25+Data!H25+Data!I25+Data!J25+Data!K25+Data!L25+Data!M25+Data!D26+Data!E26+Data!G26+Data!H26+Data!I26+Data!J26+Data!K26+Data!L26+Data!M26+Data!D27+Data!E27+Data!G27+Data!H27+Data!I27+Data!J27+Data!K27+Data!L27+Data!M27+Data!D28+Data!E28+Data!G28+Data!H28+Data!I28+Data!J28+Data!K28+Data!L28+Data!M28+Data!D29+Data!E29+Data!G29+Data!H29+Data!I29+Data!J29+Data!K29+Data!L29+Data!M29+Data!D30+Data!E30+Data!G30+Data!H30+Data!I30+Data!J30+Data!K30+Data!L30+Data!M30+Data!D31+Data!E31+Data!G31+Data!H31+Data!I31+Data!J31+Data!K31+Data!L31+Data!M31+Data!D32+Data!E32+Data!G32+Data!H32+Data!I32+Data!J32+Data!K32+Data!L32+Data!M32+Data!D33+Data!E33+Data!G33+Data!H33+Data!I33+Data!J33+Data!K33+Data!L33+Data!M33+Data!D34+Data!E34+Data!G34+Data!H34+Data!I34+Data!J34+Data!K34+Data!L34+Data!M34</f>
        <v>1152047</v>
      </c>
      <c r="E34" s="16" t="n">
        <f aca="false">Data!D23+Data!D24+Data!D25+Data!D26+Data!D27+Data!D28+Data!D29+Data!D30+Data!D31+Data!D32+Data!D33+Data!D34</f>
        <v>393311</v>
      </c>
      <c r="F34" s="16" t="n">
        <f aca="false">Data!E23+Data!E24+Data!E25+Data!E26+Data!E27+Data!E28+Data!E29+Data!E30+Data!E31+Data!E32+Data!E33+Data!E34</f>
        <v>275063</v>
      </c>
      <c r="G34" s="16" t="n">
        <f aca="false">Data!K23+Data!K24+Data!K25+Data!K26+Data!K27+Data!K28+Data!K29+Data!K30+Data!K31+Data!K32+Data!K33+Data!K34</f>
        <v>57496</v>
      </c>
      <c r="H34" s="16" t="n">
        <f aca="false">Data!L23+Data!L24+Data!L25+Data!L26+Data!L27+Data!L28+Data!L29+Data!L30+Data!L31+Data!L32+Data!L33+Data!L34</f>
        <v>75787</v>
      </c>
      <c r="I34" s="16" t="n">
        <f aca="false">Data!G23+Data!G24+Data!G25+Data!G26+Data!G27+Data!G28+Data!G29+Data!G30+Data!G31+Data!G32+Data!G33+Data!G34</f>
        <v>163874</v>
      </c>
      <c r="J34" s="16" t="n">
        <f aca="false">Data!H23+Data!I23+Data!J23+Data!M23+Data!H24+Data!I24+Data!J24+Data!M24+Data!H25+Data!I25+Data!J25+Data!M25+Data!H26+Data!I26+Data!J26+Data!M26+Data!H27+Data!I27+Data!J27+Data!M27+Data!H28+Data!I28+Data!J28+Data!M28+Data!H29+Data!I29+Data!J29+Data!M29+Data!H30+Data!I30+Data!J30+Data!M30+Data!H31+Data!I31+Data!J31+Data!M31+Data!H32+Data!I32+Data!J32+Data!M32+Data!H33+Data!I33+Data!J33+Data!M33+Data!H34+Data!I34+Data!J34+Data!M34</f>
        <v>186516</v>
      </c>
      <c r="K34" s="16" t="n">
        <f aca="false">Data!F23+Data!F24+Data!F25+Data!F26+Data!F27+Data!F28+Data!F29+Data!F30+Data!F31+Data!F32+Data!F33+Data!F34</f>
        <v>791425</v>
      </c>
      <c r="L34" s="16" t="n">
        <f aca="false">Data!N23+Data!O23+Data!P23+Data!Q23+Data!R23+Data!S23+Data!N24+Data!O24+Data!P24+Data!Q24+Data!R24+Data!S24+Data!N25+Data!O25+Data!P25+Data!Q25+Data!R25+Data!S25+Data!N26+Data!O26+Data!P26+Data!Q26+Data!R26+Data!S26+Data!N27+Data!O27+Data!P27+Data!Q27+Data!R27+Data!S27+Data!N28+Data!O28+Data!P28+Data!Q28+Data!R28+Data!S28+Data!N29+Data!O29+Data!P29+Data!Q29+Data!R29+Data!S29+Data!N30+Data!O30+Data!P30+Data!Q30+Data!R30+Data!S30+Data!N31+Data!O31+Data!P31+Data!Q31+Data!R31+Data!S31+Data!N32+Data!O32+Data!P32+Data!Q32+Data!R32+Data!S32+Data!N33+Data!O33+Data!P33+Data!Q33+Data!R33+Data!S33+Data!N34+Data!O34+Data!P34+Data!Q34+Data!R34+Data!S34</f>
        <v>192386</v>
      </c>
      <c r="M34" s="15" t="n">
        <f aca="false">Data!T23+Data!U23+Data!V23+Data!W23+Data!X23+Data!Y23+Data!Z23+Data!AA23+Data!AB23+Data!AC23+Data!AD23+Data!AE23+Data!AF23+Data!AG23+Data!AH23+Data!AI23+Data!AJ23+Data!AK23+Data!AL23+Data!T24+Data!U24+Data!V24+Data!W24+Data!X24+Data!Y24+Data!Z24+Data!AA24+Data!AB24+Data!AC24+Data!AD24+Data!AE24+Data!AF24+Data!AG24+Data!AH24+Data!AI24+Data!AJ24+Data!AK24+Data!AL24+Data!T25+Data!U25+Data!V25+Data!W25+Data!X25+Data!Y25+Data!Z25+Data!AA25+Data!AB25+Data!AC25+Data!AD25+Data!AE25+Data!AF25+Data!AG25+Data!AH25+Data!AI25+Data!AJ25+Data!AK25+Data!AL25+Data!T26+Data!U26+Data!V26+Data!W26+Data!X26+Data!Y26+Data!Z26+Data!AA26+Data!AB26+Data!AC26+Data!AD26+Data!AE26+Data!AF26+Data!AG26+Data!AH26+Data!AI26+Data!AJ26+Data!AK26+Data!AL26+Data!T27+Data!U27+Data!V27+Data!W27+Data!X27+Data!Y27+Data!Z27+Data!AA27+Data!AB27+Data!AC27+Data!AD27+Data!AE27+Data!AF27+Data!AG27+Data!AH27+Data!AI27+Data!AJ27+Data!AK27+Data!AL27+Data!T28+Data!U28+Data!V28+Data!W28+Data!X28+Data!Y28+Data!Z28+Data!AA28+Data!AB28+Data!AC28+Data!AD28+Data!AE28+Data!AF28+Data!AG28+Data!AH28+Data!AI28+Data!AJ28+Data!AK28+Data!AL28+Data!T29+Data!U29+Data!V29+Data!W29+Data!X29+Data!Y29+Data!Z29+Data!AA29+Data!AB29+Data!AC29+Data!AD29+Data!AE29+Data!AF29+Data!AG29+Data!AH29+Data!AI29+Data!AJ29+Data!AK29+Data!AL29+Data!T30+Data!U30+Data!V30+Data!W30+Data!X30+Data!Y30+Data!Z30+Data!AA30+Data!AB30+Data!AC30+Data!AD30+Data!AE30+Data!AF30+Data!AG30+Data!AH30+Data!AI30+Data!AJ30+Data!AK30+Data!AL30+Data!T31+Data!U31+Data!V31+Data!W31+Data!X31+Data!Y31+Data!Z31+Data!AA31+Data!AB31+Data!AC31+Data!AD31+Data!AE31+Data!AF31+Data!AG31+Data!AH31+Data!AI31+Data!AJ31+Data!AK31+Data!AL31+Data!T32+Data!U32+Data!V32+Data!W32+Data!X32+Data!Y32+Data!Z32+Data!AA32+Data!AB32+Data!AC32+Data!AD32+Data!AE32+Data!AF32+Data!AG32+Data!AH32+Data!AI32+Data!AJ32+Data!AK32+Data!AL32+Data!T33+Data!U33+Data!V33+Data!W33+Data!X33+Data!Y33+Data!Z33+Data!AA33+Data!AB33+Data!AC33+Data!AD33+Data!AE33+Data!AF33+Data!AG33+Data!AH33+Data!AI33+Data!AJ33+Data!AK33+Data!AL33+Data!T34+Data!U34+Data!V34+Data!W34+Data!X34+Data!Y34+Data!Z34+Data!AA34+Data!AB34+Data!AC34+Data!AD34+Data!AE34+Data!AF34+Data!AG34+Data!AH34+Data!AI34+Data!AJ34+Data!AK34+Data!AL34</f>
        <v>2521336</v>
      </c>
      <c r="N34" s="16" t="n">
        <f aca="false">Data!T23+Data!U23+Data!V23+Data!W23+Data!T24+Data!U24+Data!V24+Data!W24+Data!T25+Data!U25+Data!V25+Data!W25+Data!T26+Data!U26+Data!V26+Data!W26+Data!T27+Data!U27+Data!V27+Data!W27+Data!T28+Data!U28+Data!V28+Data!W28+Data!T29+Data!U29+Data!V29+Data!W29+Data!T30+Data!U30+Data!V30+Data!W30+Data!T31+Data!U31+Data!V31+Data!W31+Data!T32+Data!U32+Data!V32+Data!W32+Data!T33+Data!U33+Data!V33+Data!W33+Data!T34+Data!U34+Data!V34+Data!W34</f>
        <v>1372434</v>
      </c>
      <c r="O34" s="16" t="n">
        <f aca="false">Data!T23+Data!T24+Data!T25+Data!T26+Data!T27+Data!T28+Data!T29+Data!T30+Data!T31+Data!T32+Data!T33+Data!T34</f>
        <v>1004781</v>
      </c>
      <c r="P34" s="16" t="n">
        <f aca="false">Data!U23+Data!U24+Data!U25+Data!U26+Data!U27+Data!U28+Data!U29+Data!U30+Data!U31+Data!U32+Data!U33+Data!U34</f>
        <v>153680</v>
      </c>
      <c r="Q34" s="16" t="n">
        <f aca="false">Data!V23+Data!V24+Data!V25+Data!V26+Data!V27+Data!V28+Data!V29+Data!V30+Data!V31+Data!V32+Data!V33+Data!V34</f>
        <v>102664</v>
      </c>
      <c r="R34" s="16" t="n">
        <f aca="false">Data!W23+Data!W24+Data!W25+Data!W26+Data!W27+Data!W28+Data!W29+Data!W30+Data!W31+Data!W32+Data!W33+Data!W34</f>
        <v>111309</v>
      </c>
      <c r="S34" s="16" t="n">
        <f aca="false">Data!X23+Data!X24+Data!X25+Data!X26+Data!X27+Data!X28+Data!X29+Data!X30+Data!X31+Data!X32+Data!X33+Data!X34</f>
        <v>44781</v>
      </c>
      <c r="T34" s="16" t="n">
        <f aca="false">Data!Y23+Data!Z23+Data!AA23+Data!Y24+Data!Z24+Data!AA24+Data!Y25+Data!Z25+Data!AA25+Data!Y26+Data!Z26+Data!AA26+Data!Y27+Data!Z27+Data!AA27+Data!Y28+Data!Z28+Data!AA28+Data!Y29+Data!Z29+Data!AA29+Data!Y30+Data!Z30+Data!AA30+Data!Y31+Data!Z31+Data!AA31+Data!Y32+Data!Z32+Data!AA32+Data!Y33+Data!Z33+Data!AA33+Data!Y34+Data!Z34+Data!AA34</f>
        <v>215086</v>
      </c>
      <c r="U34" s="16" t="n">
        <f aca="false">Data!Y23+Data!Y24+Data!Y25+Data!Y26+Data!Y27+Data!Y28+Data!Y29+Data!Y30+Data!Y31+Data!Y32+Data!Y33+Data!Y34</f>
        <v>115884</v>
      </c>
      <c r="V34" s="16" t="n">
        <f aca="false">Data!Z23+Data!Z24+Data!Z25+Data!Z26+Data!Z27+Data!Z28+Data!Z29+Data!Z30+Data!Z31+Data!Z32+Data!Z33+Data!Z34</f>
        <v>91273</v>
      </c>
      <c r="W34" s="16" t="n">
        <f aca="false">Data!AB23+Data!AB24+Data!AB25+Data!AB26+Data!AB27+Data!AB28+Data!AB29+Data!AB30+Data!AB31+Data!AB32+Data!AB33+Data!AB34</f>
        <v>351698</v>
      </c>
      <c r="X34" s="16" t="n">
        <f aca="false">Data!AC23+Data!AC24+Data!AC25+Data!AC26+Data!AC27+Data!AC28+Data!AC29+Data!AC30+Data!AC31+Data!AC32+Data!AC33+Data!AC34</f>
        <v>113077</v>
      </c>
      <c r="Y34" s="16" t="n">
        <f aca="false">Data!AD23+Data!AE23+Data!AF23+Data!AG23+Data!AH23+Data!AD24+Data!AE24+Data!AF24+Data!AG24+Data!AH24+Data!AD25+Data!AE25+Data!AF25+Data!AG25+Data!AH25+Data!AD26+Data!AE26+Data!AF26+Data!AG26+Data!AH26+Data!AD27+Data!AE27+Data!AF27+Data!AG27+Data!AH27+Data!AD28+Data!AE28+Data!AF28+Data!AG28+Data!AH28+Data!AD29+Data!AE29+Data!AF29+Data!AG29+Data!AH29+Data!AD30+Data!AE30+Data!AF30+Data!AG30+Data!AH30+Data!AD31+Data!AE31+Data!AF31+Data!AG31+Data!AH31+Data!AD32+Data!AE32+Data!AF32+Data!AG32+Data!AH32+Data!AD33+Data!AE33+Data!AF33+Data!AG33+Data!AH33+Data!AD34+Data!AE34+Data!AF34+Data!AG34+Data!AH34</f>
        <v>82556</v>
      </c>
      <c r="Z34" s="16" t="n">
        <f aca="false">Data!AI23+Data!AI24+Data!AI25+Data!AI26+Data!AI27+Data!AI28+Data!AI29+Data!AI30+Data!AI31+Data!AI32+Data!AI33+Data!AI34</f>
        <v>91140</v>
      </c>
      <c r="AA34" s="16" t="n">
        <f aca="false">Data!AJ23+Data!AJ24+Data!AJ25+Data!AJ26+Data!AJ27+Data!AJ28+Data!AJ29+Data!AJ30+Data!AJ31+Data!AJ32+Data!AJ33+Data!AJ34</f>
        <v>9671</v>
      </c>
      <c r="AB34" s="16" t="n">
        <f aca="false">Data!AK23+Data!AK24+Data!AK25+Data!AK26+Data!AK27+Data!AK28+Data!AK29+Data!AK30+Data!AK31+Data!AK32+Data!AK33+Data!AK34</f>
        <v>49761</v>
      </c>
      <c r="AC34" s="16" t="n">
        <f aca="false">Data!AL23+Data!AL24+Data!AL25+Data!AL26+Data!AL27+Data!AL28+Data!AL29+Data!AL30+Data!AL31+Data!AL32+Data!AL33+Data!AL34</f>
        <v>191132</v>
      </c>
      <c r="AD34" s="15" t="n">
        <f aca="false">Data!AM23+Data!AM24+Data!AM25+Data!AM26+Data!AM27+Data!AM28+Data!AM29+Data!AM30+Data!AM31+Data!AM32+Data!AM33+Data!AM34</f>
        <v>-385478</v>
      </c>
      <c r="AE34" s="16" t="n">
        <f aca="false">Data!AN23+Data!AN24+Data!AN25+Data!AN26+Data!AN27+Data!AN28+Data!AN29+Data!AN30+Data!AN31+Data!AN32+Data!AN33+Data!AN34</f>
        <v>258906</v>
      </c>
      <c r="AF34" s="15" t="n">
        <f aca="false">Data!AO23+Data!AO24+Data!AO25+Data!AO26+Data!AO27+Data!AO28+Data!AO29+Data!AO30+Data!AO31+Data!AO32+Data!AO33+Data!AO34</f>
        <v>-644383</v>
      </c>
    </row>
    <row r="35" customFormat="false" ht="15" hidden="false" customHeight="false" outlineLevel="0" collapsed="false">
      <c r="B35" s="14" t="str">
        <f aca="false">Data!B35</f>
        <v>2018-05</v>
      </c>
      <c r="C35" s="15" t="n">
        <f aca="false">Data!D24+Data!E24+Data!F24+Data!G24+Data!H24+Data!I24+Data!J24+Data!K24+Data!L24+Data!M24+Data!N24+Data!O24+Data!P24+Data!Q24+Data!R24+Data!S24+Data!D25+Data!E25+Data!F25+Data!G25+Data!H25+Data!I25+Data!J25+Data!K25+Data!L25+Data!M25+Data!N25+Data!O25+Data!P25+Data!Q25+Data!R25+Data!S25+Data!D26+Data!E26+Data!F26+Data!G26+Data!H26+Data!I26+Data!J26+Data!K26+Data!L26+Data!M26+Data!N26+Data!O26+Data!P26+Data!Q26+Data!R26+Data!S26+Data!D27+Data!E27+Data!F27+Data!G27+Data!H27+Data!I27+Data!J27+Data!K27+Data!L27+Data!M27+Data!N27+Data!O27+Data!P27+Data!Q27+Data!R27+Data!S27+Data!D28+Data!E28+Data!F28+Data!G28+Data!H28+Data!I28+Data!J28+Data!K28+Data!L28+Data!M28+Data!N28+Data!O28+Data!P28+Data!Q28+Data!R28+Data!S28+Data!D29+Data!E29+Data!F29+Data!G29+Data!H29+Data!I29+Data!J29+Data!K29+Data!L29+Data!M29+Data!N29+Data!O29+Data!P29+Data!Q29+Data!R29+Data!S29+Data!D30+Data!E30+Data!F30+Data!G30+Data!H30+Data!I30+Data!J30+Data!K30+Data!L30+Data!M30+Data!N30+Data!O30+Data!P30+Data!Q30+Data!R30+Data!S30+Data!D31+Data!E31+Data!F31+Data!G31+Data!H31+Data!I31+Data!J31+Data!K31+Data!L31+Data!M31+Data!N31+Data!O31+Data!P31+Data!Q31+Data!R31+Data!S31+Data!D32+Data!E32+Data!F32+Data!G32+Data!H32+Data!I32+Data!J32+Data!K32+Data!L32+Data!M32+Data!N32+Data!O32+Data!P32+Data!Q32+Data!R32+Data!S32+Data!D33+Data!E33+Data!F33+Data!G33+Data!H33+Data!I33+Data!J33+Data!K33+Data!L33+Data!M33+Data!N33+Data!O33+Data!P33+Data!Q33+Data!R33+Data!S33+Data!D34+Data!E34+Data!F34+Data!G34+Data!H34+Data!I34+Data!J34+Data!K34+Data!L34+Data!M34+Data!N34+Data!O34+Data!P34+Data!Q34+Data!R34+Data!S34+Data!D35+Data!E35+Data!F35+Data!G35+Data!H35+Data!I35+Data!J35+Data!K35+Data!L35+Data!M35+Data!N35+Data!O35+Data!P35+Data!Q35+Data!R35+Data!S35</f>
        <v>2188334</v>
      </c>
      <c r="D35" s="16" t="n">
        <f aca="false">Data!D24+Data!E24+Data!G24+Data!H24+Data!I24+Data!J24+Data!K24+Data!L24+Data!M24+Data!D25+Data!E25+Data!G25+Data!H25+Data!I25+Data!J25+Data!K25+Data!L25+Data!M25+Data!D26+Data!E26+Data!G26+Data!H26+Data!I26+Data!J26+Data!K26+Data!L26+Data!M26+Data!D27+Data!E27+Data!G27+Data!H27+Data!I27+Data!J27+Data!K27+Data!L27+Data!M27+Data!D28+Data!E28+Data!G28+Data!H28+Data!I28+Data!J28+Data!K28+Data!L28+Data!M28+Data!D29+Data!E29+Data!G29+Data!H29+Data!I29+Data!J29+Data!K29+Data!L29+Data!M29+Data!D30+Data!E30+Data!G30+Data!H30+Data!I30+Data!J30+Data!K30+Data!L30+Data!M30+Data!D31+Data!E31+Data!G31+Data!H31+Data!I31+Data!J31+Data!K31+Data!L31+Data!M31+Data!D32+Data!E32+Data!G32+Data!H32+Data!I32+Data!J32+Data!K32+Data!L32+Data!M32+Data!D33+Data!E33+Data!G33+Data!H33+Data!I33+Data!J33+Data!K33+Data!L33+Data!M33+Data!D34+Data!E34+Data!G34+Data!H34+Data!I34+Data!J34+Data!K34+Data!L34+Data!M34+Data!D35+Data!E35+Data!G35+Data!H35+Data!I35+Data!J35+Data!K35+Data!L35+Data!M35</f>
        <v>1183940</v>
      </c>
      <c r="E35" s="16" t="n">
        <f aca="false">Data!D24+Data!D25+Data!D26+Data!D27+Data!D28+Data!D29+Data!D30+Data!D31+Data!D32+Data!D33+Data!D34+Data!D35</f>
        <v>406525</v>
      </c>
      <c r="F35" s="16" t="n">
        <f aca="false">Data!E24+Data!E25+Data!E26+Data!E27+Data!E28+Data!E29+Data!E30+Data!E31+Data!E32+Data!E33+Data!E34+Data!E35</f>
        <v>278849</v>
      </c>
      <c r="G35" s="16" t="n">
        <f aca="false">Data!K24+Data!K25+Data!K26+Data!K27+Data!K28+Data!K29+Data!K30+Data!K31+Data!K32+Data!K33+Data!K34+Data!K35</f>
        <v>59536</v>
      </c>
      <c r="H35" s="16" t="n">
        <f aca="false">Data!L24+Data!L25+Data!L26+Data!L27+Data!L28+Data!L29+Data!L30+Data!L31+Data!L32+Data!L33+Data!L34+Data!L35</f>
        <v>79402</v>
      </c>
      <c r="I35" s="16" t="n">
        <f aca="false">Data!G24+Data!G25+Data!G26+Data!G27+Data!G28+Data!G29+Data!G30+Data!G31+Data!G32+Data!G33+Data!G34+Data!G35</f>
        <v>171811</v>
      </c>
      <c r="J35" s="16" t="n">
        <f aca="false">Data!H24+Data!I24+Data!J24+Data!M24+Data!H25+Data!I25+Data!J25+Data!M25+Data!H26+Data!I26+Data!J26+Data!M26+Data!H27+Data!I27+Data!J27+Data!M27+Data!H28+Data!I28+Data!J28+Data!M28+Data!H29+Data!I29+Data!J29+Data!M29+Data!H30+Data!I30+Data!J30+Data!M30+Data!H31+Data!I31+Data!J31+Data!M31+Data!H32+Data!I32+Data!J32+Data!M32+Data!H33+Data!I33+Data!J33+Data!M33+Data!H34+Data!I34+Data!J34+Data!M34+Data!H35+Data!I35+Data!J35+Data!M35</f>
        <v>187817</v>
      </c>
      <c r="K35" s="16" t="n">
        <f aca="false">Data!F24+Data!F25+Data!F26+Data!F27+Data!F28+Data!F29+Data!F30+Data!F31+Data!F32+Data!F33+Data!F34+Data!F35</f>
        <v>803892</v>
      </c>
      <c r="L35" s="16" t="n">
        <f aca="false">Data!N24+Data!O24+Data!P24+Data!Q24+Data!R24+Data!S24+Data!N25+Data!O25+Data!P25+Data!Q25+Data!R25+Data!S25+Data!N26+Data!O26+Data!P26+Data!Q26+Data!R26+Data!S26+Data!N27+Data!O27+Data!P27+Data!Q27+Data!R27+Data!S27+Data!N28+Data!O28+Data!P28+Data!Q28+Data!R28+Data!S28+Data!N29+Data!O29+Data!P29+Data!Q29+Data!R29+Data!S29+Data!N30+Data!O30+Data!P30+Data!Q30+Data!R30+Data!S30+Data!N31+Data!O31+Data!P31+Data!Q31+Data!R31+Data!S31+Data!N32+Data!O32+Data!P32+Data!Q32+Data!R32+Data!S32+Data!N33+Data!O33+Data!P33+Data!Q33+Data!R33+Data!S33+Data!N34+Data!O34+Data!P34+Data!Q34+Data!R34+Data!S34+Data!N35+Data!O35+Data!P35+Data!Q35+Data!R35+Data!S35</f>
        <v>200502</v>
      </c>
      <c r="M35" s="15" t="n">
        <f aca="false">Data!T24+Data!U24+Data!V24+Data!W24+Data!X24+Data!Y24+Data!Z24+Data!AA24+Data!AB24+Data!AC24+Data!AD24+Data!AE24+Data!AF24+Data!AG24+Data!AH24+Data!AI24+Data!AJ24+Data!AK24+Data!AL24+Data!T25+Data!U25+Data!V25+Data!W25+Data!X25+Data!Y25+Data!Z25+Data!AA25+Data!AB25+Data!AC25+Data!AD25+Data!AE25+Data!AF25+Data!AG25+Data!AH25+Data!AI25+Data!AJ25+Data!AK25+Data!AL25+Data!T26+Data!U26+Data!V26+Data!W26+Data!X26+Data!Y26+Data!Z26+Data!AA26+Data!AB26+Data!AC26+Data!AD26+Data!AE26+Data!AF26+Data!AG26+Data!AH26+Data!AI26+Data!AJ26+Data!AK26+Data!AL26+Data!T27+Data!U27+Data!V27+Data!W27+Data!X27+Data!Y27+Data!Z27+Data!AA27+Data!AB27+Data!AC27+Data!AD27+Data!AE27+Data!AF27+Data!AG27+Data!AH27+Data!AI27+Data!AJ27+Data!AK27+Data!AL27+Data!T28+Data!U28+Data!V28+Data!W28+Data!X28+Data!Y28+Data!Z28+Data!AA28+Data!AB28+Data!AC28+Data!AD28+Data!AE28+Data!AF28+Data!AG28+Data!AH28+Data!AI28+Data!AJ28+Data!AK28+Data!AL28+Data!T29+Data!U29+Data!V29+Data!W29+Data!X29+Data!Y29+Data!Z29+Data!AA29+Data!AB29+Data!AC29+Data!AD29+Data!AE29+Data!AF29+Data!AG29+Data!AH29+Data!AI29+Data!AJ29+Data!AK29+Data!AL29+Data!T30+Data!U30+Data!V30+Data!W30+Data!X30+Data!Y30+Data!Z30+Data!AA30+Data!AB30+Data!AC30+Data!AD30+Data!AE30+Data!AF30+Data!AG30+Data!AH30+Data!AI30+Data!AJ30+Data!AK30+Data!AL30+Data!T31+Data!U31+Data!V31+Data!W31+Data!X31+Data!Y31+Data!Z31+Data!AA31+Data!AB31+Data!AC31+Data!AD31+Data!AE31+Data!AF31+Data!AG31+Data!AH31+Data!AI31+Data!AJ31+Data!AK31+Data!AL31+Data!T32+Data!U32+Data!V32+Data!W32+Data!X32+Data!Y32+Data!Z32+Data!AA32+Data!AB32+Data!AC32+Data!AD32+Data!AE32+Data!AF32+Data!AG32+Data!AH32+Data!AI32+Data!AJ32+Data!AK32+Data!AL32+Data!T33+Data!U33+Data!V33+Data!W33+Data!X33+Data!Y33+Data!Z33+Data!AA33+Data!AB33+Data!AC33+Data!AD33+Data!AE33+Data!AF33+Data!AG33+Data!AH33+Data!AI33+Data!AJ33+Data!AK33+Data!AL33+Data!T34+Data!U34+Data!V34+Data!W34+Data!X34+Data!Y34+Data!Z34+Data!AA34+Data!AB34+Data!AC34+Data!AD34+Data!AE34+Data!AF34+Data!AG34+Data!AH34+Data!AI34+Data!AJ34+Data!AK34+Data!AL34+Data!T35+Data!U35+Data!V35+Data!W35+Data!X35+Data!Y35+Data!Z35+Data!AA35+Data!AB35+Data!AC35+Data!AD35+Data!AE35+Data!AF35+Data!AG35+Data!AH35+Data!AI35+Data!AJ35+Data!AK35+Data!AL35</f>
        <v>2554391</v>
      </c>
      <c r="N35" s="16" t="n">
        <f aca="false">Data!T24+Data!U24+Data!V24+Data!W24+Data!T25+Data!U25+Data!V25+Data!W25+Data!T26+Data!U26+Data!V26+Data!W26+Data!T27+Data!U27+Data!V27+Data!W27+Data!T28+Data!U28+Data!V28+Data!W28+Data!T29+Data!U29+Data!V29+Data!W29+Data!T30+Data!U30+Data!V30+Data!W30+Data!T31+Data!U31+Data!V31+Data!W31+Data!T32+Data!U32+Data!V32+Data!W32+Data!T33+Data!U33+Data!V33+Data!W33+Data!T34+Data!U34+Data!V34+Data!W34+Data!T35+Data!U35+Data!V35+Data!W35</f>
        <v>1395255</v>
      </c>
      <c r="O35" s="16" t="n">
        <f aca="false">Data!T24+Data!T25+Data!T26+Data!T27+Data!T28+Data!T29+Data!T30+Data!T31+Data!T32+Data!T33+Data!T34+Data!T35</f>
        <v>1022881</v>
      </c>
      <c r="P35" s="16" t="n">
        <f aca="false">Data!U24+Data!U25+Data!U26+Data!U27+Data!U28+Data!U29+Data!U30+Data!U31+Data!U32+Data!U33+Data!U34+Data!U35</f>
        <v>155134</v>
      </c>
      <c r="Q35" s="16" t="n">
        <f aca="false">Data!V24+Data!V25+Data!V26+Data!V27+Data!V28+Data!V29+Data!V30+Data!V31+Data!V32+Data!V33+Data!V34+Data!V35</f>
        <v>103719</v>
      </c>
      <c r="R35" s="16" t="n">
        <f aca="false">Data!W24+Data!W25+Data!W26+Data!W27+Data!W28+Data!W29+Data!W30+Data!W31+Data!W32+Data!W33+Data!W34+Data!W35</f>
        <v>113521</v>
      </c>
      <c r="S35" s="16" t="n">
        <f aca="false">Data!X24+Data!X25+Data!X26+Data!X27+Data!X28+Data!X29+Data!X30+Data!X31+Data!X32+Data!X33+Data!X34+Data!X35</f>
        <v>46561</v>
      </c>
      <c r="T35" s="16" t="n">
        <f aca="false">Data!Y24+Data!Z24+Data!AA24+Data!Y25+Data!Z25+Data!AA25+Data!Y26+Data!Z26+Data!AA26+Data!Y27+Data!Z27+Data!AA27+Data!Y28+Data!Z28+Data!AA28+Data!Y29+Data!Z29+Data!AA29+Data!Y30+Data!Z30+Data!AA30+Data!Y31+Data!Z31+Data!AA31+Data!Y32+Data!Z32+Data!AA32+Data!Y33+Data!Z33+Data!AA33+Data!Y34+Data!Z34+Data!AA34+Data!Y35+Data!Z35+Data!AA35</f>
        <v>218892</v>
      </c>
      <c r="U35" s="16" t="n">
        <f aca="false">Data!Y24+Data!Y25+Data!Y26+Data!Y27+Data!Y28+Data!Y29+Data!Y30+Data!Y31+Data!Y32+Data!Y33+Data!Y34+Data!Y35</f>
        <v>120242</v>
      </c>
      <c r="V35" s="16" t="n">
        <f aca="false">Data!Z24+Data!Z25+Data!Z26+Data!Z27+Data!Z28+Data!Z29+Data!Z30+Data!Z31+Data!Z32+Data!Z33+Data!Z34+Data!Z35</f>
        <v>91795</v>
      </c>
      <c r="W35" s="16" t="n">
        <f aca="false">Data!AB24+Data!AB25+Data!AB26+Data!AB27+Data!AB28+Data!AB29+Data!AB30+Data!AB31+Data!AB32+Data!AB33+Data!AB34+Data!AB35</f>
        <v>356527</v>
      </c>
      <c r="X35" s="16" t="n">
        <f aca="false">Data!AC24+Data!AC25+Data!AC26+Data!AC27+Data!AC28+Data!AC29+Data!AC30+Data!AC31+Data!AC32+Data!AC33+Data!AC34+Data!AC35</f>
        <v>114192</v>
      </c>
      <c r="Y35" s="16" t="n">
        <f aca="false">Data!AD24+Data!AE24+Data!AF24+Data!AG24+Data!AH24+Data!AD25+Data!AE25+Data!AF25+Data!AG25+Data!AH25+Data!AD26+Data!AE26+Data!AF26+Data!AG26+Data!AH26+Data!AD27+Data!AE27+Data!AF27+Data!AG27+Data!AH27+Data!AD28+Data!AE28+Data!AF28+Data!AG28+Data!AH28+Data!AD29+Data!AE29+Data!AF29+Data!AG29+Data!AH29+Data!AD30+Data!AE30+Data!AF30+Data!AG30+Data!AH30+Data!AD31+Data!AE31+Data!AF31+Data!AG31+Data!AH31+Data!AD32+Data!AE32+Data!AF32+Data!AG32+Data!AH32+Data!AD33+Data!AE33+Data!AF33+Data!AG33+Data!AH33+Data!AD34+Data!AE34+Data!AF34+Data!AG34+Data!AH34+Data!AD35+Data!AE35+Data!AF35+Data!AG35+Data!AH35</f>
        <v>81186</v>
      </c>
      <c r="Z35" s="16" t="n">
        <f aca="false">Data!AI24+Data!AI25+Data!AI26+Data!AI27+Data!AI28+Data!AI29+Data!AI30+Data!AI31+Data!AI32+Data!AI33+Data!AI34+Data!AI35</f>
        <v>92498</v>
      </c>
      <c r="AA35" s="16" t="n">
        <f aca="false">Data!AJ24+Data!AJ25+Data!AJ26+Data!AJ27+Data!AJ28+Data!AJ29+Data!AJ30+Data!AJ31+Data!AJ32+Data!AJ33+Data!AJ34+Data!AJ35</f>
        <v>9633</v>
      </c>
      <c r="AB35" s="16" t="n">
        <f aca="false">Data!AK24+Data!AK25+Data!AK26+Data!AK27+Data!AK28+Data!AK29+Data!AK30+Data!AK31+Data!AK32+Data!AK33+Data!AK34+Data!AK35</f>
        <v>50442</v>
      </c>
      <c r="AC35" s="16" t="n">
        <f aca="false">Data!AL24+Data!AL25+Data!AL26+Data!AL27+Data!AL28+Data!AL29+Data!AL30+Data!AL31+Data!AL32+Data!AL33+Data!AL34+Data!AL35</f>
        <v>189205</v>
      </c>
      <c r="AD35" s="15" t="n">
        <f aca="false">Data!AM24+Data!AM25+Data!AM26+Data!AM27+Data!AM28+Data!AM29+Data!AM30+Data!AM31+Data!AM32+Data!AM33+Data!AM34+Data!AM35</f>
        <v>-366057</v>
      </c>
      <c r="AE35" s="16" t="n">
        <f aca="false">Data!AN24+Data!AN25+Data!AN26+Data!AN27+Data!AN28+Data!AN29+Data!AN30+Data!AN31+Data!AN32+Data!AN33+Data!AN34+Data!AN35</f>
        <v>261621</v>
      </c>
      <c r="AF35" s="15" t="n">
        <f aca="false">Data!AO24+Data!AO25+Data!AO26+Data!AO27+Data!AO28+Data!AO29+Data!AO30+Data!AO31+Data!AO32+Data!AO33+Data!AO34+Data!AO35</f>
        <v>-627677</v>
      </c>
    </row>
    <row r="36" customFormat="false" ht="15" hidden="false" customHeight="false" outlineLevel="0" collapsed="false">
      <c r="B36" s="14" t="str">
        <f aca="false">Data!B36</f>
        <v>2018-06</v>
      </c>
      <c r="C36" s="15" t="n">
        <f aca="false">Data!D25+Data!E25+Data!F25+Data!G25+Data!H25+Data!I25+Data!J25+Data!K25+Data!L25+Data!M25+Data!N25+Data!O25+Data!P25+Data!Q25+Data!R25+Data!S25+Data!D26+Data!E26+Data!F26+Data!G26+Data!H26+Data!I26+Data!J26+Data!K26+Data!L26+Data!M26+Data!N26+Data!O26+Data!P26+Data!Q26+Data!R26+Data!S26+Data!D27+Data!E27+Data!F27+Data!G27+Data!H27+Data!I27+Data!J27+Data!K27+Data!L27+Data!M27+Data!N27+Data!O27+Data!P27+Data!Q27+Data!R27+Data!S27+Data!D28+Data!E28+Data!F28+Data!G28+Data!H28+Data!I28+Data!J28+Data!K28+Data!L28+Data!M28+Data!N28+Data!O28+Data!P28+Data!Q28+Data!R28+Data!S28+Data!D29+Data!E29+Data!F29+Data!G29+Data!H29+Data!I29+Data!J29+Data!K29+Data!L29+Data!M29+Data!N29+Data!O29+Data!P29+Data!Q29+Data!R29+Data!S29+Data!D30+Data!E30+Data!F30+Data!G30+Data!H30+Data!I30+Data!J30+Data!K30+Data!L30+Data!M30+Data!N30+Data!O30+Data!P30+Data!Q30+Data!R30+Data!S30+Data!D31+Data!E31+Data!F31+Data!G31+Data!H31+Data!I31+Data!J31+Data!K31+Data!L31+Data!M31+Data!N31+Data!O31+Data!P31+Data!Q31+Data!R31+Data!S31+Data!D32+Data!E32+Data!F32+Data!G32+Data!H32+Data!I32+Data!J32+Data!K32+Data!L32+Data!M32+Data!N32+Data!O32+Data!P32+Data!Q32+Data!R32+Data!S32+Data!D33+Data!E33+Data!F33+Data!G33+Data!H33+Data!I33+Data!J33+Data!K33+Data!L33+Data!M33+Data!N33+Data!O33+Data!P33+Data!Q33+Data!R33+Data!S33+Data!D34+Data!E34+Data!F34+Data!G34+Data!H34+Data!I34+Data!J34+Data!K34+Data!L34+Data!M34+Data!N34+Data!O34+Data!P34+Data!Q34+Data!R34+Data!S34+Data!D35+Data!E35+Data!F35+Data!G35+Data!H35+Data!I35+Data!J35+Data!K35+Data!L35+Data!M35+Data!N35+Data!O35+Data!P35+Data!Q35+Data!R35+Data!S35+Data!D36+Data!E36+Data!F36+Data!G36+Data!H36+Data!I36+Data!J36+Data!K36+Data!L36+Data!M36+Data!N36+Data!O36+Data!P36+Data!Q36+Data!R36+Data!S36</f>
        <v>2247268</v>
      </c>
      <c r="D36" s="16" t="n">
        <f aca="false">Data!D25+Data!E25+Data!G25+Data!H25+Data!I25+Data!J25+Data!K25+Data!L25+Data!M25+Data!D26+Data!E26+Data!G26+Data!H26+Data!I26+Data!J26+Data!K26+Data!L26+Data!M26+Data!D27+Data!E27+Data!G27+Data!H27+Data!I27+Data!J27+Data!K27+Data!L27+Data!M27+Data!D28+Data!E28+Data!G28+Data!H28+Data!I28+Data!J28+Data!K28+Data!L28+Data!M28+Data!D29+Data!E29+Data!G29+Data!H29+Data!I29+Data!J29+Data!K29+Data!L29+Data!M29+Data!D30+Data!E30+Data!G30+Data!H30+Data!I30+Data!J30+Data!K30+Data!L30+Data!M30+Data!D31+Data!E31+Data!G31+Data!H31+Data!I31+Data!J31+Data!K31+Data!L31+Data!M31+Data!D32+Data!E32+Data!G32+Data!H32+Data!I32+Data!J32+Data!K32+Data!L32+Data!M32+Data!D33+Data!E33+Data!G33+Data!H33+Data!I33+Data!J33+Data!K33+Data!L33+Data!M33+Data!D34+Data!E34+Data!G34+Data!H34+Data!I34+Data!J34+Data!K34+Data!L34+Data!M34+Data!D35+Data!E35+Data!G35+Data!H35+Data!I35+Data!J35+Data!K35+Data!L35+Data!M35+Data!D36+Data!E36+Data!G36+Data!H36+Data!I36+Data!J36+Data!K36+Data!L36+Data!M36</f>
        <v>1219309</v>
      </c>
      <c r="E36" s="16" t="n">
        <f aca="false">Data!D25+Data!D26+Data!D27+Data!D28+Data!D29+Data!D30+Data!D31+Data!D32+Data!D33+Data!D34+Data!D35+Data!D36</f>
        <v>420168</v>
      </c>
      <c r="F36" s="16" t="n">
        <f aca="false">Data!E25+Data!E26+Data!E27+Data!E28+Data!E29+Data!E30+Data!E31+Data!E32+Data!E33+Data!E34+Data!E35+Data!E36</f>
        <v>285235</v>
      </c>
      <c r="G36" s="16" t="n">
        <f aca="false">Data!K25+Data!K26+Data!K27+Data!K28+Data!K29+Data!K30+Data!K31+Data!K32+Data!K33+Data!K34+Data!K35+Data!K36</f>
        <v>62412</v>
      </c>
      <c r="H36" s="16" t="n">
        <f aca="false">Data!L25+Data!L26+Data!L27+Data!L28+Data!L29+Data!L30+Data!L31+Data!L32+Data!L33+Data!L34+Data!L35+Data!L36</f>
        <v>82506</v>
      </c>
      <c r="I36" s="16" t="n">
        <f aca="false">Data!G25+Data!G26+Data!G27+Data!G28+Data!G29+Data!G30+Data!G31+Data!G32+Data!G33+Data!G34+Data!G35+Data!G36</f>
        <v>179451</v>
      </c>
      <c r="J36" s="16" t="n">
        <f aca="false">Data!H25+Data!I25+Data!J25+Data!M25+Data!H26+Data!I26+Data!J26+Data!M26+Data!H27+Data!I27+Data!J27+Data!M27+Data!H28+Data!I28+Data!J28+Data!M28+Data!H29+Data!I29+Data!J29+Data!M29+Data!H30+Data!I30+Data!J30+Data!M30+Data!H31+Data!I31+Data!J31+Data!M31+Data!H32+Data!I32+Data!J32+Data!M32+Data!H33+Data!I33+Data!J33+Data!M33+Data!H34+Data!I34+Data!J34+Data!M34+Data!H35+Data!I35+Data!J35+Data!M35+Data!H36+Data!I36+Data!J36+Data!M36</f>
        <v>189537</v>
      </c>
      <c r="K36" s="16" t="n">
        <f aca="false">Data!F25+Data!F26+Data!F27+Data!F28+Data!F29+Data!F30+Data!F31+Data!F32+Data!F33+Data!F34+Data!F35+Data!F36</f>
        <v>820806</v>
      </c>
      <c r="L36" s="16" t="n">
        <f aca="false">Data!N25+Data!O25+Data!P25+Data!Q25+Data!R25+Data!S25+Data!N26+Data!O26+Data!P26+Data!Q26+Data!R26+Data!S26+Data!N27+Data!O27+Data!P27+Data!Q27+Data!R27+Data!S27+Data!N28+Data!O28+Data!P28+Data!Q28+Data!R28+Data!S28+Data!N29+Data!O29+Data!P29+Data!Q29+Data!R29+Data!S29+Data!N30+Data!O30+Data!P30+Data!Q30+Data!R30+Data!S30+Data!N31+Data!O31+Data!P31+Data!Q31+Data!R31+Data!S31+Data!N32+Data!O32+Data!P32+Data!Q32+Data!R32+Data!S32+Data!N33+Data!O33+Data!P33+Data!Q33+Data!R33+Data!S33+Data!N34+Data!O34+Data!P34+Data!Q34+Data!R34+Data!S34+Data!N35+Data!O35+Data!P35+Data!Q35+Data!R35+Data!S35+Data!N36+Data!O36+Data!P36+Data!Q36+Data!R36+Data!S36</f>
        <v>207153</v>
      </c>
      <c r="M36" s="15" t="n">
        <f aca="false">Data!T25+Data!U25+Data!V25+Data!W25+Data!X25+Data!Y25+Data!Z25+Data!AA25+Data!AB25+Data!AC25+Data!AD25+Data!AE25+Data!AF25+Data!AG25+Data!AH25+Data!AI25+Data!AJ25+Data!AK25+Data!AL25+Data!T26+Data!U26+Data!V26+Data!W26+Data!X26+Data!Y26+Data!Z26+Data!AA26+Data!AB26+Data!AC26+Data!AD26+Data!AE26+Data!AF26+Data!AG26+Data!AH26+Data!AI26+Data!AJ26+Data!AK26+Data!AL26+Data!T27+Data!U27+Data!V27+Data!W27+Data!X27+Data!Y27+Data!Z27+Data!AA27+Data!AB27+Data!AC27+Data!AD27+Data!AE27+Data!AF27+Data!AG27+Data!AH27+Data!AI27+Data!AJ27+Data!AK27+Data!AL27+Data!T28+Data!U28+Data!V28+Data!W28+Data!X28+Data!Y28+Data!Z28+Data!AA28+Data!AB28+Data!AC28+Data!AD28+Data!AE28+Data!AF28+Data!AG28+Data!AH28+Data!AI28+Data!AJ28+Data!AK28+Data!AL28+Data!T29+Data!U29+Data!V29+Data!W29+Data!X29+Data!Y29+Data!Z29+Data!AA29+Data!AB29+Data!AC29+Data!AD29+Data!AE29+Data!AF29+Data!AG29+Data!AH29+Data!AI29+Data!AJ29+Data!AK29+Data!AL29+Data!T30+Data!U30+Data!V30+Data!W30+Data!X30+Data!Y30+Data!Z30+Data!AA30+Data!AB30+Data!AC30+Data!AD30+Data!AE30+Data!AF30+Data!AG30+Data!AH30+Data!AI30+Data!AJ30+Data!AK30+Data!AL30+Data!T31+Data!U31+Data!V31+Data!W31+Data!X31+Data!Y31+Data!Z31+Data!AA31+Data!AB31+Data!AC31+Data!AD31+Data!AE31+Data!AF31+Data!AG31+Data!AH31+Data!AI31+Data!AJ31+Data!AK31+Data!AL31+Data!T32+Data!U32+Data!V32+Data!W32+Data!X32+Data!Y32+Data!Z32+Data!AA32+Data!AB32+Data!AC32+Data!AD32+Data!AE32+Data!AF32+Data!AG32+Data!AH32+Data!AI32+Data!AJ32+Data!AK32+Data!AL32+Data!T33+Data!U33+Data!V33+Data!W33+Data!X33+Data!Y33+Data!Z33+Data!AA33+Data!AB33+Data!AC33+Data!AD33+Data!AE33+Data!AF33+Data!AG33+Data!AH33+Data!AI33+Data!AJ33+Data!AK33+Data!AL33+Data!T34+Data!U34+Data!V34+Data!W34+Data!X34+Data!Y34+Data!Z34+Data!AA34+Data!AB34+Data!AC34+Data!AD34+Data!AE34+Data!AF34+Data!AG34+Data!AH34+Data!AI34+Data!AJ34+Data!AK34+Data!AL34+Data!T35+Data!U35+Data!V35+Data!W35+Data!X35+Data!Y35+Data!Z35+Data!AA35+Data!AB35+Data!AC35+Data!AD35+Data!AE35+Data!AF35+Data!AG35+Data!AH35+Data!AI35+Data!AJ35+Data!AK35+Data!AL35+Data!T36+Data!U36+Data!V36+Data!W36+Data!X36+Data!Y36+Data!Z36+Data!AA36+Data!AB36+Data!AC36+Data!AD36+Data!AE36+Data!AF36+Data!AG36+Data!AH36+Data!AI36+Data!AJ36+Data!AK36+Data!AL36</f>
        <v>2612950</v>
      </c>
      <c r="N36" s="16" t="n">
        <f aca="false">Data!T25+Data!U25+Data!V25+Data!W25+Data!T26+Data!U26+Data!V26+Data!W26+Data!T27+Data!U27+Data!V27+Data!W27+Data!T28+Data!U28+Data!V28+Data!W28+Data!T29+Data!U29+Data!V29+Data!W29+Data!T30+Data!U30+Data!V30+Data!W30+Data!T31+Data!U31+Data!V31+Data!W31+Data!T32+Data!U32+Data!V32+Data!W32+Data!T33+Data!U33+Data!V33+Data!W33+Data!T34+Data!U34+Data!V34+Data!W34+Data!T35+Data!U35+Data!V35+Data!W35+Data!T36+Data!U36+Data!V36+Data!W36</f>
        <v>1434056</v>
      </c>
      <c r="O36" s="16" t="n">
        <f aca="false">Data!T25+Data!T26+Data!T27+Data!T28+Data!T29+Data!T30+Data!T31+Data!T32+Data!T33+Data!T34+Data!T35+Data!T36</f>
        <v>1054400</v>
      </c>
      <c r="P36" s="16" t="n">
        <f aca="false">Data!U25+Data!U26+Data!U27+Data!U28+Data!U29+Data!U30+Data!U31+Data!U32+Data!U33+Data!U34+Data!U35+Data!U36</f>
        <v>157154</v>
      </c>
      <c r="Q36" s="16" t="n">
        <f aca="false">Data!V25+Data!V26+Data!V27+Data!V28+Data!V29+Data!V30+Data!V31+Data!V32+Data!V33+Data!V34+Data!V35+Data!V36</f>
        <v>105924</v>
      </c>
      <c r="R36" s="16" t="n">
        <f aca="false">Data!W25+Data!W26+Data!W27+Data!W28+Data!W29+Data!W30+Data!W31+Data!W32+Data!W33+Data!W34+Data!W35+Data!W36</f>
        <v>116578</v>
      </c>
      <c r="S36" s="16" t="n">
        <f aca="false">Data!X25+Data!X26+Data!X27+Data!X28+Data!X29+Data!X30+Data!X31+Data!X32+Data!X33+Data!X34+Data!X35+Data!X36</f>
        <v>46550</v>
      </c>
      <c r="T36" s="16" t="n">
        <f aca="false">Data!Y25+Data!Z25+Data!AA25+Data!Y26+Data!Z26+Data!AA26+Data!Y27+Data!Z27+Data!AA27+Data!Y28+Data!Z28+Data!AA28+Data!Y29+Data!Z29+Data!AA29+Data!Y30+Data!Z30+Data!AA30+Data!Y31+Data!Z31+Data!AA31+Data!Y32+Data!Z32+Data!AA32+Data!Y33+Data!Z33+Data!AA33+Data!Y34+Data!Z34+Data!AA34+Data!Y35+Data!Z35+Data!AA35+Data!Y36+Data!Z36+Data!AA36</f>
        <v>233228</v>
      </c>
      <c r="U36" s="16" t="n">
        <f aca="false">Data!Y25+Data!Y26+Data!Y27+Data!Y28+Data!Y29+Data!Y30+Data!Y31+Data!Y32+Data!Y33+Data!Y34+Data!Y35+Data!Y36</f>
        <v>132623</v>
      </c>
      <c r="V36" s="16" t="n">
        <f aca="false">Data!Z25+Data!Z26+Data!Z27+Data!Z28+Data!Z29+Data!Z30+Data!Z31+Data!Z32+Data!Z33+Data!Z34+Data!Z35+Data!Z36</f>
        <v>95378</v>
      </c>
      <c r="W36" s="16" t="n">
        <f aca="false">Data!AB25+Data!AB26+Data!AB27+Data!AB28+Data!AB29+Data!AB30+Data!AB31+Data!AB32+Data!AB33+Data!AB34+Data!AB35+Data!AB36</f>
        <v>361480</v>
      </c>
      <c r="X36" s="16" t="n">
        <f aca="false">Data!AC25+Data!AC26+Data!AC27+Data!AC28+Data!AC29+Data!AC30+Data!AC31+Data!AC32+Data!AC33+Data!AC34+Data!AC35+Data!AC36</f>
        <v>114030</v>
      </c>
      <c r="Y36" s="16" t="n">
        <f aca="false">Data!AD25+Data!AE25+Data!AF25+Data!AG25+Data!AH25+Data!AD26+Data!AE26+Data!AF26+Data!AG26+Data!AH26+Data!AD27+Data!AE27+Data!AF27+Data!AG27+Data!AH27+Data!AD28+Data!AE28+Data!AF28+Data!AG28+Data!AH28+Data!AD29+Data!AE29+Data!AF29+Data!AG29+Data!AH29+Data!AD30+Data!AE30+Data!AF30+Data!AG30+Data!AH30+Data!AD31+Data!AE31+Data!AF31+Data!AG31+Data!AH31+Data!AD32+Data!AE32+Data!AF32+Data!AG32+Data!AH32+Data!AD33+Data!AE33+Data!AF33+Data!AG33+Data!AH33+Data!AD34+Data!AE34+Data!AF34+Data!AG34+Data!AH34+Data!AD35+Data!AE35+Data!AF35+Data!AG35+Data!AH35+Data!AD36+Data!AE36+Data!AF36+Data!AG36+Data!AH36</f>
        <v>80941</v>
      </c>
      <c r="Z36" s="16" t="n">
        <f aca="false">Data!AI25+Data!AI26+Data!AI27+Data!AI28+Data!AI29+Data!AI30+Data!AI31+Data!AI32+Data!AI33+Data!AI34+Data!AI35+Data!AI36</f>
        <v>94275</v>
      </c>
      <c r="AA36" s="16" t="n">
        <f aca="false">Data!AJ25+Data!AJ26+Data!AJ27+Data!AJ28+Data!AJ29+Data!AJ30+Data!AJ31+Data!AJ32+Data!AJ33+Data!AJ34+Data!AJ35+Data!AJ36</f>
        <v>9306</v>
      </c>
      <c r="AB36" s="16" t="n">
        <f aca="false">Data!AK25+Data!AK26+Data!AK27+Data!AK28+Data!AK29+Data!AK30+Data!AK31+Data!AK32+Data!AK33+Data!AK34+Data!AK35+Data!AK36</f>
        <v>52002</v>
      </c>
      <c r="AC36" s="16" t="n">
        <f aca="false">Data!AL25+Data!AL26+Data!AL27+Data!AL28+Data!AL29+Data!AL30+Data!AL31+Data!AL32+Data!AL33+Data!AL34+Data!AL35+Data!AL36</f>
        <v>187082</v>
      </c>
      <c r="AD36" s="15" t="n">
        <f aca="false">Data!AM25+Data!AM26+Data!AM27+Data!AM28+Data!AM29+Data!AM30+Data!AM31+Data!AM32+Data!AM33+Data!AM34+Data!AM35+Data!AM36</f>
        <v>-365682</v>
      </c>
      <c r="AE36" s="16" t="n">
        <f aca="false">Data!AN25+Data!AN26+Data!AN27+Data!AN28+Data!AN29+Data!AN30+Data!AN31+Data!AN32+Data!AN33+Data!AN34+Data!AN35+Data!AN36</f>
        <v>259010</v>
      </c>
      <c r="AF36" s="15" t="n">
        <f aca="false">Data!AO25+Data!AO26+Data!AO27+Data!AO28+Data!AO29+Data!AO30+Data!AO31+Data!AO32+Data!AO33+Data!AO34+Data!AO35+Data!AO36</f>
        <v>-624691</v>
      </c>
    </row>
    <row r="37" customFormat="false" ht="15" hidden="false" customHeight="false" outlineLevel="0" collapsed="false">
      <c r="B37" s="14" t="str">
        <f aca="false">Data!B37</f>
        <v>2018-07</v>
      </c>
      <c r="C37" s="15" t="n">
        <f aca="false">Data!D26+Data!E26+Data!F26+Data!G26+Data!H26+Data!I26+Data!J26+Data!K26+Data!L26+Data!M26+Data!N26+Data!O26+Data!P26+Data!Q26+Data!R26+Data!S26+Data!D27+Data!E27+Data!F27+Data!G27+Data!H27+Data!I27+Data!J27+Data!K27+Data!L27+Data!M27+Data!N27+Data!O27+Data!P27+Data!Q27+Data!R27+Data!S27+Data!D28+Data!E28+Data!F28+Data!G28+Data!H28+Data!I28+Data!J28+Data!K28+Data!L28+Data!M28+Data!N28+Data!O28+Data!P28+Data!Q28+Data!R28+Data!S28+Data!D29+Data!E29+Data!F29+Data!G29+Data!H29+Data!I29+Data!J29+Data!K29+Data!L29+Data!M29+Data!N29+Data!O29+Data!P29+Data!Q29+Data!R29+Data!S29+Data!D30+Data!E30+Data!F30+Data!G30+Data!H30+Data!I30+Data!J30+Data!K30+Data!L30+Data!M30+Data!N30+Data!O30+Data!P30+Data!Q30+Data!R30+Data!S30+Data!D31+Data!E31+Data!F31+Data!G31+Data!H31+Data!I31+Data!J31+Data!K31+Data!L31+Data!M31+Data!N31+Data!O31+Data!P31+Data!Q31+Data!R31+Data!S31+Data!D32+Data!E32+Data!F32+Data!G32+Data!H32+Data!I32+Data!J32+Data!K32+Data!L32+Data!M32+Data!N32+Data!O32+Data!P32+Data!Q32+Data!R32+Data!S32+Data!D33+Data!E33+Data!F33+Data!G33+Data!H33+Data!I33+Data!J33+Data!K33+Data!L33+Data!M33+Data!N33+Data!O33+Data!P33+Data!Q33+Data!R33+Data!S33+Data!D34+Data!E34+Data!F34+Data!G34+Data!H34+Data!I34+Data!J34+Data!K34+Data!L34+Data!M34+Data!N34+Data!O34+Data!P34+Data!Q34+Data!R34+Data!S34+Data!D35+Data!E35+Data!F35+Data!G35+Data!H35+Data!I35+Data!J35+Data!K35+Data!L35+Data!M35+Data!N35+Data!O35+Data!P35+Data!Q35+Data!R35+Data!S35+Data!D36+Data!E36+Data!F36+Data!G36+Data!H36+Data!I36+Data!J36+Data!K36+Data!L36+Data!M36+Data!N36+Data!O36+Data!P36+Data!Q36+Data!R36+Data!S36+Data!D37+Data!E37+Data!F37+Data!G37+Data!H37+Data!I37+Data!J37+Data!K37+Data!L37+Data!M37+Data!N37+Data!O37+Data!P37+Data!Q37+Data!R37+Data!S37</f>
        <v>2294752</v>
      </c>
      <c r="D37" s="16" t="n">
        <f aca="false">Data!D26+Data!E26+Data!G26+Data!H26+Data!I26+Data!J26+Data!K26+Data!L26+Data!M26+Data!D27+Data!E27+Data!G27+Data!H27+Data!I27+Data!J27+Data!K27+Data!L27+Data!M27+Data!D28+Data!E28+Data!G28+Data!H28+Data!I28+Data!J28+Data!K28+Data!L28+Data!M28+Data!D29+Data!E29+Data!G29+Data!H29+Data!I29+Data!J29+Data!K29+Data!L29+Data!M29+Data!D30+Data!E30+Data!G30+Data!H30+Data!I30+Data!J30+Data!K30+Data!L30+Data!M30+Data!D31+Data!E31+Data!G31+Data!H31+Data!I31+Data!J31+Data!K31+Data!L31+Data!M31+Data!D32+Data!E32+Data!G32+Data!H32+Data!I32+Data!J32+Data!K32+Data!L32+Data!M32+Data!D33+Data!E33+Data!G33+Data!H33+Data!I33+Data!J33+Data!K33+Data!L33+Data!M33+Data!D34+Data!E34+Data!G34+Data!H34+Data!I34+Data!J34+Data!K34+Data!L34+Data!M34+Data!D35+Data!E35+Data!G35+Data!H35+Data!I35+Data!J35+Data!K35+Data!L35+Data!M35+Data!D36+Data!E36+Data!G36+Data!H36+Data!I36+Data!J36+Data!K36+Data!L36+Data!M36+Data!D37+Data!E37+Data!G37+Data!H37+Data!I37+Data!J37+Data!K37+Data!L37+Data!M37</f>
        <v>1236338</v>
      </c>
      <c r="E37" s="16" t="n">
        <f aca="false">Data!D26+Data!D27+Data!D28+Data!D29+Data!D30+Data!D31+Data!D32+Data!D33+Data!D34+Data!D35+Data!D36+Data!D37</f>
        <v>431560</v>
      </c>
      <c r="F37" s="16" t="n">
        <f aca="false">Data!E26+Data!E27+Data!E28+Data!E29+Data!E30+Data!E31+Data!E32+Data!E33+Data!E34+Data!E35+Data!E36+Data!E37</f>
        <v>283011</v>
      </c>
      <c r="G37" s="16" t="n">
        <f aca="false">Data!K26+Data!K27+Data!K28+Data!K29+Data!K30+Data!K31+Data!K32+Data!K33+Data!K34+Data!K35+Data!K36+Data!K37</f>
        <v>59447</v>
      </c>
      <c r="H37" s="16" t="n">
        <f aca="false">Data!L26+Data!L27+Data!L28+Data!L29+Data!L30+Data!L31+Data!L32+Data!L33+Data!L34+Data!L35+Data!L36+Data!L37</f>
        <v>86554</v>
      </c>
      <c r="I37" s="16" t="n">
        <f aca="false">Data!G26+Data!G27+Data!G28+Data!G29+Data!G30+Data!G31+Data!G32+Data!G33+Data!G34+Data!G35+Data!G36+Data!G37</f>
        <v>185583</v>
      </c>
      <c r="J37" s="16" t="n">
        <f aca="false">Data!H26+Data!I26+Data!J26+Data!M26+Data!H27+Data!I27+Data!J27+Data!M27+Data!H28+Data!I28+Data!J28+Data!M28+Data!H29+Data!I29+Data!J29+Data!M29+Data!H30+Data!I30+Data!J30+Data!M30+Data!H31+Data!I31+Data!J31+Data!M31+Data!H32+Data!I32+Data!J32+Data!M32+Data!H33+Data!I33+Data!J33+Data!M33+Data!H34+Data!I34+Data!J34+Data!M34+Data!H35+Data!I35+Data!J35+Data!M35+Data!H36+Data!I36+Data!J36+Data!M36+Data!H37+Data!I37+Data!J37+Data!M37</f>
        <v>190183</v>
      </c>
      <c r="K37" s="16" t="n">
        <f aca="false">Data!F26+Data!F27+Data!F28+Data!F29+Data!F30+Data!F31+Data!F32+Data!F33+Data!F34+Data!F35+Data!F36+Data!F37</f>
        <v>835466</v>
      </c>
      <c r="L37" s="16" t="n">
        <f aca="false">Data!N26+Data!O26+Data!P26+Data!Q26+Data!R26+Data!S26+Data!N27+Data!O27+Data!P27+Data!Q27+Data!R27+Data!S27+Data!N28+Data!O28+Data!P28+Data!Q28+Data!R28+Data!S28+Data!N29+Data!O29+Data!P29+Data!Q29+Data!R29+Data!S29+Data!N30+Data!O30+Data!P30+Data!Q30+Data!R30+Data!S30+Data!N31+Data!O31+Data!P31+Data!Q31+Data!R31+Data!S31+Data!N32+Data!O32+Data!P32+Data!Q32+Data!R32+Data!S32+Data!N33+Data!O33+Data!P33+Data!Q33+Data!R33+Data!S33+Data!N34+Data!O34+Data!P34+Data!Q34+Data!R34+Data!S34+Data!N35+Data!O35+Data!P35+Data!Q35+Data!R35+Data!S35+Data!N36+Data!O36+Data!P36+Data!Q36+Data!R36+Data!S36+Data!N37+Data!O37+Data!P37+Data!Q37+Data!R37+Data!S37</f>
        <v>222948</v>
      </c>
      <c r="M37" s="15" t="n">
        <f aca="false">Data!T26+Data!U26+Data!V26+Data!W26+Data!X26+Data!Y26+Data!Z26+Data!AA26+Data!AB26+Data!AC26+Data!AD26+Data!AE26+Data!AF26+Data!AG26+Data!AH26+Data!AI26+Data!AJ26+Data!AK26+Data!AL26+Data!T27+Data!U27+Data!V27+Data!W27+Data!X27+Data!Y27+Data!Z27+Data!AA27+Data!AB27+Data!AC27+Data!AD27+Data!AE27+Data!AF27+Data!AG27+Data!AH27+Data!AI27+Data!AJ27+Data!AK27+Data!AL27+Data!T28+Data!U28+Data!V28+Data!W28+Data!X28+Data!Y28+Data!Z28+Data!AA28+Data!AB28+Data!AC28+Data!AD28+Data!AE28+Data!AF28+Data!AG28+Data!AH28+Data!AI28+Data!AJ28+Data!AK28+Data!AL28+Data!T29+Data!U29+Data!V29+Data!W29+Data!X29+Data!Y29+Data!Z29+Data!AA29+Data!AB29+Data!AC29+Data!AD29+Data!AE29+Data!AF29+Data!AG29+Data!AH29+Data!AI29+Data!AJ29+Data!AK29+Data!AL29+Data!T30+Data!U30+Data!V30+Data!W30+Data!X30+Data!Y30+Data!Z30+Data!AA30+Data!AB30+Data!AC30+Data!AD30+Data!AE30+Data!AF30+Data!AG30+Data!AH30+Data!AI30+Data!AJ30+Data!AK30+Data!AL30+Data!T31+Data!U31+Data!V31+Data!W31+Data!X31+Data!Y31+Data!Z31+Data!AA31+Data!AB31+Data!AC31+Data!AD31+Data!AE31+Data!AF31+Data!AG31+Data!AH31+Data!AI31+Data!AJ31+Data!AK31+Data!AL31+Data!T32+Data!U32+Data!V32+Data!W32+Data!X32+Data!Y32+Data!Z32+Data!AA32+Data!AB32+Data!AC32+Data!AD32+Data!AE32+Data!AF32+Data!AG32+Data!AH32+Data!AI32+Data!AJ32+Data!AK32+Data!AL32+Data!T33+Data!U33+Data!V33+Data!W33+Data!X33+Data!Y33+Data!Z33+Data!AA33+Data!AB33+Data!AC33+Data!AD33+Data!AE33+Data!AF33+Data!AG33+Data!AH33+Data!AI33+Data!AJ33+Data!AK33+Data!AL33+Data!T34+Data!U34+Data!V34+Data!W34+Data!X34+Data!Y34+Data!Z34+Data!AA34+Data!AB34+Data!AC34+Data!AD34+Data!AE34+Data!AF34+Data!AG34+Data!AH34+Data!AI34+Data!AJ34+Data!AK34+Data!AL34+Data!T35+Data!U35+Data!V35+Data!W35+Data!X35+Data!Y35+Data!Z35+Data!AA35+Data!AB35+Data!AC35+Data!AD35+Data!AE35+Data!AF35+Data!AG35+Data!AH35+Data!AI35+Data!AJ35+Data!AK35+Data!AL35+Data!T36+Data!U36+Data!V36+Data!W36+Data!X36+Data!Y36+Data!Z36+Data!AA36+Data!AB36+Data!AC36+Data!AD36+Data!AE36+Data!AF36+Data!AG36+Data!AH36+Data!AI36+Data!AJ36+Data!AK36+Data!AL36+Data!T37+Data!U37+Data!V37+Data!W37+Data!X37+Data!Y37+Data!Z37+Data!AA37+Data!AB37+Data!AC37+Data!AD37+Data!AE37+Data!AF37+Data!AG37+Data!AH37+Data!AI37+Data!AJ37+Data!AK37+Data!AL37</f>
        <v>2652624</v>
      </c>
      <c r="N37" s="16" t="n">
        <f aca="false">Data!T26+Data!U26+Data!V26+Data!W26+Data!T27+Data!U27+Data!V27+Data!W27+Data!T28+Data!U28+Data!V28+Data!W28+Data!T29+Data!U29+Data!V29+Data!W29+Data!T30+Data!U30+Data!V30+Data!W30+Data!T31+Data!U31+Data!V31+Data!W31+Data!T32+Data!U32+Data!V32+Data!W32+Data!T33+Data!U33+Data!V33+Data!W33+Data!T34+Data!U34+Data!V34+Data!W34+Data!T35+Data!U35+Data!V35+Data!W35+Data!T36+Data!U36+Data!V36+Data!W36+Data!T37+Data!U37+Data!V37+Data!W37</f>
        <v>1461551</v>
      </c>
      <c r="O37" s="16" t="n">
        <f aca="false">Data!T26+Data!T27+Data!T28+Data!T29+Data!T30+Data!T31+Data!T32+Data!T33+Data!T34+Data!T35+Data!T36+Data!T37</f>
        <v>1073018</v>
      </c>
      <c r="P37" s="16" t="n">
        <f aca="false">Data!U26+Data!U27+Data!U28+Data!U29+Data!U30+Data!U31+Data!U32+Data!U33+Data!U34+Data!U35+Data!U36+Data!U37</f>
        <v>161453</v>
      </c>
      <c r="Q37" s="16" t="n">
        <f aca="false">Data!V26+Data!V27+Data!V28+Data!V29+Data!V30+Data!V31+Data!V32+Data!V33+Data!V34+Data!V35+Data!V36+Data!V37</f>
        <v>109482</v>
      </c>
      <c r="R37" s="16" t="n">
        <f aca="false">Data!W26+Data!W27+Data!W28+Data!W29+Data!W30+Data!W31+Data!W32+Data!W33+Data!W34+Data!W35+Data!W36+Data!W37</f>
        <v>117598</v>
      </c>
      <c r="S37" s="16" t="n">
        <f aca="false">Data!X26+Data!X27+Data!X28+Data!X29+Data!X30+Data!X31+Data!X32+Data!X33+Data!X34+Data!X35+Data!X36+Data!X37</f>
        <v>47584</v>
      </c>
      <c r="T37" s="16" t="n">
        <f aca="false">Data!Y26+Data!Z26+Data!AA26+Data!Y27+Data!Z27+Data!AA27+Data!Y28+Data!Z28+Data!AA28+Data!Y29+Data!Z29+Data!AA29+Data!Y30+Data!Z30+Data!AA30+Data!Y31+Data!Z31+Data!AA31+Data!Y32+Data!Z32+Data!AA32+Data!Y33+Data!Z33+Data!AA33+Data!Y34+Data!Z34+Data!AA34+Data!Y35+Data!Z35+Data!AA35+Data!Y36+Data!Z36+Data!AA36+Data!Y37+Data!Z37+Data!AA37</f>
        <v>236838</v>
      </c>
      <c r="U37" s="16" t="n">
        <f aca="false">Data!Y26+Data!Y27+Data!Y28+Data!Y29+Data!Y30+Data!Y31+Data!Y32+Data!Y33+Data!Y34+Data!Y35+Data!Y36+Data!Y37</f>
        <v>136891</v>
      </c>
      <c r="V37" s="16" t="n">
        <f aca="false">Data!Z26+Data!Z27+Data!Z28+Data!Z29+Data!Z30+Data!Z31+Data!Z32+Data!Z33+Data!Z34+Data!Z35+Data!Z36+Data!Z37</f>
        <v>95582</v>
      </c>
      <c r="W37" s="16" t="n">
        <f aca="false">Data!AB26+Data!AB27+Data!AB28+Data!AB29+Data!AB30+Data!AB31+Data!AB32+Data!AB33+Data!AB34+Data!AB35+Data!AB36+Data!AB37</f>
        <v>367842</v>
      </c>
      <c r="X37" s="16" t="n">
        <f aca="false">Data!AC26+Data!AC27+Data!AC28+Data!AC29+Data!AC30+Data!AC31+Data!AC32+Data!AC33+Data!AC34+Data!AC35+Data!AC36+Data!AC37</f>
        <v>115010</v>
      </c>
      <c r="Y37" s="16" t="n">
        <f aca="false">Data!AD26+Data!AE26+Data!AF26+Data!AG26+Data!AH26+Data!AD27+Data!AE27+Data!AF27+Data!AG27+Data!AH27+Data!AD28+Data!AE28+Data!AF28+Data!AG28+Data!AH28+Data!AD29+Data!AE29+Data!AF29+Data!AG29+Data!AH29+Data!AD30+Data!AE30+Data!AF30+Data!AG30+Data!AH30+Data!AD31+Data!AE31+Data!AF31+Data!AG31+Data!AH31+Data!AD32+Data!AE32+Data!AF32+Data!AG32+Data!AH32+Data!AD33+Data!AE33+Data!AF33+Data!AG33+Data!AH33+Data!AD34+Data!AE34+Data!AF34+Data!AG34+Data!AH34+Data!AD35+Data!AE35+Data!AF35+Data!AG35+Data!AH35+Data!AD36+Data!AE36+Data!AF36+Data!AG36+Data!AH36+Data!AD37+Data!AE37+Data!AF37+Data!AG37+Data!AH37</f>
        <v>80970</v>
      </c>
      <c r="Z37" s="16" t="n">
        <f aca="false">Data!AI26+Data!AI27+Data!AI28+Data!AI29+Data!AI30+Data!AI31+Data!AI32+Data!AI33+Data!AI34+Data!AI35+Data!AI36+Data!AI37</f>
        <v>97470</v>
      </c>
      <c r="AA37" s="16" t="n">
        <f aca="false">Data!AJ26+Data!AJ27+Data!AJ28+Data!AJ29+Data!AJ30+Data!AJ31+Data!AJ32+Data!AJ33+Data!AJ34+Data!AJ35+Data!AJ36+Data!AJ37</f>
        <v>9305</v>
      </c>
      <c r="AB37" s="16" t="n">
        <f aca="false">Data!AK26+Data!AK27+Data!AK28+Data!AK29+Data!AK30+Data!AK31+Data!AK32+Data!AK33+Data!AK34+Data!AK35+Data!AK36+Data!AK37</f>
        <v>52959</v>
      </c>
      <c r="AC37" s="16" t="n">
        <f aca="false">Data!AL26+Data!AL27+Data!AL28+Data!AL29+Data!AL30+Data!AL31+Data!AL32+Data!AL33+Data!AL34+Data!AL35+Data!AL36+Data!AL37</f>
        <v>183095</v>
      </c>
      <c r="AD37" s="15" t="n">
        <f aca="false">Data!AM26+Data!AM27+Data!AM28+Data!AM29+Data!AM30+Data!AM31+Data!AM32+Data!AM33+Data!AM34+Data!AM35+Data!AM36+Data!AM37</f>
        <v>-357872</v>
      </c>
      <c r="AE37" s="16" t="n">
        <f aca="false">Data!AN26+Data!AN27+Data!AN28+Data!AN29+Data!AN30+Data!AN31+Data!AN32+Data!AN33+Data!AN34+Data!AN35+Data!AN36+Data!AN37</f>
        <v>296479</v>
      </c>
      <c r="AF37" s="15" t="n">
        <f aca="false">Data!AO26+Data!AO27+Data!AO28+Data!AO29+Data!AO30+Data!AO31+Data!AO32+Data!AO33+Data!AO34+Data!AO35+Data!AO36+Data!AO37</f>
        <v>-654350</v>
      </c>
    </row>
    <row r="38" customFormat="false" ht="15" hidden="false" customHeight="false" outlineLevel="0" collapsed="false">
      <c r="B38" s="14" t="str">
        <f aca="false">Data!B38</f>
        <v>2018-08</v>
      </c>
      <c r="C38" s="15" t="n">
        <f aca="false">Data!D27+Data!E27+Data!F27+Data!G27+Data!H27+Data!I27+Data!J27+Data!K27+Data!L27+Data!M27+Data!N27+Data!O27+Data!P27+Data!Q27+Data!R27+Data!S27+Data!D28+Data!E28+Data!F28+Data!G28+Data!H28+Data!I28+Data!J28+Data!K28+Data!L28+Data!M28+Data!N28+Data!O28+Data!P28+Data!Q28+Data!R28+Data!S28+Data!D29+Data!E29+Data!F29+Data!G29+Data!H29+Data!I29+Data!J29+Data!K29+Data!L29+Data!M29+Data!N29+Data!O29+Data!P29+Data!Q29+Data!R29+Data!S29+Data!D30+Data!E30+Data!F30+Data!G30+Data!H30+Data!I30+Data!J30+Data!K30+Data!L30+Data!M30+Data!N30+Data!O30+Data!P30+Data!Q30+Data!R30+Data!S30+Data!D31+Data!E31+Data!F31+Data!G31+Data!H31+Data!I31+Data!J31+Data!K31+Data!L31+Data!M31+Data!N31+Data!O31+Data!P31+Data!Q31+Data!R31+Data!S31+Data!D32+Data!E32+Data!F32+Data!G32+Data!H32+Data!I32+Data!J32+Data!K32+Data!L32+Data!M32+Data!N32+Data!O32+Data!P32+Data!Q32+Data!R32+Data!S32+Data!D33+Data!E33+Data!F33+Data!G33+Data!H33+Data!I33+Data!J33+Data!K33+Data!L33+Data!M33+Data!N33+Data!O33+Data!P33+Data!Q33+Data!R33+Data!S33+Data!D34+Data!E34+Data!F34+Data!G34+Data!H34+Data!I34+Data!J34+Data!K34+Data!L34+Data!M34+Data!N34+Data!O34+Data!P34+Data!Q34+Data!R34+Data!S34+Data!D35+Data!E35+Data!F35+Data!G35+Data!H35+Data!I35+Data!J35+Data!K35+Data!L35+Data!M35+Data!N35+Data!O35+Data!P35+Data!Q35+Data!R35+Data!S35+Data!D36+Data!E36+Data!F36+Data!G36+Data!H36+Data!I36+Data!J36+Data!K36+Data!L36+Data!M36+Data!N36+Data!O36+Data!P36+Data!Q36+Data!R36+Data!S36+Data!D37+Data!E37+Data!F37+Data!G37+Data!H37+Data!I37+Data!J37+Data!K37+Data!L37+Data!M37+Data!N37+Data!O37+Data!P37+Data!Q37+Data!R37+Data!S37+Data!D38+Data!E38+Data!F38+Data!G38+Data!H38+Data!I38+Data!J38+Data!K38+Data!L38+Data!M38+Data!N38+Data!O38+Data!P38+Data!Q38+Data!R38+Data!S38</f>
        <v>2349198</v>
      </c>
      <c r="D38" s="16" t="n">
        <f aca="false">Data!D27+Data!E27+Data!G27+Data!H27+Data!I27+Data!J27+Data!K27+Data!L27+Data!M27+Data!D28+Data!E28+Data!G28+Data!H28+Data!I28+Data!J28+Data!K28+Data!L28+Data!M28+Data!D29+Data!E29+Data!G29+Data!H29+Data!I29+Data!J29+Data!K29+Data!L29+Data!M29+Data!D30+Data!E30+Data!G30+Data!H30+Data!I30+Data!J30+Data!K30+Data!L30+Data!M30+Data!D31+Data!E31+Data!G31+Data!H31+Data!I31+Data!J31+Data!K31+Data!L31+Data!M31+Data!D32+Data!E32+Data!G32+Data!H32+Data!I32+Data!J32+Data!K32+Data!L32+Data!M32+Data!D33+Data!E33+Data!G33+Data!H33+Data!I33+Data!J33+Data!K33+Data!L33+Data!M33+Data!D34+Data!E34+Data!G34+Data!H34+Data!I34+Data!J34+Data!K34+Data!L34+Data!M34+Data!D35+Data!E35+Data!G35+Data!H35+Data!I35+Data!J35+Data!K35+Data!L35+Data!M35+Data!D36+Data!E36+Data!G36+Data!H36+Data!I36+Data!J36+Data!K36+Data!L36+Data!M36+Data!D37+Data!E37+Data!G37+Data!H37+Data!I37+Data!J37+Data!K37+Data!L37+Data!M37+Data!D38+Data!E38+Data!G38+Data!H38+Data!I38+Data!J38+Data!K38+Data!L38+Data!M38</f>
        <v>1263262</v>
      </c>
      <c r="E38" s="16" t="n">
        <f aca="false">Data!D27+Data!D28+Data!D29+Data!D30+Data!D31+Data!D32+Data!D33+Data!D34+Data!D35+Data!D36+Data!D37+Data!D38</f>
        <v>443917</v>
      </c>
      <c r="F38" s="16" t="n">
        <f aca="false">Data!E27+Data!E28+Data!E29+Data!E30+Data!E31+Data!E32+Data!E33+Data!E34+Data!E35+Data!E36+Data!E37+Data!E38</f>
        <v>285872</v>
      </c>
      <c r="G38" s="16" t="n">
        <f aca="false">Data!K27+Data!K28+Data!K29+Data!K30+Data!K31+Data!K32+Data!K33+Data!K34+Data!K35+Data!K36+Data!K37+Data!K38</f>
        <v>57167</v>
      </c>
      <c r="H38" s="16" t="n">
        <f aca="false">Data!L27+Data!L28+Data!L29+Data!L30+Data!L31+Data!L32+Data!L33+Data!L34+Data!L35+Data!L36+Data!L37+Data!L38</f>
        <v>89979</v>
      </c>
      <c r="I38" s="16" t="n">
        <f aca="false">Data!G27+Data!G28+Data!G29+Data!G30+Data!G31+Data!G32+Data!G33+Data!G34+Data!G35+Data!G36+Data!G37+Data!G38</f>
        <v>193905</v>
      </c>
      <c r="J38" s="16" t="n">
        <f aca="false">Data!H27+Data!I27+Data!J27+Data!M27+Data!H28+Data!I28+Data!J28+Data!M28+Data!H29+Data!I29+Data!J29+Data!M29+Data!H30+Data!I30+Data!J30+Data!M30+Data!H31+Data!I31+Data!J31+Data!M31+Data!H32+Data!I32+Data!J32+Data!M32+Data!H33+Data!I33+Data!J33+Data!M33+Data!H34+Data!I34+Data!J34+Data!M34+Data!H35+Data!I35+Data!J35+Data!M35+Data!H36+Data!I36+Data!J36+Data!M36+Data!H37+Data!I37+Data!J37+Data!M37+Data!H38+Data!I38+Data!J38+Data!M38</f>
        <v>192422</v>
      </c>
      <c r="K38" s="16" t="n">
        <f aca="false">Data!F27+Data!F28+Data!F29+Data!F30+Data!F31+Data!F32+Data!F33+Data!F34+Data!F35+Data!F36+Data!F37+Data!F38</f>
        <v>848786</v>
      </c>
      <c r="L38" s="16" t="n">
        <f aca="false">Data!N27+Data!O27+Data!P27+Data!Q27+Data!R27+Data!S27+Data!N28+Data!O28+Data!P28+Data!Q28+Data!R28+Data!S28+Data!N29+Data!O29+Data!P29+Data!Q29+Data!R29+Data!S29+Data!N30+Data!O30+Data!P30+Data!Q30+Data!R30+Data!S30+Data!N31+Data!O31+Data!P31+Data!Q31+Data!R31+Data!S31+Data!N32+Data!O32+Data!P32+Data!Q32+Data!R32+Data!S32+Data!N33+Data!O33+Data!P33+Data!Q33+Data!R33+Data!S33+Data!N34+Data!O34+Data!P34+Data!Q34+Data!R34+Data!S34+Data!N35+Data!O35+Data!P35+Data!Q35+Data!R35+Data!S35+Data!N36+Data!O36+Data!P36+Data!Q36+Data!R36+Data!S36+Data!N37+Data!O37+Data!P37+Data!Q37+Data!R37+Data!S37+Data!N38+Data!O38+Data!P38+Data!Q38+Data!R38+Data!S38</f>
        <v>237150</v>
      </c>
      <c r="M38" s="15" t="n">
        <f aca="false">Data!T27+Data!U27+Data!V27+Data!W27+Data!X27+Data!Y27+Data!Z27+Data!AA27+Data!AB27+Data!AC27+Data!AD27+Data!AE27+Data!AF27+Data!AG27+Data!AH27+Data!AI27+Data!AJ27+Data!AK27+Data!AL27+Data!T28+Data!U28+Data!V28+Data!W28+Data!X28+Data!Y28+Data!Z28+Data!AA28+Data!AB28+Data!AC28+Data!AD28+Data!AE28+Data!AF28+Data!AG28+Data!AH28+Data!AI28+Data!AJ28+Data!AK28+Data!AL28+Data!T29+Data!U29+Data!V29+Data!W29+Data!X29+Data!Y29+Data!Z29+Data!AA29+Data!AB29+Data!AC29+Data!AD29+Data!AE29+Data!AF29+Data!AG29+Data!AH29+Data!AI29+Data!AJ29+Data!AK29+Data!AL29+Data!T30+Data!U30+Data!V30+Data!W30+Data!X30+Data!Y30+Data!Z30+Data!AA30+Data!AB30+Data!AC30+Data!AD30+Data!AE30+Data!AF30+Data!AG30+Data!AH30+Data!AI30+Data!AJ30+Data!AK30+Data!AL30+Data!T31+Data!U31+Data!V31+Data!W31+Data!X31+Data!Y31+Data!Z31+Data!AA31+Data!AB31+Data!AC31+Data!AD31+Data!AE31+Data!AF31+Data!AG31+Data!AH31+Data!AI31+Data!AJ31+Data!AK31+Data!AL31+Data!T32+Data!U32+Data!V32+Data!W32+Data!X32+Data!Y32+Data!Z32+Data!AA32+Data!AB32+Data!AC32+Data!AD32+Data!AE32+Data!AF32+Data!AG32+Data!AH32+Data!AI32+Data!AJ32+Data!AK32+Data!AL32+Data!T33+Data!U33+Data!V33+Data!W33+Data!X33+Data!Y33+Data!Z33+Data!AA33+Data!AB33+Data!AC33+Data!AD33+Data!AE33+Data!AF33+Data!AG33+Data!AH33+Data!AI33+Data!AJ33+Data!AK33+Data!AL33+Data!T34+Data!U34+Data!V34+Data!W34+Data!X34+Data!Y34+Data!Z34+Data!AA34+Data!AB34+Data!AC34+Data!AD34+Data!AE34+Data!AF34+Data!AG34+Data!AH34+Data!AI34+Data!AJ34+Data!AK34+Data!AL34+Data!T35+Data!U35+Data!V35+Data!W35+Data!X35+Data!Y35+Data!Z35+Data!AA35+Data!AB35+Data!AC35+Data!AD35+Data!AE35+Data!AF35+Data!AG35+Data!AH35+Data!AI35+Data!AJ35+Data!AK35+Data!AL35+Data!T36+Data!U36+Data!V36+Data!W36+Data!X36+Data!Y36+Data!Z36+Data!AA36+Data!AB36+Data!AC36+Data!AD36+Data!AE36+Data!AF36+Data!AG36+Data!AH36+Data!AI36+Data!AJ36+Data!AK36+Data!AL36+Data!T37+Data!U37+Data!V37+Data!W37+Data!X37+Data!Y37+Data!Z37+Data!AA37+Data!AB37+Data!AC37+Data!AD37+Data!AE37+Data!AF37+Data!AG37+Data!AH37+Data!AI37+Data!AJ37+Data!AK37+Data!AL37+Data!T38+Data!U38+Data!V38+Data!W38+Data!X38+Data!Y38+Data!Z38+Data!AA38+Data!AB38+Data!AC38+Data!AD38+Data!AE38+Data!AF38+Data!AG38+Data!AH38+Data!AI38+Data!AJ38+Data!AK38+Data!AL38</f>
        <v>2692775</v>
      </c>
      <c r="N38" s="16" t="n">
        <f aca="false">Data!T27+Data!U27+Data!V27+Data!W27+Data!T28+Data!U28+Data!V28+Data!W28+Data!T29+Data!U29+Data!V29+Data!W29+Data!T30+Data!U30+Data!V30+Data!W30+Data!T31+Data!U31+Data!V31+Data!W31+Data!T32+Data!U32+Data!V32+Data!W32+Data!T33+Data!U33+Data!V33+Data!W33+Data!T34+Data!U34+Data!V34+Data!W34+Data!T35+Data!U35+Data!V35+Data!W35+Data!T36+Data!U36+Data!V36+Data!W36+Data!T37+Data!U37+Data!V37+Data!W37+Data!T38+Data!U38+Data!V38+Data!W38</f>
        <v>1487691</v>
      </c>
      <c r="O38" s="16" t="n">
        <f aca="false">Data!T27+Data!T28+Data!T29+Data!T30+Data!T31+Data!T32+Data!T33+Data!T34+Data!T35+Data!T36+Data!T37+Data!T38</f>
        <v>1090843</v>
      </c>
      <c r="P38" s="16" t="n">
        <f aca="false">Data!U27+Data!U28+Data!U29+Data!U30+Data!U31+Data!U32+Data!U33+Data!U34+Data!U35+Data!U36+Data!U37+Data!U38</f>
        <v>164287</v>
      </c>
      <c r="Q38" s="16" t="n">
        <f aca="false">Data!V27+Data!V28+Data!V29+Data!V30+Data!V31+Data!V32+Data!V33+Data!V34+Data!V35+Data!V36+Data!V37+Data!V38</f>
        <v>112023</v>
      </c>
      <c r="R38" s="16" t="n">
        <f aca="false">Data!W27+Data!W28+Data!W29+Data!W30+Data!W31+Data!W32+Data!W33+Data!W34+Data!W35+Data!W36+Data!W37+Data!W38</f>
        <v>120538</v>
      </c>
      <c r="S38" s="16" t="n">
        <f aca="false">Data!X27+Data!X28+Data!X29+Data!X30+Data!X31+Data!X32+Data!X33+Data!X34+Data!X35+Data!X36+Data!X37+Data!X38</f>
        <v>48338</v>
      </c>
      <c r="T38" s="16" t="n">
        <f aca="false">Data!Y27+Data!Z27+Data!AA27+Data!Y28+Data!Z28+Data!AA28+Data!Y29+Data!Z29+Data!AA29+Data!Y30+Data!Z30+Data!AA30+Data!Y31+Data!Z31+Data!AA31+Data!Y32+Data!Z32+Data!AA32+Data!Y33+Data!Z33+Data!AA33+Data!Y34+Data!Z34+Data!AA34+Data!Y35+Data!Z35+Data!AA35+Data!Y36+Data!Z36+Data!AA36+Data!Y37+Data!Z37+Data!AA37+Data!Y38+Data!Z38+Data!AA38</f>
        <v>244362</v>
      </c>
      <c r="U38" s="16" t="n">
        <f aca="false">Data!Y27+Data!Y28+Data!Y29+Data!Y30+Data!Y31+Data!Y32+Data!Y33+Data!Y34+Data!Y35+Data!Y36+Data!Y37+Data!Y38</f>
        <v>144922</v>
      </c>
      <c r="V38" s="16" t="n">
        <f aca="false">Data!Z27+Data!Z28+Data!Z29+Data!Z30+Data!Z31+Data!Z32+Data!Z33+Data!Z34+Data!Z35+Data!Z36+Data!Z37+Data!Z38</f>
        <v>95847</v>
      </c>
      <c r="W38" s="16" t="n">
        <f aca="false">Data!AB27+Data!AB28+Data!AB29+Data!AB30+Data!AB31+Data!AB32+Data!AB33+Data!AB34+Data!AB35+Data!AB36+Data!AB37+Data!AB38</f>
        <v>371280</v>
      </c>
      <c r="X38" s="16" t="n">
        <f aca="false">Data!AC27+Data!AC28+Data!AC29+Data!AC30+Data!AC31+Data!AC32+Data!AC33+Data!AC34+Data!AC35+Data!AC36+Data!AC37+Data!AC38</f>
        <v>116611</v>
      </c>
      <c r="Y38" s="16" t="n">
        <f aca="false">Data!AD27+Data!AE27+Data!AF27+Data!AG27+Data!AH27+Data!AD28+Data!AE28+Data!AF28+Data!AG28+Data!AH28+Data!AD29+Data!AE29+Data!AF29+Data!AG29+Data!AH29+Data!AD30+Data!AE30+Data!AF30+Data!AG30+Data!AH30+Data!AD31+Data!AE31+Data!AF31+Data!AG31+Data!AH31+Data!AD32+Data!AE32+Data!AF32+Data!AG32+Data!AH32+Data!AD33+Data!AE33+Data!AF33+Data!AG33+Data!AH33+Data!AD34+Data!AE34+Data!AF34+Data!AG34+Data!AH34+Data!AD35+Data!AE35+Data!AF35+Data!AG35+Data!AH35+Data!AD36+Data!AE36+Data!AF36+Data!AG36+Data!AH36+Data!AD37+Data!AE37+Data!AF37+Data!AG37+Data!AH37+Data!AD38+Data!AE38+Data!AF38+Data!AG38+Data!AH38</f>
        <v>82535</v>
      </c>
      <c r="Z38" s="16" t="n">
        <f aca="false">Data!AI27+Data!AI28+Data!AI29+Data!AI30+Data!AI31+Data!AI32+Data!AI33+Data!AI34+Data!AI35+Data!AI36+Data!AI37+Data!AI38</f>
        <v>98789</v>
      </c>
      <c r="AA38" s="16" t="n">
        <f aca="false">Data!AJ27+Data!AJ28+Data!AJ29+Data!AJ30+Data!AJ31+Data!AJ32+Data!AJ33+Data!AJ34+Data!AJ35+Data!AJ36+Data!AJ37+Data!AJ38</f>
        <v>6950</v>
      </c>
      <c r="AB38" s="16" t="n">
        <f aca="false">Data!AK27+Data!AK28+Data!AK29+Data!AK30+Data!AK31+Data!AK32+Data!AK33+Data!AK34+Data!AK35+Data!AK36+Data!AK37+Data!AK38</f>
        <v>52727</v>
      </c>
      <c r="AC38" s="16" t="n">
        <f aca="false">Data!AL27+Data!AL28+Data!AL29+Data!AL30+Data!AL31+Data!AL32+Data!AL33+Data!AL34+Data!AL35+Data!AL36+Data!AL37+Data!AL38</f>
        <v>183492</v>
      </c>
      <c r="AD38" s="15" t="n">
        <f aca="false">Data!AM27+Data!AM28+Data!AM29+Data!AM30+Data!AM31+Data!AM32+Data!AM33+Data!AM34+Data!AM35+Data!AM36+Data!AM37+Data!AM38</f>
        <v>-343577</v>
      </c>
      <c r="AE38" s="16" t="n">
        <f aca="false">Data!AN27+Data!AN28+Data!AN29+Data!AN30+Data!AN31+Data!AN32+Data!AN33+Data!AN34+Data!AN35+Data!AN36+Data!AN37+Data!AN38</f>
        <v>293745</v>
      </c>
      <c r="AF38" s="15" t="n">
        <f aca="false">Data!AO27+Data!AO28+Data!AO29+Data!AO30+Data!AO31+Data!AO32+Data!AO33+Data!AO34+Data!AO35+Data!AO36+Data!AO37+Data!AO38</f>
        <v>-637322</v>
      </c>
    </row>
    <row r="39" customFormat="false" ht="15" hidden="false" customHeight="false" outlineLevel="0" collapsed="false">
      <c r="B39" s="14" t="str">
        <f aca="false">Data!B39</f>
        <v>2018-09</v>
      </c>
      <c r="C39" s="15" t="n">
        <f aca="false">Data!D28+Data!E28+Data!F28+Data!G28+Data!H28+Data!I28+Data!J28+Data!K28+Data!L28+Data!M28+Data!N28+Data!O28+Data!P28+Data!Q28+Data!R28+Data!S28+Data!D29+Data!E29+Data!F29+Data!G29+Data!H29+Data!I29+Data!J29+Data!K29+Data!L29+Data!M29+Data!N29+Data!O29+Data!P29+Data!Q29+Data!R29+Data!S29+Data!D30+Data!E30+Data!F30+Data!G30+Data!H30+Data!I30+Data!J30+Data!K30+Data!L30+Data!M30+Data!N30+Data!O30+Data!P30+Data!Q30+Data!R30+Data!S30+Data!D31+Data!E31+Data!F31+Data!G31+Data!H31+Data!I31+Data!J31+Data!K31+Data!L31+Data!M31+Data!N31+Data!O31+Data!P31+Data!Q31+Data!R31+Data!S31+Data!D32+Data!E32+Data!F32+Data!G32+Data!H32+Data!I32+Data!J32+Data!K32+Data!L32+Data!M32+Data!N32+Data!O32+Data!P32+Data!Q32+Data!R32+Data!S32+Data!D33+Data!E33+Data!F33+Data!G33+Data!H33+Data!I33+Data!J33+Data!K33+Data!L33+Data!M33+Data!N33+Data!O33+Data!P33+Data!Q33+Data!R33+Data!S33+Data!D34+Data!E34+Data!F34+Data!G34+Data!H34+Data!I34+Data!J34+Data!K34+Data!L34+Data!M34+Data!N34+Data!O34+Data!P34+Data!Q34+Data!R34+Data!S34+Data!D35+Data!E35+Data!F35+Data!G35+Data!H35+Data!I35+Data!J35+Data!K35+Data!L35+Data!M35+Data!N35+Data!O35+Data!P35+Data!Q35+Data!R35+Data!S35+Data!D36+Data!E36+Data!F36+Data!G36+Data!H36+Data!I36+Data!J36+Data!K36+Data!L36+Data!M36+Data!N36+Data!O36+Data!P36+Data!Q36+Data!R36+Data!S36+Data!D37+Data!E37+Data!F37+Data!G37+Data!H37+Data!I37+Data!J37+Data!K37+Data!L37+Data!M37+Data!N37+Data!O37+Data!P37+Data!Q37+Data!R37+Data!S37+Data!D38+Data!E38+Data!F38+Data!G38+Data!H38+Data!I38+Data!J38+Data!K38+Data!L38+Data!M38+Data!N38+Data!O38+Data!P38+Data!Q38+Data!R38+Data!S38+Data!D39+Data!E39+Data!F39+Data!G39+Data!H39+Data!I39+Data!J39+Data!K39+Data!L39+Data!M39+Data!N39+Data!O39+Data!P39+Data!Q39+Data!R39+Data!S39</f>
        <v>2410173</v>
      </c>
      <c r="D39" s="16" t="n">
        <f aca="false">Data!D28+Data!E28+Data!G28+Data!H28+Data!I28+Data!J28+Data!K28+Data!L28+Data!M28+Data!D29+Data!E29+Data!G29+Data!H29+Data!I29+Data!J29+Data!K29+Data!L29+Data!M29+Data!D30+Data!E30+Data!G30+Data!H30+Data!I30+Data!J30+Data!K30+Data!L30+Data!M30+Data!D31+Data!E31+Data!G31+Data!H31+Data!I31+Data!J31+Data!K31+Data!L31+Data!M31+Data!D32+Data!E32+Data!G32+Data!H32+Data!I32+Data!J32+Data!K32+Data!L32+Data!M32+Data!D33+Data!E33+Data!G33+Data!H33+Data!I33+Data!J33+Data!K33+Data!L33+Data!M33+Data!D34+Data!E34+Data!G34+Data!H34+Data!I34+Data!J34+Data!K34+Data!L34+Data!M34+Data!D35+Data!E35+Data!G35+Data!H35+Data!I35+Data!J35+Data!K35+Data!L35+Data!M35+Data!D36+Data!E36+Data!G36+Data!H36+Data!I36+Data!J36+Data!K36+Data!L36+Data!M36+Data!D37+Data!E37+Data!G37+Data!H37+Data!I37+Data!J37+Data!K37+Data!L37+Data!M37+Data!D38+Data!E38+Data!G38+Data!H38+Data!I38+Data!J38+Data!K38+Data!L38+Data!M38+Data!D39+Data!E39+Data!G39+Data!H39+Data!I39+Data!J39+Data!K39+Data!L39+Data!M39</f>
        <v>1297482</v>
      </c>
      <c r="E39" s="16" t="n">
        <f aca="false">Data!D28+Data!D29+Data!D30+Data!D31+Data!D32+Data!D33+Data!D34+Data!D35+Data!D36+Data!D37+Data!D38+Data!D39</f>
        <v>459043</v>
      </c>
      <c r="F39" s="16" t="n">
        <f aca="false">Data!E28+Data!E29+Data!E30+Data!E31+Data!E32+Data!E33+Data!E34+Data!E35+Data!E36+Data!E37+Data!E38+Data!E39</f>
        <v>283360</v>
      </c>
      <c r="G39" s="16" t="n">
        <f aca="false">Data!K28+Data!K29+Data!K30+Data!K31+Data!K32+Data!K33+Data!K34+Data!K35+Data!K36+Data!K37+Data!K38+Data!K39</f>
        <v>65050</v>
      </c>
      <c r="H39" s="16" t="n">
        <f aca="false">Data!L28+Data!L29+Data!L30+Data!L31+Data!L32+Data!L33+Data!L34+Data!L35+Data!L36+Data!L37+Data!L38+Data!L39</f>
        <v>93770</v>
      </c>
      <c r="I39" s="16" t="n">
        <f aca="false">Data!G28+Data!G29+Data!G30+Data!G31+Data!G32+Data!G33+Data!G34+Data!G35+Data!G36+Data!G37+Data!G38+Data!G39</f>
        <v>202537</v>
      </c>
      <c r="J39" s="16" t="n">
        <f aca="false">Data!H28+Data!I28+Data!J28+Data!M28+Data!H29+Data!I29+Data!J29+Data!M29+Data!H30+Data!I30+Data!J30+Data!M30+Data!H31+Data!I31+Data!J31+Data!M31+Data!H32+Data!I32+Data!J32+Data!M32+Data!H33+Data!I33+Data!J33+Data!M33+Data!H34+Data!I34+Data!J34+Data!M34+Data!H35+Data!I35+Data!J35+Data!M35+Data!H36+Data!I36+Data!J36+Data!M36+Data!H37+Data!I37+Data!J37+Data!M37+Data!H38+Data!I38+Data!J38+Data!M38+Data!H39+Data!I39+Data!J39+Data!M39</f>
        <v>193722</v>
      </c>
      <c r="K39" s="16" t="n">
        <f aca="false">Data!F28+Data!F29+Data!F30+Data!F31+Data!F32+Data!F33+Data!F34+Data!F35+Data!F36+Data!F37+Data!F38+Data!F39</f>
        <v>861313</v>
      </c>
      <c r="L39" s="16" t="n">
        <f aca="false">Data!N28+Data!O28+Data!P28+Data!Q28+Data!R28+Data!S28+Data!N29+Data!O29+Data!P29+Data!Q29+Data!R29+Data!S29+Data!N30+Data!O30+Data!P30+Data!Q30+Data!R30+Data!S30+Data!N31+Data!O31+Data!P31+Data!Q31+Data!R31+Data!S31+Data!N32+Data!O32+Data!P32+Data!Q32+Data!R32+Data!S32+Data!N33+Data!O33+Data!P33+Data!Q33+Data!R33+Data!S33+Data!N34+Data!O34+Data!P34+Data!Q34+Data!R34+Data!S34+Data!N35+Data!O35+Data!P35+Data!Q35+Data!R35+Data!S35+Data!N36+Data!O36+Data!P36+Data!Q36+Data!R36+Data!S36+Data!N37+Data!O37+Data!P37+Data!Q37+Data!R37+Data!S37+Data!N38+Data!O38+Data!P38+Data!Q38+Data!R38+Data!S38+Data!N39+Data!O39+Data!P39+Data!Q39+Data!R39+Data!S39</f>
        <v>251378</v>
      </c>
      <c r="M39" s="15" t="n">
        <f aca="false">Data!T28+Data!U28+Data!V28+Data!W28+Data!X28+Data!Y28+Data!Z28+Data!AA28+Data!AB28+Data!AC28+Data!AD28+Data!AE28+Data!AF28+Data!AG28+Data!AH28+Data!AI28+Data!AJ28+Data!AK28+Data!AL28+Data!T29+Data!U29+Data!V29+Data!W29+Data!X29+Data!Y29+Data!Z29+Data!AA29+Data!AB29+Data!AC29+Data!AD29+Data!AE29+Data!AF29+Data!AG29+Data!AH29+Data!AI29+Data!AJ29+Data!AK29+Data!AL29+Data!T30+Data!U30+Data!V30+Data!W30+Data!X30+Data!Y30+Data!Z30+Data!AA30+Data!AB30+Data!AC30+Data!AD30+Data!AE30+Data!AF30+Data!AG30+Data!AH30+Data!AI30+Data!AJ30+Data!AK30+Data!AL30+Data!T31+Data!U31+Data!V31+Data!W31+Data!X31+Data!Y31+Data!Z31+Data!AA31+Data!AB31+Data!AC31+Data!AD31+Data!AE31+Data!AF31+Data!AG31+Data!AH31+Data!AI31+Data!AJ31+Data!AK31+Data!AL31+Data!T32+Data!U32+Data!V32+Data!W32+Data!X32+Data!Y32+Data!Z32+Data!AA32+Data!AB32+Data!AC32+Data!AD32+Data!AE32+Data!AF32+Data!AG32+Data!AH32+Data!AI32+Data!AJ32+Data!AK32+Data!AL32+Data!T33+Data!U33+Data!V33+Data!W33+Data!X33+Data!Y33+Data!Z33+Data!AA33+Data!AB33+Data!AC33+Data!AD33+Data!AE33+Data!AF33+Data!AG33+Data!AH33+Data!AI33+Data!AJ33+Data!AK33+Data!AL33+Data!T34+Data!U34+Data!V34+Data!W34+Data!X34+Data!Y34+Data!Z34+Data!AA34+Data!AB34+Data!AC34+Data!AD34+Data!AE34+Data!AF34+Data!AG34+Data!AH34+Data!AI34+Data!AJ34+Data!AK34+Data!AL34+Data!T35+Data!U35+Data!V35+Data!W35+Data!X35+Data!Y35+Data!Z35+Data!AA35+Data!AB35+Data!AC35+Data!AD35+Data!AE35+Data!AF35+Data!AG35+Data!AH35+Data!AI35+Data!AJ35+Data!AK35+Data!AL35+Data!T36+Data!U36+Data!V36+Data!W36+Data!X36+Data!Y36+Data!Z36+Data!AA36+Data!AB36+Data!AC36+Data!AD36+Data!AE36+Data!AF36+Data!AG36+Data!AH36+Data!AI36+Data!AJ36+Data!AK36+Data!AL36+Data!T37+Data!U37+Data!V37+Data!W37+Data!X37+Data!Y37+Data!Z37+Data!AA37+Data!AB37+Data!AC37+Data!AD37+Data!AE37+Data!AF37+Data!AG37+Data!AH37+Data!AI37+Data!AJ37+Data!AK37+Data!AL37+Data!T38+Data!U38+Data!V38+Data!W38+Data!X38+Data!Y38+Data!Z38+Data!AA38+Data!AB38+Data!AC38+Data!AD38+Data!AE38+Data!AF38+Data!AG38+Data!AH38+Data!AI38+Data!AJ38+Data!AK38+Data!AL38+Data!T39+Data!U39+Data!V39+Data!W39+Data!X39+Data!Y39+Data!Z39+Data!AA39+Data!AB39+Data!AC39+Data!AD39+Data!AE39+Data!AF39+Data!AG39+Data!AH39+Data!AI39+Data!AJ39+Data!AK39+Data!AL39</f>
        <v>2745251</v>
      </c>
      <c r="N39" s="16" t="n">
        <f aca="false">Data!T28+Data!U28+Data!V28+Data!W28+Data!T29+Data!U29+Data!V29+Data!W29+Data!T30+Data!U30+Data!V30+Data!W30+Data!T31+Data!U31+Data!V31+Data!W31+Data!T32+Data!U32+Data!V32+Data!W32+Data!T33+Data!U33+Data!V33+Data!W33+Data!T34+Data!U34+Data!V34+Data!W34+Data!T35+Data!U35+Data!V35+Data!W35+Data!T36+Data!U36+Data!V36+Data!W36+Data!T37+Data!U37+Data!V37+Data!W37+Data!T38+Data!U38+Data!V38+Data!W38+Data!T39+Data!U39+Data!V39+Data!W39</f>
        <v>1513412</v>
      </c>
      <c r="O39" s="16" t="n">
        <f aca="false">Data!T28+Data!T29+Data!T30+Data!T31+Data!T32+Data!T33+Data!T34+Data!T35+Data!T36+Data!T37+Data!T38+Data!T39</f>
        <v>1106139</v>
      </c>
      <c r="P39" s="16" t="n">
        <f aca="false">Data!U28+Data!U29+Data!U30+Data!U31+Data!U32+Data!U33+Data!U34+Data!U35+Data!U36+Data!U37+Data!U38+Data!U39</f>
        <v>171238</v>
      </c>
      <c r="Q39" s="16" t="n">
        <f aca="false">Data!V28+Data!V29+Data!V30+Data!V31+Data!V32+Data!V33+Data!V34+Data!V35+Data!V36+Data!V37+Data!V38+Data!V39</f>
        <v>113582</v>
      </c>
      <c r="R39" s="16" t="n">
        <f aca="false">Data!W28+Data!W29+Data!W30+Data!W31+Data!W32+Data!W33+Data!W34+Data!W35+Data!W36+Data!W37+Data!W38+Data!W39</f>
        <v>122453</v>
      </c>
      <c r="S39" s="16" t="n">
        <f aca="false">Data!X28+Data!X29+Data!X30+Data!X31+Data!X32+Data!X33+Data!X34+Data!X35+Data!X36+Data!X37+Data!X38+Data!X39</f>
        <v>49333</v>
      </c>
      <c r="T39" s="16" t="n">
        <f aca="false">Data!Y28+Data!Z28+Data!AA28+Data!Y29+Data!Z29+Data!AA29+Data!Y30+Data!Z30+Data!AA30+Data!Y31+Data!Z31+Data!AA31+Data!Y32+Data!Z32+Data!AA32+Data!Y33+Data!Z33+Data!AA33+Data!Y34+Data!Z34+Data!AA34+Data!Y35+Data!Z35+Data!AA35+Data!Y36+Data!Z36+Data!AA36+Data!Y37+Data!Z37+Data!AA37+Data!Y38+Data!Z38+Data!AA38+Data!Y39+Data!Z39+Data!AA39</f>
        <v>258408</v>
      </c>
      <c r="U39" s="16" t="n">
        <f aca="false">Data!Y28+Data!Y29+Data!Y30+Data!Y31+Data!Y32+Data!Y33+Data!Y34+Data!Y35+Data!Y36+Data!Y37+Data!Y38+Data!Y39</f>
        <v>157265</v>
      </c>
      <c r="V39" s="16" t="n">
        <f aca="false">Data!Z28+Data!Z29+Data!Z30+Data!Z31+Data!Z32+Data!Z33+Data!Z34+Data!Z35+Data!Z36+Data!Z37+Data!Z38+Data!Z39</f>
        <v>98504</v>
      </c>
      <c r="W39" s="16" t="n">
        <f aca="false">Data!AB28+Data!AB29+Data!AB30+Data!AB31+Data!AB32+Data!AB33+Data!AB34+Data!AB35+Data!AB36+Data!AB37+Data!AB38+Data!AB39</f>
        <v>375540</v>
      </c>
      <c r="X39" s="16" t="n">
        <f aca="false">Data!AC28+Data!AC29+Data!AC30+Data!AC31+Data!AC32+Data!AC33+Data!AC34+Data!AC35+Data!AC36+Data!AC37+Data!AC38+Data!AC39</f>
        <v>118550</v>
      </c>
      <c r="Y39" s="16" t="n">
        <f aca="false">Data!AD28+Data!AE28+Data!AF28+Data!AG28+Data!AH28+Data!AD29+Data!AE29+Data!AF29+Data!AG29+Data!AH29+Data!AD30+Data!AE30+Data!AF30+Data!AG30+Data!AH30+Data!AD31+Data!AE31+Data!AF31+Data!AG31+Data!AH31+Data!AD32+Data!AE32+Data!AF32+Data!AG32+Data!AH32+Data!AD33+Data!AE33+Data!AF33+Data!AG33+Data!AH33+Data!AD34+Data!AE34+Data!AF34+Data!AG34+Data!AH34+Data!AD35+Data!AE35+Data!AF35+Data!AG35+Data!AH35+Data!AD36+Data!AE36+Data!AF36+Data!AG36+Data!AH36+Data!AD37+Data!AE37+Data!AF37+Data!AG37+Data!AH37+Data!AD38+Data!AE38+Data!AF38+Data!AG38+Data!AH38+Data!AD39+Data!AE39+Data!AF39+Data!AG39+Data!AH39</f>
        <v>83056</v>
      </c>
      <c r="Z39" s="16" t="n">
        <f aca="false">Data!AI28+Data!AI29+Data!AI30+Data!AI31+Data!AI32+Data!AI33+Data!AI34+Data!AI35+Data!AI36+Data!AI37+Data!AI38+Data!AI39</f>
        <v>100208</v>
      </c>
      <c r="AA39" s="16" t="n">
        <f aca="false">Data!AJ28+Data!AJ29+Data!AJ30+Data!AJ31+Data!AJ32+Data!AJ33+Data!AJ34+Data!AJ35+Data!AJ36+Data!AJ37+Data!AJ38+Data!AJ39</f>
        <v>6346</v>
      </c>
      <c r="AB39" s="16" t="n">
        <f aca="false">Data!AK28+Data!AK29+Data!AK30+Data!AK31+Data!AK32+Data!AK33+Data!AK34+Data!AK35+Data!AK36+Data!AK37+Data!AK38+Data!AK39</f>
        <v>53730</v>
      </c>
      <c r="AC39" s="16" t="n">
        <f aca="false">Data!AL28+Data!AL29+Data!AL30+Data!AL31+Data!AL32+Data!AL33+Data!AL34+Data!AL35+Data!AL36+Data!AL37+Data!AL38+Data!AL39</f>
        <v>186668</v>
      </c>
      <c r="AD39" s="15" t="n">
        <f aca="false">Data!AM28+Data!AM29+Data!AM30+Data!AM31+Data!AM32+Data!AM33+Data!AM34+Data!AM35+Data!AM36+Data!AM37+Data!AM38+Data!AM39</f>
        <v>-335078</v>
      </c>
      <c r="AE39" s="16" t="n">
        <f aca="false">Data!AN28+Data!AN29+Data!AN30+Data!AN31+Data!AN32+Data!AN33+Data!AN34+Data!AN35+Data!AN36+Data!AN37+Data!AN38+Data!AN39</f>
        <v>306925</v>
      </c>
      <c r="AF39" s="15" t="n">
        <f aca="false">Data!AO28+Data!AO29+Data!AO30+Data!AO31+Data!AO32+Data!AO33+Data!AO34+Data!AO35+Data!AO36+Data!AO37+Data!AO38+Data!AO39</f>
        <v>-642003</v>
      </c>
    </row>
    <row r="40" customFormat="false" ht="15" hidden="false" customHeight="false" outlineLevel="0" collapsed="false">
      <c r="B40" s="14" t="str">
        <f aca="false">Data!B40</f>
        <v>2018-10</v>
      </c>
      <c r="C40" s="15" t="n">
        <f aca="false">Data!D29+Data!E29+Data!F29+Data!G29+Data!H29+Data!I29+Data!J29+Data!K29+Data!L29+Data!M29+Data!N29+Data!O29+Data!P29+Data!Q29+Data!R29+Data!S29+Data!D30+Data!E30+Data!F30+Data!G30+Data!H30+Data!I30+Data!J30+Data!K30+Data!L30+Data!M30+Data!N30+Data!O30+Data!P30+Data!Q30+Data!R30+Data!S30+Data!D31+Data!E31+Data!F31+Data!G31+Data!H31+Data!I31+Data!J31+Data!K31+Data!L31+Data!M31+Data!N31+Data!O31+Data!P31+Data!Q31+Data!R31+Data!S31+Data!D32+Data!E32+Data!F32+Data!G32+Data!H32+Data!I32+Data!J32+Data!K32+Data!L32+Data!M32+Data!N32+Data!O32+Data!P32+Data!Q32+Data!R32+Data!S32+Data!D33+Data!E33+Data!F33+Data!G33+Data!H33+Data!I33+Data!J33+Data!K33+Data!L33+Data!M33+Data!N33+Data!O33+Data!P33+Data!Q33+Data!R33+Data!S33+Data!D34+Data!E34+Data!F34+Data!G34+Data!H34+Data!I34+Data!J34+Data!K34+Data!L34+Data!M34+Data!N34+Data!O34+Data!P34+Data!Q34+Data!R34+Data!S34+Data!D35+Data!E35+Data!F35+Data!G35+Data!H35+Data!I35+Data!J35+Data!K35+Data!L35+Data!M35+Data!N35+Data!O35+Data!P35+Data!Q35+Data!R35+Data!S35+Data!D36+Data!E36+Data!F36+Data!G36+Data!H36+Data!I36+Data!J36+Data!K36+Data!L36+Data!M36+Data!N36+Data!O36+Data!P36+Data!Q36+Data!R36+Data!S36+Data!D37+Data!E37+Data!F37+Data!G37+Data!H37+Data!I37+Data!J37+Data!K37+Data!L37+Data!M37+Data!N37+Data!O37+Data!P37+Data!Q37+Data!R37+Data!S37+Data!D38+Data!E38+Data!F38+Data!G38+Data!H38+Data!I38+Data!J38+Data!K38+Data!L38+Data!M38+Data!N38+Data!O38+Data!P38+Data!Q38+Data!R38+Data!S38+Data!D39+Data!E39+Data!F39+Data!G39+Data!H39+Data!I39+Data!J39+Data!K39+Data!L39+Data!M39+Data!N39+Data!O39+Data!P39+Data!Q39+Data!R39+Data!S39+Data!D40+Data!E40+Data!F40+Data!G40+Data!H40+Data!I40+Data!J40+Data!K40+Data!L40+Data!M40+Data!N40+Data!O40+Data!P40+Data!Q40+Data!R40+Data!S40</f>
        <v>2487196</v>
      </c>
      <c r="D40" s="16" t="n">
        <f aca="false">Data!D29+Data!E29+Data!G29+Data!H29+Data!I29+Data!J29+Data!K29+Data!L29+Data!M29+Data!D30+Data!E30+Data!G30+Data!H30+Data!I30+Data!J30+Data!K30+Data!L30+Data!M30+Data!D31+Data!E31+Data!G31+Data!H31+Data!I31+Data!J31+Data!K31+Data!L31+Data!M31+Data!D32+Data!E32+Data!G32+Data!H32+Data!I32+Data!J32+Data!K32+Data!L32+Data!M32+Data!D33+Data!E33+Data!G33+Data!H33+Data!I33+Data!J33+Data!K33+Data!L33+Data!M33+Data!D34+Data!E34+Data!G34+Data!H34+Data!I34+Data!J34+Data!K34+Data!L34+Data!M34+Data!D35+Data!E35+Data!G35+Data!H35+Data!I35+Data!J35+Data!K35+Data!L35+Data!M35+Data!D36+Data!E36+Data!G36+Data!H36+Data!I36+Data!J36+Data!K36+Data!L36+Data!M36+Data!D37+Data!E37+Data!G37+Data!H37+Data!I37+Data!J37+Data!K37+Data!L37+Data!M37+Data!D38+Data!E38+Data!G38+Data!H38+Data!I38+Data!J38+Data!K38+Data!L38+Data!M38+Data!D39+Data!E39+Data!G39+Data!H39+Data!I39+Data!J39+Data!K39+Data!L39+Data!M39+Data!D40+Data!E40+Data!G40+Data!H40+Data!I40+Data!J40+Data!K40+Data!L40+Data!M40</f>
        <v>1344102</v>
      </c>
      <c r="E40" s="16" t="n">
        <f aca="false">Data!D29+Data!D30+Data!D31+Data!D32+Data!D33+Data!D34+Data!D35+Data!D36+Data!D37+Data!D38+Data!D39+Data!D40</f>
        <v>477461</v>
      </c>
      <c r="F40" s="16" t="n">
        <f aca="false">Data!E29+Data!E30+Data!E31+Data!E32+Data!E33+Data!E34+Data!E35+Data!E36+Data!E37+Data!E38+Data!E39+Data!E40</f>
        <v>283699</v>
      </c>
      <c r="G40" s="16" t="n">
        <f aca="false">Data!K29+Data!K30+Data!K31+Data!K32+Data!K33+Data!K34+Data!K35+Data!K36+Data!K37+Data!K38+Data!K39+Data!K40</f>
        <v>76124</v>
      </c>
      <c r="H40" s="16" t="n">
        <f aca="false">Data!L29+Data!L30+Data!L31+Data!L32+Data!L33+Data!L34+Data!L35+Data!L36+Data!L37+Data!L38+Data!L39+Data!L40</f>
        <v>98628</v>
      </c>
      <c r="I40" s="16" t="n">
        <f aca="false">Data!G29+Data!G30+Data!G31+Data!G32+Data!G33+Data!G34+Data!G35+Data!G36+Data!G37+Data!G38+Data!G39+Data!G40</f>
        <v>211860</v>
      </c>
      <c r="J40" s="16" t="n">
        <f aca="false">Data!H29+Data!I29+Data!J29+Data!M29+Data!H30+Data!I30+Data!J30+Data!M30+Data!H31+Data!I31+Data!J31+Data!M31+Data!H32+Data!I32+Data!J32+Data!M32+Data!H33+Data!I33+Data!J33+Data!M33+Data!H34+Data!I34+Data!J34+Data!M34+Data!H35+Data!I35+Data!J35+Data!M35+Data!H36+Data!I36+Data!J36+Data!M36+Data!H37+Data!I37+Data!J37+Data!M37+Data!H38+Data!I38+Data!J38+Data!M38+Data!H39+Data!I39+Data!J39+Data!M39+Data!H40+Data!I40+Data!J40+Data!M40</f>
        <v>196330</v>
      </c>
      <c r="K40" s="16" t="n">
        <f aca="false">Data!F29+Data!F30+Data!F31+Data!F32+Data!F33+Data!F34+Data!F35+Data!F36+Data!F37+Data!F38+Data!F39+Data!F40</f>
        <v>874685</v>
      </c>
      <c r="L40" s="16" t="n">
        <f aca="false">Data!N29+Data!O29+Data!P29+Data!Q29+Data!R29+Data!S29+Data!N30+Data!O30+Data!P30+Data!Q30+Data!R30+Data!S30+Data!N31+Data!O31+Data!P31+Data!Q31+Data!R31+Data!S31+Data!N32+Data!O32+Data!P32+Data!Q32+Data!R32+Data!S32+Data!N33+Data!O33+Data!P33+Data!Q33+Data!R33+Data!S33+Data!N34+Data!O34+Data!P34+Data!Q34+Data!R34+Data!S34+Data!N35+Data!O35+Data!P35+Data!Q35+Data!R35+Data!S35+Data!N36+Data!O36+Data!P36+Data!Q36+Data!R36+Data!S36+Data!N37+Data!O37+Data!P37+Data!Q37+Data!R37+Data!S37+Data!N38+Data!O38+Data!P38+Data!Q38+Data!R38+Data!S38+Data!N39+Data!O39+Data!P39+Data!Q39+Data!R39+Data!S39+Data!N40+Data!O40+Data!P40+Data!Q40+Data!R40+Data!S40</f>
        <v>268409</v>
      </c>
      <c r="M40" s="15" t="n">
        <f aca="false">Data!T29+Data!U29+Data!V29+Data!W29+Data!X29+Data!Y29+Data!Z29+Data!AA29+Data!AB29+Data!AC29+Data!AD29+Data!AE29+Data!AF29+Data!AG29+Data!AH29+Data!AI29+Data!AJ29+Data!AK29+Data!AL29+Data!T30+Data!U30+Data!V30+Data!W30+Data!X30+Data!Y30+Data!Z30+Data!AA30+Data!AB30+Data!AC30+Data!AD30+Data!AE30+Data!AF30+Data!AG30+Data!AH30+Data!AI30+Data!AJ30+Data!AK30+Data!AL30+Data!T31+Data!U31+Data!V31+Data!W31+Data!X31+Data!Y31+Data!Z31+Data!AA31+Data!AB31+Data!AC31+Data!AD31+Data!AE31+Data!AF31+Data!AG31+Data!AH31+Data!AI31+Data!AJ31+Data!AK31+Data!AL31+Data!T32+Data!U32+Data!V32+Data!W32+Data!X32+Data!Y32+Data!Z32+Data!AA32+Data!AB32+Data!AC32+Data!AD32+Data!AE32+Data!AF32+Data!AG32+Data!AH32+Data!AI32+Data!AJ32+Data!AK32+Data!AL32+Data!T33+Data!U33+Data!V33+Data!W33+Data!X33+Data!Y33+Data!Z33+Data!AA33+Data!AB33+Data!AC33+Data!AD33+Data!AE33+Data!AF33+Data!AG33+Data!AH33+Data!AI33+Data!AJ33+Data!AK33+Data!AL33+Data!T34+Data!U34+Data!V34+Data!W34+Data!X34+Data!Y34+Data!Z34+Data!AA34+Data!AB34+Data!AC34+Data!AD34+Data!AE34+Data!AF34+Data!AG34+Data!AH34+Data!AI34+Data!AJ34+Data!AK34+Data!AL34+Data!T35+Data!U35+Data!V35+Data!W35+Data!X35+Data!Y35+Data!Z35+Data!AA35+Data!AB35+Data!AC35+Data!AD35+Data!AE35+Data!AF35+Data!AG35+Data!AH35+Data!AI35+Data!AJ35+Data!AK35+Data!AL35+Data!T36+Data!U36+Data!V36+Data!W36+Data!X36+Data!Y36+Data!Z36+Data!AA36+Data!AB36+Data!AC36+Data!AD36+Data!AE36+Data!AF36+Data!AG36+Data!AH36+Data!AI36+Data!AJ36+Data!AK36+Data!AL36+Data!T37+Data!U37+Data!V37+Data!W37+Data!X37+Data!Y37+Data!Z37+Data!AA37+Data!AB37+Data!AC37+Data!AD37+Data!AE37+Data!AF37+Data!AG37+Data!AH37+Data!AI37+Data!AJ37+Data!AK37+Data!AL37+Data!T38+Data!U38+Data!V38+Data!W38+Data!X38+Data!Y38+Data!Z38+Data!AA38+Data!AB38+Data!AC38+Data!AD38+Data!AE38+Data!AF38+Data!AG38+Data!AH38+Data!AI38+Data!AJ38+Data!AK38+Data!AL38+Data!T39+Data!U39+Data!V39+Data!W39+Data!X39+Data!Y39+Data!Z39+Data!AA39+Data!AB39+Data!AC39+Data!AD39+Data!AE39+Data!AF39+Data!AG39+Data!AH39+Data!AI39+Data!AJ39+Data!AK39+Data!AL39+Data!T40+Data!U40+Data!V40+Data!W40+Data!X40+Data!Y40+Data!Z40+Data!AA40+Data!AB40+Data!AC40+Data!AD40+Data!AE40+Data!AF40+Data!AG40+Data!AH40+Data!AI40+Data!AJ40+Data!AK40+Data!AL40</f>
        <v>2806365</v>
      </c>
      <c r="N40" s="16" t="n">
        <f aca="false">Data!T29+Data!U29+Data!V29+Data!W29+Data!T30+Data!U30+Data!V30+Data!W30+Data!T31+Data!U31+Data!V31+Data!W31+Data!T32+Data!U32+Data!V32+Data!W32+Data!T33+Data!U33+Data!V33+Data!W33+Data!T34+Data!U34+Data!V34+Data!W34+Data!T35+Data!U35+Data!V35+Data!W35+Data!T36+Data!U36+Data!V36+Data!W36+Data!T37+Data!U37+Data!V37+Data!W37+Data!T38+Data!U38+Data!V38+Data!W38+Data!T39+Data!U39+Data!V39+Data!W39+Data!T40+Data!U40+Data!V40+Data!W40</f>
        <v>1536987</v>
      </c>
      <c r="O40" s="16" t="n">
        <f aca="false">Data!T29+Data!T30+Data!T31+Data!T32+Data!T33+Data!T34+Data!T35+Data!T36+Data!T37+Data!T38+Data!T39+Data!T40</f>
        <v>1122800</v>
      </c>
      <c r="P40" s="16" t="n">
        <f aca="false">Data!U29+Data!U30+Data!U31+Data!U32+Data!U33+Data!U34+Data!U35+Data!U36+Data!U37+Data!U38+Data!U39+Data!U40</f>
        <v>173993</v>
      </c>
      <c r="Q40" s="16" t="n">
        <f aca="false">Data!V29+Data!V30+Data!V31+Data!V32+Data!V33+Data!V34+Data!V35+Data!V36+Data!V37+Data!V38+Data!V39+Data!V40</f>
        <v>115359</v>
      </c>
      <c r="R40" s="16" t="n">
        <f aca="false">Data!W29+Data!W30+Data!W31+Data!W32+Data!W33+Data!W34+Data!W35+Data!W36+Data!W37+Data!W38+Data!W39+Data!W40</f>
        <v>124835</v>
      </c>
      <c r="S40" s="16" t="n">
        <f aca="false">Data!X29+Data!X30+Data!X31+Data!X32+Data!X33+Data!X34+Data!X35+Data!X36+Data!X37+Data!X38+Data!X39+Data!X40</f>
        <v>52082</v>
      </c>
      <c r="T40" s="16" t="n">
        <f aca="false">Data!Y29+Data!Z29+Data!AA29+Data!Y30+Data!Z30+Data!AA30+Data!Y31+Data!Z31+Data!AA31+Data!Y32+Data!Z32+Data!AA32+Data!Y33+Data!Z33+Data!AA33+Data!Y34+Data!Z34+Data!AA34+Data!Y35+Data!Z35+Data!AA35+Data!Y36+Data!Z36+Data!AA36+Data!Y37+Data!Z37+Data!AA37+Data!Y38+Data!Z38+Data!AA38+Data!Y39+Data!Z39+Data!AA39+Data!Y40+Data!Z40+Data!AA40</f>
        <v>270703</v>
      </c>
      <c r="U40" s="16" t="n">
        <f aca="false">Data!Y29+Data!Y30+Data!Y31+Data!Y32+Data!Y33+Data!Y34+Data!Y35+Data!Y36+Data!Y37+Data!Y38+Data!Y39+Data!Y40</f>
        <v>167575</v>
      </c>
      <c r="V40" s="16" t="n">
        <f aca="false">Data!Z29+Data!Z30+Data!Z31+Data!Z32+Data!Z33+Data!Z34+Data!Z35+Data!Z36+Data!Z37+Data!Z38+Data!Z39+Data!Z40</f>
        <v>101213</v>
      </c>
      <c r="W40" s="16" t="n">
        <f aca="false">Data!AB29+Data!AB30+Data!AB31+Data!AB32+Data!AB33+Data!AB34+Data!AB35+Data!AB36+Data!AB37+Data!AB38+Data!AB39+Data!AB40</f>
        <v>381343</v>
      </c>
      <c r="X40" s="16" t="n">
        <f aca="false">Data!AC29+Data!AC30+Data!AC31+Data!AC32+Data!AC33+Data!AC34+Data!AC35+Data!AC36+Data!AC37+Data!AC38+Data!AC39+Data!AC40</f>
        <v>124503</v>
      </c>
      <c r="Y40" s="16" t="n">
        <f aca="false">Data!AD29+Data!AE29+Data!AF29+Data!AG29+Data!AH29+Data!AD30+Data!AE30+Data!AF30+Data!AG30+Data!AH30+Data!AD31+Data!AE31+Data!AF31+Data!AG31+Data!AH31+Data!AD32+Data!AE32+Data!AF32+Data!AG32+Data!AH32+Data!AD33+Data!AE33+Data!AF33+Data!AG33+Data!AH33+Data!AD34+Data!AE34+Data!AF34+Data!AG34+Data!AH34+Data!AD35+Data!AE35+Data!AF35+Data!AG35+Data!AH35+Data!AD36+Data!AE36+Data!AF36+Data!AG36+Data!AH36+Data!AD37+Data!AE37+Data!AF37+Data!AG37+Data!AH37+Data!AD38+Data!AE38+Data!AF38+Data!AG38+Data!AH38+Data!AD39+Data!AE39+Data!AF39+Data!AG39+Data!AH39+Data!AD40+Data!AE40+Data!AF40+Data!AG40+Data!AH40</f>
        <v>84746</v>
      </c>
      <c r="Z40" s="16" t="n">
        <f aca="false">Data!AI29+Data!AI30+Data!AI31+Data!AI32+Data!AI33+Data!AI34+Data!AI35+Data!AI36+Data!AI37+Data!AI38+Data!AI39+Data!AI40</f>
        <v>101901</v>
      </c>
      <c r="AA40" s="16" t="n">
        <f aca="false">Data!AJ29+Data!AJ30+Data!AJ31+Data!AJ32+Data!AJ33+Data!AJ34+Data!AJ35+Data!AJ36+Data!AJ37+Data!AJ38+Data!AJ39+Data!AJ40</f>
        <v>5503</v>
      </c>
      <c r="AB40" s="16" t="n">
        <f aca="false">Data!AK29+Data!AK30+Data!AK31+Data!AK32+Data!AK33+Data!AK34+Data!AK35+Data!AK36+Data!AK37+Data!AK38+Data!AK39+Data!AK40</f>
        <v>54890</v>
      </c>
      <c r="AC40" s="16" t="n">
        <f aca="false">Data!AL29+Data!AL30+Data!AL31+Data!AL32+Data!AL33+Data!AL34+Data!AL35+Data!AL36+Data!AL37+Data!AL38+Data!AL39+Data!AL40</f>
        <v>193707</v>
      </c>
      <c r="AD40" s="15" t="n">
        <f aca="false">Data!AM29+Data!AM30+Data!AM31+Data!AM32+Data!AM33+Data!AM34+Data!AM35+Data!AM36+Data!AM37+Data!AM38+Data!AM39+Data!AM40</f>
        <v>-319169</v>
      </c>
      <c r="AE40" s="16" t="n">
        <f aca="false">Data!AN29+Data!AN30+Data!AN31+Data!AN32+Data!AN33+Data!AN34+Data!AN35+Data!AN36+Data!AN37+Data!AN38+Data!AN39+Data!AN40</f>
        <v>339229</v>
      </c>
      <c r="AF40" s="15" t="n">
        <f aca="false">Data!AO29+Data!AO30+Data!AO31+Data!AO32+Data!AO33+Data!AO34+Data!AO35+Data!AO36+Data!AO37+Data!AO38+Data!AO39+Data!AO40</f>
        <v>-658398</v>
      </c>
    </row>
    <row r="41" customFormat="false" ht="15" hidden="false" customHeight="false" outlineLevel="0" collapsed="false">
      <c r="B41" s="14" t="str">
        <f aca="false">Data!B41</f>
        <v>2018-11</v>
      </c>
      <c r="C41" s="15" t="n">
        <f aca="false">Data!D30+Data!E30+Data!F30+Data!G30+Data!H30+Data!I30+Data!J30+Data!K30+Data!L30+Data!M30+Data!N30+Data!O30+Data!P30+Data!Q30+Data!R30+Data!S30+Data!D31+Data!E31+Data!F31+Data!G31+Data!H31+Data!I31+Data!J31+Data!K31+Data!L31+Data!M31+Data!N31+Data!O31+Data!P31+Data!Q31+Data!R31+Data!S31+Data!D32+Data!E32+Data!F32+Data!G32+Data!H32+Data!I32+Data!J32+Data!K32+Data!L32+Data!M32+Data!N32+Data!O32+Data!P32+Data!Q32+Data!R32+Data!S32+Data!D33+Data!E33+Data!F33+Data!G33+Data!H33+Data!I33+Data!J33+Data!K33+Data!L33+Data!M33+Data!N33+Data!O33+Data!P33+Data!Q33+Data!R33+Data!S33+Data!D34+Data!E34+Data!F34+Data!G34+Data!H34+Data!I34+Data!J34+Data!K34+Data!L34+Data!M34+Data!N34+Data!O34+Data!P34+Data!Q34+Data!R34+Data!S34+Data!D35+Data!E35+Data!F35+Data!G35+Data!H35+Data!I35+Data!J35+Data!K35+Data!L35+Data!M35+Data!N35+Data!O35+Data!P35+Data!Q35+Data!R35+Data!S35+Data!D36+Data!E36+Data!F36+Data!G36+Data!H36+Data!I36+Data!J36+Data!K36+Data!L36+Data!M36+Data!N36+Data!O36+Data!P36+Data!Q36+Data!R36+Data!S36+Data!D37+Data!E37+Data!F37+Data!G37+Data!H37+Data!I37+Data!J37+Data!K37+Data!L37+Data!M37+Data!N37+Data!O37+Data!P37+Data!Q37+Data!R37+Data!S37+Data!D38+Data!E38+Data!F38+Data!G38+Data!H38+Data!I38+Data!J38+Data!K38+Data!L38+Data!M38+Data!N38+Data!O38+Data!P38+Data!Q38+Data!R38+Data!S38+Data!D39+Data!E39+Data!F39+Data!G39+Data!H39+Data!I39+Data!J39+Data!K39+Data!L39+Data!M39+Data!N39+Data!O39+Data!P39+Data!Q39+Data!R39+Data!S39+Data!D40+Data!E40+Data!F40+Data!G40+Data!H40+Data!I40+Data!J40+Data!K40+Data!L40+Data!M40+Data!N40+Data!O40+Data!P40+Data!Q40+Data!R40+Data!S40+Data!D41+Data!E41+Data!F41+Data!G41+Data!H41+Data!I41+Data!J41+Data!K41+Data!L41+Data!M41+Data!N41+Data!O41+Data!P41+Data!Q41+Data!R41+Data!S41</f>
        <v>2548313</v>
      </c>
      <c r="D41" s="16" t="n">
        <f aca="false">Data!D30+Data!E30+Data!G30+Data!H30+Data!I30+Data!J30+Data!K30+Data!L30+Data!M30+Data!D31+Data!E31+Data!G31+Data!H31+Data!I31+Data!J31+Data!K31+Data!L31+Data!M31+Data!D32+Data!E32+Data!G32+Data!H32+Data!I32+Data!J32+Data!K32+Data!L32+Data!M32+Data!D33+Data!E33+Data!G33+Data!H33+Data!I33+Data!J33+Data!K33+Data!L33+Data!M33+Data!D34+Data!E34+Data!G34+Data!H34+Data!I34+Data!J34+Data!K34+Data!L34+Data!M34+Data!D35+Data!E35+Data!G35+Data!H35+Data!I35+Data!J35+Data!K35+Data!L35+Data!M35+Data!D36+Data!E36+Data!G36+Data!H36+Data!I36+Data!J36+Data!K36+Data!L36+Data!M36+Data!D37+Data!E37+Data!G37+Data!H37+Data!I37+Data!J37+Data!K37+Data!L37+Data!M37+Data!D38+Data!E38+Data!G38+Data!H38+Data!I38+Data!J38+Data!K38+Data!L38+Data!M38+Data!D39+Data!E39+Data!G39+Data!H39+Data!I39+Data!J39+Data!K39+Data!L39+Data!M39+Data!D40+Data!E40+Data!G40+Data!H40+Data!I40+Data!J40+Data!K40+Data!L40+Data!M40+Data!D41+Data!E41+Data!G41+Data!H41+Data!I41+Data!J41+Data!K41+Data!L41+Data!M41</f>
        <v>1379121</v>
      </c>
      <c r="E41" s="16" t="n">
        <f aca="false">Data!D30+Data!D31+Data!D32+Data!D33+Data!D34+Data!D35+Data!D36+Data!D37+Data!D38+Data!D39+Data!D40+Data!D41</f>
        <v>487124</v>
      </c>
      <c r="F41" s="16" t="n">
        <f aca="false">Data!E30+Data!E31+Data!E32+Data!E33+Data!E34+Data!E35+Data!E36+Data!E37+Data!E38+Data!E39+Data!E40+Data!E41</f>
        <v>285601</v>
      </c>
      <c r="G41" s="16" t="n">
        <f aca="false">Data!K30+Data!K31+Data!K32+Data!K33+Data!K34+Data!K35+Data!K36+Data!K37+Data!K38+Data!K39+Data!K40+Data!K41</f>
        <v>86000</v>
      </c>
      <c r="H41" s="16" t="n">
        <f aca="false">Data!L30+Data!L31+Data!L32+Data!L33+Data!L34+Data!L35+Data!L36+Data!L37+Data!L38+Data!L39+Data!L40+Data!L41</f>
        <v>100464</v>
      </c>
      <c r="I41" s="16" t="n">
        <f aca="false">Data!G30+Data!G31+Data!G32+Data!G33+Data!G34+Data!G35+Data!G36+Data!G37+Data!G38+Data!G39+Data!G40+Data!G41</f>
        <v>222026</v>
      </c>
      <c r="J41" s="16" t="n">
        <f aca="false">Data!H30+Data!I30+Data!J30+Data!M30+Data!H31+Data!I31+Data!J31+Data!M31+Data!H32+Data!I32+Data!J32+Data!M32+Data!H33+Data!I33+Data!J33+Data!M33+Data!H34+Data!I34+Data!J34+Data!M34+Data!H35+Data!I35+Data!J35+Data!M35+Data!H36+Data!I36+Data!J36+Data!M36+Data!H37+Data!I37+Data!J37+Data!M37+Data!H38+Data!I38+Data!J38+Data!M38+Data!H39+Data!I39+Data!J39+Data!M39+Data!H40+Data!I40+Data!J40+Data!M40+Data!H41+Data!I41+Data!J41+Data!M41</f>
        <v>197906</v>
      </c>
      <c r="K41" s="16" t="n">
        <f aca="false">Data!F30+Data!F31+Data!F32+Data!F33+Data!F34+Data!F35+Data!F36+Data!F37+Data!F38+Data!F39+Data!F40+Data!F41</f>
        <v>889717</v>
      </c>
      <c r="L41" s="16" t="n">
        <f aca="false">Data!N30+Data!O30+Data!P30+Data!Q30+Data!R30+Data!S30+Data!N31+Data!O31+Data!P31+Data!Q31+Data!R31+Data!S31+Data!N32+Data!O32+Data!P32+Data!Q32+Data!R32+Data!S32+Data!N33+Data!O33+Data!P33+Data!Q33+Data!R33+Data!S33+Data!N34+Data!O34+Data!P34+Data!Q34+Data!R34+Data!S34+Data!N35+Data!O35+Data!P35+Data!Q35+Data!R35+Data!S35+Data!N36+Data!O36+Data!P36+Data!Q36+Data!R36+Data!S36+Data!N37+Data!O37+Data!P37+Data!Q37+Data!R37+Data!S37+Data!N38+Data!O38+Data!P38+Data!Q38+Data!R38+Data!S38+Data!N39+Data!O39+Data!P39+Data!Q39+Data!R39+Data!S39+Data!N40+Data!O40+Data!P40+Data!Q40+Data!R40+Data!S40+Data!N41+Data!O41+Data!P41+Data!Q41+Data!R41+Data!S41</f>
        <v>279475</v>
      </c>
      <c r="M41" s="15" t="n">
        <f aca="false">Data!T30+Data!U30+Data!V30+Data!W30+Data!X30+Data!Y30+Data!Z30+Data!AA30+Data!AB30+Data!AC30+Data!AD30+Data!AE30+Data!AF30+Data!AG30+Data!AH30+Data!AI30+Data!AJ30+Data!AK30+Data!AL30+Data!T31+Data!U31+Data!V31+Data!W31+Data!X31+Data!Y31+Data!Z31+Data!AA31+Data!AB31+Data!AC31+Data!AD31+Data!AE31+Data!AF31+Data!AG31+Data!AH31+Data!AI31+Data!AJ31+Data!AK31+Data!AL31+Data!T32+Data!U32+Data!V32+Data!W32+Data!X32+Data!Y32+Data!Z32+Data!AA32+Data!AB32+Data!AC32+Data!AD32+Data!AE32+Data!AF32+Data!AG32+Data!AH32+Data!AI32+Data!AJ32+Data!AK32+Data!AL32+Data!T33+Data!U33+Data!V33+Data!W33+Data!X33+Data!Y33+Data!Z33+Data!AA33+Data!AB33+Data!AC33+Data!AD33+Data!AE33+Data!AF33+Data!AG33+Data!AH33+Data!AI33+Data!AJ33+Data!AK33+Data!AL33+Data!T34+Data!U34+Data!V34+Data!W34+Data!X34+Data!Y34+Data!Z34+Data!AA34+Data!AB34+Data!AC34+Data!AD34+Data!AE34+Data!AF34+Data!AG34+Data!AH34+Data!AI34+Data!AJ34+Data!AK34+Data!AL34+Data!T35+Data!U35+Data!V35+Data!W35+Data!X35+Data!Y35+Data!Z35+Data!AA35+Data!AB35+Data!AC35+Data!AD35+Data!AE35+Data!AF35+Data!AG35+Data!AH35+Data!AI35+Data!AJ35+Data!AK35+Data!AL35+Data!T36+Data!U36+Data!V36+Data!W36+Data!X36+Data!Y36+Data!Z36+Data!AA36+Data!AB36+Data!AC36+Data!AD36+Data!AE36+Data!AF36+Data!AG36+Data!AH36+Data!AI36+Data!AJ36+Data!AK36+Data!AL36+Data!T37+Data!U37+Data!V37+Data!W37+Data!X37+Data!Y37+Data!Z37+Data!AA37+Data!AB37+Data!AC37+Data!AD37+Data!AE37+Data!AF37+Data!AG37+Data!AH37+Data!AI37+Data!AJ37+Data!AK37+Data!AL37+Data!T38+Data!U38+Data!V38+Data!W38+Data!X38+Data!Y38+Data!Z38+Data!AA38+Data!AB38+Data!AC38+Data!AD38+Data!AE38+Data!AF38+Data!AG38+Data!AH38+Data!AI38+Data!AJ38+Data!AK38+Data!AL38+Data!T39+Data!U39+Data!V39+Data!W39+Data!X39+Data!Y39+Data!Z39+Data!AA39+Data!AB39+Data!AC39+Data!AD39+Data!AE39+Data!AF39+Data!AG39+Data!AH39+Data!AI39+Data!AJ39+Data!AK39+Data!AL39+Data!T40+Data!U40+Data!V40+Data!W40+Data!X40+Data!Y40+Data!Z40+Data!AA40+Data!AB40+Data!AC40+Data!AD40+Data!AE40+Data!AF40+Data!AG40+Data!AH40+Data!AI40+Data!AJ40+Data!AK40+Data!AL40+Data!T41+Data!U41+Data!V41+Data!W41+Data!X41+Data!Y41+Data!Z41+Data!AA41+Data!AB41+Data!AC41+Data!AD41+Data!AE41+Data!AF41+Data!AG41+Data!AH41+Data!AI41+Data!AJ41+Data!AK41+Data!AL41</f>
        <v>2871591</v>
      </c>
      <c r="N41" s="16" t="n">
        <f aca="false">Data!T30+Data!U30+Data!V30+Data!W30+Data!T31+Data!U31+Data!V31+Data!W31+Data!T32+Data!U32+Data!V32+Data!W32+Data!T33+Data!U33+Data!V33+Data!W33+Data!T34+Data!U34+Data!V34+Data!W34+Data!T35+Data!U35+Data!V35+Data!W35+Data!T36+Data!U36+Data!V36+Data!W36+Data!T37+Data!U37+Data!V37+Data!W37+Data!T38+Data!U38+Data!V38+Data!W38+Data!T39+Data!U39+Data!V39+Data!W39+Data!T40+Data!U40+Data!V40+Data!W40+Data!T41+Data!U41+Data!V41+Data!W41</f>
        <v>1560101</v>
      </c>
      <c r="O41" s="16" t="n">
        <f aca="false">Data!T30+Data!T31+Data!T32+Data!T33+Data!T34+Data!T35+Data!T36+Data!T37+Data!T38+Data!T39+Data!T40+Data!T41</f>
        <v>1139638</v>
      </c>
      <c r="P41" s="16" t="n">
        <f aca="false">Data!U30+Data!U31+Data!U32+Data!U33+Data!U34+Data!U35+Data!U36+Data!U37+Data!U38+Data!U39+Data!U40+Data!U41</f>
        <v>175982</v>
      </c>
      <c r="Q41" s="16" t="n">
        <f aca="false">Data!V30+Data!V31+Data!V32+Data!V33+Data!V34+Data!V35+Data!V36+Data!V37+Data!V38+Data!V39+Data!V40+Data!V41</f>
        <v>117671</v>
      </c>
      <c r="R41" s="16" t="n">
        <f aca="false">Data!W30+Data!W31+Data!W32+Data!W33+Data!W34+Data!W35+Data!W36+Data!W37+Data!W38+Data!W39+Data!W40+Data!W41</f>
        <v>126810</v>
      </c>
      <c r="S41" s="16" t="n">
        <f aca="false">Data!X30+Data!X31+Data!X32+Data!X33+Data!X34+Data!X35+Data!X36+Data!X37+Data!X38+Data!X39+Data!X40+Data!X41</f>
        <v>54666</v>
      </c>
      <c r="T41" s="16" t="n">
        <f aca="false">Data!Y30+Data!Z30+Data!AA30+Data!Y31+Data!Z31+Data!AA31+Data!Y32+Data!Z32+Data!AA32+Data!Y33+Data!Z33+Data!AA33+Data!Y34+Data!Z34+Data!AA34+Data!Y35+Data!Z35+Data!AA35+Data!Y36+Data!Z36+Data!AA36+Data!Y37+Data!Z37+Data!AA37+Data!Y38+Data!Z38+Data!AA38+Data!Y39+Data!Z39+Data!AA39+Data!Y40+Data!Z40+Data!AA40+Data!Y41+Data!Z41+Data!AA41</f>
        <v>287884</v>
      </c>
      <c r="U41" s="16" t="n">
        <f aca="false">Data!Y30+Data!Y31+Data!Y32+Data!Y33+Data!Y34+Data!Y35+Data!Y36+Data!Y37+Data!Y38+Data!Y39+Data!Y40+Data!Y41</f>
        <v>183767</v>
      </c>
      <c r="V41" s="16" t="n">
        <f aca="false">Data!Z30+Data!Z31+Data!Z32+Data!Z33+Data!Z34+Data!Z35+Data!Z36+Data!Z37+Data!Z38+Data!Z39+Data!Z40+Data!Z41</f>
        <v>102437</v>
      </c>
      <c r="W41" s="16" t="n">
        <f aca="false">Data!AB30+Data!AB31+Data!AB32+Data!AB33+Data!AB34+Data!AB35+Data!AB36+Data!AB37+Data!AB38+Data!AB39+Data!AB40+Data!AB41</f>
        <v>388314</v>
      </c>
      <c r="X41" s="16" t="n">
        <f aca="false">Data!AC30+Data!AC31+Data!AC32+Data!AC33+Data!AC34+Data!AC35+Data!AC36+Data!AC37+Data!AC38+Data!AC39+Data!AC40+Data!AC41</f>
        <v>125831</v>
      </c>
      <c r="Y41" s="16" t="n">
        <f aca="false">Data!AD30+Data!AE30+Data!AF30+Data!AG30+Data!AH30+Data!AD31+Data!AE31+Data!AF31+Data!AG31+Data!AH31+Data!AD32+Data!AE32+Data!AF32+Data!AG32+Data!AH32+Data!AD33+Data!AE33+Data!AF33+Data!AG33+Data!AH33+Data!AD34+Data!AE34+Data!AF34+Data!AG34+Data!AH34+Data!AD35+Data!AE35+Data!AF35+Data!AG35+Data!AH35+Data!AD36+Data!AE36+Data!AF36+Data!AG36+Data!AH36+Data!AD37+Data!AE37+Data!AF37+Data!AG37+Data!AH37+Data!AD38+Data!AE38+Data!AF38+Data!AG38+Data!AH38+Data!AD39+Data!AE39+Data!AF39+Data!AG39+Data!AH39+Data!AD40+Data!AE40+Data!AF40+Data!AG40+Data!AH40+Data!AD41+Data!AE41+Data!AF41+Data!AG41+Data!AH41</f>
        <v>88873</v>
      </c>
      <c r="Z41" s="16" t="n">
        <f aca="false">Data!AI30+Data!AI31+Data!AI32+Data!AI33+Data!AI34+Data!AI35+Data!AI36+Data!AI37+Data!AI38+Data!AI39+Data!AI40+Data!AI41</f>
        <v>105251</v>
      </c>
      <c r="AA41" s="16" t="n">
        <f aca="false">Data!AJ30+Data!AJ31+Data!AJ32+Data!AJ33+Data!AJ34+Data!AJ35+Data!AJ36+Data!AJ37+Data!AJ38+Data!AJ39+Data!AJ40+Data!AJ41</f>
        <v>5357</v>
      </c>
      <c r="AB41" s="16" t="n">
        <f aca="false">Data!AK30+Data!AK31+Data!AK32+Data!AK33+Data!AK34+Data!AK35+Data!AK36+Data!AK37+Data!AK38+Data!AK39+Data!AK40+Data!AK41</f>
        <v>55484</v>
      </c>
      <c r="AC41" s="16" t="n">
        <f aca="false">Data!AL30+Data!AL31+Data!AL32+Data!AL33+Data!AL34+Data!AL35+Data!AL36+Data!AL37+Data!AL38+Data!AL39+Data!AL40+Data!AL41</f>
        <v>199830</v>
      </c>
      <c r="AD41" s="15" t="n">
        <f aca="false">Data!AM30+Data!AM31+Data!AM32+Data!AM33+Data!AM34+Data!AM35+Data!AM36+Data!AM37+Data!AM38+Data!AM39+Data!AM40+Data!AM41</f>
        <v>-323278</v>
      </c>
      <c r="AE41" s="16" t="n">
        <f aca="false">Data!AN30+Data!AN31+Data!AN32+Data!AN33+Data!AN34+Data!AN35+Data!AN36+Data!AN37+Data!AN38+Data!AN39+Data!AN40+Data!AN41</f>
        <v>361983</v>
      </c>
      <c r="AF41" s="15" t="n">
        <f aca="false">Data!AO30+Data!AO31+Data!AO32+Data!AO33+Data!AO34+Data!AO35+Data!AO36+Data!AO37+Data!AO38+Data!AO39+Data!AO40+Data!AO41</f>
        <v>-685261</v>
      </c>
    </row>
    <row r="42" customFormat="false" ht="15" hidden="false" customHeight="false" outlineLevel="0" collapsed="false">
      <c r="B42" s="14" t="str">
        <f aca="false">Data!B42</f>
        <v>2018-12</v>
      </c>
      <c r="C42" s="15" t="n">
        <f aca="false">Data!D31+Data!E31+Data!F31+Data!G31+Data!H31+Data!I31+Data!J31+Data!K31+Data!L31+Data!M31+Data!N31+Data!O31+Data!P31+Data!Q31+Data!R31+Data!S31+Data!D32+Data!E32+Data!F32+Data!G32+Data!H32+Data!I32+Data!J32+Data!K32+Data!L32+Data!M32+Data!N32+Data!O32+Data!P32+Data!Q32+Data!R32+Data!S32+Data!D33+Data!E33+Data!F33+Data!G33+Data!H33+Data!I33+Data!J33+Data!K33+Data!L33+Data!M33+Data!N33+Data!O33+Data!P33+Data!Q33+Data!R33+Data!S33+Data!D34+Data!E34+Data!F34+Data!G34+Data!H34+Data!I34+Data!J34+Data!K34+Data!L34+Data!M34+Data!N34+Data!O34+Data!P34+Data!Q34+Data!R34+Data!S34+Data!D35+Data!E35+Data!F35+Data!G35+Data!H35+Data!I35+Data!J35+Data!K35+Data!L35+Data!M35+Data!N35+Data!O35+Data!P35+Data!Q35+Data!R35+Data!S35+Data!D36+Data!E36+Data!F36+Data!G36+Data!H36+Data!I36+Data!J36+Data!K36+Data!L36+Data!M36+Data!N36+Data!O36+Data!P36+Data!Q36+Data!R36+Data!S36+Data!D37+Data!E37+Data!F37+Data!G37+Data!H37+Data!I37+Data!J37+Data!K37+Data!L37+Data!M37+Data!N37+Data!O37+Data!P37+Data!Q37+Data!R37+Data!S37+Data!D38+Data!E38+Data!F38+Data!G38+Data!H38+Data!I38+Data!J38+Data!K38+Data!L38+Data!M38+Data!N38+Data!O38+Data!P38+Data!Q38+Data!R38+Data!S38+Data!D39+Data!E39+Data!F39+Data!G39+Data!H39+Data!I39+Data!J39+Data!K39+Data!L39+Data!M39+Data!N39+Data!O39+Data!P39+Data!Q39+Data!R39+Data!S39+Data!D40+Data!E40+Data!F40+Data!G40+Data!H40+Data!I40+Data!J40+Data!K40+Data!L40+Data!M40+Data!N40+Data!O40+Data!P40+Data!Q40+Data!R40+Data!S40+Data!D41+Data!E41+Data!F41+Data!G41+Data!H41+Data!I41+Data!J41+Data!K41+Data!L41+Data!M41+Data!N41+Data!O41+Data!P41+Data!Q41+Data!R41+Data!S41+Data!D42+Data!E42+Data!F42+Data!G42+Data!H42+Data!I42+Data!J42+Data!K42+Data!L42+Data!M42+Data!N42+Data!O42+Data!P42+Data!Q42+Data!R42+Data!S42</f>
        <v>2600570</v>
      </c>
      <c r="D42" s="16" t="n">
        <f aca="false">Data!D31+Data!E31+Data!G31+Data!H31+Data!I31+Data!J31+Data!K31+Data!L31+Data!M31+Data!D32+Data!E32+Data!G32+Data!H32+Data!I32+Data!J32+Data!K32+Data!L32+Data!M32+Data!D33+Data!E33+Data!G33+Data!H33+Data!I33+Data!J33+Data!K33+Data!L33+Data!M33+Data!D34+Data!E34+Data!G34+Data!H34+Data!I34+Data!J34+Data!K34+Data!L34+Data!M34+Data!D35+Data!E35+Data!G35+Data!H35+Data!I35+Data!J35+Data!K35+Data!L35+Data!M35+Data!D36+Data!E36+Data!G36+Data!H36+Data!I36+Data!J36+Data!K36+Data!L36+Data!M36+Data!D37+Data!E37+Data!G37+Data!H37+Data!I37+Data!J37+Data!K37+Data!L37+Data!M37+Data!D38+Data!E38+Data!G38+Data!H38+Data!I38+Data!J38+Data!K38+Data!L38+Data!M38+Data!D39+Data!E39+Data!G39+Data!H39+Data!I39+Data!J39+Data!K39+Data!L39+Data!M39+Data!D40+Data!E40+Data!G40+Data!H40+Data!I40+Data!J40+Data!K40+Data!L40+Data!M40+Data!D41+Data!E41+Data!G41+Data!H41+Data!I41+Data!J41+Data!K41+Data!L41+Data!M41+Data!D42+Data!E42+Data!G42+Data!H42+Data!I42+Data!J42+Data!K42+Data!L42+Data!M42</f>
        <v>1414611</v>
      </c>
      <c r="E42" s="16" t="n">
        <f aca="false">Data!D31+Data!D32+Data!D33+Data!D34+Data!D35+Data!D36+Data!D37+Data!D38+Data!D39+Data!D40+Data!D41+Data!D42</f>
        <v>495578</v>
      </c>
      <c r="F42" s="16" t="n">
        <f aca="false">Data!E31+Data!E32+Data!E33+Data!E34+Data!E35+Data!E36+Data!E37+Data!E38+Data!E39+Data!E40+Data!E41+Data!E42</f>
        <v>286728</v>
      </c>
      <c r="G42" s="16" t="n">
        <f aca="false">Data!K31+Data!K32+Data!K33+Data!K34+Data!K35+Data!K36+Data!K37+Data!K38+Data!K39+Data!K40+Data!K41+Data!K42</f>
        <v>96565</v>
      </c>
      <c r="H42" s="16" t="n">
        <f aca="false">Data!L31+Data!L32+Data!L33+Data!L34+Data!L35+Data!L36+Data!L37+Data!L38+Data!L39+Data!L40+Data!L41+Data!L42</f>
        <v>104050</v>
      </c>
      <c r="I42" s="16" t="n">
        <f aca="false">Data!G31+Data!G32+Data!G33+Data!G34+Data!G35+Data!G36+Data!G37+Data!G38+Data!G39+Data!G40+Data!G41+Data!G42</f>
        <v>232592</v>
      </c>
      <c r="J42" s="16" t="n">
        <f aca="false">Data!H31+Data!I31+Data!J31+Data!M31+Data!H32+Data!I32+Data!J32+Data!M32+Data!H33+Data!I33+Data!J33+Data!M33+Data!H34+Data!I34+Data!J34+Data!M34+Data!H35+Data!I35+Data!J35+Data!M35+Data!H36+Data!I36+Data!J36+Data!M36+Data!H37+Data!I37+Data!J37+Data!M37+Data!H38+Data!I38+Data!J38+Data!M38+Data!H39+Data!I39+Data!J39+Data!M39+Data!H40+Data!I40+Data!J40+Data!M40+Data!H41+Data!I41+Data!J41+Data!M41+Data!H42+Data!I42+Data!J42+Data!M42</f>
        <v>199098</v>
      </c>
      <c r="K42" s="16" t="n">
        <f aca="false">Data!F31+Data!F32+Data!F33+Data!F34+Data!F35+Data!F36+Data!F37+Data!F38+Data!F39+Data!F40+Data!F41+Data!F42</f>
        <v>901923</v>
      </c>
      <c r="L42" s="16" t="n">
        <f aca="false">Data!N31+Data!O31+Data!P31+Data!Q31+Data!R31+Data!S31+Data!N32+Data!O32+Data!P32+Data!Q32+Data!R32+Data!S32+Data!N33+Data!O33+Data!P33+Data!Q33+Data!R33+Data!S33+Data!N34+Data!O34+Data!P34+Data!Q34+Data!R34+Data!S34+Data!N35+Data!O35+Data!P35+Data!Q35+Data!R35+Data!S35+Data!N36+Data!O36+Data!P36+Data!Q36+Data!R36+Data!S36+Data!N37+Data!O37+Data!P37+Data!Q37+Data!R37+Data!S37+Data!N38+Data!O38+Data!P38+Data!Q38+Data!R38+Data!S38+Data!N39+Data!O39+Data!P39+Data!Q39+Data!R39+Data!S39+Data!N40+Data!O40+Data!P40+Data!Q40+Data!R40+Data!S40+Data!N41+Data!O41+Data!P41+Data!Q41+Data!R41+Data!S41+Data!N42+Data!O42+Data!P42+Data!Q42+Data!R42+Data!S42</f>
        <v>284036</v>
      </c>
      <c r="M42" s="15" t="n">
        <f aca="false">Data!T31+Data!U31+Data!V31+Data!W31+Data!X31+Data!Y31+Data!Z31+Data!AA31+Data!AB31+Data!AC31+Data!AD31+Data!AE31+Data!AF31+Data!AG31+Data!AH31+Data!AI31+Data!AJ31+Data!AK31+Data!AL31+Data!T32+Data!U32+Data!V32+Data!W32+Data!X32+Data!Y32+Data!Z32+Data!AA32+Data!AB32+Data!AC32+Data!AD32+Data!AE32+Data!AF32+Data!AG32+Data!AH32+Data!AI32+Data!AJ32+Data!AK32+Data!AL32+Data!T33+Data!U33+Data!V33+Data!W33+Data!X33+Data!Y33+Data!Z33+Data!AA33+Data!AB33+Data!AC33+Data!AD33+Data!AE33+Data!AF33+Data!AG33+Data!AH33+Data!AI33+Data!AJ33+Data!AK33+Data!AL33+Data!T34+Data!U34+Data!V34+Data!W34+Data!X34+Data!Y34+Data!Z34+Data!AA34+Data!AB34+Data!AC34+Data!AD34+Data!AE34+Data!AF34+Data!AG34+Data!AH34+Data!AI34+Data!AJ34+Data!AK34+Data!AL34+Data!T35+Data!U35+Data!V35+Data!W35+Data!X35+Data!Y35+Data!Z35+Data!AA35+Data!AB35+Data!AC35+Data!AD35+Data!AE35+Data!AF35+Data!AG35+Data!AH35+Data!AI35+Data!AJ35+Data!AK35+Data!AL35+Data!T36+Data!U36+Data!V36+Data!W36+Data!X36+Data!Y36+Data!Z36+Data!AA36+Data!AB36+Data!AC36+Data!AD36+Data!AE36+Data!AF36+Data!AG36+Data!AH36+Data!AI36+Data!AJ36+Data!AK36+Data!AL36+Data!T37+Data!U37+Data!V37+Data!W37+Data!X37+Data!Y37+Data!Z37+Data!AA37+Data!AB37+Data!AC37+Data!AD37+Data!AE37+Data!AF37+Data!AG37+Data!AH37+Data!AI37+Data!AJ37+Data!AK37+Data!AL37+Data!T38+Data!U38+Data!V38+Data!W38+Data!X38+Data!Y38+Data!Z38+Data!AA38+Data!AB38+Data!AC38+Data!AD38+Data!AE38+Data!AF38+Data!AG38+Data!AH38+Data!AI38+Data!AJ38+Data!AK38+Data!AL38+Data!T39+Data!U39+Data!V39+Data!W39+Data!X39+Data!Y39+Data!Z39+Data!AA39+Data!AB39+Data!AC39+Data!AD39+Data!AE39+Data!AF39+Data!AG39+Data!AH39+Data!AI39+Data!AJ39+Data!AK39+Data!AL39+Data!T40+Data!U40+Data!V40+Data!W40+Data!X40+Data!Y40+Data!Z40+Data!AA40+Data!AB40+Data!AC40+Data!AD40+Data!AE40+Data!AF40+Data!AG40+Data!AH40+Data!AI40+Data!AJ40+Data!AK40+Data!AL40+Data!T41+Data!U41+Data!V41+Data!W41+Data!X41+Data!Y41+Data!Z41+Data!AA41+Data!AB41+Data!AC41+Data!AD41+Data!AE41+Data!AF41+Data!AG41+Data!AH41+Data!AI41+Data!AJ41+Data!AK41+Data!AL41+Data!T42+Data!U42+Data!V42+Data!W42+Data!X42+Data!Y42+Data!Z42+Data!AA42+Data!AB42+Data!AC42+Data!AD42+Data!AE42+Data!AF42+Data!AG42+Data!AH42+Data!AI42+Data!AJ42+Data!AK42+Data!AL42</f>
        <v>2939557</v>
      </c>
      <c r="N42" s="16" t="n">
        <f aca="false">Data!T31+Data!U31+Data!V31+Data!W31+Data!T32+Data!U32+Data!V32+Data!W32+Data!T33+Data!U33+Data!V33+Data!W33+Data!T34+Data!U34+Data!V34+Data!W34+Data!T35+Data!U35+Data!V35+Data!W35+Data!T36+Data!U36+Data!V36+Data!W36+Data!T37+Data!U37+Data!V37+Data!W37+Data!T38+Data!U38+Data!V38+Data!W38+Data!T39+Data!U39+Data!V39+Data!W39+Data!T40+Data!U40+Data!V40+Data!W40+Data!T41+Data!U41+Data!V41+Data!W41+Data!T42+Data!U42+Data!V42+Data!W42</f>
        <v>1605653</v>
      </c>
      <c r="O42" s="16" t="n">
        <f aca="false">Data!T31+Data!T32+Data!T33+Data!T34+Data!T35+Data!T36+Data!T37+Data!T38+Data!T39+Data!T40+Data!T41+Data!T42</f>
        <v>1170424</v>
      </c>
      <c r="P42" s="16" t="n">
        <f aca="false">Data!U31+Data!U32+Data!U33+Data!U34+Data!U35+Data!U36+Data!U37+Data!U38+Data!U39+Data!U40+Data!U41+Data!U42</f>
        <v>184912</v>
      </c>
      <c r="Q42" s="16" t="n">
        <f aca="false">Data!V31+Data!V32+Data!V33+Data!V34+Data!V35+Data!V36+Data!V37+Data!V38+Data!V39+Data!V40+Data!V41+Data!V42</f>
        <v>121255</v>
      </c>
      <c r="R42" s="16" t="n">
        <f aca="false">Data!W31+Data!W32+Data!W33+Data!W34+Data!W35+Data!W36+Data!W37+Data!W38+Data!W39+Data!W40+Data!W41+Data!W42</f>
        <v>129062</v>
      </c>
      <c r="S42" s="16" t="n">
        <f aca="false">Data!X31+Data!X32+Data!X33+Data!X34+Data!X35+Data!X36+Data!X37+Data!X38+Data!X39+Data!X40+Data!X41+Data!X42</f>
        <v>59339</v>
      </c>
      <c r="T42" s="16" t="n">
        <f aca="false">Data!Y31+Data!Z31+Data!AA31+Data!Y32+Data!Z32+Data!AA32+Data!Y33+Data!Z33+Data!AA33+Data!Y34+Data!Z34+Data!AA34+Data!Y35+Data!Z35+Data!AA35+Data!Y36+Data!Z36+Data!AA36+Data!Y37+Data!Z37+Data!AA37+Data!Y38+Data!Z38+Data!AA38+Data!Y39+Data!Z39+Data!AA39+Data!Y40+Data!Z40+Data!AA40+Data!Y41+Data!Z41+Data!AA41+Data!Y42+Data!Z42+Data!AA42</f>
        <v>281238</v>
      </c>
      <c r="U42" s="16" t="n">
        <f aca="false">Data!Y31+Data!Y32+Data!Y33+Data!Y34+Data!Y35+Data!Y36+Data!Y37+Data!Y38+Data!Y39+Data!Y40+Data!Y41+Data!Y42</f>
        <v>177887</v>
      </c>
      <c r="V42" s="16" t="n">
        <f aca="false">Data!Z31+Data!Z32+Data!Z33+Data!Z34+Data!Z35+Data!Z36+Data!Z37+Data!Z38+Data!Z39+Data!Z40+Data!Z41+Data!Z42</f>
        <v>102128</v>
      </c>
      <c r="W42" s="16" t="n">
        <f aca="false">Data!AB31+Data!AB32+Data!AB33+Data!AB34+Data!AB35+Data!AB36+Data!AB37+Data!AB38+Data!AB39+Data!AB40+Data!AB41+Data!AB42</f>
        <v>400835</v>
      </c>
      <c r="X42" s="16" t="n">
        <f aca="false">Data!AC31+Data!AC32+Data!AC33+Data!AC34+Data!AC35+Data!AC36+Data!AC37+Data!AC38+Data!AC39+Data!AC40+Data!AC41+Data!AC42</f>
        <v>135367</v>
      </c>
      <c r="Y42" s="16" t="n">
        <f aca="false">Data!AD31+Data!AE31+Data!AF31+Data!AG31+Data!AH31+Data!AD32+Data!AE32+Data!AF32+Data!AG32+Data!AH32+Data!AD33+Data!AE33+Data!AF33+Data!AG33+Data!AH33+Data!AD34+Data!AE34+Data!AF34+Data!AG34+Data!AH34+Data!AD35+Data!AE35+Data!AF35+Data!AG35+Data!AH35+Data!AD36+Data!AE36+Data!AF36+Data!AG36+Data!AH36+Data!AD37+Data!AE37+Data!AF37+Data!AG37+Data!AH37+Data!AD38+Data!AE38+Data!AF38+Data!AG38+Data!AH38+Data!AD39+Data!AE39+Data!AF39+Data!AG39+Data!AH39+Data!AD40+Data!AE40+Data!AF40+Data!AG40+Data!AH40+Data!AD41+Data!AE41+Data!AF41+Data!AG41+Data!AH41+Data!AD42+Data!AE42+Data!AF42+Data!AG42+Data!AH42</f>
        <v>79271</v>
      </c>
      <c r="Z42" s="16" t="n">
        <f aca="false">Data!AI31+Data!AI32+Data!AI33+Data!AI34+Data!AI35+Data!AI36+Data!AI37+Data!AI38+Data!AI39+Data!AI40+Data!AI41+Data!AI42</f>
        <v>108740</v>
      </c>
      <c r="AA42" s="16" t="n">
        <f aca="false">Data!AJ31+Data!AJ32+Data!AJ33+Data!AJ34+Data!AJ35+Data!AJ36+Data!AJ37+Data!AJ38+Data!AJ39+Data!AJ40+Data!AJ41+Data!AJ42</f>
        <v>3824</v>
      </c>
      <c r="AB42" s="16" t="n">
        <f aca="false">Data!AK31+Data!AK32+Data!AK33+Data!AK34+Data!AK35+Data!AK36+Data!AK37+Data!AK38+Data!AK39+Data!AK40+Data!AK41+Data!AK42</f>
        <v>54997</v>
      </c>
      <c r="AC42" s="16" t="n">
        <f aca="false">Data!AL31+Data!AL32+Data!AL33+Data!AL34+Data!AL35+Data!AL36+Data!AL37+Data!AL38+Data!AL39+Data!AL40+Data!AL41+Data!AL42</f>
        <v>210293</v>
      </c>
      <c r="AD42" s="15" t="n">
        <f aca="false">Data!AM31+Data!AM32+Data!AM33+Data!AM34+Data!AM35+Data!AM36+Data!AM37+Data!AM38+Data!AM39+Data!AM40+Data!AM41+Data!AM42</f>
        <v>-338987</v>
      </c>
      <c r="AE42" s="16" t="n">
        <f aca="false">Data!AN31+Data!AN32+Data!AN33+Data!AN34+Data!AN35+Data!AN36+Data!AN37+Data!AN38+Data!AN39+Data!AN40+Data!AN41+Data!AN42</f>
        <v>388940</v>
      </c>
      <c r="AF42" s="15" t="n">
        <f aca="false">Data!AO31+Data!AO32+Data!AO33+Data!AO34+Data!AO35+Data!AO36+Data!AO37+Data!AO38+Data!AO39+Data!AO40+Data!AO41+Data!AO42</f>
        <v>-727927</v>
      </c>
    </row>
    <row r="43" customFormat="false" ht="15" hidden="false" customHeight="false" outlineLevel="0" collapsed="false">
      <c r="B43" s="14" t="str">
        <f aca="false">Data!B43</f>
        <v>2019-01</v>
      </c>
      <c r="C43" s="15" t="n">
        <f aca="false">Data!D32+Data!E32+Data!F32+Data!G32+Data!H32+Data!I32+Data!J32+Data!K32+Data!L32+Data!M32+Data!N32+Data!O32+Data!P32+Data!Q32+Data!R32+Data!S32+Data!D33+Data!E33+Data!F33+Data!G33+Data!H33+Data!I33+Data!J33+Data!K33+Data!L33+Data!M33+Data!N33+Data!O33+Data!P33+Data!Q33+Data!R33+Data!S33+Data!D34+Data!E34+Data!F34+Data!G34+Data!H34+Data!I34+Data!J34+Data!K34+Data!L34+Data!M34+Data!N34+Data!O34+Data!P34+Data!Q34+Data!R34+Data!S34+Data!D35+Data!E35+Data!F35+Data!G35+Data!H35+Data!I35+Data!J35+Data!K35+Data!L35+Data!M35+Data!N35+Data!O35+Data!P35+Data!Q35+Data!R35+Data!S35+Data!D36+Data!E36+Data!F36+Data!G36+Data!H36+Data!I36+Data!J36+Data!K36+Data!L36+Data!M36+Data!N36+Data!O36+Data!P36+Data!Q36+Data!R36+Data!S36+Data!D37+Data!E37+Data!F37+Data!G37+Data!H37+Data!I37+Data!J37+Data!K37+Data!L37+Data!M37+Data!N37+Data!O37+Data!P37+Data!Q37+Data!R37+Data!S37+Data!D38+Data!E38+Data!F38+Data!G38+Data!H38+Data!I38+Data!J38+Data!K38+Data!L38+Data!M38+Data!N38+Data!O38+Data!P38+Data!Q38+Data!R38+Data!S38+Data!D39+Data!E39+Data!F39+Data!G39+Data!H39+Data!I39+Data!J39+Data!K39+Data!L39+Data!M39+Data!N39+Data!O39+Data!P39+Data!Q39+Data!R39+Data!S39+Data!D40+Data!E40+Data!F40+Data!G40+Data!H40+Data!I40+Data!J40+Data!K40+Data!L40+Data!M40+Data!N40+Data!O40+Data!P40+Data!Q40+Data!R40+Data!S40+Data!D41+Data!E41+Data!F41+Data!G41+Data!H41+Data!I41+Data!J41+Data!K41+Data!L41+Data!M41+Data!N41+Data!O41+Data!P41+Data!Q41+Data!R41+Data!S41+Data!D42+Data!E42+Data!F42+Data!G42+Data!H42+Data!I42+Data!J42+Data!K42+Data!L42+Data!M42+Data!N42+Data!O42+Data!P42+Data!Q42+Data!R42+Data!S42+Data!D43+Data!E43+Data!F43+Data!G43+Data!H43+Data!I43+Data!J43+Data!K43+Data!L43+Data!M43+Data!N43+Data!O43+Data!P43+Data!Q43+Data!R43+Data!S43</f>
        <v>2679092</v>
      </c>
      <c r="D43" s="16" t="n">
        <f aca="false">Data!D32+Data!E32+Data!G32+Data!H32+Data!I32+Data!J32+Data!K32+Data!L32+Data!M32+Data!D33+Data!E33+Data!G33+Data!H33+Data!I33+Data!J33+Data!K33+Data!L33+Data!M33+Data!D34+Data!E34+Data!G34+Data!H34+Data!I34+Data!J34+Data!K34+Data!L34+Data!M34+Data!D35+Data!E35+Data!G35+Data!H35+Data!I35+Data!J35+Data!K35+Data!L35+Data!M35+Data!D36+Data!E36+Data!G36+Data!H36+Data!I36+Data!J36+Data!K36+Data!L36+Data!M36+Data!D37+Data!E37+Data!G37+Data!H37+Data!I37+Data!J37+Data!K37+Data!L37+Data!M37+Data!D38+Data!E38+Data!G38+Data!H38+Data!I38+Data!J38+Data!K38+Data!L38+Data!M38+Data!D39+Data!E39+Data!G39+Data!H39+Data!I39+Data!J39+Data!K39+Data!L39+Data!M39+Data!D40+Data!E40+Data!G40+Data!H40+Data!I40+Data!J40+Data!K40+Data!L40+Data!M40+Data!D41+Data!E41+Data!G41+Data!H41+Data!I41+Data!J41+Data!K41+Data!L41+Data!M41+Data!D42+Data!E42+Data!G42+Data!H42+Data!I42+Data!J42+Data!K42+Data!L42+Data!M42+Data!D43+Data!E43+Data!G43+Data!H43+Data!I43+Data!J43+Data!K43+Data!L43+Data!M43</f>
        <v>1456921</v>
      </c>
      <c r="E43" s="16" t="n">
        <f aca="false">Data!D32+Data!D33+Data!D34+Data!D35+Data!D36+Data!D37+Data!D38+Data!D39+Data!D40+Data!D41+Data!D42+Data!D43</f>
        <v>513747</v>
      </c>
      <c r="F43" s="16" t="n">
        <f aca="false">Data!E32+Data!E33+Data!E34+Data!E35+Data!E36+Data!E37+Data!E38+Data!E39+Data!E40+Data!E41+Data!E42+Data!E43</f>
        <v>285890</v>
      </c>
      <c r="G43" s="16" t="n">
        <f aca="false">Data!K32+Data!K33+Data!K34+Data!K35+Data!K36+Data!K37+Data!K38+Data!K39+Data!K40+Data!K41+Data!K42+Data!K43</f>
        <v>108563</v>
      </c>
      <c r="H43" s="16" t="n">
        <f aca="false">Data!L32+Data!L33+Data!L34+Data!L35+Data!L36+Data!L37+Data!L38+Data!L39+Data!L40+Data!L41+Data!L42+Data!L43</f>
        <v>105529</v>
      </c>
      <c r="I43" s="16" t="n">
        <f aca="false">Data!G32+Data!G33+Data!G34+Data!G35+Data!G36+Data!G37+Data!G38+Data!G39+Data!G40+Data!G41+Data!G42+Data!G43</f>
        <v>238003</v>
      </c>
      <c r="J43" s="16" t="n">
        <f aca="false">Data!H32+Data!I32+Data!J32+Data!M32+Data!H33+Data!I33+Data!J33+Data!M33+Data!H34+Data!I34+Data!J34+Data!M34+Data!H35+Data!I35+Data!J35+Data!M35+Data!H36+Data!I36+Data!J36+Data!M36+Data!H37+Data!I37+Data!J37+Data!M37+Data!H38+Data!I38+Data!J38+Data!M38+Data!H39+Data!I39+Data!J39+Data!M39+Data!H40+Data!I40+Data!J40+Data!M40+Data!H41+Data!I41+Data!J41+Data!M41+Data!H42+Data!I42+Data!J42+Data!M42+Data!H43+Data!I43+Data!J43+Data!M43</f>
        <v>205189</v>
      </c>
      <c r="K43" s="16" t="n">
        <f aca="false">Data!F32+Data!F33+Data!F34+Data!F35+Data!F36+Data!F37+Data!F38+Data!F39+Data!F40+Data!F41+Data!F42+Data!F43</f>
        <v>926842</v>
      </c>
      <c r="L43" s="16" t="n">
        <f aca="false">Data!N32+Data!O32+Data!P32+Data!Q32+Data!R32+Data!S32+Data!N33+Data!O33+Data!P33+Data!Q33+Data!R33+Data!S33+Data!N34+Data!O34+Data!P34+Data!Q34+Data!R34+Data!S34+Data!N35+Data!O35+Data!P35+Data!Q35+Data!R35+Data!S35+Data!N36+Data!O36+Data!P36+Data!Q36+Data!R36+Data!S36+Data!N37+Data!O37+Data!P37+Data!Q37+Data!R37+Data!S37+Data!N38+Data!O38+Data!P38+Data!Q38+Data!R38+Data!S38+Data!N39+Data!O39+Data!P39+Data!Q39+Data!R39+Data!S39+Data!N40+Data!O40+Data!P40+Data!Q40+Data!R40+Data!S40+Data!N41+Data!O41+Data!P41+Data!Q41+Data!R41+Data!S41+Data!N42+Data!O42+Data!P42+Data!Q42+Data!R42+Data!S42+Data!N43+Data!O43+Data!P43+Data!Q43+Data!R43+Data!S43</f>
        <v>295329</v>
      </c>
      <c r="M43" s="15" t="n">
        <f aca="false">Data!T32+Data!U32+Data!V32+Data!W32+Data!X32+Data!Y32+Data!Z32+Data!AA32+Data!AB32+Data!AC32+Data!AD32+Data!AE32+Data!AF32+Data!AG32+Data!AH32+Data!AI32+Data!AJ32+Data!AK32+Data!AL32+Data!T33+Data!U33+Data!V33+Data!W33+Data!X33+Data!Y33+Data!Z33+Data!AA33+Data!AB33+Data!AC33+Data!AD33+Data!AE33+Data!AF33+Data!AG33+Data!AH33+Data!AI33+Data!AJ33+Data!AK33+Data!AL33+Data!T34+Data!U34+Data!V34+Data!W34+Data!X34+Data!Y34+Data!Z34+Data!AA34+Data!AB34+Data!AC34+Data!AD34+Data!AE34+Data!AF34+Data!AG34+Data!AH34+Data!AI34+Data!AJ34+Data!AK34+Data!AL34+Data!T35+Data!U35+Data!V35+Data!W35+Data!X35+Data!Y35+Data!Z35+Data!AA35+Data!AB35+Data!AC35+Data!AD35+Data!AE35+Data!AF35+Data!AG35+Data!AH35+Data!AI35+Data!AJ35+Data!AK35+Data!AL35+Data!T36+Data!U36+Data!V36+Data!W36+Data!X36+Data!Y36+Data!Z36+Data!AA36+Data!AB36+Data!AC36+Data!AD36+Data!AE36+Data!AF36+Data!AG36+Data!AH36+Data!AI36+Data!AJ36+Data!AK36+Data!AL36+Data!T37+Data!U37+Data!V37+Data!W37+Data!X37+Data!Y37+Data!Z37+Data!AA37+Data!AB37+Data!AC37+Data!AD37+Data!AE37+Data!AF37+Data!AG37+Data!AH37+Data!AI37+Data!AJ37+Data!AK37+Data!AL37+Data!T38+Data!U38+Data!V38+Data!W38+Data!X38+Data!Y38+Data!Z38+Data!AA38+Data!AB38+Data!AC38+Data!AD38+Data!AE38+Data!AF38+Data!AG38+Data!AH38+Data!AI38+Data!AJ38+Data!AK38+Data!AL38+Data!T39+Data!U39+Data!V39+Data!W39+Data!X39+Data!Y39+Data!Z39+Data!AA39+Data!AB39+Data!AC39+Data!AD39+Data!AE39+Data!AF39+Data!AG39+Data!AH39+Data!AI39+Data!AJ39+Data!AK39+Data!AL39+Data!T40+Data!U40+Data!V40+Data!W40+Data!X40+Data!Y40+Data!Z40+Data!AA40+Data!AB40+Data!AC40+Data!AD40+Data!AE40+Data!AF40+Data!AG40+Data!AH40+Data!AI40+Data!AJ40+Data!AK40+Data!AL40+Data!T41+Data!U41+Data!V41+Data!W41+Data!X41+Data!Y41+Data!Z41+Data!AA41+Data!AB41+Data!AC41+Data!AD41+Data!AE41+Data!AF41+Data!AG41+Data!AH41+Data!AI41+Data!AJ41+Data!AK41+Data!AL41+Data!T42+Data!U42+Data!V42+Data!W42+Data!X42+Data!Y42+Data!Z42+Data!AA42+Data!AB42+Data!AC42+Data!AD42+Data!AE42+Data!AF42+Data!AG42+Data!AH42+Data!AI42+Data!AJ42+Data!AK42+Data!AL42+Data!T43+Data!U43+Data!V43+Data!W43+Data!X43+Data!Y43+Data!Z43+Data!AA43+Data!AB43+Data!AC43+Data!AD43+Data!AE43+Data!AF43+Data!AG43+Data!AH43+Data!AI43+Data!AJ43+Data!AK43+Data!AL43</f>
        <v>3005350</v>
      </c>
      <c r="N43" s="16" t="n">
        <f aca="false">Data!T32+Data!U32+Data!V32+Data!W32+Data!T33+Data!U33+Data!V33+Data!W33+Data!T34+Data!U34+Data!V34+Data!W34+Data!T35+Data!U35+Data!V35+Data!W35+Data!T36+Data!U36+Data!V36+Data!W36+Data!T37+Data!U37+Data!V37+Data!W37+Data!T38+Data!U38+Data!V38+Data!W38+Data!T39+Data!U39+Data!V39+Data!W39+Data!T40+Data!U40+Data!V40+Data!W40+Data!T41+Data!U41+Data!V41+Data!W41+Data!T42+Data!U42+Data!V42+Data!W42+Data!T43+Data!U43+Data!V43+Data!W43</f>
        <v>1641333</v>
      </c>
      <c r="O43" s="16" t="n">
        <f aca="false">Data!T32+Data!T33+Data!T34+Data!T35+Data!T36+Data!T37+Data!T38+Data!T39+Data!T40+Data!T41+Data!T42+Data!T43</f>
        <v>1194663</v>
      </c>
      <c r="P43" s="16" t="n">
        <f aca="false">Data!U32+Data!U33+Data!U34+Data!U35+Data!U36+Data!U37+Data!U38+Data!U39+Data!U40+Data!U41+Data!U42+Data!U43</f>
        <v>187851</v>
      </c>
      <c r="Q43" s="16" t="n">
        <f aca="false">Data!V32+Data!V33+Data!V34+Data!V35+Data!V36+Data!V37+Data!V38+Data!V39+Data!V40+Data!V41+Data!V42+Data!V43</f>
        <v>126981</v>
      </c>
      <c r="R43" s="16" t="n">
        <f aca="false">Data!W32+Data!W33+Data!W34+Data!W35+Data!W36+Data!W37+Data!W38+Data!W39+Data!W40+Data!W41+Data!W42+Data!W43</f>
        <v>131838</v>
      </c>
      <c r="S43" s="16" t="n">
        <f aca="false">Data!X32+Data!X33+Data!X34+Data!X35+Data!X36+Data!X37+Data!X38+Data!X39+Data!X40+Data!X41+Data!X42+Data!X43</f>
        <v>62665</v>
      </c>
      <c r="T43" s="16" t="n">
        <f aca="false">Data!Y32+Data!Z32+Data!AA32+Data!Y33+Data!Z33+Data!AA33+Data!Y34+Data!Z34+Data!AA34+Data!Y35+Data!Z35+Data!AA35+Data!Y36+Data!Z36+Data!AA36+Data!Y37+Data!Z37+Data!AA37+Data!Y38+Data!Z38+Data!AA38+Data!Y39+Data!Z39+Data!AA39+Data!Y40+Data!Z40+Data!AA40+Data!Y41+Data!Z41+Data!AA41+Data!Y42+Data!Z42+Data!AA42+Data!Y43+Data!Z43+Data!AA43</f>
        <v>289653</v>
      </c>
      <c r="U43" s="16" t="n">
        <f aca="false">Data!Y32+Data!Y33+Data!Y34+Data!Y35+Data!Y36+Data!Y37+Data!Y38+Data!Y39+Data!Y40+Data!Y41+Data!Y42+Data!Y43</f>
        <v>183478</v>
      </c>
      <c r="V43" s="16" t="n">
        <f aca="false">Data!Z32+Data!Z33+Data!Z34+Data!Z35+Data!Z36+Data!Z37+Data!Z38+Data!Z39+Data!Z40+Data!Z41+Data!Z42+Data!Z43</f>
        <v>105139</v>
      </c>
      <c r="W43" s="16" t="n">
        <f aca="false">Data!AB32+Data!AB33+Data!AB34+Data!AB35+Data!AB36+Data!AB37+Data!AB38+Data!AB39+Data!AB40+Data!AB41+Data!AB42+Data!AB43</f>
        <v>408781</v>
      </c>
      <c r="X43" s="16" t="n">
        <f aca="false">Data!AC32+Data!AC33+Data!AC34+Data!AC35+Data!AC36+Data!AC37+Data!AC38+Data!AC39+Data!AC40+Data!AC41+Data!AC42+Data!AC43</f>
        <v>136495</v>
      </c>
      <c r="Y43" s="16" t="n">
        <f aca="false">Data!AD32+Data!AE32+Data!AF32+Data!AG32+Data!AH32+Data!AD33+Data!AE33+Data!AF33+Data!AG33+Data!AH33+Data!AD34+Data!AE34+Data!AF34+Data!AG34+Data!AH34+Data!AD35+Data!AE35+Data!AF35+Data!AG35+Data!AH35+Data!AD36+Data!AE36+Data!AF36+Data!AG36+Data!AH36+Data!AD37+Data!AE37+Data!AF37+Data!AG37+Data!AH37+Data!AD38+Data!AE38+Data!AF38+Data!AG38+Data!AH38+Data!AD39+Data!AE39+Data!AF39+Data!AG39+Data!AH39+Data!AD40+Data!AE40+Data!AF40+Data!AG40+Data!AH40+Data!AD41+Data!AE41+Data!AF41+Data!AG41+Data!AH41+Data!AD42+Data!AE42+Data!AF42+Data!AG42+Data!AH42+Data!AD43+Data!AE43+Data!AF43+Data!AG43+Data!AH43</f>
        <v>84216</v>
      </c>
      <c r="Z43" s="16" t="n">
        <f aca="false">Data!AI32+Data!AI33+Data!AI34+Data!AI35+Data!AI36+Data!AI37+Data!AI38+Data!AI39+Data!AI40+Data!AI41+Data!AI42+Data!AI43</f>
        <v>109284</v>
      </c>
      <c r="AA43" s="16" t="n">
        <f aca="false">Data!AJ32+Data!AJ33+Data!AJ34+Data!AJ35+Data!AJ36+Data!AJ37+Data!AJ38+Data!AJ39+Data!AJ40+Data!AJ41+Data!AJ42+Data!AJ43</f>
        <v>1319</v>
      </c>
      <c r="AB43" s="16" t="n">
        <f aca="false">Data!AK32+Data!AK33+Data!AK34+Data!AK35+Data!AK36+Data!AK37+Data!AK38+Data!AK39+Data!AK40+Data!AK41+Data!AK42+Data!AK43</f>
        <v>53731</v>
      </c>
      <c r="AC43" s="16" t="n">
        <f aca="false">Data!AL32+Data!AL33+Data!AL34+Data!AL35+Data!AL36+Data!AL37+Data!AL38+Data!AL39+Data!AL40+Data!AL41+Data!AL42+Data!AL43</f>
        <v>217873</v>
      </c>
      <c r="AD43" s="15" t="n">
        <f aca="false">Data!AM32+Data!AM33+Data!AM34+Data!AM35+Data!AM36+Data!AM37+Data!AM38+Data!AM39+Data!AM40+Data!AM41+Data!AM42+Data!AM43</f>
        <v>-326258</v>
      </c>
      <c r="AE43" s="16" t="n">
        <f aca="false">Data!AN32+Data!AN33+Data!AN34+Data!AN35+Data!AN36+Data!AN37+Data!AN38+Data!AN39+Data!AN40+Data!AN41+Data!AN42+Data!AN43</f>
        <v>435818</v>
      </c>
      <c r="AF43" s="15" t="n">
        <f aca="false">Data!AO32+Data!AO33+Data!AO34+Data!AO35+Data!AO36+Data!AO37+Data!AO38+Data!AO39+Data!AO40+Data!AO41+Data!AO42+Data!AO43</f>
        <v>-762076</v>
      </c>
    </row>
    <row r="44" customFormat="false" ht="15" hidden="false" customHeight="false" outlineLevel="0" collapsed="false">
      <c r="B44" s="14" t="str">
        <f aca="false">Data!B44</f>
        <v>2019-02</v>
      </c>
      <c r="C44" s="15" t="n">
        <f aca="false">Data!D33+Data!E33+Data!F33+Data!G33+Data!H33+Data!I33+Data!J33+Data!K33+Data!L33+Data!M33+Data!N33+Data!O33+Data!P33+Data!Q33+Data!R33+Data!S33+Data!D34+Data!E34+Data!F34+Data!G34+Data!H34+Data!I34+Data!J34+Data!K34+Data!L34+Data!M34+Data!N34+Data!O34+Data!P34+Data!Q34+Data!R34+Data!S34+Data!D35+Data!E35+Data!F35+Data!G35+Data!H35+Data!I35+Data!J35+Data!K35+Data!L35+Data!M35+Data!N35+Data!O35+Data!P35+Data!Q35+Data!R35+Data!S35+Data!D36+Data!E36+Data!F36+Data!G36+Data!H36+Data!I36+Data!J36+Data!K36+Data!L36+Data!M36+Data!N36+Data!O36+Data!P36+Data!Q36+Data!R36+Data!S36+Data!D37+Data!E37+Data!F37+Data!G37+Data!H37+Data!I37+Data!J37+Data!K37+Data!L37+Data!M37+Data!N37+Data!O37+Data!P37+Data!Q37+Data!R37+Data!S37+Data!D38+Data!E38+Data!F38+Data!G38+Data!H38+Data!I38+Data!J38+Data!K38+Data!L38+Data!M38+Data!N38+Data!O38+Data!P38+Data!Q38+Data!R38+Data!S38+Data!D39+Data!E39+Data!F39+Data!G39+Data!H39+Data!I39+Data!J39+Data!K39+Data!L39+Data!M39+Data!N39+Data!O39+Data!P39+Data!Q39+Data!R39+Data!S39+Data!D40+Data!E40+Data!F40+Data!G40+Data!H40+Data!I40+Data!J40+Data!K40+Data!L40+Data!M40+Data!N40+Data!O40+Data!P40+Data!Q40+Data!R40+Data!S40+Data!D41+Data!E41+Data!F41+Data!G41+Data!H41+Data!I41+Data!J41+Data!K41+Data!L41+Data!M41+Data!N41+Data!O41+Data!P41+Data!Q41+Data!R41+Data!S41+Data!D42+Data!E42+Data!F42+Data!G42+Data!H42+Data!I42+Data!J42+Data!K42+Data!L42+Data!M42+Data!N42+Data!O42+Data!P42+Data!Q42+Data!R42+Data!S42+Data!D43+Data!E43+Data!F43+Data!G43+Data!H43+Data!I43+Data!J43+Data!K43+Data!L43+Data!M43+Data!N43+Data!O43+Data!P43+Data!Q43+Data!R43+Data!S43+Data!D44+Data!E44+Data!F44+Data!G44+Data!H44+Data!I44+Data!J44+Data!K44+Data!L44+Data!M44+Data!N44+Data!O44+Data!P44+Data!Q44+Data!R44+Data!S44</f>
        <v>2762718</v>
      </c>
      <c r="D44" s="16" t="n">
        <f aca="false">Data!D33+Data!E33+Data!G33+Data!H33+Data!I33+Data!J33+Data!K33+Data!L33+Data!M33+Data!D34+Data!E34+Data!G34+Data!H34+Data!I34+Data!J34+Data!K34+Data!L34+Data!M34+Data!D35+Data!E35+Data!G35+Data!H35+Data!I35+Data!J35+Data!K35+Data!L35+Data!M35+Data!D36+Data!E36+Data!G36+Data!H36+Data!I36+Data!J36+Data!K36+Data!L36+Data!M36+Data!D37+Data!E37+Data!G37+Data!H37+Data!I37+Data!J37+Data!K37+Data!L37+Data!M37+Data!D38+Data!E38+Data!G38+Data!H38+Data!I38+Data!J38+Data!K38+Data!L38+Data!M38+Data!D39+Data!E39+Data!G39+Data!H39+Data!I39+Data!J39+Data!K39+Data!L39+Data!M39+Data!D40+Data!E40+Data!G40+Data!H40+Data!I40+Data!J40+Data!K40+Data!L40+Data!M40+Data!D41+Data!E41+Data!G41+Data!H41+Data!I41+Data!J41+Data!K41+Data!L41+Data!M41+Data!D42+Data!E42+Data!G42+Data!H42+Data!I42+Data!J42+Data!K42+Data!L42+Data!M42+Data!D43+Data!E43+Data!G43+Data!H43+Data!I43+Data!J43+Data!K43+Data!L43+Data!M43+Data!D44+Data!E44+Data!G44+Data!H44+Data!I44+Data!J44+Data!K44+Data!L44+Data!M44</f>
        <v>1499791</v>
      </c>
      <c r="E44" s="16" t="n">
        <f aca="false">Data!D33+Data!D34+Data!D35+Data!D36+Data!D37+Data!D38+Data!D39+Data!D40+Data!D41+Data!D42+Data!D43+Data!D44</f>
        <v>528457</v>
      </c>
      <c r="F44" s="16" t="n">
        <f aca="false">Data!E33+Data!E34+Data!E35+Data!E36+Data!E37+Data!E38+Data!E39+Data!E40+Data!E41+Data!E42+Data!E43+Data!E44</f>
        <v>286609</v>
      </c>
      <c r="G44" s="16" t="n">
        <f aca="false">Data!K33+Data!K34+Data!K35+Data!K36+Data!K37+Data!K38+Data!K39+Data!K40+Data!K41+Data!K42+Data!K43+Data!K44</f>
        <v>122674</v>
      </c>
      <c r="H44" s="16" t="n">
        <f aca="false">Data!L33+Data!L34+Data!L35+Data!L36+Data!L37+Data!L38+Data!L39+Data!L40+Data!L41+Data!L42+Data!L43+Data!L44</f>
        <v>107019</v>
      </c>
      <c r="I44" s="16" t="n">
        <f aca="false">Data!G33+Data!G34+Data!G35+Data!G36+Data!G37+Data!G38+Data!G39+Data!G40+Data!G41+Data!G42+Data!G43+Data!G44</f>
        <v>245348</v>
      </c>
      <c r="J44" s="16" t="n">
        <f aca="false">Data!H33+Data!I33+Data!J33+Data!M33+Data!H34+Data!I34+Data!J34+Data!M34+Data!H35+Data!I35+Data!J35+Data!M35+Data!H36+Data!I36+Data!J36+Data!M36+Data!H37+Data!I37+Data!J37+Data!M37+Data!H38+Data!I38+Data!J38+Data!M38+Data!H39+Data!I39+Data!J39+Data!M39+Data!H40+Data!I40+Data!J40+Data!M40+Data!H41+Data!I41+Data!J41+Data!M41+Data!H42+Data!I42+Data!J42+Data!M42+Data!H43+Data!I43+Data!J43+Data!M43+Data!H44+Data!I44+Data!J44+Data!M44</f>
        <v>209684</v>
      </c>
      <c r="K44" s="16" t="n">
        <f aca="false">Data!F33+Data!F34+Data!F35+Data!F36+Data!F37+Data!F38+Data!F39+Data!F40+Data!F41+Data!F42+Data!F43+Data!F44</f>
        <v>948277</v>
      </c>
      <c r="L44" s="16" t="n">
        <f aca="false">Data!N33+Data!O33+Data!P33+Data!Q33+Data!R33+Data!S33+Data!N34+Data!O34+Data!P34+Data!Q34+Data!R34+Data!S34+Data!N35+Data!O35+Data!P35+Data!Q35+Data!R35+Data!S35+Data!N36+Data!O36+Data!P36+Data!Q36+Data!R36+Data!S36+Data!N37+Data!O37+Data!P37+Data!Q37+Data!R37+Data!S37+Data!N38+Data!O38+Data!P38+Data!Q38+Data!R38+Data!S38+Data!N39+Data!O39+Data!P39+Data!Q39+Data!R39+Data!S39+Data!N40+Data!O40+Data!P40+Data!Q40+Data!R40+Data!S40+Data!N41+Data!O41+Data!P41+Data!Q41+Data!R41+Data!S41+Data!N42+Data!O42+Data!P42+Data!Q42+Data!R42+Data!S42+Data!N43+Data!O43+Data!P43+Data!Q43+Data!R43+Data!S43+Data!N44+Data!O44+Data!P44+Data!Q44+Data!R44+Data!S44</f>
        <v>314650</v>
      </c>
      <c r="M44" s="15" t="n">
        <f aca="false">Data!T33+Data!U33+Data!V33+Data!W33+Data!X33+Data!Y33+Data!Z33+Data!AA33+Data!AB33+Data!AC33+Data!AD33+Data!AE33+Data!AF33+Data!AG33+Data!AH33+Data!AI33+Data!AJ33+Data!AK33+Data!AL33+Data!T34+Data!U34+Data!V34+Data!W34+Data!X34+Data!Y34+Data!Z34+Data!AA34+Data!AB34+Data!AC34+Data!AD34+Data!AE34+Data!AF34+Data!AG34+Data!AH34+Data!AI34+Data!AJ34+Data!AK34+Data!AL34+Data!T35+Data!U35+Data!V35+Data!W35+Data!X35+Data!Y35+Data!Z35+Data!AA35+Data!AB35+Data!AC35+Data!AD35+Data!AE35+Data!AF35+Data!AG35+Data!AH35+Data!AI35+Data!AJ35+Data!AK35+Data!AL35+Data!T36+Data!U36+Data!V36+Data!W36+Data!X36+Data!Y36+Data!Z36+Data!AA36+Data!AB36+Data!AC36+Data!AD36+Data!AE36+Data!AF36+Data!AG36+Data!AH36+Data!AI36+Data!AJ36+Data!AK36+Data!AL36+Data!T37+Data!U37+Data!V37+Data!W37+Data!X37+Data!Y37+Data!Z37+Data!AA37+Data!AB37+Data!AC37+Data!AD37+Data!AE37+Data!AF37+Data!AG37+Data!AH37+Data!AI37+Data!AJ37+Data!AK37+Data!AL37+Data!T38+Data!U38+Data!V38+Data!W38+Data!X38+Data!Y38+Data!Z38+Data!AA38+Data!AB38+Data!AC38+Data!AD38+Data!AE38+Data!AF38+Data!AG38+Data!AH38+Data!AI38+Data!AJ38+Data!AK38+Data!AL38+Data!T39+Data!U39+Data!V39+Data!W39+Data!X39+Data!Y39+Data!Z39+Data!AA39+Data!AB39+Data!AC39+Data!AD39+Data!AE39+Data!AF39+Data!AG39+Data!AH39+Data!AI39+Data!AJ39+Data!AK39+Data!AL39+Data!T40+Data!U40+Data!V40+Data!W40+Data!X40+Data!Y40+Data!Z40+Data!AA40+Data!AB40+Data!AC40+Data!AD40+Data!AE40+Data!AF40+Data!AG40+Data!AH40+Data!AI40+Data!AJ40+Data!AK40+Data!AL40+Data!T41+Data!U41+Data!V41+Data!W41+Data!X41+Data!Y41+Data!Z41+Data!AA41+Data!AB41+Data!AC41+Data!AD41+Data!AE41+Data!AF41+Data!AG41+Data!AH41+Data!AI41+Data!AJ41+Data!AK41+Data!AL41+Data!T42+Data!U42+Data!V42+Data!W42+Data!X42+Data!Y42+Data!Z42+Data!AA42+Data!AB42+Data!AC42+Data!AD42+Data!AE42+Data!AF42+Data!AG42+Data!AH42+Data!AI42+Data!AJ42+Data!AK42+Data!AL42+Data!T43+Data!U43+Data!V43+Data!W43+Data!X43+Data!Y43+Data!Z43+Data!AA43+Data!AB43+Data!AC43+Data!AD43+Data!AE43+Data!AF43+Data!AG43+Data!AH43+Data!AI43+Data!AJ43+Data!AK43+Data!AL43+Data!T44+Data!U44+Data!V44+Data!W44+Data!X44+Data!Y44+Data!Z44+Data!AA44+Data!AB44+Data!AC44+Data!AD44+Data!AE44+Data!AF44+Data!AG44+Data!AH44+Data!AI44+Data!AJ44+Data!AK44+Data!AL44</f>
        <v>3062022</v>
      </c>
      <c r="N44" s="16" t="n">
        <f aca="false">Data!T33+Data!U33+Data!V33+Data!W33+Data!T34+Data!U34+Data!V34+Data!W34+Data!T35+Data!U35+Data!V35+Data!W35+Data!T36+Data!U36+Data!V36+Data!W36+Data!T37+Data!U37+Data!V37+Data!W37+Data!T38+Data!U38+Data!V38+Data!W38+Data!T39+Data!U39+Data!V39+Data!W39+Data!T40+Data!U40+Data!V40+Data!W40+Data!T41+Data!U41+Data!V41+Data!W41+Data!T42+Data!U42+Data!V42+Data!W42+Data!T43+Data!U43+Data!V43+Data!W43+Data!T44+Data!U44+Data!V44+Data!W44</f>
        <v>1671325</v>
      </c>
      <c r="O44" s="16" t="n">
        <f aca="false">Data!T33+Data!T34+Data!T35+Data!T36+Data!T37+Data!T38+Data!T39+Data!T40+Data!T41+Data!T42+Data!T43+Data!T44</f>
        <v>1216421</v>
      </c>
      <c r="P44" s="16" t="n">
        <f aca="false">Data!U33+Data!U34+Data!U35+Data!U36+Data!U37+Data!U38+Data!U39+Data!U40+Data!U41+Data!U42+Data!U43+Data!U44</f>
        <v>190178</v>
      </c>
      <c r="Q44" s="16" t="n">
        <f aca="false">Data!V33+Data!V34+Data!V35+Data!V36+Data!V37+Data!V38+Data!V39+Data!V40+Data!V41+Data!V42+Data!V43+Data!V44</f>
        <v>129750</v>
      </c>
      <c r="R44" s="16" t="n">
        <f aca="false">Data!W33+Data!W34+Data!W35+Data!W36+Data!W37+Data!W38+Data!W39+Data!W40+Data!W41+Data!W42+Data!W43+Data!W44</f>
        <v>134976</v>
      </c>
      <c r="S44" s="16" t="n">
        <f aca="false">Data!X33+Data!X34+Data!X35+Data!X36+Data!X37+Data!X38+Data!X39+Data!X40+Data!X41+Data!X42+Data!X43+Data!X44</f>
        <v>66341</v>
      </c>
      <c r="T44" s="16" t="n">
        <f aca="false">Data!Y33+Data!Z33+Data!AA33+Data!Y34+Data!Z34+Data!AA34+Data!Y35+Data!Z35+Data!AA35+Data!Y36+Data!Z36+Data!AA36+Data!Y37+Data!Z37+Data!AA37+Data!Y38+Data!Z38+Data!AA38+Data!Y39+Data!Z39+Data!AA39+Data!Y40+Data!Z40+Data!AA40+Data!Y41+Data!Z41+Data!AA41+Data!Y42+Data!Z42+Data!AA42+Data!Y43+Data!Z43+Data!AA43+Data!Y44+Data!Z44+Data!AA44</f>
        <v>297396</v>
      </c>
      <c r="U44" s="16" t="n">
        <f aca="false">Data!Y33+Data!Y34+Data!Y35+Data!Y36+Data!Y37+Data!Y38+Data!Y39+Data!Y40+Data!Y41+Data!Y42+Data!Y43+Data!Y44</f>
        <v>190658</v>
      </c>
      <c r="V44" s="16" t="n">
        <f aca="false">Data!Z33+Data!Z34+Data!Z35+Data!Z36+Data!Z37+Data!Z38+Data!Z39+Data!Z40+Data!Z41+Data!Z42+Data!Z43+Data!Z44</f>
        <v>105501</v>
      </c>
      <c r="W44" s="16" t="n">
        <f aca="false">Data!AB33+Data!AB34+Data!AB35+Data!AB36+Data!AB37+Data!AB38+Data!AB39+Data!AB40+Data!AB41+Data!AB42+Data!AB43+Data!AB44</f>
        <v>415822</v>
      </c>
      <c r="X44" s="16" t="n">
        <f aca="false">Data!AC33+Data!AC34+Data!AC35+Data!AC36+Data!AC37+Data!AC38+Data!AC39+Data!AC40+Data!AC41+Data!AC42+Data!AC43+Data!AC44</f>
        <v>139830</v>
      </c>
      <c r="Y44" s="16" t="n">
        <f aca="false">Data!AD33+Data!AE33+Data!AF33+Data!AG33+Data!AH33+Data!AD34+Data!AE34+Data!AF34+Data!AG34+Data!AH34+Data!AD35+Data!AE35+Data!AF35+Data!AG35+Data!AH35+Data!AD36+Data!AE36+Data!AF36+Data!AG36+Data!AH36+Data!AD37+Data!AE37+Data!AF37+Data!AG37+Data!AH37+Data!AD38+Data!AE38+Data!AF38+Data!AG38+Data!AH38+Data!AD39+Data!AE39+Data!AF39+Data!AG39+Data!AH39+Data!AD40+Data!AE40+Data!AF40+Data!AG40+Data!AH40+Data!AD41+Data!AE41+Data!AF41+Data!AG41+Data!AH41+Data!AD42+Data!AE42+Data!AF42+Data!AG42+Data!AH42+Data!AD43+Data!AE43+Data!AF43+Data!AG43+Data!AH43+Data!AD44+Data!AE44+Data!AF44+Data!AG44+Data!AH44</f>
        <v>88577</v>
      </c>
      <c r="Z44" s="16" t="n">
        <f aca="false">Data!AI33+Data!AI34+Data!AI35+Data!AI36+Data!AI37+Data!AI38+Data!AI39+Data!AI40+Data!AI41+Data!AI42+Data!AI43+Data!AI44</f>
        <v>110394</v>
      </c>
      <c r="AA44" s="16" t="n">
        <f aca="false">Data!AJ33+Data!AJ34+Data!AJ35+Data!AJ36+Data!AJ37+Data!AJ38+Data!AJ39+Data!AJ40+Data!AJ41+Data!AJ42+Data!AJ43+Data!AJ44</f>
        <v>17</v>
      </c>
      <c r="AB44" s="16" t="n">
        <f aca="false">Data!AK33+Data!AK34+Data!AK35+Data!AK36+Data!AK37+Data!AK38+Data!AK39+Data!AK40+Data!AK41+Data!AK42+Data!AK43+Data!AK44</f>
        <v>52591</v>
      </c>
      <c r="AC44" s="16" t="n">
        <f aca="false">Data!AL33+Data!AL34+Data!AL35+Data!AL36+Data!AL37+Data!AL38+Data!AL39+Data!AL40+Data!AL41+Data!AL42+Data!AL43+Data!AL44</f>
        <v>219729</v>
      </c>
      <c r="AD44" s="15" t="n">
        <f aca="false">Data!AM33+Data!AM34+Data!AM35+Data!AM36+Data!AM37+Data!AM38+Data!AM39+Data!AM40+Data!AM41+Data!AM42+Data!AM43+Data!AM44</f>
        <v>-299304</v>
      </c>
      <c r="AE44" s="16" t="n">
        <f aca="false">Data!AN33+Data!AN34+Data!AN35+Data!AN36+Data!AN37+Data!AN38+Data!AN39+Data!AN40+Data!AN41+Data!AN42+Data!AN43+Data!AN44</f>
        <v>439940</v>
      </c>
      <c r="AF44" s="15" t="n">
        <f aca="false">Data!AO33+Data!AO34+Data!AO35+Data!AO36+Data!AO37+Data!AO38+Data!AO39+Data!AO40+Data!AO41+Data!AO42+Data!AO43+Data!AO44</f>
        <v>-739244</v>
      </c>
    </row>
    <row r="45" customFormat="false" ht="15" hidden="false" customHeight="false" outlineLevel="0" collapsed="false">
      <c r="B45" s="14" t="str">
        <f aca="false">Data!B45</f>
        <v>2019-03</v>
      </c>
      <c r="C45" s="15" t="n">
        <f aca="false">Data!D34+Data!E34+Data!F34+Data!G34+Data!H34+Data!I34+Data!J34+Data!K34+Data!L34+Data!M34+Data!N34+Data!O34+Data!P34+Data!Q34+Data!R34+Data!S34+Data!D35+Data!E35+Data!F35+Data!G35+Data!H35+Data!I35+Data!J35+Data!K35+Data!L35+Data!M35+Data!N35+Data!O35+Data!P35+Data!Q35+Data!R35+Data!S35+Data!D36+Data!E36+Data!F36+Data!G36+Data!H36+Data!I36+Data!J36+Data!K36+Data!L36+Data!M36+Data!N36+Data!O36+Data!P36+Data!Q36+Data!R36+Data!S36+Data!D37+Data!E37+Data!F37+Data!G37+Data!H37+Data!I37+Data!J37+Data!K37+Data!L37+Data!M37+Data!N37+Data!O37+Data!P37+Data!Q37+Data!R37+Data!S37+Data!D38+Data!E38+Data!F38+Data!G38+Data!H38+Data!I38+Data!J38+Data!K38+Data!L38+Data!M38+Data!N38+Data!O38+Data!P38+Data!Q38+Data!R38+Data!S38+Data!D39+Data!E39+Data!F39+Data!G39+Data!H39+Data!I39+Data!J39+Data!K39+Data!L39+Data!M39+Data!N39+Data!O39+Data!P39+Data!Q39+Data!R39+Data!S39+Data!D40+Data!E40+Data!F40+Data!G40+Data!H40+Data!I40+Data!J40+Data!K40+Data!L40+Data!M40+Data!N40+Data!O40+Data!P40+Data!Q40+Data!R40+Data!S40+Data!D41+Data!E41+Data!F41+Data!G41+Data!H41+Data!I41+Data!J41+Data!K41+Data!L41+Data!M41+Data!N41+Data!O41+Data!P41+Data!Q41+Data!R41+Data!S41+Data!D42+Data!E42+Data!F42+Data!G42+Data!H42+Data!I42+Data!J42+Data!K42+Data!L42+Data!M42+Data!N42+Data!O42+Data!P42+Data!Q42+Data!R42+Data!S42+Data!D43+Data!E43+Data!F43+Data!G43+Data!H43+Data!I43+Data!J43+Data!K43+Data!L43+Data!M43+Data!N43+Data!O43+Data!P43+Data!Q43+Data!R43+Data!S43+Data!D44+Data!E44+Data!F44+Data!G44+Data!H44+Data!I44+Data!J44+Data!K44+Data!L44+Data!M44+Data!N44+Data!O44+Data!P44+Data!Q44+Data!R44+Data!S44+Data!D45+Data!E45+Data!F45+Data!G45+Data!H45+Data!I45+Data!J45+Data!K45+Data!L45+Data!M45+Data!N45+Data!O45+Data!P45+Data!Q45+Data!R45+Data!S45</f>
        <v>2828061</v>
      </c>
      <c r="D45" s="16" t="n">
        <f aca="false">Data!D34+Data!E34+Data!G34+Data!H34+Data!I34+Data!J34+Data!K34+Data!L34+Data!M34+Data!D35+Data!E35+Data!G35+Data!H35+Data!I35+Data!J35+Data!K35+Data!L35+Data!M35+Data!D36+Data!E36+Data!G36+Data!H36+Data!I36+Data!J36+Data!K36+Data!L36+Data!M36+Data!D37+Data!E37+Data!G37+Data!H37+Data!I37+Data!J37+Data!K37+Data!L37+Data!M37+Data!D38+Data!E38+Data!G38+Data!H38+Data!I38+Data!J38+Data!K38+Data!L38+Data!M38+Data!D39+Data!E39+Data!G39+Data!H39+Data!I39+Data!J39+Data!K39+Data!L39+Data!M39+Data!D40+Data!E40+Data!G40+Data!H40+Data!I40+Data!J40+Data!K40+Data!L40+Data!M40+Data!D41+Data!E41+Data!G41+Data!H41+Data!I41+Data!J41+Data!K41+Data!L41+Data!M41+Data!D42+Data!E42+Data!G42+Data!H42+Data!I42+Data!J42+Data!K42+Data!L42+Data!M42+Data!D43+Data!E43+Data!G43+Data!H43+Data!I43+Data!J43+Data!K43+Data!L43+Data!M43+Data!D44+Data!E44+Data!G44+Data!H44+Data!I44+Data!J44+Data!K44+Data!L44+Data!M44+Data!D45+Data!E45+Data!G45+Data!H45+Data!I45+Data!J45+Data!K45+Data!L45+Data!M45</f>
        <v>1543442</v>
      </c>
      <c r="E45" s="16" t="n">
        <f aca="false">Data!D34+Data!D35+Data!D36+Data!D37+Data!D38+Data!D39+Data!D40+Data!D41+Data!D42+Data!D43+Data!D44+Data!D45</f>
        <v>541002</v>
      </c>
      <c r="F45" s="16" t="n">
        <f aca="false">Data!E34+Data!E35+Data!E36+Data!E37+Data!E38+Data!E39+Data!E40+Data!E41+Data!E42+Data!E43+Data!E44+Data!E45</f>
        <v>287193</v>
      </c>
      <c r="G45" s="16" t="n">
        <f aca="false">Data!K34+Data!K35+Data!K36+Data!K37+Data!K38+Data!K39+Data!K40+Data!K41+Data!K42+Data!K43+Data!K44+Data!K45</f>
        <v>138301</v>
      </c>
      <c r="H45" s="16" t="n">
        <f aca="false">Data!L34+Data!L35+Data!L36+Data!L37+Data!L38+Data!L39+Data!L40+Data!L41+Data!L42+Data!L43+Data!L44+Data!L45</f>
        <v>108912</v>
      </c>
      <c r="I45" s="16" t="n">
        <f aca="false">Data!G34+Data!G35+Data!G36+Data!G37+Data!G38+Data!G39+Data!G40+Data!G41+Data!G42+Data!G43+Data!G44+Data!G45</f>
        <v>254333</v>
      </c>
      <c r="J45" s="16" t="n">
        <f aca="false">Data!H34+Data!I34+Data!J34+Data!M34+Data!H35+Data!I35+Data!J35+Data!M35+Data!H36+Data!I36+Data!J36+Data!M36+Data!H37+Data!I37+Data!J37+Data!M37+Data!H38+Data!I38+Data!J38+Data!M38+Data!H39+Data!I39+Data!J39+Data!M39+Data!H40+Data!I40+Data!J40+Data!M40+Data!H41+Data!I41+Data!J41+Data!M41+Data!H42+Data!I42+Data!J42+Data!M42+Data!H43+Data!I43+Data!J43+Data!M43+Data!H44+Data!I44+Data!J44+Data!M44+Data!H45+Data!I45+Data!J45+Data!M45</f>
        <v>213701</v>
      </c>
      <c r="K45" s="16" t="n">
        <f aca="false">Data!F34+Data!F35+Data!F36+Data!F37+Data!F38+Data!F39+Data!F40+Data!F41+Data!F42+Data!F43+Data!F44+Data!F45</f>
        <v>966221</v>
      </c>
      <c r="L45" s="16" t="n">
        <f aca="false">Data!N34+Data!O34+Data!P34+Data!Q34+Data!R34+Data!S34+Data!N35+Data!O35+Data!P35+Data!Q35+Data!R35+Data!S35+Data!N36+Data!O36+Data!P36+Data!Q36+Data!R36+Data!S36+Data!N37+Data!O37+Data!P37+Data!Q37+Data!R37+Data!S37+Data!N38+Data!O38+Data!P38+Data!Q38+Data!R38+Data!S38+Data!N39+Data!O39+Data!P39+Data!Q39+Data!R39+Data!S39+Data!N40+Data!O40+Data!P40+Data!Q40+Data!R40+Data!S40+Data!N41+Data!O41+Data!P41+Data!Q41+Data!R41+Data!S41+Data!N42+Data!O42+Data!P42+Data!Q42+Data!R42+Data!S42+Data!N43+Data!O43+Data!P43+Data!Q43+Data!R43+Data!S43+Data!N44+Data!O44+Data!P44+Data!Q44+Data!R44+Data!S44+Data!N45+Data!O45+Data!P45+Data!Q45+Data!R45+Data!S45</f>
        <v>318398</v>
      </c>
      <c r="M45" s="15" t="n">
        <f aca="false">Data!T34+Data!U34+Data!V34+Data!W34+Data!X34+Data!Y34+Data!Z34+Data!AA34+Data!AB34+Data!AC34+Data!AD34+Data!AE34+Data!AF34+Data!AG34+Data!AH34+Data!AI34+Data!AJ34+Data!AK34+Data!AL34+Data!T35+Data!U35+Data!V35+Data!W35+Data!X35+Data!Y35+Data!Z35+Data!AA35+Data!AB35+Data!AC35+Data!AD35+Data!AE35+Data!AF35+Data!AG35+Data!AH35+Data!AI35+Data!AJ35+Data!AK35+Data!AL35+Data!T36+Data!U36+Data!V36+Data!W36+Data!X36+Data!Y36+Data!Z36+Data!AA36+Data!AB36+Data!AC36+Data!AD36+Data!AE36+Data!AF36+Data!AG36+Data!AH36+Data!AI36+Data!AJ36+Data!AK36+Data!AL36+Data!T37+Data!U37+Data!V37+Data!W37+Data!X37+Data!Y37+Data!Z37+Data!AA37+Data!AB37+Data!AC37+Data!AD37+Data!AE37+Data!AF37+Data!AG37+Data!AH37+Data!AI37+Data!AJ37+Data!AK37+Data!AL37+Data!T38+Data!U38+Data!V38+Data!W38+Data!X38+Data!Y38+Data!Z38+Data!AA38+Data!AB38+Data!AC38+Data!AD38+Data!AE38+Data!AF38+Data!AG38+Data!AH38+Data!AI38+Data!AJ38+Data!AK38+Data!AL38+Data!T39+Data!U39+Data!V39+Data!W39+Data!X39+Data!Y39+Data!Z39+Data!AA39+Data!AB39+Data!AC39+Data!AD39+Data!AE39+Data!AF39+Data!AG39+Data!AH39+Data!AI39+Data!AJ39+Data!AK39+Data!AL39+Data!T40+Data!U40+Data!V40+Data!W40+Data!X40+Data!Y40+Data!Z40+Data!AA40+Data!AB40+Data!AC40+Data!AD40+Data!AE40+Data!AF40+Data!AG40+Data!AH40+Data!AI40+Data!AJ40+Data!AK40+Data!AL40+Data!T41+Data!U41+Data!V41+Data!W41+Data!X41+Data!Y41+Data!Z41+Data!AA41+Data!AB41+Data!AC41+Data!AD41+Data!AE41+Data!AF41+Data!AG41+Data!AH41+Data!AI41+Data!AJ41+Data!AK41+Data!AL41+Data!T42+Data!U42+Data!V42+Data!W42+Data!X42+Data!Y42+Data!Z42+Data!AA42+Data!AB42+Data!AC42+Data!AD42+Data!AE42+Data!AF42+Data!AG42+Data!AH42+Data!AI42+Data!AJ42+Data!AK42+Data!AL42+Data!T43+Data!U43+Data!V43+Data!W43+Data!X43+Data!Y43+Data!Z43+Data!AA43+Data!AB43+Data!AC43+Data!AD43+Data!AE43+Data!AF43+Data!AG43+Data!AH43+Data!AI43+Data!AJ43+Data!AK43+Data!AL43+Data!T44+Data!U44+Data!V44+Data!W44+Data!X44+Data!Y44+Data!Z44+Data!AA44+Data!AB44+Data!AC44+Data!AD44+Data!AE44+Data!AF44+Data!AG44+Data!AH44+Data!AI44+Data!AJ44+Data!AK44+Data!AL44+Data!T45+Data!U45+Data!V45+Data!W45+Data!X45+Data!Y45+Data!Z45+Data!AA45+Data!AB45+Data!AC45+Data!AD45+Data!AE45+Data!AF45+Data!AG45+Data!AH45+Data!AI45+Data!AJ45+Data!AK45+Data!AL45</f>
        <v>3125700</v>
      </c>
      <c r="N45" s="16" t="n">
        <f aca="false">Data!T34+Data!U34+Data!V34+Data!W34+Data!T35+Data!U35+Data!V35+Data!W35+Data!T36+Data!U36+Data!V36+Data!W36+Data!T37+Data!U37+Data!V37+Data!W37+Data!T38+Data!U38+Data!V38+Data!W38+Data!T39+Data!U39+Data!V39+Data!W39+Data!T40+Data!U40+Data!V40+Data!W40+Data!T41+Data!U41+Data!V41+Data!W41+Data!T42+Data!U42+Data!V42+Data!W42+Data!T43+Data!U43+Data!V43+Data!W43+Data!T44+Data!U44+Data!V44+Data!W44+Data!T45+Data!U45+Data!V45+Data!W45</f>
        <v>1711697</v>
      </c>
      <c r="O45" s="16" t="n">
        <f aca="false">Data!T34+Data!T35+Data!T36+Data!T37+Data!T38+Data!T39+Data!T40+Data!T41+Data!T42+Data!T43+Data!T44+Data!T45</f>
        <v>1243272</v>
      </c>
      <c r="P45" s="16" t="n">
        <f aca="false">Data!U34+Data!U35+Data!U36+Data!U37+Data!U38+Data!U39+Data!U40+Data!U41+Data!U42+Data!U43+Data!U44+Data!U45</f>
        <v>198599</v>
      </c>
      <c r="Q45" s="16" t="n">
        <f aca="false">Data!V34+Data!V35+Data!V36+Data!V37+Data!V38+Data!V39+Data!V40+Data!V41+Data!V42+Data!V43+Data!V44+Data!V45</f>
        <v>133339</v>
      </c>
      <c r="R45" s="16" t="n">
        <f aca="false">Data!W34+Data!W35+Data!W36+Data!W37+Data!W38+Data!W39+Data!W40+Data!W41+Data!W42+Data!W43+Data!W44+Data!W45</f>
        <v>136487</v>
      </c>
      <c r="S45" s="16" t="n">
        <f aca="false">Data!X34+Data!X35+Data!X36+Data!X37+Data!X38+Data!X39+Data!X40+Data!X41+Data!X42+Data!X43+Data!X44+Data!X45</f>
        <v>68341</v>
      </c>
      <c r="T45" s="16" t="n">
        <f aca="false">Data!Y34+Data!Z34+Data!AA34+Data!Y35+Data!Z35+Data!AA35+Data!Y36+Data!Z36+Data!AA36+Data!Y37+Data!Z37+Data!AA37+Data!Y38+Data!Z38+Data!AA38+Data!Y39+Data!Z39+Data!AA39+Data!Y40+Data!Z40+Data!AA40+Data!Y41+Data!Z41+Data!AA41+Data!Y42+Data!Z42+Data!AA42+Data!Y43+Data!Z43+Data!AA43+Data!Y44+Data!Z44+Data!AA44+Data!Y45+Data!Z45+Data!AA45</f>
        <v>305858</v>
      </c>
      <c r="U45" s="16" t="n">
        <f aca="false">Data!Y34+Data!Y35+Data!Y36+Data!Y37+Data!Y38+Data!Y39+Data!Y40+Data!Y41+Data!Y42+Data!Y43+Data!Y44+Data!Y45</f>
        <v>198851</v>
      </c>
      <c r="V45" s="16" t="n">
        <f aca="false">Data!Z34+Data!Z35+Data!Z36+Data!Z37+Data!Z38+Data!Z39+Data!Z40+Data!Z41+Data!Z42+Data!Z43+Data!Z44+Data!Z45</f>
        <v>105654</v>
      </c>
      <c r="W45" s="16" t="n">
        <f aca="false">Data!AB34+Data!AB35+Data!AB36+Data!AB37+Data!AB38+Data!AB39+Data!AB40+Data!AB41+Data!AB42+Data!AB43+Data!AB44+Data!AB45</f>
        <v>423890</v>
      </c>
      <c r="X45" s="16" t="n">
        <f aca="false">Data!AC34+Data!AC35+Data!AC36+Data!AC37+Data!AC38+Data!AC39+Data!AC40+Data!AC41+Data!AC42+Data!AC43+Data!AC44+Data!AC45</f>
        <v>142331</v>
      </c>
      <c r="Y45" s="16" t="n">
        <f aca="false">Data!AD34+Data!AE34+Data!AF34+Data!AG34+Data!AH34+Data!AD35+Data!AE35+Data!AF35+Data!AG35+Data!AH35+Data!AD36+Data!AE36+Data!AF36+Data!AG36+Data!AH36+Data!AD37+Data!AE37+Data!AF37+Data!AG37+Data!AH37+Data!AD38+Data!AE38+Data!AF38+Data!AG38+Data!AH38+Data!AD39+Data!AE39+Data!AF39+Data!AG39+Data!AH39+Data!AD40+Data!AE40+Data!AF40+Data!AG40+Data!AH40+Data!AD41+Data!AE41+Data!AF41+Data!AG41+Data!AH41+Data!AD42+Data!AE42+Data!AF42+Data!AG42+Data!AH42+Data!AD43+Data!AE43+Data!AF43+Data!AG43+Data!AH43+Data!AD44+Data!AE44+Data!AF44+Data!AG44+Data!AH44+Data!AD45+Data!AE45+Data!AF45+Data!AG45+Data!AH45</f>
        <v>89925</v>
      </c>
      <c r="Z45" s="16" t="n">
        <f aca="false">Data!AI34+Data!AI35+Data!AI36+Data!AI37+Data!AI38+Data!AI39+Data!AI40+Data!AI41+Data!AI42+Data!AI43+Data!AI44+Data!AI45</f>
        <v>112090</v>
      </c>
      <c r="AA45" s="16" t="n">
        <f aca="false">Data!AJ34+Data!AJ35+Data!AJ36+Data!AJ37+Data!AJ38+Data!AJ39+Data!AJ40+Data!AJ41+Data!AJ42+Data!AJ43+Data!AJ44+Data!AJ45</f>
        <v>-1132</v>
      </c>
      <c r="AB45" s="16" t="n">
        <f aca="false">Data!AK34+Data!AK35+Data!AK36+Data!AK37+Data!AK38+Data!AK39+Data!AK40+Data!AK41+Data!AK42+Data!AK43+Data!AK44+Data!AK45</f>
        <v>51711</v>
      </c>
      <c r="AC45" s="16" t="n">
        <f aca="false">Data!AL34+Data!AL35+Data!AL36+Data!AL37+Data!AL38+Data!AL39+Data!AL40+Data!AL41+Data!AL42+Data!AL43+Data!AL44+Data!AL45</f>
        <v>220989</v>
      </c>
      <c r="AD45" s="15" t="n">
        <f aca="false">Data!AM34+Data!AM35+Data!AM36+Data!AM37+Data!AM38+Data!AM39+Data!AM40+Data!AM41+Data!AM42+Data!AM43+Data!AM44+Data!AM45</f>
        <v>-297639</v>
      </c>
      <c r="AE45" s="16" t="n">
        <f aca="false">Data!AN34+Data!AN35+Data!AN36+Data!AN37+Data!AN38+Data!AN39+Data!AN40+Data!AN41+Data!AN42+Data!AN43+Data!AN44+Data!AN45</f>
        <v>453547</v>
      </c>
      <c r="AF45" s="15" t="n">
        <f aca="false">Data!AO34+Data!AO35+Data!AO36+Data!AO37+Data!AO38+Data!AO39+Data!AO40+Data!AO41+Data!AO42+Data!AO43+Data!AO44+Data!AO45</f>
        <v>-751186</v>
      </c>
    </row>
    <row r="46" customFormat="false" ht="15" hidden="false" customHeight="false" outlineLevel="0" collapsed="false">
      <c r="B46" s="14" t="str">
        <f aca="false">Data!B46</f>
        <v>2019-04</v>
      </c>
      <c r="C46" s="15" t="n">
        <f aca="false">Data!D35+Data!E35+Data!F35+Data!G35+Data!H35+Data!I35+Data!J35+Data!K35+Data!L35+Data!M35+Data!N35+Data!O35+Data!P35+Data!Q35+Data!R35+Data!S35+Data!D36+Data!E36+Data!F36+Data!G36+Data!H36+Data!I36+Data!J36+Data!K36+Data!L36+Data!M36+Data!N36+Data!O36+Data!P36+Data!Q36+Data!R36+Data!S36+Data!D37+Data!E37+Data!F37+Data!G37+Data!H37+Data!I37+Data!J37+Data!K37+Data!L37+Data!M37+Data!N37+Data!O37+Data!P37+Data!Q37+Data!R37+Data!S37+Data!D38+Data!E38+Data!F38+Data!G38+Data!H38+Data!I38+Data!J38+Data!K38+Data!L38+Data!M38+Data!N38+Data!O38+Data!P38+Data!Q38+Data!R38+Data!S38+Data!D39+Data!E39+Data!F39+Data!G39+Data!H39+Data!I39+Data!J39+Data!K39+Data!L39+Data!M39+Data!N39+Data!O39+Data!P39+Data!Q39+Data!R39+Data!S39+Data!D40+Data!E40+Data!F40+Data!G40+Data!H40+Data!I40+Data!J40+Data!K40+Data!L40+Data!M40+Data!N40+Data!O40+Data!P40+Data!Q40+Data!R40+Data!S40+Data!D41+Data!E41+Data!F41+Data!G41+Data!H41+Data!I41+Data!J41+Data!K41+Data!L41+Data!M41+Data!N41+Data!O41+Data!P41+Data!Q41+Data!R41+Data!S41+Data!D42+Data!E42+Data!F42+Data!G42+Data!H42+Data!I42+Data!J42+Data!K42+Data!L42+Data!M42+Data!N42+Data!O42+Data!P42+Data!Q42+Data!R42+Data!S42+Data!D43+Data!E43+Data!F43+Data!G43+Data!H43+Data!I43+Data!J43+Data!K43+Data!L43+Data!M43+Data!N43+Data!O43+Data!P43+Data!Q43+Data!R43+Data!S43+Data!D44+Data!E44+Data!F44+Data!G44+Data!H44+Data!I44+Data!J44+Data!K44+Data!L44+Data!M44+Data!N44+Data!O44+Data!P44+Data!Q44+Data!R44+Data!S44+Data!D45+Data!E45+Data!F45+Data!G45+Data!H45+Data!I45+Data!J45+Data!K45+Data!L45+Data!M45+Data!N45+Data!O45+Data!P45+Data!Q45+Data!R45+Data!S45+Data!D46+Data!E46+Data!F46+Data!G46+Data!H46+Data!I46+Data!J46+Data!K46+Data!L46+Data!M46+Data!N46+Data!O46+Data!P46+Data!Q46+Data!R46+Data!S46</f>
        <v>2912524</v>
      </c>
      <c r="D46" s="16" t="n">
        <f aca="false">Data!D35+Data!E35+Data!G35+Data!H35+Data!I35+Data!J35+Data!K35+Data!L35+Data!M35+Data!D36+Data!E36+Data!G36+Data!H36+Data!I36+Data!J36+Data!K36+Data!L36+Data!M36+Data!D37+Data!E37+Data!G37+Data!H37+Data!I37+Data!J37+Data!K37+Data!L37+Data!M37+Data!D38+Data!E38+Data!G38+Data!H38+Data!I38+Data!J38+Data!K38+Data!L38+Data!M38+Data!D39+Data!E39+Data!G39+Data!H39+Data!I39+Data!J39+Data!K39+Data!L39+Data!M39+Data!D40+Data!E40+Data!G40+Data!H40+Data!I40+Data!J40+Data!K40+Data!L40+Data!M40+Data!D41+Data!E41+Data!G41+Data!H41+Data!I41+Data!J41+Data!K41+Data!L41+Data!M41+Data!D42+Data!E42+Data!G42+Data!H42+Data!I42+Data!J42+Data!K42+Data!L42+Data!M42+Data!D43+Data!E43+Data!G43+Data!H43+Data!I43+Data!J43+Data!K43+Data!L43+Data!M43+Data!D44+Data!E44+Data!G44+Data!H44+Data!I44+Data!J44+Data!K44+Data!L44+Data!M44+Data!D45+Data!E45+Data!G45+Data!H45+Data!I45+Data!J45+Data!K45+Data!L45+Data!M45+Data!D46+Data!E46+Data!G46+Data!H46+Data!I46+Data!J46+Data!K46+Data!L46+Data!M46</f>
        <v>1590434</v>
      </c>
      <c r="E46" s="16" t="n">
        <f aca="false">Data!D35+Data!D36+Data!D37+Data!D38+Data!D39+Data!D40+Data!D41+Data!D42+Data!D43+Data!D44+Data!D45+Data!D46</f>
        <v>551866</v>
      </c>
      <c r="F46" s="16" t="n">
        <f aca="false">Data!E35+Data!E36+Data!E37+Data!E38+Data!E39+Data!E40+Data!E41+Data!E42+Data!E43+Data!E44+Data!E45+Data!E46</f>
        <v>295426</v>
      </c>
      <c r="G46" s="16" t="n">
        <f aca="false">Data!K35+Data!K36+Data!K37+Data!K38+Data!K39+Data!K40+Data!K41+Data!K42+Data!K43+Data!K44+Data!K45+Data!K46</f>
        <v>154952</v>
      </c>
      <c r="H46" s="16" t="n">
        <f aca="false">Data!L35+Data!L36+Data!L37+Data!L38+Data!L39+Data!L40+Data!L41+Data!L42+Data!L43+Data!L44+Data!L45+Data!L46</f>
        <v>109175</v>
      </c>
      <c r="I46" s="16" t="n">
        <f aca="false">Data!G35+Data!G36+Data!G37+Data!G38+Data!G39+Data!G40+Data!G41+Data!G42+Data!G43+Data!G44+Data!G45+Data!G46</f>
        <v>259629</v>
      </c>
      <c r="J46" s="16" t="n">
        <f aca="false">Data!H35+Data!I35+Data!J35+Data!M35+Data!H36+Data!I36+Data!J36+Data!M36+Data!H37+Data!I37+Data!J37+Data!M37+Data!H38+Data!I38+Data!J38+Data!M38+Data!H39+Data!I39+Data!J39+Data!M39+Data!H40+Data!I40+Data!J40+Data!M40+Data!H41+Data!I41+Data!J41+Data!M41+Data!H42+Data!I42+Data!J42+Data!M42+Data!H43+Data!I43+Data!J43+Data!M43+Data!H44+Data!I44+Data!J44+Data!M44+Data!H45+Data!I45+Data!J45+Data!M45+Data!H46+Data!I46+Data!J46+Data!M46</f>
        <v>219386</v>
      </c>
      <c r="K46" s="16" t="n">
        <f aca="false">Data!F35+Data!F36+Data!F37+Data!F38+Data!F39+Data!F40+Data!F41+Data!F42+Data!F43+Data!F44+Data!F45+Data!F46</f>
        <v>995980</v>
      </c>
      <c r="L46" s="16" t="n">
        <f aca="false">Data!N35+Data!O35+Data!P35+Data!Q35+Data!R35+Data!S35+Data!N36+Data!O36+Data!P36+Data!Q36+Data!R36+Data!S36+Data!N37+Data!O37+Data!P37+Data!Q37+Data!R37+Data!S37+Data!N38+Data!O38+Data!P38+Data!Q38+Data!R38+Data!S38+Data!N39+Data!O39+Data!P39+Data!Q39+Data!R39+Data!S39+Data!N40+Data!O40+Data!P40+Data!Q40+Data!R40+Data!S40+Data!N41+Data!O41+Data!P41+Data!Q41+Data!R41+Data!S41+Data!N42+Data!O42+Data!P42+Data!Q42+Data!R42+Data!S42+Data!N43+Data!O43+Data!P43+Data!Q43+Data!R43+Data!S43+Data!N44+Data!O44+Data!P44+Data!Q44+Data!R44+Data!S44+Data!N45+Data!O45+Data!P45+Data!Q45+Data!R45+Data!S45+Data!N46+Data!O46+Data!P46+Data!Q46+Data!R46+Data!S46</f>
        <v>326110</v>
      </c>
      <c r="M46" s="15" t="n">
        <f aca="false">Data!T35+Data!U35+Data!V35+Data!W35+Data!X35+Data!Y35+Data!Z35+Data!AA35+Data!AB35+Data!AC35+Data!AD35+Data!AE35+Data!AF35+Data!AG35+Data!AH35+Data!AI35+Data!AJ35+Data!AK35+Data!AL35+Data!T36+Data!U36+Data!V36+Data!W36+Data!X36+Data!Y36+Data!Z36+Data!AA36+Data!AB36+Data!AC36+Data!AD36+Data!AE36+Data!AF36+Data!AG36+Data!AH36+Data!AI36+Data!AJ36+Data!AK36+Data!AL36+Data!T37+Data!U37+Data!V37+Data!W37+Data!X37+Data!Y37+Data!Z37+Data!AA37+Data!AB37+Data!AC37+Data!AD37+Data!AE37+Data!AF37+Data!AG37+Data!AH37+Data!AI37+Data!AJ37+Data!AK37+Data!AL37+Data!T38+Data!U38+Data!V38+Data!W38+Data!X38+Data!Y38+Data!Z38+Data!AA38+Data!AB38+Data!AC38+Data!AD38+Data!AE38+Data!AF38+Data!AG38+Data!AH38+Data!AI38+Data!AJ38+Data!AK38+Data!AL38+Data!T39+Data!U39+Data!V39+Data!W39+Data!X39+Data!Y39+Data!Z39+Data!AA39+Data!AB39+Data!AC39+Data!AD39+Data!AE39+Data!AF39+Data!AG39+Data!AH39+Data!AI39+Data!AJ39+Data!AK39+Data!AL39+Data!T40+Data!U40+Data!V40+Data!W40+Data!X40+Data!Y40+Data!Z40+Data!AA40+Data!AB40+Data!AC40+Data!AD40+Data!AE40+Data!AF40+Data!AG40+Data!AH40+Data!AI40+Data!AJ40+Data!AK40+Data!AL40+Data!T41+Data!U41+Data!V41+Data!W41+Data!X41+Data!Y41+Data!Z41+Data!AA41+Data!AB41+Data!AC41+Data!AD41+Data!AE41+Data!AF41+Data!AG41+Data!AH41+Data!AI41+Data!AJ41+Data!AK41+Data!AL41+Data!T42+Data!U42+Data!V42+Data!W42+Data!X42+Data!Y42+Data!Z42+Data!AA42+Data!AB42+Data!AC42+Data!AD42+Data!AE42+Data!AF42+Data!AG42+Data!AH42+Data!AI42+Data!AJ42+Data!AK42+Data!AL42+Data!T43+Data!U43+Data!V43+Data!W43+Data!X43+Data!Y43+Data!Z43+Data!AA43+Data!AB43+Data!AC43+Data!AD43+Data!AE43+Data!AF43+Data!AG43+Data!AH43+Data!AI43+Data!AJ43+Data!AK43+Data!AL43+Data!T44+Data!U44+Data!V44+Data!W44+Data!X44+Data!Y44+Data!Z44+Data!AA44+Data!AB44+Data!AC44+Data!AD44+Data!AE44+Data!AF44+Data!AG44+Data!AH44+Data!AI44+Data!AJ44+Data!AK44+Data!AL44+Data!T45+Data!U45+Data!V45+Data!W45+Data!X45+Data!Y45+Data!Z45+Data!AA45+Data!AB45+Data!AC45+Data!AD45+Data!AE45+Data!AF45+Data!AG45+Data!AH45+Data!AI45+Data!AJ45+Data!AK45+Data!AL45+Data!T46+Data!U46+Data!V46+Data!W46+Data!X46+Data!Y46+Data!Z46+Data!AA46+Data!AB46+Data!AC46+Data!AD46+Data!AE46+Data!AF46+Data!AG46+Data!AH46+Data!AI46+Data!AJ46+Data!AK46+Data!AL46</f>
        <v>3199322</v>
      </c>
      <c r="N46" s="16" t="n">
        <f aca="false">Data!T35+Data!U35+Data!V35+Data!W35+Data!T36+Data!U36+Data!V36+Data!W36+Data!T37+Data!U37+Data!V37+Data!W37+Data!T38+Data!U38+Data!V38+Data!W38+Data!T39+Data!U39+Data!V39+Data!W39+Data!T40+Data!U40+Data!V40+Data!W40+Data!T41+Data!U41+Data!V41+Data!W41+Data!T42+Data!U42+Data!V42+Data!W42+Data!T43+Data!U43+Data!V43+Data!W43+Data!T44+Data!U44+Data!V44+Data!W44+Data!T45+Data!U45+Data!V45+Data!W45+Data!T46+Data!U46+Data!V46+Data!W46</f>
        <v>1755645</v>
      </c>
      <c r="O46" s="16" t="n">
        <f aca="false">Data!T35+Data!T36+Data!T37+Data!T38+Data!T39+Data!T40+Data!T41+Data!T42+Data!T43+Data!T44+Data!T45+Data!T46</f>
        <v>1274722</v>
      </c>
      <c r="P46" s="16" t="n">
        <f aca="false">Data!U35+Data!U36+Data!U37+Data!U38+Data!U39+Data!U40+Data!U41+Data!U42+Data!U43+Data!U44+Data!U45+Data!U46</f>
        <v>205446</v>
      </c>
      <c r="Q46" s="16" t="n">
        <f aca="false">Data!V35+Data!V36+Data!V37+Data!V38+Data!V39+Data!V40+Data!V41+Data!V42+Data!V43+Data!V44+Data!V45+Data!V46</f>
        <v>137083</v>
      </c>
      <c r="R46" s="16" t="n">
        <f aca="false">Data!W35+Data!W36+Data!W37+Data!W38+Data!W39+Data!W40+Data!W41+Data!W42+Data!W43+Data!W44+Data!W45+Data!W46</f>
        <v>138394</v>
      </c>
      <c r="S46" s="16" t="n">
        <f aca="false">Data!X35+Data!X36+Data!X37+Data!X38+Data!X39+Data!X40+Data!X41+Data!X42+Data!X43+Data!X44+Data!X45+Data!X46</f>
        <v>71326</v>
      </c>
      <c r="T46" s="16" t="n">
        <f aca="false">Data!Y35+Data!Z35+Data!AA35+Data!Y36+Data!Z36+Data!AA36+Data!Y37+Data!Z37+Data!AA37+Data!Y38+Data!Z38+Data!AA38+Data!Y39+Data!Z39+Data!AA39+Data!Y40+Data!Z40+Data!AA40+Data!Y41+Data!Z41+Data!AA41+Data!Y42+Data!Z42+Data!AA42+Data!Y43+Data!Z43+Data!AA43+Data!Y44+Data!Z44+Data!AA44+Data!Y45+Data!Z45+Data!AA45+Data!Y46+Data!Z46+Data!AA46</f>
        <v>312730</v>
      </c>
      <c r="U46" s="16" t="n">
        <f aca="false">Data!Y35+Data!Y36+Data!Y37+Data!Y38+Data!Y39+Data!Y40+Data!Y41+Data!Y42+Data!Y43+Data!Y44+Data!Y45+Data!Y46</f>
        <v>206043</v>
      </c>
      <c r="V46" s="16" t="n">
        <f aca="false">Data!Z35+Data!Z36+Data!Z37+Data!Z38+Data!Z39+Data!Z40+Data!Z41+Data!Z42+Data!Z43+Data!Z44+Data!Z45+Data!Z46</f>
        <v>105363</v>
      </c>
      <c r="W46" s="16" t="n">
        <f aca="false">Data!AB35+Data!AB36+Data!AB37+Data!AB38+Data!AB39+Data!AB40+Data!AB41+Data!AB42+Data!AB43+Data!AB44+Data!AB45+Data!AB46</f>
        <v>432236</v>
      </c>
      <c r="X46" s="16" t="n">
        <f aca="false">Data!AC35+Data!AC36+Data!AC37+Data!AC38+Data!AC39+Data!AC40+Data!AC41+Data!AC42+Data!AC43+Data!AC44+Data!AC45+Data!AC46</f>
        <v>148737</v>
      </c>
      <c r="Y46" s="16" t="n">
        <f aca="false">Data!AD35+Data!AE35+Data!AF35+Data!AG35+Data!AH35+Data!AD36+Data!AE36+Data!AF36+Data!AG36+Data!AH36+Data!AD37+Data!AE37+Data!AF37+Data!AG37+Data!AH37+Data!AD38+Data!AE38+Data!AF38+Data!AG38+Data!AH38+Data!AD39+Data!AE39+Data!AF39+Data!AG39+Data!AH39+Data!AD40+Data!AE40+Data!AF40+Data!AG40+Data!AH40+Data!AD41+Data!AE41+Data!AF41+Data!AG41+Data!AH41+Data!AD42+Data!AE42+Data!AF42+Data!AG42+Data!AH42+Data!AD43+Data!AE43+Data!AF43+Data!AG43+Data!AH43+Data!AD44+Data!AE44+Data!AF44+Data!AG44+Data!AH44+Data!AD45+Data!AE45+Data!AF45+Data!AG45+Data!AH45+Data!AD46+Data!AE46+Data!AF46+Data!AG46+Data!AH46</f>
        <v>90313</v>
      </c>
      <c r="Z46" s="16" t="n">
        <f aca="false">Data!AI35+Data!AI36+Data!AI37+Data!AI38+Data!AI39+Data!AI40+Data!AI41+Data!AI42+Data!AI43+Data!AI44+Data!AI45+Data!AI46</f>
        <v>114267</v>
      </c>
      <c r="AA46" s="16" t="n">
        <f aca="false">Data!AJ35+Data!AJ36+Data!AJ37+Data!AJ38+Data!AJ39+Data!AJ40+Data!AJ41+Data!AJ42+Data!AJ43+Data!AJ44+Data!AJ45+Data!AJ46</f>
        <v>-537</v>
      </c>
      <c r="AB46" s="16" t="n">
        <f aca="false">Data!AK35+Data!AK36+Data!AK37+Data!AK38+Data!AK39+Data!AK40+Data!AK41+Data!AK42+Data!AK43+Data!AK44+Data!AK45+Data!AK46</f>
        <v>52414</v>
      </c>
      <c r="AC46" s="16" t="n">
        <f aca="false">Data!AL35+Data!AL36+Data!AL37+Data!AL38+Data!AL39+Data!AL40+Data!AL41+Data!AL42+Data!AL43+Data!AL44+Data!AL45+Data!AL46</f>
        <v>222191</v>
      </c>
      <c r="AD46" s="15" t="n">
        <f aca="false">Data!AM35+Data!AM36+Data!AM37+Data!AM38+Data!AM39+Data!AM40+Data!AM41+Data!AM42+Data!AM43+Data!AM44+Data!AM45+Data!AM46</f>
        <v>-286798</v>
      </c>
      <c r="AE46" s="16" t="n">
        <f aca="false">Data!AN35+Data!AN36+Data!AN37+Data!AN38+Data!AN39+Data!AN40+Data!AN41+Data!AN42+Data!AN43+Data!AN44+Data!AN45+Data!AN46</f>
        <v>487001</v>
      </c>
      <c r="AF46" s="15" t="n">
        <f aca="false">Data!AO35+Data!AO36+Data!AO37+Data!AO38+Data!AO39+Data!AO40+Data!AO41+Data!AO42+Data!AO43+Data!AO44+Data!AO45+Data!AO46</f>
        <v>-773800</v>
      </c>
    </row>
    <row r="47" customFormat="false" ht="15" hidden="false" customHeight="false" outlineLevel="0" collapsed="false">
      <c r="B47" s="14" t="str">
        <f aca="false">Data!B47</f>
        <v>2019-05</v>
      </c>
      <c r="C47" s="15" t="n">
        <f aca="false">Data!D36+Data!E36+Data!F36+Data!G36+Data!H36+Data!I36+Data!J36+Data!K36+Data!L36+Data!M36+Data!N36+Data!O36+Data!P36+Data!Q36+Data!R36+Data!S36+Data!D37+Data!E37+Data!F37+Data!G37+Data!H37+Data!I37+Data!J37+Data!K37+Data!L37+Data!M37+Data!N37+Data!O37+Data!P37+Data!Q37+Data!R37+Data!S37+Data!D38+Data!E38+Data!F38+Data!G38+Data!H38+Data!I38+Data!J38+Data!K38+Data!L38+Data!M38+Data!N38+Data!O38+Data!P38+Data!Q38+Data!R38+Data!S38+Data!D39+Data!E39+Data!F39+Data!G39+Data!H39+Data!I39+Data!J39+Data!K39+Data!L39+Data!M39+Data!N39+Data!O39+Data!P39+Data!Q39+Data!R39+Data!S39+Data!D40+Data!E40+Data!F40+Data!G40+Data!H40+Data!I40+Data!J40+Data!K40+Data!L40+Data!M40+Data!N40+Data!O40+Data!P40+Data!Q40+Data!R40+Data!S40+Data!D41+Data!E41+Data!F41+Data!G41+Data!H41+Data!I41+Data!J41+Data!K41+Data!L41+Data!M41+Data!N41+Data!O41+Data!P41+Data!Q41+Data!R41+Data!S41+Data!D42+Data!E42+Data!F42+Data!G42+Data!H42+Data!I42+Data!J42+Data!K42+Data!L42+Data!M42+Data!N42+Data!O42+Data!P42+Data!Q42+Data!R42+Data!S42+Data!D43+Data!E43+Data!F43+Data!G43+Data!H43+Data!I43+Data!J43+Data!K43+Data!L43+Data!M43+Data!N43+Data!O43+Data!P43+Data!Q43+Data!R43+Data!S43+Data!D44+Data!E44+Data!F44+Data!G44+Data!H44+Data!I44+Data!J44+Data!K44+Data!L44+Data!M44+Data!N44+Data!O44+Data!P44+Data!Q44+Data!R44+Data!S44+Data!D45+Data!E45+Data!F45+Data!G45+Data!H45+Data!I45+Data!J45+Data!K45+Data!L45+Data!M45+Data!N45+Data!O45+Data!P45+Data!Q45+Data!R45+Data!S45+Data!D46+Data!E46+Data!F46+Data!G46+Data!H46+Data!I46+Data!J46+Data!K46+Data!L46+Data!M46+Data!N46+Data!O46+Data!P46+Data!Q46+Data!R46+Data!S46+Data!D47+Data!E47+Data!F47+Data!G47+Data!H47+Data!I47+Data!J47+Data!K47+Data!L47+Data!M47+Data!N47+Data!O47+Data!P47+Data!Q47+Data!R47+Data!S47</f>
        <v>3023459</v>
      </c>
      <c r="D47" s="16" t="n">
        <f aca="false">Data!D36+Data!E36+Data!G36+Data!H36+Data!I36+Data!J36+Data!K36+Data!L36+Data!M36+Data!D37+Data!E37+Data!G37+Data!H37+Data!I37+Data!J37+Data!K37+Data!L37+Data!M37+Data!D38+Data!E38+Data!G38+Data!H38+Data!I38+Data!J38+Data!K38+Data!L38+Data!M38+Data!D39+Data!E39+Data!G39+Data!H39+Data!I39+Data!J39+Data!K39+Data!L39+Data!M39+Data!D40+Data!E40+Data!G40+Data!H40+Data!I40+Data!J40+Data!K40+Data!L40+Data!M40+Data!D41+Data!E41+Data!G41+Data!H41+Data!I41+Data!J41+Data!K41+Data!L41+Data!M41+Data!D42+Data!E42+Data!G42+Data!H42+Data!I42+Data!J42+Data!K42+Data!L42+Data!M42+Data!D43+Data!E43+Data!G43+Data!H43+Data!I43+Data!J43+Data!K43+Data!L43+Data!M43+Data!D44+Data!E44+Data!G44+Data!H44+Data!I44+Data!J44+Data!K44+Data!L44+Data!M44+Data!D45+Data!E45+Data!G45+Data!H45+Data!I45+Data!J45+Data!K45+Data!L45+Data!M45+Data!D46+Data!E46+Data!G46+Data!H46+Data!I46+Data!J46+Data!K46+Data!L46+Data!M46+Data!D47+Data!E47+Data!G47+Data!H47+Data!I47+Data!J47+Data!K47+Data!L47+Data!M47</f>
        <v>1673260</v>
      </c>
      <c r="E47" s="16" t="n">
        <f aca="false">Data!D36+Data!D37+Data!D38+Data!D39+Data!D40+Data!D41+Data!D42+Data!D43+Data!D44+Data!D45+Data!D46+Data!D47</f>
        <v>572708</v>
      </c>
      <c r="F47" s="16" t="n">
        <f aca="false">Data!E36+Data!E37+Data!E38+Data!E39+Data!E40+Data!E41+Data!E42+Data!E43+Data!E44+Data!E45+Data!E46+Data!E47</f>
        <v>310968</v>
      </c>
      <c r="G47" s="16" t="n">
        <f aca="false">Data!K36+Data!K37+Data!K38+Data!K39+Data!K40+Data!K41+Data!K42+Data!K43+Data!K44+Data!K45+Data!K46+Data!K47</f>
        <v>183771</v>
      </c>
      <c r="H47" s="16" t="n">
        <f aca="false">Data!L36+Data!L37+Data!L38+Data!L39+Data!L40+Data!L41+Data!L42+Data!L43+Data!L44+Data!L45+Data!L46+Data!L47</f>
        <v>112007</v>
      </c>
      <c r="I47" s="16" t="n">
        <f aca="false">Data!G36+Data!G37+Data!G38+Data!G39+Data!G40+Data!G41+Data!G42+Data!G43+Data!G44+Data!G45+Data!G46+Data!G47</f>
        <v>269096</v>
      </c>
      <c r="J47" s="16" t="n">
        <f aca="false">Data!H36+Data!I36+Data!J36+Data!M36+Data!H37+Data!I37+Data!J37+Data!M37+Data!H38+Data!I38+Data!J38+Data!M38+Data!H39+Data!I39+Data!J39+Data!M39+Data!H40+Data!I40+Data!J40+Data!M40+Data!H41+Data!I41+Data!J41+Data!M41+Data!H42+Data!I42+Data!J42+Data!M42+Data!H43+Data!I43+Data!J43+Data!M43+Data!H44+Data!I44+Data!J44+Data!M44+Data!H45+Data!I45+Data!J45+Data!M45+Data!H46+Data!I46+Data!J46+Data!M46+Data!H47+Data!I47+Data!J47+Data!M47</f>
        <v>224710</v>
      </c>
      <c r="K47" s="16" t="n">
        <f aca="false">Data!F36+Data!F37+Data!F38+Data!F39+Data!F40+Data!F41+Data!F42+Data!F43+Data!F44+Data!F45+Data!F46+Data!F47</f>
        <v>1018778</v>
      </c>
      <c r="L47" s="16" t="n">
        <f aca="false">Data!N36+Data!O36+Data!P36+Data!Q36+Data!R36+Data!S36+Data!N37+Data!O37+Data!P37+Data!Q37+Data!R37+Data!S37+Data!N38+Data!O38+Data!P38+Data!Q38+Data!R38+Data!S38+Data!N39+Data!O39+Data!P39+Data!Q39+Data!R39+Data!S39+Data!N40+Data!O40+Data!P40+Data!Q40+Data!R40+Data!S40+Data!N41+Data!O41+Data!P41+Data!Q41+Data!R41+Data!S41+Data!N42+Data!O42+Data!P42+Data!Q42+Data!R42+Data!S42+Data!N43+Data!O43+Data!P43+Data!Q43+Data!R43+Data!S43+Data!N44+Data!O44+Data!P44+Data!Q44+Data!R44+Data!S44+Data!N45+Data!O45+Data!P45+Data!Q45+Data!R45+Data!S45+Data!N46+Data!O46+Data!P46+Data!Q46+Data!R46+Data!S46+Data!N47+Data!O47+Data!P47+Data!Q47+Data!R47+Data!S47</f>
        <v>331421</v>
      </c>
      <c r="M47" s="15" t="n">
        <f aca="false">Data!T36+Data!U36+Data!V36+Data!W36+Data!X36+Data!Y36+Data!Z36+Data!AA36+Data!AB36+Data!AC36+Data!AD36+Data!AE36+Data!AF36+Data!AG36+Data!AH36+Data!AI36+Data!AJ36+Data!AK36+Data!AL36+Data!T37+Data!U37+Data!V37+Data!W37+Data!X37+Data!Y37+Data!Z37+Data!AA37+Data!AB37+Data!AC37+Data!AD37+Data!AE37+Data!AF37+Data!AG37+Data!AH37+Data!AI37+Data!AJ37+Data!AK37+Data!AL37+Data!T38+Data!U38+Data!V38+Data!W38+Data!X38+Data!Y38+Data!Z38+Data!AA38+Data!AB38+Data!AC38+Data!AD38+Data!AE38+Data!AF38+Data!AG38+Data!AH38+Data!AI38+Data!AJ38+Data!AK38+Data!AL38+Data!T39+Data!U39+Data!V39+Data!W39+Data!X39+Data!Y39+Data!Z39+Data!AA39+Data!AB39+Data!AC39+Data!AD39+Data!AE39+Data!AF39+Data!AG39+Data!AH39+Data!AI39+Data!AJ39+Data!AK39+Data!AL39+Data!T40+Data!U40+Data!V40+Data!W40+Data!X40+Data!Y40+Data!Z40+Data!AA40+Data!AB40+Data!AC40+Data!AD40+Data!AE40+Data!AF40+Data!AG40+Data!AH40+Data!AI40+Data!AJ40+Data!AK40+Data!AL40+Data!T41+Data!U41+Data!V41+Data!W41+Data!X41+Data!Y41+Data!Z41+Data!AA41+Data!AB41+Data!AC41+Data!AD41+Data!AE41+Data!AF41+Data!AG41+Data!AH41+Data!AI41+Data!AJ41+Data!AK41+Data!AL41+Data!T42+Data!U42+Data!V42+Data!W42+Data!X42+Data!Y42+Data!Z42+Data!AA42+Data!AB42+Data!AC42+Data!AD42+Data!AE42+Data!AF42+Data!AG42+Data!AH42+Data!AI42+Data!AJ42+Data!AK42+Data!AL42+Data!T43+Data!U43+Data!V43+Data!W43+Data!X43+Data!Y43+Data!Z43+Data!AA43+Data!AB43+Data!AC43+Data!AD43+Data!AE43+Data!AF43+Data!AG43+Data!AH43+Data!AI43+Data!AJ43+Data!AK43+Data!AL43+Data!T44+Data!U44+Data!V44+Data!W44+Data!X44+Data!Y44+Data!Z44+Data!AA44+Data!AB44+Data!AC44+Data!AD44+Data!AE44+Data!AF44+Data!AG44+Data!AH44+Data!AI44+Data!AJ44+Data!AK44+Data!AL44+Data!T45+Data!U45+Data!V45+Data!W45+Data!X45+Data!Y45+Data!Z45+Data!AA45+Data!AB45+Data!AC45+Data!AD45+Data!AE45+Data!AF45+Data!AG45+Data!AH45+Data!AI45+Data!AJ45+Data!AK45+Data!AL45+Data!T46+Data!U46+Data!V46+Data!W46+Data!X46+Data!Y46+Data!Z46+Data!AA46+Data!AB46+Data!AC46+Data!AD46+Data!AE46+Data!AF46+Data!AG46+Data!AH46+Data!AI46+Data!AJ46+Data!AK46+Data!AL46+Data!T47+Data!U47+Data!V47+Data!W47+Data!X47+Data!Y47+Data!Z47+Data!AA47+Data!AB47+Data!AC47+Data!AD47+Data!AE47+Data!AF47+Data!AG47+Data!AH47+Data!AI47+Data!AJ47+Data!AK47+Data!AL47</f>
        <v>3276465</v>
      </c>
      <c r="N47" s="16" t="n">
        <f aca="false">Data!T36+Data!U36+Data!V36+Data!W36+Data!T37+Data!U37+Data!V37+Data!W37+Data!T38+Data!U38+Data!V38+Data!W38+Data!T39+Data!U39+Data!V39+Data!W39+Data!T40+Data!U40+Data!V40+Data!W40+Data!T41+Data!U41+Data!V41+Data!W41+Data!T42+Data!U42+Data!V42+Data!W42+Data!T43+Data!U43+Data!V43+Data!W43+Data!T44+Data!U44+Data!V44+Data!W44+Data!T45+Data!U45+Data!V45+Data!W45+Data!T46+Data!U46+Data!V46+Data!W46+Data!T47+Data!U47+Data!V47+Data!W47</f>
        <v>1802263</v>
      </c>
      <c r="O47" s="16" t="n">
        <f aca="false">Data!T36+Data!T37+Data!T38+Data!T39+Data!T40+Data!T41+Data!T42+Data!T43+Data!T44+Data!T45+Data!T46+Data!T47</f>
        <v>1308166</v>
      </c>
      <c r="P47" s="16" t="n">
        <f aca="false">Data!U36+Data!U37+Data!U38+Data!U39+Data!U40+Data!U41+Data!U42+Data!U43+Data!U44+Data!U45+Data!U46+Data!U47</f>
        <v>211308</v>
      </c>
      <c r="Q47" s="16" t="n">
        <f aca="false">Data!V36+Data!V37+Data!V38+Data!V39+Data!V40+Data!V41+Data!V42+Data!V43+Data!V44+Data!V45+Data!V46+Data!V47</f>
        <v>141429</v>
      </c>
      <c r="R47" s="16" t="n">
        <f aca="false">Data!W36+Data!W37+Data!W38+Data!W39+Data!W40+Data!W41+Data!W42+Data!W43+Data!W44+Data!W45+Data!W46+Data!W47</f>
        <v>141360</v>
      </c>
      <c r="S47" s="16" t="n">
        <f aca="false">Data!X36+Data!X37+Data!X38+Data!X39+Data!X40+Data!X41+Data!X42+Data!X43+Data!X44+Data!X45+Data!X46+Data!X47</f>
        <v>75891</v>
      </c>
      <c r="T47" s="16" t="n">
        <f aca="false">Data!Y36+Data!Z36+Data!AA36+Data!Y37+Data!Z37+Data!AA37+Data!Y38+Data!Z38+Data!AA38+Data!Y39+Data!Z39+Data!AA39+Data!Y40+Data!Z40+Data!AA40+Data!Y41+Data!Z41+Data!AA41+Data!Y42+Data!Z42+Data!AA42+Data!Y43+Data!Z43+Data!AA43+Data!Y44+Data!Z44+Data!AA44+Data!Y45+Data!Z45+Data!AA45+Data!Y46+Data!Z46+Data!AA46+Data!Y47+Data!Z47+Data!AA47</f>
        <v>314925</v>
      </c>
      <c r="U47" s="16" t="n">
        <f aca="false">Data!Y36+Data!Y37+Data!Y38+Data!Y39+Data!Y40+Data!Y41+Data!Y42+Data!Y43+Data!Y44+Data!Y45+Data!Y46+Data!Y47</f>
        <v>209107</v>
      </c>
      <c r="V47" s="16" t="n">
        <f aca="false">Data!Z36+Data!Z37+Data!Z38+Data!Z39+Data!Z40+Data!Z41+Data!Z42+Data!Z43+Data!Z44+Data!Z45+Data!Z46+Data!Z47</f>
        <v>104390</v>
      </c>
      <c r="W47" s="16" t="n">
        <f aca="false">Data!AB36+Data!AB37+Data!AB38+Data!AB39+Data!AB40+Data!AB41+Data!AB42+Data!AB43+Data!AB44+Data!AB45+Data!AB46+Data!AB47</f>
        <v>443138</v>
      </c>
      <c r="X47" s="16" t="n">
        <f aca="false">Data!AC36+Data!AC37+Data!AC38+Data!AC39+Data!AC40+Data!AC41+Data!AC42+Data!AC43+Data!AC44+Data!AC45+Data!AC46+Data!AC47</f>
        <v>152908</v>
      </c>
      <c r="Y47" s="16" t="n">
        <f aca="false">Data!AD36+Data!AE36+Data!AF36+Data!AG36+Data!AH36+Data!AD37+Data!AE37+Data!AF37+Data!AG37+Data!AH37+Data!AD38+Data!AE38+Data!AF38+Data!AG38+Data!AH38+Data!AD39+Data!AE39+Data!AF39+Data!AG39+Data!AH39+Data!AD40+Data!AE40+Data!AF40+Data!AG40+Data!AH40+Data!AD41+Data!AE41+Data!AF41+Data!AG41+Data!AH41+Data!AD42+Data!AE42+Data!AF42+Data!AG42+Data!AH42+Data!AD43+Data!AE43+Data!AF43+Data!AG43+Data!AH43+Data!AD44+Data!AE44+Data!AF44+Data!AG44+Data!AH44+Data!AD45+Data!AE45+Data!AF45+Data!AG45+Data!AH45+Data!AD46+Data!AE46+Data!AF46+Data!AG46+Data!AH46+Data!AD47+Data!AE47+Data!AF47+Data!AG47+Data!AH47</f>
        <v>94548</v>
      </c>
      <c r="Z47" s="16" t="n">
        <f aca="false">Data!AI36+Data!AI37+Data!AI38+Data!AI39+Data!AI40+Data!AI41+Data!AI42+Data!AI43+Data!AI44+Data!AI45+Data!AI46+Data!AI47</f>
        <v>117202</v>
      </c>
      <c r="AA47" s="16" t="n">
        <f aca="false">Data!AJ36+Data!AJ37+Data!AJ38+Data!AJ39+Data!AJ40+Data!AJ41+Data!AJ42+Data!AJ43+Data!AJ44+Data!AJ45+Data!AJ46+Data!AJ47</f>
        <v>-2779</v>
      </c>
      <c r="AB47" s="16" t="n">
        <f aca="false">Data!AK36+Data!AK37+Data!AK38+Data!AK39+Data!AK40+Data!AK41+Data!AK42+Data!AK43+Data!AK44+Data!AK45+Data!AK46+Data!AK47</f>
        <v>52829</v>
      </c>
      <c r="AC47" s="16" t="n">
        <f aca="false">Data!AL36+Data!AL37+Data!AL38+Data!AL39+Data!AL40+Data!AL41+Data!AL42+Data!AL43+Data!AL44+Data!AL45+Data!AL46+Data!AL47</f>
        <v>225540</v>
      </c>
      <c r="AD47" s="15" t="n">
        <f aca="false">Data!AM36+Data!AM37+Data!AM38+Data!AM39+Data!AM40+Data!AM41+Data!AM42+Data!AM43+Data!AM44+Data!AM45+Data!AM46+Data!AM47</f>
        <v>-253006</v>
      </c>
      <c r="AE47" s="16" t="n">
        <f aca="false">Data!AN36+Data!AN37+Data!AN38+Data!AN39+Data!AN40+Data!AN41+Data!AN42+Data!AN43+Data!AN44+Data!AN45+Data!AN46+Data!AN47</f>
        <v>532088</v>
      </c>
      <c r="AF47" s="15" t="n">
        <f aca="false">Data!AO36+Data!AO37+Data!AO38+Data!AO39+Data!AO40+Data!AO41+Data!AO42+Data!AO43+Data!AO44+Data!AO45+Data!AO46+Data!AO47</f>
        <v>-785095</v>
      </c>
    </row>
    <row r="48" customFormat="false" ht="15" hidden="false" customHeight="false" outlineLevel="0" collapsed="false">
      <c r="B48" s="14" t="str">
        <f aca="false">Data!B48</f>
        <v>2019-06</v>
      </c>
      <c r="C48" s="15" t="n">
        <f aca="false">Data!D37+Data!E37+Data!F37+Data!G37+Data!H37+Data!I37+Data!J37+Data!K37+Data!L37+Data!M37+Data!N37+Data!O37+Data!P37+Data!Q37+Data!R37+Data!S37+Data!D38+Data!E38+Data!F38+Data!G38+Data!H38+Data!I38+Data!J38+Data!K38+Data!L38+Data!M38+Data!N38+Data!O38+Data!P38+Data!Q38+Data!R38+Data!S38+Data!D39+Data!E39+Data!F39+Data!G39+Data!H39+Data!I39+Data!J39+Data!K39+Data!L39+Data!M39+Data!N39+Data!O39+Data!P39+Data!Q39+Data!R39+Data!S39+Data!D40+Data!E40+Data!F40+Data!G40+Data!H40+Data!I40+Data!J40+Data!K40+Data!L40+Data!M40+Data!N40+Data!O40+Data!P40+Data!Q40+Data!R40+Data!S40+Data!D41+Data!E41+Data!F41+Data!G41+Data!H41+Data!I41+Data!J41+Data!K41+Data!L41+Data!M41+Data!N41+Data!O41+Data!P41+Data!Q41+Data!R41+Data!S41+Data!D42+Data!E42+Data!F42+Data!G42+Data!H42+Data!I42+Data!J42+Data!K42+Data!L42+Data!M42+Data!N42+Data!O42+Data!P42+Data!Q42+Data!R42+Data!S42+Data!D43+Data!E43+Data!F43+Data!G43+Data!H43+Data!I43+Data!J43+Data!K43+Data!L43+Data!M43+Data!N43+Data!O43+Data!P43+Data!Q43+Data!R43+Data!S43+Data!D44+Data!E44+Data!F44+Data!G44+Data!H44+Data!I44+Data!J44+Data!K44+Data!L44+Data!M44+Data!N44+Data!O44+Data!P44+Data!Q44+Data!R44+Data!S44+Data!D45+Data!E45+Data!F45+Data!G45+Data!H45+Data!I45+Data!J45+Data!K45+Data!L45+Data!M45+Data!N45+Data!O45+Data!P45+Data!Q45+Data!R45+Data!S45+Data!D46+Data!E46+Data!F46+Data!G46+Data!H46+Data!I46+Data!J46+Data!K46+Data!L46+Data!M46+Data!N46+Data!O46+Data!P46+Data!Q46+Data!R46+Data!S46+Data!D47+Data!E47+Data!F47+Data!G47+Data!H47+Data!I47+Data!J47+Data!K47+Data!L47+Data!M47+Data!N47+Data!O47+Data!P47+Data!Q47+Data!R47+Data!S47+Data!D48+Data!E48+Data!F48+Data!G48+Data!H48+Data!I48+Data!J48+Data!K48+Data!L48+Data!M48+Data!N48+Data!O48+Data!P48+Data!Q48+Data!R48+Data!S48</f>
        <v>3176493</v>
      </c>
      <c r="D48" s="16" t="n">
        <f aca="false">Data!D37+Data!E37+Data!G37+Data!H37+Data!I37+Data!J37+Data!K37+Data!L37+Data!M37+Data!D38+Data!E38+Data!G38+Data!H38+Data!I38+Data!J38+Data!K38+Data!L38+Data!M38+Data!D39+Data!E39+Data!G39+Data!H39+Data!I39+Data!J39+Data!K39+Data!L39+Data!M39+Data!D40+Data!E40+Data!G40+Data!H40+Data!I40+Data!J40+Data!K40+Data!L40+Data!M40+Data!D41+Data!E41+Data!G41+Data!H41+Data!I41+Data!J41+Data!K41+Data!L41+Data!M41+Data!D42+Data!E42+Data!G42+Data!H42+Data!I42+Data!J42+Data!K42+Data!L42+Data!M42+Data!D43+Data!E43+Data!G43+Data!H43+Data!I43+Data!J43+Data!K43+Data!L43+Data!M43+Data!D44+Data!E44+Data!G44+Data!H44+Data!I44+Data!J44+Data!K44+Data!L44+Data!M44+Data!D45+Data!E45+Data!G45+Data!H45+Data!I45+Data!J45+Data!K45+Data!L45+Data!M45+Data!D46+Data!E46+Data!G46+Data!H46+Data!I46+Data!J46+Data!K46+Data!L46+Data!M46+Data!D47+Data!E47+Data!G47+Data!H47+Data!I47+Data!J47+Data!K47+Data!L47+Data!M47+Data!D48+Data!E48+Data!G48+Data!H48+Data!I48+Data!J48+Data!K48+Data!L48+Data!M48</f>
        <v>1735892</v>
      </c>
      <c r="E48" s="16" t="n">
        <f aca="false">Data!D37+Data!D38+Data!D39+Data!D40+Data!D41+Data!D42+Data!D43+Data!D44+Data!D45+Data!D46+Data!D47+Data!D48</f>
        <v>585428</v>
      </c>
      <c r="F48" s="16" t="n">
        <f aca="false">Data!E37+Data!E38+Data!E39+Data!E40+Data!E41+Data!E42+Data!E43+Data!E44+Data!E45+Data!E46+Data!E47+Data!E48</f>
        <v>322305</v>
      </c>
      <c r="G48" s="16" t="n">
        <f aca="false">Data!K37+Data!K38+Data!K39+Data!K40+Data!K41+Data!K42+Data!K43+Data!K44+Data!K45+Data!K46+Data!K47+Data!K48</f>
        <v>205099</v>
      </c>
      <c r="H48" s="16" t="n">
        <f aca="false">Data!L37+Data!L38+Data!L39+Data!L40+Data!L41+Data!L42+Data!L43+Data!L44+Data!L45+Data!L46+Data!L47+Data!L48</f>
        <v>113124</v>
      </c>
      <c r="I48" s="16" t="n">
        <f aca="false">Data!G37+Data!G38+Data!G39+Data!G40+Data!G41+Data!G42+Data!G43+Data!G44+Data!G45+Data!G46+Data!G47+Data!G48</f>
        <v>276196</v>
      </c>
      <c r="J48" s="16" t="n">
        <f aca="false">Data!H37+Data!I37+Data!J37+Data!M37+Data!H38+Data!I38+Data!J38+Data!M38+Data!H39+Data!I39+Data!J39+Data!M39+Data!H40+Data!I40+Data!J40+Data!M40+Data!H41+Data!I41+Data!J41+Data!M41+Data!H42+Data!I42+Data!J42+Data!M42+Data!H43+Data!I43+Data!J43+Data!M43+Data!H44+Data!I44+Data!J44+Data!M44+Data!H45+Data!I45+Data!J45+Data!M45+Data!H46+Data!I46+Data!J46+Data!M46+Data!H47+Data!I47+Data!J47+Data!M47+Data!H48+Data!I48+Data!J48+Data!M48</f>
        <v>233740</v>
      </c>
      <c r="K48" s="16" t="n">
        <f aca="false">Data!F37+Data!F38+Data!F39+Data!F40+Data!F41+Data!F42+Data!F43+Data!F44+Data!F45+Data!F46+Data!F47+Data!F48</f>
        <v>1042301</v>
      </c>
      <c r="L48" s="16" t="n">
        <f aca="false">Data!N37+Data!O37+Data!P37+Data!Q37+Data!R37+Data!S37+Data!N38+Data!O38+Data!P38+Data!Q38+Data!R38+Data!S38+Data!N39+Data!O39+Data!P39+Data!Q39+Data!R39+Data!S39+Data!N40+Data!O40+Data!P40+Data!Q40+Data!R40+Data!S40+Data!N41+Data!O41+Data!P41+Data!Q41+Data!R41+Data!S41+Data!N42+Data!O42+Data!P42+Data!Q42+Data!R42+Data!S42+Data!N43+Data!O43+Data!P43+Data!Q43+Data!R43+Data!S43+Data!N44+Data!O44+Data!P44+Data!Q44+Data!R44+Data!S44+Data!N45+Data!O45+Data!P45+Data!Q45+Data!R45+Data!S45+Data!N46+Data!O46+Data!P46+Data!Q46+Data!R46+Data!S46+Data!N47+Data!O47+Data!P47+Data!Q47+Data!R47+Data!S47+Data!N48+Data!O48+Data!P48+Data!Q48+Data!R48+Data!S48</f>
        <v>398300</v>
      </c>
      <c r="M48" s="15" t="n">
        <f aca="false">Data!T37+Data!U37+Data!V37+Data!W37+Data!X37+Data!Y37+Data!Z37+Data!AA37+Data!AB37+Data!AC37+Data!AD37+Data!AE37+Data!AF37+Data!AG37+Data!AH37+Data!AI37+Data!AJ37+Data!AK37+Data!AL37+Data!T38+Data!U38+Data!V38+Data!W38+Data!X38+Data!Y38+Data!Z38+Data!AA38+Data!AB38+Data!AC38+Data!AD38+Data!AE38+Data!AF38+Data!AG38+Data!AH38+Data!AI38+Data!AJ38+Data!AK38+Data!AL38+Data!T39+Data!U39+Data!V39+Data!W39+Data!X39+Data!Y39+Data!Z39+Data!AA39+Data!AB39+Data!AC39+Data!AD39+Data!AE39+Data!AF39+Data!AG39+Data!AH39+Data!AI39+Data!AJ39+Data!AK39+Data!AL39+Data!T40+Data!U40+Data!V40+Data!W40+Data!X40+Data!Y40+Data!Z40+Data!AA40+Data!AB40+Data!AC40+Data!AD40+Data!AE40+Data!AF40+Data!AG40+Data!AH40+Data!AI40+Data!AJ40+Data!AK40+Data!AL40+Data!T41+Data!U41+Data!V41+Data!W41+Data!X41+Data!Y41+Data!Z41+Data!AA41+Data!AB41+Data!AC41+Data!AD41+Data!AE41+Data!AF41+Data!AG41+Data!AH41+Data!AI41+Data!AJ41+Data!AK41+Data!AL41+Data!T42+Data!U42+Data!V42+Data!W42+Data!X42+Data!Y42+Data!Z42+Data!AA42+Data!AB42+Data!AC42+Data!AD42+Data!AE42+Data!AF42+Data!AG42+Data!AH42+Data!AI42+Data!AJ42+Data!AK42+Data!AL42+Data!T43+Data!U43+Data!V43+Data!W43+Data!X43+Data!Y43+Data!Z43+Data!AA43+Data!AB43+Data!AC43+Data!AD43+Data!AE43+Data!AF43+Data!AG43+Data!AH43+Data!AI43+Data!AJ43+Data!AK43+Data!AL43+Data!T44+Data!U44+Data!V44+Data!W44+Data!X44+Data!Y44+Data!Z44+Data!AA44+Data!AB44+Data!AC44+Data!AD44+Data!AE44+Data!AF44+Data!AG44+Data!AH44+Data!AI44+Data!AJ44+Data!AK44+Data!AL44+Data!T45+Data!U45+Data!V45+Data!W45+Data!X45+Data!Y45+Data!Z45+Data!AA45+Data!AB45+Data!AC45+Data!AD45+Data!AE45+Data!AF45+Data!AG45+Data!AH45+Data!AI45+Data!AJ45+Data!AK45+Data!AL45+Data!T46+Data!U46+Data!V46+Data!W46+Data!X46+Data!Y46+Data!Z46+Data!AA46+Data!AB46+Data!AC46+Data!AD46+Data!AE46+Data!AF46+Data!AG46+Data!AH46+Data!AI46+Data!AJ46+Data!AK46+Data!AL46+Data!T47+Data!U47+Data!V47+Data!W47+Data!X47+Data!Y47+Data!Z47+Data!AA47+Data!AB47+Data!AC47+Data!AD47+Data!AE47+Data!AF47+Data!AG47+Data!AH47+Data!AI47+Data!AJ47+Data!AK47+Data!AL47+Data!T48+Data!U48+Data!V48+Data!W48+Data!X48+Data!Y48+Data!Z48+Data!AA48+Data!AB48+Data!AC48+Data!AD48+Data!AE48+Data!AF48+Data!AG48+Data!AH48+Data!AI48+Data!AJ48+Data!AK48+Data!AL48</f>
        <v>3379433</v>
      </c>
      <c r="N48" s="16" t="n">
        <f aca="false">Data!T37+Data!U37+Data!V37+Data!W37+Data!T38+Data!U38+Data!V38+Data!W38+Data!T39+Data!U39+Data!V39+Data!W39+Data!T40+Data!U40+Data!V40+Data!W40+Data!T41+Data!U41+Data!V41+Data!W41+Data!T42+Data!U42+Data!V42+Data!W42+Data!T43+Data!U43+Data!V43+Data!W43+Data!T44+Data!U44+Data!V44+Data!W44+Data!T45+Data!U45+Data!V45+Data!W45+Data!T46+Data!U46+Data!V46+Data!W46+Data!T47+Data!U47+Data!V47+Data!W47+Data!T48+Data!U48+Data!V48+Data!W48</f>
        <v>1871261</v>
      </c>
      <c r="O48" s="16" t="n">
        <f aca="false">Data!T37+Data!T38+Data!T39+Data!T40+Data!T41+Data!T42+Data!T43+Data!T44+Data!T45+Data!T46+Data!T47+Data!T48</f>
        <v>1361139</v>
      </c>
      <c r="P48" s="16" t="n">
        <f aca="false">Data!U37+Data!U38+Data!U39+Data!U40+Data!U41+Data!U42+Data!U43+Data!U44+Data!U45+Data!U46+Data!U47+Data!U48</f>
        <v>218463</v>
      </c>
      <c r="Q48" s="16" t="n">
        <f aca="false">Data!V37+Data!V38+Data!V39+Data!V40+Data!V41+Data!V42+Data!V43+Data!V44+Data!V45+Data!V46+Data!V47+Data!V48</f>
        <v>147276</v>
      </c>
      <c r="R48" s="16" t="n">
        <f aca="false">Data!W37+Data!W38+Data!W39+Data!W40+Data!W41+Data!W42+Data!W43+Data!W44+Data!W45+Data!W46+Data!W47+Data!W48</f>
        <v>144383</v>
      </c>
      <c r="S48" s="16" t="n">
        <f aca="false">Data!X37+Data!X38+Data!X39+Data!X40+Data!X41+Data!X42+Data!X43+Data!X44+Data!X45+Data!X46+Data!X47+Data!X48</f>
        <v>80891</v>
      </c>
      <c r="T48" s="16" t="n">
        <f aca="false">Data!Y37+Data!Z37+Data!AA37+Data!Y38+Data!Z38+Data!AA38+Data!Y39+Data!Z39+Data!AA39+Data!Y40+Data!Z40+Data!AA40+Data!Y41+Data!Z41+Data!AA41+Data!Y42+Data!Z42+Data!AA42+Data!Y43+Data!Z43+Data!AA43+Data!Y44+Data!Z44+Data!AA44+Data!Y45+Data!Z45+Data!AA45+Data!Y46+Data!Z46+Data!AA46+Data!Y47+Data!Z47+Data!AA47+Data!Y48+Data!Z48+Data!AA48</f>
        <v>314938</v>
      </c>
      <c r="U48" s="16" t="n">
        <f aca="false">Data!Y37+Data!Y38+Data!Y39+Data!Y40+Data!Y41+Data!Y42+Data!Y43+Data!Y44+Data!Y45+Data!Y46+Data!Y47+Data!Y48</f>
        <v>208590</v>
      </c>
      <c r="V48" s="16" t="n">
        <f aca="false">Data!Z37+Data!Z38+Data!Z39+Data!Z40+Data!Z41+Data!Z42+Data!Z43+Data!Z44+Data!Z45+Data!Z46+Data!Z47+Data!Z48</f>
        <v>104740</v>
      </c>
      <c r="W48" s="16" t="n">
        <f aca="false">Data!AB37+Data!AB38+Data!AB39+Data!AB40+Data!AB41+Data!AB42+Data!AB43+Data!AB44+Data!AB45+Data!AB46+Data!AB47+Data!AB48</f>
        <v>458967</v>
      </c>
      <c r="X48" s="16" t="n">
        <f aca="false">Data!AC37+Data!AC38+Data!AC39+Data!AC40+Data!AC41+Data!AC42+Data!AC43+Data!AC44+Data!AC45+Data!AC46+Data!AC47+Data!AC48</f>
        <v>157530</v>
      </c>
      <c r="Y48" s="16" t="n">
        <f aca="false">Data!AD37+Data!AE37+Data!AF37+Data!AG37+Data!AH37+Data!AD38+Data!AE38+Data!AF38+Data!AG38+Data!AH38+Data!AD39+Data!AE39+Data!AF39+Data!AG39+Data!AH39+Data!AD40+Data!AE40+Data!AF40+Data!AG40+Data!AH40+Data!AD41+Data!AE41+Data!AF41+Data!AG41+Data!AH41+Data!AD42+Data!AE42+Data!AF42+Data!AG42+Data!AH42+Data!AD43+Data!AE43+Data!AF43+Data!AG43+Data!AH43+Data!AD44+Data!AE44+Data!AF44+Data!AG44+Data!AH44+Data!AD45+Data!AE45+Data!AF45+Data!AG45+Data!AH45+Data!AD46+Data!AE46+Data!AF46+Data!AG46+Data!AH46+Data!AD47+Data!AE47+Data!AF47+Data!AG47+Data!AH47+Data!AD48+Data!AE48+Data!AF48+Data!AG48+Data!AH48</f>
        <v>94938</v>
      </c>
      <c r="Z48" s="16" t="n">
        <f aca="false">Data!AI37+Data!AI38+Data!AI39+Data!AI40+Data!AI41+Data!AI42+Data!AI43+Data!AI44+Data!AI45+Data!AI46+Data!AI47+Data!AI48</f>
        <v>120241</v>
      </c>
      <c r="AA48" s="16" t="n">
        <f aca="false">Data!AJ37+Data!AJ38+Data!AJ39+Data!AJ40+Data!AJ41+Data!AJ42+Data!AJ43+Data!AJ44+Data!AJ45+Data!AJ46+Data!AJ47+Data!AJ48</f>
        <v>-3969</v>
      </c>
      <c r="AB48" s="16" t="n">
        <f aca="false">Data!AK37+Data!AK38+Data!AK39+Data!AK40+Data!AK41+Data!AK42+Data!AK43+Data!AK44+Data!AK45+Data!AK46+Data!AK47+Data!AK48</f>
        <v>50967</v>
      </c>
      <c r="AC48" s="16" t="n">
        <f aca="false">Data!AL37+Data!AL38+Data!AL39+Data!AL40+Data!AL41+Data!AL42+Data!AL43+Data!AL44+Data!AL45+Data!AL46+Data!AL47+Data!AL48</f>
        <v>233669</v>
      </c>
      <c r="AD48" s="15" t="n">
        <f aca="false">Data!AM37+Data!AM38+Data!AM39+Data!AM40+Data!AM41+Data!AM42+Data!AM43+Data!AM44+Data!AM45+Data!AM46+Data!AM47+Data!AM48</f>
        <v>-202940</v>
      </c>
      <c r="AE48" s="16" t="n">
        <f aca="false">Data!AN37+Data!AN38+Data!AN39+Data!AN40+Data!AN41+Data!AN42+Data!AN43+Data!AN44+Data!AN45+Data!AN46+Data!AN47+Data!AN48</f>
        <v>561000</v>
      </c>
      <c r="AF48" s="15" t="n">
        <f aca="false">Data!AO37+Data!AO38+Data!AO39+Data!AO40+Data!AO41+Data!AO42+Data!AO43+Data!AO44+Data!AO45+Data!AO46+Data!AO47+Data!AO48</f>
        <v>-763941</v>
      </c>
    </row>
    <row r="49" customFormat="false" ht="15" hidden="false" customHeight="false" outlineLevel="0" collapsed="false">
      <c r="B49" s="14" t="str">
        <f aca="false">Data!B49</f>
        <v>2019-07</v>
      </c>
      <c r="C49" s="15" t="n">
        <f aca="false">Data!D38+Data!E38+Data!F38+Data!G38+Data!H38+Data!I38+Data!J38+Data!K38+Data!L38+Data!M38+Data!N38+Data!O38+Data!P38+Data!Q38+Data!R38+Data!S38+Data!D39+Data!E39+Data!F39+Data!G39+Data!H39+Data!I39+Data!J39+Data!K39+Data!L39+Data!M39+Data!N39+Data!O39+Data!P39+Data!Q39+Data!R39+Data!S39+Data!D40+Data!E40+Data!F40+Data!G40+Data!H40+Data!I40+Data!J40+Data!K40+Data!L40+Data!M40+Data!N40+Data!O40+Data!P40+Data!Q40+Data!R40+Data!S40+Data!D41+Data!E41+Data!F41+Data!G41+Data!H41+Data!I41+Data!J41+Data!K41+Data!L41+Data!M41+Data!N41+Data!O41+Data!P41+Data!Q41+Data!R41+Data!S41+Data!D42+Data!E42+Data!F42+Data!G42+Data!H42+Data!I42+Data!J42+Data!K42+Data!L42+Data!M42+Data!N42+Data!O42+Data!P42+Data!Q42+Data!R42+Data!S42+Data!D43+Data!E43+Data!F43+Data!G43+Data!H43+Data!I43+Data!J43+Data!K43+Data!L43+Data!M43+Data!N43+Data!O43+Data!P43+Data!Q43+Data!R43+Data!S43+Data!D44+Data!E44+Data!F44+Data!G44+Data!H44+Data!I44+Data!J44+Data!K44+Data!L44+Data!M44+Data!N44+Data!O44+Data!P44+Data!Q44+Data!R44+Data!S44+Data!D45+Data!E45+Data!F45+Data!G45+Data!H45+Data!I45+Data!J45+Data!K45+Data!L45+Data!M45+Data!N45+Data!O45+Data!P45+Data!Q45+Data!R45+Data!S45+Data!D46+Data!E46+Data!F46+Data!G46+Data!H46+Data!I46+Data!J46+Data!K46+Data!L46+Data!M46+Data!N46+Data!O46+Data!P46+Data!Q46+Data!R46+Data!S46+Data!D47+Data!E47+Data!F47+Data!G47+Data!H47+Data!I47+Data!J47+Data!K47+Data!L47+Data!M47+Data!N47+Data!O47+Data!P47+Data!Q47+Data!R47+Data!S47+Data!D48+Data!E48+Data!F48+Data!G48+Data!H48+Data!I48+Data!J48+Data!K48+Data!L48+Data!M48+Data!N48+Data!O48+Data!P48+Data!Q48+Data!R48+Data!S48+Data!D49+Data!E49+Data!F49+Data!G49+Data!H49+Data!I49+Data!J49+Data!K49+Data!L49+Data!M49+Data!N49+Data!O49+Data!P49+Data!Q49+Data!R49+Data!S49</f>
        <v>3319740</v>
      </c>
      <c r="D49" s="16" t="n">
        <f aca="false">Data!D38+Data!E38+Data!G38+Data!H38+Data!I38+Data!J38+Data!K38+Data!L38+Data!M38+Data!D39+Data!E39+Data!G39+Data!H39+Data!I39+Data!J39+Data!K39+Data!L39+Data!M39+Data!D40+Data!E40+Data!G40+Data!H40+Data!I40+Data!J40+Data!K40+Data!L40+Data!M40+Data!D41+Data!E41+Data!G41+Data!H41+Data!I41+Data!J41+Data!K41+Data!L41+Data!M41+Data!D42+Data!E42+Data!G42+Data!H42+Data!I42+Data!J42+Data!K42+Data!L42+Data!M42+Data!D43+Data!E43+Data!G43+Data!H43+Data!I43+Data!J43+Data!K43+Data!L43+Data!M43+Data!D44+Data!E44+Data!G44+Data!H44+Data!I44+Data!J44+Data!K44+Data!L44+Data!M44+Data!D45+Data!E45+Data!G45+Data!H45+Data!I45+Data!J45+Data!K45+Data!L45+Data!M45+Data!D46+Data!E46+Data!G46+Data!H46+Data!I46+Data!J46+Data!K46+Data!L46+Data!M46+Data!D47+Data!E47+Data!G47+Data!H47+Data!I47+Data!J47+Data!K47+Data!L47+Data!M47+Data!D48+Data!E48+Data!G48+Data!H48+Data!I48+Data!J48+Data!K48+Data!L48+Data!M48+Data!D49+Data!E49+Data!G49+Data!H49+Data!I49+Data!J49+Data!K49+Data!L49+Data!M49</f>
        <v>1809045</v>
      </c>
      <c r="E49" s="16" t="n">
        <f aca="false">Data!D38+Data!D39+Data!D40+Data!D41+Data!D42+Data!D43+Data!D44+Data!D45+Data!D46+Data!D47+Data!D48+Data!D49</f>
        <v>604131</v>
      </c>
      <c r="F49" s="16" t="n">
        <f aca="false">Data!E38+Data!E39+Data!E40+Data!E41+Data!E42+Data!E43+Data!E44+Data!E45+Data!E46+Data!E47+Data!E48+Data!E49</f>
        <v>332320</v>
      </c>
      <c r="G49" s="16" t="n">
        <f aca="false">Data!K38+Data!K39+Data!K40+Data!K41+Data!K42+Data!K43+Data!K44+Data!K45+Data!K46+Data!K47+Data!K48+Data!K49</f>
        <v>229320</v>
      </c>
      <c r="H49" s="16" t="n">
        <f aca="false">Data!L38+Data!L39+Data!L40+Data!L41+Data!L42+Data!L43+Data!L44+Data!L45+Data!L46+Data!L47+Data!L48+Data!L49</f>
        <v>114558</v>
      </c>
      <c r="I49" s="16" t="n">
        <f aca="false">Data!G38+Data!G39+Data!G40+Data!G41+Data!G42+Data!G43+Data!G44+Data!G45+Data!G46+Data!G47+Data!G48+Data!G49</f>
        <v>286406</v>
      </c>
      <c r="J49" s="16" t="n">
        <f aca="false">Data!H38+Data!I38+Data!J38+Data!M38+Data!H39+Data!I39+Data!J39+Data!M39+Data!H40+Data!I40+Data!J40+Data!M40+Data!H41+Data!I41+Data!J41+Data!M41+Data!H42+Data!I42+Data!J42+Data!M42+Data!H43+Data!I43+Data!J43+Data!M43+Data!H44+Data!I44+Data!J44+Data!M44+Data!H45+Data!I45+Data!J45+Data!M45+Data!H46+Data!I46+Data!J46+Data!M46+Data!H47+Data!I47+Data!J47+Data!M47+Data!H48+Data!I48+Data!J48+Data!M48+Data!H49+Data!I49+Data!J49+Data!M49</f>
        <v>242310</v>
      </c>
      <c r="K49" s="16" t="n">
        <f aca="false">Data!F38+Data!F39+Data!F40+Data!F41+Data!F42+Data!F43+Data!F44+Data!F45+Data!F46+Data!F47+Data!F48+Data!F49</f>
        <v>1078517</v>
      </c>
      <c r="L49" s="16" t="n">
        <f aca="false">Data!N38+Data!O38+Data!P38+Data!Q38+Data!R38+Data!S38+Data!N39+Data!O39+Data!P39+Data!Q39+Data!R39+Data!S39+Data!N40+Data!O40+Data!P40+Data!Q40+Data!R40+Data!S40+Data!N41+Data!O41+Data!P41+Data!Q41+Data!R41+Data!S41+Data!N42+Data!O42+Data!P42+Data!Q42+Data!R42+Data!S42+Data!N43+Data!O43+Data!P43+Data!Q43+Data!R43+Data!S43+Data!N44+Data!O44+Data!P44+Data!Q44+Data!R44+Data!S44+Data!N45+Data!O45+Data!P45+Data!Q45+Data!R45+Data!S45+Data!N46+Data!O46+Data!P46+Data!Q46+Data!R46+Data!S46+Data!N47+Data!O47+Data!P47+Data!Q47+Data!R47+Data!S47+Data!N48+Data!O48+Data!P48+Data!Q48+Data!R48+Data!S48+Data!N49+Data!O49+Data!P49+Data!Q49+Data!R49+Data!S49</f>
        <v>432178</v>
      </c>
      <c r="M49" s="15" t="n">
        <f aca="false">Data!T38+Data!U38+Data!V38+Data!W38+Data!X38+Data!Y38+Data!Z38+Data!AA38+Data!AB38+Data!AC38+Data!AD38+Data!AE38+Data!AF38+Data!AG38+Data!AH38+Data!AI38+Data!AJ38+Data!AK38+Data!AL38+Data!T39+Data!U39+Data!V39+Data!W39+Data!X39+Data!Y39+Data!Z39+Data!AA39+Data!AB39+Data!AC39+Data!AD39+Data!AE39+Data!AF39+Data!AG39+Data!AH39+Data!AI39+Data!AJ39+Data!AK39+Data!AL39+Data!T40+Data!U40+Data!V40+Data!W40+Data!X40+Data!Y40+Data!Z40+Data!AA40+Data!AB40+Data!AC40+Data!AD40+Data!AE40+Data!AF40+Data!AG40+Data!AH40+Data!AI40+Data!AJ40+Data!AK40+Data!AL40+Data!T41+Data!U41+Data!V41+Data!W41+Data!X41+Data!Y41+Data!Z41+Data!AA41+Data!AB41+Data!AC41+Data!AD41+Data!AE41+Data!AF41+Data!AG41+Data!AH41+Data!AI41+Data!AJ41+Data!AK41+Data!AL41+Data!T42+Data!U42+Data!V42+Data!W42+Data!X42+Data!Y42+Data!Z42+Data!AA42+Data!AB42+Data!AC42+Data!AD42+Data!AE42+Data!AF42+Data!AG42+Data!AH42+Data!AI42+Data!AJ42+Data!AK42+Data!AL42+Data!T43+Data!U43+Data!V43+Data!W43+Data!X43+Data!Y43+Data!Z43+Data!AA43+Data!AB43+Data!AC43+Data!AD43+Data!AE43+Data!AF43+Data!AG43+Data!AH43+Data!AI43+Data!AJ43+Data!AK43+Data!AL43+Data!T44+Data!U44+Data!V44+Data!W44+Data!X44+Data!Y44+Data!Z44+Data!AA44+Data!AB44+Data!AC44+Data!AD44+Data!AE44+Data!AF44+Data!AG44+Data!AH44+Data!AI44+Data!AJ44+Data!AK44+Data!AL44+Data!T45+Data!U45+Data!V45+Data!W45+Data!X45+Data!Y45+Data!Z45+Data!AA45+Data!AB45+Data!AC45+Data!AD45+Data!AE45+Data!AF45+Data!AG45+Data!AH45+Data!AI45+Data!AJ45+Data!AK45+Data!AL45+Data!T46+Data!U46+Data!V46+Data!W46+Data!X46+Data!Y46+Data!Z46+Data!AA46+Data!AB46+Data!AC46+Data!AD46+Data!AE46+Data!AF46+Data!AG46+Data!AH46+Data!AI46+Data!AJ46+Data!AK46+Data!AL46+Data!T47+Data!U47+Data!V47+Data!W47+Data!X47+Data!Y47+Data!Z47+Data!AA47+Data!AB47+Data!AC47+Data!AD47+Data!AE47+Data!AF47+Data!AG47+Data!AH47+Data!AI47+Data!AJ47+Data!AK47+Data!AL47+Data!T48+Data!U48+Data!V48+Data!W48+Data!X48+Data!Y48+Data!Z48+Data!AA48+Data!AB48+Data!AC48+Data!AD48+Data!AE48+Data!AF48+Data!AG48+Data!AH48+Data!AI48+Data!AJ48+Data!AK48+Data!AL48+Data!T49+Data!U49+Data!V49+Data!W49+Data!X49+Data!Y49+Data!Z49+Data!AA49+Data!AB49+Data!AC49+Data!AD49+Data!AE49+Data!AF49+Data!AG49+Data!AH49+Data!AI49+Data!AJ49+Data!AK49+Data!AL49</f>
        <v>3504107</v>
      </c>
      <c r="N49" s="16" t="n">
        <f aca="false">Data!T38+Data!U38+Data!V38+Data!W38+Data!T39+Data!U39+Data!V39+Data!W39+Data!T40+Data!U40+Data!V40+Data!W40+Data!T41+Data!U41+Data!V41+Data!W41+Data!T42+Data!U42+Data!V42+Data!W42+Data!T43+Data!U43+Data!V43+Data!W43+Data!T44+Data!U44+Data!V44+Data!W44+Data!T45+Data!U45+Data!V45+Data!W45+Data!T46+Data!U46+Data!V46+Data!W46+Data!T47+Data!U47+Data!V47+Data!W47+Data!T48+Data!U48+Data!V48+Data!W48+Data!T49+Data!U49+Data!V49+Data!W49</f>
        <v>1929045</v>
      </c>
      <c r="O49" s="16" t="n">
        <f aca="false">Data!T38+Data!T39+Data!T40+Data!T41+Data!T42+Data!T43+Data!T44+Data!T45+Data!T46+Data!T47+Data!T48+Data!T49</f>
        <v>1406487</v>
      </c>
      <c r="P49" s="16" t="n">
        <f aca="false">Data!U38+Data!U39+Data!U40+Data!U41+Data!U42+Data!U43+Data!U44+Data!U45+Data!U46+Data!U47+Data!U48+Data!U49</f>
        <v>224018</v>
      </c>
      <c r="Q49" s="16" t="n">
        <f aca="false">Data!V38+Data!V39+Data!V40+Data!V41+Data!V42+Data!V43+Data!V44+Data!V45+Data!V46+Data!V47+Data!V48+Data!V49</f>
        <v>149132</v>
      </c>
      <c r="R49" s="16" t="n">
        <f aca="false">Data!W38+Data!W39+Data!W40+Data!W41+Data!W42+Data!W43+Data!W44+Data!W45+Data!W46+Data!W47+Data!W48+Data!W49</f>
        <v>149408</v>
      </c>
      <c r="S49" s="16" t="n">
        <f aca="false">Data!X38+Data!X39+Data!X40+Data!X41+Data!X42+Data!X43+Data!X44+Data!X45+Data!X46+Data!X47+Data!X48+Data!X49</f>
        <v>87795</v>
      </c>
      <c r="T49" s="16" t="n">
        <f aca="false">Data!Y38+Data!Z38+Data!AA38+Data!Y39+Data!Z39+Data!AA39+Data!Y40+Data!Z40+Data!AA40+Data!Y41+Data!Z41+Data!AA41+Data!Y42+Data!Z42+Data!AA42+Data!Y43+Data!Z43+Data!AA43+Data!Y44+Data!Z44+Data!AA44+Data!Y45+Data!Z45+Data!AA45+Data!Y46+Data!Z46+Data!AA46+Data!Y47+Data!Z47+Data!AA47+Data!Y48+Data!Z48+Data!AA48+Data!Y49+Data!Z49+Data!AA49</f>
        <v>336741</v>
      </c>
      <c r="U49" s="16" t="n">
        <f aca="false">Data!Y38+Data!Y39+Data!Y40+Data!Y41+Data!Y42+Data!Y43+Data!Y44+Data!Y45+Data!Y46+Data!Y47+Data!Y48+Data!Y49</f>
        <v>228865</v>
      </c>
      <c r="V49" s="16" t="n">
        <f aca="false">Data!Z38+Data!Z39+Data!Z40+Data!Z41+Data!Z42+Data!Z43+Data!Z44+Data!Z45+Data!Z46+Data!Z47+Data!Z48+Data!Z49</f>
        <v>106173</v>
      </c>
      <c r="W49" s="16" t="n">
        <f aca="false">Data!AB38+Data!AB39+Data!AB40+Data!AB41+Data!AB42+Data!AB43+Data!AB44+Data!AB45+Data!AB46+Data!AB47+Data!AB48+Data!AB49</f>
        <v>470136</v>
      </c>
      <c r="X49" s="16" t="n">
        <f aca="false">Data!AC38+Data!AC39+Data!AC40+Data!AC41+Data!AC42+Data!AC43+Data!AC44+Data!AC45+Data!AC46+Data!AC47+Data!AC48+Data!AC49</f>
        <v>163431</v>
      </c>
      <c r="Y49" s="16" t="n">
        <f aca="false">Data!AD38+Data!AE38+Data!AF38+Data!AG38+Data!AH38+Data!AD39+Data!AE39+Data!AF39+Data!AG39+Data!AH39+Data!AD40+Data!AE40+Data!AF40+Data!AG40+Data!AH40+Data!AD41+Data!AE41+Data!AF41+Data!AG41+Data!AH41+Data!AD42+Data!AE42+Data!AF42+Data!AG42+Data!AH42+Data!AD43+Data!AE43+Data!AF43+Data!AG43+Data!AH43+Data!AD44+Data!AE44+Data!AF44+Data!AG44+Data!AH44+Data!AD45+Data!AE45+Data!AF45+Data!AG45+Data!AH45+Data!AD46+Data!AE46+Data!AF46+Data!AG46+Data!AH46+Data!AD47+Data!AE47+Data!AF47+Data!AG47+Data!AH47+Data!AD48+Data!AE48+Data!AF48+Data!AG48+Data!AH48+Data!AD49+Data!AE49+Data!AF49+Data!AG49+Data!AH49</f>
        <v>109293</v>
      </c>
      <c r="Z49" s="16" t="n">
        <f aca="false">Data!AI38+Data!AI39+Data!AI40+Data!AI41+Data!AI42+Data!AI43+Data!AI44+Data!AI45+Data!AI46+Data!AI47+Data!AI48+Data!AI49</f>
        <v>124057</v>
      </c>
      <c r="AA49" s="16" t="n">
        <f aca="false">Data!AJ38+Data!AJ39+Data!AJ40+Data!AJ41+Data!AJ42+Data!AJ43+Data!AJ44+Data!AJ45+Data!AJ46+Data!AJ47+Data!AJ48+Data!AJ49</f>
        <v>-4956</v>
      </c>
      <c r="AB49" s="16" t="n">
        <f aca="false">Data!AK38+Data!AK39+Data!AK40+Data!AK41+Data!AK42+Data!AK43+Data!AK44+Data!AK45+Data!AK46+Data!AK47+Data!AK48+Data!AK49</f>
        <v>50503</v>
      </c>
      <c r="AC49" s="16" t="n">
        <f aca="false">Data!AL38+Data!AL39+Data!AL40+Data!AL41+Data!AL42+Data!AL43+Data!AL44+Data!AL45+Data!AL46+Data!AL47+Data!AL48+Data!AL49</f>
        <v>238062</v>
      </c>
      <c r="AD49" s="15" t="n">
        <f aca="false">Data!AM38+Data!AM39+Data!AM40+Data!AM41+Data!AM42+Data!AM43+Data!AM44+Data!AM45+Data!AM46+Data!AM47+Data!AM48+Data!AM49</f>
        <v>-184367</v>
      </c>
      <c r="AE49" s="16" t="n">
        <f aca="false">Data!AN38+Data!AN39+Data!AN40+Data!AN41+Data!AN42+Data!AN43+Data!AN44+Data!AN45+Data!AN46+Data!AN47+Data!AN48+Data!AN49</f>
        <v>595060</v>
      </c>
      <c r="AF49" s="15" t="n">
        <f aca="false">Data!AO38+Data!AO39+Data!AO40+Data!AO41+Data!AO42+Data!AO43+Data!AO44+Data!AO45+Data!AO46+Data!AO47+Data!AO48+Data!AO49</f>
        <v>-779428</v>
      </c>
    </row>
    <row r="50" customFormat="false" ht="15" hidden="false" customHeight="false" outlineLevel="0" collapsed="false">
      <c r="B50" s="14" t="str">
        <f aca="false">Data!B50</f>
        <v>2019-08</v>
      </c>
      <c r="C50" s="15" t="n">
        <f aca="false">Data!D39+Data!E39+Data!F39+Data!G39+Data!H39+Data!I39+Data!J39+Data!K39+Data!L39+Data!M39+Data!N39+Data!O39+Data!P39+Data!Q39+Data!R39+Data!S39+Data!D40+Data!E40+Data!F40+Data!G40+Data!H40+Data!I40+Data!J40+Data!K40+Data!L40+Data!M40+Data!N40+Data!O40+Data!P40+Data!Q40+Data!R40+Data!S40+Data!D41+Data!E41+Data!F41+Data!G41+Data!H41+Data!I41+Data!J41+Data!K41+Data!L41+Data!M41+Data!N41+Data!O41+Data!P41+Data!Q41+Data!R41+Data!S41+Data!D42+Data!E42+Data!F42+Data!G42+Data!H42+Data!I42+Data!J42+Data!K42+Data!L42+Data!M42+Data!N42+Data!O42+Data!P42+Data!Q42+Data!R42+Data!S42+Data!D43+Data!E43+Data!F43+Data!G43+Data!H43+Data!I43+Data!J43+Data!K43+Data!L43+Data!M43+Data!N43+Data!O43+Data!P43+Data!Q43+Data!R43+Data!S43+Data!D44+Data!E44+Data!F44+Data!G44+Data!H44+Data!I44+Data!J44+Data!K44+Data!L44+Data!M44+Data!N44+Data!O44+Data!P44+Data!Q44+Data!R44+Data!S44+Data!D45+Data!E45+Data!F45+Data!G45+Data!H45+Data!I45+Data!J45+Data!K45+Data!L45+Data!M45+Data!N45+Data!O45+Data!P45+Data!Q45+Data!R45+Data!S45+Data!D46+Data!E46+Data!F46+Data!G46+Data!H46+Data!I46+Data!J46+Data!K46+Data!L46+Data!M46+Data!N46+Data!O46+Data!P46+Data!Q46+Data!R46+Data!S46+Data!D47+Data!E47+Data!F47+Data!G47+Data!H47+Data!I47+Data!J47+Data!K47+Data!L47+Data!M47+Data!N47+Data!O47+Data!P47+Data!Q47+Data!R47+Data!S47+Data!D48+Data!E48+Data!F48+Data!G48+Data!H48+Data!I48+Data!J48+Data!K48+Data!L48+Data!M48+Data!N48+Data!O48+Data!P48+Data!Q48+Data!R48+Data!S48+Data!D49+Data!E49+Data!F49+Data!G49+Data!H49+Data!I49+Data!J49+Data!K49+Data!L49+Data!M49+Data!N49+Data!O49+Data!P49+Data!Q49+Data!R49+Data!S49+Data!D50+Data!E50+Data!F50+Data!G50+Data!H50+Data!I50+Data!J50+Data!K50+Data!L50+Data!M50+Data!N50+Data!O50+Data!P50+Data!Q50+Data!R50+Data!S50</f>
        <v>3443229</v>
      </c>
      <c r="D50" s="16" t="n">
        <f aca="false">Data!D39+Data!E39+Data!G39+Data!H39+Data!I39+Data!J39+Data!K39+Data!L39+Data!M39+Data!D40+Data!E40+Data!G40+Data!H40+Data!I40+Data!J40+Data!K40+Data!L40+Data!M40+Data!D41+Data!E41+Data!G41+Data!H41+Data!I41+Data!J41+Data!K41+Data!L41+Data!M41+Data!D42+Data!E42+Data!G42+Data!H42+Data!I42+Data!J42+Data!K42+Data!L42+Data!M42+Data!D43+Data!E43+Data!G43+Data!H43+Data!I43+Data!J43+Data!K43+Data!L43+Data!M43+Data!D44+Data!E44+Data!G44+Data!H44+Data!I44+Data!J44+Data!K44+Data!L44+Data!M44+Data!D45+Data!E45+Data!G45+Data!H45+Data!I45+Data!J45+Data!K45+Data!L45+Data!M45+Data!D46+Data!E46+Data!G46+Data!H46+Data!I46+Data!J46+Data!K46+Data!L46+Data!M46+Data!D47+Data!E47+Data!G47+Data!H47+Data!I47+Data!J47+Data!K47+Data!L47+Data!M47+Data!D48+Data!E48+Data!G48+Data!H48+Data!I48+Data!J48+Data!K48+Data!L48+Data!M48+Data!D49+Data!E49+Data!G49+Data!H49+Data!I49+Data!J49+Data!K49+Data!L49+Data!M49+Data!D50+Data!E50+Data!G50+Data!H50+Data!I50+Data!J50+Data!K50+Data!L50+Data!M50</f>
        <v>1891671</v>
      </c>
      <c r="E50" s="16" t="n">
        <f aca="false">Data!D39+Data!D40+Data!D41+Data!D42+Data!D43+Data!D44+Data!D45+Data!D46+Data!D47+Data!D48+Data!D49+Data!D50</f>
        <v>621434</v>
      </c>
      <c r="F50" s="16" t="n">
        <f aca="false">Data!E39+Data!E40+Data!E41+Data!E42+Data!E43+Data!E44+Data!E45+Data!E46+Data!E47+Data!E48+Data!E49+Data!E50</f>
        <v>339683</v>
      </c>
      <c r="G50" s="16" t="n">
        <f aca="false">Data!K39+Data!K40+Data!K41+Data!K42+Data!K43+Data!K44+Data!K45+Data!K46+Data!K47+Data!K48+Data!K49+Data!K50</f>
        <v>263531</v>
      </c>
      <c r="H50" s="16" t="n">
        <f aca="false">Data!L39+Data!L40+Data!L41+Data!L42+Data!L43+Data!L44+Data!L45+Data!L46+Data!L47+Data!L48+Data!L49+Data!L50</f>
        <v>116734</v>
      </c>
      <c r="I50" s="16" t="n">
        <f aca="false">Data!G39+Data!G40+Data!G41+Data!G42+Data!G43+Data!G44+Data!G45+Data!G46+Data!G47+Data!G48+Data!G49+Data!G50</f>
        <v>297356</v>
      </c>
      <c r="J50" s="16" t="n">
        <f aca="false">Data!H39+Data!I39+Data!J39+Data!M39+Data!H40+Data!I40+Data!J40+Data!M40+Data!H41+Data!I41+Data!J41+Data!M41+Data!H42+Data!I42+Data!J42+Data!M42+Data!H43+Data!I43+Data!J43+Data!M43+Data!H44+Data!I44+Data!J44+Data!M44+Data!H45+Data!I45+Data!J45+Data!M45+Data!H46+Data!I46+Data!J46+Data!M46+Data!H47+Data!I47+Data!J47+Data!M47+Data!H48+Data!I48+Data!J48+Data!M48+Data!H49+Data!I49+Data!J49+Data!M49+Data!H50+Data!I50+Data!J50+Data!M50</f>
        <v>252933</v>
      </c>
      <c r="K50" s="16" t="n">
        <f aca="false">Data!F39+Data!F40+Data!F41+Data!F42+Data!F43+Data!F44+Data!F45+Data!F46+Data!F47+Data!F48+Data!F49+Data!F50</f>
        <v>1107170</v>
      </c>
      <c r="L50" s="16" t="n">
        <f aca="false">Data!N39+Data!O39+Data!P39+Data!Q39+Data!R39+Data!S39+Data!N40+Data!O40+Data!P40+Data!Q40+Data!R40+Data!S40+Data!N41+Data!O41+Data!P41+Data!Q41+Data!R41+Data!S41+Data!N42+Data!O42+Data!P42+Data!Q42+Data!R42+Data!S42+Data!N43+Data!O43+Data!P43+Data!Q43+Data!R43+Data!S43+Data!N44+Data!O44+Data!P44+Data!Q44+Data!R44+Data!S44+Data!N45+Data!O45+Data!P45+Data!Q45+Data!R45+Data!S45+Data!N46+Data!O46+Data!P46+Data!Q46+Data!R46+Data!S46+Data!N47+Data!O47+Data!P47+Data!Q47+Data!R47+Data!S47+Data!N48+Data!O48+Data!P48+Data!Q48+Data!R48+Data!S48+Data!N49+Data!O49+Data!P49+Data!Q49+Data!R49+Data!S49+Data!N50+Data!O50+Data!P50+Data!Q50+Data!R50+Data!S50</f>
        <v>444388</v>
      </c>
      <c r="M50" s="15" t="n">
        <f aca="false">Data!T39+Data!U39+Data!V39+Data!W39+Data!X39+Data!Y39+Data!Z39+Data!AA39+Data!AB39+Data!AC39+Data!AD39+Data!AE39+Data!AF39+Data!AG39+Data!AH39+Data!AI39+Data!AJ39+Data!AK39+Data!AL39+Data!T40+Data!U40+Data!V40+Data!W40+Data!X40+Data!Y40+Data!Z40+Data!AA40+Data!AB40+Data!AC40+Data!AD40+Data!AE40+Data!AF40+Data!AG40+Data!AH40+Data!AI40+Data!AJ40+Data!AK40+Data!AL40+Data!T41+Data!U41+Data!V41+Data!W41+Data!X41+Data!Y41+Data!Z41+Data!AA41+Data!AB41+Data!AC41+Data!AD41+Data!AE41+Data!AF41+Data!AG41+Data!AH41+Data!AI41+Data!AJ41+Data!AK41+Data!AL41+Data!T42+Data!U42+Data!V42+Data!W42+Data!X42+Data!Y42+Data!Z42+Data!AA42+Data!AB42+Data!AC42+Data!AD42+Data!AE42+Data!AF42+Data!AG42+Data!AH42+Data!AI42+Data!AJ42+Data!AK42+Data!AL42+Data!T43+Data!U43+Data!V43+Data!W43+Data!X43+Data!Y43+Data!Z43+Data!AA43+Data!AB43+Data!AC43+Data!AD43+Data!AE43+Data!AF43+Data!AG43+Data!AH43+Data!AI43+Data!AJ43+Data!AK43+Data!AL43+Data!T44+Data!U44+Data!V44+Data!W44+Data!X44+Data!Y44+Data!Z44+Data!AA44+Data!AB44+Data!AC44+Data!AD44+Data!AE44+Data!AF44+Data!AG44+Data!AH44+Data!AI44+Data!AJ44+Data!AK44+Data!AL44+Data!T45+Data!U45+Data!V45+Data!W45+Data!X45+Data!Y45+Data!Z45+Data!AA45+Data!AB45+Data!AC45+Data!AD45+Data!AE45+Data!AF45+Data!AG45+Data!AH45+Data!AI45+Data!AJ45+Data!AK45+Data!AL45+Data!T46+Data!U46+Data!V46+Data!W46+Data!X46+Data!Y46+Data!Z46+Data!AA46+Data!AB46+Data!AC46+Data!AD46+Data!AE46+Data!AF46+Data!AG46+Data!AH46+Data!AI46+Data!AJ46+Data!AK46+Data!AL46+Data!T47+Data!U47+Data!V47+Data!W47+Data!X47+Data!Y47+Data!Z47+Data!AA47+Data!AB47+Data!AC47+Data!AD47+Data!AE47+Data!AF47+Data!AG47+Data!AH47+Data!AI47+Data!AJ47+Data!AK47+Data!AL47+Data!T48+Data!U48+Data!V48+Data!W48+Data!X48+Data!Y48+Data!Z48+Data!AA48+Data!AB48+Data!AC48+Data!AD48+Data!AE48+Data!AF48+Data!AG48+Data!AH48+Data!AI48+Data!AJ48+Data!AK48+Data!AL48+Data!T49+Data!U49+Data!V49+Data!W49+Data!X49+Data!Y49+Data!Z49+Data!AA49+Data!AB49+Data!AC49+Data!AD49+Data!AE49+Data!AF49+Data!AG49+Data!AH49+Data!AI49+Data!AJ49+Data!AK49+Data!AL49+Data!T50+Data!U50+Data!V50+Data!W50+Data!X50+Data!Y50+Data!Z50+Data!AA50+Data!AB50+Data!AC50+Data!AD50+Data!AE50+Data!AF50+Data!AG50+Data!AH50+Data!AI50+Data!AJ50+Data!AK50+Data!AL50</f>
        <v>3603494</v>
      </c>
      <c r="N50" s="16" t="n">
        <f aca="false">Data!T39+Data!U39+Data!V39+Data!W39+Data!T40+Data!U40+Data!V40+Data!W40+Data!T41+Data!U41+Data!V41+Data!W41+Data!T42+Data!U42+Data!V42+Data!W42+Data!T43+Data!U43+Data!V43+Data!W43+Data!T44+Data!U44+Data!V44+Data!W44+Data!T45+Data!U45+Data!V45+Data!W45+Data!T46+Data!U46+Data!V46+Data!W46+Data!T47+Data!U47+Data!V47+Data!W47+Data!T48+Data!U48+Data!V48+Data!W48+Data!T49+Data!U49+Data!V49+Data!W49+Data!T50+Data!U50+Data!V50+Data!W50</f>
        <v>1978195</v>
      </c>
      <c r="O50" s="16" t="n">
        <f aca="false">Data!T39+Data!T40+Data!T41+Data!T42+Data!T43+Data!T44+Data!T45+Data!T46+Data!T47+Data!T48+Data!T49+Data!T50</f>
        <v>1446376</v>
      </c>
      <c r="P50" s="16" t="n">
        <f aca="false">Data!U39+Data!U40+Data!U41+Data!U42+Data!U43+Data!U44+Data!U45+Data!U46+Data!U47+Data!U48+Data!U49+Data!U50</f>
        <v>229067</v>
      </c>
      <c r="Q50" s="16" t="n">
        <f aca="false">Data!V39+Data!V40+Data!V41+Data!V42+Data!V43+Data!V44+Data!V45+Data!V46+Data!V47+Data!V48+Data!V49+Data!V50</f>
        <v>149743</v>
      </c>
      <c r="R50" s="16" t="n">
        <f aca="false">Data!W39+Data!W40+Data!W41+Data!W42+Data!W43+Data!W44+Data!W45+Data!W46+Data!W47+Data!W48+Data!W49+Data!W50</f>
        <v>153009</v>
      </c>
      <c r="S50" s="16" t="n">
        <f aca="false">Data!X39+Data!X40+Data!X41+Data!X42+Data!X43+Data!X44+Data!X45+Data!X46+Data!X47+Data!X48+Data!X49+Data!X50</f>
        <v>92867</v>
      </c>
      <c r="T50" s="16" t="n">
        <f aca="false">Data!Y39+Data!Z39+Data!AA39+Data!Y40+Data!Z40+Data!AA40+Data!Y41+Data!Z41+Data!AA41+Data!Y42+Data!Z42+Data!AA42+Data!Y43+Data!Z43+Data!AA43+Data!Y44+Data!Z44+Data!AA44+Data!Y45+Data!Z45+Data!AA45+Data!Y46+Data!Z46+Data!AA46+Data!Y47+Data!Z47+Data!AA47+Data!Y48+Data!Z48+Data!AA48+Data!Y49+Data!Z49+Data!AA49+Data!Y50+Data!Z50+Data!AA50</f>
        <v>347280</v>
      </c>
      <c r="U50" s="16" t="n">
        <f aca="false">Data!Y39+Data!Y40+Data!Y41+Data!Y42+Data!Y43+Data!Y44+Data!Y45+Data!Y46+Data!Y47+Data!Y48+Data!Y49+Data!Y50</f>
        <v>233823</v>
      </c>
      <c r="V50" s="16" t="n">
        <f aca="false">Data!Z39+Data!Z40+Data!Z41+Data!Z42+Data!Z43+Data!Z44+Data!Z45+Data!Z46+Data!Z47+Data!Z48+Data!Z49+Data!Z50</f>
        <v>111027</v>
      </c>
      <c r="W50" s="16" t="n">
        <f aca="false">Data!AB39+Data!AB40+Data!AB41+Data!AB42+Data!AB43+Data!AB44+Data!AB45+Data!AB46+Data!AB47+Data!AB48+Data!AB49+Data!AB50</f>
        <v>485342</v>
      </c>
      <c r="X50" s="16" t="n">
        <f aca="false">Data!AC39+Data!AC40+Data!AC41+Data!AC42+Data!AC43+Data!AC44+Data!AC45+Data!AC46+Data!AC47+Data!AC48+Data!AC49+Data!AC50</f>
        <v>167919</v>
      </c>
      <c r="Y50" s="16" t="n">
        <f aca="false">Data!AD39+Data!AE39+Data!AF39+Data!AG39+Data!AH39+Data!AD40+Data!AE40+Data!AF40+Data!AG40+Data!AH40+Data!AD41+Data!AE41+Data!AF41+Data!AG41+Data!AH41+Data!AD42+Data!AE42+Data!AF42+Data!AG42+Data!AH42+Data!AD43+Data!AE43+Data!AF43+Data!AG43+Data!AH43+Data!AD44+Data!AE44+Data!AF44+Data!AG44+Data!AH44+Data!AD45+Data!AE45+Data!AF45+Data!AG45+Data!AH45+Data!AD46+Data!AE46+Data!AF46+Data!AG46+Data!AH46+Data!AD47+Data!AE47+Data!AF47+Data!AG47+Data!AH47+Data!AD48+Data!AE48+Data!AF48+Data!AG48+Data!AH48+Data!AD49+Data!AE49+Data!AF49+Data!AG49+Data!AH49+Data!AD50+Data!AE50+Data!AF50+Data!AG50+Data!AH50</f>
        <v>113150</v>
      </c>
      <c r="Z50" s="16" t="n">
        <f aca="false">Data!AI39+Data!AI40+Data!AI41+Data!AI42+Data!AI43+Data!AI44+Data!AI45+Data!AI46+Data!AI47+Data!AI48+Data!AI49+Data!AI50</f>
        <v>127579</v>
      </c>
      <c r="AA50" s="16" t="n">
        <f aca="false">Data!AJ39+Data!AJ40+Data!AJ41+Data!AJ42+Data!AJ43+Data!AJ44+Data!AJ45+Data!AJ46+Data!AJ47+Data!AJ48+Data!AJ49+Data!AJ50</f>
        <v>-5656</v>
      </c>
      <c r="AB50" s="16" t="n">
        <f aca="false">Data!AK39+Data!AK40+Data!AK41+Data!AK42+Data!AK43+Data!AK44+Data!AK45+Data!AK46+Data!AK47+Data!AK48+Data!AK49+Data!AK50</f>
        <v>54545</v>
      </c>
      <c r="AC50" s="16" t="n">
        <f aca="false">Data!AL39+Data!AL40+Data!AL41+Data!AL42+Data!AL43+Data!AL44+Data!AL45+Data!AL46+Data!AL47+Data!AL48+Data!AL49+Data!AL50</f>
        <v>242273</v>
      </c>
      <c r="AD50" s="15" t="n">
        <f aca="false">Data!AM39+Data!AM40+Data!AM41+Data!AM42+Data!AM43+Data!AM44+Data!AM45+Data!AM46+Data!AM47+Data!AM48+Data!AM49+Data!AM50</f>
        <v>-160265</v>
      </c>
      <c r="AE50" s="16" t="n">
        <f aca="false">Data!AN39+Data!AN40+Data!AN41+Data!AN42+Data!AN43+Data!AN44+Data!AN45+Data!AN46+Data!AN47+Data!AN48+Data!AN49+Data!AN50</f>
        <v>619443</v>
      </c>
      <c r="AF50" s="15" t="n">
        <f aca="false">Data!AO39+Data!AO40+Data!AO41+Data!AO42+Data!AO43+Data!AO44+Data!AO45+Data!AO46+Data!AO47+Data!AO48+Data!AO49+Data!AO50</f>
        <v>-779709</v>
      </c>
    </row>
    <row r="51" customFormat="false" ht="15" hidden="false" customHeight="false" outlineLevel="0" collapsed="false">
      <c r="B51" s="14" t="str">
        <f aca="false">Data!B51</f>
        <v>2019-09</v>
      </c>
      <c r="C51" s="15" t="n">
        <f aca="false">Data!D40+Data!E40+Data!F40+Data!G40+Data!H40+Data!I40+Data!J40+Data!K40+Data!L40+Data!M40+Data!N40+Data!O40+Data!P40+Data!Q40+Data!R40+Data!S40+Data!D41+Data!E41+Data!F41+Data!G41+Data!H41+Data!I41+Data!J41+Data!K41+Data!L41+Data!M41+Data!N41+Data!O41+Data!P41+Data!Q41+Data!R41+Data!S41+Data!D42+Data!E42+Data!F42+Data!G42+Data!H42+Data!I42+Data!J42+Data!K42+Data!L42+Data!M42+Data!N42+Data!O42+Data!P42+Data!Q42+Data!R42+Data!S42+Data!D43+Data!E43+Data!F43+Data!G43+Data!H43+Data!I43+Data!J43+Data!K43+Data!L43+Data!M43+Data!N43+Data!O43+Data!P43+Data!Q43+Data!R43+Data!S43+Data!D44+Data!E44+Data!F44+Data!G44+Data!H44+Data!I44+Data!J44+Data!K44+Data!L44+Data!M44+Data!N44+Data!O44+Data!P44+Data!Q44+Data!R44+Data!S44+Data!D45+Data!E45+Data!F45+Data!G45+Data!H45+Data!I45+Data!J45+Data!K45+Data!L45+Data!M45+Data!N45+Data!O45+Data!P45+Data!Q45+Data!R45+Data!S45+Data!D46+Data!E46+Data!F46+Data!G46+Data!H46+Data!I46+Data!J46+Data!K46+Data!L46+Data!M46+Data!N46+Data!O46+Data!P46+Data!Q46+Data!R46+Data!S46+Data!D47+Data!E47+Data!F47+Data!G47+Data!H47+Data!I47+Data!J47+Data!K47+Data!L47+Data!M47+Data!N47+Data!O47+Data!P47+Data!Q47+Data!R47+Data!S47+Data!D48+Data!E48+Data!F48+Data!G48+Data!H48+Data!I48+Data!J48+Data!K48+Data!L48+Data!M48+Data!N48+Data!O48+Data!P48+Data!Q48+Data!R48+Data!S48+Data!D49+Data!E49+Data!F49+Data!G49+Data!H49+Data!I49+Data!J49+Data!K49+Data!L49+Data!M49+Data!N49+Data!O49+Data!P49+Data!Q49+Data!R49+Data!S49+Data!D50+Data!E50+Data!F50+Data!G50+Data!H50+Data!I50+Data!J50+Data!K50+Data!L50+Data!M50+Data!N50+Data!O50+Data!P50+Data!Q50+Data!R50+Data!S50+Data!D51+Data!E51+Data!F51+Data!G51+Data!H51+Data!I51+Data!J51+Data!K51+Data!L51+Data!M51+Data!N51+Data!O51+Data!P51+Data!Q51+Data!R51+Data!S51</f>
        <v>3547240</v>
      </c>
      <c r="D51" s="16" t="n">
        <f aca="false">Data!D40+Data!E40+Data!G40+Data!H40+Data!I40+Data!J40+Data!K40+Data!L40+Data!M40+Data!D41+Data!E41+Data!G41+Data!H41+Data!I41+Data!J41+Data!K41+Data!L41+Data!M41+Data!D42+Data!E42+Data!G42+Data!H42+Data!I42+Data!J42+Data!K42+Data!L42+Data!M42+Data!D43+Data!E43+Data!G43+Data!H43+Data!I43+Data!J43+Data!K43+Data!L43+Data!M43+Data!D44+Data!E44+Data!G44+Data!H44+Data!I44+Data!J44+Data!K44+Data!L44+Data!M44+Data!D45+Data!E45+Data!G45+Data!H45+Data!I45+Data!J45+Data!K45+Data!L45+Data!M45+Data!D46+Data!E46+Data!G46+Data!H46+Data!I46+Data!J46+Data!K46+Data!L46+Data!M46+Data!D47+Data!E47+Data!G47+Data!H47+Data!I47+Data!J47+Data!K47+Data!L47+Data!M47+Data!D48+Data!E48+Data!G48+Data!H48+Data!I48+Data!J48+Data!K48+Data!L48+Data!M48+Data!D49+Data!E49+Data!G49+Data!H49+Data!I49+Data!J49+Data!K49+Data!L49+Data!M49+Data!D50+Data!E50+Data!G50+Data!H50+Data!I50+Data!J50+Data!K50+Data!L50+Data!M50+Data!D51+Data!E51+Data!G51+Data!H51+Data!I51+Data!J51+Data!K51+Data!L51+Data!M51</f>
        <v>1952953</v>
      </c>
      <c r="E51" s="16" t="n">
        <f aca="false">Data!D40+Data!D41+Data!D42+Data!D43+Data!D44+Data!D45+Data!D46+Data!D47+Data!D48+Data!D49+Data!D50+Data!D51</f>
        <v>637752</v>
      </c>
      <c r="F51" s="16" t="n">
        <f aca="false">Data!E40+Data!E41+Data!E42+Data!E43+Data!E44+Data!E45+Data!E46+Data!E47+Data!E48+Data!E49+Data!E50+Data!E51</f>
        <v>343565</v>
      </c>
      <c r="G51" s="16" t="n">
        <f aca="false">Data!K40+Data!K41+Data!K42+Data!K43+Data!K44+Data!K45+Data!K46+Data!K47+Data!K48+Data!K49+Data!K50+Data!K51</f>
        <v>281090</v>
      </c>
      <c r="H51" s="16" t="n">
        <f aca="false">Data!L40+Data!L41+Data!L42+Data!L43+Data!L44+Data!L45+Data!L46+Data!L47+Data!L48+Data!L49+Data!L50+Data!L51</f>
        <v>119318</v>
      </c>
      <c r="I51" s="16" t="n">
        <f aca="false">Data!G40+Data!G41+Data!G42+Data!G43+Data!G44+Data!G45+Data!G46+Data!G47+Data!G48+Data!G49+Data!G50+Data!G51</f>
        <v>306471</v>
      </c>
      <c r="J51" s="16" t="n">
        <f aca="false">Data!H40+Data!I40+Data!J40+Data!M40+Data!H41+Data!I41+Data!J41+Data!M41+Data!H42+Data!I42+Data!J42+Data!M42+Data!H43+Data!I43+Data!J43+Data!M43+Data!H44+Data!I44+Data!J44+Data!M44+Data!H45+Data!I45+Data!J45+Data!M45+Data!H46+Data!I46+Data!J46+Data!M46+Data!H47+Data!I47+Data!J47+Data!M47+Data!H48+Data!I48+Data!J48+Data!M48+Data!H49+Data!I49+Data!J49+Data!M49+Data!H50+Data!I50+Data!J50+Data!M50+Data!H51+Data!I51+Data!J51+Data!M51</f>
        <v>264757</v>
      </c>
      <c r="K51" s="16" t="n">
        <f aca="false">Data!F40+Data!F41+Data!F42+Data!F43+Data!F44+Data!F45+Data!F46+Data!F47+Data!F48+Data!F49+Data!F50+Data!F51</f>
        <v>1130459</v>
      </c>
      <c r="L51" s="16" t="n">
        <f aca="false">Data!N40+Data!O40+Data!P40+Data!Q40+Data!R40+Data!S40+Data!N41+Data!O41+Data!P41+Data!Q41+Data!R41+Data!S41+Data!N42+Data!O42+Data!P42+Data!Q42+Data!R42+Data!S42+Data!N43+Data!O43+Data!P43+Data!Q43+Data!R43+Data!S43+Data!N44+Data!O44+Data!P44+Data!Q44+Data!R44+Data!S44+Data!N45+Data!O45+Data!P45+Data!Q45+Data!R45+Data!S45+Data!N46+Data!O46+Data!P46+Data!Q46+Data!R46+Data!S46+Data!N47+Data!O47+Data!P47+Data!Q47+Data!R47+Data!S47+Data!N48+Data!O48+Data!P48+Data!Q48+Data!R48+Data!S48+Data!N49+Data!O49+Data!P49+Data!Q49+Data!R49+Data!S49+Data!N50+Data!O50+Data!P50+Data!Q50+Data!R50+Data!S50+Data!N51+Data!O51+Data!P51+Data!Q51+Data!R51+Data!S51</f>
        <v>463828</v>
      </c>
      <c r="M51" s="15" t="n">
        <f aca="false">Data!T40+Data!U40+Data!V40+Data!W40+Data!X40+Data!Y40+Data!Z40+Data!AA40+Data!AB40+Data!AC40+Data!AD40+Data!AE40+Data!AF40+Data!AG40+Data!AH40+Data!AI40+Data!AJ40+Data!AK40+Data!AL40+Data!T41+Data!U41+Data!V41+Data!W41+Data!X41+Data!Y41+Data!Z41+Data!AA41+Data!AB41+Data!AC41+Data!AD41+Data!AE41+Data!AF41+Data!AG41+Data!AH41+Data!AI41+Data!AJ41+Data!AK41+Data!AL41+Data!T42+Data!U42+Data!V42+Data!W42+Data!X42+Data!Y42+Data!Z42+Data!AA42+Data!AB42+Data!AC42+Data!AD42+Data!AE42+Data!AF42+Data!AG42+Data!AH42+Data!AI42+Data!AJ42+Data!AK42+Data!AL42+Data!T43+Data!U43+Data!V43+Data!W43+Data!X43+Data!Y43+Data!Z43+Data!AA43+Data!AB43+Data!AC43+Data!AD43+Data!AE43+Data!AF43+Data!AG43+Data!AH43+Data!AI43+Data!AJ43+Data!AK43+Data!AL43+Data!T44+Data!U44+Data!V44+Data!W44+Data!X44+Data!Y44+Data!Z44+Data!AA44+Data!AB44+Data!AC44+Data!AD44+Data!AE44+Data!AF44+Data!AG44+Data!AH44+Data!AI44+Data!AJ44+Data!AK44+Data!AL44+Data!T45+Data!U45+Data!V45+Data!W45+Data!X45+Data!Y45+Data!Z45+Data!AA45+Data!AB45+Data!AC45+Data!AD45+Data!AE45+Data!AF45+Data!AG45+Data!AH45+Data!AI45+Data!AJ45+Data!AK45+Data!AL45+Data!T46+Data!U46+Data!V46+Data!W46+Data!X46+Data!Y46+Data!Z46+Data!AA46+Data!AB46+Data!AC46+Data!AD46+Data!AE46+Data!AF46+Data!AG46+Data!AH46+Data!AI46+Data!AJ46+Data!AK46+Data!AL46+Data!T47+Data!U47+Data!V47+Data!W47+Data!X47+Data!Y47+Data!Z47+Data!AA47+Data!AB47+Data!AC47+Data!AD47+Data!AE47+Data!AF47+Data!AG47+Data!AH47+Data!AI47+Data!AJ47+Data!AK47+Data!AL47+Data!T48+Data!U48+Data!V48+Data!W48+Data!X48+Data!Y48+Data!Z48+Data!AA48+Data!AB48+Data!AC48+Data!AD48+Data!AE48+Data!AF48+Data!AG48+Data!AH48+Data!AI48+Data!AJ48+Data!AK48+Data!AL48+Data!T49+Data!U49+Data!V49+Data!W49+Data!X49+Data!Y49+Data!Z49+Data!AA49+Data!AB49+Data!AC49+Data!AD49+Data!AE49+Data!AF49+Data!AG49+Data!AH49+Data!AI49+Data!AJ49+Data!AK49+Data!AL49+Data!T50+Data!U50+Data!V50+Data!W50+Data!X50+Data!Y50+Data!Z50+Data!AA50+Data!AB50+Data!AC50+Data!AD50+Data!AE50+Data!AF50+Data!AG50+Data!AH50+Data!AI50+Data!AJ50+Data!AK50+Data!AL50+Data!T51+Data!U51+Data!V51+Data!W51+Data!X51+Data!Y51+Data!Z51+Data!AA51+Data!AB51+Data!AC51+Data!AD51+Data!AE51+Data!AF51+Data!AG51+Data!AH51+Data!AI51+Data!AJ51+Data!AK51+Data!AL51</f>
        <v>3710019</v>
      </c>
      <c r="N51" s="16" t="n">
        <f aca="false">Data!T40+Data!U40+Data!V40+Data!W40+Data!T41+Data!U41+Data!V41+Data!W41+Data!T42+Data!U42+Data!V42+Data!W42+Data!T43+Data!U43+Data!V43+Data!W43+Data!T44+Data!U44+Data!V44+Data!W44+Data!T45+Data!U45+Data!V45+Data!W45+Data!T46+Data!U46+Data!V46+Data!W46+Data!T47+Data!U47+Data!V47+Data!W47+Data!T48+Data!U48+Data!V48+Data!W48+Data!T49+Data!U49+Data!V49+Data!W49+Data!T50+Data!U50+Data!V50+Data!W50+Data!T51+Data!U51+Data!V51+Data!W51</f>
        <v>2047781</v>
      </c>
      <c r="O51" s="16" t="n">
        <f aca="false">Data!T40+Data!T41+Data!T42+Data!T43+Data!T44+Data!T45+Data!T46+Data!T47+Data!T48+Data!T49+Data!T50+Data!T51</f>
        <v>1498964</v>
      </c>
      <c r="P51" s="16" t="n">
        <f aca="false">Data!U40+Data!U41+Data!U42+Data!U43+Data!U44+Data!U45+Data!U46+Data!U47+Data!U48+Data!U49+Data!U50+Data!U51</f>
        <v>236853</v>
      </c>
      <c r="Q51" s="16" t="n">
        <f aca="false">Data!V40+Data!V41+Data!V42+Data!V43+Data!V44+Data!V45+Data!V46+Data!V47+Data!V48+Data!V49+Data!V50+Data!V51</f>
        <v>155748</v>
      </c>
      <c r="R51" s="16" t="n">
        <f aca="false">Data!W40+Data!W41+Data!W42+Data!W43+Data!W44+Data!W45+Data!W46+Data!W47+Data!W48+Data!W49+Data!W50+Data!W51</f>
        <v>156216</v>
      </c>
      <c r="S51" s="16" t="n">
        <f aca="false">Data!X40+Data!X41+Data!X42+Data!X43+Data!X44+Data!X45+Data!X46+Data!X47+Data!X48+Data!X49+Data!X50+Data!X51</f>
        <v>99529</v>
      </c>
      <c r="T51" s="16" t="n">
        <f aca="false">Data!Y40+Data!Z40+Data!AA40+Data!Y41+Data!Z41+Data!AA41+Data!Y42+Data!Z42+Data!AA42+Data!Y43+Data!Z43+Data!AA43+Data!Y44+Data!Z44+Data!AA44+Data!Y45+Data!Z45+Data!AA45+Data!Y46+Data!Z46+Data!AA46+Data!Y47+Data!Z47+Data!AA47+Data!Y48+Data!Z48+Data!AA48+Data!Y49+Data!Z49+Data!AA49+Data!Y50+Data!Z50+Data!AA50+Data!Y51+Data!Z51+Data!AA51</f>
        <v>346448</v>
      </c>
      <c r="U51" s="16" t="n">
        <f aca="false">Data!Y40+Data!Y41+Data!Y42+Data!Y43+Data!Y44+Data!Y45+Data!Y46+Data!Y47+Data!Y48+Data!Y49+Data!Y50+Data!Y51</f>
        <v>230695</v>
      </c>
      <c r="V51" s="16" t="n">
        <f aca="false">Data!Z40+Data!Z41+Data!Z42+Data!Z43+Data!Z44+Data!Z45+Data!Z46+Data!Z47+Data!Z48+Data!Z49+Data!Z50+Data!Z51</f>
        <v>112918</v>
      </c>
      <c r="W51" s="16" t="n">
        <f aca="false">Data!AB40+Data!AB41+Data!AB42+Data!AB43+Data!AB44+Data!AB45+Data!AB46+Data!AB47+Data!AB48+Data!AB49+Data!AB50+Data!AB51</f>
        <v>497819</v>
      </c>
      <c r="X51" s="16" t="n">
        <f aca="false">Data!AC40+Data!AC41+Data!AC42+Data!AC43+Data!AC44+Data!AC45+Data!AC46+Data!AC47+Data!AC48+Data!AC49+Data!AC50+Data!AC51</f>
        <v>172640</v>
      </c>
      <c r="Y51" s="16" t="n">
        <f aca="false">Data!AD40+Data!AE40+Data!AF40+Data!AG40+Data!AH40+Data!AD41+Data!AE41+Data!AF41+Data!AG41+Data!AH41+Data!AD42+Data!AE42+Data!AF42+Data!AG42+Data!AH42+Data!AD43+Data!AE43+Data!AF43+Data!AG43+Data!AH43+Data!AD44+Data!AE44+Data!AF44+Data!AG44+Data!AH44+Data!AD45+Data!AE45+Data!AF45+Data!AG45+Data!AH45+Data!AD46+Data!AE46+Data!AF46+Data!AG46+Data!AH46+Data!AD47+Data!AE47+Data!AF47+Data!AG47+Data!AH47+Data!AD48+Data!AE48+Data!AF48+Data!AG48+Data!AH48+Data!AD49+Data!AE49+Data!AF49+Data!AG49+Data!AH49+Data!AD50+Data!AE50+Data!AF50+Data!AG50+Data!AH50+Data!AD51+Data!AE51+Data!AF51+Data!AG51+Data!AH51</f>
        <v>114883</v>
      </c>
      <c r="Z51" s="16" t="n">
        <f aca="false">Data!AI40+Data!AI41+Data!AI42+Data!AI43+Data!AI44+Data!AI45+Data!AI46+Data!AI47+Data!AI48+Data!AI49+Data!AI50+Data!AI51</f>
        <v>130202</v>
      </c>
      <c r="AA51" s="16" t="n">
        <f aca="false">Data!AJ40+Data!AJ41+Data!AJ42+Data!AJ43+Data!AJ44+Data!AJ45+Data!AJ46+Data!AJ47+Data!AJ48+Data!AJ49+Data!AJ50+Data!AJ51</f>
        <v>-6471</v>
      </c>
      <c r="AB51" s="16" t="n">
        <f aca="false">Data!AK40+Data!AK41+Data!AK42+Data!AK43+Data!AK44+Data!AK45+Data!AK46+Data!AK47+Data!AK48+Data!AK49+Data!AK50+Data!AK51</f>
        <v>57532</v>
      </c>
      <c r="AC51" s="16" t="n">
        <f aca="false">Data!AL40+Data!AL41+Data!AL42+Data!AL43+Data!AL44+Data!AL45+Data!AL46+Data!AL47+Data!AL48+Data!AL49+Data!AL50+Data!AL51</f>
        <v>249656</v>
      </c>
      <c r="AD51" s="15" t="n">
        <f aca="false">Data!AM40+Data!AM41+Data!AM42+Data!AM43+Data!AM44+Data!AM45+Data!AM46+Data!AM47+Data!AM48+Data!AM49+Data!AM50+Data!AM51</f>
        <v>-162779</v>
      </c>
      <c r="AE51" s="16" t="n">
        <f aca="false">Data!AN40+Data!AN41+Data!AN42+Data!AN43+Data!AN44+Data!AN45+Data!AN46+Data!AN47+Data!AN48+Data!AN49+Data!AN50+Data!AN51</f>
        <v>637295</v>
      </c>
      <c r="AF51" s="15" t="n">
        <f aca="false">Data!AO40+Data!AO41+Data!AO42+Data!AO43+Data!AO44+Data!AO45+Data!AO46+Data!AO47+Data!AO48+Data!AO49+Data!AO50+Data!AO51</f>
        <v>-800075</v>
      </c>
    </row>
    <row r="52" customFormat="false" ht="15" hidden="false" customHeight="false" outlineLevel="0" collapsed="false">
      <c r="B52" s="14" t="str">
        <f aca="false">Data!B52</f>
        <v>2019-10</v>
      </c>
      <c r="C52" s="15" t="n">
        <f aca="false">Data!D41+Data!E41+Data!F41+Data!G41+Data!H41+Data!I41+Data!J41+Data!K41+Data!L41+Data!M41+Data!N41+Data!O41+Data!P41+Data!Q41+Data!R41+Data!S41+Data!D42+Data!E42+Data!F42+Data!G42+Data!H42+Data!I42+Data!J42+Data!K42+Data!L42+Data!M42+Data!N42+Data!O42+Data!P42+Data!Q42+Data!R42+Data!S42+Data!D43+Data!E43+Data!F43+Data!G43+Data!H43+Data!I43+Data!J43+Data!K43+Data!L43+Data!M43+Data!N43+Data!O43+Data!P43+Data!Q43+Data!R43+Data!S43+Data!D44+Data!E44+Data!F44+Data!G44+Data!H44+Data!I44+Data!J44+Data!K44+Data!L44+Data!M44+Data!N44+Data!O44+Data!P44+Data!Q44+Data!R44+Data!S44+Data!D45+Data!E45+Data!F45+Data!G45+Data!H45+Data!I45+Data!J45+Data!K45+Data!L45+Data!M45+Data!N45+Data!O45+Data!P45+Data!Q45+Data!R45+Data!S45+Data!D46+Data!E46+Data!F46+Data!G46+Data!H46+Data!I46+Data!J46+Data!K46+Data!L46+Data!M46+Data!N46+Data!O46+Data!P46+Data!Q46+Data!R46+Data!S46+Data!D47+Data!E47+Data!F47+Data!G47+Data!H47+Data!I47+Data!J47+Data!K47+Data!L47+Data!M47+Data!N47+Data!O47+Data!P47+Data!Q47+Data!R47+Data!S47+Data!D48+Data!E48+Data!F48+Data!G48+Data!H48+Data!I48+Data!J48+Data!K48+Data!L48+Data!M48+Data!N48+Data!O48+Data!P48+Data!Q48+Data!R48+Data!S48+Data!D49+Data!E49+Data!F49+Data!G49+Data!H49+Data!I49+Data!J49+Data!K49+Data!L49+Data!M49+Data!N49+Data!O49+Data!P49+Data!Q49+Data!R49+Data!S49+Data!D50+Data!E50+Data!F50+Data!G50+Data!H50+Data!I50+Data!J50+Data!K50+Data!L50+Data!M50+Data!N50+Data!O50+Data!P50+Data!Q50+Data!R50+Data!S50+Data!D51+Data!E51+Data!F51+Data!G51+Data!H51+Data!I51+Data!J51+Data!K51+Data!L51+Data!M51+Data!N51+Data!O51+Data!P51+Data!Q51+Data!R51+Data!S51+Data!D52+Data!E52+Data!F52+Data!G52+Data!H52+Data!I52+Data!J52+Data!K52+Data!L52+Data!M52+Data!N52+Data!O52+Data!P52+Data!Q52+Data!R52+Data!S52</f>
        <v>3656160</v>
      </c>
      <c r="D52" s="16" t="n">
        <f aca="false">Data!D41+Data!E41+Data!G41+Data!H41+Data!I41+Data!J41+Data!K41+Data!L41+Data!M41+Data!D42+Data!E42+Data!G42+Data!H42+Data!I42+Data!J42+Data!K42+Data!L42+Data!M42+Data!D43+Data!E43+Data!G43+Data!H43+Data!I43+Data!J43+Data!K43+Data!L43+Data!M43+Data!D44+Data!E44+Data!G44+Data!H44+Data!I44+Data!J44+Data!K44+Data!L44+Data!M44+Data!D45+Data!E45+Data!G45+Data!H45+Data!I45+Data!J45+Data!K45+Data!L45+Data!M45+Data!D46+Data!E46+Data!G46+Data!H46+Data!I46+Data!J46+Data!K46+Data!L46+Data!M46+Data!D47+Data!E47+Data!G47+Data!H47+Data!I47+Data!J47+Data!K47+Data!L47+Data!M47+Data!D48+Data!E48+Data!G48+Data!H48+Data!I48+Data!J48+Data!K48+Data!L48+Data!M48+Data!D49+Data!E49+Data!G49+Data!H49+Data!I49+Data!J49+Data!K49+Data!L49+Data!M49+Data!D50+Data!E50+Data!G50+Data!H50+Data!I50+Data!J50+Data!K50+Data!L50+Data!M50+Data!D51+Data!E51+Data!G51+Data!H51+Data!I51+Data!J51+Data!K51+Data!L51+Data!M51+Data!D52+Data!E52+Data!G52+Data!H52+Data!I52+Data!J52+Data!K52+Data!L52+Data!M52</f>
        <v>2019576</v>
      </c>
      <c r="E52" s="16" t="n">
        <f aca="false">Data!D41+Data!D42+Data!D43+Data!D44+Data!D45+Data!D46+Data!D47+Data!D48+Data!D49+Data!D50+Data!D51+Data!D52</f>
        <v>653464</v>
      </c>
      <c r="F52" s="16" t="n">
        <f aca="false">Data!E41+Data!E42+Data!E43+Data!E44+Data!E45+Data!E46+Data!E47+Data!E48+Data!E49+Data!E50+Data!E51+Data!E52</f>
        <v>342890</v>
      </c>
      <c r="G52" s="16" t="n">
        <f aca="false">Data!K41+Data!K42+Data!K43+Data!K44+Data!K45+Data!K46+Data!K47+Data!K48+Data!K49+Data!K50+Data!K51+Data!K52</f>
        <v>305173</v>
      </c>
      <c r="H52" s="16" t="n">
        <f aca="false">Data!L41+Data!L42+Data!L43+Data!L44+Data!L45+Data!L46+Data!L47+Data!L48+Data!L49+Data!L50+Data!L51+Data!L52</f>
        <v>122302</v>
      </c>
      <c r="I52" s="16" t="n">
        <f aca="false">Data!G41+Data!G42+Data!G43+Data!G44+Data!G45+Data!G46+Data!G47+Data!G48+Data!G49+Data!G50+Data!G51+Data!G52</f>
        <v>318688</v>
      </c>
      <c r="J52" s="16" t="n">
        <f aca="false">Data!H41+Data!I41+Data!J41+Data!M41+Data!H42+Data!I42+Data!J42+Data!M42+Data!H43+Data!I43+Data!J43+Data!M43+Data!H44+Data!I44+Data!J44+Data!M44+Data!H45+Data!I45+Data!J45+Data!M45+Data!H46+Data!I46+Data!J46+Data!M46+Data!H47+Data!I47+Data!J47+Data!M47+Data!H48+Data!I48+Data!J48+Data!M48+Data!H49+Data!I49+Data!J49+Data!M49+Data!H50+Data!I50+Data!J50+Data!M50+Data!H51+Data!I51+Data!J51+Data!M51+Data!H52+Data!I52+Data!J52+Data!M52</f>
        <v>277059</v>
      </c>
      <c r="K52" s="16" t="n">
        <f aca="false">Data!F41+Data!F42+Data!F43+Data!F44+Data!F45+Data!F46+Data!F47+Data!F48+Data!F49+Data!F50+Data!F51+Data!F52</f>
        <v>1154706</v>
      </c>
      <c r="L52" s="16" t="n">
        <f aca="false">Data!N41+Data!O41+Data!P41+Data!Q41+Data!R41+Data!S41+Data!N42+Data!O42+Data!P42+Data!Q42+Data!R42+Data!S42+Data!N43+Data!O43+Data!P43+Data!Q43+Data!R43+Data!S43+Data!N44+Data!O44+Data!P44+Data!Q44+Data!R44+Data!S44+Data!N45+Data!O45+Data!P45+Data!Q45+Data!R45+Data!S45+Data!N46+Data!O46+Data!P46+Data!Q46+Data!R46+Data!S46+Data!N47+Data!O47+Data!P47+Data!Q47+Data!R47+Data!S47+Data!N48+Data!O48+Data!P48+Data!Q48+Data!R48+Data!S48+Data!N49+Data!O49+Data!P49+Data!Q49+Data!R49+Data!S49+Data!N50+Data!O50+Data!P50+Data!Q50+Data!R50+Data!S50+Data!N51+Data!O51+Data!P51+Data!Q51+Data!R51+Data!S51+Data!N52+Data!O52+Data!P52+Data!Q52+Data!R52+Data!S52</f>
        <v>481878</v>
      </c>
      <c r="M52" s="15" t="n">
        <f aca="false">Data!T41+Data!U41+Data!V41+Data!W41+Data!X41+Data!Y41+Data!Z41+Data!AA41+Data!AB41+Data!AC41+Data!AD41+Data!AE41+Data!AF41+Data!AG41+Data!AH41+Data!AI41+Data!AJ41+Data!AK41+Data!AL41+Data!T42+Data!U42+Data!V42+Data!W42+Data!X42+Data!Y42+Data!Z42+Data!AA42+Data!AB42+Data!AC42+Data!AD42+Data!AE42+Data!AF42+Data!AG42+Data!AH42+Data!AI42+Data!AJ42+Data!AK42+Data!AL42+Data!T43+Data!U43+Data!V43+Data!W43+Data!X43+Data!Y43+Data!Z43+Data!AA43+Data!AB43+Data!AC43+Data!AD43+Data!AE43+Data!AF43+Data!AG43+Data!AH43+Data!AI43+Data!AJ43+Data!AK43+Data!AL43+Data!T44+Data!U44+Data!V44+Data!W44+Data!X44+Data!Y44+Data!Z44+Data!AA44+Data!AB44+Data!AC44+Data!AD44+Data!AE44+Data!AF44+Data!AG44+Data!AH44+Data!AI44+Data!AJ44+Data!AK44+Data!AL44+Data!T45+Data!U45+Data!V45+Data!W45+Data!X45+Data!Y45+Data!Z45+Data!AA45+Data!AB45+Data!AC45+Data!AD45+Data!AE45+Data!AF45+Data!AG45+Data!AH45+Data!AI45+Data!AJ45+Data!AK45+Data!AL45+Data!T46+Data!U46+Data!V46+Data!W46+Data!X46+Data!Y46+Data!Z46+Data!AA46+Data!AB46+Data!AC46+Data!AD46+Data!AE46+Data!AF46+Data!AG46+Data!AH46+Data!AI46+Data!AJ46+Data!AK46+Data!AL46+Data!T47+Data!U47+Data!V47+Data!W47+Data!X47+Data!Y47+Data!Z47+Data!AA47+Data!AB47+Data!AC47+Data!AD47+Data!AE47+Data!AF47+Data!AG47+Data!AH47+Data!AI47+Data!AJ47+Data!AK47+Data!AL47+Data!T48+Data!U48+Data!V48+Data!W48+Data!X48+Data!Y48+Data!Z48+Data!AA48+Data!AB48+Data!AC48+Data!AD48+Data!AE48+Data!AF48+Data!AG48+Data!AH48+Data!AI48+Data!AJ48+Data!AK48+Data!AL48+Data!T49+Data!U49+Data!V49+Data!W49+Data!X49+Data!Y49+Data!Z49+Data!AA49+Data!AB49+Data!AC49+Data!AD49+Data!AE49+Data!AF49+Data!AG49+Data!AH49+Data!AI49+Data!AJ49+Data!AK49+Data!AL49+Data!T50+Data!U50+Data!V50+Data!W50+Data!X50+Data!Y50+Data!Z50+Data!AA50+Data!AB50+Data!AC50+Data!AD50+Data!AE50+Data!AF50+Data!AG50+Data!AH50+Data!AI50+Data!AJ50+Data!AK50+Data!AL50+Data!T51+Data!U51+Data!V51+Data!W51+Data!X51+Data!Y51+Data!Z51+Data!AA51+Data!AB51+Data!AC51+Data!AD51+Data!AE51+Data!AF51+Data!AG51+Data!AH51+Data!AI51+Data!AJ51+Data!AK51+Data!AL51+Data!T52+Data!U52+Data!V52+Data!W52+Data!X52+Data!Y52+Data!Z52+Data!AA52+Data!AB52+Data!AC52+Data!AD52+Data!AE52+Data!AF52+Data!AG52+Data!AH52+Data!AI52+Data!AJ52+Data!AK52+Data!AL52</f>
        <v>3793826</v>
      </c>
      <c r="N52" s="16" t="n">
        <f aca="false">Data!T41+Data!U41+Data!V41+Data!W41+Data!T42+Data!U42+Data!V42+Data!W42+Data!T43+Data!U43+Data!V43+Data!W43+Data!T44+Data!U44+Data!V44+Data!W44+Data!T45+Data!U45+Data!V45+Data!W45+Data!T46+Data!U46+Data!V46+Data!W46+Data!T47+Data!U47+Data!V47+Data!W47+Data!T48+Data!U48+Data!V48+Data!W48+Data!T49+Data!U49+Data!V49+Data!W49+Data!T50+Data!U50+Data!V50+Data!W50+Data!T51+Data!U51+Data!V51+Data!W51+Data!T52+Data!U52+Data!V52+Data!W52</f>
        <v>2112263</v>
      </c>
      <c r="O52" s="16" t="n">
        <f aca="false">Data!T41+Data!T42+Data!T43+Data!T44+Data!T45+Data!T46+Data!T47+Data!T48+Data!T49+Data!T50+Data!T51+Data!T52</f>
        <v>1542661</v>
      </c>
      <c r="P52" s="16" t="n">
        <f aca="false">Data!U41+Data!U42+Data!U43+Data!U44+Data!U45+Data!U46+Data!U47+Data!U48+Data!U49+Data!U50+Data!U51+Data!U52</f>
        <v>248458</v>
      </c>
      <c r="Q52" s="16" t="n">
        <f aca="false">Data!V41+Data!V42+Data!V43+Data!V44+Data!V45+Data!V46+Data!V47+Data!V48+Data!V49+Data!V50+Data!V51+Data!V52</f>
        <v>160574</v>
      </c>
      <c r="R52" s="16" t="n">
        <f aca="false">Data!W41+Data!W42+Data!W43+Data!W44+Data!W45+Data!W46+Data!W47+Data!W48+Data!W49+Data!W50+Data!W51+Data!W52</f>
        <v>160570</v>
      </c>
      <c r="S52" s="16" t="n">
        <f aca="false">Data!X41+Data!X42+Data!X43+Data!X44+Data!X45+Data!X46+Data!X47+Data!X48+Data!X49+Data!X50+Data!X51+Data!X52</f>
        <v>107889</v>
      </c>
      <c r="T52" s="16" t="n">
        <f aca="false">Data!Y41+Data!Z41+Data!AA41+Data!Y42+Data!Z42+Data!AA42+Data!Y43+Data!Z43+Data!AA43+Data!Y44+Data!Z44+Data!AA44+Data!Y45+Data!Z45+Data!AA45+Data!Y46+Data!Z46+Data!AA46+Data!Y47+Data!Z47+Data!AA47+Data!Y48+Data!Z48+Data!AA48+Data!Y49+Data!Z49+Data!AA49+Data!Y50+Data!Z50+Data!AA50+Data!Y51+Data!Z51+Data!AA51+Data!Y52+Data!Z52+Data!AA52</f>
        <v>343275</v>
      </c>
      <c r="U52" s="16" t="n">
        <f aca="false">Data!Y41+Data!Y42+Data!Y43+Data!Y44+Data!Y45+Data!Y46+Data!Y47+Data!Y48+Data!Y49+Data!Y50+Data!Y51+Data!Y52</f>
        <v>225763</v>
      </c>
      <c r="V52" s="16" t="n">
        <f aca="false">Data!Z41+Data!Z42+Data!Z43+Data!Z44+Data!Z45+Data!Z46+Data!Z47+Data!Z48+Data!Z49+Data!Z50+Data!Z51+Data!Z52</f>
        <v>114497</v>
      </c>
      <c r="W52" s="16" t="n">
        <f aca="false">Data!AB41+Data!AB42+Data!AB43+Data!AB44+Data!AB45+Data!AB46+Data!AB47+Data!AB48+Data!AB49+Data!AB50+Data!AB51+Data!AB52</f>
        <v>509394</v>
      </c>
      <c r="X52" s="16" t="n">
        <f aca="false">Data!AC41+Data!AC42+Data!AC43+Data!AC44+Data!AC45+Data!AC46+Data!AC47+Data!AC48+Data!AC49+Data!AC50+Data!AC51+Data!AC52</f>
        <v>174332</v>
      </c>
      <c r="Y52" s="16" t="n">
        <f aca="false">Data!AD41+Data!AE41+Data!AF41+Data!AG41+Data!AH41+Data!AD42+Data!AE42+Data!AF42+Data!AG42+Data!AH42+Data!AD43+Data!AE43+Data!AF43+Data!AG43+Data!AH43+Data!AD44+Data!AE44+Data!AF44+Data!AG44+Data!AH44+Data!AD45+Data!AE45+Data!AF45+Data!AG45+Data!AH45+Data!AD46+Data!AE46+Data!AF46+Data!AG46+Data!AH46+Data!AD47+Data!AE47+Data!AF47+Data!AG47+Data!AH47+Data!AD48+Data!AE48+Data!AF48+Data!AG48+Data!AH48+Data!AD49+Data!AE49+Data!AF49+Data!AG49+Data!AH49+Data!AD50+Data!AE50+Data!AF50+Data!AG50+Data!AH50+Data!AD51+Data!AE51+Data!AF51+Data!AG51+Data!AH51+Data!AD52+Data!AE52+Data!AF52+Data!AG52+Data!AH52</f>
        <v>118099</v>
      </c>
      <c r="Z52" s="16" t="n">
        <f aca="false">Data!AI41+Data!AI42+Data!AI43+Data!AI44+Data!AI45+Data!AI46+Data!AI47+Data!AI48+Data!AI49+Data!AI50+Data!AI51+Data!AI52</f>
        <v>133184</v>
      </c>
      <c r="AA52" s="16" t="n">
        <f aca="false">Data!AJ41+Data!AJ42+Data!AJ43+Data!AJ44+Data!AJ45+Data!AJ46+Data!AJ47+Data!AJ48+Data!AJ49+Data!AJ50+Data!AJ51+Data!AJ52</f>
        <v>-4594</v>
      </c>
      <c r="AB52" s="16" t="n">
        <f aca="false">Data!AK41+Data!AK42+Data!AK43+Data!AK44+Data!AK45+Data!AK46+Data!AK47+Data!AK48+Data!AK49+Data!AK50+Data!AK51+Data!AK52</f>
        <v>54929</v>
      </c>
      <c r="AC52" s="16" t="n">
        <f aca="false">Data!AL41+Data!AL42+Data!AL43+Data!AL44+Data!AL45+Data!AL46+Data!AL47+Data!AL48+Data!AL49+Data!AL50+Data!AL51+Data!AL52</f>
        <v>245055</v>
      </c>
      <c r="AD52" s="15" t="n">
        <f aca="false">Data!AM41+Data!AM42+Data!AM43+Data!AM44+Data!AM45+Data!AM46+Data!AM47+Data!AM48+Data!AM49+Data!AM50+Data!AM51+Data!AM52</f>
        <v>-137666</v>
      </c>
      <c r="AE52" s="16" t="n">
        <f aca="false">Data!AN41+Data!AN42+Data!AN43+Data!AN44+Data!AN45+Data!AN46+Data!AN47+Data!AN48+Data!AN49+Data!AN50+Data!AN51+Data!AN52</f>
        <v>648328</v>
      </c>
      <c r="AF52" s="15" t="n">
        <f aca="false">Data!AO41+Data!AO42+Data!AO43+Data!AO44+Data!AO45+Data!AO46+Data!AO47+Data!AO48+Data!AO49+Data!AO50+Data!AO51+Data!AO52</f>
        <v>-785995</v>
      </c>
    </row>
    <row r="53" customFormat="false" ht="15" hidden="false" customHeight="false" outlineLevel="0" collapsed="false">
      <c r="B53" s="14" t="str">
        <f aca="false">Data!B53</f>
        <v>2019-11</v>
      </c>
      <c r="C53" s="15" t="n">
        <f aca="false">Data!D42+Data!E42+Data!F42+Data!G42+Data!H42+Data!I42+Data!J42+Data!K42+Data!L42+Data!M42+Data!N42+Data!O42+Data!P42+Data!Q42+Data!R42+Data!S42+Data!D43+Data!E43+Data!F43+Data!G43+Data!H43+Data!I43+Data!J43+Data!K43+Data!L43+Data!M43+Data!N43+Data!O43+Data!P43+Data!Q43+Data!R43+Data!S43+Data!D44+Data!E44+Data!F44+Data!G44+Data!H44+Data!I44+Data!J44+Data!K44+Data!L44+Data!M44+Data!N44+Data!O44+Data!P44+Data!Q44+Data!R44+Data!S44+Data!D45+Data!E45+Data!F45+Data!G45+Data!H45+Data!I45+Data!J45+Data!K45+Data!L45+Data!M45+Data!N45+Data!O45+Data!P45+Data!Q45+Data!R45+Data!S45+Data!D46+Data!E46+Data!F46+Data!G46+Data!H46+Data!I46+Data!J46+Data!K46+Data!L46+Data!M46+Data!N46+Data!O46+Data!P46+Data!Q46+Data!R46+Data!S46+Data!D47+Data!E47+Data!F47+Data!G47+Data!H47+Data!I47+Data!J47+Data!K47+Data!L47+Data!M47+Data!N47+Data!O47+Data!P47+Data!Q47+Data!R47+Data!S47+Data!D48+Data!E48+Data!F48+Data!G48+Data!H48+Data!I48+Data!J48+Data!K48+Data!L48+Data!M48+Data!N48+Data!O48+Data!P48+Data!Q48+Data!R48+Data!S48+Data!D49+Data!E49+Data!F49+Data!G49+Data!H49+Data!I49+Data!J49+Data!K49+Data!L49+Data!M49+Data!N49+Data!O49+Data!P49+Data!Q49+Data!R49+Data!S49+Data!D50+Data!E50+Data!F50+Data!G50+Data!H50+Data!I50+Data!J50+Data!K50+Data!L50+Data!M50+Data!N50+Data!O50+Data!P50+Data!Q50+Data!R50+Data!S50+Data!D51+Data!E51+Data!F51+Data!G51+Data!H51+Data!I51+Data!J51+Data!K51+Data!L51+Data!M51+Data!N51+Data!O51+Data!P51+Data!Q51+Data!R51+Data!S51+Data!D52+Data!E52+Data!F52+Data!G52+Data!H52+Data!I52+Data!J52+Data!K52+Data!L52+Data!M52+Data!N52+Data!O52+Data!P52+Data!Q52+Data!R52+Data!S52+Data!D53+Data!E53+Data!F53+Data!G53+Data!H53+Data!I53+Data!J53+Data!K53+Data!L53+Data!M53+Data!N53+Data!O53+Data!P53+Data!Q53+Data!R53+Data!S53</f>
        <v>3791274</v>
      </c>
      <c r="D53" s="16" t="n">
        <f aca="false">Data!D42+Data!E42+Data!G42+Data!H42+Data!I42+Data!J42+Data!K42+Data!L42+Data!M42+Data!D43+Data!E43+Data!G43+Data!H43+Data!I43+Data!J43+Data!K43+Data!L43+Data!M43+Data!D44+Data!E44+Data!G44+Data!H44+Data!I44+Data!J44+Data!K44+Data!L44+Data!M44+Data!D45+Data!E45+Data!G45+Data!H45+Data!I45+Data!J45+Data!K45+Data!L45+Data!M45+Data!D46+Data!E46+Data!G46+Data!H46+Data!I46+Data!J46+Data!K46+Data!L46+Data!M46+Data!D47+Data!E47+Data!G47+Data!H47+Data!I47+Data!J47+Data!K47+Data!L47+Data!M47+Data!D48+Data!E48+Data!G48+Data!H48+Data!I48+Data!J48+Data!K48+Data!L48+Data!M48+Data!D49+Data!E49+Data!G49+Data!H49+Data!I49+Data!J49+Data!K49+Data!L49+Data!M49+Data!D50+Data!E50+Data!G50+Data!H50+Data!I50+Data!J50+Data!K50+Data!L50+Data!M50+Data!D51+Data!E51+Data!G51+Data!H51+Data!I51+Data!J51+Data!K51+Data!L51+Data!M51+Data!D52+Data!E52+Data!G52+Data!H52+Data!I52+Data!J52+Data!K52+Data!L52+Data!M52+Data!D53+Data!E53+Data!G53+Data!H53+Data!I53+Data!J53+Data!K53+Data!L53+Data!M53</f>
        <v>2109552</v>
      </c>
      <c r="E53" s="16" t="n">
        <f aca="false">Data!D42+Data!D43+Data!D44+Data!D45+Data!D46+Data!D47+Data!D48+Data!D49+Data!D50+Data!D51+Data!D52+Data!D53</f>
        <v>672241</v>
      </c>
      <c r="F53" s="16" t="n">
        <f aca="false">Data!E42+Data!E43+Data!E44+Data!E45+Data!E46+Data!E47+Data!E48+Data!E49+Data!E50+Data!E51+Data!E52+Data!E53</f>
        <v>346433</v>
      </c>
      <c r="G53" s="16" t="n">
        <f aca="false">Data!K42+Data!K43+Data!K44+Data!K45+Data!K46+Data!K47+Data!K48+Data!K49+Data!K50+Data!K51+Data!K52+Data!K53</f>
        <v>343929</v>
      </c>
      <c r="H53" s="16" t="n">
        <f aca="false">Data!L42+Data!L43+Data!L44+Data!L45+Data!L46+Data!L47+Data!L48+Data!L49+Data!L50+Data!L51+Data!L52+Data!L53</f>
        <v>126983</v>
      </c>
      <c r="I53" s="16" t="n">
        <f aca="false">Data!G42+Data!G43+Data!G44+Data!G45+Data!G46+Data!G47+Data!G48+Data!G49+Data!G50+Data!G51+Data!G52+Data!G53</f>
        <v>330661</v>
      </c>
      <c r="J53" s="16" t="n">
        <f aca="false">Data!H42+Data!I42+Data!J42+Data!M42+Data!H43+Data!I43+Data!J43+Data!M43+Data!H44+Data!I44+Data!J44+Data!M44+Data!H45+Data!I45+Data!J45+Data!M45+Data!H46+Data!I46+Data!J46+Data!M46+Data!H47+Data!I47+Data!J47+Data!M47+Data!H48+Data!I48+Data!J48+Data!M48+Data!H49+Data!I49+Data!J49+Data!M49+Data!H50+Data!I50+Data!J50+Data!M50+Data!H51+Data!I51+Data!J51+Data!M51+Data!H52+Data!I52+Data!J52+Data!M52+Data!H53+Data!I53+Data!J53+Data!M53</f>
        <v>289305</v>
      </c>
      <c r="K53" s="16" t="n">
        <f aca="false">Data!F42+Data!F43+Data!F44+Data!F45+Data!F46+Data!F47+Data!F48+Data!F49+Data!F50+Data!F51+Data!F52+Data!F53</f>
        <v>1185359</v>
      </c>
      <c r="L53" s="16" t="n">
        <f aca="false">Data!N42+Data!O42+Data!P42+Data!Q42+Data!R42+Data!S42+Data!N43+Data!O43+Data!P43+Data!Q43+Data!R43+Data!S43+Data!N44+Data!O44+Data!P44+Data!Q44+Data!R44+Data!S44+Data!N45+Data!O45+Data!P45+Data!Q45+Data!R45+Data!S45+Data!N46+Data!O46+Data!P46+Data!Q46+Data!R46+Data!S46+Data!N47+Data!O47+Data!P47+Data!Q47+Data!R47+Data!S47+Data!N48+Data!O48+Data!P48+Data!Q48+Data!R48+Data!S48+Data!N49+Data!O49+Data!P49+Data!Q49+Data!R49+Data!S49+Data!N50+Data!O50+Data!P50+Data!Q50+Data!R50+Data!S50+Data!N51+Data!O51+Data!P51+Data!Q51+Data!R51+Data!S51+Data!N52+Data!O52+Data!P52+Data!Q52+Data!R52+Data!S52+Data!N53+Data!O53+Data!P53+Data!Q53+Data!R53+Data!S53</f>
        <v>496363</v>
      </c>
      <c r="M53" s="15" t="n">
        <f aca="false">Data!T42+Data!U42+Data!V42+Data!W42+Data!X42+Data!Y42+Data!Z42+Data!AA42+Data!AB42+Data!AC42+Data!AD42+Data!AE42+Data!AF42+Data!AG42+Data!AH42+Data!AI42+Data!AJ42+Data!AK42+Data!AL42+Data!T43+Data!U43+Data!V43+Data!W43+Data!X43+Data!Y43+Data!Z43+Data!AA43+Data!AB43+Data!AC43+Data!AD43+Data!AE43+Data!AF43+Data!AG43+Data!AH43+Data!AI43+Data!AJ43+Data!AK43+Data!AL43+Data!T44+Data!U44+Data!V44+Data!W44+Data!X44+Data!Y44+Data!Z44+Data!AA44+Data!AB44+Data!AC44+Data!AD44+Data!AE44+Data!AF44+Data!AG44+Data!AH44+Data!AI44+Data!AJ44+Data!AK44+Data!AL44+Data!T45+Data!U45+Data!V45+Data!W45+Data!X45+Data!Y45+Data!Z45+Data!AA45+Data!AB45+Data!AC45+Data!AD45+Data!AE45+Data!AF45+Data!AG45+Data!AH45+Data!AI45+Data!AJ45+Data!AK45+Data!AL45+Data!T46+Data!U46+Data!V46+Data!W46+Data!X46+Data!Y46+Data!Z46+Data!AA46+Data!AB46+Data!AC46+Data!AD46+Data!AE46+Data!AF46+Data!AG46+Data!AH46+Data!AI46+Data!AJ46+Data!AK46+Data!AL46+Data!T47+Data!U47+Data!V47+Data!W47+Data!X47+Data!Y47+Data!Z47+Data!AA47+Data!AB47+Data!AC47+Data!AD47+Data!AE47+Data!AF47+Data!AG47+Data!AH47+Data!AI47+Data!AJ47+Data!AK47+Data!AL47+Data!T48+Data!U48+Data!V48+Data!W48+Data!X48+Data!Y48+Data!Z48+Data!AA48+Data!AB48+Data!AC48+Data!AD48+Data!AE48+Data!AF48+Data!AG48+Data!AH48+Data!AI48+Data!AJ48+Data!AK48+Data!AL48+Data!T49+Data!U49+Data!V49+Data!W49+Data!X49+Data!Y49+Data!Z49+Data!AA49+Data!AB49+Data!AC49+Data!AD49+Data!AE49+Data!AF49+Data!AG49+Data!AH49+Data!AI49+Data!AJ49+Data!AK49+Data!AL49+Data!T50+Data!U50+Data!V50+Data!W50+Data!X50+Data!Y50+Data!Z50+Data!AA50+Data!AB50+Data!AC50+Data!AD50+Data!AE50+Data!AF50+Data!AG50+Data!AH50+Data!AI50+Data!AJ50+Data!AK50+Data!AL50+Data!T51+Data!U51+Data!V51+Data!W51+Data!X51+Data!Y51+Data!Z51+Data!AA51+Data!AB51+Data!AC51+Data!AD51+Data!AE51+Data!AF51+Data!AG51+Data!AH51+Data!AI51+Data!AJ51+Data!AK51+Data!AL51+Data!T52+Data!U52+Data!V52+Data!W52+Data!X52+Data!Y52+Data!Z52+Data!AA52+Data!AB52+Data!AC52+Data!AD52+Data!AE52+Data!AF52+Data!AG52+Data!AH52+Data!AI52+Data!AJ52+Data!AK52+Data!AL52+Data!T53+Data!U53+Data!V53+Data!W53+Data!X53+Data!Y53+Data!Z53+Data!AA53+Data!AB53+Data!AC53+Data!AD53+Data!AE53+Data!AF53+Data!AG53+Data!AH53+Data!AI53+Data!AJ53+Data!AK53+Data!AL53</f>
        <v>3901567</v>
      </c>
      <c r="N53" s="16" t="n">
        <f aca="false">Data!T42+Data!U42+Data!V42+Data!W42+Data!T43+Data!U43+Data!V43+Data!W43+Data!T44+Data!U44+Data!V44+Data!W44+Data!T45+Data!U45+Data!V45+Data!W45+Data!T46+Data!U46+Data!V46+Data!W46+Data!T47+Data!U47+Data!V47+Data!W47+Data!T48+Data!U48+Data!V48+Data!W48+Data!T49+Data!U49+Data!V49+Data!W49+Data!T50+Data!U50+Data!V50+Data!W50+Data!T51+Data!U51+Data!V51+Data!W51+Data!T52+Data!U52+Data!V52+Data!W52+Data!T53+Data!U53+Data!V53+Data!W53</f>
        <v>2185146</v>
      </c>
      <c r="O53" s="16" t="n">
        <f aca="false">Data!T42+Data!T43+Data!T44+Data!T45+Data!T46+Data!T47+Data!T48+Data!T49+Data!T50+Data!T51+Data!T52+Data!T53</f>
        <v>1599107</v>
      </c>
      <c r="P53" s="16" t="n">
        <f aca="false">Data!U42+Data!U43+Data!U44+Data!U45+Data!U46+Data!U47+Data!U48+Data!U49+Data!U50+Data!U51+Data!U52+Data!U53</f>
        <v>255860</v>
      </c>
      <c r="Q53" s="16" t="n">
        <f aca="false">Data!V42+Data!V43+Data!V44+Data!V45+Data!V46+Data!V47+Data!V48+Data!V49+Data!V50+Data!V51+Data!V52+Data!V53</f>
        <v>164413</v>
      </c>
      <c r="R53" s="16" t="n">
        <f aca="false">Data!W42+Data!W43+Data!W44+Data!W45+Data!W46+Data!W47+Data!W48+Data!W49+Data!W50+Data!W51+Data!W52+Data!W53</f>
        <v>165766</v>
      </c>
      <c r="S53" s="16" t="n">
        <f aca="false">Data!X42+Data!X43+Data!X44+Data!X45+Data!X46+Data!X47+Data!X48+Data!X49+Data!X50+Data!X51+Data!X52+Data!X53</f>
        <v>112196</v>
      </c>
      <c r="T53" s="16" t="n">
        <f aca="false">Data!Y42+Data!Z42+Data!AA42+Data!Y43+Data!Z43+Data!AA43+Data!Y44+Data!Z44+Data!AA44+Data!Y45+Data!Z45+Data!AA45+Data!Y46+Data!Z46+Data!AA46+Data!Y47+Data!Z47+Data!AA47+Data!Y48+Data!Z48+Data!AA48+Data!Y49+Data!Z49+Data!AA49+Data!Y50+Data!Z50+Data!AA50+Data!Y51+Data!Z51+Data!AA51+Data!Y52+Data!Z52+Data!AA52+Data!Y53+Data!Z53+Data!AA53</f>
        <v>346682</v>
      </c>
      <c r="U53" s="16" t="n">
        <f aca="false">Data!Y42+Data!Y43+Data!Y44+Data!Y45+Data!Y46+Data!Y47+Data!Y48+Data!Y49+Data!Y50+Data!Y51+Data!Y52+Data!Y53</f>
        <v>224963</v>
      </c>
      <c r="V53" s="16" t="n">
        <f aca="false">Data!Z42+Data!Z43+Data!Z44+Data!Z45+Data!Z46+Data!Z47+Data!Z48+Data!Z49+Data!Z50+Data!Z51+Data!Z52+Data!Z53</f>
        <v>117972</v>
      </c>
      <c r="W53" s="16" t="n">
        <f aca="false">Data!AB42+Data!AB43+Data!AB44+Data!AB45+Data!AB46+Data!AB47+Data!AB48+Data!AB49+Data!AB50+Data!AB51+Data!AB52+Data!AB53</f>
        <v>520283</v>
      </c>
      <c r="X53" s="16" t="n">
        <f aca="false">Data!AC42+Data!AC43+Data!AC44+Data!AC45+Data!AC46+Data!AC47+Data!AC48+Data!AC49+Data!AC50+Data!AC51+Data!AC52+Data!AC53</f>
        <v>175851</v>
      </c>
      <c r="Y53" s="16" t="n">
        <f aca="false">Data!AD42+Data!AE42+Data!AF42+Data!AG42+Data!AH42+Data!AD43+Data!AE43+Data!AF43+Data!AG43+Data!AH43+Data!AD44+Data!AE44+Data!AF44+Data!AG44+Data!AH44+Data!AD45+Data!AE45+Data!AF45+Data!AG45+Data!AH45+Data!AD46+Data!AE46+Data!AF46+Data!AG46+Data!AH46+Data!AD47+Data!AE47+Data!AF47+Data!AG47+Data!AH47+Data!AD48+Data!AE48+Data!AF48+Data!AG48+Data!AH48+Data!AD49+Data!AE49+Data!AF49+Data!AG49+Data!AH49+Data!AD50+Data!AE50+Data!AF50+Data!AG50+Data!AH50+Data!AD51+Data!AE51+Data!AF51+Data!AG51+Data!AH51+Data!AD52+Data!AE52+Data!AF52+Data!AG52+Data!AH52+Data!AD53+Data!AE53+Data!AF53+Data!AG53+Data!AH53</f>
        <v>132697</v>
      </c>
      <c r="Z53" s="16" t="n">
        <f aca="false">Data!AI42+Data!AI43+Data!AI44+Data!AI45+Data!AI46+Data!AI47+Data!AI48+Data!AI49+Data!AI50+Data!AI51+Data!AI52+Data!AI53</f>
        <v>135917</v>
      </c>
      <c r="AA53" s="16" t="n">
        <f aca="false">Data!AJ42+Data!AJ43+Data!AJ44+Data!AJ45+Data!AJ46+Data!AJ47+Data!AJ48+Data!AJ49+Data!AJ50+Data!AJ51+Data!AJ52+Data!AJ53</f>
        <v>-5244</v>
      </c>
      <c r="AB53" s="16" t="n">
        <f aca="false">Data!AK42+Data!AK43+Data!AK44+Data!AK45+Data!AK46+Data!AK47+Data!AK48+Data!AK49+Data!AK50+Data!AK51+Data!AK52+Data!AK53</f>
        <v>52231</v>
      </c>
      <c r="AC53" s="16" t="n">
        <f aca="false">Data!AL42+Data!AL43+Data!AL44+Data!AL45+Data!AL46+Data!AL47+Data!AL48+Data!AL49+Data!AL50+Data!AL51+Data!AL52+Data!AL53</f>
        <v>245808</v>
      </c>
      <c r="AD53" s="15" t="n">
        <f aca="false">Data!AM42+Data!AM43+Data!AM44+Data!AM45+Data!AM46+Data!AM47+Data!AM48+Data!AM49+Data!AM50+Data!AM51+Data!AM52+Data!AM53</f>
        <v>-110293</v>
      </c>
      <c r="AE53" s="16" t="n">
        <f aca="false">Data!AN42+Data!AN43+Data!AN44+Data!AN45+Data!AN46+Data!AN47+Data!AN48+Data!AN49+Data!AN50+Data!AN51+Data!AN52+Data!AN53</f>
        <v>676483</v>
      </c>
      <c r="AF53" s="15" t="n">
        <f aca="false">Data!AO42+Data!AO43+Data!AO44+Data!AO45+Data!AO46+Data!AO47+Data!AO48+Data!AO49+Data!AO50+Data!AO51+Data!AO52+Data!AO53</f>
        <v>-786777</v>
      </c>
    </row>
    <row r="54" customFormat="false" ht="15" hidden="false" customHeight="false" outlineLevel="0" collapsed="false">
      <c r="B54" s="14" t="str">
        <f aca="false">Data!B54</f>
        <v>2019-12</v>
      </c>
      <c r="C54" s="15" t="n">
        <f aca="false">Data!D43+Data!E43+Data!F43+Data!G43+Data!H43+Data!I43+Data!J43+Data!K43+Data!L43+Data!M43+Data!N43+Data!O43+Data!P43+Data!Q43+Data!R43+Data!S43+Data!D44+Data!E44+Data!F44+Data!G44+Data!H44+Data!I44+Data!J44+Data!K44+Data!L44+Data!M44+Data!N44+Data!O44+Data!P44+Data!Q44+Data!R44+Data!S44+Data!D45+Data!E45+Data!F45+Data!G45+Data!H45+Data!I45+Data!J45+Data!K45+Data!L45+Data!M45+Data!N45+Data!O45+Data!P45+Data!Q45+Data!R45+Data!S45+Data!D46+Data!E46+Data!F46+Data!G46+Data!H46+Data!I46+Data!J46+Data!K46+Data!L46+Data!M46+Data!N46+Data!O46+Data!P46+Data!Q46+Data!R46+Data!S46+Data!D47+Data!E47+Data!F47+Data!G47+Data!H47+Data!I47+Data!J47+Data!K47+Data!L47+Data!M47+Data!N47+Data!O47+Data!P47+Data!Q47+Data!R47+Data!S47+Data!D48+Data!E48+Data!F48+Data!G48+Data!H48+Data!I48+Data!J48+Data!K48+Data!L48+Data!M48+Data!N48+Data!O48+Data!P48+Data!Q48+Data!R48+Data!S48+Data!D49+Data!E49+Data!F49+Data!G49+Data!H49+Data!I49+Data!J49+Data!K49+Data!L49+Data!M49+Data!N49+Data!O49+Data!P49+Data!Q49+Data!R49+Data!S49+Data!D50+Data!E50+Data!F50+Data!G50+Data!H50+Data!I50+Data!J50+Data!K50+Data!L50+Data!M50+Data!N50+Data!O50+Data!P50+Data!Q50+Data!R50+Data!S50+Data!D51+Data!E51+Data!F51+Data!G51+Data!H51+Data!I51+Data!J51+Data!K51+Data!L51+Data!M51+Data!N51+Data!O51+Data!P51+Data!Q51+Data!R51+Data!S51+Data!D52+Data!E52+Data!F52+Data!G52+Data!H52+Data!I52+Data!J52+Data!K52+Data!L52+Data!M52+Data!N52+Data!O52+Data!P52+Data!Q52+Data!R52+Data!S52+Data!D53+Data!E53+Data!F53+Data!G53+Data!H53+Data!I53+Data!J53+Data!K53+Data!L53+Data!M53+Data!N53+Data!O53+Data!P53+Data!Q53+Data!R53+Data!S53+Data!D54+Data!E54+Data!F54+Data!G54+Data!H54+Data!I54+Data!J54+Data!K54+Data!L54+Data!M54+Data!N54+Data!O54+Data!P54+Data!Q54+Data!R54+Data!S54</f>
        <v>3937088</v>
      </c>
      <c r="D54" s="16" t="n">
        <f aca="false">Data!D43+Data!E43+Data!G43+Data!H43+Data!I43+Data!J43+Data!K43+Data!L43+Data!M43+Data!D44+Data!E44+Data!G44+Data!H44+Data!I44+Data!J44+Data!K44+Data!L44+Data!M44+Data!D45+Data!E45+Data!G45+Data!H45+Data!I45+Data!J45+Data!K45+Data!L45+Data!M45+Data!D46+Data!E46+Data!G46+Data!H46+Data!I46+Data!J46+Data!K46+Data!L46+Data!M46+Data!D47+Data!E47+Data!G47+Data!H47+Data!I47+Data!J47+Data!K47+Data!L47+Data!M47+Data!D48+Data!E48+Data!G48+Data!H48+Data!I48+Data!J48+Data!K48+Data!L48+Data!M48+Data!D49+Data!E49+Data!G49+Data!H49+Data!I49+Data!J49+Data!K49+Data!L49+Data!M49+Data!D50+Data!E50+Data!G50+Data!H50+Data!I50+Data!J50+Data!K50+Data!L50+Data!M50+Data!D51+Data!E51+Data!G51+Data!H51+Data!I51+Data!J51+Data!K51+Data!L51+Data!M51+Data!D52+Data!E52+Data!G52+Data!H52+Data!I52+Data!J52+Data!K52+Data!L52+Data!M52+Data!D53+Data!E53+Data!G53+Data!H53+Data!I53+Data!J53+Data!K53+Data!L53+Data!M53+Data!D54+Data!E54+Data!G54+Data!H54+Data!I54+Data!J54+Data!K54+Data!L54+Data!M54</f>
        <v>2209314</v>
      </c>
      <c r="E54" s="16" t="n">
        <f aca="false">Data!D43+Data!D44+Data!D45+Data!D46+Data!D47+Data!D48+Data!D49+Data!D50+Data!D51+Data!D52+Data!D53+Data!D54</f>
        <v>685753</v>
      </c>
      <c r="F54" s="16" t="n">
        <f aca="false">Data!E43+Data!E44+Data!E45+Data!E46+Data!E47+Data!E48+Data!E49+Data!E50+Data!E51+Data!E52+Data!E53+Data!E54</f>
        <v>351953</v>
      </c>
      <c r="G54" s="16" t="n">
        <f aca="false">Data!K43+Data!K44+Data!K45+Data!K46+Data!K47+Data!K48+Data!K49+Data!K50+Data!K51+Data!K52+Data!K53+Data!K54</f>
        <v>390718</v>
      </c>
      <c r="H54" s="16" t="n">
        <f aca="false">Data!L43+Data!L44+Data!L45+Data!L46+Data!L47+Data!L48+Data!L49+Data!L50+Data!L51+Data!L52+Data!L53+Data!L54</f>
        <v>130990</v>
      </c>
      <c r="I54" s="16" t="n">
        <f aca="false">Data!G43+Data!G44+Data!G45+Data!G46+Data!G47+Data!G48+Data!G49+Data!G50+Data!G51+Data!G52+Data!G53+Data!G54</f>
        <v>343315</v>
      </c>
      <c r="J54" s="16" t="n">
        <f aca="false">Data!H43+Data!I43+Data!J43+Data!M43+Data!H44+Data!I44+Data!J44+Data!M44+Data!H45+Data!I45+Data!J45+Data!M45+Data!H46+Data!I46+Data!J46+Data!M46+Data!H47+Data!I47+Data!J47+Data!M47+Data!H48+Data!I48+Data!J48+Data!M48+Data!H49+Data!I49+Data!J49+Data!M49+Data!H50+Data!I50+Data!J50+Data!M50+Data!H51+Data!I51+Data!J51+Data!M51+Data!H52+Data!I52+Data!J52+Data!M52+Data!H53+Data!I53+Data!J53+Data!M53+Data!H54+Data!I54+Data!J54+Data!M54</f>
        <v>306585</v>
      </c>
      <c r="K54" s="16" t="n">
        <f aca="false">Data!F43+Data!F44+Data!F45+Data!F46+Data!F47+Data!F48+Data!F49+Data!F50+Data!F51+Data!F52+Data!F53+Data!F54</f>
        <v>1224439</v>
      </c>
      <c r="L54" s="16" t="n">
        <f aca="false">Data!N43+Data!O43+Data!P43+Data!Q43+Data!R43+Data!S43+Data!N44+Data!O44+Data!P44+Data!Q44+Data!R44+Data!S44+Data!N45+Data!O45+Data!P45+Data!Q45+Data!R45+Data!S45+Data!N46+Data!O46+Data!P46+Data!Q46+Data!R46+Data!S46+Data!N47+Data!O47+Data!P47+Data!Q47+Data!R47+Data!S47+Data!N48+Data!O48+Data!P48+Data!Q48+Data!R48+Data!S48+Data!N49+Data!O49+Data!P49+Data!Q49+Data!R49+Data!S49+Data!N50+Data!O50+Data!P50+Data!Q50+Data!R50+Data!S50+Data!N51+Data!O51+Data!P51+Data!Q51+Data!R51+Data!S51+Data!N52+Data!O52+Data!P52+Data!Q52+Data!R52+Data!S52+Data!N53+Data!O53+Data!P53+Data!Q53+Data!R53+Data!S53+Data!N54+Data!O54+Data!P54+Data!Q54+Data!R54+Data!S54</f>
        <v>503335</v>
      </c>
      <c r="M54" s="15" t="n">
        <f aca="false">Data!T43+Data!U43+Data!V43+Data!W43+Data!X43+Data!Y43+Data!Z43+Data!AA43+Data!AB43+Data!AC43+Data!AD43+Data!AE43+Data!AF43+Data!AG43+Data!AH43+Data!AI43+Data!AJ43+Data!AK43+Data!AL43+Data!T44+Data!U44+Data!V44+Data!W44+Data!X44+Data!Y44+Data!Z44+Data!AA44+Data!AB44+Data!AC44+Data!AD44+Data!AE44+Data!AF44+Data!AG44+Data!AH44+Data!AI44+Data!AJ44+Data!AK44+Data!AL44+Data!T45+Data!U45+Data!V45+Data!W45+Data!X45+Data!Y45+Data!Z45+Data!AA45+Data!AB45+Data!AC45+Data!AD45+Data!AE45+Data!AF45+Data!AG45+Data!AH45+Data!AI45+Data!AJ45+Data!AK45+Data!AL45+Data!T46+Data!U46+Data!V46+Data!W46+Data!X46+Data!Y46+Data!Z46+Data!AA46+Data!AB46+Data!AC46+Data!AD46+Data!AE46+Data!AF46+Data!AG46+Data!AH46+Data!AI46+Data!AJ46+Data!AK46+Data!AL46+Data!T47+Data!U47+Data!V47+Data!W47+Data!X47+Data!Y47+Data!Z47+Data!AA47+Data!AB47+Data!AC47+Data!AD47+Data!AE47+Data!AF47+Data!AG47+Data!AH47+Data!AI47+Data!AJ47+Data!AK47+Data!AL47+Data!T48+Data!U48+Data!V48+Data!W48+Data!X48+Data!Y48+Data!Z48+Data!AA48+Data!AB48+Data!AC48+Data!AD48+Data!AE48+Data!AF48+Data!AG48+Data!AH48+Data!AI48+Data!AJ48+Data!AK48+Data!AL48+Data!T49+Data!U49+Data!V49+Data!W49+Data!X49+Data!Y49+Data!Z49+Data!AA49+Data!AB49+Data!AC49+Data!AD49+Data!AE49+Data!AF49+Data!AG49+Data!AH49+Data!AI49+Data!AJ49+Data!AK49+Data!AL49+Data!T50+Data!U50+Data!V50+Data!W50+Data!X50+Data!Y50+Data!Z50+Data!AA50+Data!AB50+Data!AC50+Data!AD50+Data!AE50+Data!AF50+Data!AG50+Data!AH50+Data!AI50+Data!AJ50+Data!AK50+Data!AL50+Data!T51+Data!U51+Data!V51+Data!W51+Data!X51+Data!Y51+Data!Z51+Data!AA51+Data!AB51+Data!AC51+Data!AD51+Data!AE51+Data!AF51+Data!AG51+Data!AH51+Data!AI51+Data!AJ51+Data!AK51+Data!AL51+Data!T52+Data!U52+Data!V52+Data!W52+Data!X52+Data!Y52+Data!Z52+Data!AA52+Data!AB52+Data!AC52+Data!AD52+Data!AE52+Data!AF52+Data!AG52+Data!AH52+Data!AI52+Data!AJ52+Data!AK52+Data!AL52+Data!T53+Data!U53+Data!V53+Data!W53+Data!X53+Data!Y53+Data!Z53+Data!AA53+Data!AB53+Data!AC53+Data!AD53+Data!AE53+Data!AF53+Data!AG53+Data!AH53+Data!AI53+Data!AJ53+Data!AK53+Data!AL53+Data!T54+Data!U54+Data!V54+Data!W54+Data!X54+Data!Y54+Data!Z54+Data!AA54+Data!AB54+Data!AC54+Data!AD54+Data!AE54+Data!AF54+Data!AG54+Data!AH54+Data!AI54+Data!AJ54+Data!AK54+Data!AL54</f>
        <v>4032208</v>
      </c>
      <c r="N54" s="16" t="n">
        <f aca="false">Data!T43+Data!U43+Data!V43+Data!W43+Data!T44+Data!U44+Data!V44+Data!W44+Data!T45+Data!U45+Data!V45+Data!W45+Data!T46+Data!U46+Data!V46+Data!W46+Data!T47+Data!U47+Data!V47+Data!W47+Data!T48+Data!U48+Data!V48+Data!W48+Data!T49+Data!U49+Data!V49+Data!W49+Data!T50+Data!U50+Data!V50+Data!W50+Data!T51+Data!U51+Data!V51+Data!W51+Data!T52+Data!U52+Data!V52+Data!W52+Data!T53+Data!U53+Data!V53+Data!W53+Data!T54+Data!U54+Data!V54+Data!W54</f>
        <v>2303229</v>
      </c>
      <c r="O54" s="16" t="n">
        <f aca="false">Data!T43+Data!T44+Data!T45+Data!T46+Data!T47+Data!T48+Data!T49+Data!T50+Data!T51+Data!T52+Data!T53+Data!T54</f>
        <v>1687707</v>
      </c>
      <c r="P54" s="16" t="n">
        <f aca="false">Data!U43+Data!U44+Data!U45+Data!U46+Data!U47+Data!U48+Data!U49+Data!U50+Data!U51+Data!U52+Data!U53+Data!U54</f>
        <v>267399</v>
      </c>
      <c r="Q54" s="16" t="n">
        <f aca="false">Data!V43+Data!V44+Data!V45+Data!V46+Data!V47+Data!V48+Data!V49+Data!V50+Data!V51+Data!V52+Data!V53+Data!V54</f>
        <v>178979</v>
      </c>
      <c r="R54" s="16" t="n">
        <f aca="false">Data!W43+Data!W44+Data!W45+Data!W46+Data!W47+Data!W48+Data!W49+Data!W50+Data!W51+Data!W52+Data!W53+Data!W54</f>
        <v>169144</v>
      </c>
      <c r="S54" s="16" t="n">
        <f aca="false">Data!X43+Data!X44+Data!X45+Data!X46+Data!X47+Data!X48+Data!X49+Data!X50+Data!X51+Data!X52+Data!X53+Data!X54</f>
        <v>135069</v>
      </c>
      <c r="T54" s="16" t="n">
        <f aca="false">Data!Y43+Data!Z43+Data!AA43+Data!Y44+Data!Z44+Data!AA44+Data!Y45+Data!Z45+Data!AA45+Data!Y46+Data!Z46+Data!AA46+Data!Y47+Data!Z47+Data!AA47+Data!Y48+Data!Z48+Data!AA48+Data!Y49+Data!Z49+Data!AA49+Data!Y50+Data!Z50+Data!AA50+Data!Y51+Data!Z51+Data!AA51+Data!Y52+Data!Z52+Data!AA52+Data!Y53+Data!Z53+Data!AA53+Data!Y54+Data!Z54+Data!AA54</f>
        <v>338411</v>
      </c>
      <c r="U54" s="16" t="n">
        <f aca="false">Data!Y43+Data!Y44+Data!Y45+Data!Y46+Data!Y47+Data!Y48+Data!Y49+Data!Y50+Data!Y51+Data!Y52+Data!Y53+Data!Y54</f>
        <v>214137</v>
      </c>
      <c r="V54" s="16" t="n">
        <f aca="false">Data!Z43+Data!Z44+Data!Z45+Data!Z46+Data!Z47+Data!Z48+Data!Z49+Data!Z50+Data!Z51+Data!Z52+Data!Z53+Data!Z54</f>
        <v>120352</v>
      </c>
      <c r="W54" s="16" t="n">
        <f aca="false">Data!AB43+Data!AB44+Data!AB45+Data!AB46+Data!AB47+Data!AB48+Data!AB49+Data!AB50+Data!AB51+Data!AB52+Data!AB53+Data!AB54</f>
        <v>536940</v>
      </c>
      <c r="X54" s="16" t="n">
        <f aca="false">Data!AC43+Data!AC44+Data!AC45+Data!AC46+Data!AC47+Data!AC48+Data!AC49+Data!AC50+Data!AC51+Data!AC52+Data!AC53+Data!AC54</f>
        <v>168797</v>
      </c>
      <c r="Y54" s="16" t="n">
        <f aca="false">Data!AD43+Data!AE43+Data!AF43+Data!AG43+Data!AH43+Data!AD44+Data!AE44+Data!AF44+Data!AG44+Data!AH44+Data!AD45+Data!AE45+Data!AF45+Data!AG45+Data!AH45+Data!AD46+Data!AE46+Data!AF46+Data!AG46+Data!AH46+Data!AD47+Data!AE47+Data!AF47+Data!AG47+Data!AH47+Data!AD48+Data!AE48+Data!AF48+Data!AG48+Data!AH48+Data!AD49+Data!AE49+Data!AF49+Data!AG49+Data!AH49+Data!AD50+Data!AE50+Data!AF50+Data!AG50+Data!AH50+Data!AD51+Data!AE51+Data!AF51+Data!AG51+Data!AH51+Data!AD52+Data!AE52+Data!AF52+Data!AG52+Data!AH52+Data!AD53+Data!AE53+Data!AF53+Data!AG53+Data!AH53+Data!AD54+Data!AE54+Data!AF54+Data!AG54+Data!AH54</f>
        <v>127838</v>
      </c>
      <c r="Z54" s="16" t="n">
        <f aca="false">Data!AI43+Data!AI44+Data!AI45+Data!AI46+Data!AI47+Data!AI48+Data!AI49+Data!AI50+Data!AI51+Data!AI52+Data!AI53+Data!AI54</f>
        <v>142141</v>
      </c>
      <c r="AA54" s="16" t="n">
        <f aca="false">Data!AJ43+Data!AJ44+Data!AJ45+Data!AJ46+Data!AJ47+Data!AJ48+Data!AJ49+Data!AJ50+Data!AJ51+Data!AJ52+Data!AJ53+Data!AJ54</f>
        <v>-5724</v>
      </c>
      <c r="AB54" s="16" t="n">
        <f aca="false">Data!AK43+Data!AK44+Data!AK45+Data!AK46+Data!AK47+Data!AK48+Data!AK49+Data!AK50+Data!AK51+Data!AK52+Data!AK53+Data!AK54</f>
        <v>49141</v>
      </c>
      <c r="AC54" s="16" t="n">
        <f aca="false">Data!AL43+Data!AL44+Data!AL45+Data!AL46+Data!AL47+Data!AL48+Data!AL49+Data!AL50+Data!AL51+Data!AL52+Data!AL53+Data!AL54</f>
        <v>236366</v>
      </c>
      <c r="AD54" s="15" t="n">
        <f aca="false">Data!AM43+Data!AM44+Data!AM45+Data!AM46+Data!AM47+Data!AM48+Data!AM49+Data!AM50+Data!AM51+Data!AM52+Data!AM53+Data!AM54</f>
        <v>-95120</v>
      </c>
      <c r="AE54" s="16" t="n">
        <f aca="false">Data!AN43+Data!AN44+Data!AN45+Data!AN46+Data!AN47+Data!AN48+Data!AN49+Data!AN50+Data!AN51+Data!AN52+Data!AN53+Data!AN54</f>
        <v>724285</v>
      </c>
      <c r="AF54" s="15" t="n">
        <f aca="false">Data!AO43+Data!AO44+Data!AO45+Data!AO46+Data!AO47+Data!AO48+Data!AO49+Data!AO50+Data!AO51+Data!AO52+Data!AO53+Data!AO54</f>
        <v>-819406</v>
      </c>
    </row>
    <row r="55" customFormat="false" ht="15" hidden="false" customHeight="false" outlineLevel="0" collapsed="false">
      <c r="B55" s="14" t="str">
        <f aca="false">Data!B55</f>
        <v>2020-01</v>
      </c>
      <c r="C55" s="15" t="n">
        <f aca="false">Data!D44+Data!E44+Data!F44+Data!G44+Data!H44+Data!I44+Data!J44+Data!K44+Data!L44+Data!M44+Data!N44+Data!O44+Data!P44+Data!Q44+Data!R44+Data!S44+Data!D45+Data!E45+Data!F45+Data!G45+Data!H45+Data!I45+Data!J45+Data!K45+Data!L45+Data!M45+Data!N45+Data!O45+Data!P45+Data!Q45+Data!R45+Data!S45+Data!D46+Data!E46+Data!F46+Data!G46+Data!H46+Data!I46+Data!J46+Data!K46+Data!L46+Data!M46+Data!N46+Data!O46+Data!P46+Data!Q46+Data!R46+Data!S46+Data!D47+Data!E47+Data!F47+Data!G47+Data!H47+Data!I47+Data!J47+Data!K47+Data!L47+Data!M47+Data!N47+Data!O47+Data!P47+Data!Q47+Data!R47+Data!S47+Data!D48+Data!E48+Data!F48+Data!G48+Data!H48+Data!I48+Data!J48+Data!K48+Data!L48+Data!M48+Data!N48+Data!O48+Data!P48+Data!Q48+Data!R48+Data!S48+Data!D49+Data!E49+Data!F49+Data!G49+Data!H49+Data!I49+Data!J49+Data!K49+Data!L49+Data!M49+Data!N49+Data!O49+Data!P49+Data!Q49+Data!R49+Data!S49+Data!D50+Data!E50+Data!F50+Data!G50+Data!H50+Data!I50+Data!J50+Data!K50+Data!L50+Data!M50+Data!N50+Data!O50+Data!P50+Data!Q50+Data!R50+Data!S50+Data!D51+Data!E51+Data!F51+Data!G51+Data!H51+Data!I51+Data!J51+Data!K51+Data!L51+Data!M51+Data!N51+Data!O51+Data!P51+Data!Q51+Data!R51+Data!S51+Data!D52+Data!E52+Data!F52+Data!G52+Data!H52+Data!I52+Data!J52+Data!K52+Data!L52+Data!M52+Data!N52+Data!O52+Data!P52+Data!Q52+Data!R52+Data!S52+Data!D53+Data!E53+Data!F53+Data!G53+Data!H53+Data!I53+Data!J53+Data!K53+Data!L53+Data!M53+Data!N53+Data!O53+Data!P53+Data!Q53+Data!R53+Data!S53+Data!D54+Data!E54+Data!F54+Data!G54+Data!H54+Data!I54+Data!J54+Data!K54+Data!L54+Data!M54+Data!N54+Data!O54+Data!P54+Data!Q54+Data!R54+Data!S54+Data!D55+Data!E55+Data!F55+Data!G55+Data!H55+Data!I55+Data!J55+Data!K55+Data!L55+Data!M55+Data!N55+Data!O55+Data!P55+Data!Q55+Data!R55+Data!S55</f>
        <v>4050661</v>
      </c>
      <c r="D55" s="16" t="n">
        <f aca="false">Data!D44+Data!E44+Data!G44+Data!H44+Data!I44+Data!J44+Data!K44+Data!L44+Data!M44+Data!D45+Data!E45+Data!G45+Data!H45+Data!I45+Data!J45+Data!K45+Data!L45+Data!M45+Data!D46+Data!E46+Data!G46+Data!H46+Data!I46+Data!J46+Data!K46+Data!L46+Data!M46+Data!D47+Data!E47+Data!G47+Data!H47+Data!I47+Data!J47+Data!K47+Data!L47+Data!M47+Data!D48+Data!E48+Data!G48+Data!H48+Data!I48+Data!J48+Data!K48+Data!L48+Data!M48+Data!D49+Data!E49+Data!G49+Data!H49+Data!I49+Data!J49+Data!K49+Data!L49+Data!M49+Data!D50+Data!E50+Data!G50+Data!H50+Data!I50+Data!J50+Data!K50+Data!L50+Data!M50+Data!D51+Data!E51+Data!G51+Data!H51+Data!I51+Data!J51+Data!K51+Data!L51+Data!M51+Data!D52+Data!E52+Data!G52+Data!H52+Data!I52+Data!J52+Data!K52+Data!L52+Data!M52+Data!D53+Data!E53+Data!G53+Data!H53+Data!I53+Data!J53+Data!K53+Data!L53+Data!M53+Data!D54+Data!E54+Data!G54+Data!H54+Data!I54+Data!J54+Data!K54+Data!L54+Data!M54+Data!D55+Data!E55+Data!G55+Data!H55+Data!I55+Data!J55+Data!K55+Data!L55+Data!M55</f>
        <v>2265406</v>
      </c>
      <c r="E55" s="16" t="n">
        <f aca="false">Data!D44+Data!D45+Data!D46+Data!D47+Data!D48+Data!D49+Data!D50+Data!D51+Data!D52+Data!D53+Data!D54+Data!D55</f>
        <v>699116</v>
      </c>
      <c r="F55" s="16" t="n">
        <f aca="false">Data!E44+Data!E45+Data!E46+Data!E47+Data!E48+Data!E49+Data!E50+Data!E51+Data!E52+Data!E53+Data!E54+Data!E55</f>
        <v>362544</v>
      </c>
      <c r="G55" s="16" t="n">
        <f aca="false">Data!K44+Data!K45+Data!K46+Data!K47+Data!K48+Data!K49+Data!K50+Data!K51+Data!K52+Data!K53+Data!K54+Data!K55</f>
        <v>399514</v>
      </c>
      <c r="H55" s="16" t="n">
        <f aca="false">Data!L44+Data!L45+Data!L46+Data!L47+Data!L48+Data!L49+Data!L50+Data!L51+Data!L52+Data!L53+Data!L54+Data!L55</f>
        <v>135099</v>
      </c>
      <c r="I55" s="16" t="n">
        <f aca="false">Data!G44+Data!G45+Data!G46+Data!G47+Data!G48+Data!G49+Data!G50+Data!G51+Data!G52+Data!G53+Data!G54+Data!G55</f>
        <v>354135</v>
      </c>
      <c r="J55" s="16" t="n">
        <f aca="false">Data!H44+Data!I44+Data!J44+Data!M44+Data!H45+Data!I45+Data!J45+Data!M45+Data!H46+Data!I46+Data!J46+Data!M46+Data!H47+Data!I47+Data!J47+Data!M47+Data!H48+Data!I48+Data!J48+Data!M48+Data!H49+Data!I49+Data!J49+Data!M49+Data!H50+Data!I50+Data!J50+Data!M50+Data!H51+Data!I51+Data!J51+Data!M51+Data!H52+Data!I52+Data!J52+Data!M52+Data!H53+Data!I53+Data!J53+Data!M53+Data!H54+Data!I54+Data!J54+Data!M54+Data!H55+Data!I55+Data!J55+Data!M55</f>
        <v>314998</v>
      </c>
      <c r="K55" s="16" t="n">
        <f aca="false">Data!F44+Data!F45+Data!F46+Data!F47+Data!F48+Data!F49+Data!F50+Data!F51+Data!F52+Data!F53+Data!F54+Data!F55</f>
        <v>1266359</v>
      </c>
      <c r="L55" s="16" t="n">
        <f aca="false">Data!N44+Data!O44+Data!P44+Data!Q44+Data!R44+Data!S44+Data!N45+Data!O45+Data!P45+Data!Q45+Data!R45+Data!S45+Data!N46+Data!O46+Data!P46+Data!Q46+Data!R46+Data!S46+Data!N47+Data!O47+Data!P47+Data!Q47+Data!R47+Data!S47+Data!N48+Data!O48+Data!P48+Data!Q48+Data!R48+Data!S48+Data!N49+Data!O49+Data!P49+Data!Q49+Data!R49+Data!S49+Data!N50+Data!O50+Data!P50+Data!Q50+Data!R50+Data!S50+Data!N51+Data!O51+Data!P51+Data!Q51+Data!R51+Data!S51+Data!N52+Data!O52+Data!P52+Data!Q52+Data!R52+Data!S52+Data!N53+Data!O53+Data!P53+Data!Q53+Data!R53+Data!S53+Data!N54+Data!O54+Data!P54+Data!Q54+Data!R54+Data!S54+Data!N55+Data!O55+Data!P55+Data!Q55+Data!R55+Data!S55</f>
        <v>518896</v>
      </c>
      <c r="M55" s="15" t="n">
        <f aca="false">Data!T44+Data!U44+Data!V44+Data!W44+Data!X44+Data!Y44+Data!Z44+Data!AA44+Data!AB44+Data!AC44+Data!AD44+Data!AE44+Data!AF44+Data!AG44+Data!AH44+Data!AI44+Data!AJ44+Data!AK44+Data!AL44+Data!T45+Data!U45+Data!V45+Data!W45+Data!X45+Data!Y45+Data!Z45+Data!AA45+Data!AB45+Data!AC45+Data!AD45+Data!AE45+Data!AF45+Data!AG45+Data!AH45+Data!AI45+Data!AJ45+Data!AK45+Data!AL45+Data!T46+Data!U46+Data!V46+Data!W46+Data!X46+Data!Y46+Data!Z46+Data!AA46+Data!AB46+Data!AC46+Data!AD46+Data!AE46+Data!AF46+Data!AG46+Data!AH46+Data!AI46+Data!AJ46+Data!AK46+Data!AL46+Data!T47+Data!U47+Data!V47+Data!W47+Data!X47+Data!Y47+Data!Z47+Data!AA47+Data!AB47+Data!AC47+Data!AD47+Data!AE47+Data!AF47+Data!AG47+Data!AH47+Data!AI47+Data!AJ47+Data!AK47+Data!AL47+Data!T48+Data!U48+Data!V48+Data!W48+Data!X48+Data!Y48+Data!Z48+Data!AA48+Data!AB48+Data!AC48+Data!AD48+Data!AE48+Data!AF48+Data!AG48+Data!AH48+Data!AI48+Data!AJ48+Data!AK48+Data!AL48+Data!T49+Data!U49+Data!V49+Data!W49+Data!X49+Data!Y49+Data!Z49+Data!AA49+Data!AB49+Data!AC49+Data!AD49+Data!AE49+Data!AF49+Data!AG49+Data!AH49+Data!AI49+Data!AJ49+Data!AK49+Data!AL49+Data!T50+Data!U50+Data!V50+Data!W50+Data!X50+Data!Y50+Data!Z50+Data!AA50+Data!AB50+Data!AC50+Data!AD50+Data!AE50+Data!AF50+Data!AG50+Data!AH50+Data!AI50+Data!AJ50+Data!AK50+Data!AL50+Data!T51+Data!U51+Data!V51+Data!W51+Data!X51+Data!Y51+Data!Z51+Data!AA51+Data!AB51+Data!AC51+Data!AD51+Data!AE51+Data!AF51+Data!AG51+Data!AH51+Data!AI51+Data!AJ51+Data!AK51+Data!AL51+Data!T52+Data!U52+Data!V52+Data!W52+Data!X52+Data!Y52+Data!Z52+Data!AA52+Data!AB52+Data!AC52+Data!AD52+Data!AE52+Data!AF52+Data!AG52+Data!AH52+Data!AI52+Data!AJ52+Data!AK52+Data!AL52+Data!T53+Data!U53+Data!V53+Data!W53+Data!X53+Data!Y53+Data!Z53+Data!AA53+Data!AB53+Data!AC53+Data!AD53+Data!AE53+Data!AF53+Data!AG53+Data!AH53+Data!AI53+Data!AJ53+Data!AK53+Data!AL53+Data!T54+Data!U54+Data!V54+Data!W54+Data!X54+Data!Y54+Data!Z54+Data!AA54+Data!AB54+Data!AC54+Data!AD54+Data!AE54+Data!AF54+Data!AG54+Data!AH54+Data!AI54+Data!AJ54+Data!AK54+Data!AL54+Data!T55+Data!U55+Data!V55+Data!W55+Data!X55+Data!Y55+Data!Z55+Data!AA55+Data!AB55+Data!AC55+Data!AD55+Data!AE55+Data!AF55+Data!AG55+Data!AH55+Data!AI55+Data!AJ55+Data!AK55+Data!AL55</f>
        <v>4166205</v>
      </c>
      <c r="N55" s="16" t="n">
        <f aca="false">Data!T44+Data!U44+Data!V44+Data!W44+Data!T45+Data!U45+Data!V45+Data!W45+Data!T46+Data!U46+Data!V46+Data!W46+Data!T47+Data!U47+Data!V47+Data!W47+Data!T48+Data!U48+Data!V48+Data!W48+Data!T49+Data!U49+Data!V49+Data!W49+Data!T50+Data!U50+Data!V50+Data!W50+Data!T51+Data!U51+Data!V51+Data!W51+Data!T52+Data!U52+Data!V52+Data!W52+Data!T53+Data!U53+Data!V53+Data!W53+Data!T54+Data!U54+Data!V54+Data!W54+Data!T55+Data!U55+Data!V55+Data!W55</f>
        <v>2374010</v>
      </c>
      <c r="O55" s="16" t="n">
        <f aca="false">Data!T44+Data!T45+Data!T46+Data!T47+Data!T48+Data!T49+Data!T50+Data!T51+Data!T52+Data!T53+Data!T54+Data!T55</f>
        <v>1736129</v>
      </c>
      <c r="P55" s="16" t="n">
        <f aca="false">Data!U44+Data!U45+Data!U46+Data!U47+Data!U48+Data!U49+Data!U50+Data!U51+Data!U52+Data!U53+Data!U54+Data!U55</f>
        <v>275797</v>
      </c>
      <c r="Q55" s="16" t="n">
        <f aca="false">Data!V44+Data!V45+Data!V46+Data!V47+Data!V48+Data!V49+Data!V50+Data!V51+Data!V52+Data!V53+Data!V54+Data!V55</f>
        <v>190860</v>
      </c>
      <c r="R55" s="16" t="n">
        <f aca="false">Data!W44+Data!W45+Data!W46+Data!W47+Data!W48+Data!W49+Data!W50+Data!W51+Data!W52+Data!W53+Data!W54+Data!W55</f>
        <v>171224</v>
      </c>
      <c r="S55" s="16" t="n">
        <f aca="false">Data!X44+Data!X45+Data!X46+Data!X47+Data!X48+Data!X49+Data!X50+Data!X51+Data!X52+Data!X53+Data!X54+Data!X55</f>
        <v>161305</v>
      </c>
      <c r="T55" s="16" t="n">
        <f aca="false">Data!Y44+Data!Z44+Data!AA44+Data!Y45+Data!Z45+Data!AA45+Data!Y46+Data!Z46+Data!AA46+Data!Y47+Data!Z47+Data!AA47+Data!Y48+Data!Z48+Data!AA48+Data!Y49+Data!Z49+Data!AA49+Data!Y50+Data!Z50+Data!AA50+Data!Y51+Data!Z51+Data!AA51+Data!Y52+Data!Z52+Data!AA52+Data!Y53+Data!Z53+Data!AA53+Data!Y54+Data!Z54+Data!AA54+Data!Y55+Data!Z55+Data!AA55</f>
        <v>351834</v>
      </c>
      <c r="U55" s="16" t="n">
        <f aca="false">Data!Y44+Data!Y45+Data!Y46+Data!Y47+Data!Y48+Data!Y49+Data!Y50+Data!Y51+Data!Y52+Data!Y53+Data!Y54+Data!Y55</f>
        <v>224406</v>
      </c>
      <c r="V55" s="16" t="n">
        <f aca="false">Data!Z44+Data!Z45+Data!Z46+Data!Z47+Data!Z48+Data!Z49+Data!Z50+Data!Z51+Data!Z52+Data!Z53+Data!Z54+Data!Z55</f>
        <v>123479</v>
      </c>
      <c r="W55" s="16" t="n">
        <f aca="false">Data!AB44+Data!AB45+Data!AB46+Data!AB47+Data!AB48+Data!AB49+Data!AB50+Data!AB51+Data!AB52+Data!AB53+Data!AB54+Data!AB55</f>
        <v>550626</v>
      </c>
      <c r="X55" s="16" t="n">
        <f aca="false">Data!AC44+Data!AC45+Data!AC46+Data!AC47+Data!AC48+Data!AC49+Data!AC50+Data!AC51+Data!AC52+Data!AC53+Data!AC54+Data!AC55</f>
        <v>171884</v>
      </c>
      <c r="Y55" s="16" t="n">
        <f aca="false">Data!AD44+Data!AE44+Data!AF44+Data!AG44+Data!AH44+Data!AD45+Data!AE45+Data!AF45+Data!AG45+Data!AH45+Data!AD46+Data!AE46+Data!AF46+Data!AG46+Data!AH46+Data!AD47+Data!AE47+Data!AF47+Data!AG47+Data!AH47+Data!AD48+Data!AE48+Data!AF48+Data!AG48+Data!AH48+Data!AD49+Data!AE49+Data!AF49+Data!AG49+Data!AH49+Data!AD50+Data!AE50+Data!AF50+Data!AG50+Data!AH50+Data!AD51+Data!AE51+Data!AF51+Data!AG51+Data!AH51+Data!AD52+Data!AE52+Data!AF52+Data!AG52+Data!AH52+Data!AD53+Data!AE53+Data!AF53+Data!AG53+Data!AH53+Data!AD54+Data!AE54+Data!AF54+Data!AG54+Data!AH54+Data!AD55+Data!AE55+Data!AF55+Data!AG55+Data!AH55</f>
        <v>136996</v>
      </c>
      <c r="Z55" s="16" t="n">
        <f aca="false">Data!AI44+Data!AI45+Data!AI46+Data!AI47+Data!AI48+Data!AI49+Data!AI50+Data!AI51+Data!AI52+Data!AI53+Data!AI54+Data!AI55</f>
        <v>147725</v>
      </c>
      <c r="AA55" s="16" t="n">
        <f aca="false">Data!AJ44+Data!AJ45+Data!AJ46+Data!AJ47+Data!AJ48+Data!AJ49+Data!AJ50+Data!AJ51+Data!AJ52+Data!AJ53+Data!AJ54+Data!AJ55</f>
        <v>-4652</v>
      </c>
      <c r="AB55" s="16" t="n">
        <f aca="false">Data!AK44+Data!AK45+Data!AK46+Data!AK47+Data!AK48+Data!AK49+Data!AK50+Data!AK51+Data!AK52+Data!AK53+Data!AK54+Data!AK55</f>
        <v>46357</v>
      </c>
      <c r="AC55" s="16" t="n">
        <f aca="false">Data!AL44+Data!AL45+Data!AL46+Data!AL47+Data!AL48+Data!AL49+Data!AL50+Data!AL51+Data!AL52+Data!AL53+Data!AL54+Data!AL55</f>
        <v>230120</v>
      </c>
      <c r="AD55" s="15" t="n">
        <f aca="false">Data!AM44+Data!AM45+Data!AM46+Data!AM47+Data!AM48+Data!AM49+Data!AM50+Data!AM51+Data!AM52+Data!AM53+Data!AM54+Data!AM55</f>
        <v>-115544</v>
      </c>
      <c r="AE55" s="16" t="n">
        <f aca="false">Data!AN44+Data!AN45+Data!AN46+Data!AN47+Data!AN48+Data!AN49+Data!AN50+Data!AN51+Data!AN52+Data!AN53+Data!AN54+Data!AN55</f>
        <v>734641</v>
      </c>
      <c r="AF55" s="15" t="n">
        <f aca="false">Data!AO44+Data!AO45+Data!AO46+Data!AO47+Data!AO48+Data!AO49+Data!AO50+Data!AO51+Data!AO52+Data!AO53+Data!AO54+Data!AO55</f>
        <v>-850186</v>
      </c>
    </row>
    <row r="56" customFormat="false" ht="15" hidden="false" customHeight="false" outlineLevel="0" collapsed="false">
      <c r="B56" s="14" t="str">
        <f aca="false">Data!B56</f>
        <v>2020-02</v>
      </c>
      <c r="C56" s="15" t="n">
        <f aca="false">Data!D45+Data!E45+Data!F45+Data!G45+Data!H45+Data!I45+Data!J45+Data!K45+Data!L45+Data!M45+Data!N45+Data!O45+Data!P45+Data!Q45+Data!R45+Data!S45+Data!D46+Data!E46+Data!F46+Data!G46+Data!H46+Data!I46+Data!J46+Data!K46+Data!L46+Data!M46+Data!N46+Data!O46+Data!P46+Data!Q46+Data!R46+Data!S46+Data!D47+Data!E47+Data!F47+Data!G47+Data!H47+Data!I47+Data!J47+Data!K47+Data!L47+Data!M47+Data!N47+Data!O47+Data!P47+Data!Q47+Data!R47+Data!S47+Data!D48+Data!E48+Data!F48+Data!G48+Data!H48+Data!I48+Data!J48+Data!K48+Data!L48+Data!M48+Data!N48+Data!O48+Data!P48+Data!Q48+Data!R48+Data!S48+Data!D49+Data!E49+Data!F49+Data!G49+Data!H49+Data!I49+Data!J49+Data!K49+Data!L49+Data!M49+Data!N49+Data!O49+Data!P49+Data!Q49+Data!R49+Data!S49+Data!D50+Data!E50+Data!F50+Data!G50+Data!H50+Data!I50+Data!J50+Data!K50+Data!L50+Data!M50+Data!N50+Data!O50+Data!P50+Data!Q50+Data!R50+Data!S50+Data!D51+Data!E51+Data!F51+Data!G51+Data!H51+Data!I51+Data!J51+Data!K51+Data!L51+Data!M51+Data!N51+Data!O51+Data!P51+Data!Q51+Data!R51+Data!S51+Data!D52+Data!E52+Data!F52+Data!G52+Data!H52+Data!I52+Data!J52+Data!K52+Data!L52+Data!M52+Data!N52+Data!O52+Data!P52+Data!Q52+Data!R52+Data!S52+Data!D53+Data!E53+Data!F53+Data!G53+Data!H53+Data!I53+Data!J53+Data!K53+Data!L53+Data!M53+Data!N53+Data!O53+Data!P53+Data!Q53+Data!R53+Data!S53+Data!D54+Data!E54+Data!F54+Data!G54+Data!H54+Data!I54+Data!J54+Data!K54+Data!L54+Data!M54+Data!N54+Data!O54+Data!P54+Data!Q54+Data!R54+Data!S54+Data!D55+Data!E55+Data!F55+Data!G55+Data!H55+Data!I55+Data!J55+Data!K55+Data!L55+Data!M55+Data!N55+Data!O55+Data!P55+Data!Q55+Data!R55+Data!S55+Data!D56+Data!E56+Data!F56+Data!G56+Data!H56+Data!I56+Data!J56+Data!K56+Data!L56+Data!M56+Data!N56+Data!O56+Data!P56+Data!Q56+Data!R56+Data!S56</f>
        <v>4144984</v>
      </c>
      <c r="D56" s="16" t="n">
        <f aca="false">Data!D45+Data!E45+Data!G45+Data!H45+Data!I45+Data!J45+Data!K45+Data!L45+Data!M45+Data!D46+Data!E46+Data!G46+Data!H46+Data!I46+Data!J46+Data!K46+Data!L46+Data!M46+Data!D47+Data!E47+Data!G47+Data!H47+Data!I47+Data!J47+Data!K47+Data!L47+Data!M47+Data!D48+Data!E48+Data!G48+Data!H48+Data!I48+Data!J48+Data!K48+Data!L48+Data!M48+Data!D49+Data!E49+Data!G49+Data!H49+Data!I49+Data!J49+Data!K49+Data!L49+Data!M49+Data!D50+Data!E50+Data!G50+Data!H50+Data!I50+Data!J50+Data!K50+Data!L50+Data!M50+Data!D51+Data!E51+Data!G51+Data!H51+Data!I51+Data!J51+Data!K51+Data!L51+Data!M51+Data!D52+Data!E52+Data!G52+Data!H52+Data!I52+Data!J52+Data!K52+Data!L52+Data!M52+Data!D53+Data!E53+Data!G53+Data!H53+Data!I53+Data!J53+Data!K53+Data!L53+Data!M53+Data!D54+Data!E54+Data!G54+Data!H54+Data!I54+Data!J54+Data!K54+Data!L54+Data!M54+Data!D55+Data!E55+Data!G55+Data!H55+Data!I55+Data!J55+Data!K55+Data!L55+Data!M55+Data!D56+Data!E56+Data!G56+Data!H56+Data!I56+Data!J56+Data!K56+Data!L56+Data!M56</f>
        <v>2319403</v>
      </c>
      <c r="E56" s="16" t="n">
        <f aca="false">Data!D45+Data!D46+Data!D47+Data!D48+Data!D49+Data!D50+Data!D51+Data!D52+Data!D53+Data!D54+Data!D55+Data!D56</f>
        <v>712756</v>
      </c>
      <c r="F56" s="16" t="n">
        <f aca="false">Data!E45+Data!E46+Data!E47+Data!E48+Data!E49+Data!E50+Data!E51+Data!E52+Data!E53+Data!E54+Data!E55+Data!E56</f>
        <v>374338</v>
      </c>
      <c r="G56" s="16" t="n">
        <f aca="false">Data!K45+Data!K46+Data!K47+Data!K48+Data!K49+Data!K50+Data!K51+Data!K52+Data!K53+Data!K54+Data!K55+Data!K56</f>
        <v>402369</v>
      </c>
      <c r="H56" s="16" t="n">
        <f aca="false">Data!L45+Data!L46+Data!L47+Data!L48+Data!L49+Data!L50+Data!L51+Data!L52+Data!L53+Data!L54+Data!L55+Data!L56</f>
        <v>136793</v>
      </c>
      <c r="I56" s="16" t="n">
        <f aca="false">Data!G45+Data!G46+Data!G47+Data!G48+Data!G49+Data!G50+Data!G51+Data!G52+Data!G53+Data!G54+Data!G55+Data!G56</f>
        <v>367620</v>
      </c>
      <c r="J56" s="16" t="n">
        <f aca="false">Data!H45+Data!I45+Data!J45+Data!M45+Data!H46+Data!I46+Data!J46+Data!M46+Data!H47+Data!I47+Data!J47+Data!M47+Data!H48+Data!I48+Data!J48+Data!M48+Data!H49+Data!I49+Data!J49+Data!M49+Data!H50+Data!I50+Data!J50+Data!M50+Data!H51+Data!I51+Data!J51+Data!M51+Data!H52+Data!I52+Data!J52+Data!M52+Data!H53+Data!I53+Data!J53+Data!M53+Data!H54+Data!I54+Data!J54+Data!M54+Data!H55+Data!I55+Data!J55+Data!M55+Data!H56+Data!I56+Data!J56+Data!M56</f>
        <v>325527</v>
      </c>
      <c r="K56" s="16" t="n">
        <f aca="false">Data!F45+Data!F46+Data!F47+Data!F48+Data!F49+Data!F50+Data!F51+Data!F52+Data!F53+Data!F54+Data!F55+Data!F56</f>
        <v>1304826</v>
      </c>
      <c r="L56" s="16" t="n">
        <f aca="false">Data!N45+Data!O45+Data!P45+Data!Q45+Data!R45+Data!S45+Data!N46+Data!O46+Data!P46+Data!Q46+Data!R46+Data!S46+Data!N47+Data!O47+Data!P47+Data!Q47+Data!R47+Data!S47+Data!N48+Data!O48+Data!P48+Data!Q48+Data!R48+Data!S48+Data!N49+Data!O49+Data!P49+Data!Q49+Data!R49+Data!S49+Data!N50+Data!O50+Data!P50+Data!Q50+Data!R50+Data!S50+Data!N51+Data!O51+Data!P51+Data!Q51+Data!R51+Data!S51+Data!N52+Data!O52+Data!P52+Data!Q52+Data!R52+Data!S52+Data!N53+Data!O53+Data!P53+Data!Q53+Data!R53+Data!S53+Data!N54+Data!O54+Data!P54+Data!Q54+Data!R54+Data!S54+Data!N55+Data!O55+Data!P55+Data!Q55+Data!R55+Data!S55+Data!N56+Data!O56+Data!P56+Data!Q56+Data!R56+Data!S56</f>
        <v>520755</v>
      </c>
      <c r="M56" s="15" t="n">
        <f aca="false">Data!T45+Data!U45+Data!V45+Data!W45+Data!X45+Data!Y45+Data!Z45+Data!AA45+Data!AB45+Data!AC45+Data!AD45+Data!AE45+Data!AF45+Data!AG45+Data!AH45+Data!AI45+Data!AJ45+Data!AK45+Data!AL45+Data!T46+Data!U46+Data!V46+Data!W46+Data!X46+Data!Y46+Data!Z46+Data!AA46+Data!AB46+Data!AC46+Data!AD46+Data!AE46+Data!AF46+Data!AG46+Data!AH46+Data!AI46+Data!AJ46+Data!AK46+Data!AL46+Data!T47+Data!U47+Data!V47+Data!W47+Data!X47+Data!Y47+Data!Z47+Data!AA47+Data!AB47+Data!AC47+Data!AD47+Data!AE47+Data!AF47+Data!AG47+Data!AH47+Data!AI47+Data!AJ47+Data!AK47+Data!AL47+Data!T48+Data!U48+Data!V48+Data!W48+Data!X48+Data!Y48+Data!Z48+Data!AA48+Data!AB48+Data!AC48+Data!AD48+Data!AE48+Data!AF48+Data!AG48+Data!AH48+Data!AI48+Data!AJ48+Data!AK48+Data!AL48+Data!T49+Data!U49+Data!V49+Data!W49+Data!X49+Data!Y49+Data!Z49+Data!AA49+Data!AB49+Data!AC49+Data!AD49+Data!AE49+Data!AF49+Data!AG49+Data!AH49+Data!AI49+Data!AJ49+Data!AK49+Data!AL49+Data!T50+Data!U50+Data!V50+Data!W50+Data!X50+Data!Y50+Data!Z50+Data!AA50+Data!AB50+Data!AC50+Data!AD50+Data!AE50+Data!AF50+Data!AG50+Data!AH50+Data!AI50+Data!AJ50+Data!AK50+Data!AL50+Data!T51+Data!U51+Data!V51+Data!W51+Data!X51+Data!Y51+Data!Z51+Data!AA51+Data!AB51+Data!AC51+Data!AD51+Data!AE51+Data!AF51+Data!AG51+Data!AH51+Data!AI51+Data!AJ51+Data!AK51+Data!AL51+Data!T52+Data!U52+Data!V52+Data!W52+Data!X52+Data!Y52+Data!Z52+Data!AA52+Data!AB52+Data!AC52+Data!AD52+Data!AE52+Data!AF52+Data!AG52+Data!AH52+Data!AI52+Data!AJ52+Data!AK52+Data!AL52+Data!T53+Data!U53+Data!V53+Data!W53+Data!X53+Data!Y53+Data!Z53+Data!AA53+Data!AB53+Data!AC53+Data!AD53+Data!AE53+Data!AF53+Data!AG53+Data!AH53+Data!AI53+Data!AJ53+Data!AK53+Data!AL53+Data!T54+Data!U54+Data!V54+Data!W54+Data!X54+Data!Y54+Data!Z54+Data!AA54+Data!AB54+Data!AC54+Data!AD54+Data!AE54+Data!AF54+Data!AG54+Data!AH54+Data!AI54+Data!AJ54+Data!AK54+Data!AL54+Data!T55+Data!U55+Data!V55+Data!W55+Data!X55+Data!Y55+Data!Z55+Data!AA55+Data!AB55+Data!AC55+Data!AD55+Data!AE55+Data!AF55+Data!AG55+Data!AH55+Data!AI55+Data!AJ55+Data!AK55+Data!AL55+Data!T56+Data!U56+Data!V56+Data!W56+Data!X56+Data!Y56+Data!Z56+Data!AA56+Data!AB56+Data!AC56+Data!AD56+Data!AE56+Data!AF56+Data!AG56+Data!AH56+Data!AI56+Data!AJ56+Data!AK56+Data!AL56</f>
        <v>4294751</v>
      </c>
      <c r="N56" s="16" t="n">
        <f aca="false">Data!T45+Data!U45+Data!V45+Data!W45+Data!T46+Data!U46+Data!V46+Data!W46+Data!T47+Data!U47+Data!V47+Data!W47+Data!T48+Data!U48+Data!V48+Data!W48+Data!T49+Data!U49+Data!V49+Data!W49+Data!T50+Data!U50+Data!V50+Data!W50+Data!T51+Data!U51+Data!V51+Data!W51+Data!T52+Data!U52+Data!V52+Data!W52+Data!T53+Data!U53+Data!V53+Data!W53+Data!T54+Data!U54+Data!V54+Data!W54+Data!T55+Data!U55+Data!V55+Data!W55+Data!T56+Data!U56+Data!V56+Data!W56</f>
        <v>2451074</v>
      </c>
      <c r="O56" s="16" t="n">
        <f aca="false">Data!T45+Data!T46+Data!T47+Data!T48+Data!T49+Data!T50+Data!T51+Data!T52+Data!T53+Data!T54+Data!T55+Data!T56</f>
        <v>1793850</v>
      </c>
      <c r="P56" s="16" t="n">
        <f aca="false">Data!U45+Data!U46+Data!U47+Data!U48+Data!U49+Data!U50+Data!U51+Data!U52+Data!U53+Data!U54+Data!U55+Data!U56</f>
        <v>286593</v>
      </c>
      <c r="Q56" s="16" t="n">
        <f aca="false">Data!V45+Data!V46+Data!V47+Data!V48+Data!V49+Data!V50+Data!V51+Data!V52+Data!V53+Data!V54+Data!V55+Data!V56</f>
        <v>195292</v>
      </c>
      <c r="R56" s="16" t="n">
        <f aca="false">Data!W45+Data!W46+Data!W47+Data!W48+Data!W49+Data!W50+Data!W51+Data!W52+Data!W53+Data!W54+Data!W55+Data!W56</f>
        <v>175339</v>
      </c>
      <c r="S56" s="16" t="n">
        <f aca="false">Data!X45+Data!X46+Data!X47+Data!X48+Data!X49+Data!X50+Data!X51+Data!X52+Data!X53+Data!X54+Data!X55+Data!X56</f>
        <v>169581</v>
      </c>
      <c r="T56" s="16" t="n">
        <f aca="false">Data!Y45+Data!Z45+Data!AA45+Data!Y46+Data!Z46+Data!AA46+Data!Y47+Data!Z47+Data!AA47+Data!Y48+Data!Z48+Data!AA48+Data!Y49+Data!Z49+Data!AA49+Data!Y50+Data!Z50+Data!AA50+Data!Y51+Data!Z51+Data!AA51+Data!Y52+Data!Z52+Data!AA52+Data!Y53+Data!Z53+Data!AA53+Data!Y54+Data!Z54+Data!AA54+Data!Y55+Data!Z55+Data!AA55+Data!Y56+Data!Z56+Data!AA56</f>
        <v>367652</v>
      </c>
      <c r="U56" s="16" t="n">
        <f aca="false">Data!Y45+Data!Y46+Data!Y47+Data!Y48+Data!Y49+Data!Y50+Data!Y51+Data!Y52+Data!Y53+Data!Y54+Data!Y55+Data!Y56</f>
        <v>236199</v>
      </c>
      <c r="V56" s="16" t="n">
        <f aca="false">Data!Z45+Data!Z46+Data!Z47+Data!Z48+Data!Z49+Data!Z50+Data!Z51+Data!Z52+Data!Z53+Data!Z54+Data!Z55+Data!Z56</f>
        <v>127723</v>
      </c>
      <c r="W56" s="16" t="n">
        <f aca="false">Data!AB45+Data!AB46+Data!AB47+Data!AB48+Data!AB49+Data!AB50+Data!AB51+Data!AB52+Data!AB53+Data!AB54+Data!AB55+Data!AB56</f>
        <v>568199</v>
      </c>
      <c r="X56" s="16" t="n">
        <f aca="false">Data!AC45+Data!AC46+Data!AC47+Data!AC48+Data!AC49+Data!AC50+Data!AC51+Data!AC52+Data!AC53+Data!AC54+Data!AC55+Data!AC56</f>
        <v>174291</v>
      </c>
      <c r="Y56" s="16" t="n">
        <f aca="false">Data!AD45+Data!AE45+Data!AF45+Data!AG45+Data!AH45+Data!AD46+Data!AE46+Data!AF46+Data!AG46+Data!AH46+Data!AD47+Data!AE47+Data!AF47+Data!AG47+Data!AH47+Data!AD48+Data!AE48+Data!AF48+Data!AG48+Data!AH48+Data!AD49+Data!AE49+Data!AF49+Data!AG49+Data!AH49+Data!AD50+Data!AE50+Data!AF50+Data!AG50+Data!AH50+Data!AD51+Data!AE51+Data!AF51+Data!AG51+Data!AH51+Data!AD52+Data!AE52+Data!AF52+Data!AG52+Data!AH52+Data!AD53+Data!AE53+Data!AF53+Data!AG53+Data!AH53+Data!AD54+Data!AE54+Data!AF54+Data!AG54+Data!AH54+Data!AD55+Data!AE55+Data!AF55+Data!AG55+Data!AH55+Data!AD56+Data!AE56+Data!AF56+Data!AG56+Data!AH56</f>
        <v>140191</v>
      </c>
      <c r="Z56" s="16" t="n">
        <f aca="false">Data!AI45+Data!AI46+Data!AI47+Data!AI48+Data!AI49+Data!AI50+Data!AI51+Data!AI52+Data!AI53+Data!AI54+Data!AI55+Data!AI56</f>
        <v>152367</v>
      </c>
      <c r="AA56" s="16" t="n">
        <f aca="false">Data!AJ45+Data!AJ46+Data!AJ47+Data!AJ48+Data!AJ49+Data!AJ50+Data!AJ51+Data!AJ52+Data!AJ53+Data!AJ54+Data!AJ55+Data!AJ56</f>
        <v>-3695</v>
      </c>
      <c r="AB56" s="16" t="n">
        <f aca="false">Data!AK45+Data!AK46+Data!AK47+Data!AK48+Data!AK49+Data!AK50+Data!AK51+Data!AK52+Data!AK53+Data!AK54+Data!AK55+Data!AK56</f>
        <v>47227</v>
      </c>
      <c r="AC56" s="16" t="n">
        <f aca="false">Data!AL45+Data!AL46+Data!AL47+Data!AL48+Data!AL49+Data!AL50+Data!AL51+Data!AL52+Data!AL53+Data!AL54+Data!AL55+Data!AL56</f>
        <v>227864</v>
      </c>
      <c r="AD56" s="15" t="n">
        <f aca="false">Data!AM45+Data!AM46+Data!AM47+Data!AM48+Data!AM49+Data!AM50+Data!AM51+Data!AM52+Data!AM53+Data!AM54+Data!AM55+Data!AM56</f>
        <v>-149767</v>
      </c>
      <c r="AE56" s="16" t="n">
        <f aca="false">Data!AN45+Data!AN46+Data!AN47+Data!AN48+Data!AN49+Data!AN50+Data!AN51+Data!AN52+Data!AN53+Data!AN54+Data!AN55+Data!AN56</f>
        <v>763090</v>
      </c>
      <c r="AF56" s="15" t="n">
        <f aca="false">Data!AO45+Data!AO46+Data!AO47+Data!AO48+Data!AO49+Data!AO50+Data!AO51+Data!AO52+Data!AO53+Data!AO54+Data!AO55+Data!AO56</f>
        <v>-912858</v>
      </c>
    </row>
    <row r="57" customFormat="false" ht="15" hidden="false" customHeight="false" outlineLevel="0" collapsed="false">
      <c r="B57" s="14" t="str">
        <f aca="false">Data!B57</f>
        <v>2020-03</v>
      </c>
      <c r="C57" s="15" t="n">
        <f aca="false">Data!D46+Data!E46+Data!F46+Data!G46+Data!H46+Data!I46+Data!J46+Data!K46+Data!L46+Data!M46+Data!N46+Data!O46+Data!P46+Data!Q46+Data!R46+Data!S46+Data!D47+Data!E47+Data!F47+Data!G47+Data!H47+Data!I47+Data!J47+Data!K47+Data!L47+Data!M47+Data!N47+Data!O47+Data!P47+Data!Q47+Data!R47+Data!S47+Data!D48+Data!E48+Data!F48+Data!G48+Data!H48+Data!I48+Data!J48+Data!K48+Data!L48+Data!M48+Data!N48+Data!O48+Data!P48+Data!Q48+Data!R48+Data!S48+Data!D49+Data!E49+Data!F49+Data!G49+Data!H49+Data!I49+Data!J49+Data!K49+Data!L49+Data!M49+Data!N49+Data!O49+Data!P49+Data!Q49+Data!R49+Data!S49+Data!D50+Data!E50+Data!F50+Data!G50+Data!H50+Data!I50+Data!J50+Data!K50+Data!L50+Data!M50+Data!N50+Data!O50+Data!P50+Data!Q50+Data!R50+Data!S50+Data!D51+Data!E51+Data!F51+Data!G51+Data!H51+Data!I51+Data!J51+Data!K51+Data!L51+Data!M51+Data!N51+Data!O51+Data!P51+Data!Q51+Data!R51+Data!S51+Data!D52+Data!E52+Data!F52+Data!G52+Data!H52+Data!I52+Data!J52+Data!K52+Data!L52+Data!M52+Data!N52+Data!O52+Data!P52+Data!Q52+Data!R52+Data!S52+Data!D53+Data!E53+Data!F53+Data!G53+Data!H53+Data!I53+Data!J53+Data!K53+Data!L53+Data!M53+Data!N53+Data!O53+Data!P53+Data!Q53+Data!R53+Data!S53+Data!D54+Data!E54+Data!F54+Data!G54+Data!H54+Data!I54+Data!J54+Data!K54+Data!L54+Data!M54+Data!N54+Data!O54+Data!P54+Data!Q54+Data!R54+Data!S54+Data!D55+Data!E55+Data!F55+Data!G55+Data!H55+Data!I55+Data!J55+Data!K55+Data!L55+Data!M55+Data!N55+Data!O55+Data!P55+Data!Q55+Data!R55+Data!S55+Data!D56+Data!E56+Data!F56+Data!G56+Data!H56+Data!I56+Data!J56+Data!K56+Data!L56+Data!M56+Data!N56+Data!O56+Data!P56+Data!Q56+Data!R56+Data!S56+Data!D57+Data!E57+Data!F57+Data!G57+Data!H57+Data!I57+Data!J57+Data!K57+Data!L57+Data!M57+Data!N57+Data!O57+Data!P57+Data!Q57+Data!R57+Data!S57</f>
        <v>4225215</v>
      </c>
      <c r="D57" s="16" t="n">
        <f aca="false">Data!D46+Data!E46+Data!G46+Data!H46+Data!I46+Data!J46+Data!K46+Data!L46+Data!M46+Data!D47+Data!E47+Data!G47+Data!H47+Data!I47+Data!J47+Data!K47+Data!L47+Data!M47+Data!D48+Data!E48+Data!G48+Data!H48+Data!I48+Data!J48+Data!K48+Data!L48+Data!M48+Data!D49+Data!E49+Data!G49+Data!H49+Data!I49+Data!J49+Data!K49+Data!L49+Data!M49+Data!D50+Data!E50+Data!G50+Data!H50+Data!I50+Data!J50+Data!K50+Data!L50+Data!M50+Data!D51+Data!E51+Data!G51+Data!H51+Data!I51+Data!J51+Data!K51+Data!L51+Data!M51+Data!D52+Data!E52+Data!G52+Data!H52+Data!I52+Data!J52+Data!K52+Data!L52+Data!M52+Data!D53+Data!E53+Data!G53+Data!H53+Data!I53+Data!J53+Data!K53+Data!L53+Data!M53+Data!D54+Data!E54+Data!G54+Data!H54+Data!I54+Data!J54+Data!K54+Data!L54+Data!M54+Data!D55+Data!E55+Data!G55+Data!H55+Data!I55+Data!J55+Data!K55+Data!L55+Data!M55+Data!D56+Data!E56+Data!G56+Data!H56+Data!I56+Data!J56+Data!K56+Data!L56+Data!M56+Data!D57+Data!E57+Data!G57+Data!H57+Data!I57+Data!J57+Data!K57+Data!L57+Data!M57</f>
        <v>2365046</v>
      </c>
      <c r="E57" s="16" t="n">
        <f aca="false">Data!D46+Data!D47+Data!D48+Data!D49+Data!D50+Data!D51+Data!D52+Data!D53+Data!D54+Data!D55+Data!D56+Data!D57</f>
        <v>725324</v>
      </c>
      <c r="F57" s="16" t="n">
        <f aca="false">Data!E46+Data!E47+Data!E48+Data!E49+Data!E50+Data!E51+Data!E52+Data!E53+Data!E54+Data!E55+Data!E56+Data!E57</f>
        <v>378728</v>
      </c>
      <c r="G57" s="16" t="n">
        <f aca="false">Data!K46+Data!K47+Data!K48+Data!K49+Data!K50+Data!K51+Data!K52+Data!K53+Data!K54+Data!K55+Data!K56+Data!K57</f>
        <v>411507</v>
      </c>
      <c r="H57" s="16" t="n">
        <f aca="false">Data!L46+Data!L47+Data!L48+Data!L49+Data!L50+Data!L51+Data!L52+Data!L53+Data!L54+Data!L55+Data!L56+Data!L57</f>
        <v>139604</v>
      </c>
      <c r="I57" s="16" t="n">
        <f aca="false">Data!G46+Data!G47+Data!G48+Data!G49+Data!G50+Data!G51+Data!G52+Data!G53+Data!G54+Data!G55+Data!G56+Data!G57</f>
        <v>367324</v>
      </c>
      <c r="J57" s="16" t="n">
        <f aca="false">Data!H46+Data!I46+Data!J46+Data!M46+Data!H47+Data!I47+Data!J47+Data!M47+Data!H48+Data!I48+Data!J48+Data!M48+Data!H49+Data!I49+Data!J49+Data!M49+Data!H50+Data!I50+Data!J50+Data!M50+Data!H51+Data!I51+Data!J51+Data!M51+Data!H52+Data!I52+Data!J52+Data!M52+Data!H53+Data!I53+Data!J53+Data!M53+Data!H54+Data!I54+Data!J54+Data!M54+Data!H55+Data!I55+Data!J55+Data!M55+Data!H56+Data!I56+Data!J56+Data!M56+Data!H57+Data!I57+Data!J57+Data!M57</f>
        <v>342559</v>
      </c>
      <c r="K57" s="16" t="n">
        <f aca="false">Data!F46+Data!F47+Data!F48+Data!F49+Data!F50+Data!F51+Data!F52+Data!F53+Data!F54+Data!F55+Data!F56+Data!F57</f>
        <v>1341599</v>
      </c>
      <c r="L57" s="16" t="n">
        <f aca="false">Data!N46+Data!O46+Data!P46+Data!Q46+Data!R46+Data!S46+Data!N47+Data!O47+Data!P47+Data!Q47+Data!R47+Data!S47+Data!N48+Data!O48+Data!P48+Data!Q48+Data!R48+Data!S48+Data!N49+Data!O49+Data!P49+Data!Q49+Data!R49+Data!S49+Data!N50+Data!O50+Data!P50+Data!Q50+Data!R50+Data!S50+Data!N51+Data!O51+Data!P51+Data!Q51+Data!R51+Data!S51+Data!N52+Data!O52+Data!P52+Data!Q52+Data!R52+Data!S52+Data!N53+Data!O53+Data!P53+Data!Q53+Data!R53+Data!S53+Data!N54+Data!O54+Data!P54+Data!Q54+Data!R54+Data!S54+Data!N55+Data!O55+Data!P55+Data!Q55+Data!R55+Data!S55+Data!N56+Data!O56+Data!P56+Data!Q56+Data!R56+Data!S56+Data!N57+Data!O57+Data!P57+Data!Q57+Data!R57+Data!S57</f>
        <v>518570</v>
      </c>
      <c r="M57" s="15" t="n">
        <f aca="false">Data!T46+Data!U46+Data!V46+Data!W46+Data!X46+Data!Y46+Data!Z46+Data!AA46+Data!AB46+Data!AC46+Data!AD46+Data!AE46+Data!AF46+Data!AG46+Data!AH46+Data!AI46+Data!AJ46+Data!AK46+Data!AL46+Data!T47+Data!U47+Data!V47+Data!W47+Data!X47+Data!Y47+Data!Z47+Data!AA47+Data!AB47+Data!AC47+Data!AD47+Data!AE47+Data!AF47+Data!AG47+Data!AH47+Data!AI47+Data!AJ47+Data!AK47+Data!AL47+Data!T48+Data!U48+Data!V48+Data!W48+Data!X48+Data!Y48+Data!Z48+Data!AA48+Data!AB48+Data!AC48+Data!AD48+Data!AE48+Data!AF48+Data!AG48+Data!AH48+Data!AI48+Data!AJ48+Data!AK48+Data!AL48+Data!T49+Data!U49+Data!V49+Data!W49+Data!X49+Data!Y49+Data!Z49+Data!AA49+Data!AB49+Data!AC49+Data!AD49+Data!AE49+Data!AF49+Data!AG49+Data!AH49+Data!AI49+Data!AJ49+Data!AK49+Data!AL49+Data!T50+Data!U50+Data!V50+Data!W50+Data!X50+Data!Y50+Data!Z50+Data!AA50+Data!AB50+Data!AC50+Data!AD50+Data!AE50+Data!AF50+Data!AG50+Data!AH50+Data!AI50+Data!AJ50+Data!AK50+Data!AL50+Data!T51+Data!U51+Data!V51+Data!W51+Data!X51+Data!Y51+Data!Z51+Data!AA51+Data!AB51+Data!AC51+Data!AD51+Data!AE51+Data!AF51+Data!AG51+Data!AH51+Data!AI51+Data!AJ51+Data!AK51+Data!AL51+Data!T52+Data!U52+Data!V52+Data!W52+Data!X52+Data!Y52+Data!Z52+Data!AA52+Data!AB52+Data!AC52+Data!AD52+Data!AE52+Data!AF52+Data!AG52+Data!AH52+Data!AI52+Data!AJ52+Data!AK52+Data!AL52+Data!T53+Data!U53+Data!V53+Data!W53+Data!X53+Data!Y53+Data!Z53+Data!AA53+Data!AB53+Data!AC53+Data!AD53+Data!AE53+Data!AF53+Data!AG53+Data!AH53+Data!AI53+Data!AJ53+Data!AK53+Data!AL53+Data!T54+Data!U54+Data!V54+Data!W54+Data!X54+Data!Y54+Data!Z54+Data!AA54+Data!AB54+Data!AC54+Data!AD54+Data!AE54+Data!AF54+Data!AG54+Data!AH54+Data!AI54+Data!AJ54+Data!AK54+Data!AL54+Data!T55+Data!U55+Data!V55+Data!W55+Data!X55+Data!Y55+Data!Z55+Data!AA55+Data!AB55+Data!AC55+Data!AD55+Data!AE55+Data!AF55+Data!AG55+Data!AH55+Data!AI55+Data!AJ55+Data!AK55+Data!AL55+Data!T56+Data!U56+Data!V56+Data!W56+Data!X56+Data!Y56+Data!Z56+Data!AA56+Data!AB56+Data!AC56+Data!AD56+Data!AE56+Data!AF56+Data!AG56+Data!AH56+Data!AI56+Data!AJ56+Data!AK56+Data!AL56+Data!T57+Data!U57+Data!V57+Data!W57+Data!X57+Data!Y57+Data!Z57+Data!AA57+Data!AB57+Data!AC57+Data!AD57+Data!AE57+Data!AF57+Data!AG57+Data!AH57+Data!AI57+Data!AJ57+Data!AK57+Data!AL57</f>
        <v>4486673</v>
      </c>
      <c r="N57" s="16" t="n">
        <f aca="false">Data!T46+Data!U46+Data!V46+Data!W46+Data!T47+Data!U47+Data!V47+Data!W47+Data!T48+Data!U48+Data!V48+Data!W48+Data!T49+Data!U49+Data!V49+Data!W49+Data!T50+Data!U50+Data!V50+Data!W50+Data!T51+Data!U51+Data!V51+Data!W51+Data!T52+Data!U52+Data!V52+Data!W52+Data!T53+Data!U53+Data!V53+Data!W53+Data!T54+Data!U54+Data!V54+Data!W54+Data!T55+Data!U55+Data!V55+Data!W55+Data!T56+Data!U56+Data!V56+Data!W56+Data!T57+Data!U57+Data!V57+Data!W57</f>
        <v>2551322</v>
      </c>
      <c r="O57" s="16" t="n">
        <f aca="false">Data!T46+Data!T47+Data!T48+Data!T49+Data!T50+Data!T51+Data!T52+Data!T53+Data!T54+Data!T55+Data!T56+Data!T57</f>
        <v>1856175</v>
      </c>
      <c r="P57" s="16" t="n">
        <f aca="false">Data!U46+Data!U47+Data!U48+Data!U49+Data!U50+Data!U51+Data!U52+Data!U53+Data!U54+Data!U55+Data!U56+Data!U57</f>
        <v>313513</v>
      </c>
      <c r="Q57" s="16" t="n">
        <f aca="false">Data!V46+Data!V47+Data!V48+Data!V49+Data!V50+Data!V51+Data!V52+Data!V53+Data!V54+Data!V55+Data!V56+Data!V57</f>
        <v>199428</v>
      </c>
      <c r="R57" s="16" t="n">
        <f aca="false">Data!W46+Data!W47+Data!W48+Data!W49+Data!W50+Data!W51+Data!W52+Data!W53+Data!W54+Data!W55+Data!W56+Data!W57</f>
        <v>182206</v>
      </c>
      <c r="S57" s="16" t="n">
        <f aca="false">Data!X46+Data!X47+Data!X48+Data!X49+Data!X50+Data!X51+Data!X52+Data!X53+Data!X54+Data!X55+Data!X56+Data!X57</f>
        <v>185251</v>
      </c>
      <c r="T57" s="16" t="n">
        <f aca="false">Data!Y46+Data!Z46+Data!AA46+Data!Y47+Data!Z47+Data!AA47+Data!Y48+Data!Z48+Data!AA48+Data!Y49+Data!Z49+Data!AA49+Data!Y50+Data!Z50+Data!AA50+Data!Y51+Data!Z51+Data!AA51+Data!Y52+Data!Z52+Data!AA52+Data!Y53+Data!Z53+Data!AA53+Data!Y54+Data!Z54+Data!AA54+Data!Y55+Data!Z55+Data!AA55+Data!Y56+Data!Z56+Data!AA56+Data!Y57+Data!Z57+Data!AA57</f>
        <v>390140</v>
      </c>
      <c r="U57" s="16" t="n">
        <f aca="false">Data!Y46+Data!Y47+Data!Y48+Data!Y49+Data!Y50+Data!Y51+Data!Y52+Data!Y53+Data!Y54+Data!Y55+Data!Y56+Data!Y57</f>
        <v>252010</v>
      </c>
      <c r="V57" s="16" t="n">
        <f aca="false">Data!Z46+Data!Z47+Data!Z48+Data!Z49+Data!Z50+Data!Z51+Data!Z52+Data!Z53+Data!Z54+Data!Z55+Data!Z56+Data!Z57</f>
        <v>134310</v>
      </c>
      <c r="W57" s="16" t="n">
        <f aca="false">Data!AB46+Data!AB47+Data!AB48+Data!AB49+Data!AB50+Data!AB51+Data!AB52+Data!AB53+Data!AB54+Data!AB55+Data!AB56+Data!AB57</f>
        <v>585899</v>
      </c>
      <c r="X57" s="16" t="n">
        <f aca="false">Data!AC46+Data!AC47+Data!AC48+Data!AC49+Data!AC50+Data!AC51+Data!AC52+Data!AC53+Data!AC54+Data!AC55+Data!AC56+Data!AC57</f>
        <v>176942</v>
      </c>
      <c r="Y57" s="16" t="n">
        <f aca="false">Data!AD46+Data!AE46+Data!AF46+Data!AG46+Data!AH46+Data!AD47+Data!AE47+Data!AF47+Data!AG47+Data!AH47+Data!AD48+Data!AE48+Data!AF48+Data!AG48+Data!AH48+Data!AD49+Data!AE49+Data!AF49+Data!AG49+Data!AH49+Data!AD50+Data!AE50+Data!AF50+Data!AG50+Data!AH50+Data!AD51+Data!AE51+Data!AF51+Data!AG51+Data!AH51+Data!AD52+Data!AE52+Data!AF52+Data!AG52+Data!AH52+Data!AD53+Data!AE53+Data!AF53+Data!AG53+Data!AH53+Data!AD54+Data!AE54+Data!AF54+Data!AG54+Data!AH54+Data!AD55+Data!AE55+Data!AF55+Data!AG55+Data!AH55+Data!AD56+Data!AE56+Data!AF56+Data!AG56+Data!AH56+Data!AD57+Data!AE57+Data!AF57+Data!AG57+Data!AH57</f>
        <v>153917</v>
      </c>
      <c r="Z57" s="16" t="n">
        <f aca="false">Data!AI46+Data!AI47+Data!AI48+Data!AI49+Data!AI50+Data!AI51+Data!AI52+Data!AI53+Data!AI54+Data!AI55+Data!AI56+Data!AI57</f>
        <v>170316</v>
      </c>
      <c r="AA57" s="16" t="n">
        <f aca="false">Data!AJ46+Data!AJ47+Data!AJ48+Data!AJ49+Data!AJ50+Data!AJ51+Data!AJ52+Data!AJ53+Data!AJ54+Data!AJ55+Data!AJ56+Data!AJ57</f>
        <v>-3108</v>
      </c>
      <c r="AB57" s="16" t="n">
        <f aca="false">Data!AK46+Data!AK47+Data!AK48+Data!AK49+Data!AK50+Data!AK51+Data!AK52+Data!AK53+Data!AK54+Data!AK55+Data!AK56+Data!AK57</f>
        <v>48584</v>
      </c>
      <c r="AC57" s="16" t="n">
        <f aca="false">Data!AL46+Data!AL47+Data!AL48+Data!AL49+Data!AL50+Data!AL51+Data!AL52+Data!AL53+Data!AL54+Data!AL55+Data!AL56+Data!AL57</f>
        <v>227410</v>
      </c>
      <c r="AD57" s="15" t="n">
        <f aca="false">Data!AM46+Data!AM47+Data!AM48+Data!AM49+Data!AM50+Data!AM51+Data!AM52+Data!AM53+Data!AM54+Data!AM55+Data!AM56+Data!AM57</f>
        <v>-261458</v>
      </c>
      <c r="AE57" s="16" t="n">
        <f aca="false">Data!AN46+Data!AN47+Data!AN48+Data!AN49+Data!AN50+Data!AN51+Data!AN52+Data!AN53+Data!AN54+Data!AN55+Data!AN56+Data!AN57</f>
        <v>767866</v>
      </c>
      <c r="AF57" s="15" t="n">
        <f aca="false">Data!AO46+Data!AO47+Data!AO48+Data!AO49+Data!AO50+Data!AO51+Data!AO52+Data!AO53+Data!AO54+Data!AO55+Data!AO56+Data!AO57</f>
        <v>-1029325</v>
      </c>
    </row>
    <row r="58" customFormat="false" ht="15" hidden="false" customHeight="false" outlineLevel="0" collapsed="false">
      <c r="B58" s="14" t="str">
        <f aca="false">Data!B58</f>
        <v>2020-04</v>
      </c>
      <c r="C58" s="15" t="n">
        <f aca="false">Data!D47+Data!E47+Data!F47+Data!G47+Data!H47+Data!I47+Data!J47+Data!K47+Data!L47+Data!M47+Data!N47+Data!O47+Data!P47+Data!Q47+Data!R47+Data!S47+Data!D48+Data!E48+Data!F48+Data!G48+Data!H48+Data!I48+Data!J48+Data!K48+Data!L48+Data!M48+Data!N48+Data!O48+Data!P48+Data!Q48+Data!R48+Data!S48+Data!D49+Data!E49+Data!F49+Data!G49+Data!H49+Data!I49+Data!J49+Data!K49+Data!L49+Data!M49+Data!N49+Data!O49+Data!P49+Data!Q49+Data!R49+Data!S49+Data!D50+Data!E50+Data!F50+Data!G50+Data!H50+Data!I50+Data!J50+Data!K50+Data!L50+Data!M50+Data!N50+Data!O50+Data!P50+Data!Q50+Data!R50+Data!S50+Data!D51+Data!E51+Data!F51+Data!G51+Data!H51+Data!I51+Data!J51+Data!K51+Data!L51+Data!M51+Data!N51+Data!O51+Data!P51+Data!Q51+Data!R51+Data!S51+Data!D52+Data!E52+Data!F52+Data!G52+Data!H52+Data!I52+Data!J52+Data!K52+Data!L52+Data!M52+Data!N52+Data!O52+Data!P52+Data!Q52+Data!R52+Data!S52+Data!D53+Data!E53+Data!F53+Data!G53+Data!H53+Data!I53+Data!J53+Data!K53+Data!L53+Data!M53+Data!N53+Data!O53+Data!P53+Data!Q53+Data!R53+Data!S53+Data!D54+Data!E54+Data!F54+Data!G54+Data!H54+Data!I54+Data!J54+Data!K54+Data!L54+Data!M54+Data!N54+Data!O54+Data!P54+Data!Q54+Data!R54+Data!S54+Data!D55+Data!E55+Data!F55+Data!G55+Data!H55+Data!I55+Data!J55+Data!K55+Data!L55+Data!M55+Data!N55+Data!O55+Data!P55+Data!Q55+Data!R55+Data!S55+Data!D56+Data!E56+Data!F56+Data!G56+Data!H56+Data!I56+Data!J56+Data!K56+Data!L56+Data!M56+Data!N56+Data!O56+Data!P56+Data!Q56+Data!R56+Data!S56+Data!D57+Data!E57+Data!F57+Data!G57+Data!H57+Data!I57+Data!J57+Data!K57+Data!L57+Data!M57+Data!N57+Data!O57+Data!P57+Data!Q57+Data!R57+Data!S57+Data!D58+Data!E58+Data!F58+Data!G58+Data!H58+Data!I58+Data!J58+Data!K58+Data!L58+Data!M58+Data!N58+Data!O58+Data!P58+Data!Q58+Data!R58+Data!S58</f>
        <v>4264037</v>
      </c>
      <c r="D58" s="16" t="n">
        <f aca="false">Data!D47+Data!E47+Data!G47+Data!H47+Data!I47+Data!J47+Data!K47+Data!L47+Data!M47+Data!D48+Data!E48+Data!G48+Data!H48+Data!I48+Data!J48+Data!K48+Data!L48+Data!M48+Data!D49+Data!E49+Data!G49+Data!H49+Data!I49+Data!J49+Data!K49+Data!L49+Data!M49+Data!D50+Data!E50+Data!G50+Data!H50+Data!I50+Data!J50+Data!K50+Data!L50+Data!M50+Data!D51+Data!E51+Data!G51+Data!H51+Data!I51+Data!J51+Data!K51+Data!L51+Data!M51+Data!D52+Data!E52+Data!G52+Data!H52+Data!I52+Data!J52+Data!K52+Data!L52+Data!M52+Data!D53+Data!E53+Data!G53+Data!H53+Data!I53+Data!J53+Data!K53+Data!L53+Data!M53+Data!D54+Data!E54+Data!G54+Data!H54+Data!I54+Data!J54+Data!K54+Data!L54+Data!M54+Data!D55+Data!E55+Data!G55+Data!H55+Data!I55+Data!J55+Data!K55+Data!L55+Data!M55+Data!D56+Data!E56+Data!G56+Data!H56+Data!I56+Data!J56+Data!K56+Data!L56+Data!M56+Data!D57+Data!E57+Data!G57+Data!H57+Data!I57+Data!J57+Data!K57+Data!L57+Data!M57+Data!D58+Data!E58+Data!G58+Data!H58+Data!I58+Data!J58+Data!K58+Data!L58+Data!M58</f>
        <v>2397752</v>
      </c>
      <c r="E58" s="16" t="n">
        <f aca="false">Data!D47+Data!D48+Data!D49+Data!D50+Data!D51+Data!D52+Data!D53+Data!D54+Data!D55+Data!D56+Data!D57+Data!D58</f>
        <v>733689</v>
      </c>
      <c r="F58" s="16" t="n">
        <f aca="false">Data!E47+Data!E48+Data!E49+Data!E50+Data!E51+Data!E52+Data!E53+Data!E54+Data!E55+Data!E56+Data!E57+Data!E58</f>
        <v>376892</v>
      </c>
      <c r="G58" s="16" t="n">
        <f aca="false">Data!K47+Data!K48+Data!K49+Data!K50+Data!K51+Data!K52+Data!K53+Data!K54+Data!K55+Data!K56+Data!K57+Data!K58</f>
        <v>417752</v>
      </c>
      <c r="H58" s="16" t="n">
        <f aca="false">Data!L47+Data!L48+Data!L49+Data!L50+Data!L51+Data!L52+Data!L53+Data!L54+Data!L55+Data!L56+Data!L57+Data!L58</f>
        <v>141086</v>
      </c>
      <c r="I58" s="16" t="n">
        <f aca="false">Data!G47+Data!G48+Data!G49+Data!G50+Data!G51+Data!G52+Data!G53+Data!G54+Data!G55+Data!G56+Data!G57+Data!G58</f>
        <v>379784</v>
      </c>
      <c r="J58" s="16" t="n">
        <f aca="false">Data!H47+Data!I47+Data!J47+Data!M47+Data!H48+Data!I48+Data!J48+Data!M48+Data!H49+Data!I49+Data!J49+Data!M49+Data!H50+Data!I50+Data!J50+Data!M50+Data!H51+Data!I51+Data!J51+Data!M51+Data!H52+Data!I52+Data!J52+Data!M52+Data!H53+Data!I53+Data!J53+Data!M53+Data!H54+Data!I54+Data!J54+Data!M54+Data!H55+Data!I55+Data!J55+Data!M55+Data!H56+Data!I56+Data!J56+Data!M56+Data!H57+Data!I57+Data!J57+Data!M57+Data!H58+Data!I58+Data!J58+Data!M58</f>
        <v>348549</v>
      </c>
      <c r="K58" s="16" t="n">
        <f aca="false">Data!F47+Data!F48+Data!F49+Data!F50+Data!F51+Data!F52+Data!F53+Data!F54+Data!F55+Data!F56+Data!F57+Data!F58</f>
        <v>1347707</v>
      </c>
      <c r="L58" s="16" t="n">
        <f aca="false">Data!N47+Data!O47+Data!P47+Data!Q47+Data!R47+Data!S47+Data!N48+Data!O48+Data!P48+Data!Q48+Data!R48+Data!S48+Data!N49+Data!O49+Data!P49+Data!Q49+Data!R49+Data!S49+Data!N50+Data!O50+Data!P50+Data!Q50+Data!R50+Data!S50+Data!N51+Data!O51+Data!P51+Data!Q51+Data!R51+Data!S51+Data!N52+Data!O52+Data!P52+Data!Q52+Data!R52+Data!S52+Data!N53+Data!O53+Data!P53+Data!Q53+Data!R53+Data!S53+Data!N54+Data!O54+Data!P54+Data!Q54+Data!R54+Data!S54+Data!N55+Data!O55+Data!P55+Data!Q55+Data!R55+Data!S55+Data!N56+Data!O56+Data!P56+Data!Q56+Data!R56+Data!S56+Data!N57+Data!O57+Data!P57+Data!Q57+Data!R57+Data!S57+Data!N58+Data!O58+Data!P58+Data!Q58+Data!R58+Data!S58</f>
        <v>518578</v>
      </c>
      <c r="M58" s="15" t="n">
        <f aca="false">Data!T47+Data!U47+Data!V47+Data!W47+Data!X47+Data!Y47+Data!Z47+Data!AA47+Data!AB47+Data!AC47+Data!AD47+Data!AE47+Data!AF47+Data!AG47+Data!AH47+Data!AI47+Data!AJ47+Data!AK47+Data!AL47+Data!T48+Data!U48+Data!V48+Data!W48+Data!X48+Data!Y48+Data!Z48+Data!AA48+Data!AB48+Data!AC48+Data!AD48+Data!AE48+Data!AF48+Data!AG48+Data!AH48+Data!AI48+Data!AJ48+Data!AK48+Data!AL48+Data!T49+Data!U49+Data!V49+Data!W49+Data!X49+Data!Y49+Data!Z49+Data!AA49+Data!AB49+Data!AC49+Data!AD49+Data!AE49+Data!AF49+Data!AG49+Data!AH49+Data!AI49+Data!AJ49+Data!AK49+Data!AL49+Data!T50+Data!U50+Data!V50+Data!W50+Data!X50+Data!Y50+Data!Z50+Data!AA50+Data!AB50+Data!AC50+Data!AD50+Data!AE50+Data!AF50+Data!AG50+Data!AH50+Data!AI50+Data!AJ50+Data!AK50+Data!AL50+Data!T51+Data!U51+Data!V51+Data!W51+Data!X51+Data!Y51+Data!Z51+Data!AA51+Data!AB51+Data!AC51+Data!AD51+Data!AE51+Data!AF51+Data!AG51+Data!AH51+Data!AI51+Data!AJ51+Data!AK51+Data!AL51+Data!T52+Data!U52+Data!V52+Data!W52+Data!X52+Data!Y52+Data!Z52+Data!AA52+Data!AB52+Data!AC52+Data!AD52+Data!AE52+Data!AF52+Data!AG52+Data!AH52+Data!AI52+Data!AJ52+Data!AK52+Data!AL52+Data!T53+Data!U53+Data!V53+Data!W53+Data!X53+Data!Y53+Data!Z53+Data!AA53+Data!AB53+Data!AC53+Data!AD53+Data!AE53+Data!AF53+Data!AG53+Data!AH53+Data!AI53+Data!AJ53+Data!AK53+Data!AL53+Data!T54+Data!U54+Data!V54+Data!W54+Data!X54+Data!Y54+Data!Z54+Data!AA54+Data!AB54+Data!AC54+Data!AD54+Data!AE54+Data!AF54+Data!AG54+Data!AH54+Data!AI54+Data!AJ54+Data!AK54+Data!AL54+Data!T55+Data!U55+Data!V55+Data!W55+Data!X55+Data!Y55+Data!Z55+Data!AA55+Data!AB55+Data!AC55+Data!AD55+Data!AE55+Data!AF55+Data!AG55+Data!AH55+Data!AI55+Data!AJ55+Data!AK55+Data!AL55+Data!T56+Data!U56+Data!V56+Data!W56+Data!X56+Data!Y56+Data!Z56+Data!AA56+Data!AB56+Data!AC56+Data!AD56+Data!AE56+Data!AF56+Data!AG56+Data!AH56+Data!AI56+Data!AJ56+Data!AK56+Data!AL56+Data!T57+Data!U57+Data!V57+Data!W57+Data!X57+Data!Y57+Data!Z57+Data!AA57+Data!AB57+Data!AC57+Data!AD57+Data!AE57+Data!AF57+Data!AG57+Data!AH57+Data!AI57+Data!AJ57+Data!AK57+Data!AL57+Data!T58+Data!U58+Data!V58+Data!W58+Data!X58+Data!Y58+Data!Z58+Data!AA58+Data!AB58+Data!AC58+Data!AD58+Data!AE58+Data!AF58+Data!AG58+Data!AH58+Data!AI58+Data!AJ58+Data!AK58+Data!AL58</f>
        <v>4754816</v>
      </c>
      <c r="N58" s="16" t="n">
        <f aca="false">Data!T47+Data!U47+Data!V47+Data!W47+Data!T48+Data!U48+Data!V48+Data!W48+Data!T49+Data!U49+Data!V49+Data!W49+Data!T50+Data!U50+Data!V50+Data!W50+Data!T51+Data!U51+Data!V51+Data!W51+Data!T52+Data!U52+Data!V52+Data!W52+Data!T53+Data!U53+Data!V53+Data!W53+Data!T54+Data!U54+Data!V54+Data!W54+Data!T55+Data!U55+Data!V55+Data!W55+Data!T56+Data!U56+Data!V56+Data!W56+Data!T57+Data!U57+Data!V57+Data!W57+Data!T58+Data!U58+Data!V58+Data!W58</f>
        <v>2638526</v>
      </c>
      <c r="O58" s="16" t="n">
        <f aca="false">Data!T47+Data!T48+Data!T49+Data!T50+Data!T51+Data!T52+Data!T53+Data!T54+Data!T55+Data!T56+Data!T57+Data!T58</f>
        <v>1913788</v>
      </c>
      <c r="P58" s="16" t="n">
        <f aca="false">Data!U47+Data!U48+Data!U49+Data!U50+Data!U51+Data!U52+Data!U53+Data!U54+Data!U55+Data!U56+Data!U57+Data!U58</f>
        <v>322066</v>
      </c>
      <c r="Q58" s="16" t="n">
        <f aca="false">Data!V47+Data!V48+Data!V49+Data!V50+Data!V51+Data!V52+Data!V53+Data!V54+Data!V55+Data!V56+Data!V57+Data!V58</f>
        <v>207012</v>
      </c>
      <c r="R58" s="16" t="n">
        <f aca="false">Data!W47+Data!W48+Data!W49+Data!W50+Data!W51+Data!W52+Data!W53+Data!W54+Data!W55+Data!W56+Data!W57+Data!W58</f>
        <v>195660</v>
      </c>
      <c r="S58" s="16" t="n">
        <f aca="false">Data!X47+Data!X48+Data!X49+Data!X50+Data!X51+Data!X52+Data!X53+Data!X54+Data!X55+Data!X56+Data!X57+Data!X58</f>
        <v>263831</v>
      </c>
      <c r="T58" s="16" t="n">
        <f aca="false">Data!Y47+Data!Z47+Data!AA47+Data!Y48+Data!Z48+Data!AA48+Data!Y49+Data!Z49+Data!AA49+Data!Y50+Data!Z50+Data!AA50+Data!Y51+Data!Z51+Data!AA51+Data!Y52+Data!Z52+Data!AA52+Data!Y53+Data!Z53+Data!AA53+Data!Y54+Data!Z54+Data!AA54+Data!Y55+Data!Z55+Data!AA55+Data!Y56+Data!Z56+Data!AA56+Data!Y57+Data!Z57+Data!AA57+Data!Y58+Data!Z58+Data!AA58</f>
        <v>425516</v>
      </c>
      <c r="U58" s="16" t="n">
        <f aca="false">Data!Y47+Data!Y48+Data!Y49+Data!Y50+Data!Y51+Data!Y52+Data!Y53+Data!Y54+Data!Y55+Data!Y56+Data!Y57+Data!Y58</f>
        <v>281274</v>
      </c>
      <c r="V58" s="16" t="n">
        <f aca="false">Data!Z47+Data!Z48+Data!Z49+Data!Z50+Data!Z51+Data!Z52+Data!Z53+Data!Z54+Data!Z55+Data!Z56+Data!Z57+Data!Z58</f>
        <v>140368</v>
      </c>
      <c r="W58" s="16" t="n">
        <f aca="false">Data!AB47+Data!AB48+Data!AB49+Data!AB50+Data!AB51+Data!AB52+Data!AB53+Data!AB54+Data!AB55+Data!AB56+Data!AB57+Data!AB58</f>
        <v>605753</v>
      </c>
      <c r="X58" s="16" t="n">
        <f aca="false">Data!AC47+Data!AC48+Data!AC49+Data!AC50+Data!AC51+Data!AC52+Data!AC53+Data!AC54+Data!AC55+Data!AC56+Data!AC57+Data!AC58</f>
        <v>180863</v>
      </c>
      <c r="Y58" s="16" t="n">
        <f aca="false">Data!AD47+Data!AE47+Data!AF47+Data!AG47+Data!AH47+Data!AD48+Data!AE48+Data!AF48+Data!AG48+Data!AH48+Data!AD49+Data!AE49+Data!AF49+Data!AG49+Data!AH49+Data!AD50+Data!AE50+Data!AF50+Data!AG50+Data!AH50+Data!AD51+Data!AE51+Data!AF51+Data!AG51+Data!AH51+Data!AD52+Data!AE52+Data!AF52+Data!AG52+Data!AH52+Data!AD53+Data!AE53+Data!AF53+Data!AG53+Data!AH53+Data!AD54+Data!AE54+Data!AF54+Data!AG54+Data!AH54+Data!AD55+Data!AE55+Data!AF55+Data!AG55+Data!AH55+Data!AD56+Data!AE56+Data!AF56+Data!AG56+Data!AH56+Data!AD57+Data!AE57+Data!AF57+Data!AG57+Data!AH57+Data!AD58+Data!AE58+Data!AF58+Data!AG58+Data!AH58</f>
        <v>197722</v>
      </c>
      <c r="Z58" s="16" t="n">
        <f aca="false">Data!AI47+Data!AI48+Data!AI49+Data!AI50+Data!AI51+Data!AI52+Data!AI53+Data!AI54+Data!AI55+Data!AI56+Data!AI57+Data!AI58</f>
        <v>161646</v>
      </c>
      <c r="AA58" s="16" t="n">
        <f aca="false">Data!AJ47+Data!AJ48+Data!AJ49+Data!AJ50+Data!AJ51+Data!AJ52+Data!AJ53+Data!AJ54+Data!AJ55+Data!AJ56+Data!AJ57+Data!AJ58</f>
        <v>-3739</v>
      </c>
      <c r="AB58" s="16" t="n">
        <f aca="false">Data!AK47+Data!AK48+Data!AK49+Data!AK50+Data!AK51+Data!AK52+Data!AK53+Data!AK54+Data!AK55+Data!AK56+Data!AK57+Data!AK58</f>
        <v>49900</v>
      </c>
      <c r="AC58" s="16" t="n">
        <f aca="false">Data!AL47+Data!AL48+Data!AL49+Data!AL50+Data!AL51+Data!AL52+Data!AL53+Data!AL54+Data!AL55+Data!AL56+Data!AL57+Data!AL58</f>
        <v>234798</v>
      </c>
      <c r="AD58" s="15" t="n">
        <f aca="false">Data!AM47+Data!AM48+Data!AM49+Data!AM50+Data!AM51+Data!AM52+Data!AM53+Data!AM54+Data!AM55+Data!AM56+Data!AM57+Data!AM58</f>
        <v>-490779</v>
      </c>
      <c r="AE58" s="16" t="n">
        <f aca="false">Data!AN47+Data!AN48+Data!AN49+Data!AN50+Data!AN51+Data!AN52+Data!AN53+Data!AN54+Data!AN55+Data!AN56+Data!AN57+Data!AN58</f>
        <v>738523</v>
      </c>
      <c r="AF58" s="15" t="n">
        <f aca="false">Data!AO47+Data!AO48+Data!AO49+Data!AO50+Data!AO51+Data!AO52+Data!AO53+Data!AO54+Data!AO55+Data!AO56+Data!AO57+Data!AO58</f>
        <v>-1229301</v>
      </c>
    </row>
    <row r="59" customFormat="false" ht="15" hidden="false" customHeight="false" outlineLevel="0" collapsed="false">
      <c r="B59" s="14" t="str">
        <f aca="false">Data!B59</f>
        <v>2020-05</v>
      </c>
      <c r="C59" s="15" t="n">
        <f aca="false">Data!D48+Data!E48+Data!F48+Data!G48+Data!H48+Data!I48+Data!J48+Data!K48+Data!L48+Data!M48+Data!N48+Data!O48+Data!P48+Data!Q48+Data!R48+Data!S48+Data!D49+Data!E49+Data!F49+Data!G49+Data!H49+Data!I49+Data!J49+Data!K49+Data!L49+Data!M49+Data!N49+Data!O49+Data!P49+Data!Q49+Data!R49+Data!S49+Data!D50+Data!E50+Data!F50+Data!G50+Data!H50+Data!I50+Data!J50+Data!K50+Data!L50+Data!M50+Data!N50+Data!O50+Data!P50+Data!Q50+Data!R50+Data!S50+Data!D51+Data!E51+Data!F51+Data!G51+Data!H51+Data!I51+Data!J51+Data!K51+Data!L51+Data!M51+Data!N51+Data!O51+Data!P51+Data!Q51+Data!R51+Data!S51+Data!D52+Data!E52+Data!F52+Data!G52+Data!H52+Data!I52+Data!J52+Data!K52+Data!L52+Data!M52+Data!N52+Data!O52+Data!P52+Data!Q52+Data!R52+Data!S52+Data!D53+Data!E53+Data!F53+Data!G53+Data!H53+Data!I53+Data!J53+Data!K53+Data!L53+Data!M53+Data!N53+Data!O53+Data!P53+Data!Q53+Data!R53+Data!S53+Data!D54+Data!E54+Data!F54+Data!G54+Data!H54+Data!I54+Data!J54+Data!K54+Data!L54+Data!M54+Data!N54+Data!O54+Data!P54+Data!Q54+Data!R54+Data!S54+Data!D55+Data!E55+Data!F55+Data!G55+Data!H55+Data!I55+Data!J55+Data!K55+Data!L55+Data!M55+Data!N55+Data!O55+Data!P55+Data!Q55+Data!R55+Data!S55+Data!D56+Data!E56+Data!F56+Data!G56+Data!H56+Data!I56+Data!J56+Data!K56+Data!L56+Data!M56+Data!N56+Data!O56+Data!P56+Data!Q56+Data!R56+Data!S56+Data!D57+Data!E57+Data!F57+Data!G57+Data!H57+Data!I57+Data!J57+Data!K57+Data!L57+Data!M57+Data!N57+Data!O57+Data!P57+Data!Q57+Data!R57+Data!S57+Data!D58+Data!E58+Data!F58+Data!G58+Data!H58+Data!I58+Data!J58+Data!K58+Data!L58+Data!M58+Data!N58+Data!O58+Data!P58+Data!Q58+Data!R58+Data!S58+Data!D59+Data!E59+Data!F59+Data!G59+Data!H59+Data!I59+Data!J59+Data!K59+Data!L59+Data!M59+Data!N59+Data!O59+Data!P59+Data!Q59+Data!R59+Data!S59</f>
        <v>4271810</v>
      </c>
      <c r="D59" s="16" t="n">
        <f aca="false">Data!D48+Data!E48+Data!G48+Data!H48+Data!I48+Data!J48+Data!K48+Data!L48+Data!M48+Data!D49+Data!E49+Data!G49+Data!H49+Data!I49+Data!J49+Data!K49+Data!L49+Data!M49+Data!D50+Data!E50+Data!G50+Data!H50+Data!I50+Data!J50+Data!K50+Data!L50+Data!M50+Data!D51+Data!E51+Data!G51+Data!H51+Data!I51+Data!J51+Data!K51+Data!L51+Data!M51+Data!D52+Data!E52+Data!G52+Data!H52+Data!I52+Data!J52+Data!K52+Data!L52+Data!M52+Data!D53+Data!E53+Data!G53+Data!H53+Data!I53+Data!J53+Data!K53+Data!L53+Data!M53+Data!D54+Data!E54+Data!G54+Data!H54+Data!I54+Data!J54+Data!K54+Data!L54+Data!M54+Data!D55+Data!E55+Data!G55+Data!H55+Data!I55+Data!J55+Data!K55+Data!L55+Data!M55+Data!D56+Data!E56+Data!G56+Data!H56+Data!I56+Data!J56+Data!K56+Data!L56+Data!M56+Data!D57+Data!E57+Data!G57+Data!H57+Data!I57+Data!J57+Data!K57+Data!L57+Data!M57+Data!D58+Data!E58+Data!G58+Data!H58+Data!I58+Data!J58+Data!K58+Data!L58+Data!M58+Data!D59+Data!E59+Data!G59+Data!H59+Data!I59+Data!J59+Data!K59+Data!L59+Data!M59</f>
        <v>2391059</v>
      </c>
      <c r="E59" s="16" t="n">
        <f aca="false">Data!D48+Data!D49+Data!D50+Data!D51+Data!D52+Data!D53+Data!D54+Data!D55+Data!D56+Data!D57+Data!D58+Data!D59</f>
        <v>728884</v>
      </c>
      <c r="F59" s="16" t="n">
        <f aca="false">Data!E48+Data!E49+Data!E50+Data!E51+Data!E52+Data!E53+Data!E54+Data!E55+Data!E56+Data!E57+Data!E58+Data!E59</f>
        <v>378449</v>
      </c>
      <c r="G59" s="16" t="n">
        <f aca="false">Data!K48+Data!K49+Data!K50+Data!K51+Data!K52+Data!K53+Data!K54+Data!K55+Data!K56+Data!K57+Data!K58+Data!K59</f>
        <v>404353</v>
      </c>
      <c r="H59" s="16" t="n">
        <f aca="false">Data!L48+Data!L49+Data!L50+Data!L51+Data!L52+Data!L53+Data!L54+Data!L55+Data!L56+Data!L57+Data!L58+Data!L59</f>
        <v>140745</v>
      </c>
      <c r="I59" s="16" t="n">
        <f aca="false">Data!G48+Data!G49+Data!G50+Data!G51+Data!G52+Data!G53+Data!G54+Data!G55+Data!G56+Data!G57+Data!G58+Data!G59</f>
        <v>378350</v>
      </c>
      <c r="J59" s="16" t="n">
        <f aca="false">Data!H48+Data!I48+Data!J48+Data!M48+Data!H49+Data!I49+Data!J49+Data!M49+Data!H50+Data!I50+Data!J50+Data!M50+Data!H51+Data!I51+Data!J51+Data!M51+Data!H52+Data!I52+Data!J52+Data!M52+Data!H53+Data!I53+Data!J53+Data!M53+Data!H54+Data!I54+Data!J54+Data!M54+Data!H55+Data!I55+Data!J55+Data!M55+Data!H56+Data!I56+Data!J56+Data!M56+Data!H57+Data!I57+Data!J57+Data!M57+Data!H58+Data!I58+Data!J58+Data!M58+Data!H59+Data!I59+Data!J59+Data!M59</f>
        <v>360278</v>
      </c>
      <c r="K59" s="16" t="n">
        <f aca="false">Data!F48+Data!F49+Data!F50+Data!F51+Data!F52+Data!F53+Data!F54+Data!F55+Data!F56+Data!F57+Data!F58+Data!F59</f>
        <v>1359075</v>
      </c>
      <c r="L59" s="16" t="n">
        <f aca="false">Data!N48+Data!O48+Data!P48+Data!Q48+Data!R48+Data!S48+Data!N49+Data!O49+Data!P49+Data!Q49+Data!R49+Data!S49+Data!N50+Data!O50+Data!P50+Data!Q50+Data!R50+Data!S50+Data!N51+Data!O51+Data!P51+Data!Q51+Data!R51+Data!S51+Data!N52+Data!O52+Data!P52+Data!Q52+Data!R52+Data!S52+Data!N53+Data!O53+Data!P53+Data!Q53+Data!R53+Data!S53+Data!N54+Data!O54+Data!P54+Data!Q54+Data!R54+Data!S54+Data!N55+Data!O55+Data!P55+Data!Q55+Data!R55+Data!S55+Data!N56+Data!O56+Data!P56+Data!Q56+Data!R56+Data!S56+Data!N57+Data!O57+Data!P57+Data!Q57+Data!R57+Data!S57+Data!N58+Data!O58+Data!P58+Data!Q58+Data!R58+Data!S58+Data!N59+Data!O59+Data!P59+Data!Q59+Data!R59+Data!S59</f>
        <v>521676</v>
      </c>
      <c r="M59" s="15" t="n">
        <f aca="false">Data!T48+Data!U48+Data!V48+Data!W48+Data!X48+Data!Y48+Data!Z48+Data!AA48+Data!AB48+Data!AC48+Data!AD48+Data!AE48+Data!AF48+Data!AG48+Data!AH48+Data!AI48+Data!AJ48+Data!AK48+Data!AL48+Data!T49+Data!U49+Data!V49+Data!W49+Data!X49+Data!Y49+Data!Z49+Data!AA49+Data!AB49+Data!AC49+Data!AD49+Data!AE49+Data!AF49+Data!AG49+Data!AH49+Data!AI49+Data!AJ49+Data!AK49+Data!AL49+Data!T50+Data!U50+Data!V50+Data!W50+Data!X50+Data!Y50+Data!Z50+Data!AA50+Data!AB50+Data!AC50+Data!AD50+Data!AE50+Data!AF50+Data!AG50+Data!AH50+Data!AI50+Data!AJ50+Data!AK50+Data!AL50+Data!T51+Data!U51+Data!V51+Data!W51+Data!X51+Data!Y51+Data!Z51+Data!AA51+Data!AB51+Data!AC51+Data!AD51+Data!AE51+Data!AF51+Data!AG51+Data!AH51+Data!AI51+Data!AJ51+Data!AK51+Data!AL51+Data!T52+Data!U52+Data!V52+Data!W52+Data!X52+Data!Y52+Data!Z52+Data!AA52+Data!AB52+Data!AC52+Data!AD52+Data!AE52+Data!AF52+Data!AG52+Data!AH52+Data!AI52+Data!AJ52+Data!AK52+Data!AL52+Data!T53+Data!U53+Data!V53+Data!W53+Data!X53+Data!Y53+Data!Z53+Data!AA53+Data!AB53+Data!AC53+Data!AD53+Data!AE53+Data!AF53+Data!AG53+Data!AH53+Data!AI53+Data!AJ53+Data!AK53+Data!AL53+Data!T54+Data!U54+Data!V54+Data!W54+Data!X54+Data!Y54+Data!Z54+Data!AA54+Data!AB54+Data!AC54+Data!AD54+Data!AE54+Data!AF54+Data!AG54+Data!AH54+Data!AI54+Data!AJ54+Data!AK54+Data!AL54+Data!T55+Data!U55+Data!V55+Data!W55+Data!X55+Data!Y55+Data!Z55+Data!AA55+Data!AB55+Data!AC55+Data!AD55+Data!AE55+Data!AF55+Data!AG55+Data!AH55+Data!AI55+Data!AJ55+Data!AK55+Data!AL55+Data!T56+Data!U56+Data!V56+Data!W56+Data!X56+Data!Y56+Data!Z56+Data!AA56+Data!AB56+Data!AC56+Data!AD56+Data!AE56+Data!AF56+Data!AG56+Data!AH56+Data!AI56+Data!AJ56+Data!AK56+Data!AL56+Data!T57+Data!U57+Data!V57+Data!W57+Data!X57+Data!Y57+Data!Z57+Data!AA57+Data!AB57+Data!AC57+Data!AD57+Data!AE57+Data!AF57+Data!AG57+Data!AH57+Data!AI57+Data!AJ57+Data!AK57+Data!AL57+Data!T58+Data!U58+Data!V58+Data!W58+Data!X58+Data!Y58+Data!Z58+Data!AA58+Data!AB58+Data!AC58+Data!AD58+Data!AE58+Data!AF58+Data!AG58+Data!AH58+Data!AI58+Data!AJ58+Data!AK58+Data!AL58+Data!T59+Data!U59+Data!V59+Data!W59+Data!X59+Data!Y59+Data!Z59+Data!AA59+Data!AB59+Data!AC59+Data!AD59+Data!AE59+Data!AF59+Data!AG59+Data!AH59+Data!AI59+Data!AJ59+Data!AK59+Data!AL59</f>
        <v>5039850</v>
      </c>
      <c r="N59" s="16" t="n">
        <f aca="false">Data!T48+Data!U48+Data!V48+Data!W48+Data!T49+Data!U49+Data!V49+Data!W49+Data!T50+Data!U50+Data!V50+Data!W50+Data!T51+Data!U51+Data!V51+Data!W51+Data!T52+Data!U52+Data!V52+Data!W52+Data!T53+Data!U53+Data!V53+Data!W53+Data!T54+Data!U54+Data!V54+Data!W54+Data!T55+Data!U55+Data!V55+Data!W55+Data!T56+Data!U56+Data!V56+Data!W56+Data!T57+Data!U57+Data!V57+Data!W57+Data!T58+Data!U58+Data!V58+Data!W58+Data!T59+Data!U59+Data!V59+Data!W59</f>
        <v>2711353</v>
      </c>
      <c r="O59" s="16" t="n">
        <f aca="false">Data!T48+Data!T49+Data!T50+Data!T51+Data!T52+Data!T53+Data!T54+Data!T55+Data!T56+Data!T57+Data!T58+Data!T59</f>
        <v>1967099</v>
      </c>
      <c r="P59" s="16" t="n">
        <f aca="false">Data!U48+Data!U49+Data!U50+Data!U51+Data!U52+Data!U53+Data!U54+Data!U55+Data!U56+Data!U57+Data!U58+Data!U59</f>
        <v>329623</v>
      </c>
      <c r="Q59" s="16" t="n">
        <f aca="false">Data!V48+Data!V49+Data!V50+Data!V51+Data!V52+Data!V53+Data!V54+Data!V55+Data!V56+Data!V57+Data!V58+Data!V59</f>
        <v>212331</v>
      </c>
      <c r="R59" s="16" t="n">
        <f aca="false">Data!W48+Data!W49+Data!W50+Data!W51+Data!W52+Data!W53+Data!W54+Data!W55+Data!W56+Data!W57+Data!W58+Data!W59</f>
        <v>202300</v>
      </c>
      <c r="S59" s="16" t="n">
        <f aca="false">Data!X48+Data!X49+Data!X50+Data!X51+Data!X52+Data!X53+Data!X54+Data!X55+Data!X56+Data!X57+Data!X58+Data!X59</f>
        <v>363572</v>
      </c>
      <c r="T59" s="16" t="n">
        <f aca="false">Data!Y48+Data!Z48+Data!AA48+Data!Y49+Data!Z49+Data!AA49+Data!Y50+Data!Z50+Data!AA50+Data!Y51+Data!Z51+Data!AA51+Data!Y52+Data!Z52+Data!AA52+Data!Y53+Data!Z53+Data!AA53+Data!Y54+Data!Z54+Data!AA54+Data!Y55+Data!Z55+Data!AA55+Data!Y56+Data!Z56+Data!AA56+Data!Y57+Data!Z57+Data!AA57+Data!Y58+Data!Z58+Data!AA58+Data!Y59+Data!Z59+Data!AA59</f>
        <v>468752</v>
      </c>
      <c r="U59" s="16" t="n">
        <f aca="false">Data!Y48+Data!Y49+Data!Y50+Data!Y51+Data!Y52+Data!Y53+Data!Y54+Data!Y55+Data!Y56+Data!Y57+Data!Y58+Data!Y59</f>
        <v>316322</v>
      </c>
      <c r="V59" s="16" t="n">
        <f aca="false">Data!Z48+Data!Z49+Data!Z50+Data!Z51+Data!Z52+Data!Z53+Data!Z54+Data!Z55+Data!Z56+Data!Z57+Data!Z58+Data!Z59</f>
        <v>148630</v>
      </c>
      <c r="W59" s="16" t="n">
        <f aca="false">Data!AB48+Data!AB49+Data!AB50+Data!AB51+Data!AB52+Data!AB53+Data!AB54+Data!AB55+Data!AB56+Data!AB57+Data!AB58+Data!AB59</f>
        <v>615314</v>
      </c>
      <c r="X59" s="16" t="n">
        <f aca="false">Data!AC48+Data!AC49+Data!AC50+Data!AC51+Data!AC52+Data!AC53+Data!AC54+Data!AC55+Data!AC56+Data!AC57+Data!AC58+Data!AC59</f>
        <v>185510</v>
      </c>
      <c r="Y59" s="16" t="n">
        <f aca="false">Data!AD48+Data!AE48+Data!AF48+Data!AG48+Data!AH48+Data!AD49+Data!AE49+Data!AF49+Data!AG49+Data!AH49+Data!AD50+Data!AE50+Data!AF50+Data!AG50+Data!AH50+Data!AD51+Data!AE51+Data!AF51+Data!AG51+Data!AH51+Data!AD52+Data!AE52+Data!AF52+Data!AG52+Data!AH52+Data!AD53+Data!AE53+Data!AF53+Data!AG53+Data!AH53+Data!AD54+Data!AE54+Data!AF54+Data!AG54+Data!AH54+Data!AD55+Data!AE55+Data!AF55+Data!AG55+Data!AH55+Data!AD56+Data!AE56+Data!AF56+Data!AG56+Data!AH56+Data!AD57+Data!AE57+Data!AF57+Data!AG57+Data!AH57+Data!AD58+Data!AE58+Data!AF58+Data!AG58+Data!AH58+Data!AD59+Data!AE59+Data!AF59+Data!AG59+Data!AH59</f>
        <v>235888</v>
      </c>
      <c r="Z59" s="16" t="n">
        <f aca="false">Data!AI48+Data!AI49+Data!AI50+Data!AI51+Data!AI52+Data!AI53+Data!AI54+Data!AI55+Data!AI56+Data!AI57+Data!AI58+Data!AI59</f>
        <v>166210</v>
      </c>
      <c r="AA59" s="16" t="n">
        <f aca="false">Data!AJ48+Data!AJ49+Data!AJ50+Data!AJ51+Data!AJ52+Data!AJ53+Data!AJ54+Data!AJ55+Data!AJ56+Data!AJ57+Data!AJ58+Data!AJ59</f>
        <v>-1528</v>
      </c>
      <c r="AB59" s="16" t="n">
        <f aca="false">Data!AK48+Data!AK49+Data!AK50+Data!AK51+Data!AK52+Data!AK53+Data!AK54+Data!AK55+Data!AK56+Data!AK57+Data!AK58+Data!AK59</f>
        <v>54314</v>
      </c>
      <c r="AC59" s="16" t="n">
        <f aca="false">Data!AL48+Data!AL49+Data!AL50+Data!AL51+Data!AL52+Data!AL53+Data!AL54+Data!AL55+Data!AL56+Data!AL57+Data!AL58+Data!AL59</f>
        <v>240465</v>
      </c>
      <c r="AD59" s="15" t="n">
        <f aca="false">Data!AM48+Data!AM49+Data!AM50+Data!AM51+Data!AM52+Data!AM53+Data!AM54+Data!AM55+Data!AM56+Data!AM57+Data!AM58+Data!AM59</f>
        <v>-768040</v>
      </c>
      <c r="AE59" s="16" t="n">
        <f aca="false">Data!AN48+Data!AN49+Data!AN50+Data!AN51+Data!AN52+Data!AN53+Data!AN54+Data!AN55+Data!AN56+Data!AN57+Data!AN58+Data!AN59</f>
        <v>730847</v>
      </c>
      <c r="AF59" s="15" t="n">
        <f aca="false">Data!AO48+Data!AO49+Data!AO50+Data!AO51+Data!AO52+Data!AO53+Data!AO54+Data!AO55+Data!AO56+Data!AO57+Data!AO58+Data!AO59</f>
        <v>-1498886</v>
      </c>
    </row>
    <row r="60" customFormat="false" ht="15" hidden="false" customHeight="false" outlineLevel="0" collapsed="false">
      <c r="B60" s="14" t="str">
        <f aca="false">Data!B60</f>
        <v>2020-06</v>
      </c>
      <c r="C60" s="15" t="n">
        <f aca="false">Data!D49+Data!E49+Data!F49+Data!G49+Data!H49+Data!I49+Data!J49+Data!K49+Data!L49+Data!M49+Data!N49+Data!O49+Data!P49+Data!Q49+Data!R49+Data!S49+Data!D50+Data!E50+Data!F50+Data!G50+Data!H50+Data!I50+Data!J50+Data!K50+Data!L50+Data!M50+Data!N50+Data!O50+Data!P50+Data!Q50+Data!R50+Data!S50+Data!D51+Data!E51+Data!F51+Data!G51+Data!H51+Data!I51+Data!J51+Data!K51+Data!L51+Data!M51+Data!N51+Data!O51+Data!P51+Data!Q51+Data!R51+Data!S51+Data!D52+Data!E52+Data!F52+Data!G52+Data!H52+Data!I52+Data!J52+Data!K52+Data!L52+Data!M52+Data!N52+Data!O52+Data!P52+Data!Q52+Data!R52+Data!S52+Data!D53+Data!E53+Data!F53+Data!G53+Data!H53+Data!I53+Data!J53+Data!K53+Data!L53+Data!M53+Data!N53+Data!O53+Data!P53+Data!Q53+Data!R53+Data!S53+Data!D54+Data!E54+Data!F54+Data!G54+Data!H54+Data!I54+Data!J54+Data!K54+Data!L54+Data!M54+Data!N54+Data!O54+Data!P54+Data!Q54+Data!R54+Data!S54+Data!D55+Data!E55+Data!F55+Data!G55+Data!H55+Data!I55+Data!J55+Data!K55+Data!L55+Data!M55+Data!N55+Data!O55+Data!P55+Data!Q55+Data!R55+Data!S55+Data!D56+Data!E56+Data!F56+Data!G56+Data!H56+Data!I56+Data!J56+Data!K56+Data!L56+Data!M56+Data!N56+Data!O56+Data!P56+Data!Q56+Data!R56+Data!S56+Data!D57+Data!E57+Data!F57+Data!G57+Data!H57+Data!I57+Data!J57+Data!K57+Data!L57+Data!M57+Data!N57+Data!O57+Data!P57+Data!Q57+Data!R57+Data!S57+Data!D58+Data!E58+Data!F58+Data!G58+Data!H58+Data!I58+Data!J58+Data!K58+Data!L58+Data!M58+Data!N58+Data!O58+Data!P58+Data!Q58+Data!R58+Data!S58+Data!D59+Data!E59+Data!F59+Data!G59+Data!H59+Data!I59+Data!J59+Data!K59+Data!L59+Data!M59+Data!N59+Data!O59+Data!P59+Data!Q59+Data!R59+Data!S59+Data!D60+Data!E60+Data!F60+Data!G60+Data!H60+Data!I60+Data!J60+Data!K60+Data!L60+Data!M60+Data!N60+Data!O60+Data!P60+Data!Q60+Data!R60+Data!S60</f>
        <v>4301093</v>
      </c>
      <c r="D60" s="16" t="n">
        <f aca="false">Data!D49+Data!E49+Data!G49+Data!H49+Data!I49+Data!J49+Data!K49+Data!L49+Data!M49+Data!D50+Data!E50+Data!G50+Data!H50+Data!I50+Data!J50+Data!K50+Data!L50+Data!M50+Data!D51+Data!E51+Data!G51+Data!H51+Data!I51+Data!J51+Data!K51+Data!L51+Data!M51+Data!D52+Data!E52+Data!G52+Data!H52+Data!I52+Data!J52+Data!K52+Data!L52+Data!M52+Data!D53+Data!E53+Data!G53+Data!H53+Data!I53+Data!J53+Data!K53+Data!L53+Data!M53+Data!D54+Data!E54+Data!G54+Data!H54+Data!I54+Data!J54+Data!K54+Data!L54+Data!M54+Data!D55+Data!E55+Data!G55+Data!H55+Data!I55+Data!J55+Data!K55+Data!L55+Data!M55+Data!D56+Data!E56+Data!G56+Data!H56+Data!I56+Data!J56+Data!K56+Data!L56+Data!M56+Data!D57+Data!E57+Data!G57+Data!H57+Data!I57+Data!J57+Data!K57+Data!L57+Data!M57+Data!D58+Data!E58+Data!G58+Data!H58+Data!I58+Data!J58+Data!K58+Data!L58+Data!M58+Data!D59+Data!E59+Data!G59+Data!H59+Data!I59+Data!J59+Data!K59+Data!L59+Data!M59+Data!D60+Data!E60+Data!G60+Data!H60+Data!I60+Data!J60+Data!K60+Data!L60+Data!M60</f>
        <v>2445066</v>
      </c>
      <c r="E60" s="16" t="n">
        <f aca="false">Data!D49+Data!D50+Data!D51+Data!D52+Data!D53+Data!D54+Data!D55+Data!D56+Data!D57+Data!D58+Data!D59+Data!D60</f>
        <v>735984</v>
      </c>
      <c r="F60" s="16" t="n">
        <f aca="false">Data!E49+Data!E50+Data!E51+Data!E52+Data!E53+Data!E54+Data!E55+Data!E56+Data!E57+Data!E58+Data!E59+Data!E60</f>
        <v>381545</v>
      </c>
      <c r="G60" s="16" t="n">
        <f aca="false">Data!K49+Data!K50+Data!K51+Data!K52+Data!K53+Data!K54+Data!K55+Data!K56+Data!K57+Data!K58+Data!K59+Data!K60</f>
        <v>409205</v>
      </c>
      <c r="H60" s="16" t="n">
        <f aca="false">Data!L49+Data!L50+Data!L51+Data!L52+Data!L53+Data!L54+Data!L55+Data!L56+Data!L57+Data!L58+Data!L59+Data!L60</f>
        <v>143009</v>
      </c>
      <c r="I60" s="16" t="n">
        <f aca="false">Data!G49+Data!G50+Data!G51+Data!G52+Data!G53+Data!G54+Data!G55+Data!G56+Data!G57+Data!G58+Data!G59+Data!G60</f>
        <v>392304</v>
      </c>
      <c r="J60" s="16" t="n">
        <f aca="false">Data!H49+Data!I49+Data!J49+Data!M49+Data!H50+Data!I50+Data!J50+Data!M50+Data!H51+Data!I51+Data!J51+Data!M51+Data!H52+Data!I52+Data!J52+Data!M52+Data!H53+Data!I53+Data!J53+Data!M53+Data!H54+Data!I54+Data!J54+Data!M54+Data!H55+Data!I55+Data!J55+Data!M55+Data!H56+Data!I56+Data!J56+Data!M56+Data!H57+Data!I57+Data!J57+Data!M57+Data!H58+Data!I58+Data!J58+Data!M58+Data!H59+Data!I59+Data!J59+Data!M59+Data!H60+Data!I60+Data!J60+Data!M60</f>
        <v>383019</v>
      </c>
      <c r="K60" s="16" t="n">
        <f aca="false">Data!F49+Data!F50+Data!F51+Data!F52+Data!F53+Data!F54+Data!F55+Data!F56+Data!F57+Data!F58+Data!F59+Data!F60</f>
        <v>1380640</v>
      </c>
      <c r="L60" s="16" t="n">
        <f aca="false">Data!N49+Data!O49+Data!P49+Data!Q49+Data!R49+Data!S49+Data!N50+Data!O50+Data!P50+Data!Q50+Data!R50+Data!S50+Data!N51+Data!O51+Data!P51+Data!Q51+Data!R51+Data!S51+Data!N52+Data!O52+Data!P52+Data!Q52+Data!R52+Data!S52+Data!N53+Data!O53+Data!P53+Data!Q53+Data!R53+Data!S53+Data!N54+Data!O54+Data!P54+Data!Q54+Data!R54+Data!S54+Data!N55+Data!O55+Data!P55+Data!Q55+Data!R55+Data!S55+Data!N56+Data!O56+Data!P56+Data!Q56+Data!R56+Data!S56+Data!N57+Data!O57+Data!P57+Data!Q57+Data!R57+Data!S57+Data!N58+Data!O58+Data!P58+Data!Q58+Data!R58+Data!S58+Data!N59+Data!O59+Data!P59+Data!Q59+Data!R59+Data!S59+Data!N60+Data!O60+Data!P60+Data!Q60+Data!R60+Data!S60</f>
        <v>475387</v>
      </c>
      <c r="M60" s="15" t="n">
        <f aca="false">Data!T49+Data!U49+Data!V49+Data!W49+Data!X49+Data!Y49+Data!Z49+Data!AA49+Data!AB49+Data!AC49+Data!AD49+Data!AE49+Data!AF49+Data!AG49+Data!AH49+Data!AI49+Data!AJ49+Data!AK49+Data!AL49+Data!T50+Data!U50+Data!V50+Data!W50+Data!X50+Data!Y50+Data!Z50+Data!AA50+Data!AB50+Data!AC50+Data!AD50+Data!AE50+Data!AF50+Data!AG50+Data!AH50+Data!AI50+Data!AJ50+Data!AK50+Data!AL50+Data!T51+Data!U51+Data!V51+Data!W51+Data!X51+Data!Y51+Data!Z51+Data!AA51+Data!AB51+Data!AC51+Data!AD51+Data!AE51+Data!AF51+Data!AG51+Data!AH51+Data!AI51+Data!AJ51+Data!AK51+Data!AL51+Data!T52+Data!U52+Data!V52+Data!W52+Data!X52+Data!Y52+Data!Z52+Data!AA52+Data!AB52+Data!AC52+Data!AD52+Data!AE52+Data!AF52+Data!AG52+Data!AH52+Data!AI52+Data!AJ52+Data!AK52+Data!AL52+Data!T53+Data!U53+Data!V53+Data!W53+Data!X53+Data!Y53+Data!Z53+Data!AA53+Data!AB53+Data!AC53+Data!AD53+Data!AE53+Data!AF53+Data!AG53+Data!AH53+Data!AI53+Data!AJ53+Data!AK53+Data!AL53+Data!T54+Data!U54+Data!V54+Data!W54+Data!X54+Data!Y54+Data!Z54+Data!AA54+Data!AB54+Data!AC54+Data!AD54+Data!AE54+Data!AF54+Data!AG54+Data!AH54+Data!AI54+Data!AJ54+Data!AK54+Data!AL54+Data!T55+Data!U55+Data!V55+Data!W55+Data!X55+Data!Y55+Data!Z55+Data!AA55+Data!AB55+Data!AC55+Data!AD55+Data!AE55+Data!AF55+Data!AG55+Data!AH55+Data!AI55+Data!AJ55+Data!AK55+Data!AL55+Data!T56+Data!U56+Data!V56+Data!W56+Data!X56+Data!Y56+Data!Z56+Data!AA56+Data!AB56+Data!AC56+Data!AD56+Data!AE56+Data!AF56+Data!AG56+Data!AH56+Data!AI56+Data!AJ56+Data!AK56+Data!AL56+Data!T57+Data!U57+Data!V57+Data!W57+Data!X57+Data!Y57+Data!Z57+Data!AA57+Data!AB57+Data!AC57+Data!AD57+Data!AE57+Data!AF57+Data!AG57+Data!AH57+Data!AI57+Data!AJ57+Data!AK57+Data!AL57+Data!T58+Data!U58+Data!V58+Data!W58+Data!X58+Data!Y58+Data!Z58+Data!AA58+Data!AB58+Data!AC58+Data!AD58+Data!AE58+Data!AF58+Data!AG58+Data!AH58+Data!AI58+Data!AJ58+Data!AK58+Data!AL58+Data!T59+Data!U59+Data!V59+Data!W59+Data!X59+Data!Y59+Data!Z59+Data!AA59+Data!AB59+Data!AC59+Data!AD59+Data!AE59+Data!AF59+Data!AG59+Data!AH59+Data!AI59+Data!AJ59+Data!AK59+Data!AL59+Data!T60+Data!U60+Data!V60+Data!W60+Data!X60+Data!Y60+Data!Z60+Data!AA60+Data!AB60+Data!AC60+Data!AD60+Data!AE60+Data!AF60+Data!AG60+Data!AH60+Data!AI60+Data!AJ60+Data!AK60+Data!AL60</f>
        <v>5316241</v>
      </c>
      <c r="N60" s="16" t="n">
        <f aca="false">Data!T49+Data!U49+Data!V49+Data!W49+Data!T50+Data!U50+Data!V50+Data!W50+Data!T51+Data!U51+Data!V51+Data!W51+Data!T52+Data!U52+Data!V52+Data!W52+Data!T53+Data!U53+Data!V53+Data!W53+Data!T54+Data!U54+Data!V54+Data!W54+Data!T55+Data!U55+Data!V55+Data!W55+Data!T56+Data!U56+Data!V56+Data!W56+Data!T57+Data!U57+Data!V57+Data!W57+Data!T58+Data!U58+Data!V58+Data!W58+Data!T59+Data!U59+Data!V59+Data!W59+Data!T60+Data!U60+Data!V60+Data!W60</f>
        <v>2818056</v>
      </c>
      <c r="O60" s="16" t="n">
        <f aca="false">Data!T49+Data!T50+Data!T51+Data!T52+Data!T53+Data!T54+Data!T55+Data!T56+Data!T57+Data!T58+Data!T59+Data!T60</f>
        <v>2050641</v>
      </c>
      <c r="P60" s="16" t="n">
        <f aca="false">Data!U49+Data!U50+Data!U51+Data!U52+Data!U53+Data!U54+Data!U55+Data!U56+Data!U57+Data!U58+Data!U59+Data!U60</f>
        <v>335905</v>
      </c>
      <c r="Q60" s="16" t="n">
        <f aca="false">Data!V49+Data!V50+Data!V51+Data!V52+Data!V53+Data!V54+Data!V55+Data!V56+Data!V57+Data!V58+Data!V59+Data!V60</f>
        <v>219238</v>
      </c>
      <c r="R60" s="16" t="n">
        <f aca="false">Data!W49+Data!W50+Data!W51+Data!W52+Data!W53+Data!W54+Data!W55+Data!W56+Data!W57+Data!W58+Data!W59+Data!W60</f>
        <v>212272</v>
      </c>
      <c r="S60" s="16" t="n">
        <f aca="false">Data!X49+Data!X50+Data!X51+Data!X52+Data!X53+Data!X54+Data!X55+Data!X56+Data!X57+Data!X58+Data!X59+Data!X60</f>
        <v>474762</v>
      </c>
      <c r="T60" s="16" t="n">
        <f aca="false">Data!Y49+Data!Z49+Data!AA49+Data!Y50+Data!Z50+Data!AA50+Data!Y51+Data!Z51+Data!AA51+Data!Y52+Data!Z52+Data!AA52+Data!Y53+Data!Z53+Data!AA53+Data!Y54+Data!Z54+Data!AA54+Data!Y55+Data!Z55+Data!AA55+Data!Y56+Data!Z56+Data!AA56+Data!Y57+Data!Z57+Data!AA57+Data!Y58+Data!Z58+Data!AA58+Data!Y59+Data!Z59+Data!AA59+Data!Y60+Data!Z60+Data!AA60</f>
        <v>498696</v>
      </c>
      <c r="U60" s="16" t="n">
        <f aca="false">Data!Y49+Data!Y50+Data!Y51+Data!Y52+Data!Y53+Data!Y54+Data!Y55+Data!Y56+Data!Y57+Data!Y58+Data!Y59+Data!Y60</f>
        <v>342344</v>
      </c>
      <c r="V60" s="16" t="n">
        <f aca="false">Data!Z49+Data!Z50+Data!Z51+Data!Z52+Data!Z53+Data!Z54+Data!Z55+Data!Z56+Data!Z57+Data!Z58+Data!Z59+Data!Z60</f>
        <v>152683</v>
      </c>
      <c r="W60" s="16" t="n">
        <f aca="false">Data!AB49+Data!AB50+Data!AB51+Data!AB52+Data!AB53+Data!AB54+Data!AB55+Data!AB56+Data!AB57+Data!AB58+Data!AB59+Data!AB60</f>
        <v>620079</v>
      </c>
      <c r="X60" s="16" t="n">
        <f aca="false">Data!AC49+Data!AC50+Data!AC51+Data!AC52+Data!AC53+Data!AC54+Data!AC55+Data!AC56+Data!AC57+Data!AC58+Data!AC59+Data!AC60</f>
        <v>188396</v>
      </c>
      <c r="Y60" s="16" t="n">
        <f aca="false">Data!AD49+Data!AE49+Data!AF49+Data!AG49+Data!AH49+Data!AD50+Data!AE50+Data!AF50+Data!AG50+Data!AH50+Data!AD51+Data!AE51+Data!AF51+Data!AG51+Data!AH51+Data!AD52+Data!AE52+Data!AF52+Data!AG52+Data!AH52+Data!AD53+Data!AE53+Data!AF53+Data!AG53+Data!AH53+Data!AD54+Data!AE54+Data!AF54+Data!AG54+Data!AH54+Data!AD55+Data!AE55+Data!AF55+Data!AG55+Data!AH55+Data!AD56+Data!AE56+Data!AF56+Data!AG56+Data!AH56+Data!AD57+Data!AE57+Data!AF57+Data!AG57+Data!AH57+Data!AD58+Data!AE58+Data!AF58+Data!AG58+Data!AH58+Data!AD59+Data!AE59+Data!AF59+Data!AG59+Data!AH59+Data!AD60+Data!AE60+Data!AF60+Data!AG60+Data!AH60</f>
        <v>248687</v>
      </c>
      <c r="Z60" s="16" t="n">
        <f aca="false">Data!AI49+Data!AI50+Data!AI51+Data!AI52+Data!AI53+Data!AI54+Data!AI55+Data!AI56+Data!AI57+Data!AI58+Data!AI59+Data!AI60</f>
        <v>171197</v>
      </c>
      <c r="AA60" s="16" t="n">
        <f aca="false">Data!AJ49+Data!AJ50+Data!AJ51+Data!AJ52+Data!AJ53+Data!AJ54+Data!AJ55+Data!AJ56+Data!AJ57+Data!AJ58+Data!AJ59+Data!AJ60</f>
        <v>-1167</v>
      </c>
      <c r="AB60" s="16" t="n">
        <f aca="false">Data!AK49+Data!AK50+Data!AK51+Data!AK52+Data!AK53+Data!AK54+Data!AK55+Data!AK56+Data!AK57+Data!AK58+Data!AK59+Data!AK60</f>
        <v>62531</v>
      </c>
      <c r="AC60" s="16" t="n">
        <f aca="false">Data!AL49+Data!AL50+Data!AL51+Data!AL52+Data!AL53+Data!AL54+Data!AL55+Data!AL56+Data!AL57+Data!AL58+Data!AL59+Data!AL60</f>
        <v>235004</v>
      </c>
      <c r="AD60" s="15" t="n">
        <f aca="false">Data!AM49+Data!AM50+Data!AM51+Data!AM52+Data!AM53+Data!AM54+Data!AM55+Data!AM56+Data!AM57+Data!AM58+Data!AM59+Data!AM60</f>
        <v>-1015148</v>
      </c>
      <c r="AE60" s="16" t="n">
        <f aca="false">Data!AN49+Data!AN50+Data!AN51+Data!AN52+Data!AN53+Data!AN54+Data!AN55+Data!AN56+Data!AN57+Data!AN58+Data!AN59+Data!AN60</f>
        <v>704592</v>
      </c>
      <c r="AF60" s="15" t="n">
        <f aca="false">Data!AO49+Data!AO50+Data!AO51+Data!AO52+Data!AO53+Data!AO54+Data!AO55+Data!AO56+Data!AO57+Data!AO58+Data!AO59+Data!AO60</f>
        <v>-1719739</v>
      </c>
    </row>
    <row r="61" customFormat="false" ht="15" hidden="false" customHeight="false" outlineLevel="0" collapsed="false">
      <c r="B61" s="14" t="str">
        <f aca="false">Data!B61</f>
        <v>2020-07</v>
      </c>
      <c r="C61" s="15" t="n">
        <f aca="false">Data!D50+Data!E50+Data!F50+Data!G50+Data!H50+Data!I50+Data!J50+Data!K50+Data!L50+Data!M50+Data!N50+Data!O50+Data!P50+Data!Q50+Data!R50+Data!S50+Data!D51+Data!E51+Data!F51+Data!G51+Data!H51+Data!I51+Data!J51+Data!K51+Data!L51+Data!M51+Data!N51+Data!O51+Data!P51+Data!Q51+Data!R51+Data!S51+Data!D52+Data!E52+Data!F52+Data!G52+Data!H52+Data!I52+Data!J52+Data!K52+Data!L52+Data!M52+Data!N52+Data!O52+Data!P52+Data!Q52+Data!R52+Data!S52+Data!D53+Data!E53+Data!F53+Data!G53+Data!H53+Data!I53+Data!J53+Data!K53+Data!L53+Data!M53+Data!N53+Data!O53+Data!P53+Data!Q53+Data!R53+Data!S53+Data!D54+Data!E54+Data!F54+Data!G54+Data!H54+Data!I54+Data!J54+Data!K54+Data!L54+Data!M54+Data!N54+Data!O54+Data!P54+Data!Q54+Data!R54+Data!S54+Data!D55+Data!E55+Data!F55+Data!G55+Data!H55+Data!I55+Data!J55+Data!K55+Data!L55+Data!M55+Data!N55+Data!O55+Data!P55+Data!Q55+Data!R55+Data!S55+Data!D56+Data!E56+Data!F56+Data!G56+Data!H56+Data!I56+Data!J56+Data!K56+Data!L56+Data!M56+Data!N56+Data!O56+Data!P56+Data!Q56+Data!R56+Data!S56+Data!D57+Data!E57+Data!F57+Data!G57+Data!H57+Data!I57+Data!J57+Data!K57+Data!L57+Data!M57+Data!N57+Data!O57+Data!P57+Data!Q57+Data!R57+Data!S57+Data!D58+Data!E58+Data!F58+Data!G58+Data!H58+Data!I58+Data!J58+Data!K58+Data!L58+Data!M58+Data!N58+Data!O58+Data!P58+Data!Q58+Data!R58+Data!S58+Data!D59+Data!E59+Data!F59+Data!G59+Data!H59+Data!I59+Data!J59+Data!K59+Data!L59+Data!M59+Data!N59+Data!O59+Data!P59+Data!Q59+Data!R59+Data!S59+Data!D60+Data!E60+Data!F60+Data!G60+Data!H60+Data!I60+Data!J60+Data!K60+Data!L60+Data!M60+Data!N60+Data!O60+Data!P60+Data!Q60+Data!R60+Data!S60+Data!D61+Data!E61+Data!F61+Data!G61+Data!H61+Data!I61+Data!J61+Data!K61+Data!L61+Data!M61+Data!N61+Data!O61+Data!P61+Data!Q61+Data!R61+Data!S61</f>
        <v>4361432</v>
      </c>
      <c r="D61" s="16" t="n">
        <f aca="false">Data!D50+Data!E50+Data!G50+Data!H50+Data!I50+Data!J50+Data!K50+Data!L50+Data!M50+Data!D51+Data!E51+Data!G51+Data!H51+Data!I51+Data!J51+Data!K51+Data!L51+Data!M51+Data!D52+Data!E52+Data!G52+Data!H52+Data!I52+Data!J52+Data!K52+Data!L52+Data!M52+Data!D53+Data!E53+Data!G53+Data!H53+Data!I53+Data!J53+Data!K53+Data!L53+Data!M53+Data!D54+Data!E54+Data!G54+Data!H54+Data!I54+Data!J54+Data!K54+Data!L54+Data!M54+Data!D55+Data!E55+Data!G55+Data!H55+Data!I55+Data!J55+Data!K55+Data!L55+Data!M55+Data!D56+Data!E56+Data!G56+Data!H56+Data!I56+Data!J56+Data!K56+Data!L56+Data!M56+Data!D57+Data!E57+Data!G57+Data!H57+Data!I57+Data!J57+Data!K57+Data!L57+Data!M57+Data!D58+Data!E58+Data!G58+Data!H58+Data!I58+Data!J58+Data!K58+Data!L58+Data!M58+Data!D59+Data!E59+Data!G59+Data!H59+Data!I59+Data!J59+Data!K59+Data!L59+Data!M59+Data!D60+Data!E60+Data!G60+Data!H60+Data!I60+Data!J60+Data!K60+Data!L60+Data!M60+Data!D61+Data!E61+Data!G61+Data!H61+Data!I61+Data!J61+Data!K61+Data!L61+Data!M61</f>
        <v>2502735</v>
      </c>
      <c r="E61" s="16" t="n">
        <f aca="false">Data!D50+Data!D51+Data!D52+Data!D53+Data!D54+Data!D55+Data!D56+Data!D57+Data!D58+Data!D59+Data!D60+Data!D61</f>
        <v>739131</v>
      </c>
      <c r="F61" s="16" t="n">
        <f aca="false">Data!E50+Data!E51+Data!E52+Data!E53+Data!E54+Data!E55+Data!E56+Data!E57+Data!E58+Data!E59+Data!E60+Data!E61</f>
        <v>381616</v>
      </c>
      <c r="G61" s="16" t="n">
        <f aca="false">Data!K50+Data!K51+Data!K52+Data!K53+Data!K54+Data!K55+Data!K56+Data!K57+Data!K58+Data!K59+Data!K60+Data!K61</f>
        <v>413385</v>
      </c>
      <c r="H61" s="16" t="n">
        <f aca="false">Data!L50+Data!L51+Data!L52+Data!L53+Data!L54+Data!L55+Data!L56+Data!L57+Data!L58+Data!L59+Data!L60+Data!L61</f>
        <v>144196</v>
      </c>
      <c r="I61" s="16" t="n">
        <f aca="false">Data!G50+Data!G51+Data!G52+Data!G53+Data!G54+Data!G55+Data!G56+Data!G57+Data!G58+Data!G59+Data!G60+Data!G61</f>
        <v>400026</v>
      </c>
      <c r="J61" s="16" t="n">
        <f aca="false">Data!H50+Data!I50+Data!J50+Data!M50+Data!H51+Data!I51+Data!J51+Data!M51+Data!H52+Data!I52+Data!J52+Data!M52+Data!H53+Data!I53+Data!J53+Data!M53+Data!H54+Data!I54+Data!J54+Data!M54+Data!H55+Data!I55+Data!J55+Data!M55+Data!H56+Data!I56+Data!J56+Data!M56+Data!H57+Data!I57+Data!J57+Data!M57+Data!H58+Data!I58+Data!J58+Data!M58+Data!H59+Data!I59+Data!J59+Data!M59+Data!H60+Data!I60+Data!J60+Data!M60+Data!H61+Data!I61+Data!J61+Data!M61</f>
        <v>424381</v>
      </c>
      <c r="K61" s="16" t="n">
        <f aca="false">Data!F50+Data!F51+Data!F52+Data!F53+Data!F54+Data!F55+Data!F56+Data!F57+Data!F58+Data!F59+Data!F60+Data!F61</f>
        <v>1403740</v>
      </c>
      <c r="L61" s="16" t="n">
        <f aca="false">Data!N50+Data!O50+Data!P50+Data!Q50+Data!R50+Data!S50+Data!N51+Data!O51+Data!P51+Data!Q51+Data!R51+Data!S51+Data!N52+Data!O52+Data!P52+Data!Q52+Data!R52+Data!S52+Data!N53+Data!O53+Data!P53+Data!Q53+Data!R53+Data!S53+Data!N54+Data!O54+Data!P54+Data!Q54+Data!R54+Data!S54+Data!N55+Data!O55+Data!P55+Data!Q55+Data!R55+Data!S55+Data!N56+Data!O56+Data!P56+Data!Q56+Data!R56+Data!S56+Data!N57+Data!O57+Data!P57+Data!Q57+Data!R57+Data!S57+Data!N58+Data!O58+Data!P58+Data!Q58+Data!R58+Data!S58+Data!N59+Data!O59+Data!P59+Data!Q59+Data!R59+Data!S59+Data!N60+Data!O60+Data!P60+Data!Q60+Data!R60+Data!S60+Data!N61+Data!O61+Data!P61+Data!Q61+Data!R61+Data!S61</f>
        <v>454957</v>
      </c>
      <c r="M61" s="15" t="n">
        <f aca="false">Data!T50+Data!U50+Data!V50+Data!W50+Data!X50+Data!Y50+Data!Z50+Data!AA50+Data!AB50+Data!AC50+Data!AD50+Data!AE50+Data!AF50+Data!AG50+Data!AH50+Data!AI50+Data!AJ50+Data!AK50+Data!AL50+Data!T51+Data!U51+Data!V51+Data!W51+Data!X51+Data!Y51+Data!Z51+Data!AA51+Data!AB51+Data!AC51+Data!AD51+Data!AE51+Data!AF51+Data!AG51+Data!AH51+Data!AI51+Data!AJ51+Data!AK51+Data!AL51+Data!T52+Data!U52+Data!V52+Data!W52+Data!X52+Data!Y52+Data!Z52+Data!AA52+Data!AB52+Data!AC52+Data!AD52+Data!AE52+Data!AF52+Data!AG52+Data!AH52+Data!AI52+Data!AJ52+Data!AK52+Data!AL52+Data!T53+Data!U53+Data!V53+Data!W53+Data!X53+Data!Y53+Data!Z53+Data!AA53+Data!AB53+Data!AC53+Data!AD53+Data!AE53+Data!AF53+Data!AG53+Data!AH53+Data!AI53+Data!AJ53+Data!AK53+Data!AL53+Data!T54+Data!U54+Data!V54+Data!W54+Data!X54+Data!Y54+Data!Z54+Data!AA54+Data!AB54+Data!AC54+Data!AD54+Data!AE54+Data!AF54+Data!AG54+Data!AH54+Data!AI54+Data!AJ54+Data!AK54+Data!AL54+Data!T55+Data!U55+Data!V55+Data!W55+Data!X55+Data!Y55+Data!Z55+Data!AA55+Data!AB55+Data!AC55+Data!AD55+Data!AE55+Data!AF55+Data!AG55+Data!AH55+Data!AI55+Data!AJ55+Data!AK55+Data!AL55+Data!T56+Data!U56+Data!V56+Data!W56+Data!X56+Data!Y56+Data!Z56+Data!AA56+Data!AB56+Data!AC56+Data!AD56+Data!AE56+Data!AF56+Data!AG56+Data!AH56+Data!AI56+Data!AJ56+Data!AK56+Data!AL56+Data!T57+Data!U57+Data!V57+Data!W57+Data!X57+Data!Y57+Data!Z57+Data!AA57+Data!AB57+Data!AC57+Data!AD57+Data!AE57+Data!AF57+Data!AG57+Data!AH57+Data!AI57+Data!AJ57+Data!AK57+Data!AL57+Data!T58+Data!U58+Data!V58+Data!W58+Data!X58+Data!Y58+Data!Z58+Data!AA58+Data!AB58+Data!AC58+Data!AD58+Data!AE58+Data!AF58+Data!AG58+Data!AH58+Data!AI58+Data!AJ58+Data!AK58+Data!AL58+Data!T59+Data!U59+Data!V59+Data!W59+Data!X59+Data!Y59+Data!Z59+Data!AA59+Data!AB59+Data!AC59+Data!AD59+Data!AE59+Data!AF59+Data!AG59+Data!AH59+Data!AI59+Data!AJ59+Data!AK59+Data!AL59+Data!T60+Data!U60+Data!V60+Data!W60+Data!X60+Data!Y60+Data!Z60+Data!AA60+Data!AB60+Data!AC60+Data!AD60+Data!AE60+Data!AF60+Data!AG60+Data!AH60+Data!AI60+Data!AJ60+Data!AK60+Data!AL60+Data!T61+Data!U61+Data!V61+Data!W61+Data!X61+Data!Y61+Data!Z61+Data!AA61+Data!AB61+Data!AC61+Data!AD61+Data!AE61+Data!AF61+Data!AG61+Data!AH61+Data!AI61+Data!AJ61+Data!AK61+Data!AL61</f>
        <v>5536397</v>
      </c>
      <c r="N61" s="16" t="n">
        <f aca="false">Data!T50+Data!U50+Data!V50+Data!W50+Data!T51+Data!U51+Data!V51+Data!W51+Data!T52+Data!U52+Data!V52+Data!W52+Data!T53+Data!U53+Data!V53+Data!W53+Data!T54+Data!U54+Data!V54+Data!W54+Data!T55+Data!U55+Data!V55+Data!W55+Data!T56+Data!U56+Data!V56+Data!W56+Data!T57+Data!U57+Data!V57+Data!W57+Data!T58+Data!U58+Data!V58+Data!W58+Data!T59+Data!U59+Data!V59+Data!W59+Data!T60+Data!U60+Data!V60+Data!W60+Data!T61+Data!U61+Data!V61+Data!W61</f>
        <v>2880479</v>
      </c>
      <c r="O61" s="16" t="n">
        <f aca="false">Data!T50+Data!T51+Data!T52+Data!T53+Data!T54+Data!T55+Data!T56+Data!T57+Data!T58+Data!T59+Data!T60+Data!T61</f>
        <v>2096220</v>
      </c>
      <c r="P61" s="16" t="n">
        <f aca="false">Data!U50+Data!U51+Data!U52+Data!U53+Data!U54+Data!U55+Data!U56+Data!U57+Data!U58+Data!U59+Data!U60+Data!U61</f>
        <v>341623</v>
      </c>
      <c r="Q61" s="16" t="n">
        <f aca="false">Data!V50+Data!V51+Data!V52+Data!V53+Data!V54+Data!V55+Data!V56+Data!V57+Data!V58+Data!V59+Data!V60+Data!V61</f>
        <v>224098</v>
      </c>
      <c r="R61" s="16" t="n">
        <f aca="false">Data!W50+Data!W51+Data!W52+Data!W53+Data!W54+Data!W55+Data!W56+Data!W57+Data!W58+Data!W59+Data!W60+Data!W61</f>
        <v>218538</v>
      </c>
      <c r="S61" s="16" t="n">
        <f aca="false">Data!X50+Data!X51+Data!X52+Data!X53+Data!X54+Data!X55+Data!X56+Data!X57+Data!X58+Data!X59+Data!X60+Data!X61</f>
        <v>561127</v>
      </c>
      <c r="T61" s="16" t="n">
        <f aca="false">Data!Y50+Data!Z50+Data!AA50+Data!Y51+Data!Z51+Data!AA51+Data!Y52+Data!Z52+Data!AA52+Data!Y53+Data!Z53+Data!AA53+Data!Y54+Data!Z54+Data!AA54+Data!Y55+Data!Z55+Data!AA55+Data!Y56+Data!Z56+Data!AA56+Data!Y57+Data!Z57+Data!AA57+Data!Y58+Data!Z58+Data!AA58+Data!Y59+Data!Z59+Data!AA59+Data!Y60+Data!Z60+Data!AA60+Data!Y61+Data!Z61+Data!AA61</f>
        <v>518522</v>
      </c>
      <c r="U61" s="16" t="n">
        <f aca="false">Data!Y50+Data!Y51+Data!Y52+Data!Y53+Data!Y54+Data!Y55+Data!Y56+Data!Y57+Data!Y58+Data!Y59+Data!Y60+Data!Y61</f>
        <v>354346</v>
      </c>
      <c r="V61" s="16" t="n">
        <f aca="false">Data!Z50+Data!Z51+Data!Z52+Data!Z53+Data!Z54+Data!Z55+Data!Z56+Data!Z57+Data!Z58+Data!Z59+Data!Z60+Data!Z61</f>
        <v>160658</v>
      </c>
      <c r="W61" s="16" t="n">
        <f aca="false">Data!AB50+Data!AB51+Data!AB52+Data!AB53+Data!AB54+Data!AB55+Data!AB56+Data!AB57+Data!AB58+Data!AB59+Data!AB60+Data!AB61</f>
        <v>641836</v>
      </c>
      <c r="X61" s="16" t="n">
        <f aca="false">Data!AC50+Data!AC51+Data!AC52+Data!AC53+Data!AC54+Data!AC55+Data!AC56+Data!AC57+Data!AC58+Data!AC59+Data!AC60+Data!AC61</f>
        <v>189168</v>
      </c>
      <c r="Y61" s="16" t="n">
        <f aca="false">Data!AD50+Data!AE50+Data!AF50+Data!AG50+Data!AH50+Data!AD51+Data!AE51+Data!AF51+Data!AG51+Data!AH51+Data!AD52+Data!AE52+Data!AF52+Data!AG52+Data!AH52+Data!AD53+Data!AE53+Data!AF53+Data!AG53+Data!AH53+Data!AD54+Data!AE54+Data!AF54+Data!AG54+Data!AH54+Data!AD55+Data!AE55+Data!AF55+Data!AG55+Data!AH55+Data!AD56+Data!AE56+Data!AF56+Data!AG56+Data!AH56+Data!AD57+Data!AE57+Data!AF57+Data!AG57+Data!AH57+Data!AD58+Data!AE58+Data!AF58+Data!AG58+Data!AH58+Data!AD59+Data!AE59+Data!AF59+Data!AG59+Data!AH59+Data!AD60+Data!AE60+Data!AF60+Data!AG60+Data!AH60+Data!AD61+Data!AE61+Data!AF61+Data!AG61+Data!AH61</f>
        <v>260787</v>
      </c>
      <c r="Z61" s="16" t="n">
        <f aca="false">Data!AI50+Data!AI51+Data!AI52+Data!AI53+Data!AI54+Data!AI55+Data!AI56+Data!AI57+Data!AI58+Data!AI59+Data!AI60+Data!AI61</f>
        <v>178848</v>
      </c>
      <c r="AA61" s="16" t="n">
        <f aca="false">Data!AJ50+Data!AJ51+Data!AJ52+Data!AJ53+Data!AJ54+Data!AJ55+Data!AJ56+Data!AJ57+Data!AJ58+Data!AJ59+Data!AJ60+Data!AJ61</f>
        <v>-211</v>
      </c>
      <c r="AB61" s="16" t="n">
        <f aca="false">Data!AK50+Data!AK51+Data!AK52+Data!AK53+Data!AK54+Data!AK55+Data!AK56+Data!AK57+Data!AK58+Data!AK59+Data!AK60+Data!AK61</f>
        <v>64985</v>
      </c>
      <c r="AC61" s="16" t="n">
        <f aca="false">Data!AL50+Data!AL51+Data!AL52+Data!AL53+Data!AL54+Data!AL55+Data!AL56+Data!AL57+Data!AL58+Data!AL59+Data!AL60+Data!AL61</f>
        <v>240856</v>
      </c>
      <c r="AD61" s="15" t="n">
        <f aca="false">Data!AM50+Data!AM51+Data!AM52+Data!AM53+Data!AM54+Data!AM55+Data!AM56+Data!AM57+Data!AM58+Data!AM59+Data!AM60+Data!AM61</f>
        <v>-1174965</v>
      </c>
      <c r="AE61" s="16" t="n">
        <f aca="false">Data!AN50+Data!AN51+Data!AN52+Data!AN53+Data!AN54+Data!AN55+Data!AN56+Data!AN57+Data!AN58+Data!AN59+Data!AN60+Data!AN61</f>
        <v>655998</v>
      </c>
      <c r="AF61" s="15" t="n">
        <f aca="false">Data!AO50+Data!AO51+Data!AO52+Data!AO53+Data!AO54+Data!AO55+Data!AO56+Data!AO57+Data!AO58+Data!AO59+Data!AO60+Data!AO61</f>
        <v>-1830961</v>
      </c>
    </row>
    <row r="62" customFormat="false" ht="15" hidden="false" customHeight="false" outlineLevel="0" collapsed="false">
      <c r="B62" s="14" t="str">
        <f aca="false">Data!B62</f>
        <v>2020-08</v>
      </c>
      <c r="C62" s="15" t="n">
        <f aca="false">Data!D51+Data!E51+Data!F51+Data!G51+Data!H51+Data!I51+Data!J51+Data!K51+Data!L51+Data!M51+Data!N51+Data!O51+Data!P51+Data!Q51+Data!R51+Data!S51+Data!D52+Data!E52+Data!F52+Data!G52+Data!H52+Data!I52+Data!J52+Data!K52+Data!L52+Data!M52+Data!N52+Data!O52+Data!P52+Data!Q52+Data!R52+Data!S52+Data!D53+Data!E53+Data!F53+Data!G53+Data!H53+Data!I53+Data!J53+Data!K53+Data!L53+Data!M53+Data!N53+Data!O53+Data!P53+Data!Q53+Data!R53+Data!S53+Data!D54+Data!E54+Data!F54+Data!G54+Data!H54+Data!I54+Data!J54+Data!K54+Data!L54+Data!M54+Data!N54+Data!O54+Data!P54+Data!Q54+Data!R54+Data!S54+Data!D55+Data!E55+Data!F55+Data!G55+Data!H55+Data!I55+Data!J55+Data!K55+Data!L55+Data!M55+Data!N55+Data!O55+Data!P55+Data!Q55+Data!R55+Data!S55+Data!D56+Data!E56+Data!F56+Data!G56+Data!H56+Data!I56+Data!J56+Data!K56+Data!L56+Data!M56+Data!N56+Data!O56+Data!P56+Data!Q56+Data!R56+Data!S56+Data!D57+Data!E57+Data!F57+Data!G57+Data!H57+Data!I57+Data!J57+Data!K57+Data!L57+Data!M57+Data!N57+Data!O57+Data!P57+Data!Q57+Data!R57+Data!S57+Data!D58+Data!E58+Data!F58+Data!G58+Data!H58+Data!I58+Data!J58+Data!K58+Data!L58+Data!M58+Data!N58+Data!O58+Data!P58+Data!Q58+Data!R58+Data!S58+Data!D59+Data!E59+Data!F59+Data!G59+Data!H59+Data!I59+Data!J59+Data!K59+Data!L59+Data!M59+Data!N59+Data!O59+Data!P59+Data!Q59+Data!R59+Data!S59+Data!D60+Data!E60+Data!F60+Data!G60+Data!H60+Data!I60+Data!J60+Data!K60+Data!L60+Data!M60+Data!N60+Data!O60+Data!P60+Data!Q60+Data!R60+Data!S60+Data!D61+Data!E61+Data!F61+Data!G61+Data!H61+Data!I61+Data!J61+Data!K61+Data!L61+Data!M61+Data!N61+Data!O61+Data!P61+Data!Q61+Data!R61+Data!S61+Data!D62+Data!E62+Data!F62+Data!G62+Data!H62+Data!I62+Data!J62+Data!K62+Data!L62+Data!M62+Data!N62+Data!O62+Data!P62+Data!Q62+Data!R62+Data!S62</f>
        <v>4447544</v>
      </c>
      <c r="D62" s="16" t="n">
        <f aca="false">Data!D51+Data!E51+Data!G51+Data!H51+Data!I51+Data!J51+Data!K51+Data!L51+Data!M51+Data!D52+Data!E52+Data!G52+Data!H52+Data!I52+Data!J52+Data!K52+Data!L52+Data!M52+Data!D53+Data!E53+Data!G53+Data!H53+Data!I53+Data!J53+Data!K53+Data!L53+Data!M53+Data!D54+Data!E54+Data!G54+Data!H54+Data!I54+Data!J54+Data!K54+Data!L54+Data!M54+Data!D55+Data!E55+Data!G55+Data!H55+Data!I55+Data!J55+Data!K55+Data!L55+Data!M55+Data!D56+Data!E56+Data!G56+Data!H56+Data!I56+Data!J56+Data!K56+Data!L56+Data!M56+Data!D57+Data!E57+Data!G57+Data!H57+Data!I57+Data!J57+Data!K57+Data!L57+Data!M57+Data!D58+Data!E58+Data!G58+Data!H58+Data!I58+Data!J58+Data!K58+Data!L58+Data!M58+Data!D59+Data!E59+Data!G59+Data!H59+Data!I59+Data!J59+Data!K59+Data!L59+Data!M59+Data!D60+Data!E60+Data!G60+Data!H60+Data!I60+Data!J60+Data!K60+Data!L60+Data!M60+Data!D61+Data!E61+Data!G61+Data!H61+Data!I61+Data!J61+Data!K61+Data!L61+Data!M61+Data!D62+Data!E62+Data!G62+Data!H62+Data!I62+Data!J62+Data!K62+Data!L62+Data!M62</f>
        <v>2569596</v>
      </c>
      <c r="E62" s="16" t="n">
        <f aca="false">Data!D51+Data!D52+Data!D53+Data!D54+Data!D55+Data!D56+Data!D57+Data!D58+Data!D59+Data!D60+Data!D61+Data!D62</f>
        <v>746335</v>
      </c>
      <c r="F62" s="16" t="n">
        <f aca="false">Data!E51+Data!E52+Data!E53+Data!E54+Data!E55+Data!E56+Data!E57+Data!E58+Data!E59+Data!E60+Data!E61+Data!E62</f>
        <v>394248</v>
      </c>
      <c r="G62" s="16" t="n">
        <f aca="false">Data!K51+Data!K52+Data!K53+Data!K54+Data!K55+Data!K56+Data!K57+Data!K58+Data!K59+Data!K60+Data!K61+Data!K62</f>
        <v>411145</v>
      </c>
      <c r="H62" s="16" t="n">
        <f aca="false">Data!L51+Data!L52+Data!L53+Data!L54+Data!L55+Data!L56+Data!L57+Data!L58+Data!L59+Data!L60+Data!L61+Data!L62</f>
        <v>145072</v>
      </c>
      <c r="I62" s="16" t="n">
        <f aca="false">Data!G51+Data!G52+Data!G53+Data!G54+Data!G55+Data!G56+Data!G57+Data!G58+Data!G59+Data!G60+Data!G61+Data!G62</f>
        <v>406501</v>
      </c>
      <c r="J62" s="16" t="n">
        <f aca="false">Data!H51+Data!I51+Data!J51+Data!M51+Data!H52+Data!I52+Data!J52+Data!M52+Data!H53+Data!I53+Data!J53+Data!M53+Data!H54+Data!I54+Data!J54+Data!M54+Data!H55+Data!I55+Data!J55+Data!M55+Data!H56+Data!I56+Data!J56+Data!M56+Data!H57+Data!I57+Data!J57+Data!M57+Data!H58+Data!I58+Data!J58+Data!M58+Data!H59+Data!I59+Data!J59+Data!M59+Data!H60+Data!I60+Data!J60+Data!M60+Data!H61+Data!I61+Data!J61+Data!M61+Data!H62+Data!I62+Data!J62+Data!M62</f>
        <v>466295</v>
      </c>
      <c r="K62" s="16" t="n">
        <f aca="false">Data!F51+Data!F52+Data!F53+Data!F54+Data!F55+Data!F56+Data!F57+Data!F58+Data!F59+Data!F60+Data!F61+Data!F62</f>
        <v>1429202</v>
      </c>
      <c r="L62" s="16" t="n">
        <f aca="false">Data!N51+Data!O51+Data!P51+Data!Q51+Data!R51+Data!S51+Data!N52+Data!O52+Data!P52+Data!Q52+Data!R52+Data!S52+Data!N53+Data!O53+Data!P53+Data!Q53+Data!R53+Data!S53+Data!N54+Data!O54+Data!P54+Data!Q54+Data!R54+Data!S54+Data!N55+Data!O55+Data!P55+Data!Q55+Data!R55+Data!S55+Data!N56+Data!O56+Data!P56+Data!Q56+Data!R56+Data!S56+Data!N57+Data!O57+Data!P57+Data!Q57+Data!R57+Data!S57+Data!N58+Data!O58+Data!P58+Data!Q58+Data!R58+Data!S58+Data!N59+Data!O59+Data!P59+Data!Q59+Data!R59+Data!S59+Data!N60+Data!O60+Data!P60+Data!Q60+Data!R60+Data!S60+Data!N61+Data!O61+Data!P61+Data!Q61+Data!R61+Data!S61+Data!N62+Data!O62+Data!P62+Data!Q62+Data!R62+Data!S62</f>
        <v>448746</v>
      </c>
      <c r="M62" s="15" t="n">
        <f aca="false">Data!T51+Data!U51+Data!V51+Data!W51+Data!X51+Data!Y51+Data!Z51+Data!AA51+Data!AB51+Data!AC51+Data!AD51+Data!AE51+Data!AF51+Data!AG51+Data!AH51+Data!AI51+Data!AJ51+Data!AK51+Data!AL51+Data!T52+Data!U52+Data!V52+Data!W52+Data!X52+Data!Y52+Data!Z52+Data!AA52+Data!AB52+Data!AC52+Data!AD52+Data!AE52+Data!AF52+Data!AG52+Data!AH52+Data!AI52+Data!AJ52+Data!AK52+Data!AL52+Data!T53+Data!U53+Data!V53+Data!W53+Data!X53+Data!Y53+Data!Z53+Data!AA53+Data!AB53+Data!AC53+Data!AD53+Data!AE53+Data!AF53+Data!AG53+Data!AH53+Data!AI53+Data!AJ53+Data!AK53+Data!AL53+Data!T54+Data!U54+Data!V54+Data!W54+Data!X54+Data!Y54+Data!Z54+Data!AA54+Data!AB54+Data!AC54+Data!AD54+Data!AE54+Data!AF54+Data!AG54+Data!AH54+Data!AI54+Data!AJ54+Data!AK54+Data!AL54+Data!T55+Data!U55+Data!V55+Data!W55+Data!X55+Data!Y55+Data!Z55+Data!AA55+Data!AB55+Data!AC55+Data!AD55+Data!AE55+Data!AF55+Data!AG55+Data!AH55+Data!AI55+Data!AJ55+Data!AK55+Data!AL55+Data!T56+Data!U56+Data!V56+Data!W56+Data!X56+Data!Y56+Data!Z56+Data!AA56+Data!AB56+Data!AC56+Data!AD56+Data!AE56+Data!AF56+Data!AG56+Data!AH56+Data!AI56+Data!AJ56+Data!AK56+Data!AL56+Data!T57+Data!U57+Data!V57+Data!W57+Data!X57+Data!Y57+Data!Z57+Data!AA57+Data!AB57+Data!AC57+Data!AD57+Data!AE57+Data!AF57+Data!AG57+Data!AH57+Data!AI57+Data!AJ57+Data!AK57+Data!AL57+Data!T58+Data!U58+Data!V58+Data!W58+Data!X58+Data!Y58+Data!Z58+Data!AA58+Data!AB58+Data!AC58+Data!AD58+Data!AE58+Data!AF58+Data!AG58+Data!AH58+Data!AI58+Data!AJ58+Data!AK58+Data!AL58+Data!T59+Data!U59+Data!V59+Data!W59+Data!X59+Data!Y59+Data!Z59+Data!AA59+Data!AB59+Data!AC59+Data!AD59+Data!AE59+Data!AF59+Data!AG59+Data!AH59+Data!AI59+Data!AJ59+Data!AK59+Data!AL59+Data!T60+Data!U60+Data!V60+Data!W60+Data!X60+Data!Y60+Data!Z60+Data!AA60+Data!AB60+Data!AC60+Data!AD60+Data!AE60+Data!AF60+Data!AG60+Data!AH60+Data!AI60+Data!AJ60+Data!AK60+Data!AL60+Data!T61+Data!U61+Data!V61+Data!W61+Data!X61+Data!Y61+Data!Z61+Data!AA61+Data!AB61+Data!AC61+Data!AD61+Data!AE61+Data!AF61+Data!AG61+Data!AH61+Data!AI61+Data!AJ61+Data!AK61+Data!AL61+Data!T62+Data!U62+Data!V62+Data!W62+Data!X62+Data!Y62+Data!Z62+Data!AA62+Data!AB62+Data!AC62+Data!AD62+Data!AE62+Data!AF62+Data!AG62+Data!AH62+Data!AI62+Data!AJ62+Data!AK62+Data!AL62</f>
        <v>5725754</v>
      </c>
      <c r="N62" s="16" t="n">
        <f aca="false">Data!T51+Data!U51+Data!V51+Data!W51+Data!T52+Data!U52+Data!V52+Data!W52+Data!T53+Data!U53+Data!V53+Data!W53+Data!T54+Data!U54+Data!V54+Data!W54+Data!T55+Data!U55+Data!V55+Data!W55+Data!T56+Data!U56+Data!V56+Data!W56+Data!T57+Data!U57+Data!V57+Data!W57+Data!T58+Data!U58+Data!V58+Data!W58+Data!T59+Data!U59+Data!V59+Data!W59+Data!T60+Data!U60+Data!V60+Data!W60+Data!T61+Data!U61+Data!V61+Data!W61+Data!T62+Data!U62+Data!V62+Data!W62</f>
        <v>2958415</v>
      </c>
      <c r="O62" s="16" t="n">
        <f aca="false">Data!T51+Data!T52+Data!T53+Data!T54+Data!T55+Data!T56+Data!T57+Data!T58+Data!T59+Data!T60+Data!T61+Data!T62</f>
        <v>2151499</v>
      </c>
      <c r="P62" s="16" t="n">
        <f aca="false">Data!U51+Data!U52+Data!U53+Data!U54+Data!U55+Data!U56+Data!U57+Data!U58+Data!U59+Data!U60+Data!U61+Data!U62</f>
        <v>349563</v>
      </c>
      <c r="Q62" s="16" t="n">
        <f aca="false">Data!V51+Data!V52+Data!V53+Data!V54+Data!V55+Data!V56+Data!V57+Data!V58+Data!V59+Data!V60+Data!V61+Data!V62</f>
        <v>231345</v>
      </c>
      <c r="R62" s="16" t="n">
        <f aca="false">Data!W51+Data!W52+Data!W53+Data!W54+Data!W55+Data!W56+Data!W57+Data!W58+Data!W59+Data!W60+Data!W61+Data!W62</f>
        <v>226008</v>
      </c>
      <c r="S62" s="16" t="n">
        <f aca="false">Data!X51+Data!X52+Data!X53+Data!X54+Data!X55+Data!X56+Data!X57+Data!X58+Data!X59+Data!X60+Data!X61+Data!X62</f>
        <v>648266</v>
      </c>
      <c r="T62" s="16" t="n">
        <f aca="false">Data!Y51+Data!Z51+Data!AA51+Data!Y52+Data!Z52+Data!AA52+Data!Y53+Data!Z53+Data!AA53+Data!Y54+Data!Z54+Data!AA54+Data!Y55+Data!Z55+Data!AA55+Data!Y56+Data!Z56+Data!AA56+Data!Y57+Data!Z57+Data!AA57+Data!Y58+Data!Z58+Data!AA58+Data!Y59+Data!Z59+Data!AA59+Data!Y60+Data!Z60+Data!AA60+Data!Y61+Data!Z61+Data!AA61+Data!Y62+Data!Z62+Data!AA62</f>
        <v>526606</v>
      </c>
      <c r="U62" s="16" t="n">
        <f aca="false">Data!Y51+Data!Y52+Data!Y53+Data!Y54+Data!Y55+Data!Y56+Data!Y57+Data!Y58+Data!Y59+Data!Y60+Data!Y61+Data!Y62</f>
        <v>355969</v>
      </c>
      <c r="V62" s="16" t="n">
        <f aca="false">Data!Z51+Data!Z52+Data!Z53+Data!Z54+Data!Z55+Data!Z56+Data!Z57+Data!Z58+Data!Z59+Data!Z60+Data!Z61+Data!Z62</f>
        <v>166067</v>
      </c>
      <c r="W62" s="16" t="n">
        <f aca="false">Data!AB51+Data!AB52+Data!AB53+Data!AB54+Data!AB55+Data!AB56+Data!AB57+Data!AB58+Data!AB59+Data!AB60+Data!AB61+Data!AB62</f>
        <v>651050</v>
      </c>
      <c r="X62" s="16" t="n">
        <f aca="false">Data!AC51+Data!AC52+Data!AC53+Data!AC54+Data!AC55+Data!AC56+Data!AC57+Data!AC58+Data!AC59+Data!AC60+Data!AC61+Data!AC62</f>
        <v>189949</v>
      </c>
      <c r="Y62" s="16" t="n">
        <f aca="false">Data!AD51+Data!AE51+Data!AF51+Data!AG51+Data!AH51+Data!AD52+Data!AE52+Data!AF52+Data!AG52+Data!AH52+Data!AD53+Data!AE53+Data!AF53+Data!AG53+Data!AH53+Data!AD54+Data!AE54+Data!AF54+Data!AG54+Data!AH54+Data!AD55+Data!AE55+Data!AF55+Data!AG55+Data!AH55+Data!AD56+Data!AE56+Data!AF56+Data!AG56+Data!AH56+Data!AD57+Data!AE57+Data!AF57+Data!AG57+Data!AH57+Data!AD58+Data!AE58+Data!AF58+Data!AG58+Data!AH58+Data!AD59+Data!AE59+Data!AF59+Data!AG59+Data!AH59+Data!AD60+Data!AE60+Data!AF60+Data!AG60+Data!AH60+Data!AD61+Data!AE61+Data!AF61+Data!AG61+Data!AH61+Data!AD62+Data!AE62+Data!AF62+Data!AG62+Data!AH62</f>
        <v>266280</v>
      </c>
      <c r="Z62" s="16" t="n">
        <f aca="false">Data!AI51+Data!AI52+Data!AI53+Data!AI54+Data!AI55+Data!AI56+Data!AI57+Data!AI58+Data!AI59+Data!AI60+Data!AI61+Data!AI62</f>
        <v>184912</v>
      </c>
      <c r="AA62" s="16" t="n">
        <f aca="false">Data!AJ51+Data!AJ52+Data!AJ53+Data!AJ54+Data!AJ55+Data!AJ56+Data!AJ57+Data!AJ58+Data!AJ59+Data!AJ60+Data!AJ61+Data!AJ62</f>
        <v>10</v>
      </c>
      <c r="AB62" s="16" t="n">
        <f aca="false">Data!AK51+Data!AK52+Data!AK53+Data!AK54+Data!AK55+Data!AK56+Data!AK57+Data!AK58+Data!AK59+Data!AK60+Data!AK61+Data!AK62</f>
        <v>62863</v>
      </c>
      <c r="AC62" s="16" t="n">
        <f aca="false">Data!AL51+Data!AL52+Data!AL53+Data!AL54+Data!AL55+Data!AL56+Data!AL57+Data!AL58+Data!AL59+Data!AL60+Data!AL61+Data!AL62</f>
        <v>237403</v>
      </c>
      <c r="AD62" s="15" t="n">
        <f aca="false">Data!AM51+Data!AM52+Data!AM53+Data!AM54+Data!AM55+Data!AM56+Data!AM57+Data!AM58+Data!AM59+Data!AM60+Data!AM61+Data!AM62</f>
        <v>-1278210</v>
      </c>
      <c r="AE62" s="16" t="n">
        <f aca="false">Data!AN51+Data!AN52+Data!AN53+Data!AN54+Data!AN55+Data!AN56+Data!AN57+Data!AN58+Data!AN59+Data!AN60+Data!AN61+Data!AN62</f>
        <v>683507</v>
      </c>
      <c r="AF62" s="15" t="n">
        <f aca="false">Data!AO51+Data!AO52+Data!AO53+Data!AO54+Data!AO55+Data!AO56+Data!AO57+Data!AO58+Data!AO59+Data!AO60+Data!AO61+Data!AO62</f>
        <v>-1961715</v>
      </c>
    </row>
    <row r="63" customFormat="false" ht="15" hidden="false" customHeight="false" outlineLevel="0" collapsed="false">
      <c r="B63" s="14" t="str">
        <f aca="false">Data!B63</f>
        <v>2020-09</v>
      </c>
      <c r="C63" s="15" t="n">
        <f aca="false">Data!D52+Data!E52+Data!F52+Data!G52+Data!H52+Data!I52+Data!J52+Data!K52+Data!L52+Data!M52+Data!N52+Data!O52+Data!P52+Data!Q52+Data!R52+Data!S52+Data!D53+Data!E53+Data!F53+Data!G53+Data!H53+Data!I53+Data!J53+Data!K53+Data!L53+Data!M53+Data!N53+Data!O53+Data!P53+Data!Q53+Data!R53+Data!S53+Data!D54+Data!E54+Data!F54+Data!G54+Data!H54+Data!I54+Data!J54+Data!K54+Data!L54+Data!M54+Data!N54+Data!O54+Data!P54+Data!Q54+Data!R54+Data!S54+Data!D55+Data!E55+Data!F55+Data!G55+Data!H55+Data!I55+Data!J55+Data!K55+Data!L55+Data!M55+Data!N55+Data!O55+Data!P55+Data!Q55+Data!R55+Data!S55+Data!D56+Data!E56+Data!F56+Data!G56+Data!H56+Data!I56+Data!J56+Data!K56+Data!L56+Data!M56+Data!N56+Data!O56+Data!P56+Data!Q56+Data!R56+Data!S56+Data!D57+Data!E57+Data!F57+Data!G57+Data!H57+Data!I57+Data!J57+Data!K57+Data!L57+Data!M57+Data!N57+Data!O57+Data!P57+Data!Q57+Data!R57+Data!S57+Data!D58+Data!E58+Data!F58+Data!G58+Data!H58+Data!I58+Data!J58+Data!K58+Data!L58+Data!M58+Data!N58+Data!O58+Data!P58+Data!Q58+Data!R58+Data!S58+Data!D59+Data!E59+Data!F59+Data!G59+Data!H59+Data!I59+Data!J59+Data!K59+Data!L59+Data!M59+Data!N59+Data!O59+Data!P59+Data!Q59+Data!R59+Data!S59+Data!D60+Data!E60+Data!F60+Data!G60+Data!H60+Data!I60+Data!J60+Data!K60+Data!L60+Data!M60+Data!N60+Data!O60+Data!P60+Data!Q60+Data!R60+Data!S60+Data!D61+Data!E61+Data!F61+Data!G61+Data!H61+Data!I61+Data!J61+Data!K61+Data!L61+Data!M61+Data!N61+Data!O61+Data!P61+Data!Q61+Data!R61+Data!S61+Data!D62+Data!E62+Data!F62+Data!G62+Data!H62+Data!I62+Data!J62+Data!K62+Data!L62+Data!M62+Data!N62+Data!O62+Data!P62+Data!Q62+Data!R62+Data!S62+Data!D63+Data!E63+Data!F63+Data!G63+Data!H63+Data!I63+Data!J63+Data!K63+Data!L63+Data!M63+Data!N63+Data!O63+Data!P63+Data!Q63+Data!R63+Data!S63</f>
        <v>4561477</v>
      </c>
      <c r="D63" s="16" t="n">
        <f aca="false">Data!D52+Data!E52+Data!G52+Data!H52+Data!I52+Data!J52+Data!K52+Data!L52+Data!M52+Data!D53+Data!E53+Data!G53+Data!H53+Data!I53+Data!J53+Data!K53+Data!L53+Data!M53+Data!D54+Data!E54+Data!G54+Data!H54+Data!I54+Data!J54+Data!K54+Data!L54+Data!M54+Data!D55+Data!E55+Data!G55+Data!H55+Data!I55+Data!J55+Data!K55+Data!L55+Data!M55+Data!D56+Data!E56+Data!G56+Data!H56+Data!I56+Data!J56+Data!K56+Data!L56+Data!M56+Data!D57+Data!E57+Data!G57+Data!H57+Data!I57+Data!J57+Data!K57+Data!L57+Data!M57+Data!D58+Data!E58+Data!G58+Data!H58+Data!I58+Data!J58+Data!K58+Data!L58+Data!M58+Data!D59+Data!E59+Data!G59+Data!H59+Data!I59+Data!J59+Data!K59+Data!L59+Data!M59+Data!D60+Data!E60+Data!G60+Data!H60+Data!I60+Data!J60+Data!K60+Data!L60+Data!M60+Data!D61+Data!E61+Data!G61+Data!H61+Data!I61+Data!J61+Data!K61+Data!L61+Data!M61+Data!D62+Data!E62+Data!G62+Data!H62+Data!I62+Data!J62+Data!K62+Data!L62+Data!M62+Data!D63+Data!E63+Data!G63+Data!H63+Data!I63+Data!J63+Data!K63+Data!L63+Data!M63</f>
        <v>2656538</v>
      </c>
      <c r="E63" s="16" t="n">
        <f aca="false">Data!D52+Data!D53+Data!D54+Data!D55+Data!D56+Data!D57+Data!D58+Data!D59+Data!D60+Data!D61+Data!D62+Data!D63</f>
        <v>758590</v>
      </c>
      <c r="F63" s="16" t="n">
        <f aca="false">Data!E52+Data!E53+Data!E54+Data!E55+Data!E56+Data!E57+Data!E58+Data!E59+Data!E60+Data!E61+Data!E62+Data!E63</f>
        <v>406919</v>
      </c>
      <c r="G63" s="16" t="n">
        <f aca="false">Data!K52+Data!K53+Data!K54+Data!K55+Data!K56+Data!K57+Data!K58+Data!K59+Data!K60+Data!K61+Data!K62+Data!K63</f>
        <v>425510</v>
      </c>
      <c r="H63" s="16" t="n">
        <f aca="false">Data!L52+Data!L53+Data!L54+Data!L55+Data!L56+Data!L57+Data!L58+Data!L59+Data!L60+Data!L61+Data!L62+Data!L63</f>
        <v>148004</v>
      </c>
      <c r="I63" s="16" t="n">
        <f aca="false">Data!G52+Data!G53+Data!G54+Data!G55+Data!G56+Data!G57+Data!G58+Data!G59+Data!G60+Data!G61+Data!G62+Data!G63</f>
        <v>415192</v>
      </c>
      <c r="J63" s="16" t="n">
        <f aca="false">Data!H52+Data!I52+Data!J52+Data!M52+Data!H53+Data!I53+Data!J53+Data!M53+Data!H54+Data!I54+Data!J54+Data!M54+Data!H55+Data!I55+Data!J55+Data!M55+Data!H56+Data!I56+Data!J56+Data!M56+Data!H57+Data!I57+Data!J57+Data!M57+Data!H58+Data!I58+Data!J58+Data!M58+Data!H59+Data!I59+Data!J59+Data!M59+Data!H60+Data!I60+Data!J60+Data!M60+Data!H61+Data!I61+Data!J61+Data!M61+Data!H62+Data!I62+Data!J62+Data!M62+Data!H63+Data!I63+Data!J63+Data!M63</f>
        <v>502323</v>
      </c>
      <c r="K63" s="16" t="n">
        <f aca="false">Data!F52+Data!F53+Data!F54+Data!F55+Data!F56+Data!F57+Data!F58+Data!F59+Data!F60+Data!F61+Data!F62+Data!F63</f>
        <v>1461883</v>
      </c>
      <c r="L63" s="16" t="n">
        <f aca="false">Data!N52+Data!O52+Data!P52+Data!Q52+Data!R52+Data!S52+Data!N53+Data!O53+Data!P53+Data!Q53+Data!R53+Data!S53+Data!N54+Data!O54+Data!P54+Data!Q54+Data!R54+Data!S54+Data!N55+Data!O55+Data!P55+Data!Q55+Data!R55+Data!S55+Data!N56+Data!O56+Data!P56+Data!Q56+Data!R56+Data!S56+Data!N57+Data!O57+Data!P57+Data!Q57+Data!R57+Data!S57+Data!N58+Data!O58+Data!P58+Data!Q58+Data!R58+Data!S58+Data!N59+Data!O59+Data!P59+Data!Q59+Data!R59+Data!S59+Data!N60+Data!O60+Data!P60+Data!Q60+Data!R60+Data!S60+Data!N61+Data!O61+Data!P61+Data!Q61+Data!R61+Data!S61+Data!N62+Data!O62+Data!P62+Data!Q62+Data!R62+Data!S62+Data!N63+Data!O63+Data!P63+Data!Q63+Data!R63+Data!S63</f>
        <v>443056</v>
      </c>
      <c r="M63" s="15" t="n">
        <f aca="false">Data!T52+Data!U52+Data!V52+Data!W52+Data!X52+Data!Y52+Data!Z52+Data!AA52+Data!AB52+Data!AC52+Data!AD52+Data!AE52+Data!AF52+Data!AG52+Data!AH52+Data!AI52+Data!AJ52+Data!AK52+Data!AL52+Data!T53+Data!U53+Data!V53+Data!W53+Data!X53+Data!Y53+Data!Z53+Data!AA53+Data!AB53+Data!AC53+Data!AD53+Data!AE53+Data!AF53+Data!AG53+Data!AH53+Data!AI53+Data!AJ53+Data!AK53+Data!AL53+Data!T54+Data!U54+Data!V54+Data!W54+Data!X54+Data!Y54+Data!Z54+Data!AA54+Data!AB54+Data!AC54+Data!AD54+Data!AE54+Data!AF54+Data!AG54+Data!AH54+Data!AI54+Data!AJ54+Data!AK54+Data!AL54+Data!T55+Data!U55+Data!V55+Data!W55+Data!X55+Data!Y55+Data!Z55+Data!AA55+Data!AB55+Data!AC55+Data!AD55+Data!AE55+Data!AF55+Data!AG55+Data!AH55+Data!AI55+Data!AJ55+Data!AK55+Data!AL55+Data!T56+Data!U56+Data!V56+Data!W56+Data!X56+Data!Y56+Data!Z56+Data!AA56+Data!AB56+Data!AC56+Data!AD56+Data!AE56+Data!AF56+Data!AG56+Data!AH56+Data!AI56+Data!AJ56+Data!AK56+Data!AL56+Data!T57+Data!U57+Data!V57+Data!W57+Data!X57+Data!Y57+Data!Z57+Data!AA57+Data!AB57+Data!AC57+Data!AD57+Data!AE57+Data!AF57+Data!AG57+Data!AH57+Data!AI57+Data!AJ57+Data!AK57+Data!AL57+Data!T58+Data!U58+Data!V58+Data!W58+Data!X58+Data!Y58+Data!Z58+Data!AA58+Data!AB58+Data!AC58+Data!AD58+Data!AE58+Data!AF58+Data!AG58+Data!AH58+Data!AI58+Data!AJ58+Data!AK58+Data!AL58+Data!T59+Data!U59+Data!V59+Data!W59+Data!X59+Data!Y59+Data!Z59+Data!AA59+Data!AB59+Data!AC59+Data!AD59+Data!AE59+Data!AF59+Data!AG59+Data!AH59+Data!AI59+Data!AJ59+Data!AK59+Data!AL59+Data!T60+Data!U60+Data!V60+Data!W60+Data!X60+Data!Y60+Data!Z60+Data!AA60+Data!AB60+Data!AC60+Data!AD60+Data!AE60+Data!AF60+Data!AG60+Data!AH60+Data!AI60+Data!AJ60+Data!AK60+Data!AL60+Data!T61+Data!U61+Data!V61+Data!W61+Data!X61+Data!Y61+Data!Z61+Data!AA61+Data!AB61+Data!AC61+Data!AD61+Data!AE61+Data!AF61+Data!AG61+Data!AH61+Data!AI61+Data!AJ61+Data!AK61+Data!AL61+Data!T62+Data!U62+Data!V62+Data!W62+Data!X62+Data!Y62+Data!Z62+Data!AA62+Data!AB62+Data!AC62+Data!AD62+Data!AE62+Data!AF62+Data!AG62+Data!AH62+Data!AI62+Data!AJ62+Data!AK62+Data!AL62+Data!T63+Data!U63+Data!V63+Data!W63+Data!X63+Data!Y63+Data!Z63+Data!AA63+Data!AB63+Data!AC63+Data!AD63+Data!AE63+Data!AF63+Data!AG63+Data!AH63+Data!AI63+Data!AJ63+Data!AK63+Data!AL63</f>
        <v>5981500</v>
      </c>
      <c r="N63" s="16" t="n">
        <f aca="false">Data!T52+Data!U52+Data!V52+Data!W52+Data!T53+Data!U53+Data!V53+Data!W53+Data!T54+Data!U54+Data!V54+Data!W54+Data!T55+Data!U55+Data!V55+Data!W55+Data!T56+Data!U56+Data!V56+Data!W56+Data!T57+Data!U57+Data!V57+Data!W57+Data!T58+Data!U58+Data!V58+Data!W58+Data!T59+Data!U59+Data!V59+Data!W59+Data!T60+Data!U60+Data!V60+Data!W60+Data!T61+Data!U61+Data!V61+Data!W61+Data!T62+Data!U62+Data!V62+Data!W62+Data!T63+Data!U63+Data!V63+Data!W63</f>
        <v>3022485</v>
      </c>
      <c r="O63" s="16" t="n">
        <f aca="false">Data!T52+Data!T53+Data!T54+Data!T55+Data!T56+Data!T57+Data!T58+Data!T59+Data!T60+Data!T61+Data!T62+Data!T63</f>
        <v>2200695</v>
      </c>
      <c r="P63" s="16" t="n">
        <f aca="false">Data!U52+Data!U53+Data!U54+Data!U55+Data!U56+Data!U57+Data!U58+Data!U59+Data!U60+Data!U61+Data!U62+Data!U63</f>
        <v>354356</v>
      </c>
      <c r="Q63" s="16" t="n">
        <f aca="false">Data!V52+Data!V53+Data!V54+Data!V55+Data!V56+Data!V57+Data!V58+Data!V59+Data!V60+Data!V61+Data!V62+Data!V63</f>
        <v>234617</v>
      </c>
      <c r="R63" s="16" t="n">
        <f aca="false">Data!W52+Data!W53+Data!W54+Data!W55+Data!W56+Data!W57+Data!W58+Data!W59+Data!W60+Data!W61+Data!W62+Data!W63</f>
        <v>232817</v>
      </c>
      <c r="S63" s="16" t="n">
        <f aca="false">Data!X52+Data!X53+Data!X54+Data!X55+Data!X56+Data!X57+Data!X58+Data!X59+Data!X60+Data!X61+Data!X62+Data!X63</f>
        <v>734521</v>
      </c>
      <c r="T63" s="16" t="n">
        <f aca="false">Data!Y52+Data!Z52+Data!AA52+Data!Y53+Data!Z53+Data!AA53+Data!Y54+Data!Z54+Data!AA54+Data!Y55+Data!Z55+Data!AA55+Data!Y56+Data!Z56+Data!AA56+Data!Y57+Data!Z57+Data!AA57+Data!Y58+Data!Z58+Data!AA58+Data!Y59+Data!Z59+Data!AA59+Data!Y60+Data!Z60+Data!AA60+Data!Y61+Data!Z61+Data!AA61+Data!Y62+Data!Z62+Data!AA62+Data!Y63+Data!Z63+Data!AA63</f>
        <v>591305</v>
      </c>
      <c r="U63" s="16" t="n">
        <f aca="false">Data!Y52+Data!Y53+Data!Y54+Data!Y55+Data!Y56+Data!Y57+Data!Y58+Data!Y59+Data!Y60+Data!Y61+Data!Y62+Data!Y63</f>
        <v>413312</v>
      </c>
      <c r="V63" s="16" t="n">
        <f aca="false">Data!Z52+Data!Z53+Data!Z54+Data!Z55+Data!Z56+Data!Z57+Data!Z58+Data!Z59+Data!Z60+Data!Z61+Data!Z62+Data!Z63</f>
        <v>172977</v>
      </c>
      <c r="W63" s="16" t="n">
        <f aca="false">Data!AB52+Data!AB53+Data!AB54+Data!AB55+Data!AB56+Data!AB57+Data!AB58+Data!AB59+Data!AB60+Data!AB61+Data!AB62+Data!AB63</f>
        <v>659961</v>
      </c>
      <c r="X63" s="16" t="n">
        <f aca="false">Data!AC52+Data!AC53+Data!AC54+Data!AC55+Data!AC56+Data!AC57+Data!AC58+Data!AC59+Data!AC60+Data!AC61+Data!AC62+Data!AC63</f>
        <v>192009</v>
      </c>
      <c r="Y63" s="16" t="n">
        <f aca="false">Data!AD52+Data!AE52+Data!AF52+Data!AG52+Data!AH52+Data!AD53+Data!AE53+Data!AF53+Data!AG53+Data!AH53+Data!AD54+Data!AE54+Data!AF54+Data!AG54+Data!AH54+Data!AD55+Data!AE55+Data!AF55+Data!AG55+Data!AH55+Data!AD56+Data!AE56+Data!AF56+Data!AG56+Data!AH56+Data!AD57+Data!AE57+Data!AF57+Data!AG57+Data!AH57+Data!AD58+Data!AE58+Data!AF58+Data!AG58+Data!AH58+Data!AD59+Data!AE59+Data!AF59+Data!AG59+Data!AH59+Data!AD60+Data!AE60+Data!AF60+Data!AG60+Data!AH60+Data!AD61+Data!AE61+Data!AF61+Data!AG61+Data!AH61+Data!AD62+Data!AE62+Data!AF62+Data!AG62+Data!AH62+Data!AD63+Data!AE63+Data!AF63+Data!AG63+Data!AH63</f>
        <v>282851</v>
      </c>
      <c r="Z63" s="16" t="n">
        <f aca="false">Data!AI52+Data!AI53+Data!AI54+Data!AI55+Data!AI56+Data!AI57+Data!AI58+Data!AI59+Data!AI60+Data!AI61+Data!AI62+Data!AI63</f>
        <v>191489</v>
      </c>
      <c r="AA63" s="16" t="n">
        <f aca="false">Data!AJ52+Data!AJ53+Data!AJ54+Data!AJ55+Data!AJ56+Data!AJ57+Data!AJ58+Data!AJ59+Data!AJ60+Data!AJ61+Data!AJ62+Data!AJ63</f>
        <v>813</v>
      </c>
      <c r="AB63" s="16" t="n">
        <f aca="false">Data!AK52+Data!AK53+Data!AK54+Data!AK55+Data!AK56+Data!AK57+Data!AK58+Data!AK59+Data!AK60+Data!AK61+Data!AK62+Data!AK63</f>
        <v>62364</v>
      </c>
      <c r="AC63" s="16" t="n">
        <f aca="false">Data!AL52+Data!AL53+Data!AL54+Data!AL55+Data!AL56+Data!AL57+Data!AL58+Data!AL59+Data!AL60+Data!AL61+Data!AL62+Data!AL63</f>
        <v>243702</v>
      </c>
      <c r="AD63" s="15" t="n">
        <f aca="false">Data!AM52+Data!AM53+Data!AM54+Data!AM55+Data!AM56+Data!AM57+Data!AM58+Data!AM59+Data!AM60+Data!AM61+Data!AM62+Data!AM63</f>
        <v>-1420023</v>
      </c>
      <c r="AE63" s="16" t="n">
        <f aca="false">Data!AN52+Data!AN53+Data!AN54+Data!AN55+Data!AN56+Data!AN57+Data!AN58+Data!AN59+Data!AN60+Data!AN61+Data!AN62+Data!AN63</f>
        <v>677490</v>
      </c>
      <c r="AF63" s="15" t="n">
        <f aca="false">Data!AO52+Data!AO53+Data!AO54+Data!AO55+Data!AO56+Data!AO57+Data!AO58+Data!AO59+Data!AO60+Data!AO61+Data!AO62+Data!AO63</f>
        <v>-2097511</v>
      </c>
    </row>
    <row r="64" customFormat="false" ht="15" hidden="false" customHeight="false" outlineLevel="0" collapsed="false">
      <c r="B64" s="14" t="str">
        <f aca="false">Data!B64</f>
        <v>2020-10</v>
      </c>
      <c r="C64" s="15" t="n">
        <f aca="false">Data!D53+Data!E53+Data!F53+Data!G53+Data!H53+Data!I53+Data!J53+Data!K53+Data!L53+Data!M53+Data!N53+Data!O53+Data!P53+Data!Q53+Data!R53+Data!S53+Data!D54+Data!E54+Data!F54+Data!G54+Data!H54+Data!I54+Data!J54+Data!K54+Data!L54+Data!M54+Data!N54+Data!O54+Data!P54+Data!Q54+Data!R54+Data!S54+Data!D55+Data!E55+Data!F55+Data!G55+Data!H55+Data!I55+Data!J55+Data!K55+Data!L55+Data!M55+Data!N55+Data!O55+Data!P55+Data!Q55+Data!R55+Data!S55+Data!D56+Data!E56+Data!F56+Data!G56+Data!H56+Data!I56+Data!J56+Data!K56+Data!L56+Data!M56+Data!N56+Data!O56+Data!P56+Data!Q56+Data!R56+Data!S56+Data!D57+Data!E57+Data!F57+Data!G57+Data!H57+Data!I57+Data!J57+Data!K57+Data!L57+Data!M57+Data!N57+Data!O57+Data!P57+Data!Q57+Data!R57+Data!S57+Data!D58+Data!E58+Data!F58+Data!G58+Data!H58+Data!I58+Data!J58+Data!K58+Data!L58+Data!M58+Data!N58+Data!O58+Data!P58+Data!Q58+Data!R58+Data!S58+Data!D59+Data!E59+Data!F59+Data!G59+Data!H59+Data!I59+Data!J59+Data!K59+Data!L59+Data!M59+Data!N59+Data!O59+Data!P59+Data!Q59+Data!R59+Data!S59+Data!D60+Data!E60+Data!F60+Data!G60+Data!H60+Data!I60+Data!J60+Data!K60+Data!L60+Data!M60+Data!N60+Data!O60+Data!P60+Data!Q60+Data!R60+Data!S60+Data!D61+Data!E61+Data!F61+Data!G61+Data!H61+Data!I61+Data!J61+Data!K61+Data!L61+Data!M61+Data!N61+Data!O61+Data!P61+Data!Q61+Data!R61+Data!S61+Data!D62+Data!E62+Data!F62+Data!G62+Data!H62+Data!I62+Data!J62+Data!K62+Data!L62+Data!M62+Data!N62+Data!O62+Data!P62+Data!Q62+Data!R62+Data!S62+Data!D63+Data!E63+Data!F63+Data!G63+Data!H63+Data!I63+Data!J63+Data!K63+Data!L63+Data!M63+Data!N63+Data!O63+Data!P63+Data!Q63+Data!R63+Data!S63+Data!D64+Data!E64+Data!F64+Data!G64+Data!H64+Data!I64+Data!J64+Data!K64+Data!L64+Data!M64+Data!N64+Data!O64+Data!P64+Data!Q64+Data!R64+Data!S64</f>
        <v>4661106</v>
      </c>
      <c r="D64" s="16" t="n">
        <f aca="false">Data!D53+Data!E53+Data!G53+Data!H53+Data!I53+Data!J53+Data!K53+Data!L53+Data!M53+Data!D54+Data!E54+Data!G54+Data!H54+Data!I54+Data!J54+Data!K54+Data!L54+Data!M54+Data!D55+Data!E55+Data!G55+Data!H55+Data!I55+Data!J55+Data!K55+Data!L55+Data!M55+Data!D56+Data!E56+Data!G56+Data!H56+Data!I56+Data!J56+Data!K56+Data!L56+Data!M56+Data!D57+Data!E57+Data!G57+Data!H57+Data!I57+Data!J57+Data!K57+Data!L57+Data!M57+Data!D58+Data!E58+Data!G58+Data!H58+Data!I58+Data!J58+Data!K58+Data!L58+Data!M58+Data!D59+Data!E59+Data!G59+Data!H59+Data!I59+Data!J59+Data!K59+Data!L59+Data!M59+Data!D60+Data!E60+Data!G60+Data!H60+Data!I60+Data!J60+Data!K60+Data!L60+Data!M60+Data!D61+Data!E61+Data!G61+Data!H61+Data!I61+Data!J61+Data!K61+Data!L61+Data!M61+Data!D62+Data!E62+Data!G62+Data!H62+Data!I62+Data!J62+Data!K62+Data!L62+Data!M62+Data!D63+Data!E63+Data!G63+Data!H63+Data!I63+Data!J63+Data!K63+Data!L63+Data!M63+Data!D64+Data!E64+Data!G64+Data!H64+Data!I64+Data!J64+Data!K64+Data!L64+Data!M64</f>
        <v>2735222</v>
      </c>
      <c r="E64" s="16" t="n">
        <f aca="false">Data!D53+Data!D54+Data!D55+Data!D56+Data!D57+Data!D58+Data!D59+Data!D60+Data!D61+Data!D62+Data!D63+Data!D64</f>
        <v>776382</v>
      </c>
      <c r="F64" s="16" t="n">
        <f aca="false">Data!E53+Data!E54+Data!E55+Data!E56+Data!E57+Data!E58+Data!E59+Data!E60+Data!E61+Data!E62+Data!E63+Data!E64</f>
        <v>430409</v>
      </c>
      <c r="G64" s="16" t="n">
        <f aca="false">Data!K53+Data!K54+Data!K55+Data!K56+Data!K57+Data!K58+Data!K59+Data!K60+Data!K61+Data!K62+Data!K63+Data!K64</f>
        <v>425658</v>
      </c>
      <c r="H64" s="16" t="n">
        <f aca="false">Data!L53+Data!L54+Data!L55+Data!L56+Data!L57+Data!L58+Data!L59+Data!L60+Data!L61+Data!L62+Data!L63+Data!L64</f>
        <v>149976</v>
      </c>
      <c r="I64" s="16" t="n">
        <f aca="false">Data!G53+Data!G54+Data!G55+Data!G56+Data!G57+Data!G58+Data!G59+Data!G60+Data!G61+Data!G62+Data!G63+Data!G64</f>
        <v>423785</v>
      </c>
      <c r="J64" s="16" t="n">
        <f aca="false">Data!H53+Data!I53+Data!J53+Data!M53+Data!H54+Data!I54+Data!J54+Data!M54+Data!H55+Data!I55+Data!J55+Data!M55+Data!H56+Data!I56+Data!J56+Data!M56+Data!H57+Data!I57+Data!J57+Data!M57+Data!H58+Data!I58+Data!J58+Data!M58+Data!H59+Data!I59+Data!J59+Data!M59+Data!H60+Data!I60+Data!J60+Data!M60+Data!H61+Data!I61+Data!J61+Data!M61+Data!H62+Data!I62+Data!J62+Data!M62+Data!H63+Data!I63+Data!J63+Data!M63+Data!H64+Data!I64+Data!J64+Data!M64</f>
        <v>529012</v>
      </c>
      <c r="K64" s="16" t="n">
        <f aca="false">Data!F53+Data!F54+Data!F55+Data!F56+Data!F57+Data!F58+Data!F59+Data!F60+Data!F61+Data!F62+Data!F63+Data!F64</f>
        <v>1490215</v>
      </c>
      <c r="L64" s="16" t="n">
        <f aca="false">Data!N53+Data!O53+Data!P53+Data!Q53+Data!R53+Data!S53+Data!N54+Data!O54+Data!P54+Data!Q54+Data!R54+Data!S54+Data!N55+Data!O55+Data!P55+Data!Q55+Data!R55+Data!S55+Data!N56+Data!O56+Data!P56+Data!Q56+Data!R56+Data!S56+Data!N57+Data!O57+Data!P57+Data!Q57+Data!R57+Data!S57+Data!N58+Data!O58+Data!P58+Data!Q58+Data!R58+Data!S58+Data!N59+Data!O59+Data!P59+Data!Q59+Data!R59+Data!S59+Data!N60+Data!O60+Data!P60+Data!Q60+Data!R60+Data!S60+Data!N61+Data!O61+Data!P61+Data!Q61+Data!R61+Data!S61+Data!N62+Data!O62+Data!P62+Data!Q62+Data!R62+Data!S62+Data!N63+Data!O63+Data!P63+Data!Q63+Data!R63+Data!S63+Data!N64+Data!O64+Data!P64+Data!Q64+Data!R64+Data!S64</f>
        <v>435669</v>
      </c>
      <c r="M64" s="15" t="n">
        <f aca="false">Data!T53+Data!U53+Data!V53+Data!W53+Data!X53+Data!Y53+Data!Z53+Data!AA53+Data!AB53+Data!AC53+Data!AD53+Data!AE53+Data!AF53+Data!AG53+Data!AH53+Data!AI53+Data!AJ53+Data!AK53+Data!AL53+Data!T54+Data!U54+Data!V54+Data!W54+Data!X54+Data!Y54+Data!Z54+Data!AA54+Data!AB54+Data!AC54+Data!AD54+Data!AE54+Data!AF54+Data!AG54+Data!AH54+Data!AI54+Data!AJ54+Data!AK54+Data!AL54+Data!T55+Data!U55+Data!V55+Data!W55+Data!X55+Data!Y55+Data!Z55+Data!AA55+Data!AB55+Data!AC55+Data!AD55+Data!AE55+Data!AF55+Data!AG55+Data!AH55+Data!AI55+Data!AJ55+Data!AK55+Data!AL55+Data!T56+Data!U56+Data!V56+Data!W56+Data!X56+Data!Y56+Data!Z56+Data!AA56+Data!AB56+Data!AC56+Data!AD56+Data!AE56+Data!AF56+Data!AG56+Data!AH56+Data!AI56+Data!AJ56+Data!AK56+Data!AL56+Data!T57+Data!U57+Data!V57+Data!W57+Data!X57+Data!Y57+Data!Z57+Data!AA57+Data!AB57+Data!AC57+Data!AD57+Data!AE57+Data!AF57+Data!AG57+Data!AH57+Data!AI57+Data!AJ57+Data!AK57+Data!AL57+Data!T58+Data!U58+Data!V58+Data!W58+Data!X58+Data!Y58+Data!Z58+Data!AA58+Data!AB58+Data!AC58+Data!AD58+Data!AE58+Data!AF58+Data!AG58+Data!AH58+Data!AI58+Data!AJ58+Data!AK58+Data!AL58+Data!T59+Data!U59+Data!V59+Data!W59+Data!X59+Data!Y59+Data!Z59+Data!AA59+Data!AB59+Data!AC59+Data!AD59+Data!AE59+Data!AF59+Data!AG59+Data!AH59+Data!AI59+Data!AJ59+Data!AK59+Data!AL59+Data!T60+Data!U60+Data!V60+Data!W60+Data!X60+Data!Y60+Data!Z60+Data!AA60+Data!AB60+Data!AC60+Data!AD60+Data!AE60+Data!AF60+Data!AG60+Data!AH60+Data!AI60+Data!AJ60+Data!AK60+Data!AL60+Data!T61+Data!U61+Data!V61+Data!W61+Data!X61+Data!Y61+Data!Z61+Data!AA61+Data!AB61+Data!AC61+Data!AD61+Data!AE61+Data!AF61+Data!AG61+Data!AH61+Data!AI61+Data!AJ61+Data!AK61+Data!AL61+Data!T62+Data!U62+Data!V62+Data!W62+Data!X62+Data!Y62+Data!Z62+Data!AA62+Data!AB62+Data!AC62+Data!AD62+Data!AE62+Data!AF62+Data!AG62+Data!AH62+Data!AI62+Data!AJ62+Data!AK62+Data!AL62+Data!T63+Data!U63+Data!V63+Data!W63+Data!X63+Data!Y63+Data!Z63+Data!AA63+Data!AB63+Data!AC63+Data!AD63+Data!AE63+Data!AF63+Data!AG63+Data!AH63+Data!AI63+Data!AJ63+Data!AK63+Data!AL63+Data!T64+Data!U64+Data!V64+Data!W64+Data!X64+Data!Y64+Data!Z64+Data!AA64+Data!AB64+Data!AC64+Data!AD64+Data!AE64+Data!AF64+Data!AG64+Data!AH64+Data!AI64+Data!AJ64+Data!AK64+Data!AL64</f>
        <v>6171283</v>
      </c>
      <c r="N64" s="16" t="n">
        <f aca="false">Data!T53+Data!U53+Data!V53+Data!W53+Data!T54+Data!U54+Data!V54+Data!W54+Data!T55+Data!U55+Data!V55+Data!W55+Data!T56+Data!U56+Data!V56+Data!W56+Data!T57+Data!U57+Data!V57+Data!W57+Data!T58+Data!U58+Data!V58+Data!W58+Data!T59+Data!U59+Data!V59+Data!W59+Data!T60+Data!U60+Data!V60+Data!W60+Data!T61+Data!U61+Data!V61+Data!W61+Data!T62+Data!U62+Data!V62+Data!W62+Data!T63+Data!U63+Data!V63+Data!W63+Data!T64+Data!U64+Data!V64+Data!W64</f>
        <v>3096615</v>
      </c>
      <c r="O64" s="16" t="n">
        <f aca="false">Data!T53+Data!T54+Data!T55+Data!T56+Data!T57+Data!T58+Data!T59+Data!T60+Data!T61+Data!T62+Data!T63+Data!T64</f>
        <v>2256094</v>
      </c>
      <c r="P64" s="16" t="n">
        <f aca="false">Data!U53+Data!U54+Data!U55+Data!U56+Data!U57+Data!U58+Data!U59+Data!U60+Data!U61+Data!U62+Data!U63+Data!U64</f>
        <v>358247</v>
      </c>
      <c r="Q64" s="16" t="n">
        <f aca="false">Data!V53+Data!V54+Data!V55+Data!V56+Data!V57+Data!V58+Data!V59+Data!V60+Data!V61+Data!V62+Data!V63+Data!V64</f>
        <v>239022</v>
      </c>
      <c r="R64" s="16" t="n">
        <f aca="false">Data!W53+Data!W54+Data!W55+Data!W56+Data!W57+Data!W58+Data!W59+Data!W60+Data!W61+Data!W62+Data!W63+Data!W64</f>
        <v>243252</v>
      </c>
      <c r="S64" s="16" t="n">
        <f aca="false">Data!X53+Data!X54+Data!X55+Data!X56+Data!X57+Data!X58+Data!X59+Data!X60+Data!X61+Data!X62+Data!X63+Data!X64</f>
        <v>775347</v>
      </c>
      <c r="T64" s="16" t="n">
        <f aca="false">Data!Y53+Data!Z53+Data!AA53+Data!Y54+Data!Z54+Data!AA54+Data!Y55+Data!Z55+Data!AA55+Data!Y56+Data!Z56+Data!AA56+Data!Y57+Data!Z57+Data!AA57+Data!Y58+Data!Z58+Data!AA58+Data!Y59+Data!Z59+Data!AA59+Data!Y60+Data!Z60+Data!AA60+Data!Y61+Data!Z61+Data!AA61+Data!Y62+Data!Z62+Data!AA62+Data!Y63+Data!Z63+Data!AA63+Data!Y64+Data!Z64+Data!AA64</f>
        <v>633241</v>
      </c>
      <c r="U64" s="16" t="n">
        <f aca="false">Data!Y53+Data!Y54+Data!Y55+Data!Y56+Data!Y57+Data!Y58+Data!Y59+Data!Y60+Data!Y61+Data!Y62+Data!Y63+Data!Y64</f>
        <v>446253</v>
      </c>
      <c r="V64" s="16" t="n">
        <f aca="false">Data!Z53+Data!Z54+Data!Z55+Data!Z56+Data!Z57+Data!Z58+Data!Z59+Data!Z60+Data!Z61+Data!Z62+Data!Z63+Data!Z64</f>
        <v>180798</v>
      </c>
      <c r="W64" s="16" t="n">
        <f aca="false">Data!AB53+Data!AB54+Data!AB55+Data!AB56+Data!AB57+Data!AB58+Data!AB59+Data!AB60+Data!AB61+Data!AB62+Data!AB63+Data!AB64</f>
        <v>671499</v>
      </c>
      <c r="X64" s="16" t="n">
        <f aca="false">Data!AC53+Data!AC54+Data!AC55+Data!AC56+Data!AC57+Data!AC58+Data!AC59+Data!AC60+Data!AC61+Data!AC62+Data!AC63+Data!AC64</f>
        <v>194966</v>
      </c>
      <c r="Y64" s="16" t="n">
        <f aca="false">Data!AD53+Data!AE53+Data!AF53+Data!AG53+Data!AH53+Data!AD54+Data!AE54+Data!AF54+Data!AG54+Data!AH54+Data!AD55+Data!AE55+Data!AF55+Data!AG55+Data!AH55+Data!AD56+Data!AE56+Data!AF56+Data!AG56+Data!AH56+Data!AD57+Data!AE57+Data!AF57+Data!AG57+Data!AH57+Data!AD58+Data!AE58+Data!AF58+Data!AG58+Data!AH58+Data!AD59+Data!AE59+Data!AF59+Data!AG59+Data!AH59+Data!AD60+Data!AE60+Data!AF60+Data!AG60+Data!AH60+Data!AD61+Data!AE61+Data!AF61+Data!AG61+Data!AH61+Data!AD62+Data!AE62+Data!AF62+Data!AG62+Data!AH62+Data!AD63+Data!AE63+Data!AF63+Data!AG63+Data!AH63+Data!AD64+Data!AE64+Data!AF64+Data!AG64+Data!AH64</f>
        <v>296663</v>
      </c>
      <c r="Z64" s="16" t="n">
        <f aca="false">Data!AI53+Data!AI54+Data!AI55+Data!AI56+Data!AI57+Data!AI58+Data!AI59+Data!AI60+Data!AI61+Data!AI62+Data!AI63+Data!AI64</f>
        <v>196750</v>
      </c>
      <c r="AA64" s="16" t="n">
        <f aca="false">Data!AJ53+Data!AJ54+Data!AJ55+Data!AJ56+Data!AJ57+Data!AJ58+Data!AJ59+Data!AJ60+Data!AJ61+Data!AJ62+Data!AJ63+Data!AJ64</f>
        <v>-1073</v>
      </c>
      <c r="AB64" s="16" t="n">
        <f aca="false">Data!AK53+Data!AK54+Data!AK55+Data!AK56+Data!AK57+Data!AK58+Data!AK59+Data!AK60+Data!AK61+Data!AK62+Data!AK63+Data!AK64</f>
        <v>63567</v>
      </c>
      <c r="AC64" s="16" t="n">
        <f aca="false">Data!AL53+Data!AL54+Data!AL55+Data!AL56+Data!AL57+Data!AL58+Data!AL59+Data!AL60+Data!AL61+Data!AL62+Data!AL63+Data!AL64</f>
        <v>243708</v>
      </c>
      <c r="AD64" s="15" t="n">
        <f aca="false">Data!AM53+Data!AM54+Data!AM55+Data!AM56+Data!AM57+Data!AM58+Data!AM59+Data!AM60+Data!AM61+Data!AM62+Data!AM63+Data!AM64</f>
        <v>-1510177</v>
      </c>
      <c r="AE64" s="16" t="n">
        <f aca="false">Data!AN53+Data!AN54+Data!AN55+Data!AN56+Data!AN57+Data!AN58+Data!AN59+Data!AN60+Data!AN61+Data!AN62+Data!AN63+Data!AN64</f>
        <v>635785</v>
      </c>
      <c r="AF64" s="15" t="n">
        <f aca="false">Data!AO53+Data!AO54+Data!AO55+Data!AO56+Data!AO57+Data!AO58+Data!AO59+Data!AO60+Data!AO61+Data!AO62+Data!AO63+Data!AO64</f>
        <v>-2145960</v>
      </c>
    </row>
    <row r="65" customFormat="false" ht="15" hidden="false" customHeight="false" outlineLevel="0" collapsed="false">
      <c r="B65" s="14" t="str">
        <f aca="false">Data!B65</f>
        <v>2020-11</v>
      </c>
      <c r="C65" s="15" t="n">
        <f aca="false">Data!D54+Data!E54+Data!F54+Data!G54+Data!H54+Data!I54+Data!J54+Data!K54+Data!L54+Data!M54+Data!N54+Data!O54+Data!P54+Data!Q54+Data!R54+Data!S54+Data!D55+Data!E55+Data!F55+Data!G55+Data!H55+Data!I55+Data!J55+Data!K55+Data!L55+Data!M55+Data!N55+Data!O55+Data!P55+Data!Q55+Data!R55+Data!S55+Data!D56+Data!E56+Data!F56+Data!G56+Data!H56+Data!I56+Data!J56+Data!K56+Data!L56+Data!M56+Data!N56+Data!O56+Data!P56+Data!Q56+Data!R56+Data!S56+Data!D57+Data!E57+Data!F57+Data!G57+Data!H57+Data!I57+Data!J57+Data!K57+Data!L57+Data!M57+Data!N57+Data!O57+Data!P57+Data!Q57+Data!R57+Data!S57+Data!D58+Data!E58+Data!F58+Data!G58+Data!H58+Data!I58+Data!J58+Data!K58+Data!L58+Data!M58+Data!N58+Data!O58+Data!P58+Data!Q58+Data!R58+Data!S58+Data!D59+Data!E59+Data!F59+Data!G59+Data!H59+Data!I59+Data!J59+Data!K59+Data!L59+Data!M59+Data!N59+Data!O59+Data!P59+Data!Q59+Data!R59+Data!S59+Data!D60+Data!E60+Data!F60+Data!G60+Data!H60+Data!I60+Data!J60+Data!K60+Data!L60+Data!M60+Data!N60+Data!O60+Data!P60+Data!Q60+Data!R60+Data!S60+Data!D61+Data!E61+Data!F61+Data!G61+Data!H61+Data!I61+Data!J61+Data!K61+Data!L61+Data!M61+Data!N61+Data!O61+Data!P61+Data!Q61+Data!R61+Data!S61+Data!D62+Data!E62+Data!F62+Data!G62+Data!H62+Data!I62+Data!J62+Data!K62+Data!L62+Data!M62+Data!N62+Data!O62+Data!P62+Data!Q62+Data!R62+Data!S62+Data!D63+Data!E63+Data!F63+Data!G63+Data!H63+Data!I63+Data!J63+Data!K63+Data!L63+Data!M63+Data!N63+Data!O63+Data!P63+Data!Q63+Data!R63+Data!S63+Data!D64+Data!E64+Data!F64+Data!G64+Data!H64+Data!I64+Data!J64+Data!K64+Data!L64+Data!M64+Data!N64+Data!O64+Data!P64+Data!Q64+Data!R64+Data!S64+Data!D65+Data!E65+Data!F65+Data!G65+Data!H65+Data!I65+Data!J65+Data!K65+Data!L65+Data!M65+Data!N65+Data!O65+Data!P65+Data!Q65+Data!R65+Data!S65</f>
        <v>4760654</v>
      </c>
      <c r="D65" s="16" t="n">
        <f aca="false">Data!D54+Data!E54+Data!G54+Data!H54+Data!I54+Data!J54+Data!K54+Data!L54+Data!M54+Data!D55+Data!E55+Data!G55+Data!H55+Data!I55+Data!J55+Data!K55+Data!L55+Data!M55+Data!D56+Data!E56+Data!G56+Data!H56+Data!I56+Data!J56+Data!K56+Data!L56+Data!M56+Data!D57+Data!E57+Data!G57+Data!H57+Data!I57+Data!J57+Data!K57+Data!L57+Data!M57+Data!D58+Data!E58+Data!G58+Data!H58+Data!I58+Data!J58+Data!K58+Data!L58+Data!M58+Data!D59+Data!E59+Data!G59+Data!H59+Data!I59+Data!J59+Data!K59+Data!L59+Data!M59+Data!D60+Data!E60+Data!G60+Data!H60+Data!I60+Data!J60+Data!K60+Data!L60+Data!M60+Data!D61+Data!E61+Data!G61+Data!H61+Data!I61+Data!J61+Data!K61+Data!L61+Data!M61+Data!D62+Data!E62+Data!G62+Data!H62+Data!I62+Data!J62+Data!K62+Data!L62+Data!M62+Data!D63+Data!E63+Data!G63+Data!H63+Data!I63+Data!J63+Data!K63+Data!L63+Data!M63+Data!D64+Data!E64+Data!G64+Data!H64+Data!I64+Data!J64+Data!K64+Data!L64+Data!M64+Data!D65+Data!E65+Data!G65+Data!H65+Data!I65+Data!J65+Data!K65+Data!L65+Data!M65</f>
        <v>2805970</v>
      </c>
      <c r="E65" s="16" t="n">
        <f aca="false">Data!D54+Data!D55+Data!D56+Data!D57+Data!D58+Data!D59+Data!D60+Data!D61+Data!D62+Data!D63+Data!D64+Data!D65</f>
        <v>799780</v>
      </c>
      <c r="F65" s="16" t="n">
        <f aca="false">Data!E54+Data!E55+Data!E56+Data!E57+Data!E58+Data!E59+Data!E60+Data!E61+Data!E62+Data!E63+Data!E64+Data!E65</f>
        <v>455305</v>
      </c>
      <c r="G65" s="16" t="n">
        <f aca="false">Data!K54+Data!K55+Data!K56+Data!K57+Data!K58+Data!K59+Data!K60+Data!K61+Data!K62+Data!K63+Data!K64+Data!K65</f>
        <v>411872</v>
      </c>
      <c r="H65" s="16" t="n">
        <f aca="false">Data!L54+Data!L55+Data!L56+Data!L57+Data!L58+Data!L59+Data!L60+Data!L61+Data!L62+Data!L63+Data!L64+Data!L65</f>
        <v>154179</v>
      </c>
      <c r="I65" s="16" t="n">
        <f aca="false">Data!G54+Data!G55+Data!G56+Data!G57+Data!G58+Data!G59+Data!G60+Data!G61+Data!G62+Data!G63+Data!G64+Data!G65</f>
        <v>433053</v>
      </c>
      <c r="J65" s="16" t="n">
        <f aca="false">Data!H54+Data!I54+Data!J54+Data!M54+Data!H55+Data!I55+Data!J55+Data!M55+Data!H56+Data!I56+Data!J56+Data!M56+Data!H57+Data!I57+Data!J57+Data!M57+Data!H58+Data!I58+Data!J58+Data!M58+Data!H59+Data!I59+Data!J59+Data!M59+Data!H60+Data!I60+Data!J60+Data!M60+Data!H61+Data!I61+Data!J61+Data!M61+Data!H62+Data!I62+Data!J62+Data!M62+Data!H63+Data!I63+Data!J63+Data!M63+Data!H64+Data!I64+Data!J64+Data!M64+Data!H65+Data!I65+Data!J65+Data!M65</f>
        <v>551781</v>
      </c>
      <c r="K65" s="16" t="n">
        <f aca="false">Data!F54+Data!F55+Data!F56+Data!F57+Data!F58+Data!F59+Data!F60+Data!F61+Data!F62+Data!F63+Data!F64+Data!F65</f>
        <v>1512352</v>
      </c>
      <c r="L65" s="16" t="n">
        <f aca="false">Data!N54+Data!O54+Data!P54+Data!Q54+Data!R54+Data!S54+Data!N55+Data!O55+Data!P55+Data!Q55+Data!R55+Data!S55+Data!N56+Data!O56+Data!P56+Data!Q56+Data!R56+Data!S56+Data!N57+Data!O57+Data!P57+Data!Q57+Data!R57+Data!S57+Data!N58+Data!O58+Data!P58+Data!Q58+Data!R58+Data!S58+Data!N59+Data!O59+Data!P59+Data!Q59+Data!R59+Data!S59+Data!N60+Data!O60+Data!P60+Data!Q60+Data!R60+Data!S60+Data!N61+Data!O61+Data!P61+Data!Q61+Data!R61+Data!S61+Data!N62+Data!O62+Data!P62+Data!Q62+Data!R62+Data!S62+Data!N63+Data!O63+Data!P63+Data!Q63+Data!R63+Data!S63+Data!N64+Data!O64+Data!P64+Data!Q64+Data!R64+Data!S64+Data!N65+Data!O65+Data!P65+Data!Q65+Data!R65+Data!S65</f>
        <v>442332</v>
      </c>
      <c r="M65" s="15" t="n">
        <f aca="false">Data!T54+Data!U54+Data!V54+Data!W54+Data!X54+Data!Y54+Data!Z54+Data!AA54+Data!AB54+Data!AC54+Data!AD54+Data!AE54+Data!AF54+Data!AG54+Data!AH54+Data!AI54+Data!AJ54+Data!AK54+Data!AL54+Data!T55+Data!U55+Data!V55+Data!W55+Data!X55+Data!Y55+Data!Z55+Data!AA55+Data!AB55+Data!AC55+Data!AD55+Data!AE55+Data!AF55+Data!AG55+Data!AH55+Data!AI55+Data!AJ55+Data!AK55+Data!AL55+Data!T56+Data!U56+Data!V56+Data!W56+Data!X56+Data!Y56+Data!Z56+Data!AA56+Data!AB56+Data!AC56+Data!AD56+Data!AE56+Data!AF56+Data!AG56+Data!AH56+Data!AI56+Data!AJ56+Data!AK56+Data!AL56+Data!T57+Data!U57+Data!V57+Data!W57+Data!X57+Data!Y57+Data!Z57+Data!AA57+Data!AB57+Data!AC57+Data!AD57+Data!AE57+Data!AF57+Data!AG57+Data!AH57+Data!AI57+Data!AJ57+Data!AK57+Data!AL57+Data!T58+Data!U58+Data!V58+Data!W58+Data!X58+Data!Y58+Data!Z58+Data!AA58+Data!AB58+Data!AC58+Data!AD58+Data!AE58+Data!AF58+Data!AG58+Data!AH58+Data!AI58+Data!AJ58+Data!AK58+Data!AL58+Data!T59+Data!U59+Data!V59+Data!W59+Data!X59+Data!Y59+Data!Z59+Data!AA59+Data!AB59+Data!AC59+Data!AD59+Data!AE59+Data!AF59+Data!AG59+Data!AH59+Data!AI59+Data!AJ59+Data!AK59+Data!AL59+Data!T60+Data!U60+Data!V60+Data!W60+Data!X60+Data!Y60+Data!Z60+Data!AA60+Data!AB60+Data!AC60+Data!AD60+Data!AE60+Data!AF60+Data!AG60+Data!AH60+Data!AI60+Data!AJ60+Data!AK60+Data!AL60+Data!T61+Data!U61+Data!V61+Data!W61+Data!X61+Data!Y61+Data!Z61+Data!AA61+Data!AB61+Data!AC61+Data!AD61+Data!AE61+Data!AF61+Data!AG61+Data!AH61+Data!AI61+Data!AJ61+Data!AK61+Data!AL61+Data!T62+Data!U62+Data!V62+Data!W62+Data!X62+Data!Y62+Data!Z62+Data!AA62+Data!AB62+Data!AC62+Data!AD62+Data!AE62+Data!AF62+Data!AG62+Data!AH62+Data!AI62+Data!AJ62+Data!AK62+Data!AL62+Data!T63+Data!U63+Data!V63+Data!W63+Data!X63+Data!Y63+Data!Z63+Data!AA63+Data!AB63+Data!AC63+Data!AD63+Data!AE63+Data!AF63+Data!AG63+Data!AH63+Data!AI63+Data!AJ63+Data!AK63+Data!AL63+Data!T64+Data!U64+Data!V64+Data!W64+Data!X64+Data!Y64+Data!Z64+Data!AA64+Data!AB64+Data!AC64+Data!AD64+Data!AE64+Data!AF64+Data!AG64+Data!AH64+Data!AI64+Data!AJ64+Data!AK64+Data!AL64+Data!T65+Data!U65+Data!V65+Data!W65+Data!X65+Data!Y65+Data!Z65+Data!AA65+Data!AB65+Data!AC65+Data!AD65+Data!AE65+Data!AF65+Data!AG65+Data!AH65+Data!AI65+Data!AJ65+Data!AK65+Data!AL65</f>
        <v>6323127</v>
      </c>
      <c r="N65" s="16" t="n">
        <f aca="false">Data!T54+Data!U54+Data!V54+Data!W54+Data!T55+Data!U55+Data!V55+Data!W55+Data!T56+Data!U56+Data!V56+Data!W56+Data!T57+Data!U57+Data!V57+Data!W57+Data!T58+Data!U58+Data!V58+Data!W58+Data!T59+Data!U59+Data!V59+Data!W59+Data!T60+Data!U60+Data!V60+Data!W60+Data!T61+Data!U61+Data!V61+Data!W61+Data!T62+Data!U62+Data!V62+Data!W62+Data!T63+Data!U63+Data!V63+Data!W63+Data!T64+Data!U64+Data!V64+Data!W64+Data!T65+Data!U65+Data!V65+Data!W65</f>
        <v>3168981</v>
      </c>
      <c r="O65" s="16" t="n">
        <f aca="false">Data!T54+Data!T55+Data!T56+Data!T57+Data!T58+Data!T59+Data!T60+Data!T61+Data!T62+Data!T63+Data!T64+Data!T65</f>
        <v>2304158</v>
      </c>
      <c r="P65" s="16" t="n">
        <f aca="false">Data!U54+Data!U55+Data!U56+Data!U57+Data!U58+Data!U59+Data!U60+Data!U61+Data!U62+Data!U63+Data!U64+Data!U65</f>
        <v>367283</v>
      </c>
      <c r="Q65" s="16" t="n">
        <f aca="false">Data!V54+Data!V55+Data!V56+Data!V57+Data!V58+Data!V59+Data!V60+Data!V61+Data!V62+Data!V63+Data!V64+Data!V65</f>
        <v>245226</v>
      </c>
      <c r="R65" s="16" t="n">
        <f aca="false">Data!W54+Data!W55+Data!W56+Data!W57+Data!W58+Data!W59+Data!W60+Data!W61+Data!W62+Data!W63+Data!W64+Data!W65</f>
        <v>252314</v>
      </c>
      <c r="S65" s="16" t="n">
        <f aca="false">Data!X54+Data!X55+Data!X56+Data!X57+Data!X58+Data!X59+Data!X60+Data!X61+Data!X62+Data!X63+Data!X64+Data!X65</f>
        <v>808065</v>
      </c>
      <c r="T65" s="16" t="n">
        <f aca="false">Data!Y54+Data!Z54+Data!AA54+Data!Y55+Data!Z55+Data!AA55+Data!Y56+Data!Z56+Data!AA56+Data!Y57+Data!Z57+Data!AA57+Data!Y58+Data!Z58+Data!AA58+Data!Y59+Data!Z59+Data!AA59+Data!Y60+Data!Z60+Data!AA60+Data!Y61+Data!Z61+Data!AA61+Data!Y62+Data!Z62+Data!AA62+Data!Y63+Data!Z63+Data!AA63+Data!Y64+Data!Z64+Data!AA64+Data!Y65+Data!Z65+Data!AA65</f>
        <v>648636</v>
      </c>
      <c r="U65" s="16" t="n">
        <f aca="false">Data!Y54+Data!Y55+Data!Y56+Data!Y57+Data!Y58+Data!Y59+Data!Y60+Data!Y61+Data!Y62+Data!Y63+Data!Y64+Data!Y65</f>
        <v>455251</v>
      </c>
      <c r="V65" s="16" t="n">
        <f aca="false">Data!Z54+Data!Z55+Data!Z56+Data!Z57+Data!Z58+Data!Z59+Data!Z60+Data!Z61+Data!Z62+Data!Z63+Data!Z64+Data!Z65</f>
        <v>186983</v>
      </c>
      <c r="W65" s="16" t="n">
        <f aca="false">Data!AB54+Data!AB55+Data!AB56+Data!AB57+Data!AB58+Data!AB59+Data!AB60+Data!AB61+Data!AB62+Data!AB63+Data!AB64+Data!AB65</f>
        <v>683928</v>
      </c>
      <c r="X65" s="16" t="n">
        <f aca="false">Data!AC54+Data!AC55+Data!AC56+Data!AC57+Data!AC58+Data!AC59+Data!AC60+Data!AC61+Data!AC62+Data!AC63+Data!AC64+Data!AC65</f>
        <v>196809</v>
      </c>
      <c r="Y65" s="16" t="n">
        <f aca="false">Data!AD54+Data!AE54+Data!AF54+Data!AG54+Data!AH54+Data!AD55+Data!AE55+Data!AF55+Data!AG55+Data!AH55+Data!AD56+Data!AE56+Data!AF56+Data!AG56+Data!AH56+Data!AD57+Data!AE57+Data!AF57+Data!AG57+Data!AH57+Data!AD58+Data!AE58+Data!AF58+Data!AG58+Data!AH58+Data!AD59+Data!AE59+Data!AF59+Data!AG59+Data!AH59+Data!AD60+Data!AE60+Data!AF60+Data!AG60+Data!AH60+Data!AD61+Data!AE61+Data!AF61+Data!AG61+Data!AH61+Data!AD62+Data!AE62+Data!AF62+Data!AG62+Data!AH62+Data!AD63+Data!AE63+Data!AF63+Data!AG63+Data!AH63+Data!AD64+Data!AE64+Data!AF64+Data!AG64+Data!AH64+Data!AD65+Data!AE65+Data!AF65+Data!AG65+Data!AH65</f>
        <v>293771</v>
      </c>
      <c r="Z65" s="16" t="n">
        <f aca="false">Data!AI54+Data!AI55+Data!AI56+Data!AI57+Data!AI58+Data!AI59+Data!AI60+Data!AI61+Data!AI62+Data!AI63+Data!AI64+Data!AI65</f>
        <v>200089</v>
      </c>
      <c r="AA65" s="16" t="n">
        <f aca="false">Data!AJ54+Data!AJ55+Data!AJ56+Data!AJ57+Data!AJ58+Data!AJ59+Data!AJ60+Data!AJ61+Data!AJ62+Data!AJ63+Data!AJ64+Data!AJ65</f>
        <v>-439</v>
      </c>
      <c r="AB65" s="16" t="n">
        <f aca="false">Data!AK54+Data!AK55+Data!AK56+Data!AK57+Data!AK58+Data!AK59+Data!AK60+Data!AK61+Data!AK62+Data!AK63+Data!AK64+Data!AK65</f>
        <v>71652</v>
      </c>
      <c r="AC65" s="16" t="n">
        <f aca="false">Data!AL54+Data!AL55+Data!AL56+Data!AL57+Data!AL58+Data!AL59+Data!AL60+Data!AL61+Data!AL62+Data!AL63+Data!AL64+Data!AL65</f>
        <v>251635</v>
      </c>
      <c r="AD65" s="15" t="n">
        <f aca="false">Data!AM54+Data!AM55+Data!AM56+Data!AM57+Data!AM58+Data!AM59+Data!AM60+Data!AM61+Data!AM62+Data!AM63+Data!AM64+Data!AM65</f>
        <v>-1562473</v>
      </c>
      <c r="AE65" s="16" t="n">
        <f aca="false">Data!AN54+Data!AN55+Data!AN56+Data!AN57+Data!AN58+Data!AN59+Data!AN60+Data!AN61+Data!AN62+Data!AN63+Data!AN64+Data!AN65</f>
        <v>636853</v>
      </c>
      <c r="AF65" s="15" t="n">
        <f aca="false">Data!AO54+Data!AO55+Data!AO56+Data!AO57+Data!AO58+Data!AO59+Data!AO60+Data!AO61+Data!AO62+Data!AO63+Data!AO64+Data!AO65</f>
        <v>-2199323</v>
      </c>
    </row>
    <row r="66" customFormat="false" ht="15" hidden="false" customHeight="false" outlineLevel="0" collapsed="false">
      <c r="B66" s="14" t="str">
        <f aca="false">Data!B66</f>
        <v>2020-12</v>
      </c>
      <c r="C66" s="15" t="n">
        <f aca="false">Data!D55+Data!E55+Data!F55+Data!G55+Data!H55+Data!I55+Data!J55+Data!K55+Data!L55+Data!M55+Data!N55+Data!O55+Data!P55+Data!Q55+Data!R55+Data!S55+Data!D56+Data!E56+Data!F56+Data!G56+Data!H56+Data!I56+Data!J56+Data!K56+Data!L56+Data!M56+Data!N56+Data!O56+Data!P56+Data!Q56+Data!R56+Data!S56+Data!D57+Data!E57+Data!F57+Data!G57+Data!H57+Data!I57+Data!J57+Data!K57+Data!L57+Data!M57+Data!N57+Data!O57+Data!P57+Data!Q57+Data!R57+Data!S57+Data!D58+Data!E58+Data!F58+Data!G58+Data!H58+Data!I58+Data!J58+Data!K58+Data!L58+Data!M58+Data!N58+Data!O58+Data!P58+Data!Q58+Data!R58+Data!S58+Data!D59+Data!E59+Data!F59+Data!G59+Data!H59+Data!I59+Data!J59+Data!K59+Data!L59+Data!M59+Data!N59+Data!O59+Data!P59+Data!Q59+Data!R59+Data!S59+Data!D60+Data!E60+Data!F60+Data!G60+Data!H60+Data!I60+Data!J60+Data!K60+Data!L60+Data!M60+Data!N60+Data!O60+Data!P60+Data!Q60+Data!R60+Data!S60+Data!D61+Data!E61+Data!F61+Data!G61+Data!H61+Data!I61+Data!J61+Data!K61+Data!L61+Data!M61+Data!N61+Data!O61+Data!P61+Data!Q61+Data!R61+Data!S61+Data!D62+Data!E62+Data!F62+Data!G62+Data!H62+Data!I62+Data!J62+Data!K62+Data!L62+Data!M62+Data!N62+Data!O62+Data!P62+Data!Q62+Data!R62+Data!S62+Data!D63+Data!E63+Data!F63+Data!G63+Data!H63+Data!I63+Data!J63+Data!K63+Data!L63+Data!M63+Data!N63+Data!O63+Data!P63+Data!Q63+Data!R63+Data!S63+Data!D64+Data!E64+Data!F64+Data!G64+Data!H64+Data!I64+Data!J64+Data!K64+Data!L64+Data!M64+Data!N64+Data!O64+Data!P64+Data!Q64+Data!R64+Data!S64+Data!D65+Data!E65+Data!F65+Data!G65+Data!H65+Data!I65+Data!J65+Data!K65+Data!L65+Data!M65+Data!N65+Data!O65+Data!P65+Data!Q65+Data!R65+Data!S65+Data!D66+Data!E66+Data!F66+Data!G66+Data!H66+Data!I66+Data!J66+Data!K66+Data!L66+Data!M66+Data!N66+Data!O66+Data!P66+Data!Q66+Data!R66+Data!S66</f>
        <v>4841466</v>
      </c>
      <c r="D66" s="16" t="n">
        <f aca="false">Data!D55+Data!E55+Data!G55+Data!H55+Data!I55+Data!J55+Data!K55+Data!L55+Data!M55+Data!D56+Data!E56+Data!G56+Data!H56+Data!I56+Data!J56+Data!K56+Data!L56+Data!M56+Data!D57+Data!E57+Data!G57+Data!H57+Data!I57+Data!J57+Data!K57+Data!L57+Data!M57+Data!D58+Data!E58+Data!G58+Data!H58+Data!I58+Data!J58+Data!K58+Data!L58+Data!M58+Data!D59+Data!E59+Data!G59+Data!H59+Data!I59+Data!J59+Data!K59+Data!L59+Data!M59+Data!D60+Data!E60+Data!G60+Data!H60+Data!I60+Data!J60+Data!K60+Data!L60+Data!M60+Data!D61+Data!E61+Data!G61+Data!H61+Data!I61+Data!J61+Data!K61+Data!L61+Data!M61+Data!D62+Data!E62+Data!G62+Data!H62+Data!I62+Data!J62+Data!K62+Data!L62+Data!M62+Data!D63+Data!E63+Data!G63+Data!H63+Data!I63+Data!J63+Data!K63+Data!L63+Data!M63+Data!D64+Data!E64+Data!G64+Data!H64+Data!I64+Data!J64+Data!K64+Data!L64+Data!M64+Data!D65+Data!E65+Data!G65+Data!H65+Data!I65+Data!J65+Data!K65+Data!L65+Data!M65+Data!D66+Data!E66+Data!G66+Data!H66+Data!I66+Data!J66+Data!K66+Data!L66+Data!M66</f>
        <v>2868202</v>
      </c>
      <c r="E66" s="16" t="n">
        <f aca="false">Data!D55+Data!D56+Data!D57+Data!D58+Data!D59+Data!D60+Data!D61+Data!D62+Data!D63+Data!D64+Data!D65+Data!D66</f>
        <v>834496</v>
      </c>
      <c r="F66" s="16" t="n">
        <f aca="false">Data!E55+Data!E56+Data!E57+Data!E58+Data!E59+Data!E60+Data!E61+Data!E62+Data!E63+Data!E64+Data!E65+Data!E66</f>
        <v>479658</v>
      </c>
      <c r="G66" s="16" t="n">
        <f aca="false">Data!K55+Data!K56+Data!K57+Data!K58+Data!K59+Data!K60+Data!K61+Data!K62+Data!K63+Data!K64+Data!K65+Data!K66</f>
        <v>376805</v>
      </c>
      <c r="H66" s="16" t="n">
        <f aca="false">Data!L55+Data!L56+Data!L57+Data!L58+Data!L59+Data!L60+Data!L61+Data!L62+Data!L63+Data!L64+Data!L65+Data!L66</f>
        <v>161216</v>
      </c>
      <c r="I66" s="16" t="n">
        <f aca="false">Data!G55+Data!G56+Data!G57+Data!G58+Data!G59+Data!G60+Data!G61+Data!G62+Data!G63+Data!G64+Data!G65+Data!G66</f>
        <v>440836</v>
      </c>
      <c r="J66" s="16" t="n">
        <f aca="false">Data!H55+Data!I55+Data!J55+Data!M55+Data!H56+Data!I56+Data!J56+Data!M56+Data!H57+Data!I57+Data!J57+Data!M57+Data!H58+Data!I58+Data!J58+Data!M58+Data!H59+Data!I59+Data!J59+Data!M59+Data!H60+Data!I60+Data!J60+Data!M60+Data!H61+Data!I61+Data!J61+Data!M61+Data!H62+Data!I62+Data!J62+Data!M62+Data!H63+Data!I63+Data!J63+Data!M63+Data!H64+Data!I64+Data!J64+Data!M64+Data!H65+Data!I65+Data!J65+Data!M65+Data!H66+Data!I66+Data!J66+Data!M66</f>
        <v>575191</v>
      </c>
      <c r="K66" s="16" t="n">
        <f aca="false">Data!F55+Data!F56+Data!F57+Data!F58+Data!F59+Data!F60+Data!F61+Data!F62+Data!F63+Data!F64+Data!F65+Data!F66</f>
        <v>1533019</v>
      </c>
      <c r="L66" s="16" t="n">
        <f aca="false">Data!N55+Data!O55+Data!P55+Data!Q55+Data!R55+Data!S55+Data!N56+Data!O56+Data!P56+Data!Q56+Data!R56+Data!S56+Data!N57+Data!O57+Data!P57+Data!Q57+Data!R57+Data!S57+Data!N58+Data!O58+Data!P58+Data!Q58+Data!R58+Data!S58+Data!N59+Data!O59+Data!P59+Data!Q59+Data!R59+Data!S59+Data!N60+Data!O60+Data!P60+Data!Q60+Data!R60+Data!S60+Data!N61+Data!O61+Data!P61+Data!Q61+Data!R61+Data!S61+Data!N62+Data!O62+Data!P62+Data!Q62+Data!R62+Data!S62+Data!N63+Data!O63+Data!P63+Data!Q63+Data!R63+Data!S63+Data!N64+Data!O64+Data!P64+Data!Q64+Data!R64+Data!S64+Data!N65+Data!O65+Data!P65+Data!Q65+Data!R65+Data!S65+Data!N66+Data!O66+Data!P66+Data!Q66+Data!R66+Data!S66</f>
        <v>440245</v>
      </c>
      <c r="M66" s="15" t="n">
        <f aca="false">Data!T55+Data!U55+Data!V55+Data!W55+Data!X55+Data!Y55+Data!Z55+Data!AA55+Data!AB55+Data!AC55+Data!AD55+Data!AE55+Data!AF55+Data!AG55+Data!AH55+Data!AI55+Data!AJ55+Data!AK55+Data!AL55+Data!T56+Data!U56+Data!V56+Data!W56+Data!X56+Data!Y56+Data!Z56+Data!AA56+Data!AB56+Data!AC56+Data!AD56+Data!AE56+Data!AF56+Data!AG56+Data!AH56+Data!AI56+Data!AJ56+Data!AK56+Data!AL56+Data!T57+Data!U57+Data!V57+Data!W57+Data!X57+Data!Y57+Data!Z57+Data!AA57+Data!AB57+Data!AC57+Data!AD57+Data!AE57+Data!AF57+Data!AG57+Data!AH57+Data!AI57+Data!AJ57+Data!AK57+Data!AL57+Data!T58+Data!U58+Data!V58+Data!W58+Data!X58+Data!Y58+Data!Z58+Data!AA58+Data!AB58+Data!AC58+Data!AD58+Data!AE58+Data!AF58+Data!AG58+Data!AH58+Data!AI58+Data!AJ58+Data!AK58+Data!AL58+Data!T59+Data!U59+Data!V59+Data!W59+Data!X59+Data!Y59+Data!Z59+Data!AA59+Data!AB59+Data!AC59+Data!AD59+Data!AE59+Data!AF59+Data!AG59+Data!AH59+Data!AI59+Data!AJ59+Data!AK59+Data!AL59+Data!T60+Data!U60+Data!V60+Data!W60+Data!X60+Data!Y60+Data!Z60+Data!AA60+Data!AB60+Data!AC60+Data!AD60+Data!AE60+Data!AF60+Data!AG60+Data!AH60+Data!AI60+Data!AJ60+Data!AK60+Data!AL60+Data!T61+Data!U61+Data!V61+Data!W61+Data!X61+Data!Y61+Data!Z61+Data!AA61+Data!AB61+Data!AC61+Data!AD61+Data!AE61+Data!AF61+Data!AG61+Data!AH61+Data!AI61+Data!AJ61+Data!AK61+Data!AL61+Data!T62+Data!U62+Data!V62+Data!W62+Data!X62+Data!Y62+Data!Z62+Data!AA62+Data!AB62+Data!AC62+Data!AD62+Data!AE62+Data!AF62+Data!AG62+Data!AH62+Data!AI62+Data!AJ62+Data!AK62+Data!AL62+Data!T63+Data!U63+Data!V63+Data!W63+Data!X63+Data!Y63+Data!Z63+Data!AA63+Data!AB63+Data!AC63+Data!AD63+Data!AE63+Data!AF63+Data!AG63+Data!AH63+Data!AI63+Data!AJ63+Data!AK63+Data!AL63+Data!T64+Data!U64+Data!V64+Data!W64+Data!X64+Data!Y64+Data!Z64+Data!AA64+Data!AB64+Data!AC64+Data!AD64+Data!AE64+Data!AF64+Data!AG64+Data!AH64+Data!AI64+Data!AJ64+Data!AK64+Data!AL64+Data!T65+Data!U65+Data!V65+Data!W65+Data!X65+Data!Y65+Data!Z65+Data!AA65+Data!AB65+Data!AC65+Data!AD65+Data!AE65+Data!AF65+Data!AG65+Data!AH65+Data!AI65+Data!AJ65+Data!AK65+Data!AL65+Data!T66+Data!U66+Data!V66+Data!W66+Data!X66+Data!Y66+Data!Z66+Data!AA66+Data!AB66+Data!AC66+Data!AD66+Data!AE66+Data!AF66+Data!AG66+Data!AH66+Data!AI66+Data!AJ66+Data!AK66+Data!AL66</f>
        <v>6591424</v>
      </c>
      <c r="N66" s="16" t="n">
        <f aca="false">Data!T55+Data!U55+Data!V55+Data!W55+Data!T56+Data!U56+Data!V56+Data!W56+Data!T57+Data!U57+Data!V57+Data!W57+Data!T58+Data!U58+Data!V58+Data!W58+Data!T59+Data!U59+Data!V59+Data!W59+Data!T60+Data!U60+Data!V60+Data!W60+Data!T61+Data!U61+Data!V61+Data!W61+Data!T62+Data!U62+Data!V62+Data!W62+Data!T63+Data!U63+Data!V63+Data!W63+Data!T64+Data!U64+Data!V64+Data!W64+Data!T65+Data!U65+Data!V65+Data!W65+Data!T66+Data!U66+Data!V66+Data!W66</f>
        <v>3268191</v>
      </c>
      <c r="O66" s="16" t="n">
        <f aca="false">Data!T55+Data!T56+Data!T57+Data!T58+Data!T59+Data!T60+Data!T61+Data!T62+Data!T63+Data!T64+Data!T65+Data!T66</f>
        <v>2372557</v>
      </c>
      <c r="P66" s="16" t="n">
        <f aca="false">Data!U55+Data!U56+Data!U57+Data!U58+Data!U59+Data!U60+Data!U61+Data!U62+Data!U63+Data!U64+Data!U65+Data!U66</f>
        <v>389609</v>
      </c>
      <c r="Q66" s="16" t="n">
        <f aca="false">Data!V55+Data!V56+Data!V57+Data!V58+Data!V59+Data!V60+Data!V61+Data!V62+Data!V63+Data!V64+Data!V65+Data!V66</f>
        <v>241274</v>
      </c>
      <c r="R66" s="16" t="n">
        <f aca="false">Data!W55+Data!W56+Data!W57+Data!W58+Data!W59+Data!W60+Data!W61+Data!W62+Data!W63+Data!W64+Data!W65+Data!W66</f>
        <v>264751</v>
      </c>
      <c r="S66" s="16" t="n">
        <f aca="false">Data!X55+Data!X56+Data!X57+Data!X58+Data!X59+Data!X60+Data!X61+Data!X62+Data!X63+Data!X64+Data!X65+Data!X66</f>
        <v>829870</v>
      </c>
      <c r="T66" s="16" t="n">
        <f aca="false">Data!Y55+Data!Z55+Data!AA55+Data!Y56+Data!Z56+Data!AA56+Data!Y57+Data!Z57+Data!AA57+Data!Y58+Data!Z58+Data!AA58+Data!Y59+Data!Z59+Data!AA59+Data!Y60+Data!Z60+Data!AA60+Data!Y61+Data!Z61+Data!AA61+Data!Y62+Data!Z62+Data!AA62+Data!Y63+Data!Z63+Data!AA63+Data!Y64+Data!Z64+Data!AA64+Data!Y65+Data!Z65+Data!AA65+Data!Y66+Data!Z66+Data!AA66</f>
        <v>696810</v>
      </c>
      <c r="U66" s="16" t="n">
        <f aca="false">Data!Y55+Data!Y56+Data!Y57+Data!Y58+Data!Y59+Data!Y60+Data!Y61+Data!Y62+Data!Y63+Data!Y64+Data!Y65+Data!Y66</f>
        <v>492339</v>
      </c>
      <c r="V66" s="16" t="n">
        <f aca="false">Data!Z55+Data!Z56+Data!Z57+Data!Z58+Data!Z59+Data!Z60+Data!Z61+Data!Z62+Data!Z63+Data!Z64+Data!Z65+Data!Z66</f>
        <v>197098</v>
      </c>
      <c r="W66" s="16" t="n">
        <f aca="false">Data!AB55+Data!AB56+Data!AB57+Data!AB58+Data!AB59+Data!AB60+Data!AB61+Data!AB62+Data!AB63+Data!AB64+Data!AB65+Data!AB66</f>
        <v>696028</v>
      </c>
      <c r="X66" s="16" t="n">
        <f aca="false">Data!AC55+Data!AC56+Data!AC57+Data!AC58+Data!AC59+Data!AC60+Data!AC61+Data!AC62+Data!AC63+Data!AC64+Data!AC65+Data!AC66</f>
        <v>210951</v>
      </c>
      <c r="Y66" s="16" t="n">
        <f aca="false">Data!AD55+Data!AE55+Data!AF55+Data!AG55+Data!AH55+Data!AD56+Data!AE56+Data!AF56+Data!AG56+Data!AH56+Data!AD57+Data!AE57+Data!AF57+Data!AG57+Data!AH57+Data!AD58+Data!AE58+Data!AF58+Data!AG58+Data!AH58+Data!AD59+Data!AE59+Data!AF59+Data!AG59+Data!AH59+Data!AD60+Data!AE60+Data!AF60+Data!AG60+Data!AH60+Data!AD61+Data!AE61+Data!AF61+Data!AG61+Data!AH61+Data!AD62+Data!AE62+Data!AF62+Data!AG62+Data!AH62+Data!AD63+Data!AE63+Data!AF63+Data!AG63+Data!AH63+Data!AD64+Data!AE64+Data!AF64+Data!AG64+Data!AH64+Data!AD65+Data!AE65+Data!AF65+Data!AG65+Data!AH65+Data!AD66+Data!AE66+Data!AF66+Data!AG66+Data!AH66</f>
        <v>323729</v>
      </c>
      <c r="Z66" s="16" t="n">
        <f aca="false">Data!AI55+Data!AI56+Data!AI57+Data!AI58+Data!AI59+Data!AI60+Data!AI61+Data!AI62+Data!AI63+Data!AI64+Data!AI65+Data!AI66</f>
        <v>205180</v>
      </c>
      <c r="AA66" s="16" t="n">
        <f aca="false">Data!AJ55+Data!AJ56+Data!AJ57+Data!AJ58+Data!AJ59+Data!AJ60+Data!AJ61+Data!AJ62+Data!AJ63+Data!AJ64+Data!AJ65+Data!AJ66</f>
        <v>0</v>
      </c>
      <c r="AB66" s="16" t="n">
        <f aca="false">Data!AK55+Data!AK56+Data!AK57+Data!AK58+Data!AK59+Data!AK60+Data!AK61+Data!AK62+Data!AK63+Data!AK64+Data!AK65+Data!AK66</f>
        <v>81026</v>
      </c>
      <c r="AC66" s="16" t="n">
        <f aca="false">Data!AL55+Data!AL56+Data!AL57+Data!AL58+Data!AL59+Data!AL60+Data!AL61+Data!AL62+Data!AL63+Data!AL64+Data!AL65+Data!AL66</f>
        <v>279639</v>
      </c>
      <c r="AD66" s="15" t="n">
        <f aca="false">Data!AM55+Data!AM56+Data!AM57+Data!AM58+Data!AM59+Data!AM60+Data!AM61+Data!AM62+Data!AM63+Data!AM64+Data!AM65+Data!AM66</f>
        <v>-1749958</v>
      </c>
      <c r="AE66" s="16" t="n">
        <f aca="false">Data!AN55+Data!AN56+Data!AN57+Data!AN58+Data!AN59+Data!AN60+Data!AN61+Data!AN62+Data!AN63+Data!AN64+Data!AN65+Data!AN66</f>
        <v>542875</v>
      </c>
      <c r="AF66" s="15" t="n">
        <f aca="false">Data!AO55+Data!AO56+Data!AO57+Data!AO58+Data!AO59+Data!AO60+Data!AO61+Data!AO62+Data!AO63+Data!AO64+Data!AO65+Data!AO66</f>
        <v>-2292829</v>
      </c>
    </row>
    <row r="67" customFormat="false" ht="15" hidden="false" customHeight="false" outlineLevel="0" collapsed="false">
      <c r="B67" s="14" t="str">
        <f aca="false">Data!B67</f>
        <v>2021-01</v>
      </c>
      <c r="C67" s="15" t="n">
        <f aca="false">Data!D56+Data!E56+Data!F56+Data!G56+Data!H56+Data!I56+Data!J56+Data!K56+Data!L56+Data!M56+Data!N56+Data!O56+Data!P56+Data!Q56+Data!R56+Data!S56+Data!D57+Data!E57+Data!F57+Data!G57+Data!H57+Data!I57+Data!J57+Data!K57+Data!L57+Data!M57+Data!N57+Data!O57+Data!P57+Data!Q57+Data!R57+Data!S57+Data!D58+Data!E58+Data!F58+Data!G58+Data!H58+Data!I58+Data!J58+Data!K58+Data!L58+Data!M58+Data!N58+Data!O58+Data!P58+Data!Q58+Data!R58+Data!S58+Data!D59+Data!E59+Data!F59+Data!G59+Data!H59+Data!I59+Data!J59+Data!K59+Data!L59+Data!M59+Data!N59+Data!O59+Data!P59+Data!Q59+Data!R59+Data!S59+Data!D60+Data!E60+Data!F60+Data!G60+Data!H60+Data!I60+Data!J60+Data!K60+Data!L60+Data!M60+Data!N60+Data!O60+Data!P60+Data!Q60+Data!R60+Data!S60+Data!D61+Data!E61+Data!F61+Data!G61+Data!H61+Data!I61+Data!J61+Data!K61+Data!L61+Data!M61+Data!N61+Data!O61+Data!P61+Data!Q61+Data!R61+Data!S61+Data!D62+Data!E62+Data!F62+Data!G62+Data!H62+Data!I62+Data!J62+Data!K62+Data!L62+Data!M62+Data!N62+Data!O62+Data!P62+Data!Q62+Data!R62+Data!S62+Data!D63+Data!E63+Data!F63+Data!G63+Data!H63+Data!I63+Data!J63+Data!K63+Data!L63+Data!M63+Data!N63+Data!O63+Data!P63+Data!Q63+Data!R63+Data!S63+Data!D64+Data!E64+Data!F64+Data!G64+Data!H64+Data!I64+Data!J64+Data!K64+Data!L64+Data!M64+Data!N64+Data!O64+Data!P64+Data!Q64+Data!R64+Data!S64+Data!D65+Data!E65+Data!F65+Data!G65+Data!H65+Data!I65+Data!J65+Data!K65+Data!L65+Data!M65+Data!N65+Data!O65+Data!P65+Data!Q65+Data!R65+Data!S65+Data!D66+Data!E66+Data!F66+Data!G66+Data!H66+Data!I66+Data!J66+Data!K66+Data!L66+Data!M66+Data!N66+Data!O66+Data!P66+Data!Q66+Data!R66+Data!S66+Data!D67+Data!E67+Data!F67+Data!G67+Data!H67+Data!I67+Data!J67+Data!K67+Data!L67+Data!M67+Data!N67+Data!O67+Data!P67+Data!Q67+Data!R67+Data!S67</f>
        <v>5052001</v>
      </c>
      <c r="D67" s="16" t="n">
        <f aca="false">Data!D56+Data!E56+Data!G56+Data!H56+Data!I56+Data!J56+Data!K56+Data!L56+Data!M56+Data!D57+Data!E57+Data!G57+Data!H57+Data!I57+Data!J57+Data!K57+Data!L57+Data!M57+Data!D58+Data!E58+Data!G58+Data!H58+Data!I58+Data!J58+Data!K58+Data!L58+Data!M58+Data!D59+Data!E59+Data!G59+Data!H59+Data!I59+Data!J59+Data!K59+Data!L59+Data!M59+Data!D60+Data!E60+Data!G60+Data!H60+Data!I60+Data!J60+Data!K60+Data!L60+Data!M60+Data!D61+Data!E61+Data!G61+Data!H61+Data!I61+Data!J61+Data!K61+Data!L61+Data!M61+Data!D62+Data!E62+Data!G62+Data!H62+Data!I62+Data!J62+Data!K62+Data!L62+Data!M62+Data!D63+Data!E63+Data!G63+Data!H63+Data!I63+Data!J63+Data!K63+Data!L63+Data!M63+Data!D64+Data!E64+Data!G64+Data!H64+Data!I64+Data!J64+Data!K64+Data!L64+Data!M64+Data!D65+Data!E65+Data!G65+Data!H65+Data!I65+Data!J65+Data!K65+Data!L65+Data!M65+Data!D66+Data!E66+Data!G66+Data!H66+Data!I66+Data!J66+Data!K66+Data!L66+Data!M66+Data!D67+Data!E67+Data!G67+Data!H67+Data!I67+Data!J67+Data!K67+Data!L67+Data!M67</f>
        <v>3026919</v>
      </c>
      <c r="E67" s="16" t="n">
        <f aca="false">Data!D56+Data!D57+Data!D58+Data!D59+Data!D60+Data!D61+Data!D62+Data!D63+Data!D64+Data!D65+Data!D66+Data!D67</f>
        <v>869705</v>
      </c>
      <c r="F67" s="16" t="n">
        <f aca="false">Data!E56+Data!E57+Data!E58+Data!E59+Data!E60+Data!E61+Data!E62+Data!E63+Data!E64+Data!E65+Data!E66+Data!E67</f>
        <v>503118</v>
      </c>
      <c r="G67" s="16" t="n">
        <f aca="false">Data!K56+Data!K57+Data!K58+Data!K59+Data!K60+Data!K61+Data!K62+Data!K63+Data!K64+Data!K65+Data!K66+Data!K67</f>
        <v>430406</v>
      </c>
      <c r="H67" s="16" t="n">
        <f aca="false">Data!L56+Data!L57+Data!L58+Data!L59+Data!L60+Data!L61+Data!L62+Data!L63+Data!L64+Data!L65+Data!L66+Data!L67</f>
        <v>168030</v>
      </c>
      <c r="I67" s="16" t="n">
        <f aca="false">Data!G56+Data!G57+Data!G58+Data!G59+Data!G60+Data!G61+Data!G62+Data!G63+Data!G64+Data!G65+Data!G66+Data!G67</f>
        <v>456019</v>
      </c>
      <c r="J67" s="16" t="n">
        <f aca="false">Data!H56+Data!I56+Data!J56+Data!M56+Data!H57+Data!I57+Data!J57+Data!M57+Data!H58+Data!I58+Data!J58+Data!M58+Data!H59+Data!I59+Data!J59+Data!M59+Data!H60+Data!I60+Data!J60+Data!M60+Data!H61+Data!I61+Data!J61+Data!M61+Data!H62+Data!I62+Data!J62+Data!M62+Data!H63+Data!I63+Data!J63+Data!M63+Data!H64+Data!I64+Data!J64+Data!M64+Data!H65+Data!I65+Data!J65+Data!M65+Data!H66+Data!I66+Data!J66+Data!M66+Data!H67+Data!I67+Data!J67+Data!M67</f>
        <v>599641</v>
      </c>
      <c r="K67" s="16" t="n">
        <f aca="false">Data!F56+Data!F57+Data!F58+Data!F59+Data!F60+Data!F61+Data!F62+Data!F63+Data!F64+Data!F65+Data!F66+Data!F67</f>
        <v>1569450</v>
      </c>
      <c r="L67" s="16" t="n">
        <f aca="false">Data!N56+Data!O56+Data!P56+Data!Q56+Data!R56+Data!S56+Data!N57+Data!O57+Data!P57+Data!Q57+Data!R57+Data!S57+Data!N58+Data!O58+Data!P58+Data!Q58+Data!R58+Data!S58+Data!N59+Data!O59+Data!P59+Data!Q59+Data!R59+Data!S59+Data!N60+Data!O60+Data!P60+Data!Q60+Data!R60+Data!S60+Data!N61+Data!O61+Data!P61+Data!Q61+Data!R61+Data!S61+Data!N62+Data!O62+Data!P62+Data!Q62+Data!R62+Data!S62+Data!N63+Data!O63+Data!P63+Data!Q63+Data!R63+Data!S63+Data!N64+Data!O64+Data!P64+Data!Q64+Data!R64+Data!S64+Data!N65+Data!O65+Data!P65+Data!Q65+Data!R65+Data!S65+Data!N66+Data!O66+Data!P66+Data!Q66+Data!R66+Data!S66+Data!N67+Data!O67+Data!P67+Data!Q67+Data!R67+Data!S67</f>
        <v>455632</v>
      </c>
      <c r="M67" s="15" t="n">
        <f aca="false">Data!T56+Data!U56+Data!V56+Data!W56+Data!X56+Data!Y56+Data!Z56+Data!AA56+Data!AB56+Data!AC56+Data!AD56+Data!AE56+Data!AF56+Data!AG56+Data!AH56+Data!AI56+Data!AJ56+Data!AK56+Data!AL56+Data!T57+Data!U57+Data!V57+Data!W57+Data!X57+Data!Y57+Data!Z57+Data!AA57+Data!AB57+Data!AC57+Data!AD57+Data!AE57+Data!AF57+Data!AG57+Data!AH57+Data!AI57+Data!AJ57+Data!AK57+Data!AL57+Data!T58+Data!U58+Data!V58+Data!W58+Data!X58+Data!Y58+Data!Z58+Data!AA58+Data!AB58+Data!AC58+Data!AD58+Data!AE58+Data!AF58+Data!AG58+Data!AH58+Data!AI58+Data!AJ58+Data!AK58+Data!AL58+Data!T59+Data!U59+Data!V59+Data!W59+Data!X59+Data!Y59+Data!Z59+Data!AA59+Data!AB59+Data!AC59+Data!AD59+Data!AE59+Data!AF59+Data!AG59+Data!AH59+Data!AI59+Data!AJ59+Data!AK59+Data!AL59+Data!T60+Data!U60+Data!V60+Data!W60+Data!X60+Data!Y60+Data!Z60+Data!AA60+Data!AB60+Data!AC60+Data!AD60+Data!AE60+Data!AF60+Data!AG60+Data!AH60+Data!AI60+Data!AJ60+Data!AK60+Data!AL60+Data!T61+Data!U61+Data!V61+Data!W61+Data!X61+Data!Y61+Data!Z61+Data!AA61+Data!AB61+Data!AC61+Data!AD61+Data!AE61+Data!AF61+Data!AG61+Data!AH61+Data!AI61+Data!AJ61+Data!AK61+Data!AL61+Data!T62+Data!U62+Data!V62+Data!W62+Data!X62+Data!Y62+Data!Z62+Data!AA62+Data!AB62+Data!AC62+Data!AD62+Data!AE62+Data!AF62+Data!AG62+Data!AH62+Data!AI62+Data!AJ62+Data!AK62+Data!AL62+Data!T63+Data!U63+Data!V63+Data!W63+Data!X63+Data!Y63+Data!Z63+Data!AA63+Data!AB63+Data!AC63+Data!AD63+Data!AE63+Data!AF63+Data!AG63+Data!AH63+Data!AI63+Data!AJ63+Data!AK63+Data!AL63+Data!T64+Data!U64+Data!V64+Data!W64+Data!X64+Data!Y64+Data!Z64+Data!AA64+Data!AB64+Data!AC64+Data!AD64+Data!AE64+Data!AF64+Data!AG64+Data!AH64+Data!AI64+Data!AJ64+Data!AK64+Data!AL64+Data!T65+Data!U65+Data!V65+Data!W65+Data!X65+Data!Y65+Data!Z65+Data!AA65+Data!AB65+Data!AC65+Data!AD65+Data!AE65+Data!AF65+Data!AG65+Data!AH65+Data!AI65+Data!AJ65+Data!AK65+Data!AL65+Data!T66+Data!U66+Data!V66+Data!W66+Data!X66+Data!Y66+Data!Z66+Data!AA66+Data!AB66+Data!AC66+Data!AD66+Data!AE66+Data!AF66+Data!AG66+Data!AH66+Data!AI66+Data!AJ66+Data!AK66+Data!AL66+Data!T67+Data!U67+Data!V67+Data!W67+Data!X67+Data!Y67+Data!Z67+Data!AA67+Data!AB67+Data!AC67+Data!AD67+Data!AE67+Data!AF67+Data!AG67+Data!AH67+Data!AI67+Data!AJ67+Data!AK67+Data!AL67</f>
        <v>6774119</v>
      </c>
      <c r="N67" s="16" t="n">
        <f aca="false">Data!T56+Data!U56+Data!V56+Data!W56+Data!T57+Data!U57+Data!V57+Data!W57+Data!T58+Data!U58+Data!V58+Data!W58+Data!T59+Data!U59+Data!V59+Data!W59+Data!T60+Data!U60+Data!V60+Data!W60+Data!T61+Data!U61+Data!V61+Data!W61+Data!T62+Data!U62+Data!V62+Data!W62+Data!T63+Data!U63+Data!V63+Data!W63+Data!T64+Data!U64+Data!V64+Data!W64+Data!T65+Data!U65+Data!V65+Data!W65+Data!T66+Data!U66+Data!V66+Data!W66+Data!T67+Data!U67+Data!V67+Data!W67</f>
        <v>3337685</v>
      </c>
      <c r="O67" s="16" t="n">
        <f aca="false">Data!T56+Data!T57+Data!T58+Data!T59+Data!T60+Data!T61+Data!T62+Data!T63+Data!T64+Data!T65+Data!T66+Data!T67</f>
        <v>2425319</v>
      </c>
      <c r="P67" s="16" t="n">
        <f aca="false">Data!U56+Data!U57+Data!U58+Data!U59+Data!U60+Data!U61+Data!U62+Data!U63+Data!U64+Data!U65+Data!U66+Data!U67</f>
        <v>398605</v>
      </c>
      <c r="Q67" s="16" t="n">
        <f aca="false">Data!V56+Data!V57+Data!V58+Data!V59+Data!V60+Data!V61+Data!V62+Data!V63+Data!V64+Data!V65+Data!V66+Data!V67</f>
        <v>239566</v>
      </c>
      <c r="R67" s="16" t="n">
        <f aca="false">Data!W56+Data!W57+Data!W58+Data!W59+Data!W60+Data!W61+Data!W62+Data!W63+Data!W64+Data!W65+Data!W66+Data!W67</f>
        <v>274195</v>
      </c>
      <c r="S67" s="16" t="n">
        <f aca="false">Data!X56+Data!X57+Data!X58+Data!X59+Data!X60+Data!X61+Data!X62+Data!X63+Data!X64+Data!X65+Data!X66+Data!X67</f>
        <v>837691</v>
      </c>
      <c r="T67" s="16" t="n">
        <f aca="false">Data!Y56+Data!Z56+Data!AA56+Data!Y57+Data!Z57+Data!AA57+Data!Y58+Data!Z58+Data!AA58+Data!Y59+Data!Z59+Data!AA59+Data!Y60+Data!Z60+Data!AA60+Data!Y61+Data!Z61+Data!AA61+Data!Y62+Data!Z62+Data!AA62+Data!Y63+Data!Z63+Data!AA63+Data!Y64+Data!Z64+Data!AA64+Data!Y65+Data!Z65+Data!AA65+Data!Y66+Data!Z66+Data!AA66+Data!Y67+Data!Z67+Data!AA67</f>
        <v>722825</v>
      </c>
      <c r="U67" s="16" t="n">
        <f aca="false">Data!Y56+Data!Y57+Data!Y58+Data!Y59+Data!Y60+Data!Y61+Data!Y62+Data!Y63+Data!Y64+Data!Y65+Data!Y66+Data!Y67</f>
        <v>508718</v>
      </c>
      <c r="V67" s="16" t="n">
        <f aca="false">Data!Z56+Data!Z57+Data!Z58+Data!Z59+Data!Z60+Data!Z61+Data!Z62+Data!Z63+Data!Z64+Data!Z65+Data!Z66+Data!Z67</f>
        <v>203173</v>
      </c>
      <c r="W67" s="16" t="n">
        <f aca="false">Data!AB56+Data!AB57+Data!AB58+Data!AB59+Data!AB60+Data!AB61+Data!AB62+Data!AB63+Data!AB64+Data!AB65+Data!AB66+Data!AB67</f>
        <v>722499</v>
      </c>
      <c r="X67" s="16" t="n">
        <f aca="false">Data!AC56+Data!AC57+Data!AC58+Data!AC59+Data!AC60+Data!AC61+Data!AC62+Data!AC63+Data!AC64+Data!AC65+Data!AC66+Data!AC67</f>
        <v>220384</v>
      </c>
      <c r="Y67" s="16" t="n">
        <f aca="false">Data!AD56+Data!AE56+Data!AF56+Data!AG56+Data!AH56+Data!AD57+Data!AE57+Data!AF57+Data!AG57+Data!AH57+Data!AD58+Data!AE58+Data!AF58+Data!AG58+Data!AH58+Data!AD59+Data!AE59+Data!AF59+Data!AG59+Data!AH59+Data!AD60+Data!AE60+Data!AF60+Data!AG60+Data!AH60+Data!AD61+Data!AE61+Data!AF61+Data!AG61+Data!AH61+Data!AD62+Data!AE62+Data!AF62+Data!AG62+Data!AH62+Data!AD63+Data!AE63+Data!AF63+Data!AG63+Data!AH63+Data!AD64+Data!AE64+Data!AF64+Data!AG64+Data!AH64+Data!AD65+Data!AE65+Data!AF65+Data!AG65+Data!AH65+Data!AD66+Data!AE66+Data!AF66+Data!AG66+Data!AH66+Data!AD67+Data!AE67+Data!AF67+Data!AG67+Data!AH67</f>
        <v>323856</v>
      </c>
      <c r="Z67" s="16" t="n">
        <f aca="false">Data!AI56+Data!AI57+Data!AI58+Data!AI59+Data!AI60+Data!AI61+Data!AI62+Data!AI63+Data!AI64+Data!AI65+Data!AI66+Data!AI67</f>
        <v>209402</v>
      </c>
      <c r="AA67" s="16" t="n">
        <f aca="false">Data!AJ56+Data!AJ57+Data!AJ58+Data!AJ59+Data!AJ60+Data!AJ61+Data!AJ62+Data!AJ63+Data!AJ64+Data!AJ65+Data!AJ66+Data!AJ67</f>
        <v>0</v>
      </c>
      <c r="AB67" s="16" t="n">
        <f aca="false">Data!AK56+Data!AK57+Data!AK58+Data!AK59+Data!AK60+Data!AK61+Data!AK62+Data!AK63+Data!AK64+Data!AK65+Data!AK66+Data!AK67</f>
        <v>97965</v>
      </c>
      <c r="AC67" s="16" t="n">
        <f aca="false">Data!AL56+Data!AL57+Data!AL58+Data!AL59+Data!AL60+Data!AL61+Data!AL62+Data!AL63+Data!AL64+Data!AL65+Data!AL66+Data!AL67</f>
        <v>301812</v>
      </c>
      <c r="AD67" s="15" t="n">
        <f aca="false">Data!AM56+Data!AM57+Data!AM58+Data!AM59+Data!AM60+Data!AM61+Data!AM62+Data!AM63+Data!AM64+Data!AM65+Data!AM66+Data!AM67</f>
        <v>-1722118</v>
      </c>
      <c r="AE67" s="16" t="n">
        <f aca="false">Data!AN56+Data!AN57+Data!AN58+Data!AN59+Data!AN60+Data!AN61+Data!AN62+Data!AN63+Data!AN64+Data!AN65+Data!AN66+Data!AN67</f>
        <v>482927</v>
      </c>
      <c r="AF67" s="15" t="n">
        <f aca="false">Data!AO56+Data!AO57+Data!AO58+Data!AO59+Data!AO60+Data!AO61+Data!AO62+Data!AO63+Data!AO64+Data!AO65+Data!AO66+Data!AO67</f>
        <v>-2205041</v>
      </c>
    </row>
    <row r="68" customFormat="false" ht="15" hidden="false" customHeight="false" outlineLevel="0" collapsed="false">
      <c r="B68" s="14" t="str">
        <f aca="false">Data!B68</f>
        <v>2021-02</v>
      </c>
      <c r="C68" s="15" t="n">
        <f aca="false">Data!D57+Data!E57+Data!F57+Data!G57+Data!H57+Data!I57+Data!J57+Data!K57+Data!L57+Data!M57+Data!N57+Data!O57+Data!P57+Data!Q57+Data!R57+Data!S57+Data!D58+Data!E58+Data!F58+Data!G58+Data!H58+Data!I58+Data!J58+Data!K58+Data!L58+Data!M58+Data!N58+Data!O58+Data!P58+Data!Q58+Data!R58+Data!S58+Data!D59+Data!E59+Data!F59+Data!G59+Data!H59+Data!I59+Data!J59+Data!K59+Data!L59+Data!M59+Data!N59+Data!O59+Data!P59+Data!Q59+Data!R59+Data!S59+Data!D60+Data!E60+Data!F60+Data!G60+Data!H60+Data!I60+Data!J60+Data!K60+Data!L60+Data!M60+Data!N60+Data!O60+Data!P60+Data!Q60+Data!R60+Data!S60+Data!D61+Data!E61+Data!F61+Data!G61+Data!H61+Data!I61+Data!J61+Data!K61+Data!L61+Data!M61+Data!N61+Data!O61+Data!P61+Data!Q61+Data!R61+Data!S61+Data!D62+Data!E62+Data!F62+Data!G62+Data!H62+Data!I62+Data!J62+Data!K62+Data!L62+Data!M62+Data!N62+Data!O62+Data!P62+Data!Q62+Data!R62+Data!S62+Data!D63+Data!E63+Data!F63+Data!G63+Data!H63+Data!I63+Data!J63+Data!K63+Data!L63+Data!M63+Data!N63+Data!O63+Data!P63+Data!Q63+Data!R63+Data!S63+Data!D64+Data!E64+Data!F64+Data!G64+Data!H64+Data!I64+Data!J64+Data!K64+Data!L64+Data!M64+Data!N64+Data!O64+Data!P64+Data!Q64+Data!R64+Data!S64+Data!D65+Data!E65+Data!F65+Data!G65+Data!H65+Data!I65+Data!J65+Data!K65+Data!L65+Data!M65+Data!N65+Data!O65+Data!P65+Data!Q65+Data!R65+Data!S65+Data!D66+Data!E66+Data!F66+Data!G66+Data!H66+Data!I66+Data!J66+Data!K66+Data!L66+Data!M66+Data!N66+Data!O66+Data!P66+Data!Q66+Data!R66+Data!S66+Data!D67+Data!E67+Data!F67+Data!G67+Data!H67+Data!I67+Data!J67+Data!K67+Data!L67+Data!M67+Data!N67+Data!O67+Data!P67+Data!Q67+Data!R67+Data!S67+Data!D68+Data!E68+Data!F68+Data!G68+Data!H68+Data!I68+Data!J68+Data!K68+Data!L68+Data!M68+Data!N68+Data!O68+Data!P68+Data!Q68+Data!R68+Data!S68</f>
        <v>5224982</v>
      </c>
      <c r="D68" s="16" t="n">
        <f aca="false">Data!D57+Data!E57+Data!G57+Data!H57+Data!I57+Data!J57+Data!K57+Data!L57+Data!M57+Data!D58+Data!E58+Data!G58+Data!H58+Data!I58+Data!J58+Data!K58+Data!L58+Data!M58+Data!D59+Data!E59+Data!G59+Data!H59+Data!I59+Data!J59+Data!K59+Data!L59+Data!M59+Data!D60+Data!E60+Data!G60+Data!H60+Data!I60+Data!J60+Data!K60+Data!L60+Data!M60+Data!D61+Data!E61+Data!G61+Data!H61+Data!I61+Data!J61+Data!K61+Data!L61+Data!M61+Data!D62+Data!E62+Data!G62+Data!H62+Data!I62+Data!J62+Data!K62+Data!L62+Data!M62+Data!D63+Data!E63+Data!G63+Data!H63+Data!I63+Data!J63+Data!K63+Data!L63+Data!M63+Data!D64+Data!E64+Data!G64+Data!H64+Data!I64+Data!J64+Data!K64+Data!L64+Data!M64+Data!D65+Data!E65+Data!G65+Data!H65+Data!I65+Data!J65+Data!K65+Data!L65+Data!M65+Data!D66+Data!E66+Data!G66+Data!H66+Data!I66+Data!J66+Data!K66+Data!L66+Data!M66+Data!D67+Data!E67+Data!G67+Data!H67+Data!I67+Data!J67+Data!K67+Data!L67+Data!M67+Data!D68+Data!E68+Data!G68+Data!H68+Data!I68+Data!J68+Data!K68+Data!L68+Data!M68</f>
        <v>3169838</v>
      </c>
      <c r="E68" s="16" t="n">
        <f aca="false">Data!D57+Data!D58+Data!D59+Data!D60+Data!D61+Data!D62+Data!D63+Data!D64+Data!D65+Data!D66+Data!D67+Data!D68</f>
        <v>895455</v>
      </c>
      <c r="F68" s="16" t="n">
        <f aca="false">Data!E57+Data!E58+Data!E59+Data!E60+Data!E61+Data!E62+Data!E63+Data!E64+Data!E65+Data!E66+Data!E67+Data!E68</f>
        <v>532120</v>
      </c>
      <c r="G68" s="16" t="n">
        <f aca="false">Data!K57+Data!K58+Data!K59+Data!K60+Data!K61+Data!K62+Data!K63+Data!K64+Data!K65+Data!K66+Data!K67+Data!K68</f>
        <v>471329</v>
      </c>
      <c r="H68" s="16" t="n">
        <f aca="false">Data!L57+Data!L58+Data!L59+Data!L60+Data!L61+Data!L62+Data!L63+Data!L64+Data!L65+Data!L66+Data!L67+Data!L68</f>
        <v>176161</v>
      </c>
      <c r="I68" s="16" t="n">
        <f aca="false">Data!G57+Data!G58+Data!G59+Data!G60+Data!G61+Data!G62+Data!G63+Data!G64+Data!G65+Data!G66+Data!G67+Data!G68</f>
        <v>455866</v>
      </c>
      <c r="J68" s="16" t="n">
        <f aca="false">Data!H57+Data!I57+Data!J57+Data!M57+Data!H58+Data!I58+Data!J58+Data!M58+Data!H59+Data!I59+Data!J59+Data!M59+Data!H60+Data!I60+Data!J60+Data!M60+Data!H61+Data!I61+Data!J61+Data!M61+Data!H62+Data!I62+Data!J62+Data!M62+Data!H63+Data!I63+Data!J63+Data!M63+Data!H64+Data!I64+Data!J64+Data!M64+Data!H65+Data!I65+Data!J65+Data!M65+Data!H66+Data!I66+Data!J66+Data!M66+Data!H67+Data!I67+Data!J67+Data!M67+Data!H68+Data!I68+Data!J68+Data!M68</f>
        <v>638907</v>
      </c>
      <c r="K68" s="16" t="n">
        <f aca="false">Data!F57+Data!F58+Data!F59+Data!F60+Data!F61+Data!F62+Data!F63+Data!F64+Data!F65+Data!F66+Data!F67+Data!F68</f>
        <v>1602393</v>
      </c>
      <c r="L68" s="16" t="n">
        <f aca="false">Data!N57+Data!O57+Data!P57+Data!Q57+Data!R57+Data!S57+Data!N58+Data!O58+Data!P58+Data!Q58+Data!R58+Data!S58+Data!N59+Data!O59+Data!P59+Data!Q59+Data!R59+Data!S59+Data!N60+Data!O60+Data!P60+Data!Q60+Data!R60+Data!S60+Data!N61+Data!O61+Data!P61+Data!Q61+Data!R61+Data!S61+Data!N62+Data!O62+Data!P62+Data!Q62+Data!R62+Data!S62+Data!N63+Data!O63+Data!P63+Data!Q63+Data!R63+Data!S63+Data!N64+Data!O64+Data!P64+Data!Q64+Data!R64+Data!S64+Data!N65+Data!O65+Data!P65+Data!Q65+Data!R65+Data!S65+Data!N66+Data!O66+Data!P66+Data!Q66+Data!R66+Data!S66+Data!N67+Data!O67+Data!P67+Data!Q67+Data!R67+Data!S67+Data!N68+Data!O68+Data!P68+Data!Q68+Data!R68+Data!S68</f>
        <v>452751</v>
      </c>
      <c r="M68" s="15" t="n">
        <f aca="false">Data!T57+Data!U57+Data!V57+Data!W57+Data!X57+Data!Y57+Data!Z57+Data!AA57+Data!AB57+Data!AC57+Data!AD57+Data!AE57+Data!AF57+Data!AG57+Data!AH57+Data!AI57+Data!AJ57+Data!AK57+Data!AL57+Data!T58+Data!U58+Data!V58+Data!W58+Data!X58+Data!Y58+Data!Z58+Data!AA58+Data!AB58+Data!AC58+Data!AD58+Data!AE58+Data!AF58+Data!AG58+Data!AH58+Data!AI58+Data!AJ58+Data!AK58+Data!AL58+Data!T59+Data!U59+Data!V59+Data!W59+Data!X59+Data!Y59+Data!Z59+Data!AA59+Data!AB59+Data!AC59+Data!AD59+Data!AE59+Data!AF59+Data!AG59+Data!AH59+Data!AI59+Data!AJ59+Data!AK59+Data!AL59+Data!T60+Data!U60+Data!V60+Data!W60+Data!X60+Data!Y60+Data!Z60+Data!AA60+Data!AB60+Data!AC60+Data!AD60+Data!AE60+Data!AF60+Data!AG60+Data!AH60+Data!AI60+Data!AJ60+Data!AK60+Data!AL60+Data!T61+Data!U61+Data!V61+Data!W61+Data!X61+Data!Y61+Data!Z61+Data!AA61+Data!AB61+Data!AC61+Data!AD61+Data!AE61+Data!AF61+Data!AG61+Data!AH61+Data!AI61+Data!AJ61+Data!AK61+Data!AL61+Data!T62+Data!U62+Data!V62+Data!W62+Data!X62+Data!Y62+Data!Z62+Data!AA62+Data!AB62+Data!AC62+Data!AD62+Data!AE62+Data!AF62+Data!AG62+Data!AH62+Data!AI62+Data!AJ62+Data!AK62+Data!AL62+Data!T63+Data!U63+Data!V63+Data!W63+Data!X63+Data!Y63+Data!Z63+Data!AA63+Data!AB63+Data!AC63+Data!AD63+Data!AE63+Data!AF63+Data!AG63+Data!AH63+Data!AI63+Data!AJ63+Data!AK63+Data!AL63+Data!T64+Data!U64+Data!V64+Data!W64+Data!X64+Data!Y64+Data!Z64+Data!AA64+Data!AB64+Data!AC64+Data!AD64+Data!AE64+Data!AF64+Data!AG64+Data!AH64+Data!AI64+Data!AJ64+Data!AK64+Data!AL64+Data!T65+Data!U65+Data!V65+Data!W65+Data!X65+Data!Y65+Data!Z65+Data!AA65+Data!AB65+Data!AC65+Data!AD65+Data!AE65+Data!AF65+Data!AG65+Data!AH65+Data!AI65+Data!AJ65+Data!AK65+Data!AL65+Data!T66+Data!U66+Data!V66+Data!W66+Data!X66+Data!Y66+Data!Z66+Data!AA66+Data!AB66+Data!AC66+Data!AD66+Data!AE66+Data!AF66+Data!AG66+Data!AH66+Data!AI66+Data!AJ66+Data!AK66+Data!AL66+Data!T67+Data!U67+Data!V67+Data!W67+Data!X67+Data!Y67+Data!Z67+Data!AA67+Data!AB67+Data!AC67+Data!AD67+Data!AE67+Data!AF67+Data!AG67+Data!AH67+Data!AI67+Data!AJ67+Data!AK67+Data!AL67+Data!T68+Data!U68+Data!V68+Data!W68+Data!X68+Data!Y68+Data!Z68+Data!AA68+Data!AB68+Data!AC68+Data!AD68+Data!AE68+Data!AF68+Data!AG68+Data!AH68+Data!AI68+Data!AJ68+Data!AK68+Data!AL68</f>
        <v>6938360</v>
      </c>
      <c r="N68" s="16" t="n">
        <f aca="false">Data!T57+Data!U57+Data!V57+Data!W57+Data!T58+Data!U58+Data!V58+Data!W58+Data!T59+Data!U59+Data!V59+Data!W59+Data!T60+Data!U60+Data!V60+Data!W60+Data!T61+Data!U61+Data!V61+Data!W61+Data!T62+Data!U62+Data!V62+Data!W62+Data!T63+Data!U63+Data!V63+Data!W63+Data!T64+Data!U64+Data!V64+Data!W64+Data!T65+Data!U65+Data!V65+Data!W65+Data!T66+Data!U66+Data!V66+Data!W66+Data!T67+Data!U67+Data!V67+Data!W67+Data!T68+Data!U68+Data!V68+Data!W68</f>
        <v>3399352</v>
      </c>
      <c r="O68" s="16" t="n">
        <f aca="false">Data!T57+Data!T58+Data!T59+Data!T60+Data!T61+Data!T62+Data!T63+Data!T64+Data!T65+Data!T66+Data!T67+Data!T68</f>
        <v>2473237</v>
      </c>
      <c r="P68" s="16" t="n">
        <f aca="false">Data!U57+Data!U58+Data!U59+Data!U60+Data!U61+Data!U62+Data!U63+Data!U64+Data!U65+Data!U66+Data!U67+Data!U68</f>
        <v>404538</v>
      </c>
      <c r="Q68" s="16" t="n">
        <f aca="false">Data!V57+Data!V58+Data!V59+Data!V60+Data!V61+Data!V62+Data!V63+Data!V64+Data!V65+Data!V66+Data!V67+Data!V68</f>
        <v>243780</v>
      </c>
      <c r="R68" s="16" t="n">
        <f aca="false">Data!W57+Data!W58+Data!W59+Data!W60+Data!W61+Data!W62+Data!W63+Data!W64+Data!W65+Data!W66+Data!W67+Data!W68</f>
        <v>277797</v>
      </c>
      <c r="S68" s="16" t="n">
        <f aca="false">Data!X57+Data!X58+Data!X59+Data!X60+Data!X61+Data!X62+Data!X63+Data!X64+Data!X65+Data!X66+Data!X67+Data!X68</f>
        <v>856593</v>
      </c>
      <c r="T68" s="16" t="n">
        <f aca="false">Data!Y57+Data!Z57+Data!AA57+Data!Y58+Data!Z58+Data!AA58+Data!Y59+Data!Z59+Data!AA59+Data!Y60+Data!Z60+Data!AA60+Data!Y61+Data!Z61+Data!AA61+Data!Y62+Data!Z62+Data!AA62+Data!Y63+Data!Z63+Data!AA63+Data!Y64+Data!Z64+Data!AA64+Data!Y65+Data!Z65+Data!AA65+Data!Y66+Data!Z66+Data!AA66+Data!Y67+Data!Z67+Data!AA67+Data!Y68+Data!Z68+Data!AA68</f>
        <v>751807</v>
      </c>
      <c r="U68" s="16" t="n">
        <f aca="false">Data!Y57+Data!Y58+Data!Y59+Data!Y60+Data!Y61+Data!Y62+Data!Y63+Data!Y64+Data!Y65+Data!Y66+Data!Y67+Data!Y68</f>
        <v>525995</v>
      </c>
      <c r="V68" s="16" t="n">
        <f aca="false">Data!Z57+Data!Z58+Data!Z59+Data!Z60+Data!Z61+Data!Z62+Data!Z63+Data!Z64+Data!Z65+Data!Z66+Data!Z67+Data!Z68</f>
        <v>213752</v>
      </c>
      <c r="W68" s="16" t="n">
        <f aca="false">Data!AB57+Data!AB58+Data!AB59+Data!AB60+Data!AB61+Data!AB62+Data!AB63+Data!AB64+Data!AB65+Data!AB66+Data!AB67+Data!AB68</f>
        <v>734427</v>
      </c>
      <c r="X68" s="16" t="n">
        <f aca="false">Data!AC57+Data!AC58+Data!AC59+Data!AC60+Data!AC61+Data!AC62+Data!AC63+Data!AC64+Data!AC65+Data!AC66+Data!AC67+Data!AC68</f>
        <v>231006</v>
      </c>
      <c r="Y68" s="16" t="n">
        <f aca="false">Data!AD57+Data!AE57+Data!AF57+Data!AG57+Data!AH57+Data!AD58+Data!AE58+Data!AF58+Data!AG58+Data!AH58+Data!AD59+Data!AE59+Data!AF59+Data!AG59+Data!AH59+Data!AD60+Data!AE60+Data!AF60+Data!AG60+Data!AH60+Data!AD61+Data!AE61+Data!AF61+Data!AG61+Data!AH61+Data!AD62+Data!AE62+Data!AF62+Data!AG62+Data!AH62+Data!AD63+Data!AE63+Data!AF63+Data!AG63+Data!AH63+Data!AD64+Data!AE64+Data!AF64+Data!AG64+Data!AH64+Data!AD65+Data!AE65+Data!AF65+Data!AG65+Data!AH65+Data!AD66+Data!AE66+Data!AF66+Data!AG66+Data!AH66+Data!AD67+Data!AE67+Data!AF67+Data!AG67+Data!AH67+Data!AD68+Data!AE68+Data!AF68+Data!AG68+Data!AH68</f>
        <v>328415</v>
      </c>
      <c r="Z68" s="16" t="n">
        <f aca="false">Data!AI57+Data!AI58+Data!AI59+Data!AI60+Data!AI61+Data!AI62+Data!AI63+Data!AI64+Data!AI65+Data!AI66+Data!AI67+Data!AI68</f>
        <v>213707</v>
      </c>
      <c r="AA68" s="16" t="n">
        <f aca="false">Data!AJ57+Data!AJ58+Data!AJ59+Data!AJ60+Data!AJ61+Data!AJ62+Data!AJ63+Data!AJ64+Data!AJ65+Data!AJ66+Data!AJ67+Data!AJ68</f>
        <v>0</v>
      </c>
      <c r="AB68" s="16" t="n">
        <f aca="false">Data!AK57+Data!AK58+Data!AK59+Data!AK60+Data!AK61+Data!AK62+Data!AK63+Data!AK64+Data!AK65+Data!AK66+Data!AK67+Data!AK68</f>
        <v>101537</v>
      </c>
      <c r="AC68" s="16" t="n">
        <f aca="false">Data!AL57+Data!AL58+Data!AL59+Data!AL60+Data!AL61+Data!AL62+Data!AL63+Data!AL64+Data!AL65+Data!AL66+Data!AL67+Data!AL68</f>
        <v>321516</v>
      </c>
      <c r="AD68" s="15" t="n">
        <f aca="false">Data!AM57+Data!AM58+Data!AM59+Data!AM60+Data!AM61+Data!AM62+Data!AM63+Data!AM64+Data!AM65+Data!AM66+Data!AM67+Data!AM68</f>
        <v>-1713378</v>
      </c>
      <c r="AE68" s="16" t="n">
        <f aca="false">Data!AN57+Data!AN58+Data!AN59+Data!AN60+Data!AN61+Data!AN62+Data!AN63+Data!AN64+Data!AN65+Data!AN66+Data!AN67+Data!AN68</f>
        <v>488405</v>
      </c>
      <c r="AF68" s="15" t="n">
        <f aca="false">Data!AO57+Data!AO58+Data!AO59+Data!AO60+Data!AO61+Data!AO62+Data!AO63+Data!AO64+Data!AO65+Data!AO66+Data!AO67+Data!AO68</f>
        <v>-2201780</v>
      </c>
    </row>
    <row r="69" customFormat="false" ht="15" hidden="false" customHeight="false" outlineLevel="0" collapsed="false">
      <c r="B69" s="14" t="str">
        <f aca="false">Data!B69</f>
        <v>2021-03</v>
      </c>
      <c r="C69" s="15" t="n">
        <f aca="false">Data!D58+Data!E58+Data!F58+Data!G58+Data!H58+Data!I58+Data!J58+Data!K58+Data!L58+Data!M58+Data!N58+Data!O58+Data!P58+Data!Q58+Data!R58+Data!S58+Data!D59+Data!E59+Data!F59+Data!G59+Data!H59+Data!I59+Data!J59+Data!K59+Data!L59+Data!M59+Data!N59+Data!O59+Data!P59+Data!Q59+Data!R59+Data!S59+Data!D60+Data!E60+Data!F60+Data!G60+Data!H60+Data!I60+Data!J60+Data!K60+Data!L60+Data!M60+Data!N60+Data!O60+Data!P60+Data!Q60+Data!R60+Data!S60+Data!D61+Data!E61+Data!F61+Data!G61+Data!H61+Data!I61+Data!J61+Data!K61+Data!L61+Data!M61+Data!N61+Data!O61+Data!P61+Data!Q61+Data!R61+Data!S61+Data!D62+Data!E62+Data!F62+Data!G62+Data!H62+Data!I62+Data!J62+Data!K62+Data!L62+Data!M62+Data!N62+Data!O62+Data!P62+Data!Q62+Data!R62+Data!S62+Data!D63+Data!E63+Data!F63+Data!G63+Data!H63+Data!I63+Data!J63+Data!K63+Data!L63+Data!M63+Data!N63+Data!O63+Data!P63+Data!Q63+Data!R63+Data!S63+Data!D64+Data!E64+Data!F64+Data!G64+Data!H64+Data!I64+Data!J64+Data!K64+Data!L64+Data!M64+Data!N64+Data!O64+Data!P64+Data!Q64+Data!R64+Data!S64+Data!D65+Data!E65+Data!F65+Data!G65+Data!H65+Data!I65+Data!J65+Data!K65+Data!L65+Data!M65+Data!N65+Data!O65+Data!P65+Data!Q65+Data!R65+Data!S65+Data!D66+Data!E66+Data!F66+Data!G66+Data!H66+Data!I66+Data!J66+Data!K66+Data!L66+Data!M66+Data!N66+Data!O66+Data!P66+Data!Q66+Data!R66+Data!S66+Data!D67+Data!E67+Data!F67+Data!G67+Data!H67+Data!I67+Data!J67+Data!K67+Data!L67+Data!M67+Data!N67+Data!O67+Data!P67+Data!Q67+Data!R67+Data!S67+Data!D68+Data!E68+Data!F68+Data!G68+Data!H68+Data!I68+Data!J68+Data!K68+Data!L68+Data!M68+Data!N68+Data!O68+Data!P68+Data!Q68+Data!R68+Data!S68+Data!D69+Data!E69+Data!F69+Data!G69+Data!H69+Data!I69+Data!J69+Data!K69+Data!L69+Data!M69+Data!N69+Data!O69+Data!P69+Data!Q69+Data!R69+Data!S69</f>
        <v>5444040</v>
      </c>
      <c r="D69" s="16" t="n">
        <f aca="false">Data!D58+Data!E58+Data!G58+Data!H58+Data!I58+Data!J58+Data!K58+Data!L58+Data!M58+Data!D59+Data!E59+Data!G59+Data!H59+Data!I59+Data!J59+Data!K59+Data!L59+Data!M59+Data!D60+Data!E60+Data!G60+Data!H60+Data!I60+Data!J60+Data!K60+Data!L60+Data!M60+Data!D61+Data!E61+Data!G61+Data!H61+Data!I61+Data!J61+Data!K61+Data!L61+Data!M61+Data!D62+Data!E62+Data!G62+Data!H62+Data!I62+Data!J62+Data!K62+Data!L62+Data!M62+Data!D63+Data!E63+Data!G63+Data!H63+Data!I63+Data!J63+Data!K63+Data!L63+Data!M63+Data!D64+Data!E64+Data!G64+Data!H64+Data!I64+Data!J64+Data!K64+Data!L64+Data!M64+Data!D65+Data!E65+Data!G65+Data!H65+Data!I65+Data!J65+Data!K65+Data!L65+Data!M65+Data!D66+Data!E66+Data!G66+Data!H66+Data!I66+Data!J66+Data!K66+Data!L66+Data!M66+Data!D67+Data!E67+Data!G67+Data!H67+Data!I67+Data!J67+Data!K67+Data!L67+Data!M67+Data!D68+Data!E68+Data!G68+Data!H68+Data!I68+Data!J68+Data!K68+Data!L68+Data!M68+Data!D69+Data!E69+Data!G69+Data!H69+Data!I69+Data!J69+Data!K69+Data!L69+Data!M69</f>
        <v>3349779</v>
      </c>
      <c r="E69" s="16" t="n">
        <f aca="false">Data!D58+Data!D59+Data!D60+Data!D61+Data!D62+Data!D63+Data!D64+Data!D65+Data!D66+Data!D67+Data!D68+Data!D69</f>
        <v>945031</v>
      </c>
      <c r="F69" s="16" t="n">
        <f aca="false">Data!E58+Data!E59+Data!E60+Data!E61+Data!E62+Data!E63+Data!E64+Data!E65+Data!E66+Data!E67+Data!E68+Data!E69</f>
        <v>556524</v>
      </c>
      <c r="G69" s="16" t="n">
        <f aca="false">Data!K58+Data!K59+Data!K60+Data!K61+Data!K62+Data!K63+Data!K64+Data!K65+Data!K66+Data!K67+Data!K68+Data!K69</f>
        <v>512882</v>
      </c>
      <c r="H69" s="16" t="n">
        <f aca="false">Data!L58+Data!L59+Data!L60+Data!L61+Data!L62+Data!L63+Data!L64+Data!L65+Data!L66+Data!L67+Data!L68+Data!L69</f>
        <v>187193</v>
      </c>
      <c r="I69" s="16" t="n">
        <f aca="false">Data!G58+Data!G59+Data!G60+Data!G61+Data!G62+Data!G63+Data!G64+Data!G65+Data!G66+Data!G67+Data!G68+Data!G69</f>
        <v>490082</v>
      </c>
      <c r="J69" s="16" t="n">
        <f aca="false">Data!H58+Data!I58+Data!J58+Data!M58+Data!H59+Data!I59+Data!J59+Data!M59+Data!H60+Data!I60+Data!J60+Data!M60+Data!H61+Data!I61+Data!J61+Data!M61+Data!H62+Data!I62+Data!J62+Data!M62+Data!H63+Data!I63+Data!J63+Data!M63+Data!H64+Data!I64+Data!J64+Data!M64+Data!H65+Data!I65+Data!J65+Data!M65+Data!H66+Data!I66+Data!J66+Data!M66+Data!H67+Data!I67+Data!J67+Data!M67+Data!H68+Data!I68+Data!J68+Data!M68+Data!H69+Data!I69+Data!J69+Data!M69</f>
        <v>658067</v>
      </c>
      <c r="K69" s="16" t="n">
        <f aca="false">Data!F58+Data!F59+Data!F60+Data!F61+Data!F62+Data!F63+Data!F64+Data!F65+Data!F66+Data!F67+Data!F68+Data!F69</f>
        <v>1645117</v>
      </c>
      <c r="L69" s="16" t="n">
        <f aca="false">Data!N58+Data!O58+Data!P58+Data!Q58+Data!R58+Data!S58+Data!N59+Data!O59+Data!P59+Data!Q59+Data!R59+Data!S59+Data!N60+Data!O60+Data!P60+Data!Q60+Data!R60+Data!S60+Data!N61+Data!O61+Data!P61+Data!Q61+Data!R61+Data!S61+Data!N62+Data!O62+Data!P62+Data!Q62+Data!R62+Data!S62+Data!N63+Data!O63+Data!P63+Data!Q63+Data!R63+Data!S63+Data!N64+Data!O64+Data!P64+Data!Q64+Data!R64+Data!S64+Data!N65+Data!O65+Data!P65+Data!Q65+Data!R65+Data!S65+Data!N66+Data!O66+Data!P66+Data!Q66+Data!R66+Data!S66+Data!N67+Data!O67+Data!P67+Data!Q67+Data!R67+Data!S67+Data!N68+Data!O68+Data!P68+Data!Q68+Data!R68+Data!S68+Data!N69+Data!O69+Data!P69+Data!Q69+Data!R69+Data!S69</f>
        <v>449144</v>
      </c>
      <c r="M69" s="15" t="n">
        <f aca="false">Data!T58+Data!U58+Data!V58+Data!W58+Data!X58+Data!Y58+Data!Z58+Data!AA58+Data!AB58+Data!AC58+Data!AD58+Data!AE58+Data!AF58+Data!AG58+Data!AH58+Data!AI58+Data!AJ58+Data!AK58+Data!AL58+Data!T59+Data!U59+Data!V59+Data!W59+Data!X59+Data!Y59+Data!Z59+Data!AA59+Data!AB59+Data!AC59+Data!AD59+Data!AE59+Data!AF59+Data!AG59+Data!AH59+Data!AI59+Data!AJ59+Data!AK59+Data!AL59+Data!T60+Data!U60+Data!V60+Data!W60+Data!X60+Data!Y60+Data!Z60+Data!AA60+Data!AB60+Data!AC60+Data!AD60+Data!AE60+Data!AF60+Data!AG60+Data!AH60+Data!AI60+Data!AJ60+Data!AK60+Data!AL60+Data!T61+Data!U61+Data!V61+Data!W61+Data!X61+Data!Y61+Data!Z61+Data!AA61+Data!AB61+Data!AC61+Data!AD61+Data!AE61+Data!AF61+Data!AG61+Data!AH61+Data!AI61+Data!AJ61+Data!AK61+Data!AL61+Data!T62+Data!U62+Data!V62+Data!W62+Data!X62+Data!Y62+Data!Z62+Data!AA62+Data!AB62+Data!AC62+Data!AD62+Data!AE62+Data!AF62+Data!AG62+Data!AH62+Data!AI62+Data!AJ62+Data!AK62+Data!AL62+Data!T63+Data!U63+Data!V63+Data!W63+Data!X63+Data!Y63+Data!Z63+Data!AA63+Data!AB63+Data!AC63+Data!AD63+Data!AE63+Data!AF63+Data!AG63+Data!AH63+Data!AI63+Data!AJ63+Data!AK63+Data!AL63+Data!T64+Data!U64+Data!V64+Data!W64+Data!X64+Data!Y64+Data!Z64+Data!AA64+Data!AB64+Data!AC64+Data!AD64+Data!AE64+Data!AF64+Data!AG64+Data!AH64+Data!AI64+Data!AJ64+Data!AK64+Data!AL64+Data!T65+Data!U65+Data!V65+Data!W65+Data!X65+Data!Y65+Data!Z65+Data!AA65+Data!AB65+Data!AC65+Data!AD65+Data!AE65+Data!AF65+Data!AG65+Data!AH65+Data!AI65+Data!AJ65+Data!AK65+Data!AL65+Data!T66+Data!U66+Data!V66+Data!W66+Data!X66+Data!Y66+Data!Z66+Data!AA66+Data!AB66+Data!AC66+Data!AD66+Data!AE66+Data!AF66+Data!AG66+Data!AH66+Data!AI66+Data!AJ66+Data!AK66+Data!AL66+Data!T67+Data!U67+Data!V67+Data!W67+Data!X67+Data!Y67+Data!Z67+Data!AA67+Data!AB67+Data!AC67+Data!AD67+Data!AE67+Data!AF67+Data!AG67+Data!AH67+Data!AI67+Data!AJ67+Data!AK67+Data!AL67+Data!T68+Data!U68+Data!V68+Data!W68+Data!X68+Data!Y68+Data!Z68+Data!AA68+Data!AB68+Data!AC68+Data!AD68+Data!AE68+Data!AF68+Data!AG68+Data!AH68+Data!AI68+Data!AJ68+Data!AK68+Data!AL68+Data!T69+Data!U69+Data!V69+Data!W69+Data!X69+Data!Y69+Data!Z69+Data!AA69+Data!AB69+Data!AC69+Data!AD69+Data!AE69+Data!AF69+Data!AG69+Data!AH69+Data!AI69+Data!AJ69+Data!AK69+Data!AL69</f>
        <v>7107156</v>
      </c>
      <c r="N69" s="16" t="n">
        <f aca="false">Data!T58+Data!U58+Data!V58+Data!W58+Data!T59+Data!U59+Data!V59+Data!W59+Data!T60+Data!U60+Data!V60+Data!W60+Data!T61+Data!U61+Data!V61+Data!W61+Data!T62+Data!U62+Data!V62+Data!W62+Data!T63+Data!U63+Data!V63+Data!W63+Data!T64+Data!U64+Data!V64+Data!W64+Data!T65+Data!U65+Data!V65+Data!W65+Data!T66+Data!U66+Data!V66+Data!W66+Data!T67+Data!U67+Data!V67+Data!W67+Data!T68+Data!U68+Data!V68+Data!W68+Data!T69+Data!U69+Data!V69+Data!W69</f>
        <v>3467555</v>
      </c>
      <c r="O69" s="16" t="n">
        <f aca="false">Data!T58+Data!T59+Data!T60+Data!T61+Data!T62+Data!T63+Data!T64+Data!T65+Data!T66+Data!T67+Data!T68+Data!T69</f>
        <v>2523861</v>
      </c>
      <c r="P69" s="16" t="n">
        <f aca="false">Data!U58+Data!U59+Data!U60+Data!U61+Data!U62+Data!U63+Data!U64+Data!U65+Data!U66+Data!U67+Data!U68+Data!U69</f>
        <v>410690</v>
      </c>
      <c r="Q69" s="16" t="n">
        <f aca="false">Data!V58+Data!V59+Data!V60+Data!V61+Data!V62+Data!V63+Data!V64+Data!V65+Data!V66+Data!V67+Data!V68+Data!V69</f>
        <v>248263</v>
      </c>
      <c r="R69" s="16" t="n">
        <f aca="false">Data!W58+Data!W59+Data!W60+Data!W61+Data!W62+Data!W63+Data!W64+Data!W65+Data!W66+Data!W67+Data!W68+Data!W69</f>
        <v>284741</v>
      </c>
      <c r="S69" s="16" t="n">
        <f aca="false">Data!X58+Data!X59+Data!X60+Data!X61+Data!X62+Data!X63+Data!X64+Data!X65+Data!X66+Data!X67+Data!X68+Data!X69</f>
        <v>881722</v>
      </c>
      <c r="T69" s="16" t="n">
        <f aca="false">Data!Y58+Data!Z58+Data!AA58+Data!Y59+Data!Z59+Data!AA59+Data!Y60+Data!Z60+Data!AA60+Data!Y61+Data!Z61+Data!AA61+Data!Y62+Data!Z62+Data!AA62+Data!Y63+Data!Z63+Data!AA63+Data!Y64+Data!Z64+Data!AA64+Data!Y65+Data!Z65+Data!AA65+Data!Y66+Data!Z66+Data!AA66+Data!Y67+Data!Z67+Data!AA67+Data!Y68+Data!Z68+Data!AA68+Data!Y69+Data!Z69+Data!AA69</f>
        <v>777780</v>
      </c>
      <c r="U69" s="16" t="n">
        <f aca="false">Data!Y58+Data!Y59+Data!Y60+Data!Y61+Data!Y62+Data!Y63+Data!Y64+Data!Y65+Data!Y66+Data!Y67+Data!Y68+Data!Y69</f>
        <v>541257</v>
      </c>
      <c r="V69" s="16" t="n">
        <f aca="false">Data!Z58+Data!Z59+Data!Z60+Data!Z61+Data!Z62+Data!Z63+Data!Z64+Data!Z65+Data!Z66+Data!Z67+Data!Z68+Data!Z69</f>
        <v>222940</v>
      </c>
      <c r="W69" s="16" t="n">
        <f aca="false">Data!AB58+Data!AB59+Data!AB60+Data!AB61+Data!AB62+Data!AB63+Data!AB64+Data!AB65+Data!AB66+Data!AB67+Data!AB68+Data!AB69</f>
        <v>746053</v>
      </c>
      <c r="X69" s="16" t="n">
        <f aca="false">Data!AC58+Data!AC59+Data!AC60+Data!AC61+Data!AC62+Data!AC63+Data!AC64+Data!AC65+Data!AC66+Data!AC67+Data!AC68+Data!AC69</f>
        <v>248412</v>
      </c>
      <c r="Y69" s="16" t="n">
        <f aca="false">Data!AD58+Data!AE58+Data!AF58+Data!AG58+Data!AH58+Data!AD59+Data!AE59+Data!AF59+Data!AG59+Data!AH59+Data!AD60+Data!AE60+Data!AF60+Data!AG60+Data!AH60+Data!AD61+Data!AE61+Data!AF61+Data!AG61+Data!AH61+Data!AD62+Data!AE62+Data!AF62+Data!AG62+Data!AH62+Data!AD63+Data!AE63+Data!AF63+Data!AG63+Data!AH63+Data!AD64+Data!AE64+Data!AF64+Data!AG64+Data!AH64+Data!AD65+Data!AE65+Data!AF65+Data!AG65+Data!AH65+Data!AD66+Data!AE66+Data!AF66+Data!AG66+Data!AH66+Data!AD67+Data!AE67+Data!AF67+Data!AG67+Data!AH67+Data!AD68+Data!AE68+Data!AF68+Data!AG68+Data!AH68+Data!AD69+Data!AE69+Data!AF69+Data!AG69+Data!AH69</f>
        <v>329313</v>
      </c>
      <c r="Z69" s="16" t="n">
        <f aca="false">Data!AI58+Data!AI59+Data!AI60+Data!AI61+Data!AI62+Data!AI63+Data!AI64+Data!AI65+Data!AI66+Data!AI67+Data!AI68+Data!AI69</f>
        <v>206036</v>
      </c>
      <c r="AA69" s="16" t="n">
        <f aca="false">Data!AJ58+Data!AJ59+Data!AJ60+Data!AJ61+Data!AJ62+Data!AJ63+Data!AJ64+Data!AJ65+Data!AJ66+Data!AJ67+Data!AJ68+Data!AJ69</f>
        <v>0</v>
      </c>
      <c r="AB69" s="16" t="n">
        <f aca="false">Data!AK58+Data!AK59+Data!AK60+Data!AK61+Data!AK62+Data!AK63+Data!AK64+Data!AK65+Data!AK66+Data!AK67+Data!AK68+Data!AK69</f>
        <v>105129</v>
      </c>
      <c r="AC69" s="16" t="n">
        <f aca="false">Data!AL58+Data!AL59+Data!AL60+Data!AL61+Data!AL62+Data!AL63+Data!AL64+Data!AL65+Data!AL66+Data!AL67+Data!AL68+Data!AL69</f>
        <v>345156</v>
      </c>
      <c r="AD69" s="15" t="n">
        <f aca="false">Data!AM58+Data!AM59+Data!AM60+Data!AM61+Data!AM62+Data!AM63+Data!AM64+Data!AM65+Data!AM66+Data!AM67+Data!AM68+Data!AM69</f>
        <v>-1663116</v>
      </c>
      <c r="AE69" s="16" t="n">
        <f aca="false">Data!AN58+Data!AN59+Data!AN60+Data!AN61+Data!AN62+Data!AN63+Data!AN64+Data!AN65+Data!AN66+Data!AN67+Data!AN68+Data!AN69</f>
        <v>489423</v>
      </c>
      <c r="AF69" s="15" t="n">
        <f aca="false">Data!AO58+Data!AO59+Data!AO60+Data!AO61+Data!AO62+Data!AO63+Data!AO64+Data!AO65+Data!AO66+Data!AO67+Data!AO68+Data!AO69</f>
        <v>-2152536</v>
      </c>
    </row>
    <row r="70" customFormat="false" ht="15" hidden="false" customHeight="false" outlineLevel="0" collapsed="false">
      <c r="B70" s="14" t="str">
        <f aca="false">Data!B70</f>
        <v>2021-04</v>
      </c>
      <c r="C70" s="15" t="n">
        <f aca="false">Data!D59+Data!E59+Data!F59+Data!G59+Data!H59+Data!I59+Data!J59+Data!K59+Data!L59+Data!M59+Data!N59+Data!O59+Data!P59+Data!Q59+Data!R59+Data!S59+Data!D60+Data!E60+Data!F60+Data!G60+Data!H60+Data!I60+Data!J60+Data!K60+Data!L60+Data!M60+Data!N60+Data!O60+Data!P60+Data!Q60+Data!R60+Data!S60+Data!D61+Data!E61+Data!F61+Data!G61+Data!H61+Data!I61+Data!J61+Data!K61+Data!L61+Data!M61+Data!N61+Data!O61+Data!P61+Data!Q61+Data!R61+Data!S61+Data!D62+Data!E62+Data!F62+Data!G62+Data!H62+Data!I62+Data!J62+Data!K62+Data!L62+Data!M62+Data!N62+Data!O62+Data!P62+Data!Q62+Data!R62+Data!S62+Data!D63+Data!E63+Data!F63+Data!G63+Data!H63+Data!I63+Data!J63+Data!K63+Data!L63+Data!M63+Data!N63+Data!O63+Data!P63+Data!Q63+Data!R63+Data!S63+Data!D64+Data!E64+Data!F64+Data!G64+Data!H64+Data!I64+Data!J64+Data!K64+Data!L64+Data!M64+Data!N64+Data!O64+Data!P64+Data!Q64+Data!R64+Data!S64+Data!D65+Data!E65+Data!F65+Data!G65+Data!H65+Data!I65+Data!J65+Data!K65+Data!L65+Data!M65+Data!N65+Data!O65+Data!P65+Data!Q65+Data!R65+Data!S65+Data!D66+Data!E66+Data!F66+Data!G66+Data!H66+Data!I66+Data!J66+Data!K66+Data!L66+Data!M66+Data!N66+Data!O66+Data!P66+Data!Q66+Data!R66+Data!S66+Data!D67+Data!E67+Data!F67+Data!G67+Data!H67+Data!I67+Data!J67+Data!K67+Data!L67+Data!M67+Data!N67+Data!O67+Data!P67+Data!Q67+Data!R67+Data!S67+Data!D68+Data!E68+Data!F68+Data!G68+Data!H68+Data!I68+Data!J68+Data!K68+Data!L68+Data!M68+Data!N68+Data!O68+Data!P68+Data!Q68+Data!R68+Data!S68+Data!D69+Data!E69+Data!F69+Data!G69+Data!H69+Data!I69+Data!J69+Data!K69+Data!L69+Data!M69+Data!N69+Data!O69+Data!P69+Data!Q69+Data!R69+Data!S69+Data!D70+Data!E70+Data!F70+Data!G70+Data!H70+Data!I70+Data!J70+Data!K70+Data!L70+Data!M70+Data!N70+Data!O70+Data!P70+Data!Q70+Data!R70+Data!S70</f>
        <v>5737973</v>
      </c>
      <c r="D70" s="16" t="n">
        <f aca="false">Data!D59+Data!E59+Data!G59+Data!H59+Data!I59+Data!J59+Data!K59+Data!L59+Data!M59+Data!D60+Data!E60+Data!G60+Data!H60+Data!I60+Data!J60+Data!K60+Data!L60+Data!M60+Data!D61+Data!E61+Data!G61+Data!H61+Data!I61+Data!J61+Data!K61+Data!L61+Data!M61+Data!D62+Data!E62+Data!G62+Data!H62+Data!I62+Data!J62+Data!K62+Data!L62+Data!M62+Data!D63+Data!E63+Data!G63+Data!H63+Data!I63+Data!J63+Data!K63+Data!L63+Data!M63+Data!D64+Data!E64+Data!G64+Data!H64+Data!I64+Data!J64+Data!K64+Data!L64+Data!M64+Data!D65+Data!E65+Data!G65+Data!H65+Data!I65+Data!J65+Data!K65+Data!L65+Data!M65+Data!D66+Data!E66+Data!G66+Data!H66+Data!I66+Data!J66+Data!K66+Data!L66+Data!M66+Data!D67+Data!E67+Data!G67+Data!H67+Data!I67+Data!J67+Data!K67+Data!L67+Data!M67+Data!D68+Data!E68+Data!G68+Data!H68+Data!I68+Data!J68+Data!K68+Data!L68+Data!M68+Data!D69+Data!E69+Data!G69+Data!H69+Data!I69+Data!J69+Data!K69+Data!L69+Data!M69+Data!D70+Data!E70+Data!G70+Data!H70+Data!I70+Data!J70+Data!K70+Data!L70+Data!M70</f>
        <v>3561076</v>
      </c>
      <c r="E70" s="16" t="n">
        <f aca="false">Data!D59+Data!D60+Data!D61+Data!D62+Data!D63+Data!D64+Data!D65+Data!D66+Data!D67+Data!D68+Data!D69+Data!D70</f>
        <v>1003854</v>
      </c>
      <c r="F70" s="16" t="n">
        <f aca="false">Data!E59+Data!E60+Data!E61+Data!E62+Data!E63+Data!E64+Data!E65+Data!E66+Data!E67+Data!E68+Data!E69+Data!E70</f>
        <v>582642</v>
      </c>
      <c r="G70" s="16" t="n">
        <f aca="false">Data!K59+Data!K60+Data!K61+Data!K62+Data!K63+Data!K64+Data!K65+Data!K66+Data!K67+Data!K68+Data!K69+Data!K70</f>
        <v>563039</v>
      </c>
      <c r="H70" s="16" t="n">
        <f aca="false">Data!L59+Data!L60+Data!L61+Data!L62+Data!L63+Data!L64+Data!L65+Data!L66+Data!L67+Data!L68+Data!L69+Data!L70</f>
        <v>200527</v>
      </c>
      <c r="I70" s="16" t="n">
        <f aca="false">Data!G59+Data!G60+Data!G61+Data!G62+Data!G63+Data!G64+Data!G65+Data!G66+Data!G67+Data!G68+Data!G69+Data!G70</f>
        <v>510552</v>
      </c>
      <c r="J70" s="16" t="n">
        <f aca="false">Data!H59+Data!I59+Data!J59+Data!M59+Data!H60+Data!I60+Data!J60+Data!M60+Data!H61+Data!I61+Data!J61+Data!M61+Data!H62+Data!I62+Data!J62+Data!M62+Data!H63+Data!I63+Data!J63+Data!M63+Data!H64+Data!I64+Data!J64+Data!M64+Data!H65+Data!I65+Data!J65+Data!M65+Data!H66+Data!I66+Data!J66+Data!M66+Data!H67+Data!I67+Data!J67+Data!M67+Data!H68+Data!I68+Data!J68+Data!M68+Data!H69+Data!I69+Data!J69+Data!M69+Data!H70+Data!I70+Data!J70+Data!M70</f>
        <v>700462</v>
      </c>
      <c r="K70" s="16" t="n">
        <f aca="false">Data!F59+Data!F60+Data!F61+Data!F62+Data!F63+Data!F64+Data!F65+Data!F66+Data!F67+Data!F68+Data!F69+Data!F70</f>
        <v>1712843</v>
      </c>
      <c r="L70" s="16" t="n">
        <f aca="false">Data!N59+Data!O59+Data!P59+Data!Q59+Data!R59+Data!S59+Data!N60+Data!O60+Data!P60+Data!Q60+Data!R60+Data!S60+Data!N61+Data!O61+Data!P61+Data!Q61+Data!R61+Data!S61+Data!N62+Data!O62+Data!P62+Data!Q62+Data!R62+Data!S62+Data!N63+Data!O63+Data!P63+Data!Q63+Data!R63+Data!S63+Data!N64+Data!O64+Data!P64+Data!Q64+Data!R64+Data!S64+Data!N65+Data!O65+Data!P65+Data!Q65+Data!R65+Data!S65+Data!N66+Data!O66+Data!P66+Data!Q66+Data!R66+Data!S66+Data!N67+Data!O67+Data!P67+Data!Q67+Data!R67+Data!S67+Data!N68+Data!O68+Data!P68+Data!Q68+Data!R68+Data!S68+Data!N69+Data!O69+Data!P69+Data!Q69+Data!R69+Data!S69+Data!N70+Data!O70+Data!P70+Data!Q70+Data!R70+Data!S70</f>
        <v>464054</v>
      </c>
      <c r="M70" s="15" t="n">
        <f aca="false">Data!T59+Data!U59+Data!V59+Data!W59+Data!X59+Data!Y59+Data!Z59+Data!AA59+Data!AB59+Data!AC59+Data!AD59+Data!AE59+Data!AF59+Data!AG59+Data!AH59+Data!AI59+Data!AJ59+Data!AK59+Data!AL59+Data!T60+Data!U60+Data!V60+Data!W60+Data!X60+Data!Y60+Data!Z60+Data!AA60+Data!AB60+Data!AC60+Data!AD60+Data!AE60+Data!AF60+Data!AG60+Data!AH60+Data!AI60+Data!AJ60+Data!AK60+Data!AL60+Data!T61+Data!U61+Data!V61+Data!W61+Data!X61+Data!Y61+Data!Z61+Data!AA61+Data!AB61+Data!AC61+Data!AD61+Data!AE61+Data!AF61+Data!AG61+Data!AH61+Data!AI61+Data!AJ61+Data!AK61+Data!AL61+Data!T62+Data!U62+Data!V62+Data!W62+Data!X62+Data!Y62+Data!Z62+Data!AA62+Data!AB62+Data!AC62+Data!AD62+Data!AE62+Data!AF62+Data!AG62+Data!AH62+Data!AI62+Data!AJ62+Data!AK62+Data!AL62+Data!T63+Data!U63+Data!V63+Data!W63+Data!X63+Data!Y63+Data!Z63+Data!AA63+Data!AB63+Data!AC63+Data!AD63+Data!AE63+Data!AF63+Data!AG63+Data!AH63+Data!AI63+Data!AJ63+Data!AK63+Data!AL63+Data!T64+Data!U64+Data!V64+Data!W64+Data!X64+Data!Y64+Data!Z64+Data!AA64+Data!AB64+Data!AC64+Data!AD64+Data!AE64+Data!AF64+Data!AG64+Data!AH64+Data!AI64+Data!AJ64+Data!AK64+Data!AL64+Data!T65+Data!U65+Data!V65+Data!W65+Data!X65+Data!Y65+Data!Z65+Data!AA65+Data!AB65+Data!AC65+Data!AD65+Data!AE65+Data!AF65+Data!AG65+Data!AH65+Data!AI65+Data!AJ65+Data!AK65+Data!AL65+Data!T66+Data!U66+Data!V66+Data!W66+Data!X66+Data!Y66+Data!Z66+Data!AA66+Data!AB66+Data!AC66+Data!AD66+Data!AE66+Data!AF66+Data!AG66+Data!AH66+Data!AI66+Data!AJ66+Data!AK66+Data!AL66+Data!T67+Data!U67+Data!V67+Data!W67+Data!X67+Data!Y67+Data!Z67+Data!AA67+Data!AB67+Data!AC67+Data!AD67+Data!AE67+Data!AF67+Data!AG67+Data!AH67+Data!AI67+Data!AJ67+Data!AK67+Data!AL67+Data!T68+Data!U68+Data!V68+Data!W68+Data!X68+Data!Y68+Data!Z68+Data!AA68+Data!AB68+Data!AC68+Data!AD68+Data!AE68+Data!AF68+Data!AG68+Data!AH68+Data!AI68+Data!AJ68+Data!AK68+Data!AL68+Data!T69+Data!U69+Data!V69+Data!W69+Data!X69+Data!Y69+Data!Z69+Data!AA69+Data!AB69+Data!AC69+Data!AD69+Data!AE69+Data!AF69+Data!AG69+Data!AH69+Data!AI69+Data!AJ69+Data!AK69+Data!AL69+Data!T70+Data!U70+Data!V70+Data!W70+Data!X70+Data!Y70+Data!Z70+Data!AA70+Data!AB70+Data!AC70+Data!AD70+Data!AE70+Data!AF70+Data!AG70+Data!AH70+Data!AI70+Data!AJ70+Data!AK70+Data!AL70</f>
        <v>7183712</v>
      </c>
      <c r="N70" s="16" t="n">
        <f aca="false">Data!T59+Data!U59+Data!V59+Data!W59+Data!T60+Data!U60+Data!V60+Data!W60+Data!T61+Data!U61+Data!V61+Data!W61+Data!T62+Data!U62+Data!V62+Data!W62+Data!T63+Data!U63+Data!V63+Data!W63+Data!T64+Data!U64+Data!V64+Data!W64+Data!T65+Data!U65+Data!V65+Data!W65+Data!T66+Data!U66+Data!V66+Data!W66+Data!T67+Data!U67+Data!V67+Data!W67+Data!T68+Data!U68+Data!V68+Data!W68+Data!T69+Data!U69+Data!V69+Data!W69+Data!T70+Data!U70+Data!V70+Data!W70</f>
        <v>3533168</v>
      </c>
      <c r="O70" s="16" t="n">
        <f aca="false">Data!T59+Data!T60+Data!T61+Data!T62+Data!T63+Data!T64+Data!T65+Data!T66+Data!T67+Data!T68+Data!T69+Data!T70</f>
        <v>2577802</v>
      </c>
      <c r="P70" s="16" t="n">
        <f aca="false">Data!U59+Data!U60+Data!U61+Data!U62+Data!U63+Data!U64+Data!U65+Data!U66+Data!U67+Data!U68+Data!U69+Data!U70</f>
        <v>418781</v>
      </c>
      <c r="Q70" s="16" t="n">
        <f aca="false">Data!V59+Data!V60+Data!V61+Data!V62+Data!V63+Data!V64+Data!V65+Data!V66+Data!V67+Data!V68+Data!V69+Data!V70</f>
        <v>251864</v>
      </c>
      <c r="R70" s="16" t="n">
        <f aca="false">Data!W59+Data!W60+Data!W61+Data!W62+Data!W63+Data!W64+Data!W65+Data!W66+Data!W67+Data!W68+Data!W69+Data!W70</f>
        <v>284721</v>
      </c>
      <c r="S70" s="16" t="n">
        <f aca="false">Data!X59+Data!X60+Data!X61+Data!X62+Data!X63+Data!X64+Data!X65+Data!X66+Data!X67+Data!X68+Data!X69+Data!X70</f>
        <v>833934</v>
      </c>
      <c r="T70" s="16" t="n">
        <f aca="false">Data!Y59+Data!Z59+Data!AA59+Data!Y60+Data!Z60+Data!AA60+Data!Y61+Data!Z61+Data!AA61+Data!Y62+Data!Z62+Data!AA62+Data!Y63+Data!Z63+Data!AA63+Data!Y64+Data!Z64+Data!AA64+Data!Y65+Data!Z65+Data!AA65+Data!Y66+Data!Z66+Data!AA66+Data!Y67+Data!Z67+Data!AA67+Data!Y68+Data!Z68+Data!AA68+Data!Y69+Data!Z69+Data!AA69+Data!Y70+Data!Z70+Data!AA70</f>
        <v>785222</v>
      </c>
      <c r="U70" s="16" t="n">
        <f aca="false">Data!Y59+Data!Y60+Data!Y61+Data!Y62+Data!Y63+Data!Y64+Data!Y65+Data!Y66+Data!Y67+Data!Y68+Data!Y69+Data!Y70</f>
        <v>547782</v>
      </c>
      <c r="V70" s="16" t="n">
        <f aca="false">Data!Z59+Data!Z60+Data!Z61+Data!Z62+Data!Z63+Data!Z64+Data!Z65+Data!Z66+Data!Z67+Data!Z68+Data!Z69+Data!Z70</f>
        <v>223019</v>
      </c>
      <c r="W70" s="16" t="n">
        <f aca="false">Data!AB59+Data!AB60+Data!AB61+Data!AB62+Data!AB63+Data!AB64+Data!AB65+Data!AB66+Data!AB67+Data!AB68+Data!AB69+Data!AB70</f>
        <v>756267</v>
      </c>
      <c r="X70" s="16" t="n">
        <f aca="false">Data!AC59+Data!AC60+Data!AC61+Data!AC62+Data!AC63+Data!AC64+Data!AC65+Data!AC66+Data!AC67+Data!AC68+Data!AC69+Data!AC70</f>
        <v>257637</v>
      </c>
      <c r="Y70" s="16" t="n">
        <f aca="false">Data!AD59+Data!AE59+Data!AF59+Data!AG59+Data!AH59+Data!AD60+Data!AE60+Data!AF60+Data!AG60+Data!AH60+Data!AD61+Data!AE61+Data!AF61+Data!AG61+Data!AH61+Data!AD62+Data!AE62+Data!AF62+Data!AG62+Data!AH62+Data!AD63+Data!AE63+Data!AF63+Data!AG63+Data!AH63+Data!AD64+Data!AE64+Data!AF64+Data!AG64+Data!AH64+Data!AD65+Data!AE65+Data!AF65+Data!AG65+Data!AH65+Data!AD66+Data!AE66+Data!AF66+Data!AG66+Data!AH66+Data!AD67+Data!AE67+Data!AF67+Data!AG67+Data!AH67+Data!AD68+Data!AE68+Data!AF68+Data!AG68+Data!AH68+Data!AD69+Data!AE69+Data!AF69+Data!AG69+Data!AH69+Data!AD70+Data!AE70+Data!AF70+Data!AG70+Data!AH70</f>
        <v>301578</v>
      </c>
      <c r="Z70" s="16" t="n">
        <f aca="false">Data!AI59+Data!AI60+Data!AI61+Data!AI62+Data!AI63+Data!AI64+Data!AI65+Data!AI66+Data!AI67+Data!AI68+Data!AI69+Data!AI70</f>
        <v>223294</v>
      </c>
      <c r="AA70" s="16" t="n">
        <f aca="false">Data!AJ59+Data!AJ60+Data!AJ61+Data!AJ62+Data!AJ63+Data!AJ64+Data!AJ65+Data!AJ66+Data!AJ67+Data!AJ68+Data!AJ69+Data!AJ70</f>
        <v>0</v>
      </c>
      <c r="AB70" s="16" t="n">
        <f aca="false">Data!AK59+Data!AK60+Data!AK61+Data!AK62+Data!AK63+Data!AK64+Data!AK65+Data!AK66+Data!AK67+Data!AK68+Data!AK69+Data!AK70</f>
        <v>123313</v>
      </c>
      <c r="AC70" s="16" t="n">
        <f aca="false">Data!AL59+Data!AL60+Data!AL61+Data!AL62+Data!AL63+Data!AL64+Data!AL65+Data!AL66+Data!AL67+Data!AL68+Data!AL69+Data!AL70</f>
        <v>369299</v>
      </c>
      <c r="AD70" s="15" t="n">
        <f aca="false">Data!AM59+Data!AM60+Data!AM61+Data!AM62+Data!AM63+Data!AM64+Data!AM65+Data!AM66+Data!AM67+Data!AM68+Data!AM69+Data!AM70</f>
        <v>-1445739</v>
      </c>
      <c r="AE70" s="16" t="n">
        <f aca="false">Data!AN59+Data!AN60+Data!AN61+Data!AN62+Data!AN63+Data!AN64+Data!AN65+Data!AN66+Data!AN67+Data!AN68+Data!AN69+Data!AN70</f>
        <v>497782</v>
      </c>
      <c r="AF70" s="15" t="n">
        <f aca="false">Data!AO59+Data!AO60+Data!AO61+Data!AO62+Data!AO63+Data!AO64+Data!AO65+Data!AO66+Data!AO67+Data!AO68+Data!AO69+Data!AO70</f>
        <v>-1943519</v>
      </c>
    </row>
    <row r="71" customFormat="false" ht="15" hidden="false" customHeight="false" outlineLevel="0" collapsed="false">
      <c r="B71" s="14" t="str">
        <f aca="false">Data!B71</f>
        <v>2021-05</v>
      </c>
      <c r="C71" s="15" t="n">
        <f aca="false">Data!D60+Data!E60+Data!F60+Data!G60+Data!H60+Data!I60+Data!J60+Data!K60+Data!L60+Data!M60+Data!N60+Data!O60+Data!P60+Data!Q60+Data!R60+Data!S60+Data!D61+Data!E61+Data!F61+Data!G61+Data!H61+Data!I61+Data!J61+Data!K61+Data!L61+Data!M61+Data!N61+Data!O61+Data!P61+Data!Q61+Data!R61+Data!S61+Data!D62+Data!E62+Data!F62+Data!G62+Data!H62+Data!I62+Data!J62+Data!K62+Data!L62+Data!M62+Data!N62+Data!O62+Data!P62+Data!Q62+Data!R62+Data!S62+Data!D63+Data!E63+Data!F63+Data!G63+Data!H63+Data!I63+Data!J63+Data!K63+Data!L63+Data!M63+Data!N63+Data!O63+Data!P63+Data!Q63+Data!R63+Data!S63+Data!D64+Data!E64+Data!F64+Data!G64+Data!H64+Data!I64+Data!J64+Data!K64+Data!L64+Data!M64+Data!N64+Data!O64+Data!P64+Data!Q64+Data!R64+Data!S64+Data!D65+Data!E65+Data!F65+Data!G65+Data!H65+Data!I65+Data!J65+Data!K65+Data!L65+Data!M65+Data!N65+Data!O65+Data!P65+Data!Q65+Data!R65+Data!S65+Data!D66+Data!E66+Data!F66+Data!G66+Data!H66+Data!I66+Data!J66+Data!K66+Data!L66+Data!M66+Data!N66+Data!O66+Data!P66+Data!Q66+Data!R66+Data!S66+Data!D67+Data!E67+Data!F67+Data!G67+Data!H67+Data!I67+Data!J67+Data!K67+Data!L67+Data!M67+Data!N67+Data!O67+Data!P67+Data!Q67+Data!R67+Data!S67+Data!D68+Data!E68+Data!F68+Data!G68+Data!H68+Data!I68+Data!J68+Data!K68+Data!L68+Data!M68+Data!N68+Data!O68+Data!P68+Data!Q68+Data!R68+Data!S68+Data!D69+Data!E69+Data!F69+Data!G69+Data!H69+Data!I69+Data!J69+Data!K69+Data!L69+Data!M69+Data!N69+Data!O69+Data!P69+Data!Q69+Data!R69+Data!S69+Data!D70+Data!E70+Data!F70+Data!G70+Data!H70+Data!I70+Data!J70+Data!K70+Data!L70+Data!M70+Data!N70+Data!O70+Data!P70+Data!Q70+Data!R70+Data!S70+Data!D71+Data!E71+Data!F71+Data!G71+Data!H71+Data!I71+Data!J71+Data!K71+Data!L71+Data!M71+Data!N71+Data!O71+Data!P71+Data!Q71+Data!R71+Data!S71</f>
        <v>6121158</v>
      </c>
      <c r="D71" s="16" t="n">
        <f aca="false">Data!D60+Data!E60+Data!G60+Data!H60+Data!I60+Data!J60+Data!K60+Data!L60+Data!M60+Data!D61+Data!E61+Data!G61+Data!H61+Data!I61+Data!J61+Data!K61+Data!L61+Data!M61+Data!D62+Data!E62+Data!G62+Data!H62+Data!I62+Data!J62+Data!K62+Data!L62+Data!M62+Data!D63+Data!E63+Data!G63+Data!H63+Data!I63+Data!J63+Data!K63+Data!L63+Data!M63+Data!D64+Data!E64+Data!G64+Data!H64+Data!I64+Data!J64+Data!K64+Data!L64+Data!M64+Data!D65+Data!E65+Data!G65+Data!H65+Data!I65+Data!J65+Data!K65+Data!L65+Data!M65+Data!D66+Data!E66+Data!G66+Data!H66+Data!I66+Data!J66+Data!K66+Data!L66+Data!M66+Data!D67+Data!E67+Data!G67+Data!H67+Data!I67+Data!J67+Data!K67+Data!L67+Data!M67+Data!D68+Data!E68+Data!G68+Data!H68+Data!I68+Data!J68+Data!K68+Data!L68+Data!M68+Data!D69+Data!E69+Data!G69+Data!H69+Data!I69+Data!J69+Data!K69+Data!L69+Data!M69+Data!D70+Data!E70+Data!G70+Data!H70+Data!I70+Data!J70+Data!K70+Data!L70+Data!M70+Data!D71+Data!E71+Data!G71+Data!H71+Data!I71+Data!J71+Data!K71+Data!L71+Data!M71</f>
        <v>3757181</v>
      </c>
      <c r="E71" s="16" t="n">
        <f aca="false">Data!D60+Data!D61+Data!D62+Data!D63+Data!D64+Data!D65+Data!D66+Data!D67+Data!D68+Data!D69+Data!D70+Data!D71</f>
        <v>1054583</v>
      </c>
      <c r="F71" s="16" t="n">
        <f aca="false">Data!E60+Data!E61+Data!E62+Data!E63+Data!E64+Data!E65+Data!E66+Data!E67+Data!E68+Data!E69+Data!E70+Data!E71</f>
        <v>611057</v>
      </c>
      <c r="G71" s="16" t="n">
        <f aca="false">Data!K60+Data!K61+Data!K62+Data!K63+Data!K64+Data!K65+Data!K66+Data!K67+Data!K68+Data!K69+Data!K70+Data!K71</f>
        <v>628178</v>
      </c>
      <c r="H71" s="16" t="n">
        <f aca="false">Data!L60+Data!L61+Data!L62+Data!L63+Data!L64+Data!L65+Data!L66+Data!L67+Data!L68+Data!L69+Data!L70+Data!L71</f>
        <v>210088</v>
      </c>
      <c r="I71" s="16" t="n">
        <f aca="false">Data!G60+Data!G61+Data!G62+Data!G63+Data!G64+Data!G65+Data!G66+Data!G67+Data!G68+Data!G69+Data!G70+Data!G71</f>
        <v>531879</v>
      </c>
      <c r="J71" s="16" t="n">
        <f aca="false">Data!H60+Data!I60+Data!J60+Data!M60+Data!H61+Data!I61+Data!J61+Data!M61+Data!H62+Data!I62+Data!J62+Data!M62+Data!H63+Data!I63+Data!J63+Data!M63+Data!H64+Data!I64+Data!J64+Data!M64+Data!H65+Data!I65+Data!J65+Data!M65+Data!H66+Data!I66+Data!J66+Data!M66+Data!H67+Data!I67+Data!J67+Data!M67+Data!H68+Data!I68+Data!J68+Data!M68+Data!H69+Data!I69+Data!J69+Data!M69+Data!H70+Data!I70+Data!J70+Data!M70+Data!H71+Data!I71+Data!J71+Data!M71</f>
        <v>721396</v>
      </c>
      <c r="K71" s="16" t="n">
        <f aca="false">Data!F60+Data!F61+Data!F62+Data!F63+Data!F64+Data!F65+Data!F66+Data!F67+Data!F68+Data!F69+Data!F70+Data!F71</f>
        <v>1785321</v>
      </c>
      <c r="L71" s="16" t="n">
        <f aca="false">Data!N60+Data!O60+Data!P60+Data!Q60+Data!R60+Data!S60+Data!N61+Data!O61+Data!P61+Data!Q61+Data!R61+Data!S61+Data!N62+Data!O62+Data!P62+Data!Q62+Data!R62+Data!S62+Data!N63+Data!O63+Data!P63+Data!Q63+Data!R63+Data!S63+Data!N64+Data!O64+Data!P64+Data!Q64+Data!R64+Data!S64+Data!N65+Data!O65+Data!P65+Data!Q65+Data!R65+Data!S65+Data!N66+Data!O66+Data!P66+Data!Q66+Data!R66+Data!S66+Data!N67+Data!O67+Data!P67+Data!Q67+Data!R67+Data!S67+Data!N68+Data!O68+Data!P68+Data!Q68+Data!R68+Data!S68+Data!N69+Data!O69+Data!P69+Data!Q69+Data!R69+Data!S69+Data!N70+Data!O70+Data!P70+Data!Q70+Data!R70+Data!S70+Data!N71+Data!O71+Data!P71+Data!Q71+Data!R71+Data!S71</f>
        <v>578656</v>
      </c>
      <c r="M71" s="15" t="n">
        <f aca="false">Data!T60+Data!U60+Data!V60+Data!W60+Data!X60+Data!Y60+Data!Z60+Data!AA60+Data!AB60+Data!AC60+Data!AD60+Data!AE60+Data!AF60+Data!AG60+Data!AH60+Data!AI60+Data!AJ60+Data!AK60+Data!AL60+Data!T61+Data!U61+Data!V61+Data!W61+Data!X61+Data!Y61+Data!Z61+Data!AA61+Data!AB61+Data!AC61+Data!AD61+Data!AE61+Data!AF61+Data!AG61+Data!AH61+Data!AI61+Data!AJ61+Data!AK61+Data!AL61+Data!T62+Data!U62+Data!V62+Data!W62+Data!X62+Data!Y62+Data!Z62+Data!AA62+Data!AB62+Data!AC62+Data!AD62+Data!AE62+Data!AF62+Data!AG62+Data!AH62+Data!AI62+Data!AJ62+Data!AK62+Data!AL62+Data!T63+Data!U63+Data!V63+Data!W63+Data!X63+Data!Y63+Data!Z63+Data!AA63+Data!AB63+Data!AC63+Data!AD63+Data!AE63+Data!AF63+Data!AG63+Data!AH63+Data!AI63+Data!AJ63+Data!AK63+Data!AL63+Data!T64+Data!U64+Data!V64+Data!W64+Data!X64+Data!Y64+Data!Z64+Data!AA64+Data!AB64+Data!AC64+Data!AD64+Data!AE64+Data!AF64+Data!AG64+Data!AH64+Data!AI64+Data!AJ64+Data!AK64+Data!AL64+Data!T65+Data!U65+Data!V65+Data!W65+Data!X65+Data!Y65+Data!Z65+Data!AA65+Data!AB65+Data!AC65+Data!AD65+Data!AE65+Data!AF65+Data!AG65+Data!AH65+Data!AI65+Data!AJ65+Data!AK65+Data!AL65+Data!T66+Data!U66+Data!V66+Data!W66+Data!X66+Data!Y66+Data!Z66+Data!AA66+Data!AB66+Data!AC66+Data!AD66+Data!AE66+Data!AF66+Data!AG66+Data!AH66+Data!AI66+Data!AJ66+Data!AK66+Data!AL66+Data!T67+Data!U67+Data!V67+Data!W67+Data!X67+Data!Y67+Data!Z67+Data!AA67+Data!AB67+Data!AC67+Data!AD67+Data!AE67+Data!AF67+Data!AG67+Data!AH67+Data!AI67+Data!AJ67+Data!AK67+Data!AL67+Data!T68+Data!U68+Data!V68+Data!W68+Data!X68+Data!Y68+Data!Z68+Data!AA68+Data!AB68+Data!AC68+Data!AD68+Data!AE68+Data!AF68+Data!AG68+Data!AH68+Data!AI68+Data!AJ68+Data!AK68+Data!AL68+Data!T69+Data!U69+Data!V69+Data!W69+Data!X69+Data!Y69+Data!Z69+Data!AA69+Data!AB69+Data!AC69+Data!AD69+Data!AE69+Data!AF69+Data!AG69+Data!AH69+Data!AI69+Data!AJ69+Data!AK69+Data!AL69+Data!T70+Data!U70+Data!V70+Data!W70+Data!X70+Data!Y70+Data!Z70+Data!AA70+Data!AB70+Data!AC70+Data!AD70+Data!AE70+Data!AF70+Data!AG70+Data!AH70+Data!AI70+Data!AJ70+Data!AK70+Data!AL70+Data!T71+Data!U71+Data!V71+Data!W71+Data!X71+Data!Y71+Data!Z71+Data!AA71+Data!AB71+Data!AC71+Data!AD71+Data!AE71+Data!AF71+Data!AG71+Data!AH71+Data!AI71+Data!AJ71+Data!AK71+Data!AL71</f>
        <v>7289896</v>
      </c>
      <c r="N71" s="16" t="n">
        <f aca="false">Data!T60+Data!U60+Data!V60+Data!W60+Data!T61+Data!U61+Data!V61+Data!W61+Data!T62+Data!U62+Data!V62+Data!W62+Data!T63+Data!U63+Data!V63+Data!W63+Data!T64+Data!U64+Data!V64+Data!W64+Data!T65+Data!U65+Data!V65+Data!W65+Data!T66+Data!U66+Data!V66+Data!W66+Data!T67+Data!U67+Data!V67+Data!W67+Data!T68+Data!U68+Data!V68+Data!W68+Data!T69+Data!U69+Data!V69+Data!W69+Data!T70+Data!U70+Data!V70+Data!W70+Data!T71+Data!U71+Data!V71+Data!W71</f>
        <v>3609842</v>
      </c>
      <c r="O71" s="16" t="n">
        <f aca="false">Data!T60+Data!T61+Data!T62+Data!T63+Data!T64+Data!T65+Data!T66+Data!T67+Data!T68+Data!T69+Data!T70+Data!T71</f>
        <v>2634183</v>
      </c>
      <c r="P71" s="16" t="n">
        <f aca="false">Data!U60+Data!U61+Data!U62+Data!U63+Data!U64+Data!U65+Data!U66+Data!U67+Data!U68+Data!U69+Data!U70+Data!U71</f>
        <v>427226</v>
      </c>
      <c r="Q71" s="16" t="n">
        <f aca="false">Data!V60+Data!V61+Data!V62+Data!V63+Data!V64+Data!V65+Data!V66+Data!V67+Data!V68+Data!V69+Data!V70+Data!V71</f>
        <v>258739</v>
      </c>
      <c r="R71" s="16" t="n">
        <f aca="false">Data!W60+Data!W61+Data!W62+Data!W63+Data!W64+Data!W65+Data!W66+Data!W67+Data!W68+Data!W69+Data!W70+Data!W71</f>
        <v>289694</v>
      </c>
      <c r="S71" s="16" t="n">
        <f aca="false">Data!X60+Data!X61+Data!X62+Data!X63+Data!X64+Data!X65+Data!X66+Data!X67+Data!X68+Data!X69+Data!X70+Data!X71</f>
        <v>792276</v>
      </c>
      <c r="T71" s="16" t="n">
        <f aca="false">Data!Y60+Data!Z60+Data!AA60+Data!Y61+Data!Z61+Data!AA61+Data!Y62+Data!Z62+Data!AA62+Data!Y63+Data!Z63+Data!AA63+Data!Y64+Data!Z64+Data!AA64+Data!Y65+Data!Z65+Data!AA65+Data!Y66+Data!Z66+Data!AA66+Data!Y67+Data!Z67+Data!AA67+Data!Y68+Data!Z68+Data!AA68+Data!Y69+Data!Z69+Data!AA69+Data!Y70+Data!Z70+Data!AA70+Data!Y71+Data!Z71+Data!AA71</f>
        <v>826651</v>
      </c>
      <c r="U71" s="16" t="n">
        <f aca="false">Data!Y60+Data!Y61+Data!Y62+Data!Y63+Data!Y64+Data!Y65+Data!Y66+Data!Y67+Data!Y68+Data!Y69+Data!Y70+Data!Y71</f>
        <v>579378</v>
      </c>
      <c r="V71" s="16" t="n">
        <f aca="false">Data!Z60+Data!Z61+Data!Z62+Data!Z63+Data!Z64+Data!Z65+Data!Z66+Data!Z67+Data!Z68+Data!Z69+Data!Z70+Data!Z71</f>
        <v>231549</v>
      </c>
      <c r="W71" s="16" t="n">
        <f aca="false">Data!AB60+Data!AB61+Data!AB62+Data!AB63+Data!AB64+Data!AB65+Data!AB66+Data!AB67+Data!AB68+Data!AB69+Data!AB70+Data!AB71</f>
        <v>778945</v>
      </c>
      <c r="X71" s="16" t="n">
        <f aca="false">Data!AC60+Data!AC61+Data!AC62+Data!AC63+Data!AC64+Data!AC65+Data!AC66+Data!AC67+Data!AC68+Data!AC69+Data!AC70+Data!AC71</f>
        <v>263091</v>
      </c>
      <c r="Y71" s="16" t="n">
        <f aca="false">Data!AD60+Data!AE60+Data!AF60+Data!AG60+Data!AH60+Data!AD61+Data!AE61+Data!AF61+Data!AG61+Data!AH61+Data!AD62+Data!AE62+Data!AF62+Data!AG62+Data!AH62+Data!AD63+Data!AE63+Data!AF63+Data!AG63+Data!AH63+Data!AD64+Data!AE64+Data!AF64+Data!AG64+Data!AH64+Data!AD65+Data!AE65+Data!AF65+Data!AG65+Data!AH65+Data!AD66+Data!AE66+Data!AF66+Data!AG66+Data!AH66+Data!AD67+Data!AE67+Data!AF67+Data!AG67+Data!AH67+Data!AD68+Data!AE68+Data!AF68+Data!AG68+Data!AH68+Data!AD69+Data!AE69+Data!AF69+Data!AG69+Data!AH69+Data!AD70+Data!AE70+Data!AF70+Data!AG70+Data!AH70+Data!AD71+Data!AE71+Data!AF71+Data!AG71+Data!AH71</f>
        <v>275599</v>
      </c>
      <c r="Z71" s="16" t="n">
        <f aca="false">Data!AI60+Data!AI61+Data!AI62+Data!AI63+Data!AI64+Data!AI65+Data!AI66+Data!AI67+Data!AI68+Data!AI69+Data!AI70+Data!AI71</f>
        <v>229856</v>
      </c>
      <c r="AA71" s="16" t="n">
        <f aca="false">Data!AJ60+Data!AJ61+Data!AJ62+Data!AJ63+Data!AJ64+Data!AJ65+Data!AJ66+Data!AJ67+Data!AJ68+Data!AJ69+Data!AJ70+Data!AJ71</f>
        <v>0</v>
      </c>
      <c r="AB71" s="16" t="n">
        <f aca="false">Data!AK60+Data!AK61+Data!AK62+Data!AK63+Data!AK64+Data!AK65+Data!AK66+Data!AK67+Data!AK68+Data!AK69+Data!AK70+Data!AK71</f>
        <v>124936</v>
      </c>
      <c r="AC71" s="16" t="n">
        <f aca="false">Data!AL60+Data!AL61+Data!AL62+Data!AL63+Data!AL64+Data!AL65+Data!AL66+Data!AL67+Data!AL68+Data!AL69+Data!AL70+Data!AL71</f>
        <v>388700</v>
      </c>
      <c r="AD71" s="15" t="n">
        <f aca="false">Data!AM60+Data!AM61+Data!AM62+Data!AM63+Data!AM64+Data!AM65+Data!AM66+Data!AM67+Data!AM68+Data!AM69+Data!AM70+Data!AM71</f>
        <v>-1168738</v>
      </c>
      <c r="AE71" s="16" t="n">
        <f aca="false">Data!AN60+Data!AN61+Data!AN62+Data!AN63+Data!AN64+Data!AN65+Data!AN66+Data!AN67+Data!AN68+Data!AN69+Data!AN70+Data!AN71</f>
        <v>531182</v>
      </c>
      <c r="AF71" s="15" t="n">
        <f aca="false">Data!AO60+Data!AO61+Data!AO62+Data!AO63+Data!AO64+Data!AO65+Data!AO66+Data!AO67+Data!AO68+Data!AO69+Data!AO70+Data!AO71</f>
        <v>-1699918</v>
      </c>
    </row>
    <row r="72" customFormat="false" ht="15" hidden="false" customHeight="false" outlineLevel="0" collapsed="false">
      <c r="B72" s="14" t="str">
        <f aca="false">Data!B72</f>
        <v>2021-06</v>
      </c>
      <c r="C72" s="15" t="n">
        <f aca="false">Data!D61+Data!E61+Data!F61+Data!G61+Data!H61+Data!I61+Data!J61+Data!K61+Data!L61+Data!M61+Data!N61+Data!O61+Data!P61+Data!Q61+Data!R61+Data!S61+Data!D62+Data!E62+Data!F62+Data!G62+Data!H62+Data!I62+Data!J62+Data!K62+Data!L62+Data!M62+Data!N62+Data!O62+Data!P62+Data!Q62+Data!R62+Data!S62+Data!D63+Data!E63+Data!F63+Data!G63+Data!H63+Data!I63+Data!J63+Data!K63+Data!L63+Data!M63+Data!N63+Data!O63+Data!P63+Data!Q63+Data!R63+Data!S63+Data!D64+Data!E64+Data!F64+Data!G64+Data!H64+Data!I64+Data!J64+Data!K64+Data!L64+Data!M64+Data!N64+Data!O64+Data!P64+Data!Q64+Data!R64+Data!S64+Data!D65+Data!E65+Data!F65+Data!G65+Data!H65+Data!I65+Data!J65+Data!K65+Data!L65+Data!M65+Data!N65+Data!O65+Data!P65+Data!Q65+Data!R65+Data!S65+Data!D66+Data!E66+Data!F66+Data!G66+Data!H66+Data!I66+Data!J66+Data!K66+Data!L66+Data!M66+Data!N66+Data!O66+Data!P66+Data!Q66+Data!R66+Data!S66+Data!D67+Data!E67+Data!F67+Data!G67+Data!H67+Data!I67+Data!J67+Data!K67+Data!L67+Data!M67+Data!N67+Data!O67+Data!P67+Data!Q67+Data!R67+Data!S67+Data!D68+Data!E68+Data!F68+Data!G68+Data!H68+Data!I68+Data!J68+Data!K68+Data!L68+Data!M68+Data!N68+Data!O68+Data!P68+Data!Q68+Data!R68+Data!S68+Data!D69+Data!E69+Data!F69+Data!G69+Data!H69+Data!I69+Data!J69+Data!K69+Data!L69+Data!M69+Data!N69+Data!O69+Data!P69+Data!Q69+Data!R69+Data!S69+Data!D70+Data!E70+Data!F70+Data!G70+Data!H70+Data!I70+Data!J70+Data!K70+Data!L70+Data!M70+Data!N70+Data!O70+Data!P70+Data!Q70+Data!R70+Data!S70+Data!D71+Data!E71+Data!F71+Data!G71+Data!H71+Data!I71+Data!J71+Data!K71+Data!L71+Data!M71+Data!N71+Data!O71+Data!P71+Data!Q71+Data!R71+Data!S71+Data!D72+Data!E72+Data!F72+Data!G72+Data!H72+Data!I72+Data!J72+Data!K72+Data!L72+Data!M72+Data!N72+Data!O72+Data!P72+Data!Q72+Data!R72+Data!S72</f>
        <v>6484936</v>
      </c>
      <c r="D72" s="16" t="n">
        <f aca="false">Data!D61+Data!E61+Data!G61+Data!H61+Data!I61+Data!J61+Data!K61+Data!L61+Data!M61+Data!D62+Data!E62+Data!G62+Data!H62+Data!I62+Data!J62+Data!K62+Data!L62+Data!M62+Data!D63+Data!E63+Data!G63+Data!H63+Data!I63+Data!J63+Data!K63+Data!L63+Data!M63+Data!D64+Data!E64+Data!G64+Data!H64+Data!I64+Data!J64+Data!K64+Data!L64+Data!M64+Data!D65+Data!E65+Data!G65+Data!H65+Data!I65+Data!J65+Data!K65+Data!L65+Data!M65+Data!D66+Data!E66+Data!G66+Data!H66+Data!I66+Data!J66+Data!K66+Data!L66+Data!M66+Data!D67+Data!E67+Data!G67+Data!H67+Data!I67+Data!J67+Data!K67+Data!L67+Data!M67+Data!D68+Data!E68+Data!G68+Data!H68+Data!I68+Data!J68+Data!K68+Data!L68+Data!M68+Data!D69+Data!E69+Data!G69+Data!H69+Data!I69+Data!J69+Data!K69+Data!L69+Data!M69+Data!D70+Data!E70+Data!G70+Data!H70+Data!I70+Data!J70+Data!K70+Data!L70+Data!M70+Data!D71+Data!E71+Data!G71+Data!H71+Data!I71+Data!J71+Data!K71+Data!L71+Data!M71+Data!D72+Data!E72+Data!G72+Data!H72+Data!I72+Data!J72+Data!K72+Data!L72+Data!M72</f>
        <v>3958622</v>
      </c>
      <c r="E72" s="16" t="n">
        <f aca="false">Data!D61+Data!D62+Data!D63+Data!D64+Data!D65+Data!D66+Data!D67+Data!D68+Data!D69+Data!D70+Data!D71+Data!D72</f>
        <v>1113833</v>
      </c>
      <c r="F72" s="16" t="n">
        <f aca="false">Data!E61+Data!E62+Data!E63+Data!E64+Data!E65+Data!E66+Data!E67+Data!E68+Data!E69+Data!E70+Data!E71+Data!E72</f>
        <v>639495</v>
      </c>
      <c r="G72" s="16" t="n">
        <f aca="false">Data!K61+Data!K62+Data!K63+Data!K64+Data!K65+Data!K66+Data!K67+Data!K68+Data!K69+Data!K70+Data!K71+Data!K72</f>
        <v>676864</v>
      </c>
      <c r="H72" s="16" t="n">
        <f aca="false">Data!L61+Data!L62+Data!L63+Data!L64+Data!L65+Data!L66+Data!L67+Data!L68+Data!L69+Data!L70+Data!L71+Data!L72</f>
        <v>223971</v>
      </c>
      <c r="I72" s="16" t="n">
        <f aca="false">Data!G61+Data!G62+Data!G63+Data!G64+Data!G65+Data!G66+Data!G67+Data!G68+Data!G69+Data!G70+Data!G71+Data!G72</f>
        <v>558082</v>
      </c>
      <c r="J72" s="16" t="n">
        <f aca="false">Data!H61+Data!I61+Data!J61+Data!M61+Data!H62+Data!I62+Data!J62+Data!M62+Data!H63+Data!I63+Data!J63+Data!M63+Data!H64+Data!I64+Data!J64+Data!M64+Data!H65+Data!I65+Data!J65+Data!M65+Data!H66+Data!I66+Data!J66+Data!M66+Data!H67+Data!I67+Data!J67+Data!M67+Data!H68+Data!I68+Data!J68+Data!M68+Data!H69+Data!I69+Data!J69+Data!M69+Data!H70+Data!I70+Data!J70+Data!M70+Data!H71+Data!I71+Data!J71+Data!M71+Data!H72+Data!I72+Data!J72+Data!M72</f>
        <v>746377</v>
      </c>
      <c r="K72" s="16" t="n">
        <f aca="false">Data!F61+Data!F62+Data!F63+Data!F64+Data!F65+Data!F66+Data!F67+Data!F68+Data!F69+Data!F70+Data!F71+Data!F72</f>
        <v>1846014</v>
      </c>
      <c r="L72" s="16" t="n">
        <f aca="false">Data!N61+Data!O61+Data!P61+Data!Q61+Data!R61+Data!S61+Data!N62+Data!O62+Data!P62+Data!Q62+Data!R62+Data!S62+Data!N63+Data!O63+Data!P63+Data!Q63+Data!R63+Data!S63+Data!N64+Data!O64+Data!P64+Data!Q64+Data!R64+Data!S64+Data!N65+Data!O65+Data!P65+Data!Q65+Data!R65+Data!S65+Data!N66+Data!O66+Data!P66+Data!Q66+Data!R66+Data!S66+Data!N67+Data!O67+Data!P67+Data!Q67+Data!R67+Data!S67+Data!N68+Data!O68+Data!P68+Data!Q68+Data!R68+Data!S68+Data!N69+Data!O69+Data!P69+Data!Q69+Data!R69+Data!S69+Data!N70+Data!O70+Data!P70+Data!Q70+Data!R70+Data!S70+Data!N71+Data!O71+Data!P71+Data!Q71+Data!R71+Data!S71+Data!N72+Data!O72+Data!P72+Data!Q72+Data!R72+Data!S72</f>
        <v>680300</v>
      </c>
      <c r="M72" s="15" t="n">
        <f aca="false">Data!T61+Data!U61+Data!V61+Data!W61+Data!X61+Data!Y61+Data!Z61+Data!AA61+Data!AB61+Data!AC61+Data!AD61+Data!AE61+Data!AF61+Data!AG61+Data!AH61+Data!AI61+Data!AJ61+Data!AK61+Data!AL61+Data!T62+Data!U62+Data!V62+Data!W62+Data!X62+Data!Y62+Data!Z62+Data!AA62+Data!AB62+Data!AC62+Data!AD62+Data!AE62+Data!AF62+Data!AG62+Data!AH62+Data!AI62+Data!AJ62+Data!AK62+Data!AL62+Data!T63+Data!U63+Data!V63+Data!W63+Data!X63+Data!Y63+Data!Z63+Data!AA63+Data!AB63+Data!AC63+Data!AD63+Data!AE63+Data!AF63+Data!AG63+Data!AH63+Data!AI63+Data!AJ63+Data!AK63+Data!AL63+Data!T64+Data!U64+Data!V64+Data!W64+Data!X64+Data!Y64+Data!Z64+Data!AA64+Data!AB64+Data!AC64+Data!AD64+Data!AE64+Data!AF64+Data!AG64+Data!AH64+Data!AI64+Data!AJ64+Data!AK64+Data!AL64+Data!T65+Data!U65+Data!V65+Data!W65+Data!X65+Data!Y65+Data!Z65+Data!AA65+Data!AB65+Data!AC65+Data!AD65+Data!AE65+Data!AF65+Data!AG65+Data!AH65+Data!AI65+Data!AJ65+Data!AK65+Data!AL65+Data!T66+Data!U66+Data!V66+Data!W66+Data!X66+Data!Y66+Data!Z66+Data!AA66+Data!AB66+Data!AC66+Data!AD66+Data!AE66+Data!AF66+Data!AG66+Data!AH66+Data!AI66+Data!AJ66+Data!AK66+Data!AL66+Data!T67+Data!U67+Data!V67+Data!W67+Data!X67+Data!Y67+Data!Z67+Data!AA67+Data!AB67+Data!AC67+Data!AD67+Data!AE67+Data!AF67+Data!AG67+Data!AH67+Data!AI67+Data!AJ67+Data!AK67+Data!AL67+Data!T68+Data!U68+Data!V68+Data!W68+Data!X68+Data!Y68+Data!Z68+Data!AA68+Data!AB68+Data!AC68+Data!AD68+Data!AE68+Data!AF68+Data!AG68+Data!AH68+Data!AI68+Data!AJ68+Data!AK68+Data!AL68+Data!T69+Data!U69+Data!V69+Data!W69+Data!X69+Data!Y69+Data!Z69+Data!AA69+Data!AB69+Data!AC69+Data!AD69+Data!AE69+Data!AF69+Data!AG69+Data!AH69+Data!AI69+Data!AJ69+Data!AK69+Data!AL69+Data!T70+Data!U70+Data!V70+Data!W70+Data!X70+Data!Y70+Data!Z70+Data!AA70+Data!AB70+Data!AC70+Data!AD70+Data!AE70+Data!AF70+Data!AG70+Data!AH70+Data!AI70+Data!AJ70+Data!AK70+Data!AL70+Data!T71+Data!U71+Data!V71+Data!W71+Data!X71+Data!Y71+Data!Z71+Data!AA71+Data!AB71+Data!AC71+Data!AD71+Data!AE71+Data!AF71+Data!AG71+Data!AH71+Data!AI71+Data!AJ71+Data!AK71+Data!AL71+Data!T72+Data!U72+Data!V72+Data!W72+Data!X72+Data!Y72+Data!Z72+Data!AA72+Data!AB72+Data!AC72+Data!AD72+Data!AE72+Data!AF72+Data!AG72+Data!AH72+Data!AI72+Data!AJ72+Data!AK72+Data!AL72</f>
        <v>7553185</v>
      </c>
      <c r="N72" s="16" t="n">
        <f aca="false">Data!T61+Data!U61+Data!V61+Data!W61+Data!T62+Data!U62+Data!V62+Data!W62+Data!T63+Data!U63+Data!V63+Data!W63+Data!T64+Data!U64+Data!V64+Data!W64+Data!T65+Data!U65+Data!V65+Data!W65+Data!T66+Data!U66+Data!V66+Data!W66+Data!T67+Data!U67+Data!V67+Data!W67+Data!T68+Data!U68+Data!V68+Data!W68+Data!T69+Data!U69+Data!V69+Data!W69+Data!T70+Data!U70+Data!V70+Data!W70+Data!T71+Data!U71+Data!V71+Data!W71+Data!T72+Data!U72+Data!V72+Data!W72</f>
        <v>3755916</v>
      </c>
      <c r="O72" s="16" t="n">
        <f aca="false">Data!T61+Data!T62+Data!T63+Data!T64+Data!T65+Data!T66+Data!T67+Data!T68+Data!T69+Data!T70+Data!T71+Data!T72</f>
        <v>2741768</v>
      </c>
      <c r="P72" s="16" t="n">
        <f aca="false">Data!U61+Data!U62+Data!U63+Data!U64+Data!U65+Data!U66+Data!U67+Data!U68+Data!U69+Data!U70+Data!U71+Data!U72</f>
        <v>450228</v>
      </c>
      <c r="Q72" s="16" t="n">
        <f aca="false">Data!V61+Data!V62+Data!V63+Data!V64+Data!V65+Data!V66+Data!V67+Data!V68+Data!V69+Data!V70+Data!V71+Data!V72</f>
        <v>267752</v>
      </c>
      <c r="R72" s="16" t="n">
        <f aca="false">Data!W61+Data!W62+Data!W63+Data!W64+Data!W65+Data!W66+Data!W67+Data!W68+Data!W69+Data!W70+Data!W71+Data!W72</f>
        <v>296168</v>
      </c>
      <c r="S72" s="16" t="n">
        <f aca="false">Data!X61+Data!X62+Data!X63+Data!X64+Data!X65+Data!X66+Data!X67+Data!X68+Data!X69+Data!X70+Data!X71+Data!X72</f>
        <v>733619</v>
      </c>
      <c r="T72" s="16" t="n">
        <f aca="false">Data!Y61+Data!Z61+Data!AA61+Data!Y62+Data!Z62+Data!AA62+Data!Y63+Data!Z63+Data!AA63+Data!Y64+Data!Z64+Data!AA64+Data!Y65+Data!Z65+Data!AA65+Data!Y66+Data!Z66+Data!AA66+Data!Y67+Data!Z67+Data!AA67+Data!Y68+Data!Z68+Data!AA68+Data!Y69+Data!Z69+Data!AA69+Data!Y70+Data!Z70+Data!AA70+Data!Y71+Data!Z71+Data!AA71+Data!Y72+Data!Z72+Data!AA72</f>
        <v>900691</v>
      </c>
      <c r="U72" s="16" t="n">
        <f aca="false">Data!Y61+Data!Y62+Data!Y63+Data!Y64+Data!Y65+Data!Y66+Data!Y67+Data!Y68+Data!Y69+Data!Y70+Data!Y71+Data!Y72</f>
        <v>629847</v>
      </c>
      <c r="V72" s="16" t="n">
        <f aca="false">Data!Z61+Data!Z62+Data!Z63+Data!Z64+Data!Z65+Data!Z66+Data!Z67+Data!Z68+Data!Z69+Data!Z70+Data!Z71+Data!Z72</f>
        <v>254131</v>
      </c>
      <c r="W72" s="16" t="n">
        <f aca="false">Data!AB61+Data!AB62+Data!AB63+Data!AB64+Data!AB65+Data!AB66+Data!AB67+Data!AB68+Data!AB69+Data!AB70+Data!AB71+Data!AB72</f>
        <v>812345</v>
      </c>
      <c r="X72" s="16" t="n">
        <f aca="false">Data!AC61+Data!AC62+Data!AC63+Data!AC64+Data!AC65+Data!AC66+Data!AC67+Data!AC68+Data!AC69+Data!AC70+Data!AC71+Data!AC72</f>
        <v>274492</v>
      </c>
      <c r="Y72" s="16" t="n">
        <f aca="false">Data!AD61+Data!AE61+Data!AF61+Data!AG61+Data!AH61+Data!AD62+Data!AE62+Data!AF62+Data!AG62+Data!AH62+Data!AD63+Data!AE63+Data!AF63+Data!AG63+Data!AH63+Data!AD64+Data!AE64+Data!AF64+Data!AG64+Data!AH64+Data!AD65+Data!AE65+Data!AF65+Data!AG65+Data!AH65+Data!AD66+Data!AE66+Data!AF66+Data!AG66+Data!AH66+Data!AD67+Data!AE67+Data!AF67+Data!AG67+Data!AH67+Data!AD68+Data!AE68+Data!AF68+Data!AG68+Data!AH68+Data!AD69+Data!AE69+Data!AF69+Data!AG69+Data!AH69+Data!AD70+Data!AE70+Data!AF70+Data!AG70+Data!AH70+Data!AD71+Data!AE71+Data!AF71+Data!AG71+Data!AH71+Data!AD72+Data!AE72+Data!AF72+Data!AG72+Data!AH72</f>
        <v>286626</v>
      </c>
      <c r="Z72" s="16" t="n">
        <f aca="false">Data!AI61+Data!AI62+Data!AI63+Data!AI64+Data!AI65+Data!AI66+Data!AI67+Data!AI68+Data!AI69+Data!AI70+Data!AI71+Data!AI72</f>
        <v>238209</v>
      </c>
      <c r="AA72" s="16" t="n">
        <f aca="false">Data!AJ61+Data!AJ62+Data!AJ63+Data!AJ64+Data!AJ65+Data!AJ66+Data!AJ67+Data!AJ68+Data!AJ69+Data!AJ70+Data!AJ71+Data!AJ72</f>
        <v>0</v>
      </c>
      <c r="AB72" s="16" t="n">
        <f aca="false">Data!AK61+Data!AK62+Data!AK63+Data!AK64+Data!AK65+Data!AK66+Data!AK67+Data!AK68+Data!AK69+Data!AK70+Data!AK71+Data!AK72</f>
        <v>129624</v>
      </c>
      <c r="AC72" s="16" t="n">
        <f aca="false">Data!AL61+Data!AL62+Data!AL63+Data!AL64+Data!AL65+Data!AL66+Data!AL67+Data!AL68+Data!AL69+Data!AL70+Data!AL71+Data!AL72</f>
        <v>421663</v>
      </c>
      <c r="AD72" s="15" t="n">
        <f aca="false">Data!AM61+Data!AM62+Data!AM63+Data!AM64+Data!AM65+Data!AM66+Data!AM67+Data!AM68+Data!AM69+Data!AM70+Data!AM71+Data!AM72</f>
        <v>-1068249</v>
      </c>
      <c r="AE72" s="16" t="n">
        <f aca="false">Data!AN61+Data!AN62+Data!AN63+Data!AN64+Data!AN65+Data!AN66+Data!AN67+Data!AN68+Data!AN69+Data!AN70+Data!AN71+Data!AN72</f>
        <v>551053</v>
      </c>
      <c r="AF72" s="15" t="n">
        <f aca="false">Data!AO61+Data!AO62+Data!AO63+Data!AO64+Data!AO65+Data!AO66+Data!AO67+Data!AO68+Data!AO69+Data!AO70+Data!AO71+Data!AO72</f>
        <v>-1619300</v>
      </c>
    </row>
    <row r="73" customFormat="false" ht="15" hidden="false" customHeight="false" outlineLevel="0" collapsed="false">
      <c r="B73" s="14" t="str">
        <f aca="false">Data!B73</f>
        <v>2021-07</v>
      </c>
      <c r="C73" s="15" t="n">
        <f aca="false">Data!D62+Data!E62+Data!F62+Data!G62+Data!H62+Data!I62+Data!J62+Data!K62+Data!L62+Data!M62+Data!N62+Data!O62+Data!P62+Data!Q62+Data!R62+Data!S62+Data!D63+Data!E63+Data!F63+Data!G63+Data!H63+Data!I63+Data!J63+Data!K63+Data!L63+Data!M63+Data!N63+Data!O63+Data!P63+Data!Q63+Data!R63+Data!S63+Data!D64+Data!E64+Data!F64+Data!G64+Data!H64+Data!I64+Data!J64+Data!K64+Data!L64+Data!M64+Data!N64+Data!O64+Data!P64+Data!Q64+Data!R64+Data!S64+Data!D65+Data!E65+Data!F65+Data!G65+Data!H65+Data!I65+Data!J65+Data!K65+Data!L65+Data!M65+Data!N65+Data!O65+Data!P65+Data!Q65+Data!R65+Data!S65+Data!D66+Data!E66+Data!F66+Data!G66+Data!H66+Data!I66+Data!J66+Data!K66+Data!L66+Data!M66+Data!N66+Data!O66+Data!P66+Data!Q66+Data!R66+Data!S66+Data!D67+Data!E67+Data!F67+Data!G67+Data!H67+Data!I67+Data!J67+Data!K67+Data!L67+Data!M67+Data!N67+Data!O67+Data!P67+Data!Q67+Data!R67+Data!S67+Data!D68+Data!E68+Data!F68+Data!G68+Data!H68+Data!I68+Data!J68+Data!K68+Data!L68+Data!M68+Data!N68+Data!O68+Data!P68+Data!Q68+Data!R68+Data!S68+Data!D69+Data!E69+Data!F69+Data!G69+Data!H69+Data!I69+Data!J69+Data!K69+Data!L69+Data!M69+Data!N69+Data!O69+Data!P69+Data!Q69+Data!R69+Data!S69+Data!D70+Data!E70+Data!F70+Data!G70+Data!H70+Data!I70+Data!J70+Data!K70+Data!L70+Data!M70+Data!N70+Data!O70+Data!P70+Data!Q70+Data!R70+Data!S70+Data!D71+Data!E71+Data!F71+Data!G71+Data!H71+Data!I71+Data!J71+Data!K71+Data!L71+Data!M71+Data!N71+Data!O71+Data!P71+Data!Q71+Data!R71+Data!S71+Data!D72+Data!E72+Data!F72+Data!G72+Data!H72+Data!I72+Data!J72+Data!K72+Data!L72+Data!M72+Data!N72+Data!O72+Data!P72+Data!Q72+Data!R72+Data!S72+Data!D73+Data!E73+Data!F73+Data!G73+Data!H73+Data!I73+Data!J73+Data!K73+Data!L73+Data!M73+Data!N73+Data!O73+Data!P73+Data!Q73+Data!R73+Data!S73</f>
        <v>6806345</v>
      </c>
      <c r="D73" s="16" t="n">
        <f aca="false">Data!D62+Data!E62+Data!G62+Data!H62+Data!I62+Data!J62+Data!K62+Data!L62+Data!M62+Data!D63+Data!E63+Data!G63+Data!H63+Data!I63+Data!J63+Data!K63+Data!L63+Data!M63+Data!D64+Data!E64+Data!G64+Data!H64+Data!I64+Data!J64+Data!K64+Data!L64+Data!M64+Data!D65+Data!E65+Data!G65+Data!H65+Data!I65+Data!J65+Data!K65+Data!L65+Data!M65+Data!D66+Data!E66+Data!G66+Data!H66+Data!I66+Data!J66+Data!K66+Data!L66+Data!M66+Data!D67+Data!E67+Data!G67+Data!H67+Data!I67+Data!J67+Data!K67+Data!L67+Data!M67+Data!D68+Data!E68+Data!G68+Data!H68+Data!I68+Data!J68+Data!K68+Data!L68+Data!M68+Data!D69+Data!E69+Data!G69+Data!H69+Data!I69+Data!J69+Data!K69+Data!L69+Data!M69+Data!D70+Data!E70+Data!G70+Data!H70+Data!I70+Data!J70+Data!K70+Data!L70+Data!M70+Data!D71+Data!E71+Data!G71+Data!H71+Data!I71+Data!J71+Data!K71+Data!L71+Data!M71+Data!D72+Data!E72+Data!G72+Data!H72+Data!I72+Data!J72+Data!K72+Data!L72+Data!M72+Data!D73+Data!E73+Data!G73+Data!H73+Data!I73+Data!J73+Data!K73+Data!L73+Data!M73</f>
        <v>4128349</v>
      </c>
      <c r="E73" s="16" t="n">
        <f aca="false">Data!D62+Data!D63+Data!D64+Data!D65+Data!D66+Data!D67+Data!D68+Data!D69+Data!D70+Data!D71+Data!D72+Data!D73</f>
        <v>1172986</v>
      </c>
      <c r="F73" s="16" t="n">
        <f aca="false">Data!E62+Data!E63+Data!E64+Data!E65+Data!E66+Data!E67+Data!E68+Data!E69+Data!E70+Data!E71+Data!E72+Data!E73</f>
        <v>667845</v>
      </c>
      <c r="G73" s="16" t="n">
        <f aca="false">Data!K62+Data!K63+Data!K64+Data!K65+Data!K66+Data!K67+Data!K68+Data!K69+Data!K70+Data!K71+Data!K72+Data!K73</f>
        <v>718205</v>
      </c>
      <c r="H73" s="16" t="n">
        <f aca="false">Data!L62+Data!L63+Data!L64+Data!L65+Data!L66+Data!L67+Data!L68+Data!L69+Data!L70+Data!L71+Data!L72+Data!L73</f>
        <v>236338</v>
      </c>
      <c r="I73" s="16" t="n">
        <f aca="false">Data!G62+Data!G63+Data!G64+Data!G65+Data!G66+Data!G67+Data!G68+Data!G69+Data!G70+Data!G71+Data!G72+Data!G73</f>
        <v>587701</v>
      </c>
      <c r="J73" s="16" t="n">
        <f aca="false">Data!H62+Data!I62+Data!J62+Data!M62+Data!H63+Data!I63+Data!J63+Data!M63+Data!H64+Data!I64+Data!J64+Data!M64+Data!H65+Data!I65+Data!J65+Data!M65+Data!H66+Data!I66+Data!J66+Data!M66+Data!H67+Data!I67+Data!J67+Data!M67+Data!H68+Data!I68+Data!J68+Data!M68+Data!H69+Data!I69+Data!J69+Data!M69+Data!H70+Data!I70+Data!J70+Data!M70+Data!H71+Data!I71+Data!J71+Data!M71+Data!H72+Data!I72+Data!J72+Data!M72+Data!H73+Data!I73+Data!J73+Data!M73</f>
        <v>745274</v>
      </c>
      <c r="K73" s="16" t="n">
        <f aca="false">Data!F62+Data!F63+Data!F64+Data!F65+Data!F66+Data!F67+Data!F68+Data!F69+Data!F70+Data!F71+Data!F72+Data!F73</f>
        <v>1950024</v>
      </c>
      <c r="L73" s="16" t="n">
        <f aca="false">Data!N62+Data!O62+Data!P62+Data!Q62+Data!R62+Data!S62+Data!N63+Data!O63+Data!P63+Data!Q63+Data!R63+Data!S63+Data!N64+Data!O64+Data!P64+Data!Q64+Data!R64+Data!S64+Data!N65+Data!O65+Data!P65+Data!Q65+Data!R65+Data!S65+Data!N66+Data!O66+Data!P66+Data!Q66+Data!R66+Data!S66+Data!N67+Data!O67+Data!P67+Data!Q67+Data!R67+Data!S67+Data!N68+Data!O68+Data!P68+Data!Q68+Data!R68+Data!S68+Data!N69+Data!O69+Data!P69+Data!Q69+Data!R69+Data!S69+Data!N70+Data!O70+Data!P70+Data!Q70+Data!R70+Data!S70+Data!N71+Data!O71+Data!P71+Data!Q71+Data!R71+Data!S71+Data!N72+Data!O72+Data!P72+Data!Q72+Data!R72+Data!S72+Data!N73+Data!O73+Data!P73+Data!Q73+Data!R73+Data!S73</f>
        <v>727972</v>
      </c>
      <c r="M73" s="15" t="n">
        <f aca="false">Data!T62+Data!U62+Data!V62+Data!W62+Data!X62+Data!Y62+Data!Z62+Data!AA62+Data!AB62+Data!AC62+Data!AD62+Data!AE62+Data!AF62+Data!AG62+Data!AH62+Data!AI62+Data!AJ62+Data!AK62+Data!AL62+Data!T63+Data!U63+Data!V63+Data!W63+Data!X63+Data!Y63+Data!Z63+Data!AA63+Data!AB63+Data!AC63+Data!AD63+Data!AE63+Data!AF63+Data!AG63+Data!AH63+Data!AI63+Data!AJ63+Data!AK63+Data!AL63+Data!T64+Data!U64+Data!V64+Data!W64+Data!X64+Data!Y64+Data!Z64+Data!AA64+Data!AB64+Data!AC64+Data!AD64+Data!AE64+Data!AF64+Data!AG64+Data!AH64+Data!AI64+Data!AJ64+Data!AK64+Data!AL64+Data!T65+Data!U65+Data!V65+Data!W65+Data!X65+Data!Y65+Data!Z65+Data!AA65+Data!AB65+Data!AC65+Data!AD65+Data!AE65+Data!AF65+Data!AG65+Data!AH65+Data!AI65+Data!AJ65+Data!AK65+Data!AL65+Data!T66+Data!U66+Data!V66+Data!W66+Data!X66+Data!Y66+Data!Z66+Data!AA66+Data!AB66+Data!AC66+Data!AD66+Data!AE66+Data!AF66+Data!AG66+Data!AH66+Data!AI66+Data!AJ66+Data!AK66+Data!AL66+Data!T67+Data!U67+Data!V67+Data!W67+Data!X67+Data!Y67+Data!Z67+Data!AA67+Data!AB67+Data!AC67+Data!AD67+Data!AE67+Data!AF67+Data!AG67+Data!AH67+Data!AI67+Data!AJ67+Data!AK67+Data!AL67+Data!T68+Data!U68+Data!V68+Data!W68+Data!X68+Data!Y68+Data!Z68+Data!AA68+Data!AB68+Data!AC68+Data!AD68+Data!AE68+Data!AF68+Data!AG68+Data!AH68+Data!AI68+Data!AJ68+Data!AK68+Data!AL68+Data!T69+Data!U69+Data!V69+Data!W69+Data!X69+Data!Y69+Data!Z69+Data!AA69+Data!AB69+Data!AC69+Data!AD69+Data!AE69+Data!AF69+Data!AG69+Data!AH69+Data!AI69+Data!AJ69+Data!AK69+Data!AL69+Data!T70+Data!U70+Data!V70+Data!W70+Data!X70+Data!Y70+Data!Z70+Data!AA70+Data!AB70+Data!AC70+Data!AD70+Data!AE70+Data!AF70+Data!AG70+Data!AH70+Data!AI70+Data!AJ70+Data!AK70+Data!AL70+Data!T71+Data!U71+Data!V71+Data!W71+Data!X71+Data!Y71+Data!Z71+Data!AA71+Data!AB71+Data!AC71+Data!AD71+Data!AE71+Data!AF71+Data!AG71+Data!AH71+Data!AI71+Data!AJ71+Data!AK71+Data!AL71+Data!T72+Data!U72+Data!V72+Data!W72+Data!X72+Data!Y72+Data!Z72+Data!AA72+Data!AB72+Data!AC72+Data!AD72+Data!AE72+Data!AF72+Data!AG72+Data!AH72+Data!AI72+Data!AJ72+Data!AK72+Data!AL72+Data!T73+Data!U73+Data!V73+Data!W73+Data!X73+Data!Y73+Data!Z73+Data!AA73+Data!AB73+Data!AC73+Data!AD73+Data!AE73+Data!AF73+Data!AG73+Data!AH73+Data!AI73+Data!AJ73+Data!AK73+Data!AL73</f>
        <v>7817640</v>
      </c>
      <c r="N73" s="16" t="n">
        <f aca="false">Data!T62+Data!U62+Data!V62+Data!W62+Data!T63+Data!U63+Data!V63+Data!W63+Data!T64+Data!U64+Data!V64+Data!W64+Data!T65+Data!U65+Data!V65+Data!W65+Data!T66+Data!U66+Data!V66+Data!W66+Data!T67+Data!U67+Data!V67+Data!W67+Data!T68+Data!U68+Data!V68+Data!W68+Data!T69+Data!U69+Data!V69+Data!W69+Data!T70+Data!U70+Data!V70+Data!W70+Data!T71+Data!U71+Data!V71+Data!W71+Data!T72+Data!U72+Data!V72+Data!W72+Data!T73+Data!U73+Data!V73+Data!W73</f>
        <v>3866432</v>
      </c>
      <c r="O73" s="16" t="n">
        <f aca="false">Data!T62+Data!T63+Data!T64+Data!T65+Data!T66+Data!T67+Data!T68+Data!T69+Data!T70+Data!T71+Data!T72+Data!T73</f>
        <v>2818153</v>
      </c>
      <c r="P73" s="16" t="n">
        <f aca="false">Data!U62+Data!U63+Data!U64+Data!U65+Data!U66+Data!U67+Data!U68+Data!U69+Data!U70+Data!U71+Data!U72+Data!U73</f>
        <v>470240</v>
      </c>
      <c r="Q73" s="16" t="n">
        <f aca="false">Data!V62+Data!V63+Data!V64+Data!V65+Data!V66+Data!V67+Data!V68+Data!V69+Data!V70+Data!V71+Data!V72+Data!V73</f>
        <v>274112</v>
      </c>
      <c r="R73" s="16" t="n">
        <f aca="false">Data!W62+Data!W63+Data!W64+Data!W65+Data!W66+Data!W67+Data!W68+Data!W69+Data!W70+Data!W71+Data!W72+Data!W73</f>
        <v>303927</v>
      </c>
      <c r="S73" s="16" t="n">
        <f aca="false">Data!X62+Data!X63+Data!X64+Data!X65+Data!X66+Data!X67+Data!X68+Data!X69+Data!X70+Data!X71+Data!X72+Data!X73</f>
        <v>702581</v>
      </c>
      <c r="T73" s="16" t="n">
        <f aca="false">Data!Y62+Data!Z62+Data!AA62+Data!Y63+Data!Z63+Data!AA63+Data!Y64+Data!Z64+Data!AA64+Data!Y65+Data!Z65+Data!AA65+Data!Y66+Data!Z66+Data!AA66+Data!Y67+Data!Z67+Data!AA67+Data!Y68+Data!Z68+Data!AA68+Data!Y69+Data!Z69+Data!AA69+Data!Y70+Data!Z70+Data!AA70+Data!Y71+Data!Z71+Data!AA71+Data!Y72+Data!Z72+Data!AA72+Data!Y73+Data!Z73+Data!AA73</f>
        <v>984220</v>
      </c>
      <c r="U73" s="16" t="n">
        <f aca="false">Data!Y62+Data!Y63+Data!Y64+Data!Y65+Data!Y66+Data!Y67+Data!Y68+Data!Y69+Data!Y70+Data!Y71+Data!Y72+Data!Y73</f>
        <v>701413</v>
      </c>
      <c r="V73" s="16" t="n">
        <f aca="false">Data!Z62+Data!Z63+Data!Z64+Data!Z65+Data!Z66+Data!Z67+Data!Z68+Data!Z69+Data!Z70+Data!Z71+Data!Z72+Data!Z73</f>
        <v>264491</v>
      </c>
      <c r="W73" s="16" t="n">
        <f aca="false">Data!AB62+Data!AB63+Data!AB64+Data!AB65+Data!AB66+Data!AB67+Data!AB68+Data!AB69+Data!AB70+Data!AB71+Data!AB72+Data!AB73</f>
        <v>850535</v>
      </c>
      <c r="X73" s="16" t="n">
        <f aca="false">Data!AC62+Data!AC63+Data!AC64+Data!AC65+Data!AC66+Data!AC67+Data!AC68+Data!AC69+Data!AC70+Data!AC71+Data!AC72+Data!AC73</f>
        <v>299751</v>
      </c>
      <c r="Y73" s="16" t="n">
        <f aca="false">Data!AD62+Data!AE62+Data!AF62+Data!AG62+Data!AH62+Data!AD63+Data!AE63+Data!AF63+Data!AG63+Data!AH63+Data!AD64+Data!AE64+Data!AF64+Data!AG64+Data!AH64+Data!AD65+Data!AE65+Data!AF65+Data!AG65+Data!AH65+Data!AD66+Data!AE66+Data!AF66+Data!AG66+Data!AH66+Data!AD67+Data!AE67+Data!AF67+Data!AG67+Data!AH67+Data!AD68+Data!AE68+Data!AF68+Data!AG68+Data!AH68+Data!AD69+Data!AE69+Data!AF69+Data!AG69+Data!AH69+Data!AD70+Data!AE70+Data!AF70+Data!AG70+Data!AH70+Data!AD71+Data!AE71+Data!AF71+Data!AG71+Data!AH71+Data!AD72+Data!AE72+Data!AF72+Data!AG72+Data!AH72+Data!AD73+Data!AE73+Data!AF73+Data!AG73+Data!AH73</f>
        <v>285474</v>
      </c>
      <c r="Z73" s="16" t="n">
        <f aca="false">Data!AI62+Data!AI63+Data!AI64+Data!AI65+Data!AI66+Data!AI67+Data!AI68+Data!AI69+Data!AI70+Data!AI71+Data!AI72+Data!AI73</f>
        <v>249356</v>
      </c>
      <c r="AA73" s="16" t="n">
        <f aca="false">Data!AJ62+Data!AJ63+Data!AJ64+Data!AJ65+Data!AJ66+Data!AJ67+Data!AJ68+Data!AJ69+Data!AJ70+Data!AJ71+Data!AJ72+Data!AJ73</f>
        <v>0</v>
      </c>
      <c r="AB73" s="16" t="n">
        <f aca="false">Data!AK62+Data!AK63+Data!AK64+Data!AK65+Data!AK66+Data!AK67+Data!AK68+Data!AK69+Data!AK70+Data!AK71+Data!AK72+Data!AK73</f>
        <v>132873</v>
      </c>
      <c r="AC73" s="16" t="n">
        <f aca="false">Data!AL62+Data!AL63+Data!AL64+Data!AL65+Data!AL66+Data!AL67+Data!AL68+Data!AL69+Data!AL70+Data!AL71+Data!AL72+Data!AL73</f>
        <v>446418</v>
      </c>
      <c r="AD73" s="15" t="n">
        <f aca="false">Data!AM62+Data!AM63+Data!AM64+Data!AM65+Data!AM66+Data!AM67+Data!AM68+Data!AM69+Data!AM70+Data!AM71+Data!AM72+Data!AM73</f>
        <v>-1011295</v>
      </c>
      <c r="AE73" s="16" t="n">
        <f aca="false">Data!AN62+Data!AN63+Data!AN64+Data!AN65+Data!AN66+Data!AN67+Data!AN68+Data!AN69+Data!AN70+Data!AN71+Data!AN72+Data!AN73</f>
        <v>582072</v>
      </c>
      <c r="AF73" s="15" t="n">
        <f aca="false">Data!AO62+Data!AO63+Data!AO64+Data!AO65+Data!AO66+Data!AO67+Data!AO68+Data!AO69+Data!AO70+Data!AO71+Data!AO72+Data!AO73</f>
        <v>-1593367</v>
      </c>
    </row>
    <row r="74" customFormat="false" ht="15" hidden="false" customHeight="false" outlineLevel="0" collapsed="false">
      <c r="B74" s="14" t="str">
        <f aca="false">Data!B74</f>
        <v>2021-08</v>
      </c>
      <c r="C74" s="15" t="n">
        <f aca="false">Data!D63+Data!E63+Data!F63+Data!G63+Data!H63+Data!I63+Data!J63+Data!K63+Data!L63+Data!M63+Data!N63+Data!O63+Data!P63+Data!Q63+Data!R63+Data!S63+Data!D64+Data!E64+Data!F64+Data!G64+Data!H64+Data!I64+Data!J64+Data!K64+Data!L64+Data!M64+Data!N64+Data!O64+Data!P64+Data!Q64+Data!R64+Data!S64+Data!D65+Data!E65+Data!F65+Data!G65+Data!H65+Data!I65+Data!J65+Data!K65+Data!L65+Data!M65+Data!N65+Data!O65+Data!P65+Data!Q65+Data!R65+Data!S65+Data!D66+Data!E66+Data!F66+Data!G66+Data!H66+Data!I66+Data!J66+Data!K66+Data!L66+Data!M66+Data!N66+Data!O66+Data!P66+Data!Q66+Data!R66+Data!S66+Data!D67+Data!E67+Data!F67+Data!G67+Data!H67+Data!I67+Data!J67+Data!K67+Data!L67+Data!M67+Data!N67+Data!O67+Data!P67+Data!Q67+Data!R67+Data!S67+Data!D68+Data!E68+Data!F68+Data!G68+Data!H68+Data!I68+Data!J68+Data!K68+Data!L68+Data!M68+Data!N68+Data!O68+Data!P68+Data!Q68+Data!R68+Data!S68+Data!D69+Data!E69+Data!F69+Data!G69+Data!H69+Data!I69+Data!J69+Data!K69+Data!L69+Data!M69+Data!N69+Data!O69+Data!P69+Data!Q69+Data!R69+Data!S69+Data!D70+Data!E70+Data!F70+Data!G70+Data!H70+Data!I70+Data!J70+Data!K70+Data!L70+Data!M70+Data!N70+Data!O70+Data!P70+Data!Q70+Data!R70+Data!S70+Data!D71+Data!E71+Data!F71+Data!G71+Data!H71+Data!I71+Data!J71+Data!K71+Data!L71+Data!M71+Data!N71+Data!O71+Data!P71+Data!Q71+Data!R71+Data!S71+Data!D72+Data!E72+Data!F72+Data!G72+Data!H72+Data!I72+Data!J72+Data!K72+Data!L72+Data!M72+Data!N72+Data!O72+Data!P72+Data!Q72+Data!R72+Data!S72+Data!D73+Data!E73+Data!F73+Data!G73+Data!H73+Data!I73+Data!J73+Data!K73+Data!L73+Data!M73+Data!N73+Data!O73+Data!P73+Data!Q73+Data!R73+Data!S73+Data!D74+Data!E74+Data!F74+Data!G74+Data!H74+Data!I74+Data!J74+Data!K74+Data!L74+Data!M74+Data!N74+Data!O74+Data!P74+Data!Q74+Data!R74+Data!S74</f>
        <v>7109524</v>
      </c>
      <c r="D74" s="16" t="n">
        <f aca="false">Data!D63+Data!E63+Data!G63+Data!H63+Data!I63+Data!J63+Data!K63+Data!L63+Data!M63+Data!D64+Data!E64+Data!G64+Data!H64+Data!I64+Data!J64+Data!K64+Data!L64+Data!M64+Data!D65+Data!E65+Data!G65+Data!H65+Data!I65+Data!J65+Data!K65+Data!L65+Data!M65+Data!D66+Data!E66+Data!G66+Data!H66+Data!I66+Data!J66+Data!K66+Data!L66+Data!M66+Data!D67+Data!E67+Data!G67+Data!H67+Data!I67+Data!J67+Data!K67+Data!L67+Data!M67+Data!D68+Data!E68+Data!G68+Data!H68+Data!I68+Data!J68+Data!K68+Data!L68+Data!M68+Data!D69+Data!E69+Data!G69+Data!H69+Data!I69+Data!J69+Data!K69+Data!L69+Data!M69+Data!D70+Data!E70+Data!G70+Data!H70+Data!I70+Data!J70+Data!K70+Data!L70+Data!M70+Data!D71+Data!E71+Data!G71+Data!H71+Data!I71+Data!J71+Data!K71+Data!L71+Data!M71+Data!D72+Data!E72+Data!G72+Data!H72+Data!I72+Data!J72+Data!K72+Data!L72+Data!M72+Data!D73+Data!E73+Data!G73+Data!H73+Data!I73+Data!J73+Data!K73+Data!L73+Data!M73+Data!D74+Data!E74+Data!G74+Data!H74+Data!I74+Data!J74+Data!K74+Data!L74+Data!M74</f>
        <v>4314208</v>
      </c>
      <c r="E74" s="16" t="n">
        <f aca="false">Data!D63+Data!D64+Data!D65+Data!D66+Data!D67+Data!D68+Data!D69+Data!D70+Data!D71+Data!D72+Data!D73+Data!D74</f>
        <v>1229997</v>
      </c>
      <c r="F74" s="16" t="n">
        <f aca="false">Data!E63+Data!E64+Data!E65+Data!E66+Data!E67+Data!E68+Data!E69+Data!E70+Data!E71+Data!E72+Data!E73+Data!E74</f>
        <v>699169</v>
      </c>
      <c r="G74" s="16" t="n">
        <f aca="false">Data!K63+Data!K64+Data!K65+Data!K66+Data!K67+Data!K68+Data!K69+Data!K70+Data!K71+Data!K72+Data!K73+Data!K74</f>
        <v>763785</v>
      </c>
      <c r="H74" s="16" t="n">
        <f aca="false">Data!L63+Data!L64+Data!L65+Data!L66+Data!L67+Data!L68+Data!L69+Data!L70+Data!L71+Data!L72+Data!L73+Data!L74</f>
        <v>246757</v>
      </c>
      <c r="I74" s="16" t="n">
        <f aca="false">Data!G63+Data!G64+Data!G65+Data!G66+Data!G67+Data!G68+Data!G69+Data!G70+Data!G71+Data!G72+Data!G73+Data!G74</f>
        <v>612634</v>
      </c>
      <c r="J74" s="16" t="n">
        <f aca="false">Data!H63+Data!I63+Data!J63+Data!M63+Data!H64+Data!I64+Data!J64+Data!M64+Data!H65+Data!I65+Data!J65+Data!M65+Data!H66+Data!I66+Data!J66+Data!M66+Data!H67+Data!I67+Data!J67+Data!M67+Data!H68+Data!I68+Data!J68+Data!M68+Data!H69+Data!I69+Data!J69+Data!M69+Data!H70+Data!I70+Data!J70+Data!M70+Data!H71+Data!I71+Data!J71+Data!M71+Data!H72+Data!I72+Data!J72+Data!M72+Data!H73+Data!I73+Data!J73+Data!M73+Data!H74+Data!I74+Data!J74+Data!M74</f>
        <v>761866</v>
      </c>
      <c r="K74" s="16" t="n">
        <f aca="false">Data!F63+Data!F64+Data!F65+Data!F66+Data!F67+Data!F68+Data!F69+Data!F70+Data!F71+Data!F72+Data!F73+Data!F74</f>
        <v>2022219</v>
      </c>
      <c r="L74" s="16" t="n">
        <f aca="false">Data!N63+Data!O63+Data!P63+Data!Q63+Data!R63+Data!S63+Data!N64+Data!O64+Data!P64+Data!Q64+Data!R64+Data!S64+Data!N65+Data!O65+Data!P65+Data!Q65+Data!R65+Data!S65+Data!N66+Data!O66+Data!P66+Data!Q66+Data!R66+Data!S66+Data!N67+Data!O67+Data!P67+Data!Q67+Data!R67+Data!S67+Data!N68+Data!O68+Data!P68+Data!Q68+Data!R68+Data!S68+Data!N69+Data!O69+Data!P69+Data!Q69+Data!R69+Data!S69+Data!N70+Data!O70+Data!P70+Data!Q70+Data!R70+Data!S70+Data!N71+Data!O71+Data!P71+Data!Q71+Data!R71+Data!S71+Data!N72+Data!O72+Data!P72+Data!Q72+Data!R72+Data!S72+Data!N73+Data!O73+Data!P73+Data!Q73+Data!R73+Data!S73+Data!N74+Data!O74+Data!P74+Data!Q74+Data!R74+Data!S74</f>
        <v>773097</v>
      </c>
      <c r="M74" s="15" t="n">
        <f aca="false">Data!T63+Data!U63+Data!V63+Data!W63+Data!X63+Data!Y63+Data!Z63+Data!AA63+Data!AB63+Data!AC63+Data!AD63+Data!AE63+Data!AF63+Data!AG63+Data!AH63+Data!AI63+Data!AJ63+Data!AK63+Data!AL63+Data!T64+Data!U64+Data!V64+Data!W64+Data!X64+Data!Y64+Data!Z64+Data!AA64+Data!AB64+Data!AC64+Data!AD64+Data!AE64+Data!AF64+Data!AG64+Data!AH64+Data!AI64+Data!AJ64+Data!AK64+Data!AL64+Data!T65+Data!U65+Data!V65+Data!W65+Data!X65+Data!Y65+Data!Z65+Data!AA65+Data!AB65+Data!AC65+Data!AD65+Data!AE65+Data!AF65+Data!AG65+Data!AH65+Data!AI65+Data!AJ65+Data!AK65+Data!AL65+Data!T66+Data!U66+Data!V66+Data!W66+Data!X66+Data!Y66+Data!Z66+Data!AA66+Data!AB66+Data!AC66+Data!AD66+Data!AE66+Data!AF66+Data!AG66+Data!AH66+Data!AI66+Data!AJ66+Data!AK66+Data!AL66+Data!T67+Data!U67+Data!V67+Data!W67+Data!X67+Data!Y67+Data!Z67+Data!AA67+Data!AB67+Data!AC67+Data!AD67+Data!AE67+Data!AF67+Data!AG67+Data!AH67+Data!AI67+Data!AJ67+Data!AK67+Data!AL67+Data!T68+Data!U68+Data!V68+Data!W68+Data!X68+Data!Y68+Data!Z68+Data!AA68+Data!AB68+Data!AC68+Data!AD68+Data!AE68+Data!AF68+Data!AG68+Data!AH68+Data!AI68+Data!AJ68+Data!AK68+Data!AL68+Data!T69+Data!U69+Data!V69+Data!W69+Data!X69+Data!Y69+Data!Z69+Data!AA69+Data!AB69+Data!AC69+Data!AD69+Data!AE69+Data!AF69+Data!AG69+Data!AH69+Data!AI69+Data!AJ69+Data!AK69+Data!AL69+Data!T70+Data!U70+Data!V70+Data!W70+Data!X70+Data!Y70+Data!Z70+Data!AA70+Data!AB70+Data!AC70+Data!AD70+Data!AE70+Data!AF70+Data!AG70+Data!AH70+Data!AI70+Data!AJ70+Data!AK70+Data!AL70+Data!T71+Data!U71+Data!V71+Data!W71+Data!X71+Data!Y71+Data!Z71+Data!AA71+Data!AB71+Data!AC71+Data!AD71+Data!AE71+Data!AF71+Data!AG71+Data!AH71+Data!AI71+Data!AJ71+Data!AK71+Data!AL71+Data!T72+Data!U72+Data!V72+Data!W72+Data!X72+Data!Y72+Data!Z72+Data!AA72+Data!AB72+Data!AC72+Data!AD72+Data!AE72+Data!AF72+Data!AG72+Data!AH72+Data!AI72+Data!AJ72+Data!AK72+Data!AL72+Data!T73+Data!U73+Data!V73+Data!W73+Data!X73+Data!Y73+Data!Z73+Data!AA73+Data!AB73+Data!AC73+Data!AD73+Data!AE73+Data!AF73+Data!AG73+Data!AH73+Data!AI73+Data!AJ73+Data!AK73+Data!AL73+Data!T74+Data!U74+Data!V74+Data!W74+Data!X74+Data!Y74+Data!Z74+Data!AA74+Data!AB74+Data!AC74+Data!AD74+Data!AE74+Data!AF74+Data!AG74+Data!AH74+Data!AI74+Data!AJ74+Data!AK74+Data!AL74</f>
        <v>8156155</v>
      </c>
      <c r="N74" s="16" t="n">
        <f aca="false">Data!T63+Data!U63+Data!V63+Data!W63+Data!T64+Data!U64+Data!V64+Data!W64+Data!T65+Data!U65+Data!V65+Data!W65+Data!T66+Data!U66+Data!V66+Data!W66+Data!T67+Data!U67+Data!V67+Data!W67+Data!T68+Data!U68+Data!V68+Data!W68+Data!T69+Data!U69+Data!V69+Data!W69+Data!T70+Data!U70+Data!V70+Data!W70+Data!T71+Data!U71+Data!V71+Data!W71+Data!T72+Data!U72+Data!V72+Data!W72+Data!T73+Data!U73+Data!V73+Data!W73+Data!T74+Data!U74+Data!V74+Data!W74</f>
        <v>3985294</v>
      </c>
      <c r="O74" s="16" t="n">
        <f aca="false">Data!T63+Data!T64+Data!T65+Data!T66+Data!T67+Data!T68+Data!T69+Data!T70+Data!T71+Data!T72+Data!T73+Data!T74</f>
        <v>2899962</v>
      </c>
      <c r="P74" s="16" t="n">
        <f aca="false">Data!U63+Data!U64+Data!U65+Data!U66+Data!U67+Data!U68+Data!U69+Data!U70+Data!U71+Data!U72+Data!U73+Data!U74</f>
        <v>493200</v>
      </c>
      <c r="Q74" s="16" t="n">
        <f aca="false">Data!V63+Data!V64+Data!V65+Data!V66+Data!V67+Data!V68+Data!V69+Data!V70+Data!V71+Data!V72+Data!V73+Data!V74</f>
        <v>285583</v>
      </c>
      <c r="R74" s="16" t="n">
        <f aca="false">Data!W63+Data!W64+Data!W65+Data!W66+Data!W67+Data!W68+Data!W69+Data!W70+Data!W71+Data!W72+Data!W73+Data!W74</f>
        <v>306549</v>
      </c>
      <c r="S74" s="16" t="n">
        <f aca="false">Data!X63+Data!X64+Data!X65+Data!X66+Data!X67+Data!X68+Data!X69+Data!X70+Data!X71+Data!X72+Data!X73+Data!X74</f>
        <v>694666</v>
      </c>
      <c r="T74" s="16" t="n">
        <f aca="false">Data!Y63+Data!Z63+Data!AA63+Data!Y64+Data!Z64+Data!AA64+Data!Y65+Data!Z65+Data!AA65+Data!Y66+Data!Z66+Data!AA66+Data!Y67+Data!Z67+Data!AA67+Data!Y68+Data!Z68+Data!AA68+Data!Y69+Data!Z69+Data!AA69+Data!Y70+Data!Z70+Data!AA70+Data!Y71+Data!Z71+Data!AA71+Data!Y72+Data!Z72+Data!AA72+Data!Y73+Data!Z73+Data!AA73+Data!Y74+Data!Z74+Data!AA74</f>
        <v>1090549</v>
      </c>
      <c r="U74" s="16" t="n">
        <f aca="false">Data!Y63+Data!Y64+Data!Y65+Data!Y66+Data!Y67+Data!Y68+Data!Y69+Data!Y70+Data!Y71+Data!Y72+Data!Y73+Data!Y74</f>
        <v>803874</v>
      </c>
      <c r="V74" s="16" t="n">
        <f aca="false">Data!Z63+Data!Z64+Data!Z65+Data!Z66+Data!Z67+Data!Z68+Data!Z69+Data!Z70+Data!Z71+Data!Z72+Data!Z73+Data!Z74</f>
        <v>269322</v>
      </c>
      <c r="W74" s="16" t="n">
        <f aca="false">Data!AB63+Data!AB64+Data!AB65+Data!AB66+Data!AB67+Data!AB68+Data!AB69+Data!AB70+Data!AB71+Data!AB72+Data!AB73+Data!AB74</f>
        <v>881707</v>
      </c>
      <c r="X74" s="16" t="n">
        <f aca="false">Data!AC63+Data!AC64+Data!AC65+Data!AC66+Data!AC67+Data!AC68+Data!AC69+Data!AC70+Data!AC71+Data!AC72+Data!AC73+Data!AC74</f>
        <v>333645</v>
      </c>
      <c r="Y74" s="16" t="n">
        <f aca="false">Data!AD63+Data!AE63+Data!AF63+Data!AG63+Data!AH63+Data!AD64+Data!AE64+Data!AF64+Data!AG64+Data!AH64+Data!AD65+Data!AE65+Data!AF65+Data!AG65+Data!AH65+Data!AD66+Data!AE66+Data!AF66+Data!AG66+Data!AH66+Data!AD67+Data!AE67+Data!AF67+Data!AG67+Data!AH67+Data!AD68+Data!AE68+Data!AF68+Data!AG68+Data!AH68+Data!AD69+Data!AE69+Data!AF69+Data!AG69+Data!AH69+Data!AD70+Data!AE70+Data!AF70+Data!AG70+Data!AH70+Data!AD71+Data!AE71+Data!AF71+Data!AG71+Data!AH71+Data!AD72+Data!AE72+Data!AF72+Data!AG72+Data!AH72+Data!AD73+Data!AE73+Data!AF73+Data!AG73+Data!AH73+Data!AD74+Data!AE74+Data!AF74+Data!AG74+Data!AH74</f>
        <v>297270</v>
      </c>
      <c r="Z74" s="16" t="n">
        <f aca="false">Data!AI63+Data!AI64+Data!AI65+Data!AI66+Data!AI67+Data!AI68+Data!AI69+Data!AI70+Data!AI71+Data!AI72+Data!AI73+Data!AI74</f>
        <v>253572</v>
      </c>
      <c r="AA74" s="16" t="n">
        <f aca="false">Data!AJ63+Data!AJ64+Data!AJ65+Data!AJ66+Data!AJ67+Data!AJ68+Data!AJ69+Data!AJ70+Data!AJ71+Data!AJ72+Data!AJ73+Data!AJ74</f>
        <v>0</v>
      </c>
      <c r="AB74" s="16" t="n">
        <f aca="false">Data!AK63+Data!AK64+Data!AK65+Data!AK66+Data!AK67+Data!AK68+Data!AK69+Data!AK70+Data!AK71+Data!AK72+Data!AK73+Data!AK74</f>
        <v>147682</v>
      </c>
      <c r="AC74" s="16" t="n">
        <f aca="false">Data!AL63+Data!AL64+Data!AL65+Data!AL66+Data!AL67+Data!AL68+Data!AL69+Data!AL70+Data!AL71+Data!AL72+Data!AL73+Data!AL74</f>
        <v>471770</v>
      </c>
      <c r="AD74" s="15" t="n">
        <f aca="false">Data!AM63+Data!AM64+Data!AM65+Data!AM66+Data!AM67+Data!AM68+Data!AM69+Data!AM70+Data!AM71+Data!AM72+Data!AM73+Data!AM74</f>
        <v>-1046631</v>
      </c>
      <c r="AE74" s="16" t="n">
        <f aca="false">Data!AN63+Data!AN64+Data!AN65+Data!AN66+Data!AN67+Data!AN68+Data!AN69+Data!AN70+Data!AN71+Data!AN72+Data!AN73+Data!AN74</f>
        <v>594577</v>
      </c>
      <c r="AF74" s="15" t="n">
        <f aca="false">Data!AO63+Data!AO64+Data!AO65+Data!AO66+Data!AO67+Data!AO68+Data!AO69+Data!AO70+Data!AO71+Data!AO72+Data!AO73+Data!AO74</f>
        <v>-1641208</v>
      </c>
    </row>
    <row r="75" customFormat="false" ht="15" hidden="false" customHeight="false" outlineLevel="0" collapsed="false">
      <c r="B75" s="14" t="str">
        <f aca="false">Data!B75</f>
        <v>2021-09</v>
      </c>
      <c r="C75" s="15" t="n">
        <f aca="false">Data!D64+Data!E64+Data!F64+Data!G64+Data!H64+Data!I64+Data!J64+Data!K64+Data!L64+Data!M64+Data!N64+Data!O64+Data!P64+Data!Q64+Data!R64+Data!S64+Data!D65+Data!E65+Data!F65+Data!G65+Data!H65+Data!I65+Data!J65+Data!K65+Data!L65+Data!M65+Data!N65+Data!O65+Data!P65+Data!Q65+Data!R65+Data!S65+Data!D66+Data!E66+Data!F66+Data!G66+Data!H66+Data!I66+Data!J66+Data!K66+Data!L66+Data!M66+Data!N66+Data!O66+Data!P66+Data!Q66+Data!R66+Data!S66+Data!D67+Data!E67+Data!F67+Data!G67+Data!H67+Data!I67+Data!J67+Data!K67+Data!L67+Data!M67+Data!N67+Data!O67+Data!P67+Data!Q67+Data!R67+Data!S67+Data!D68+Data!E68+Data!F68+Data!G68+Data!H68+Data!I68+Data!J68+Data!K68+Data!L68+Data!M68+Data!N68+Data!O68+Data!P68+Data!Q68+Data!R68+Data!S68+Data!D69+Data!E69+Data!F69+Data!G69+Data!H69+Data!I69+Data!J69+Data!K69+Data!L69+Data!M69+Data!N69+Data!O69+Data!P69+Data!Q69+Data!R69+Data!S69+Data!D70+Data!E70+Data!F70+Data!G70+Data!H70+Data!I70+Data!J70+Data!K70+Data!L70+Data!M70+Data!N70+Data!O70+Data!P70+Data!Q70+Data!R70+Data!S70+Data!D71+Data!E71+Data!F71+Data!G71+Data!H71+Data!I71+Data!J71+Data!K71+Data!L71+Data!M71+Data!N71+Data!O71+Data!P71+Data!Q71+Data!R71+Data!S71+Data!D72+Data!E72+Data!F72+Data!G72+Data!H72+Data!I72+Data!J72+Data!K72+Data!L72+Data!M72+Data!N72+Data!O72+Data!P72+Data!Q72+Data!R72+Data!S72+Data!D73+Data!E73+Data!F73+Data!G73+Data!H73+Data!I73+Data!J73+Data!K73+Data!L73+Data!M73+Data!N73+Data!O73+Data!P73+Data!Q73+Data!R73+Data!S73+Data!D74+Data!E74+Data!F74+Data!G74+Data!H74+Data!I74+Data!J74+Data!K74+Data!L74+Data!M74+Data!N74+Data!O74+Data!P74+Data!Q74+Data!R74+Data!S74+Data!D75+Data!E75+Data!F75+Data!G75+Data!H75+Data!I75+Data!J75+Data!K75+Data!L75+Data!M75+Data!N75+Data!O75+Data!P75+Data!Q75+Data!R75+Data!S75</f>
        <v>7828571</v>
      </c>
      <c r="D75" s="16" t="n">
        <f aca="false">Data!D64+Data!E64+Data!G64+Data!H64+Data!I64+Data!J64+Data!K64+Data!L64+Data!M64+Data!D65+Data!E65+Data!G65+Data!H65+Data!I65+Data!J65+Data!K65+Data!L65+Data!M65+Data!D66+Data!E66+Data!G66+Data!H66+Data!I66+Data!J66+Data!K66+Data!L66+Data!M66+Data!D67+Data!E67+Data!G67+Data!H67+Data!I67+Data!J67+Data!K67+Data!L67+Data!M67+Data!D68+Data!E68+Data!G68+Data!H68+Data!I68+Data!J68+Data!K68+Data!L68+Data!M68+Data!D69+Data!E69+Data!G69+Data!H69+Data!I69+Data!J69+Data!K69+Data!L69+Data!M69+Data!D70+Data!E70+Data!G70+Data!H70+Data!I70+Data!J70+Data!K70+Data!L70+Data!M70+Data!D71+Data!E71+Data!G71+Data!H71+Data!I71+Data!J71+Data!K71+Data!L71+Data!M71+Data!D72+Data!E72+Data!G72+Data!H72+Data!I72+Data!J72+Data!K72+Data!L72+Data!M72+Data!D73+Data!E73+Data!G73+Data!H73+Data!I73+Data!J73+Data!K73+Data!L73+Data!M73+Data!D74+Data!E74+Data!G74+Data!H74+Data!I74+Data!J74+Data!K74+Data!L74+Data!M74+Data!D75+Data!E75+Data!G75+Data!H75+Data!I75+Data!J75+Data!K75+Data!L75+Data!M75</f>
        <v>4498302</v>
      </c>
      <c r="E75" s="16" t="n">
        <f aca="false">Data!D64+Data!D65+Data!D66+Data!D67+Data!D68+Data!D69+Data!D70+Data!D71+Data!D72+Data!D73+Data!D74+Data!D75</f>
        <v>1291010</v>
      </c>
      <c r="F75" s="16" t="n">
        <f aca="false">Data!E64+Data!E65+Data!E66+Data!E67+Data!E68+Data!E69+Data!E70+Data!E71+Data!E72+Data!E73+Data!E74+Data!E75</f>
        <v>730808</v>
      </c>
      <c r="G75" s="16" t="n">
        <f aca="false">Data!K64+Data!K65+Data!K66+Data!K67+Data!K68+Data!K69+Data!K70+Data!K71+Data!K72+Data!K73+Data!K74+Data!K75</f>
        <v>796916</v>
      </c>
      <c r="H75" s="16" t="n">
        <f aca="false">Data!L64+Data!L65+Data!L66+Data!L67+Data!L68+Data!L69+Data!L70+Data!L71+Data!L72+Data!L73+Data!L74+Data!L75</f>
        <v>261079</v>
      </c>
      <c r="I75" s="16" t="n">
        <f aca="false">Data!G64+Data!G65+Data!G66+Data!G67+Data!G68+Data!G69+Data!G70+Data!G71+Data!G72+Data!G73+Data!G74+Data!G75</f>
        <v>644507</v>
      </c>
      <c r="J75" s="16" t="n">
        <f aca="false">Data!H64+Data!I64+Data!J64+Data!M64+Data!H65+Data!I65+Data!J65+Data!M65+Data!H66+Data!I66+Data!J66+Data!M66+Data!H67+Data!I67+Data!J67+Data!M67+Data!H68+Data!I68+Data!J68+Data!M68+Data!H69+Data!I69+Data!J69+Data!M69+Data!H70+Data!I70+Data!J70+Data!M70+Data!H71+Data!I71+Data!J71+Data!M71+Data!H72+Data!I72+Data!J72+Data!M72+Data!H73+Data!I73+Data!J73+Data!M73+Data!H74+Data!I74+Data!J74+Data!M74+Data!H75+Data!I75+Data!J75+Data!M75</f>
        <v>773982</v>
      </c>
      <c r="K75" s="16" t="n">
        <f aca="false">Data!F64+Data!F65+Data!F66+Data!F67+Data!F68+Data!F69+Data!F70+Data!F71+Data!F72+Data!F73+Data!F74+Data!F75</f>
        <v>2098940</v>
      </c>
      <c r="L75" s="16" t="n">
        <f aca="false">Data!N64+Data!O64+Data!P64+Data!Q64+Data!R64+Data!S64+Data!N65+Data!O65+Data!P65+Data!Q65+Data!R65+Data!S65+Data!N66+Data!O66+Data!P66+Data!Q66+Data!R66+Data!S66+Data!N67+Data!O67+Data!P67+Data!Q67+Data!R67+Data!S67+Data!N68+Data!O68+Data!P68+Data!Q68+Data!R68+Data!S68+Data!N69+Data!O69+Data!P69+Data!Q69+Data!R69+Data!S69+Data!N70+Data!O70+Data!P70+Data!Q70+Data!R70+Data!S70+Data!N71+Data!O71+Data!P71+Data!Q71+Data!R71+Data!S71+Data!N72+Data!O72+Data!P72+Data!Q72+Data!R72+Data!S72+Data!N73+Data!O73+Data!P73+Data!Q73+Data!R73+Data!S73+Data!N74+Data!O74+Data!P74+Data!Q74+Data!R74+Data!S74+Data!N75+Data!O75+Data!P75+Data!Q75+Data!R75+Data!S75</f>
        <v>1231329</v>
      </c>
      <c r="M75" s="15" t="n">
        <f aca="false">Data!T64+Data!U64+Data!V64+Data!W64+Data!X64+Data!Y64+Data!Z64+Data!AA64+Data!AB64+Data!AC64+Data!AD64+Data!AE64+Data!AF64+Data!AG64+Data!AH64+Data!AI64+Data!AJ64+Data!AK64+Data!AL64+Data!T65+Data!U65+Data!V65+Data!W65+Data!X65+Data!Y65+Data!Z65+Data!AA65+Data!AB65+Data!AC65+Data!AD65+Data!AE65+Data!AF65+Data!AG65+Data!AH65+Data!AI65+Data!AJ65+Data!AK65+Data!AL65+Data!T66+Data!U66+Data!V66+Data!W66+Data!X66+Data!Y66+Data!Z66+Data!AA66+Data!AB66+Data!AC66+Data!AD66+Data!AE66+Data!AF66+Data!AG66+Data!AH66+Data!AI66+Data!AJ66+Data!AK66+Data!AL66+Data!T67+Data!U67+Data!V67+Data!W67+Data!X67+Data!Y67+Data!Z67+Data!AA67+Data!AB67+Data!AC67+Data!AD67+Data!AE67+Data!AF67+Data!AG67+Data!AH67+Data!AI67+Data!AJ67+Data!AK67+Data!AL67+Data!T68+Data!U68+Data!V68+Data!W68+Data!X68+Data!Y68+Data!Z68+Data!AA68+Data!AB68+Data!AC68+Data!AD68+Data!AE68+Data!AF68+Data!AG68+Data!AH68+Data!AI68+Data!AJ68+Data!AK68+Data!AL68+Data!T69+Data!U69+Data!V69+Data!W69+Data!X69+Data!Y69+Data!Z69+Data!AA69+Data!AB69+Data!AC69+Data!AD69+Data!AE69+Data!AF69+Data!AG69+Data!AH69+Data!AI69+Data!AJ69+Data!AK69+Data!AL69+Data!T70+Data!U70+Data!V70+Data!W70+Data!X70+Data!Y70+Data!Z70+Data!AA70+Data!AB70+Data!AC70+Data!AD70+Data!AE70+Data!AF70+Data!AG70+Data!AH70+Data!AI70+Data!AJ70+Data!AK70+Data!AL70+Data!T71+Data!U71+Data!V71+Data!W71+Data!X71+Data!Y71+Data!Z71+Data!AA71+Data!AB71+Data!AC71+Data!AD71+Data!AE71+Data!AF71+Data!AG71+Data!AH71+Data!AI71+Data!AJ71+Data!AK71+Data!AL71+Data!T72+Data!U72+Data!V72+Data!W72+Data!X72+Data!Y72+Data!Z72+Data!AA72+Data!AB72+Data!AC72+Data!AD72+Data!AE72+Data!AF72+Data!AG72+Data!AH72+Data!AI72+Data!AJ72+Data!AK72+Data!AL72+Data!T73+Data!U73+Data!V73+Data!W73+Data!X73+Data!Y73+Data!Z73+Data!AA73+Data!AB73+Data!AC73+Data!AD73+Data!AE73+Data!AF73+Data!AG73+Data!AH73+Data!AI73+Data!AJ73+Data!AK73+Data!AL73+Data!T74+Data!U74+Data!V74+Data!W74+Data!X74+Data!Y74+Data!Z74+Data!AA74+Data!AB74+Data!AC74+Data!AD74+Data!AE74+Data!AF74+Data!AG74+Data!AH74+Data!AI74+Data!AJ74+Data!AK74+Data!AL74+Data!T75+Data!U75+Data!V75+Data!W75+Data!X75+Data!Y75+Data!Z75+Data!AA75+Data!AB75+Data!AC75+Data!AD75+Data!AE75+Data!AF75+Data!AG75+Data!AH75+Data!AI75+Data!AJ75+Data!AK75+Data!AL75</f>
        <v>8416593</v>
      </c>
      <c r="N75" s="16" t="n">
        <f aca="false">Data!T64+Data!U64+Data!V64+Data!W64+Data!T65+Data!U65+Data!V65+Data!W65+Data!T66+Data!U66+Data!V66+Data!W66+Data!T67+Data!U67+Data!V67+Data!W67+Data!T68+Data!U68+Data!V68+Data!W68+Data!T69+Data!U69+Data!V69+Data!W69+Data!T70+Data!U70+Data!V70+Data!W70+Data!T71+Data!U71+Data!V71+Data!W71+Data!T72+Data!U72+Data!V72+Data!W72+Data!T73+Data!U73+Data!V73+Data!W73+Data!T74+Data!U74+Data!V74+Data!W74+Data!T75+Data!U75+Data!V75+Data!W75</f>
        <v>4116196</v>
      </c>
      <c r="O75" s="16" t="n">
        <f aca="false">Data!T64+Data!T65+Data!T66+Data!T67+Data!T68+Data!T69+Data!T70+Data!T71+Data!T72+Data!T73+Data!T74+Data!T75</f>
        <v>2995486</v>
      </c>
      <c r="P75" s="16" t="n">
        <f aca="false">Data!U64+Data!U65+Data!U66+Data!U67+Data!U68+Data!U69+Data!U70+Data!U71+Data!U72+Data!U73+Data!U74+Data!U75</f>
        <v>508127</v>
      </c>
      <c r="Q75" s="16" t="n">
        <f aca="false">Data!V64+Data!V65+Data!V66+Data!V67+Data!V68+Data!V69+Data!V70+Data!V71+Data!V72+Data!V73+Data!V74+Data!V75</f>
        <v>294126</v>
      </c>
      <c r="R75" s="16" t="n">
        <f aca="false">Data!W64+Data!W65+Data!W66+Data!W67+Data!W68+Data!W69+Data!W70+Data!W71+Data!W72+Data!W73+Data!W74+Data!W75</f>
        <v>318457</v>
      </c>
      <c r="S75" s="16" t="n">
        <f aca="false">Data!X64+Data!X65+Data!X66+Data!X67+Data!X68+Data!X69+Data!X70+Data!X71+Data!X72+Data!X73+Data!X74+Data!X75</f>
        <v>656853</v>
      </c>
      <c r="T75" s="16" t="n">
        <f aca="false">Data!Y64+Data!Z64+Data!AA64+Data!Y65+Data!Z65+Data!AA65+Data!Y66+Data!Z66+Data!AA66+Data!Y67+Data!Z67+Data!AA67+Data!Y68+Data!Z68+Data!AA68+Data!Y69+Data!Z69+Data!AA69+Data!Y70+Data!Z70+Data!AA70+Data!Y71+Data!Z71+Data!AA71+Data!Y72+Data!Z72+Data!AA72+Data!Y73+Data!Z73+Data!AA73+Data!Y74+Data!Z74+Data!AA74+Data!Y75+Data!Z75+Data!AA75</f>
        <v>1139588</v>
      </c>
      <c r="U75" s="16" t="n">
        <f aca="false">Data!Y64+Data!Y65+Data!Y66+Data!Y67+Data!Y68+Data!Y69+Data!Y70+Data!Y71+Data!Y72+Data!Y73+Data!Y74+Data!Y75</f>
        <v>848893</v>
      </c>
      <c r="V75" s="16" t="n">
        <f aca="false">Data!Z64+Data!Z65+Data!Z66+Data!Z67+Data!Z68+Data!Z69+Data!Z70+Data!Z71+Data!Z72+Data!Z73+Data!Z74+Data!Z75</f>
        <v>272710</v>
      </c>
      <c r="W75" s="16" t="n">
        <f aca="false">Data!AB64+Data!AB65+Data!AB66+Data!AB67+Data!AB68+Data!AB69+Data!AB70+Data!AB71+Data!AB72+Data!AB73+Data!AB74+Data!AB75</f>
        <v>925387</v>
      </c>
      <c r="X75" s="16" t="n">
        <f aca="false">Data!AC64+Data!AC65+Data!AC66+Data!AC67+Data!AC68+Data!AC69+Data!AC70+Data!AC71+Data!AC72+Data!AC73+Data!AC74+Data!AC75</f>
        <v>355051</v>
      </c>
      <c r="Y75" s="16" t="n">
        <f aca="false">Data!AD64+Data!AE64+Data!AF64+Data!AG64+Data!AH64+Data!AD65+Data!AE65+Data!AF65+Data!AG65+Data!AH65+Data!AD66+Data!AE66+Data!AF66+Data!AG66+Data!AH66+Data!AD67+Data!AE67+Data!AF67+Data!AG67+Data!AH67+Data!AD68+Data!AE68+Data!AF68+Data!AG68+Data!AH68+Data!AD69+Data!AE69+Data!AF69+Data!AG69+Data!AH69+Data!AD70+Data!AE70+Data!AF70+Data!AG70+Data!AH70+Data!AD71+Data!AE71+Data!AF71+Data!AG71+Data!AH71+Data!AD72+Data!AE72+Data!AF72+Data!AG72+Data!AH72+Data!AD73+Data!AE73+Data!AF73+Data!AG73+Data!AH73+Data!AD74+Data!AE74+Data!AF74+Data!AG74+Data!AH74+Data!AD75+Data!AE75+Data!AF75+Data!AG75+Data!AH75</f>
        <v>307895</v>
      </c>
      <c r="Z75" s="16" t="n">
        <f aca="false">Data!AI64+Data!AI65+Data!AI66+Data!AI67+Data!AI68+Data!AI69+Data!AI70+Data!AI71+Data!AI72+Data!AI73+Data!AI74+Data!AI75</f>
        <v>260663</v>
      </c>
      <c r="AA75" s="16" t="n">
        <f aca="false">Data!AJ64+Data!AJ65+Data!AJ66+Data!AJ67+Data!AJ68+Data!AJ69+Data!AJ70+Data!AJ71+Data!AJ72+Data!AJ73+Data!AJ74+Data!AJ75</f>
        <v>0</v>
      </c>
      <c r="AB75" s="16" t="n">
        <f aca="false">Data!AK64+Data!AK65+Data!AK66+Data!AK67+Data!AK68+Data!AK69+Data!AK70+Data!AK71+Data!AK72+Data!AK73+Data!AK74+Data!AK75</f>
        <v>161979</v>
      </c>
      <c r="AC75" s="16" t="n">
        <f aca="false">Data!AL64+Data!AL65+Data!AL66+Data!AL67+Data!AL68+Data!AL69+Data!AL70+Data!AL71+Data!AL72+Data!AL73+Data!AL74+Data!AL75</f>
        <v>492981</v>
      </c>
      <c r="AD75" s="15" t="n">
        <f aca="false">Data!AM64+Data!AM65+Data!AM66+Data!AM67+Data!AM68+Data!AM69+Data!AM70+Data!AM71+Data!AM72+Data!AM73+Data!AM74+Data!AM75</f>
        <v>-588022</v>
      </c>
      <c r="AE75" s="16" t="n">
        <f aca="false">Data!AN64+Data!AN65+Data!AN66+Data!AN67+Data!AN68+Data!AN69+Data!AN70+Data!AN71+Data!AN72+Data!AN73+Data!AN74+Data!AN75</f>
        <v>603916</v>
      </c>
      <c r="AF75" s="15" t="n">
        <f aca="false">Data!AO64+Data!AO65+Data!AO66+Data!AO67+Data!AO68+Data!AO69+Data!AO70+Data!AO71+Data!AO72+Data!AO73+Data!AO74+Data!AO75</f>
        <v>-1191938</v>
      </c>
    </row>
    <row r="76" customFormat="false" ht="15" hidden="false" customHeight="false" outlineLevel="0" collapsed="false">
      <c r="B76" s="14" t="str">
        <f aca="false">Data!B76</f>
        <v>2021-10</v>
      </c>
      <c r="C76" s="15" t="n">
        <f aca="false">Data!D65+Data!E65+Data!F65+Data!G65+Data!H65+Data!I65+Data!J65+Data!K65+Data!L65+Data!M65+Data!N65+Data!O65+Data!P65+Data!Q65+Data!R65+Data!S65+Data!D66+Data!E66+Data!F66+Data!G66+Data!H66+Data!I66+Data!J66+Data!K66+Data!L66+Data!M66+Data!N66+Data!O66+Data!P66+Data!Q66+Data!R66+Data!S66+Data!D67+Data!E67+Data!F67+Data!G67+Data!H67+Data!I67+Data!J67+Data!K67+Data!L67+Data!M67+Data!N67+Data!O67+Data!P67+Data!Q67+Data!R67+Data!S67+Data!D68+Data!E68+Data!F68+Data!G68+Data!H68+Data!I68+Data!J68+Data!K68+Data!L68+Data!M68+Data!N68+Data!O68+Data!P68+Data!Q68+Data!R68+Data!S68+Data!D69+Data!E69+Data!F69+Data!G69+Data!H69+Data!I69+Data!J69+Data!K69+Data!L69+Data!M69+Data!N69+Data!O69+Data!P69+Data!Q69+Data!R69+Data!S69+Data!D70+Data!E70+Data!F70+Data!G70+Data!H70+Data!I70+Data!J70+Data!K70+Data!L70+Data!M70+Data!N70+Data!O70+Data!P70+Data!Q70+Data!R70+Data!S70+Data!D71+Data!E71+Data!F71+Data!G71+Data!H71+Data!I71+Data!J71+Data!K71+Data!L71+Data!M71+Data!N71+Data!O71+Data!P71+Data!Q71+Data!R71+Data!S71+Data!D72+Data!E72+Data!F72+Data!G72+Data!H72+Data!I72+Data!J72+Data!K72+Data!L72+Data!M72+Data!N72+Data!O72+Data!P72+Data!Q72+Data!R72+Data!S72+Data!D73+Data!E73+Data!F73+Data!G73+Data!H73+Data!I73+Data!J73+Data!K73+Data!L73+Data!M73+Data!N73+Data!O73+Data!P73+Data!Q73+Data!R73+Data!S73+Data!D74+Data!E74+Data!F74+Data!G74+Data!H74+Data!I74+Data!J74+Data!K74+Data!L74+Data!M74+Data!N74+Data!O74+Data!P74+Data!Q74+Data!R74+Data!S74+Data!D75+Data!E75+Data!F75+Data!G75+Data!H75+Data!I75+Data!J75+Data!K75+Data!L75+Data!M75+Data!N75+Data!O75+Data!P75+Data!Q75+Data!R75+Data!S75+Data!D76+Data!E76+Data!F76+Data!G76+Data!H76+Data!I76+Data!J76+Data!K76+Data!L76+Data!M76+Data!N76+Data!O76+Data!P76+Data!Q76+Data!R76+Data!S76</f>
        <v>8145692</v>
      </c>
      <c r="D76" s="16" t="n">
        <f aca="false">Data!D65+Data!E65+Data!G65+Data!H65+Data!I65+Data!J65+Data!K65+Data!L65+Data!M65+Data!D66+Data!E66+Data!G66+Data!H66+Data!I66+Data!J66+Data!K66+Data!L66+Data!M66+Data!D67+Data!E67+Data!G67+Data!H67+Data!I67+Data!J67+Data!K67+Data!L67+Data!M67+Data!D68+Data!E68+Data!G68+Data!H68+Data!I68+Data!J68+Data!K68+Data!L68+Data!M68+Data!D69+Data!E69+Data!G69+Data!H69+Data!I69+Data!J69+Data!K69+Data!L69+Data!M69+Data!D70+Data!E70+Data!G70+Data!H70+Data!I70+Data!J70+Data!K70+Data!L70+Data!M70+Data!D71+Data!E71+Data!G71+Data!H71+Data!I71+Data!J71+Data!K71+Data!L71+Data!M71+Data!D72+Data!E72+Data!G72+Data!H72+Data!I72+Data!J72+Data!K72+Data!L72+Data!M72+Data!D73+Data!E73+Data!G73+Data!H73+Data!I73+Data!J73+Data!K73+Data!L73+Data!M73+Data!D74+Data!E74+Data!G74+Data!H74+Data!I74+Data!J74+Data!K74+Data!L74+Data!M74+Data!D75+Data!E75+Data!G75+Data!H75+Data!I75+Data!J75+Data!K75+Data!L75+Data!M75+Data!D76+Data!E76+Data!G76+Data!H76+Data!I76+Data!J76+Data!K76+Data!L76+Data!M76</f>
        <v>4691207</v>
      </c>
      <c r="E76" s="16" t="n">
        <f aca="false">Data!D65+Data!D66+Data!D67+Data!D68+Data!D69+Data!D70+Data!D71+Data!D72+Data!D73+Data!D74+Data!D75+Data!D76</f>
        <v>1334787</v>
      </c>
      <c r="F76" s="16" t="n">
        <f aca="false">Data!E65+Data!E66+Data!E67+Data!E68+Data!E69+Data!E70+Data!E71+Data!E72+Data!E73+Data!E74+Data!E75+Data!E76</f>
        <v>762395</v>
      </c>
      <c r="G76" s="16" t="n">
        <f aca="false">Data!K65+Data!K66+Data!K67+Data!K68+Data!K69+Data!K70+Data!K71+Data!K72+Data!K73+Data!K74+Data!K75+Data!K76</f>
        <v>847224</v>
      </c>
      <c r="H76" s="16" t="n">
        <f aca="false">Data!L65+Data!L66+Data!L67+Data!L68+Data!L69+Data!L70+Data!L71+Data!L72+Data!L73+Data!L74+Data!L75+Data!L76</f>
        <v>272271</v>
      </c>
      <c r="I76" s="16" t="n">
        <f aca="false">Data!G65+Data!G66+Data!G67+Data!G68+Data!G69+Data!G70+Data!G71+Data!G72+Data!G73+Data!G74+Data!G75+Data!G76</f>
        <v>672058</v>
      </c>
      <c r="J76" s="16" t="n">
        <f aca="false">Data!H65+Data!I65+Data!J65+Data!M65+Data!H66+Data!I66+Data!J66+Data!M66+Data!H67+Data!I67+Data!J67+Data!M67+Data!H68+Data!I68+Data!J68+Data!M68+Data!H69+Data!I69+Data!J69+Data!M69+Data!H70+Data!I70+Data!J70+Data!M70+Data!H71+Data!I71+Data!J71+Data!M71+Data!H72+Data!I72+Data!J72+Data!M72+Data!H73+Data!I73+Data!J73+Data!M73+Data!H74+Data!I74+Data!J74+Data!M74+Data!H75+Data!I75+Data!J75+Data!M75+Data!H76+Data!I76+Data!J76+Data!M76</f>
        <v>802472</v>
      </c>
      <c r="K76" s="16" t="n">
        <f aca="false">Data!F65+Data!F66+Data!F67+Data!F68+Data!F69+Data!F70+Data!F71+Data!F72+Data!F73+Data!F74+Data!F75+Data!F76</f>
        <v>2184481</v>
      </c>
      <c r="L76" s="16" t="n">
        <f aca="false">Data!N65+Data!O65+Data!P65+Data!Q65+Data!R65+Data!S65+Data!N66+Data!O66+Data!P66+Data!Q66+Data!R66+Data!S66+Data!N67+Data!O67+Data!P67+Data!Q67+Data!R67+Data!S67+Data!N68+Data!O68+Data!P68+Data!Q68+Data!R68+Data!S68+Data!N69+Data!O69+Data!P69+Data!Q69+Data!R69+Data!S69+Data!N70+Data!O70+Data!P70+Data!Q70+Data!R70+Data!S70+Data!N71+Data!O71+Data!P71+Data!Q71+Data!R71+Data!S71+Data!N72+Data!O72+Data!P72+Data!Q72+Data!R72+Data!S72+Data!N73+Data!O73+Data!P73+Data!Q73+Data!R73+Data!S73+Data!N74+Data!O74+Data!P74+Data!Q74+Data!R74+Data!S74+Data!N75+Data!O75+Data!P75+Data!Q75+Data!R75+Data!S75+Data!N76+Data!O76+Data!P76+Data!Q76+Data!R76+Data!S76</f>
        <v>1270004</v>
      </c>
      <c r="M76" s="15" t="n">
        <f aca="false">Data!T65+Data!U65+Data!V65+Data!W65+Data!X65+Data!Y65+Data!Z65+Data!AA65+Data!AB65+Data!AC65+Data!AD65+Data!AE65+Data!AF65+Data!AG65+Data!AH65+Data!AI65+Data!AJ65+Data!AK65+Data!AL65+Data!T66+Data!U66+Data!V66+Data!W66+Data!X66+Data!Y66+Data!Z66+Data!AA66+Data!AB66+Data!AC66+Data!AD66+Data!AE66+Data!AF66+Data!AG66+Data!AH66+Data!AI66+Data!AJ66+Data!AK66+Data!AL66+Data!T67+Data!U67+Data!V67+Data!W67+Data!X67+Data!Y67+Data!Z67+Data!AA67+Data!AB67+Data!AC67+Data!AD67+Data!AE67+Data!AF67+Data!AG67+Data!AH67+Data!AI67+Data!AJ67+Data!AK67+Data!AL67+Data!T68+Data!U68+Data!V68+Data!W68+Data!X68+Data!Y68+Data!Z68+Data!AA68+Data!AB68+Data!AC68+Data!AD68+Data!AE68+Data!AF68+Data!AG68+Data!AH68+Data!AI68+Data!AJ68+Data!AK68+Data!AL68+Data!T69+Data!U69+Data!V69+Data!W69+Data!X69+Data!Y69+Data!Z69+Data!AA69+Data!AB69+Data!AC69+Data!AD69+Data!AE69+Data!AF69+Data!AG69+Data!AH69+Data!AI69+Data!AJ69+Data!AK69+Data!AL69+Data!T70+Data!U70+Data!V70+Data!W70+Data!X70+Data!Y70+Data!Z70+Data!AA70+Data!AB70+Data!AC70+Data!AD70+Data!AE70+Data!AF70+Data!AG70+Data!AH70+Data!AI70+Data!AJ70+Data!AK70+Data!AL70+Data!T71+Data!U71+Data!V71+Data!W71+Data!X71+Data!Y71+Data!Z71+Data!AA71+Data!AB71+Data!AC71+Data!AD71+Data!AE71+Data!AF71+Data!AG71+Data!AH71+Data!AI71+Data!AJ71+Data!AK71+Data!AL71+Data!T72+Data!U72+Data!V72+Data!W72+Data!X72+Data!Y72+Data!Z72+Data!AA72+Data!AB72+Data!AC72+Data!AD72+Data!AE72+Data!AF72+Data!AG72+Data!AH72+Data!AI72+Data!AJ72+Data!AK72+Data!AL72+Data!T73+Data!U73+Data!V73+Data!W73+Data!X73+Data!Y73+Data!Z73+Data!AA73+Data!AB73+Data!AC73+Data!AD73+Data!AE73+Data!AF73+Data!AG73+Data!AH73+Data!AI73+Data!AJ73+Data!AK73+Data!AL73+Data!T74+Data!U74+Data!V74+Data!W74+Data!X74+Data!Y74+Data!Z74+Data!AA74+Data!AB74+Data!AC74+Data!AD74+Data!AE74+Data!AF74+Data!AG74+Data!AH74+Data!AI74+Data!AJ74+Data!AK74+Data!AL74+Data!T75+Data!U75+Data!V75+Data!W75+Data!X75+Data!Y75+Data!Z75+Data!AA75+Data!AB75+Data!AC75+Data!AD75+Data!AE75+Data!AF75+Data!AG75+Data!AH75+Data!AI75+Data!AJ75+Data!AK75+Data!AL75+Data!T76+Data!U76+Data!V76+Data!W76+Data!X76+Data!Y76+Data!Z76+Data!AA76+Data!AB76+Data!AC76+Data!AD76+Data!AE76+Data!AF76+Data!AG76+Data!AH76+Data!AI76+Data!AJ76+Data!AK76+Data!AL76</f>
        <v>8861256</v>
      </c>
      <c r="N76" s="16" t="n">
        <f aca="false">Data!T65+Data!U65+Data!V65+Data!W65+Data!T66+Data!U66+Data!V66+Data!W66+Data!T67+Data!U67+Data!V67+Data!W67+Data!T68+Data!U68+Data!V68+Data!W68+Data!T69+Data!U69+Data!V69+Data!W69+Data!T70+Data!U70+Data!V70+Data!W70+Data!T71+Data!U71+Data!V71+Data!W71+Data!T72+Data!U72+Data!V72+Data!W72+Data!T73+Data!U73+Data!V73+Data!W73+Data!T74+Data!U74+Data!V74+Data!W74+Data!T75+Data!U75+Data!V75+Data!W75+Data!T76+Data!U76+Data!V76+Data!W76</f>
        <v>4266315</v>
      </c>
      <c r="O76" s="16" t="n">
        <f aca="false">Data!T65+Data!T66+Data!T67+Data!T68+Data!T69+Data!T70+Data!T71+Data!T72+Data!T73+Data!T74+Data!T75+Data!T76</f>
        <v>3095183</v>
      </c>
      <c r="P76" s="16" t="n">
        <f aca="false">Data!U65+Data!U66+Data!U67+Data!U68+Data!U69+Data!U70+Data!U71+Data!U72+Data!U73+Data!U74+Data!U75+Data!U76</f>
        <v>536740</v>
      </c>
      <c r="Q76" s="16" t="n">
        <f aca="false">Data!V65+Data!V66+Data!V67+Data!V68+Data!V69+Data!V70+Data!V71+Data!V72+Data!V73+Data!V74+Data!V75+Data!V76</f>
        <v>301908</v>
      </c>
      <c r="R76" s="16" t="n">
        <f aca="false">Data!W65+Data!W66+Data!W67+Data!W68+Data!W69+Data!W70+Data!W71+Data!W72+Data!W73+Data!W74+Data!W75+Data!W76</f>
        <v>332484</v>
      </c>
      <c r="S76" s="16" t="n">
        <f aca="false">Data!X65+Data!X66+Data!X67+Data!X68+Data!X69+Data!X70+Data!X71+Data!X72+Data!X73+Data!X74+Data!X75+Data!X76</f>
        <v>684235</v>
      </c>
      <c r="T76" s="16" t="n">
        <f aca="false">Data!Y65+Data!Z65+Data!AA65+Data!Y66+Data!Z66+Data!AA66+Data!Y67+Data!Z67+Data!AA67+Data!Y68+Data!Z68+Data!AA68+Data!Y69+Data!Z69+Data!AA69+Data!Y70+Data!Z70+Data!AA70+Data!Y71+Data!Z71+Data!AA71+Data!Y72+Data!Z72+Data!AA72+Data!Y73+Data!Z73+Data!AA73+Data!Y74+Data!Z74+Data!AA74+Data!Y75+Data!Z75+Data!AA75+Data!Y76+Data!Z76+Data!AA76</f>
        <v>1228840</v>
      </c>
      <c r="U76" s="16" t="n">
        <f aca="false">Data!Y65+Data!Y66+Data!Y67+Data!Y68+Data!Y69+Data!Y70+Data!Y71+Data!Y72+Data!Y73+Data!Y74+Data!Y75+Data!Y76</f>
        <v>923942</v>
      </c>
      <c r="V76" s="16" t="n">
        <f aca="false">Data!Z65+Data!Z66+Data!Z67+Data!Z68+Data!Z69+Data!Z70+Data!Z71+Data!Z72+Data!Z73+Data!Z74+Data!Z75+Data!Z76</f>
        <v>284445</v>
      </c>
      <c r="W76" s="16" t="n">
        <f aca="false">Data!AB65+Data!AB66+Data!AB67+Data!AB68+Data!AB69+Data!AB70+Data!AB71+Data!AB72+Data!AB73+Data!AB74+Data!AB75+Data!AB76</f>
        <v>967523</v>
      </c>
      <c r="X76" s="16" t="n">
        <f aca="false">Data!AC65+Data!AC66+Data!AC67+Data!AC68+Data!AC69+Data!AC70+Data!AC71+Data!AC72+Data!AC73+Data!AC74+Data!AC75+Data!AC76</f>
        <v>399031</v>
      </c>
      <c r="Y76" s="16" t="n">
        <f aca="false">Data!AD65+Data!AE65+Data!AF65+Data!AG65+Data!AH65+Data!AD66+Data!AE66+Data!AF66+Data!AG66+Data!AH66+Data!AD67+Data!AE67+Data!AF67+Data!AG67+Data!AH67+Data!AD68+Data!AE68+Data!AF68+Data!AG68+Data!AH68+Data!AD69+Data!AE69+Data!AF69+Data!AG69+Data!AH69+Data!AD70+Data!AE70+Data!AF70+Data!AG70+Data!AH70+Data!AD71+Data!AE71+Data!AF71+Data!AG71+Data!AH71+Data!AD72+Data!AE72+Data!AF72+Data!AG72+Data!AH72+Data!AD73+Data!AE73+Data!AF73+Data!AG73+Data!AH73+Data!AD74+Data!AE74+Data!AF74+Data!AG74+Data!AH74+Data!AD75+Data!AE75+Data!AF75+Data!AG75+Data!AH75+Data!AD76+Data!AE76+Data!AF76+Data!AG76+Data!AH76</f>
        <v>327033</v>
      </c>
      <c r="Z76" s="16" t="n">
        <f aca="false">Data!AI65+Data!AI66+Data!AI67+Data!AI68+Data!AI69+Data!AI70+Data!AI71+Data!AI72+Data!AI73+Data!AI74+Data!AI75+Data!AI76</f>
        <v>268017</v>
      </c>
      <c r="AA76" s="16" t="n">
        <f aca="false">Data!AJ65+Data!AJ66+Data!AJ67+Data!AJ68+Data!AJ69+Data!AJ70+Data!AJ71+Data!AJ72+Data!AJ73+Data!AJ74+Data!AJ75+Data!AJ76</f>
        <v>0</v>
      </c>
      <c r="AB76" s="16" t="n">
        <f aca="false">Data!AK65+Data!AK66+Data!AK67+Data!AK68+Data!AK69+Data!AK70+Data!AK71+Data!AK72+Data!AK73+Data!AK74+Data!AK75+Data!AK76</f>
        <v>176635</v>
      </c>
      <c r="AC76" s="16" t="n">
        <f aca="false">Data!AL65+Data!AL66+Data!AL67+Data!AL68+Data!AL69+Data!AL70+Data!AL71+Data!AL72+Data!AL73+Data!AL74+Data!AL75+Data!AL76</f>
        <v>543627</v>
      </c>
      <c r="AD76" s="15" t="n">
        <f aca="false">Data!AM65+Data!AM66+Data!AM67+Data!AM68+Data!AM69+Data!AM70+Data!AM71+Data!AM72+Data!AM73+Data!AM74+Data!AM75+Data!AM76</f>
        <v>-715564</v>
      </c>
      <c r="AE76" s="16" t="n">
        <f aca="false">Data!AN65+Data!AN66+Data!AN67+Data!AN68+Data!AN69+Data!AN70+Data!AN71+Data!AN72+Data!AN73+Data!AN74+Data!AN75+Data!AN76</f>
        <v>640773</v>
      </c>
      <c r="AF76" s="15" t="n">
        <f aca="false">Data!AO65+Data!AO66+Data!AO67+Data!AO68+Data!AO69+Data!AO70+Data!AO71+Data!AO72+Data!AO73+Data!AO74+Data!AO75+Data!AO76</f>
        <v>-1356336</v>
      </c>
    </row>
    <row r="77" customFormat="false" ht="15" hidden="false" customHeight="false" outlineLevel="0" collapsed="false">
      <c r="B77" s="14" t="str">
        <f aca="false">Data!B77</f>
        <v>2021-11</v>
      </c>
      <c r="C77" s="15" t="n">
        <f aca="false">Data!D66+Data!E66+Data!F66+Data!G66+Data!H66+Data!I66+Data!J66+Data!K66+Data!L66+Data!M66+Data!N66+Data!O66+Data!P66+Data!Q66+Data!R66+Data!S66+Data!D67+Data!E67+Data!F67+Data!G67+Data!H67+Data!I67+Data!J67+Data!K67+Data!L67+Data!M67+Data!N67+Data!O67+Data!P67+Data!Q67+Data!R67+Data!S67+Data!D68+Data!E68+Data!F68+Data!G68+Data!H68+Data!I68+Data!J68+Data!K68+Data!L68+Data!M68+Data!N68+Data!O68+Data!P68+Data!Q68+Data!R68+Data!S68+Data!D69+Data!E69+Data!F69+Data!G69+Data!H69+Data!I69+Data!J69+Data!K69+Data!L69+Data!M69+Data!N69+Data!O69+Data!P69+Data!Q69+Data!R69+Data!S69+Data!D70+Data!E70+Data!F70+Data!G70+Data!H70+Data!I70+Data!J70+Data!K70+Data!L70+Data!M70+Data!N70+Data!O70+Data!P70+Data!Q70+Data!R70+Data!S70+Data!D71+Data!E71+Data!F71+Data!G71+Data!H71+Data!I71+Data!J71+Data!K71+Data!L71+Data!M71+Data!N71+Data!O71+Data!P71+Data!Q71+Data!R71+Data!S71+Data!D72+Data!E72+Data!F72+Data!G72+Data!H72+Data!I72+Data!J72+Data!K72+Data!L72+Data!M72+Data!N72+Data!O72+Data!P72+Data!Q72+Data!R72+Data!S72+Data!D73+Data!E73+Data!F73+Data!G73+Data!H73+Data!I73+Data!J73+Data!K73+Data!L73+Data!M73+Data!N73+Data!O73+Data!P73+Data!Q73+Data!R73+Data!S73+Data!D74+Data!E74+Data!F74+Data!G74+Data!H74+Data!I74+Data!J74+Data!K74+Data!L74+Data!M74+Data!N74+Data!O74+Data!P74+Data!Q74+Data!R74+Data!S74+Data!D75+Data!E75+Data!F75+Data!G75+Data!H75+Data!I75+Data!J75+Data!K75+Data!L75+Data!M75+Data!N75+Data!O75+Data!P75+Data!Q75+Data!R75+Data!S75+Data!D76+Data!E76+Data!F76+Data!G76+Data!H76+Data!I76+Data!J76+Data!K76+Data!L76+Data!M76+Data!N76+Data!O76+Data!P76+Data!Q76+Data!R76+Data!S76+Data!D77+Data!E77+Data!F77+Data!G77+Data!H77+Data!I77+Data!J77+Data!K77+Data!L77+Data!M77+Data!N77+Data!O77+Data!P77+Data!Q77+Data!R77+Data!S77</f>
        <v>8470326</v>
      </c>
      <c r="D77" s="16" t="n">
        <f aca="false">Data!D66+Data!E66+Data!G66+Data!H66+Data!I66+Data!J66+Data!K66+Data!L66+Data!M66+Data!D67+Data!E67+Data!G67+Data!H67+Data!I67+Data!J67+Data!K67+Data!L67+Data!M67+Data!D68+Data!E68+Data!G68+Data!H68+Data!I68+Data!J68+Data!K68+Data!L68+Data!M68+Data!D69+Data!E69+Data!G69+Data!H69+Data!I69+Data!J69+Data!K69+Data!L69+Data!M69+Data!D70+Data!E70+Data!G70+Data!H70+Data!I70+Data!J70+Data!K70+Data!L70+Data!M70+Data!D71+Data!E71+Data!G71+Data!H71+Data!I71+Data!J71+Data!K71+Data!L71+Data!M71+Data!D72+Data!E72+Data!G72+Data!H72+Data!I72+Data!J72+Data!K72+Data!L72+Data!M72+Data!D73+Data!E73+Data!G73+Data!H73+Data!I73+Data!J73+Data!K73+Data!L73+Data!M73+Data!D74+Data!E74+Data!G74+Data!H74+Data!I74+Data!J74+Data!K74+Data!L74+Data!M74+Data!D75+Data!E75+Data!G75+Data!H75+Data!I75+Data!J75+Data!K75+Data!L75+Data!M75+Data!D76+Data!E76+Data!G76+Data!H76+Data!I76+Data!J76+Data!K76+Data!L76+Data!M76+Data!D77+Data!E77+Data!G77+Data!H77+Data!I77+Data!J77+Data!K77+Data!L77+Data!M77</f>
        <v>4870368</v>
      </c>
      <c r="E77" s="16" t="n">
        <f aca="false">Data!D66+Data!D67+Data!D68+Data!D69+Data!D70+Data!D71+Data!D72+Data!D73+Data!D74+Data!D75+Data!D76+Data!D77</f>
        <v>1389334</v>
      </c>
      <c r="F77" s="16" t="n">
        <f aca="false">Data!E66+Data!E67+Data!E68+Data!E69+Data!E70+Data!E71+Data!E72+Data!E73+Data!E74+Data!E75+Data!E76+Data!E77</f>
        <v>788934</v>
      </c>
      <c r="G77" s="16" t="n">
        <f aca="false">Data!K66+Data!K67+Data!K68+Data!K69+Data!K70+Data!K71+Data!K72+Data!K73+Data!K74+Data!K75+Data!K76+Data!K77</f>
        <v>879520</v>
      </c>
      <c r="H77" s="16" t="n">
        <f aca="false">Data!L66+Data!L67+Data!L68+Data!L69+Data!L70+Data!L71+Data!L72+Data!L73+Data!L74+Data!L75+Data!L76+Data!L77</f>
        <v>283795</v>
      </c>
      <c r="I77" s="16" t="n">
        <f aca="false">Data!G66+Data!G67+Data!G68+Data!G69+Data!G70+Data!G71+Data!G72+Data!G73+Data!G74+Data!G75+Data!G76+Data!G77</f>
        <v>698536</v>
      </c>
      <c r="J77" s="16" t="n">
        <f aca="false">Data!H66+Data!I66+Data!J66+Data!M66+Data!H67+Data!I67+Data!J67+Data!M67+Data!H68+Data!I68+Data!J68+Data!M68+Data!H69+Data!I69+Data!J69+Data!M69+Data!H70+Data!I70+Data!J70+Data!M70+Data!H71+Data!I71+Data!J71+Data!M71+Data!H72+Data!I72+Data!J72+Data!M72+Data!H73+Data!I73+Data!J73+Data!M73+Data!H74+Data!I74+Data!J74+Data!M74+Data!H75+Data!I75+Data!J75+Data!M75+Data!H76+Data!I76+Data!J76+Data!M76+Data!H77+Data!I77+Data!J77+Data!M77</f>
        <v>830249</v>
      </c>
      <c r="K77" s="16" t="n">
        <f aca="false">Data!F66+Data!F67+Data!F68+Data!F69+Data!F70+Data!F71+Data!F72+Data!F73+Data!F74+Data!F75+Data!F76+Data!F77</f>
        <v>2274556</v>
      </c>
      <c r="L77" s="16" t="n">
        <f aca="false">Data!N66+Data!O66+Data!P66+Data!Q66+Data!R66+Data!S66+Data!N67+Data!O67+Data!P67+Data!Q67+Data!R67+Data!S67+Data!N68+Data!O68+Data!P68+Data!Q68+Data!R68+Data!S68+Data!N69+Data!O69+Data!P69+Data!Q69+Data!R69+Data!S69+Data!N70+Data!O70+Data!P70+Data!Q70+Data!R70+Data!S70+Data!N71+Data!O71+Data!P71+Data!Q71+Data!R71+Data!S71+Data!N72+Data!O72+Data!P72+Data!Q72+Data!R72+Data!S72+Data!N73+Data!O73+Data!P73+Data!Q73+Data!R73+Data!S73+Data!N74+Data!O74+Data!P74+Data!Q74+Data!R74+Data!S74+Data!N75+Data!O75+Data!P75+Data!Q75+Data!R75+Data!S75+Data!N76+Data!O76+Data!P76+Data!Q76+Data!R76+Data!S76+Data!N77+Data!O77+Data!P77+Data!Q77+Data!R77+Data!S77</f>
        <v>1325402</v>
      </c>
      <c r="M77" s="15" t="n">
        <f aca="false">Data!T66+Data!U66+Data!V66+Data!W66+Data!X66+Data!Y66+Data!Z66+Data!AA66+Data!AB66+Data!AC66+Data!AD66+Data!AE66+Data!AF66+Data!AG66+Data!AH66+Data!AI66+Data!AJ66+Data!AK66+Data!AL66+Data!T67+Data!U67+Data!V67+Data!W67+Data!X67+Data!Y67+Data!Z67+Data!AA67+Data!AB67+Data!AC67+Data!AD67+Data!AE67+Data!AF67+Data!AG67+Data!AH67+Data!AI67+Data!AJ67+Data!AK67+Data!AL67+Data!T68+Data!U68+Data!V68+Data!W68+Data!X68+Data!Y68+Data!Z68+Data!AA68+Data!AB68+Data!AC68+Data!AD68+Data!AE68+Data!AF68+Data!AG68+Data!AH68+Data!AI68+Data!AJ68+Data!AK68+Data!AL68+Data!T69+Data!U69+Data!V69+Data!W69+Data!X69+Data!Y69+Data!Z69+Data!AA69+Data!AB69+Data!AC69+Data!AD69+Data!AE69+Data!AF69+Data!AG69+Data!AH69+Data!AI69+Data!AJ69+Data!AK69+Data!AL69+Data!T70+Data!U70+Data!V70+Data!W70+Data!X70+Data!Y70+Data!Z70+Data!AA70+Data!AB70+Data!AC70+Data!AD70+Data!AE70+Data!AF70+Data!AG70+Data!AH70+Data!AI70+Data!AJ70+Data!AK70+Data!AL70+Data!T71+Data!U71+Data!V71+Data!W71+Data!X71+Data!Y71+Data!Z71+Data!AA71+Data!AB71+Data!AC71+Data!AD71+Data!AE71+Data!AF71+Data!AG71+Data!AH71+Data!AI71+Data!AJ71+Data!AK71+Data!AL71+Data!T72+Data!U72+Data!V72+Data!W72+Data!X72+Data!Y72+Data!Z72+Data!AA72+Data!AB72+Data!AC72+Data!AD72+Data!AE72+Data!AF72+Data!AG72+Data!AH72+Data!AI72+Data!AJ72+Data!AK72+Data!AL72+Data!T73+Data!U73+Data!V73+Data!W73+Data!X73+Data!Y73+Data!Z73+Data!AA73+Data!AB73+Data!AC73+Data!AD73+Data!AE73+Data!AF73+Data!AG73+Data!AH73+Data!AI73+Data!AJ73+Data!AK73+Data!AL73+Data!T74+Data!U74+Data!V74+Data!W74+Data!X74+Data!Y74+Data!Z74+Data!AA74+Data!AB74+Data!AC74+Data!AD74+Data!AE74+Data!AF74+Data!AG74+Data!AH74+Data!AI74+Data!AJ74+Data!AK74+Data!AL74+Data!T75+Data!U75+Data!V75+Data!W75+Data!X75+Data!Y75+Data!Z75+Data!AA75+Data!AB75+Data!AC75+Data!AD75+Data!AE75+Data!AF75+Data!AG75+Data!AH75+Data!AI75+Data!AJ75+Data!AK75+Data!AL75+Data!T76+Data!U76+Data!V76+Data!W76+Data!X76+Data!Y76+Data!Z76+Data!AA76+Data!AB76+Data!AC76+Data!AD76+Data!AE76+Data!AF76+Data!AG76+Data!AH76+Data!AI76+Data!AJ76+Data!AK76+Data!AL76+Data!T77+Data!U77+Data!V77+Data!W77+Data!X77+Data!Y77+Data!Z77+Data!AA77+Data!AB77+Data!AC77+Data!AD77+Data!AE77+Data!AF77+Data!AG77+Data!AH77+Data!AI77+Data!AJ77+Data!AK77+Data!AL77</f>
        <v>9261850</v>
      </c>
      <c r="N77" s="16" t="n">
        <f aca="false">Data!T66+Data!U66+Data!V66+Data!W66+Data!T67+Data!U67+Data!V67+Data!W67+Data!T68+Data!U68+Data!V68+Data!W68+Data!T69+Data!U69+Data!V69+Data!W69+Data!T70+Data!U70+Data!V70+Data!W70+Data!T71+Data!U71+Data!V71+Data!W71+Data!T72+Data!U72+Data!V72+Data!W72+Data!T73+Data!U73+Data!V73+Data!W73+Data!T74+Data!U74+Data!V74+Data!W74+Data!T75+Data!U75+Data!V75+Data!W75+Data!T76+Data!U76+Data!V76+Data!W76+Data!T77+Data!U77+Data!V77+Data!W77</f>
        <v>4408785</v>
      </c>
      <c r="O77" s="16" t="n">
        <f aca="false">Data!T66+Data!T67+Data!T68+Data!T69+Data!T70+Data!T71+Data!T72+Data!T73+Data!T74+Data!T75+Data!T76+Data!T77</f>
        <v>3194766</v>
      </c>
      <c r="P77" s="16" t="n">
        <f aca="false">Data!U66+Data!U67+Data!U68+Data!U69+Data!U70+Data!U71+Data!U72+Data!U73+Data!U74+Data!U75+Data!U76+Data!U77</f>
        <v>566711</v>
      </c>
      <c r="Q77" s="16" t="n">
        <f aca="false">Data!V66+Data!V67+Data!V68+Data!V69+Data!V70+Data!V71+Data!V72+Data!V73+Data!V74+Data!V75+Data!V76+Data!V77</f>
        <v>312222</v>
      </c>
      <c r="R77" s="16" t="n">
        <f aca="false">Data!W66+Data!W67+Data!W68+Data!W69+Data!W70+Data!W71+Data!W72+Data!W73+Data!W74+Data!W75+Data!W76+Data!W77</f>
        <v>335086</v>
      </c>
      <c r="S77" s="16" t="n">
        <f aca="false">Data!X66+Data!X67+Data!X68+Data!X69+Data!X70+Data!X71+Data!X72+Data!X73+Data!X74+Data!X75+Data!X76+Data!X77</f>
        <v>718048</v>
      </c>
      <c r="T77" s="16" t="n">
        <f aca="false">Data!Y66+Data!Z66+Data!AA66+Data!Y67+Data!Z67+Data!AA67+Data!Y68+Data!Z68+Data!AA68+Data!Y69+Data!Z69+Data!AA69+Data!Y70+Data!Z70+Data!AA70+Data!Y71+Data!Z71+Data!AA71+Data!Y72+Data!Z72+Data!AA72+Data!Y73+Data!Z73+Data!AA73+Data!Y74+Data!Z74+Data!AA74+Data!Y75+Data!Z75+Data!AA75+Data!Y76+Data!Z76+Data!AA76+Data!Y77+Data!Z77+Data!AA77</f>
        <v>1302542</v>
      </c>
      <c r="U77" s="16" t="n">
        <f aca="false">Data!Y66+Data!Y67+Data!Y68+Data!Y69+Data!Y70+Data!Y71+Data!Y72+Data!Y73+Data!Y74+Data!Y75+Data!Y76+Data!Y77</f>
        <v>989545</v>
      </c>
      <c r="V77" s="16" t="n">
        <f aca="false">Data!Z66+Data!Z67+Data!Z68+Data!Z69+Data!Z70+Data!Z71+Data!Z72+Data!Z73+Data!Z74+Data!Z75+Data!Z76+Data!Z77</f>
        <v>292157</v>
      </c>
      <c r="W77" s="16" t="n">
        <f aca="false">Data!AB66+Data!AB67+Data!AB68+Data!AB69+Data!AB70+Data!AB71+Data!AB72+Data!AB73+Data!AB74+Data!AB75+Data!AB76+Data!AB77</f>
        <v>1010360</v>
      </c>
      <c r="X77" s="16" t="n">
        <f aca="false">Data!AC66+Data!AC67+Data!AC68+Data!AC69+Data!AC70+Data!AC71+Data!AC72+Data!AC73+Data!AC74+Data!AC75+Data!AC76+Data!AC77</f>
        <v>420042</v>
      </c>
      <c r="Y77" s="16" t="n">
        <f aca="false">Data!AD66+Data!AE66+Data!AF66+Data!AG66+Data!AH66+Data!AD67+Data!AE67+Data!AF67+Data!AG67+Data!AH67+Data!AD68+Data!AE68+Data!AF68+Data!AG68+Data!AH68+Data!AD69+Data!AE69+Data!AF69+Data!AG69+Data!AH69+Data!AD70+Data!AE70+Data!AF70+Data!AG70+Data!AH70+Data!AD71+Data!AE71+Data!AF71+Data!AG71+Data!AH71+Data!AD72+Data!AE72+Data!AF72+Data!AG72+Data!AH72+Data!AD73+Data!AE73+Data!AF73+Data!AG73+Data!AH73+Data!AD74+Data!AE74+Data!AF74+Data!AG74+Data!AH74+Data!AD75+Data!AE75+Data!AF75+Data!AG75+Data!AH75+Data!AD76+Data!AE76+Data!AF76+Data!AG76+Data!AH76+Data!AD77+Data!AE77+Data!AF77+Data!AG77+Data!AH77</f>
        <v>347227</v>
      </c>
      <c r="Z77" s="16" t="n">
        <f aca="false">Data!AI66+Data!AI67+Data!AI68+Data!AI69+Data!AI70+Data!AI71+Data!AI72+Data!AI73+Data!AI74+Data!AI75+Data!AI76+Data!AI77</f>
        <v>280119</v>
      </c>
      <c r="AA77" s="16" t="n">
        <f aca="false">Data!AJ66+Data!AJ67+Data!AJ68+Data!AJ69+Data!AJ70+Data!AJ71+Data!AJ72+Data!AJ73+Data!AJ74+Data!AJ75+Data!AJ76+Data!AJ77</f>
        <v>0</v>
      </c>
      <c r="AB77" s="16" t="n">
        <f aca="false">Data!AK66+Data!AK67+Data!AK68+Data!AK69+Data!AK70+Data!AK71+Data!AK72+Data!AK73+Data!AK74+Data!AK75+Data!AK76+Data!AK77</f>
        <v>185060</v>
      </c>
      <c r="AC77" s="16" t="n">
        <f aca="false">Data!AL66+Data!AL67+Data!AL68+Data!AL69+Data!AL70+Data!AL71+Data!AL72+Data!AL73+Data!AL74+Data!AL75+Data!AL76+Data!AL77</f>
        <v>589667</v>
      </c>
      <c r="AD77" s="15" t="n">
        <f aca="false">Data!AM66+Data!AM67+Data!AM68+Data!AM69+Data!AM70+Data!AM71+Data!AM72+Data!AM73+Data!AM74+Data!AM75+Data!AM76+Data!AM77</f>
        <v>-791524</v>
      </c>
      <c r="AE77" s="16" t="n">
        <f aca="false">Data!AN66+Data!AN67+Data!AN68+Data!AN69+Data!AN70+Data!AN71+Data!AN72+Data!AN73+Data!AN74+Data!AN75+Data!AN76+Data!AN77</f>
        <v>679872</v>
      </c>
      <c r="AF77" s="15" t="n">
        <f aca="false">Data!AO66+Data!AO67+Data!AO68+Data!AO69+Data!AO70+Data!AO71+Data!AO72+Data!AO73+Data!AO74+Data!AO75+Data!AO76+Data!AO77</f>
        <v>-1471396</v>
      </c>
    </row>
    <row r="78" customFormat="false" ht="15" hidden="false" customHeight="false" outlineLevel="0" collapsed="false">
      <c r="B78" s="14" t="str">
        <f aca="false">Data!B78</f>
        <v>2021-12</v>
      </c>
      <c r="C78" s="15" t="n">
        <f aca="false">Data!D67+Data!E67+Data!F67+Data!G67+Data!H67+Data!I67+Data!J67+Data!K67+Data!L67+Data!M67+Data!N67+Data!O67+Data!P67+Data!Q67+Data!R67+Data!S67+Data!D68+Data!E68+Data!F68+Data!G68+Data!H68+Data!I68+Data!J68+Data!K68+Data!L68+Data!M68+Data!N68+Data!O68+Data!P68+Data!Q68+Data!R68+Data!S68+Data!D69+Data!E69+Data!F69+Data!G69+Data!H69+Data!I69+Data!J69+Data!K69+Data!L69+Data!M69+Data!N69+Data!O69+Data!P69+Data!Q69+Data!R69+Data!S69+Data!D70+Data!E70+Data!F70+Data!G70+Data!H70+Data!I70+Data!J70+Data!K70+Data!L70+Data!M70+Data!N70+Data!O70+Data!P70+Data!Q70+Data!R70+Data!S70+Data!D71+Data!E71+Data!F71+Data!G71+Data!H71+Data!I71+Data!J71+Data!K71+Data!L71+Data!M71+Data!N71+Data!O71+Data!P71+Data!Q71+Data!R71+Data!S71+Data!D72+Data!E72+Data!F72+Data!G72+Data!H72+Data!I72+Data!J72+Data!K72+Data!L72+Data!M72+Data!N72+Data!O72+Data!P72+Data!Q72+Data!R72+Data!S72+Data!D73+Data!E73+Data!F73+Data!G73+Data!H73+Data!I73+Data!J73+Data!K73+Data!L73+Data!M73+Data!N73+Data!O73+Data!P73+Data!Q73+Data!R73+Data!S73+Data!D74+Data!E74+Data!F74+Data!G74+Data!H74+Data!I74+Data!J74+Data!K74+Data!L74+Data!M74+Data!N74+Data!O74+Data!P74+Data!Q74+Data!R74+Data!S74+Data!D75+Data!E75+Data!F75+Data!G75+Data!H75+Data!I75+Data!J75+Data!K75+Data!L75+Data!M75+Data!N75+Data!O75+Data!P75+Data!Q75+Data!R75+Data!S75+Data!D76+Data!E76+Data!F76+Data!G76+Data!H76+Data!I76+Data!J76+Data!K76+Data!L76+Data!M76+Data!N76+Data!O76+Data!P76+Data!Q76+Data!R76+Data!S76+Data!D77+Data!E77+Data!F77+Data!G77+Data!H77+Data!I77+Data!J77+Data!K77+Data!L77+Data!M77+Data!N77+Data!O77+Data!P77+Data!Q77+Data!R77+Data!S77+Data!D78+Data!E78+Data!F78+Data!G78+Data!H78+Data!I78+Data!J78+Data!K78+Data!L78+Data!M78+Data!N78+Data!O78+Data!P78+Data!Q78+Data!R78+Data!S78</f>
        <v>8880150</v>
      </c>
      <c r="D78" s="16" t="n">
        <f aca="false">Data!D67+Data!E67+Data!G67+Data!H67+Data!I67+Data!J67+Data!K67+Data!L67+Data!M67+Data!D68+Data!E68+Data!G68+Data!H68+Data!I68+Data!J68+Data!K68+Data!L68+Data!M68+Data!D69+Data!E69+Data!G69+Data!H69+Data!I69+Data!J69+Data!K69+Data!L69+Data!M69+Data!D70+Data!E70+Data!G70+Data!H70+Data!I70+Data!J70+Data!K70+Data!L70+Data!M70+Data!D71+Data!E71+Data!G71+Data!H71+Data!I71+Data!J71+Data!K71+Data!L71+Data!M71+Data!D72+Data!E72+Data!G72+Data!H72+Data!I72+Data!J72+Data!K72+Data!L72+Data!M72+Data!D73+Data!E73+Data!G73+Data!H73+Data!I73+Data!J73+Data!K73+Data!L73+Data!M73+Data!D74+Data!E74+Data!G74+Data!H74+Data!I74+Data!J74+Data!K74+Data!L74+Data!M74+Data!D75+Data!E75+Data!G75+Data!H75+Data!I75+Data!J75+Data!K75+Data!L75+Data!M75+Data!D76+Data!E76+Data!G76+Data!H76+Data!I76+Data!J76+Data!K76+Data!L76+Data!M76+Data!D77+Data!E77+Data!G77+Data!H77+Data!I77+Data!J77+Data!K77+Data!L77+Data!M77+Data!D78+Data!E78+Data!G78+Data!H78+Data!I78+Data!J78+Data!K78+Data!L78+Data!M78</f>
        <v>5128530</v>
      </c>
      <c r="E78" s="16" t="n">
        <f aca="false">Data!D67+Data!D68+Data!D69+Data!D70+Data!D71+Data!D72+Data!D73+Data!D74+Data!D75+Data!D76+Data!D77+Data!D78</f>
        <v>1457449</v>
      </c>
      <c r="F78" s="16" t="n">
        <f aca="false">Data!E67+Data!E68+Data!E69+Data!E70+Data!E71+Data!E72+Data!E73+Data!E74+Data!E75+Data!E76+Data!E77+Data!E78</f>
        <v>822300</v>
      </c>
      <c r="G78" s="16" t="n">
        <f aca="false">Data!K67+Data!K68+Data!K69+Data!K70+Data!K71+Data!K72+Data!K73+Data!K74+Data!K75+Data!K76+Data!K77+Data!K78</f>
        <v>936843</v>
      </c>
      <c r="H78" s="16" t="n">
        <f aca="false">Data!L67+Data!L68+Data!L69+Data!L70+Data!L71+Data!L72+Data!L73+Data!L74+Data!L75+Data!L76+Data!L77+Data!L78</f>
        <v>300220</v>
      </c>
      <c r="I78" s="16" t="n">
        <f aca="false">Data!G67+Data!G68+Data!G69+Data!G70+Data!G71+Data!G72+Data!G73+Data!G74+Data!G75+Data!G76+Data!G77+Data!G78</f>
        <v>739435</v>
      </c>
      <c r="J78" s="16" t="n">
        <f aca="false">Data!H67+Data!I67+Data!J67+Data!M67+Data!H68+Data!I68+Data!J68+Data!M68+Data!H69+Data!I69+Data!J69+Data!M69+Data!H70+Data!I70+Data!J70+Data!M70+Data!H71+Data!I71+Data!J71+Data!M71+Data!H72+Data!I72+Data!J72+Data!M72+Data!H73+Data!I73+Data!J73+Data!M73+Data!H74+Data!I74+Data!J74+Data!M74+Data!H75+Data!I75+Data!J75+Data!M75+Data!H76+Data!I76+Data!J76+Data!M76+Data!H77+Data!I77+Data!J77+Data!M77+Data!H78+Data!I78+Data!J78+Data!M78</f>
        <v>872283</v>
      </c>
      <c r="K78" s="16" t="n">
        <f aca="false">Data!F67+Data!F68+Data!F69+Data!F70+Data!F71+Data!F72+Data!F73+Data!F74+Data!F75+Data!F76+Data!F77+Data!F78</f>
        <v>2382291</v>
      </c>
      <c r="L78" s="16" t="n">
        <f aca="false">Data!N67+Data!O67+Data!P67+Data!Q67+Data!R67+Data!S67+Data!N68+Data!O68+Data!P68+Data!Q68+Data!R68+Data!S68+Data!N69+Data!O69+Data!P69+Data!Q69+Data!R69+Data!S69+Data!N70+Data!O70+Data!P70+Data!Q70+Data!R70+Data!S70+Data!N71+Data!O71+Data!P71+Data!Q71+Data!R71+Data!S71+Data!N72+Data!O72+Data!P72+Data!Q72+Data!R72+Data!S72+Data!N73+Data!O73+Data!P73+Data!Q73+Data!R73+Data!S73+Data!N74+Data!O74+Data!P74+Data!Q74+Data!R74+Data!S74+Data!N75+Data!O75+Data!P75+Data!Q75+Data!R75+Data!S75+Data!N76+Data!O76+Data!P76+Data!Q76+Data!R76+Data!S76+Data!N77+Data!O77+Data!P77+Data!Q77+Data!R77+Data!S77+Data!N78+Data!O78+Data!P78+Data!Q78+Data!R78+Data!S78</f>
        <v>1369329</v>
      </c>
      <c r="M78" s="15" t="n">
        <f aca="false">Data!T67+Data!U67+Data!V67+Data!W67+Data!X67+Data!Y67+Data!Z67+Data!AA67+Data!AB67+Data!AC67+Data!AD67+Data!AE67+Data!AF67+Data!AG67+Data!AH67+Data!AI67+Data!AJ67+Data!AK67+Data!AL67+Data!T68+Data!U68+Data!V68+Data!W68+Data!X68+Data!Y68+Data!Z68+Data!AA68+Data!AB68+Data!AC68+Data!AD68+Data!AE68+Data!AF68+Data!AG68+Data!AH68+Data!AI68+Data!AJ68+Data!AK68+Data!AL68+Data!T69+Data!U69+Data!V69+Data!W69+Data!X69+Data!Y69+Data!Z69+Data!AA69+Data!AB69+Data!AC69+Data!AD69+Data!AE69+Data!AF69+Data!AG69+Data!AH69+Data!AI69+Data!AJ69+Data!AK69+Data!AL69+Data!T70+Data!U70+Data!V70+Data!W70+Data!X70+Data!Y70+Data!Z70+Data!AA70+Data!AB70+Data!AC70+Data!AD70+Data!AE70+Data!AF70+Data!AG70+Data!AH70+Data!AI70+Data!AJ70+Data!AK70+Data!AL70+Data!T71+Data!U71+Data!V71+Data!W71+Data!X71+Data!Y71+Data!Z71+Data!AA71+Data!AB71+Data!AC71+Data!AD71+Data!AE71+Data!AF71+Data!AG71+Data!AH71+Data!AI71+Data!AJ71+Data!AK71+Data!AL71+Data!T72+Data!U72+Data!V72+Data!W72+Data!X72+Data!Y72+Data!Z72+Data!AA72+Data!AB72+Data!AC72+Data!AD72+Data!AE72+Data!AF72+Data!AG72+Data!AH72+Data!AI72+Data!AJ72+Data!AK72+Data!AL72+Data!T73+Data!U73+Data!V73+Data!W73+Data!X73+Data!Y73+Data!Z73+Data!AA73+Data!AB73+Data!AC73+Data!AD73+Data!AE73+Data!AF73+Data!AG73+Data!AH73+Data!AI73+Data!AJ73+Data!AK73+Data!AL73+Data!T74+Data!U74+Data!V74+Data!W74+Data!X74+Data!Y74+Data!Z74+Data!AA74+Data!AB74+Data!AC74+Data!AD74+Data!AE74+Data!AF74+Data!AG74+Data!AH74+Data!AI74+Data!AJ74+Data!AK74+Data!AL74+Data!T75+Data!U75+Data!V75+Data!W75+Data!X75+Data!Y75+Data!Z75+Data!AA75+Data!AB75+Data!AC75+Data!AD75+Data!AE75+Data!AF75+Data!AG75+Data!AH75+Data!AI75+Data!AJ75+Data!AK75+Data!AL75+Data!T76+Data!U76+Data!V76+Data!W76+Data!X76+Data!Y76+Data!Z76+Data!AA76+Data!AB76+Data!AC76+Data!AD76+Data!AE76+Data!AF76+Data!AG76+Data!AH76+Data!AI76+Data!AJ76+Data!AK76+Data!AL76+Data!T77+Data!U77+Data!V77+Data!W77+Data!X77+Data!Y77+Data!Z77+Data!AA77+Data!AB77+Data!AC77+Data!AD77+Data!AE77+Data!AF77+Data!AG77+Data!AH77+Data!AI77+Data!AJ77+Data!AK77+Data!AL77+Data!T78+Data!U78+Data!V78+Data!W78+Data!X78+Data!Y78+Data!Z78+Data!AA78+Data!AB78+Data!AC78+Data!AD78+Data!AE78+Data!AF78+Data!AG78+Data!AH78+Data!AI78+Data!AJ78+Data!AK78+Data!AL78</f>
        <v>9860390</v>
      </c>
      <c r="N78" s="16" t="n">
        <f aca="false">Data!T67+Data!U67+Data!V67+Data!W67+Data!T68+Data!U68+Data!V68+Data!W68+Data!T69+Data!U69+Data!V69+Data!W69+Data!T70+Data!U70+Data!V70+Data!W70+Data!T71+Data!U71+Data!V71+Data!W71+Data!T72+Data!U72+Data!V72+Data!W72+Data!T73+Data!U73+Data!V73+Data!W73+Data!T74+Data!U74+Data!V74+Data!W74+Data!T75+Data!U75+Data!V75+Data!W75+Data!T76+Data!U76+Data!V76+Data!W76+Data!T77+Data!U77+Data!V77+Data!W77+Data!T78+Data!U78+Data!V78+Data!W78</f>
        <v>4630733</v>
      </c>
      <c r="O78" s="16" t="n">
        <f aca="false">Data!T67+Data!T68+Data!T69+Data!T70+Data!T71+Data!T72+Data!T73+Data!T74+Data!T75+Data!T76+Data!T77+Data!T78</f>
        <v>3372722</v>
      </c>
      <c r="P78" s="16" t="n">
        <f aca="false">Data!U67+Data!U68+Data!U69+Data!U70+Data!U71+Data!U72+Data!U73+Data!U74+Data!U75+Data!U76+Data!U77+Data!U78</f>
        <v>573965</v>
      </c>
      <c r="Q78" s="16" t="n">
        <f aca="false">Data!V67+Data!V68+Data!V69+Data!V70+Data!V71+Data!V72+Data!V73+Data!V74+Data!V75+Data!V76+Data!V77+Data!V78</f>
        <v>336825</v>
      </c>
      <c r="R78" s="16" t="n">
        <f aca="false">Data!W67+Data!W68+Data!W69+Data!W70+Data!W71+Data!W72+Data!W73+Data!W74+Data!W75+Data!W76+Data!W77+Data!W78</f>
        <v>347221</v>
      </c>
      <c r="S78" s="16" t="n">
        <f aca="false">Data!X67+Data!X68+Data!X69+Data!X70+Data!X71+Data!X72+Data!X73+Data!X74+Data!X75+Data!X76+Data!X77+Data!X78</f>
        <v>801677</v>
      </c>
      <c r="T78" s="16" t="n">
        <f aca="false">Data!Y67+Data!Z67+Data!AA67+Data!Y68+Data!Z68+Data!AA68+Data!Y69+Data!Z69+Data!AA69+Data!Y70+Data!Z70+Data!AA70+Data!Y71+Data!Z71+Data!AA71+Data!Y72+Data!Z72+Data!AA72+Data!Y73+Data!Z73+Data!AA73+Data!Y74+Data!Z74+Data!AA74+Data!Y75+Data!Z75+Data!AA75+Data!Y76+Data!Z76+Data!AA76+Data!Y77+Data!Z77+Data!AA77+Data!Y78+Data!Z78+Data!AA78</f>
        <v>1381538</v>
      </c>
      <c r="U78" s="16" t="n">
        <f aca="false">Data!Y67+Data!Y68+Data!Y69+Data!Y70+Data!Y71+Data!Y72+Data!Y73+Data!Y74+Data!Y75+Data!Y76+Data!Y77+Data!Y78</f>
        <v>1050803</v>
      </c>
      <c r="V78" s="16" t="n">
        <f aca="false">Data!Z67+Data!Z68+Data!Z69+Data!Z70+Data!Z71+Data!Z72+Data!Z73+Data!Z74+Data!Z75+Data!Z76+Data!Z77+Data!Z78</f>
        <v>304298</v>
      </c>
      <c r="W78" s="16" t="n">
        <f aca="false">Data!AB67+Data!AB68+Data!AB69+Data!AB70+Data!AB71+Data!AB72+Data!AB73+Data!AB74+Data!AB75+Data!AB76+Data!AB77+Data!AB78</f>
        <v>1078561</v>
      </c>
      <c r="X78" s="16" t="n">
        <f aca="false">Data!AC67+Data!AC68+Data!AC69+Data!AC70+Data!AC71+Data!AC72+Data!AC73+Data!AC74+Data!AC75+Data!AC76+Data!AC77+Data!AC78</f>
        <v>450752</v>
      </c>
      <c r="Y78" s="16" t="n">
        <f aca="false">Data!AD67+Data!AE67+Data!AF67+Data!AG67+Data!AH67+Data!AD68+Data!AE68+Data!AF68+Data!AG68+Data!AH68+Data!AD69+Data!AE69+Data!AF69+Data!AG69+Data!AH69+Data!AD70+Data!AE70+Data!AF70+Data!AG70+Data!AH70+Data!AD71+Data!AE71+Data!AF71+Data!AG71+Data!AH71+Data!AD72+Data!AE72+Data!AF72+Data!AG72+Data!AH72+Data!AD73+Data!AE73+Data!AF73+Data!AG73+Data!AH73+Data!AD74+Data!AE74+Data!AF74+Data!AG74+Data!AH74+Data!AD75+Data!AE75+Data!AF75+Data!AG75+Data!AH75+Data!AD76+Data!AE76+Data!AF76+Data!AG76+Data!AH76+Data!AD77+Data!AE77+Data!AF77+Data!AG77+Data!AH77+Data!AD78+Data!AE78+Data!AF78+Data!AG78+Data!AH78</f>
        <v>360094</v>
      </c>
      <c r="Z78" s="16" t="n">
        <f aca="false">Data!AI67+Data!AI68+Data!AI69+Data!AI70+Data!AI71+Data!AI72+Data!AI73+Data!AI74+Data!AI75+Data!AI76+Data!AI77+Data!AI78</f>
        <v>291879</v>
      </c>
      <c r="AA78" s="16" t="n">
        <f aca="false">Data!AJ67+Data!AJ68+Data!AJ69+Data!AJ70+Data!AJ71+Data!AJ72+Data!AJ73+Data!AJ74+Data!AJ75+Data!AJ76+Data!AJ77+Data!AJ78</f>
        <v>0</v>
      </c>
      <c r="AB78" s="16" t="n">
        <f aca="false">Data!AK67+Data!AK68+Data!AK69+Data!AK70+Data!AK71+Data!AK72+Data!AK73+Data!AK74+Data!AK75+Data!AK76+Data!AK77+Data!AK78</f>
        <v>214098</v>
      </c>
      <c r="AC78" s="16" t="n">
        <f aca="false">Data!AL67+Data!AL68+Data!AL69+Data!AL70+Data!AL71+Data!AL72+Data!AL73+Data!AL74+Data!AL75+Data!AL76+Data!AL77+Data!AL78</f>
        <v>651058</v>
      </c>
      <c r="AD78" s="15" t="n">
        <f aca="false">Data!AM67+Data!AM68+Data!AM69+Data!AM70+Data!AM71+Data!AM72+Data!AM73+Data!AM74+Data!AM75+Data!AM76+Data!AM77+Data!AM78</f>
        <v>-980240</v>
      </c>
      <c r="AE78" s="16" t="n">
        <f aca="false">Data!AN67+Data!AN68+Data!AN69+Data!AN70+Data!AN71+Data!AN72+Data!AN73+Data!AN74+Data!AN75+Data!AN76+Data!AN77+Data!AN78</f>
        <v>684241</v>
      </c>
      <c r="AF78" s="15" t="n">
        <f aca="false">Data!AO67+Data!AO68+Data!AO69+Data!AO70+Data!AO71+Data!AO72+Data!AO73+Data!AO74+Data!AO75+Data!AO76+Data!AO77+Data!AO78</f>
        <v>-1664482</v>
      </c>
    </row>
    <row r="79" customFormat="false" ht="15" hidden="false" customHeight="false" outlineLevel="0" collapsed="false">
      <c r="B79" s="14" t="str">
        <f aca="false">Data!B79</f>
        <v>2022-01</v>
      </c>
      <c r="C79" s="15" t="n">
        <f aca="false">Data!D68+Data!E68+Data!F68+Data!G68+Data!H68+Data!I68+Data!J68+Data!K68+Data!L68+Data!M68+Data!N68+Data!O68+Data!P68+Data!Q68+Data!R68+Data!S68+Data!D69+Data!E69+Data!F69+Data!G69+Data!H69+Data!I69+Data!J69+Data!K69+Data!L69+Data!M69+Data!N69+Data!O69+Data!P69+Data!Q69+Data!R69+Data!S69+Data!D70+Data!E70+Data!F70+Data!G70+Data!H70+Data!I70+Data!J70+Data!K70+Data!L70+Data!M70+Data!N70+Data!O70+Data!P70+Data!Q70+Data!R70+Data!S70+Data!D71+Data!E71+Data!F71+Data!G71+Data!H71+Data!I71+Data!J71+Data!K71+Data!L71+Data!M71+Data!N71+Data!O71+Data!P71+Data!Q71+Data!R71+Data!S71+Data!D72+Data!E72+Data!F72+Data!G72+Data!H72+Data!I72+Data!J72+Data!K72+Data!L72+Data!M72+Data!N72+Data!O72+Data!P72+Data!Q72+Data!R72+Data!S72+Data!D73+Data!E73+Data!F73+Data!G73+Data!H73+Data!I73+Data!J73+Data!K73+Data!L73+Data!M73+Data!N73+Data!O73+Data!P73+Data!Q73+Data!R73+Data!S73+Data!D74+Data!E74+Data!F74+Data!G74+Data!H74+Data!I74+Data!J74+Data!K74+Data!L74+Data!M74+Data!N74+Data!O74+Data!P74+Data!Q74+Data!R74+Data!S74+Data!D75+Data!E75+Data!F75+Data!G75+Data!H75+Data!I75+Data!J75+Data!K75+Data!L75+Data!M75+Data!N75+Data!O75+Data!P75+Data!Q75+Data!R75+Data!S75+Data!D76+Data!E76+Data!F76+Data!G76+Data!H76+Data!I76+Data!J76+Data!K76+Data!L76+Data!M76+Data!N76+Data!O76+Data!P76+Data!Q76+Data!R76+Data!S76+Data!D77+Data!E77+Data!F77+Data!G77+Data!H77+Data!I77+Data!J77+Data!K77+Data!L77+Data!M77+Data!N77+Data!O77+Data!P77+Data!Q77+Data!R77+Data!S77+Data!D78+Data!E78+Data!F78+Data!G78+Data!H78+Data!I78+Data!J78+Data!K78+Data!L78+Data!M78+Data!N78+Data!O78+Data!P78+Data!Q78+Data!R78+Data!S78+Data!D79+Data!E79+Data!F79+Data!G79+Data!H79+Data!I79+Data!J79+Data!K79+Data!L79+Data!M79+Data!N79+Data!O79+Data!P79+Data!Q79+Data!R79+Data!S79</f>
        <v>9169969</v>
      </c>
      <c r="D79" s="16" t="n">
        <f aca="false">Data!D68+Data!E68+Data!G68+Data!H68+Data!I68+Data!J68+Data!K68+Data!L68+Data!M68+Data!D69+Data!E69+Data!G69+Data!H69+Data!I69+Data!J69+Data!K69+Data!L69+Data!M69+Data!D70+Data!E70+Data!G70+Data!H70+Data!I70+Data!J70+Data!K70+Data!L70+Data!M70+Data!D71+Data!E71+Data!G71+Data!H71+Data!I71+Data!J71+Data!K71+Data!L71+Data!M71+Data!D72+Data!E72+Data!G72+Data!H72+Data!I72+Data!J72+Data!K72+Data!L72+Data!M72+Data!D73+Data!E73+Data!G73+Data!H73+Data!I73+Data!J73+Data!K73+Data!L73+Data!M73+Data!D74+Data!E74+Data!G74+Data!H74+Data!I74+Data!J74+Data!K74+Data!L74+Data!M74+Data!D75+Data!E75+Data!G75+Data!H75+Data!I75+Data!J75+Data!K75+Data!L75+Data!M75+Data!D76+Data!E76+Data!G76+Data!H76+Data!I76+Data!J76+Data!K76+Data!L76+Data!M76+Data!D77+Data!E77+Data!G77+Data!H77+Data!I77+Data!J77+Data!K77+Data!L77+Data!M77+Data!D78+Data!E78+Data!G78+Data!H78+Data!I78+Data!J78+Data!K78+Data!L78+Data!M78+Data!D79+Data!E79+Data!G79+Data!H79+Data!I79+Data!J79+Data!K79+Data!L79+Data!M79</f>
        <v>5266270</v>
      </c>
      <c r="E79" s="16" t="n">
        <f aca="false">Data!D68+Data!D69+Data!D70+Data!D71+Data!D72+Data!D73+Data!D74+Data!D75+Data!D76+Data!D77+Data!D78+Data!D79</f>
        <v>1514039</v>
      </c>
      <c r="F79" s="16" t="n">
        <f aca="false">Data!E68+Data!E69+Data!E70+Data!E71+Data!E72+Data!E73+Data!E74+Data!E75+Data!E76+Data!E77+Data!E78+Data!E79</f>
        <v>851162</v>
      </c>
      <c r="G79" s="16" t="n">
        <f aca="false">Data!K68+Data!K69+Data!K70+Data!K71+Data!K72+Data!K73+Data!K74+Data!K75+Data!K76+Data!K77+Data!K78+Data!K79</f>
        <v>927063</v>
      </c>
      <c r="H79" s="16" t="n">
        <f aca="false">Data!L68+Data!L69+Data!L70+Data!L71+Data!L72+Data!L73+Data!L74+Data!L75+Data!L76+Data!L77+Data!L78+Data!L79</f>
        <v>313670</v>
      </c>
      <c r="I79" s="16" t="n">
        <f aca="false">Data!G68+Data!G69+Data!G70+Data!G71+Data!G72+Data!G73+Data!G74+Data!G75+Data!G76+Data!G77+Data!G78+Data!G79</f>
        <v>766416</v>
      </c>
      <c r="J79" s="16" t="n">
        <f aca="false">Data!H68+Data!I68+Data!J68+Data!M68+Data!H69+Data!I69+Data!J69+Data!M69+Data!H70+Data!I70+Data!J70+Data!M70+Data!H71+Data!I71+Data!J71+Data!M71+Data!H72+Data!I72+Data!J72+Data!M72+Data!H73+Data!I73+Data!J73+Data!M73+Data!H74+Data!I74+Data!J74+Data!M74+Data!H75+Data!I75+Data!J75+Data!M75+Data!H76+Data!I76+Data!J76+Data!M76+Data!H77+Data!I77+Data!J77+Data!M77+Data!H78+Data!I78+Data!J78+Data!M78+Data!H79+Data!I79+Data!J79+Data!M79</f>
        <v>893920</v>
      </c>
      <c r="K79" s="16" t="n">
        <f aca="false">Data!F68+Data!F69+Data!F70+Data!F71+Data!F72+Data!F73+Data!F74+Data!F75+Data!F76+Data!F77+Data!F78+Data!F79</f>
        <v>2515714</v>
      </c>
      <c r="L79" s="16" t="n">
        <f aca="false">Data!N68+Data!O68+Data!P68+Data!Q68+Data!R68+Data!S68+Data!N69+Data!O69+Data!P69+Data!Q69+Data!R69+Data!S69+Data!N70+Data!O70+Data!P70+Data!Q70+Data!R70+Data!S70+Data!N71+Data!O71+Data!P71+Data!Q71+Data!R71+Data!S71+Data!N72+Data!O72+Data!P72+Data!Q72+Data!R72+Data!S72+Data!N73+Data!O73+Data!P73+Data!Q73+Data!R73+Data!S73+Data!N74+Data!O74+Data!P74+Data!Q74+Data!R74+Data!S74+Data!N75+Data!O75+Data!P75+Data!Q75+Data!R75+Data!S75+Data!N76+Data!O76+Data!P76+Data!Q76+Data!R76+Data!S76+Data!N77+Data!O77+Data!P77+Data!Q77+Data!R77+Data!S77+Data!N78+Data!O78+Data!P78+Data!Q78+Data!R78+Data!S78+Data!N79+Data!O79+Data!P79+Data!Q79+Data!R79+Data!S79</f>
        <v>1387985</v>
      </c>
      <c r="M79" s="15" t="n">
        <f aca="false">Data!T68+Data!U68+Data!V68+Data!W68+Data!X68+Data!Y68+Data!Z68+Data!AA68+Data!AB68+Data!AC68+Data!AD68+Data!AE68+Data!AF68+Data!AG68+Data!AH68+Data!AI68+Data!AJ68+Data!AK68+Data!AL68+Data!T69+Data!U69+Data!V69+Data!W69+Data!X69+Data!Y69+Data!Z69+Data!AA69+Data!AB69+Data!AC69+Data!AD69+Data!AE69+Data!AF69+Data!AG69+Data!AH69+Data!AI69+Data!AJ69+Data!AK69+Data!AL69+Data!T70+Data!U70+Data!V70+Data!W70+Data!X70+Data!Y70+Data!Z70+Data!AA70+Data!AB70+Data!AC70+Data!AD70+Data!AE70+Data!AF70+Data!AG70+Data!AH70+Data!AI70+Data!AJ70+Data!AK70+Data!AL70+Data!T71+Data!U71+Data!V71+Data!W71+Data!X71+Data!Y71+Data!Z71+Data!AA71+Data!AB71+Data!AC71+Data!AD71+Data!AE71+Data!AF71+Data!AG71+Data!AH71+Data!AI71+Data!AJ71+Data!AK71+Data!AL71+Data!T72+Data!U72+Data!V72+Data!W72+Data!X72+Data!Y72+Data!Z72+Data!AA72+Data!AB72+Data!AC72+Data!AD72+Data!AE72+Data!AF72+Data!AG72+Data!AH72+Data!AI72+Data!AJ72+Data!AK72+Data!AL72+Data!T73+Data!U73+Data!V73+Data!W73+Data!X73+Data!Y73+Data!Z73+Data!AA73+Data!AB73+Data!AC73+Data!AD73+Data!AE73+Data!AF73+Data!AG73+Data!AH73+Data!AI73+Data!AJ73+Data!AK73+Data!AL73+Data!T74+Data!U74+Data!V74+Data!W74+Data!X74+Data!Y74+Data!Z74+Data!AA74+Data!AB74+Data!AC74+Data!AD74+Data!AE74+Data!AF74+Data!AG74+Data!AH74+Data!AI74+Data!AJ74+Data!AK74+Data!AL74+Data!T75+Data!U75+Data!V75+Data!W75+Data!X75+Data!Y75+Data!Z75+Data!AA75+Data!AB75+Data!AC75+Data!AD75+Data!AE75+Data!AF75+Data!AG75+Data!AH75+Data!AI75+Data!AJ75+Data!AK75+Data!AL75+Data!T76+Data!U76+Data!V76+Data!W76+Data!X76+Data!Y76+Data!Z76+Data!AA76+Data!AB76+Data!AC76+Data!AD76+Data!AE76+Data!AF76+Data!AG76+Data!AH76+Data!AI76+Data!AJ76+Data!AK76+Data!AL76+Data!T77+Data!U77+Data!V77+Data!W77+Data!X77+Data!Y77+Data!Z77+Data!AA77+Data!AB77+Data!AC77+Data!AD77+Data!AE77+Data!AF77+Data!AG77+Data!AH77+Data!AI77+Data!AJ77+Data!AK77+Data!AL77+Data!T78+Data!U78+Data!V78+Data!W78+Data!X78+Data!Y78+Data!Z78+Data!AA78+Data!AB78+Data!AC78+Data!AD78+Data!AE78+Data!AF78+Data!AG78+Data!AH78+Data!AI78+Data!AJ78+Data!AK78+Data!AL78+Data!T79+Data!U79+Data!V79+Data!W79+Data!X79+Data!Y79+Data!Z79+Data!AA79+Data!AB79+Data!AC79+Data!AD79+Data!AE79+Data!AF79+Data!AG79+Data!AH79+Data!AI79+Data!AJ79+Data!AK79+Data!AL79</f>
        <v>10190981</v>
      </c>
      <c r="N79" s="16" t="n">
        <f aca="false">Data!T68+Data!U68+Data!V68+Data!W68+Data!T69+Data!U69+Data!V69+Data!W69+Data!T70+Data!U70+Data!V70+Data!W70+Data!T71+Data!U71+Data!V71+Data!W71+Data!T72+Data!U72+Data!V72+Data!W72+Data!T73+Data!U73+Data!V73+Data!W73+Data!T74+Data!U74+Data!V74+Data!W74+Data!T75+Data!U75+Data!V75+Data!W75+Data!T76+Data!U76+Data!V76+Data!W76+Data!T77+Data!U77+Data!V77+Data!W77+Data!T78+Data!U78+Data!V78+Data!W78+Data!T79+Data!U79+Data!V79+Data!W79</f>
        <v>4819822</v>
      </c>
      <c r="O79" s="16" t="n">
        <f aca="false">Data!T68+Data!T69+Data!T70+Data!T71+Data!T72+Data!T73+Data!T74+Data!T75+Data!T76+Data!T77+Data!T78+Data!T79</f>
        <v>3506710</v>
      </c>
      <c r="P79" s="16" t="n">
        <f aca="false">Data!U68+Data!U69+Data!U70+Data!U71+Data!U72+Data!U73+Data!U74+Data!U75+Data!U76+Data!U77+Data!U78+Data!U79</f>
        <v>602165</v>
      </c>
      <c r="Q79" s="16" t="n">
        <f aca="false">Data!V68+Data!V69+Data!V70+Data!V71+Data!V72+Data!V73+Data!V74+Data!V75+Data!V76+Data!V77+Data!V78+Data!V79</f>
        <v>351211</v>
      </c>
      <c r="R79" s="16" t="n">
        <f aca="false">Data!W68+Data!W69+Data!W70+Data!W71+Data!W72+Data!W73+Data!W74+Data!W75+Data!W76+Data!W77+Data!W78+Data!W79</f>
        <v>359736</v>
      </c>
      <c r="S79" s="16" t="n">
        <f aca="false">Data!X68+Data!X69+Data!X70+Data!X71+Data!X72+Data!X73+Data!X74+Data!X75+Data!X76+Data!X77+Data!X78+Data!X79</f>
        <v>801734</v>
      </c>
      <c r="T79" s="16" t="n">
        <f aca="false">Data!Y68+Data!Z68+Data!AA68+Data!Y69+Data!Z69+Data!AA69+Data!Y70+Data!Z70+Data!AA70+Data!Y71+Data!Z71+Data!AA71+Data!Y72+Data!Z72+Data!AA72+Data!Y73+Data!Z73+Data!AA73+Data!Y74+Data!Z74+Data!AA74+Data!Y75+Data!Z75+Data!AA75+Data!Y76+Data!Z76+Data!AA76+Data!Y77+Data!Z77+Data!AA77+Data!Y78+Data!Z78+Data!AA78+Data!Y79+Data!Z79+Data!AA79</f>
        <v>1409803</v>
      </c>
      <c r="U79" s="16" t="n">
        <f aca="false">Data!Y68+Data!Y69+Data!Y70+Data!Y71+Data!Y72+Data!Y73+Data!Y74+Data!Y75+Data!Y76+Data!Y77+Data!Y78+Data!Y79</f>
        <v>1077238</v>
      </c>
      <c r="V79" s="16" t="n">
        <f aca="false">Data!Z68+Data!Z69+Data!Z70+Data!Z71+Data!Z72+Data!Z73+Data!Z74+Data!Z75+Data!Z76+Data!Z77+Data!Z78+Data!Z79</f>
        <v>308258</v>
      </c>
      <c r="W79" s="16" t="n">
        <f aca="false">Data!AB68+Data!AB69+Data!AB70+Data!AB71+Data!AB72+Data!AB73+Data!AB74+Data!AB75+Data!AB76+Data!AB77+Data!AB78+Data!AB79</f>
        <v>1122851</v>
      </c>
      <c r="X79" s="16" t="n">
        <f aca="false">Data!AC68+Data!AC69+Data!AC70+Data!AC71+Data!AC72+Data!AC73+Data!AC74+Data!AC75+Data!AC76+Data!AC77+Data!AC78+Data!AC79</f>
        <v>464553</v>
      </c>
      <c r="Y79" s="16" t="n">
        <f aca="false">Data!AD68+Data!AE68+Data!AF68+Data!AG68+Data!AH68+Data!AD69+Data!AE69+Data!AF69+Data!AG69+Data!AH69+Data!AD70+Data!AE70+Data!AF70+Data!AG70+Data!AH70+Data!AD71+Data!AE71+Data!AF71+Data!AG71+Data!AH71+Data!AD72+Data!AE72+Data!AF72+Data!AG72+Data!AH72+Data!AD73+Data!AE73+Data!AF73+Data!AG73+Data!AH73+Data!AD74+Data!AE74+Data!AF74+Data!AG74+Data!AH74+Data!AD75+Data!AE75+Data!AF75+Data!AG75+Data!AH75+Data!AD76+Data!AE76+Data!AF76+Data!AG76+Data!AH76+Data!AD77+Data!AE77+Data!AF77+Data!AG77+Data!AH77+Data!AD78+Data!AE78+Data!AF78+Data!AG78+Data!AH78+Data!AD79+Data!AE79+Data!AF79+Data!AG79+Data!AH79</f>
        <v>367671</v>
      </c>
      <c r="Z79" s="16" t="n">
        <f aca="false">Data!AI68+Data!AI69+Data!AI70+Data!AI71+Data!AI72+Data!AI73+Data!AI74+Data!AI75+Data!AI76+Data!AI77+Data!AI78+Data!AI79</f>
        <v>301630</v>
      </c>
      <c r="AA79" s="16" t="n">
        <f aca="false">Data!AJ68+Data!AJ69+Data!AJ70+Data!AJ71+Data!AJ72+Data!AJ73+Data!AJ74+Data!AJ75+Data!AJ76+Data!AJ77+Data!AJ78+Data!AJ79</f>
        <v>0</v>
      </c>
      <c r="AB79" s="16" t="n">
        <f aca="false">Data!AK68+Data!AK69+Data!AK70+Data!AK71+Data!AK72+Data!AK73+Data!AK74+Data!AK75+Data!AK76+Data!AK77+Data!AK78+Data!AK79</f>
        <v>223865</v>
      </c>
      <c r="AC79" s="16" t="n">
        <f aca="false">Data!AL68+Data!AL69+Data!AL70+Data!AL71+Data!AL72+Data!AL73+Data!AL74+Data!AL75+Data!AL76+Data!AL77+Data!AL78+Data!AL79</f>
        <v>679052</v>
      </c>
      <c r="AD79" s="15" t="n">
        <f aca="false">Data!AM68+Data!AM69+Data!AM70+Data!AM71+Data!AM72+Data!AM73+Data!AM74+Data!AM75+Data!AM76+Data!AM77+Data!AM78+Data!AM79</f>
        <v>-1021012</v>
      </c>
      <c r="AE79" s="16" t="n">
        <f aca="false">Data!AN68+Data!AN69+Data!AN70+Data!AN71+Data!AN72+Data!AN73+Data!AN74+Data!AN75+Data!AN76+Data!AN77+Data!AN78+Data!AN79</f>
        <v>791103</v>
      </c>
      <c r="AF79" s="15" t="n">
        <f aca="false">Data!AO68+Data!AO69+Data!AO70+Data!AO71+Data!AO72+Data!AO73+Data!AO74+Data!AO75+Data!AO76+Data!AO77+Data!AO78+Data!AO79</f>
        <v>-1812116</v>
      </c>
    </row>
    <row r="80" customFormat="false" ht="15" hidden="false" customHeight="false" outlineLevel="0" collapsed="false">
      <c r="B80" s="14" t="str">
        <f aca="false">Data!B80</f>
        <v>2022-02</v>
      </c>
      <c r="C80" s="15" t="n">
        <f aca="false">Data!D69+Data!E69+Data!F69+Data!G69+Data!H69+Data!I69+Data!J69+Data!K69+Data!L69+Data!M69+Data!N69+Data!O69+Data!P69+Data!Q69+Data!R69+Data!S69+Data!D70+Data!E70+Data!F70+Data!G70+Data!H70+Data!I70+Data!J70+Data!K70+Data!L70+Data!M70+Data!N70+Data!O70+Data!P70+Data!Q70+Data!R70+Data!S70+Data!D71+Data!E71+Data!F71+Data!G71+Data!H71+Data!I71+Data!J71+Data!K71+Data!L71+Data!M71+Data!N71+Data!O71+Data!P71+Data!Q71+Data!R71+Data!S71+Data!D72+Data!E72+Data!F72+Data!G72+Data!H72+Data!I72+Data!J72+Data!K72+Data!L72+Data!M72+Data!N72+Data!O72+Data!P72+Data!Q72+Data!R72+Data!S72+Data!D73+Data!E73+Data!F73+Data!G73+Data!H73+Data!I73+Data!J73+Data!K73+Data!L73+Data!M73+Data!N73+Data!O73+Data!P73+Data!Q73+Data!R73+Data!S73+Data!D74+Data!E74+Data!F74+Data!G74+Data!H74+Data!I74+Data!J74+Data!K74+Data!L74+Data!M74+Data!N74+Data!O74+Data!P74+Data!Q74+Data!R74+Data!S74+Data!D75+Data!E75+Data!F75+Data!G75+Data!H75+Data!I75+Data!J75+Data!K75+Data!L75+Data!M75+Data!N75+Data!O75+Data!P75+Data!Q75+Data!R75+Data!S75+Data!D76+Data!E76+Data!F76+Data!G76+Data!H76+Data!I76+Data!J76+Data!K76+Data!L76+Data!M76+Data!N76+Data!O76+Data!P76+Data!Q76+Data!R76+Data!S76+Data!D77+Data!E77+Data!F77+Data!G77+Data!H77+Data!I77+Data!J77+Data!K77+Data!L77+Data!M77+Data!N77+Data!O77+Data!P77+Data!Q77+Data!R77+Data!S77+Data!D78+Data!E78+Data!F78+Data!G78+Data!H78+Data!I78+Data!J78+Data!K78+Data!L78+Data!M78+Data!N78+Data!O78+Data!P78+Data!Q78+Data!R78+Data!S78+Data!D79+Data!E79+Data!F79+Data!G79+Data!H79+Data!I79+Data!J79+Data!K79+Data!L79+Data!M79+Data!N79+Data!O79+Data!P79+Data!Q79+Data!R79+Data!S79+Data!D80+Data!E80+Data!F80+Data!G80+Data!H80+Data!I80+Data!J80+Data!K80+Data!L80+Data!M80+Data!N80+Data!O80+Data!P80+Data!Q80+Data!R80+Data!S80</f>
        <v>9492101</v>
      </c>
      <c r="D80" s="16" t="n">
        <f aca="false">Data!D69+Data!E69+Data!G69+Data!H69+Data!I69+Data!J69+Data!K69+Data!L69+Data!M69+Data!D70+Data!E70+Data!G70+Data!H70+Data!I70+Data!J70+Data!K70+Data!L70+Data!M70+Data!D71+Data!E71+Data!G71+Data!H71+Data!I71+Data!J71+Data!K71+Data!L71+Data!M71+Data!D72+Data!E72+Data!G72+Data!H72+Data!I72+Data!J72+Data!K72+Data!L72+Data!M72+Data!D73+Data!E73+Data!G73+Data!H73+Data!I73+Data!J73+Data!K73+Data!L73+Data!M73+Data!D74+Data!E74+Data!G74+Data!H74+Data!I74+Data!J74+Data!K74+Data!L74+Data!M74+Data!D75+Data!E75+Data!G75+Data!H75+Data!I75+Data!J75+Data!K75+Data!L75+Data!M75+Data!D76+Data!E76+Data!G76+Data!H76+Data!I76+Data!J76+Data!K76+Data!L76+Data!M76+Data!D77+Data!E77+Data!G77+Data!H77+Data!I77+Data!J77+Data!K77+Data!L77+Data!M77+Data!D78+Data!E78+Data!G78+Data!H78+Data!I78+Data!J78+Data!K78+Data!L78+Data!M78+Data!D79+Data!E79+Data!G79+Data!H79+Data!I79+Data!J79+Data!K79+Data!L79+Data!M79+Data!D80+Data!E80+Data!G80+Data!H80+Data!I80+Data!J80+Data!K80+Data!L80+Data!M80</f>
        <v>5460988</v>
      </c>
      <c r="E80" s="16" t="n">
        <f aca="false">Data!D69+Data!D70+Data!D71+Data!D72+Data!D73+Data!D74+Data!D75+Data!D76+Data!D77+Data!D78+Data!D79+Data!D80</f>
        <v>1573500</v>
      </c>
      <c r="F80" s="16" t="n">
        <f aca="false">Data!E69+Data!E70+Data!E71+Data!E72+Data!E73+Data!E74+Data!E75+Data!E76+Data!E77+Data!E78+Data!E79+Data!E80</f>
        <v>875183</v>
      </c>
      <c r="G80" s="16" t="n">
        <f aca="false">Data!K69+Data!K70+Data!K71+Data!K72+Data!K73+Data!K74+Data!K75+Data!K76+Data!K77+Data!K78+Data!K79+Data!K80</f>
        <v>959946</v>
      </c>
      <c r="H80" s="16" t="n">
        <f aca="false">Data!L69+Data!L70+Data!L71+Data!L72+Data!L73+Data!L74+Data!L75+Data!L76+Data!L77+Data!L78+Data!L79+Data!L80</f>
        <v>325620</v>
      </c>
      <c r="I80" s="16" t="n">
        <f aca="false">Data!G69+Data!G70+Data!G71+Data!G72+Data!G73+Data!G74+Data!G75+Data!G76+Data!G77+Data!G78+Data!G79+Data!G80</f>
        <v>808683</v>
      </c>
      <c r="J80" s="16" t="n">
        <f aca="false">Data!H69+Data!I69+Data!J69+Data!M69+Data!H70+Data!I70+Data!J70+Data!M70+Data!H71+Data!I71+Data!J71+Data!M71+Data!H72+Data!I72+Data!J72+Data!M72+Data!H73+Data!I73+Data!J73+Data!M73+Data!H74+Data!I74+Data!J74+Data!M74+Data!H75+Data!I75+Data!J75+Data!M75+Data!H76+Data!I76+Data!J76+Data!M76+Data!H77+Data!I77+Data!J77+Data!M77+Data!H78+Data!I78+Data!J78+Data!M78+Data!H79+Data!I79+Data!J79+Data!M79+Data!H80+Data!I80+Data!J80+Data!M80</f>
        <v>918056</v>
      </c>
      <c r="K80" s="16" t="n">
        <f aca="false">Data!F69+Data!F70+Data!F71+Data!F72+Data!F73+Data!F74+Data!F75+Data!F76+Data!F77+Data!F78+Data!F79+Data!F80</f>
        <v>2617909</v>
      </c>
      <c r="L80" s="16" t="n">
        <f aca="false">Data!N69+Data!O69+Data!P69+Data!Q69+Data!R69+Data!S69+Data!N70+Data!O70+Data!P70+Data!Q70+Data!R70+Data!S70+Data!N71+Data!O71+Data!P71+Data!Q71+Data!R71+Data!S71+Data!N72+Data!O72+Data!P72+Data!Q72+Data!R72+Data!S72+Data!N73+Data!O73+Data!P73+Data!Q73+Data!R73+Data!S73+Data!N74+Data!O74+Data!P74+Data!Q74+Data!R74+Data!S74+Data!N75+Data!O75+Data!P75+Data!Q75+Data!R75+Data!S75+Data!N76+Data!O76+Data!P76+Data!Q76+Data!R76+Data!S76+Data!N77+Data!O77+Data!P77+Data!Q77+Data!R77+Data!S77+Data!N78+Data!O78+Data!P78+Data!Q78+Data!R78+Data!S78+Data!N79+Data!O79+Data!P79+Data!Q79+Data!R79+Data!S79+Data!N80+Data!O80+Data!P80+Data!Q80+Data!R80+Data!S80</f>
        <v>1413204</v>
      </c>
      <c r="M80" s="15" t="n">
        <f aca="false">Data!T69+Data!U69+Data!V69+Data!W69+Data!X69+Data!Y69+Data!Z69+Data!AA69+Data!AB69+Data!AC69+Data!AD69+Data!AE69+Data!AF69+Data!AG69+Data!AH69+Data!AI69+Data!AJ69+Data!AK69+Data!AL69+Data!T70+Data!U70+Data!V70+Data!W70+Data!X70+Data!Y70+Data!Z70+Data!AA70+Data!AB70+Data!AC70+Data!AD70+Data!AE70+Data!AF70+Data!AG70+Data!AH70+Data!AI70+Data!AJ70+Data!AK70+Data!AL70+Data!T71+Data!U71+Data!V71+Data!W71+Data!X71+Data!Y71+Data!Z71+Data!AA71+Data!AB71+Data!AC71+Data!AD71+Data!AE71+Data!AF71+Data!AG71+Data!AH71+Data!AI71+Data!AJ71+Data!AK71+Data!AL71+Data!T72+Data!U72+Data!V72+Data!W72+Data!X72+Data!Y72+Data!Z72+Data!AA72+Data!AB72+Data!AC72+Data!AD72+Data!AE72+Data!AF72+Data!AG72+Data!AH72+Data!AI72+Data!AJ72+Data!AK72+Data!AL72+Data!T73+Data!U73+Data!V73+Data!W73+Data!X73+Data!Y73+Data!Z73+Data!AA73+Data!AB73+Data!AC73+Data!AD73+Data!AE73+Data!AF73+Data!AG73+Data!AH73+Data!AI73+Data!AJ73+Data!AK73+Data!AL73+Data!T74+Data!U74+Data!V74+Data!W74+Data!X74+Data!Y74+Data!Z74+Data!AA74+Data!AB74+Data!AC74+Data!AD74+Data!AE74+Data!AF74+Data!AG74+Data!AH74+Data!AI74+Data!AJ74+Data!AK74+Data!AL74+Data!T75+Data!U75+Data!V75+Data!W75+Data!X75+Data!Y75+Data!Z75+Data!AA75+Data!AB75+Data!AC75+Data!AD75+Data!AE75+Data!AF75+Data!AG75+Data!AH75+Data!AI75+Data!AJ75+Data!AK75+Data!AL75+Data!T76+Data!U76+Data!V76+Data!W76+Data!X76+Data!Y76+Data!Z76+Data!AA76+Data!AB76+Data!AC76+Data!AD76+Data!AE76+Data!AF76+Data!AG76+Data!AH76+Data!AI76+Data!AJ76+Data!AK76+Data!AL76+Data!T77+Data!U77+Data!V77+Data!W77+Data!X77+Data!Y77+Data!Z77+Data!AA77+Data!AB77+Data!AC77+Data!AD77+Data!AE77+Data!AF77+Data!AG77+Data!AH77+Data!AI77+Data!AJ77+Data!AK77+Data!AL77+Data!T78+Data!U78+Data!V78+Data!W78+Data!X78+Data!Y78+Data!Z78+Data!AA78+Data!AB78+Data!AC78+Data!AD78+Data!AE78+Data!AF78+Data!AG78+Data!AH78+Data!AI78+Data!AJ78+Data!AK78+Data!AL78+Data!T79+Data!U79+Data!V79+Data!W79+Data!X79+Data!Y79+Data!Z79+Data!AA79+Data!AB79+Data!AC79+Data!AD79+Data!AE79+Data!AF79+Data!AG79+Data!AH79+Data!AI79+Data!AJ79+Data!AK79+Data!AL79+Data!T80+Data!U80+Data!V80+Data!W80+Data!X80+Data!Y80+Data!Z80+Data!AA80+Data!AB80+Data!AC80+Data!AD80+Data!AE80+Data!AF80+Data!AG80+Data!AH80+Data!AI80+Data!AJ80+Data!AK80+Data!AL80</f>
        <v>10570639</v>
      </c>
      <c r="N80" s="16" t="n">
        <f aca="false">Data!T69+Data!U69+Data!V69+Data!W69+Data!T70+Data!U70+Data!V70+Data!W70+Data!T71+Data!U71+Data!V71+Data!W71+Data!T72+Data!U72+Data!V72+Data!W72+Data!T73+Data!U73+Data!V73+Data!W73+Data!T74+Data!U74+Data!V74+Data!W74+Data!T75+Data!U75+Data!V75+Data!W75+Data!T76+Data!U76+Data!V76+Data!W76+Data!T77+Data!U77+Data!V77+Data!W77+Data!T78+Data!U78+Data!V78+Data!W78+Data!T79+Data!U79+Data!V79+Data!W79+Data!T80+Data!U80+Data!V80+Data!W80</f>
        <v>5002716</v>
      </c>
      <c r="O80" s="16" t="n">
        <f aca="false">Data!T69+Data!T70+Data!T71+Data!T72+Data!T73+Data!T74+Data!T75+Data!T76+Data!T77+Data!T78+Data!T79+Data!T80</f>
        <v>3632890</v>
      </c>
      <c r="P80" s="16" t="n">
        <f aca="false">Data!U69+Data!U70+Data!U71+Data!U72+Data!U73+Data!U74+Data!U75+Data!U76+Data!U77+Data!U78+Data!U79+Data!U80</f>
        <v>627933</v>
      </c>
      <c r="Q80" s="16" t="n">
        <f aca="false">Data!V69+Data!V70+Data!V71+Data!V72+Data!V73+Data!V74+Data!V75+Data!V76+Data!V77+Data!V78+Data!V79+Data!V80</f>
        <v>363817</v>
      </c>
      <c r="R80" s="16" t="n">
        <f aca="false">Data!W69+Data!W70+Data!W71+Data!W72+Data!W73+Data!W74+Data!W75+Data!W76+Data!W77+Data!W78+Data!W79+Data!W80</f>
        <v>378076</v>
      </c>
      <c r="S80" s="16" t="n">
        <f aca="false">Data!X69+Data!X70+Data!X71+Data!X72+Data!X73+Data!X74+Data!X75+Data!X76+Data!X77+Data!X78+Data!X79+Data!X80</f>
        <v>833995</v>
      </c>
      <c r="T80" s="16" t="n">
        <f aca="false">Data!Y69+Data!Z69+Data!AA69+Data!Y70+Data!Z70+Data!AA70+Data!Y71+Data!Z71+Data!AA71+Data!Y72+Data!Z72+Data!AA72+Data!Y73+Data!Z73+Data!AA73+Data!Y74+Data!Z74+Data!AA74+Data!Y75+Data!Z75+Data!AA75+Data!Y76+Data!Z76+Data!AA76+Data!Y77+Data!Z77+Data!AA77+Data!Y78+Data!Z78+Data!AA78+Data!Y79+Data!Z79+Data!AA79+Data!Y80+Data!Z80+Data!AA80</f>
        <v>1458766</v>
      </c>
      <c r="U80" s="16" t="n">
        <f aca="false">Data!Y69+Data!Y70+Data!Y71+Data!Y72+Data!Y73+Data!Y74+Data!Y75+Data!Y76+Data!Y77+Data!Y78+Data!Y79+Data!Y80</f>
        <v>1114192</v>
      </c>
      <c r="V80" s="16" t="n">
        <f aca="false">Data!Z69+Data!Z70+Data!Z71+Data!Z72+Data!Z73+Data!Z74+Data!Z75+Data!Z76+Data!Z77+Data!Z78+Data!Z79+Data!Z80</f>
        <v>319753</v>
      </c>
      <c r="W80" s="16" t="n">
        <f aca="false">Data!AB69+Data!AB70+Data!AB71+Data!AB72+Data!AB73+Data!AB74+Data!AB75+Data!AB76+Data!AB77+Data!AB78+Data!AB79+Data!AB80</f>
        <v>1171166</v>
      </c>
      <c r="X80" s="16" t="n">
        <f aca="false">Data!AC69+Data!AC70+Data!AC71+Data!AC72+Data!AC73+Data!AC74+Data!AC75+Data!AC76+Data!AC77+Data!AC78+Data!AC79+Data!AC80</f>
        <v>473164</v>
      </c>
      <c r="Y80" s="16" t="n">
        <f aca="false">Data!AD69+Data!AE69+Data!AF69+Data!AG69+Data!AH69+Data!AD70+Data!AE70+Data!AF70+Data!AG70+Data!AH70+Data!AD71+Data!AE71+Data!AF71+Data!AG71+Data!AH71+Data!AD72+Data!AE72+Data!AF72+Data!AG72+Data!AH72+Data!AD73+Data!AE73+Data!AF73+Data!AG73+Data!AH73+Data!AD74+Data!AE74+Data!AF74+Data!AG74+Data!AH74+Data!AD75+Data!AE75+Data!AF75+Data!AG75+Data!AH75+Data!AD76+Data!AE76+Data!AF76+Data!AG76+Data!AH76+Data!AD77+Data!AE77+Data!AF77+Data!AG77+Data!AH77+Data!AD78+Data!AE78+Data!AF78+Data!AG78+Data!AH78+Data!AD79+Data!AE79+Data!AF79+Data!AG79+Data!AH79+Data!AD80+Data!AE80+Data!AF80+Data!AG80+Data!AH80</f>
        <v>378443</v>
      </c>
      <c r="Z80" s="16" t="n">
        <f aca="false">Data!AI69+Data!AI70+Data!AI71+Data!AI72+Data!AI73+Data!AI74+Data!AI75+Data!AI76+Data!AI77+Data!AI78+Data!AI79+Data!AI80</f>
        <v>311814</v>
      </c>
      <c r="AA80" s="16" t="n">
        <f aca="false">Data!AJ69+Data!AJ70+Data!AJ71+Data!AJ72+Data!AJ73+Data!AJ74+Data!AJ75+Data!AJ76+Data!AJ77+Data!AJ78+Data!AJ79+Data!AJ80</f>
        <v>0</v>
      </c>
      <c r="AB80" s="16" t="n">
        <f aca="false">Data!AK69+Data!AK70+Data!AK71+Data!AK72+Data!AK73+Data!AK74+Data!AK75+Data!AK76+Data!AK77+Data!AK78+Data!AK79+Data!AK80</f>
        <v>243450</v>
      </c>
      <c r="AC80" s="16" t="n">
        <f aca="false">Data!AL69+Data!AL70+Data!AL71+Data!AL72+Data!AL73+Data!AL74+Data!AL75+Data!AL76+Data!AL77+Data!AL78+Data!AL79+Data!AL80</f>
        <v>697125</v>
      </c>
      <c r="AD80" s="15" t="n">
        <f aca="false">Data!AM69+Data!AM70+Data!AM71+Data!AM72+Data!AM73+Data!AM74+Data!AM75+Data!AM76+Data!AM77+Data!AM78+Data!AM79+Data!AM80</f>
        <v>-1078538</v>
      </c>
      <c r="AE80" s="16" t="n">
        <f aca="false">Data!AN69+Data!AN70+Data!AN71+Data!AN72+Data!AN73+Data!AN74+Data!AN75+Data!AN76+Data!AN77+Data!AN78+Data!AN79+Data!AN80</f>
        <v>806159</v>
      </c>
      <c r="AF80" s="15" t="n">
        <f aca="false">Data!AO69+Data!AO70+Data!AO71+Data!AO72+Data!AO73+Data!AO74+Data!AO75+Data!AO76+Data!AO77+Data!AO78+Data!AO79+Data!AO80</f>
        <v>-1884698</v>
      </c>
    </row>
    <row r="81" customFormat="false" ht="15" hidden="false" customHeight="false" outlineLevel="0" collapsed="false">
      <c r="B81" s="14" t="str">
        <f aca="false">Data!B81</f>
        <v>2022-03</v>
      </c>
      <c r="C81" s="15" t="n">
        <f aca="false">Data!D70+Data!E70+Data!F70+Data!G70+Data!H70+Data!I70+Data!J70+Data!K70+Data!L70+Data!M70+Data!N70+Data!O70+Data!P70+Data!Q70+Data!R70+Data!S70+Data!D71+Data!E71+Data!F71+Data!G71+Data!H71+Data!I71+Data!J71+Data!K71+Data!L71+Data!M71+Data!N71+Data!O71+Data!P71+Data!Q71+Data!R71+Data!S71+Data!D72+Data!E72+Data!F72+Data!G72+Data!H72+Data!I72+Data!J72+Data!K72+Data!L72+Data!M72+Data!N72+Data!O72+Data!P72+Data!Q72+Data!R72+Data!S72+Data!D73+Data!E73+Data!F73+Data!G73+Data!H73+Data!I73+Data!J73+Data!K73+Data!L73+Data!M73+Data!N73+Data!O73+Data!P73+Data!Q73+Data!R73+Data!S73+Data!D74+Data!E74+Data!F74+Data!G74+Data!H74+Data!I74+Data!J74+Data!K74+Data!L74+Data!M74+Data!N74+Data!O74+Data!P74+Data!Q74+Data!R74+Data!S74+Data!D75+Data!E75+Data!F75+Data!G75+Data!H75+Data!I75+Data!J75+Data!K75+Data!L75+Data!M75+Data!N75+Data!O75+Data!P75+Data!Q75+Data!R75+Data!S75+Data!D76+Data!E76+Data!F76+Data!G76+Data!H76+Data!I76+Data!J76+Data!K76+Data!L76+Data!M76+Data!N76+Data!O76+Data!P76+Data!Q76+Data!R76+Data!S76+Data!D77+Data!E77+Data!F77+Data!G77+Data!H77+Data!I77+Data!J77+Data!K77+Data!L77+Data!M77+Data!N77+Data!O77+Data!P77+Data!Q77+Data!R77+Data!S77+Data!D78+Data!E78+Data!F78+Data!G78+Data!H78+Data!I78+Data!J78+Data!K78+Data!L78+Data!M78+Data!N78+Data!O78+Data!P78+Data!Q78+Data!R78+Data!S78+Data!D79+Data!E79+Data!F79+Data!G79+Data!H79+Data!I79+Data!J79+Data!K79+Data!L79+Data!M79+Data!N79+Data!O79+Data!P79+Data!Q79+Data!R79+Data!S79+Data!D80+Data!E80+Data!F80+Data!G80+Data!H80+Data!I80+Data!J80+Data!K80+Data!L80+Data!M80+Data!N80+Data!O80+Data!P80+Data!Q80+Data!R80+Data!S80+Data!D81+Data!E81+Data!F81+Data!G81+Data!H81+Data!I81+Data!J81+Data!K81+Data!L81+Data!M81+Data!N81+Data!O81+Data!P81+Data!Q81+Data!R81+Data!S81</f>
        <v>10006238</v>
      </c>
      <c r="D81" s="16" t="n">
        <f aca="false">Data!D70+Data!E70+Data!G70+Data!H70+Data!I70+Data!J70+Data!K70+Data!L70+Data!M70+Data!D71+Data!E71+Data!G71+Data!H71+Data!I71+Data!J71+Data!K71+Data!L71+Data!M71+Data!D72+Data!E72+Data!G72+Data!H72+Data!I72+Data!J72+Data!K72+Data!L72+Data!M72+Data!D73+Data!E73+Data!G73+Data!H73+Data!I73+Data!J73+Data!K73+Data!L73+Data!M73+Data!D74+Data!E74+Data!G74+Data!H74+Data!I74+Data!J74+Data!K74+Data!L74+Data!M74+Data!D75+Data!E75+Data!G75+Data!H75+Data!I75+Data!J75+Data!K75+Data!L75+Data!M75+Data!D76+Data!E76+Data!G76+Data!H76+Data!I76+Data!J76+Data!K76+Data!L76+Data!M76+Data!D77+Data!E77+Data!G77+Data!H77+Data!I77+Data!J77+Data!K77+Data!L77+Data!M77+Data!D78+Data!E78+Data!G78+Data!H78+Data!I78+Data!J78+Data!K78+Data!L78+Data!M78+Data!D79+Data!E79+Data!G79+Data!H79+Data!I79+Data!J79+Data!K79+Data!L79+Data!M79+Data!D80+Data!E80+Data!G80+Data!H80+Data!I80+Data!J80+Data!K80+Data!L80+Data!M80+Data!D81+Data!E81+Data!G81+Data!H81+Data!I81+Data!J81+Data!K81+Data!L81+Data!M81</f>
        <v>5702670</v>
      </c>
      <c r="E81" s="16" t="n">
        <f aca="false">Data!D70+Data!D71+Data!D72+Data!D73+Data!D74+Data!D75+Data!D76+Data!D77+Data!D78+Data!D79+Data!D80+Data!D81</f>
        <v>1639150</v>
      </c>
      <c r="F81" s="16" t="n">
        <f aca="false">Data!E70+Data!E71+Data!E72+Data!E73+Data!E74+Data!E75+Data!E76+Data!E77+Data!E78+Data!E79+Data!E80+Data!E81</f>
        <v>904051</v>
      </c>
      <c r="G81" s="16" t="n">
        <f aca="false">Data!K70+Data!K71+Data!K72+Data!K73+Data!K74+Data!K75+Data!K76+Data!K77+Data!K78+Data!K79+Data!K80+Data!K81</f>
        <v>1037320</v>
      </c>
      <c r="H81" s="16" t="n">
        <f aca="false">Data!L70+Data!L71+Data!L72+Data!L73+Data!L74+Data!L75+Data!L76+Data!L77+Data!L78+Data!L79+Data!L80+Data!L81</f>
        <v>342050</v>
      </c>
      <c r="I81" s="16" t="n">
        <f aca="false">Data!G70+Data!G71+Data!G72+Data!G73+Data!G74+Data!G75+Data!G76+Data!G77+Data!G78+Data!G79+Data!G80+Data!G81</f>
        <v>826726</v>
      </c>
      <c r="J81" s="16" t="n">
        <f aca="false">Data!H70+Data!I70+Data!J70+Data!M70+Data!H71+Data!I71+Data!J71+Data!M71+Data!H72+Data!I72+Data!J72+Data!M72+Data!H73+Data!I73+Data!J73+Data!M73+Data!H74+Data!I74+Data!J74+Data!M74+Data!H75+Data!I75+Data!J75+Data!M75+Data!H76+Data!I76+Data!J76+Data!M76+Data!H77+Data!I77+Data!J77+Data!M77+Data!H78+Data!I78+Data!J78+Data!M78+Data!H79+Data!I79+Data!J79+Data!M79+Data!H80+Data!I80+Data!J80+Data!M80+Data!H81+Data!I81+Data!J81+Data!M81</f>
        <v>953373</v>
      </c>
      <c r="K81" s="16" t="n">
        <f aca="false">Data!F70+Data!F71+Data!F72+Data!F73+Data!F74+Data!F75+Data!F76+Data!F77+Data!F78+Data!F79+Data!F80+Data!F81</f>
        <v>2723534</v>
      </c>
      <c r="L81" s="16" t="n">
        <f aca="false">Data!N70+Data!O70+Data!P70+Data!Q70+Data!R70+Data!S70+Data!N71+Data!O71+Data!P71+Data!Q71+Data!R71+Data!S71+Data!N72+Data!O72+Data!P72+Data!Q72+Data!R72+Data!S72+Data!N73+Data!O73+Data!P73+Data!Q73+Data!R73+Data!S73+Data!N74+Data!O74+Data!P74+Data!Q74+Data!R74+Data!S74+Data!N75+Data!O75+Data!P75+Data!Q75+Data!R75+Data!S75+Data!N76+Data!O76+Data!P76+Data!Q76+Data!R76+Data!S76+Data!N77+Data!O77+Data!P77+Data!Q77+Data!R77+Data!S77+Data!N78+Data!O78+Data!P78+Data!Q78+Data!R78+Data!S78+Data!N79+Data!O79+Data!P79+Data!Q79+Data!R79+Data!S79+Data!N80+Data!O80+Data!P80+Data!Q80+Data!R80+Data!S80+Data!N81+Data!O81+Data!P81+Data!Q81+Data!R81+Data!S81</f>
        <v>1580034</v>
      </c>
      <c r="M81" s="15" t="n">
        <f aca="false">Data!T70+Data!U70+Data!V70+Data!W70+Data!X70+Data!Y70+Data!Z70+Data!AA70+Data!AB70+Data!AC70+Data!AD70+Data!AE70+Data!AF70+Data!AG70+Data!AH70+Data!AI70+Data!AJ70+Data!AK70+Data!AL70+Data!T71+Data!U71+Data!V71+Data!W71+Data!X71+Data!Y71+Data!Z71+Data!AA71+Data!AB71+Data!AC71+Data!AD71+Data!AE71+Data!AF71+Data!AG71+Data!AH71+Data!AI71+Data!AJ71+Data!AK71+Data!AL71+Data!T72+Data!U72+Data!V72+Data!W72+Data!X72+Data!Y72+Data!Z72+Data!AA72+Data!AB72+Data!AC72+Data!AD72+Data!AE72+Data!AF72+Data!AG72+Data!AH72+Data!AI72+Data!AJ72+Data!AK72+Data!AL72+Data!T73+Data!U73+Data!V73+Data!W73+Data!X73+Data!Y73+Data!Z73+Data!AA73+Data!AB73+Data!AC73+Data!AD73+Data!AE73+Data!AF73+Data!AG73+Data!AH73+Data!AI73+Data!AJ73+Data!AK73+Data!AL73+Data!T74+Data!U74+Data!V74+Data!W74+Data!X74+Data!Y74+Data!Z74+Data!AA74+Data!AB74+Data!AC74+Data!AD74+Data!AE74+Data!AF74+Data!AG74+Data!AH74+Data!AI74+Data!AJ74+Data!AK74+Data!AL74+Data!T75+Data!U75+Data!V75+Data!W75+Data!X75+Data!Y75+Data!Z75+Data!AA75+Data!AB75+Data!AC75+Data!AD75+Data!AE75+Data!AF75+Data!AG75+Data!AH75+Data!AI75+Data!AJ75+Data!AK75+Data!AL75+Data!T76+Data!U76+Data!V76+Data!W76+Data!X76+Data!Y76+Data!Z76+Data!AA76+Data!AB76+Data!AC76+Data!AD76+Data!AE76+Data!AF76+Data!AG76+Data!AH76+Data!AI76+Data!AJ76+Data!AK76+Data!AL76+Data!T77+Data!U77+Data!V77+Data!W77+Data!X77+Data!Y77+Data!Z77+Data!AA77+Data!AB77+Data!AC77+Data!AD77+Data!AE77+Data!AF77+Data!AG77+Data!AH77+Data!AI77+Data!AJ77+Data!AK77+Data!AL77+Data!T78+Data!U78+Data!V78+Data!W78+Data!X78+Data!Y78+Data!Z78+Data!AA78+Data!AB78+Data!AC78+Data!AD78+Data!AE78+Data!AF78+Data!AG78+Data!AH78+Data!AI78+Data!AJ78+Data!AK78+Data!AL78+Data!T79+Data!U79+Data!V79+Data!W79+Data!X79+Data!Y79+Data!Z79+Data!AA79+Data!AB79+Data!AC79+Data!AD79+Data!AE79+Data!AF79+Data!AG79+Data!AH79+Data!AI79+Data!AJ79+Data!AK79+Data!AL79+Data!T80+Data!U80+Data!V80+Data!W80+Data!X80+Data!Y80+Data!Z80+Data!AA80+Data!AB80+Data!AC80+Data!AD80+Data!AE80+Data!AF80+Data!AG80+Data!AH80+Data!AI80+Data!AJ80+Data!AK80+Data!AL80+Data!T81+Data!U81+Data!V81+Data!W81+Data!X81+Data!Y81+Data!Z81+Data!AA81+Data!AB81+Data!AC81+Data!AD81+Data!AE81+Data!AF81+Data!AG81+Data!AH81+Data!AI81+Data!AJ81+Data!AK81+Data!AL81</f>
        <v>11110063</v>
      </c>
      <c r="N81" s="16" t="n">
        <f aca="false">Data!T70+Data!U70+Data!V70+Data!W70+Data!T71+Data!U71+Data!V71+Data!W71+Data!T72+Data!U72+Data!V72+Data!W72+Data!T73+Data!U73+Data!V73+Data!W73+Data!T74+Data!U74+Data!V74+Data!W74+Data!T75+Data!U75+Data!V75+Data!W75+Data!T76+Data!U76+Data!V76+Data!W76+Data!T77+Data!U77+Data!V77+Data!W77+Data!T78+Data!U78+Data!V78+Data!W78+Data!T79+Data!U79+Data!V79+Data!W79+Data!T80+Data!U80+Data!V80+Data!W80+Data!T81+Data!U81+Data!V81+Data!W81</f>
        <v>5203865</v>
      </c>
      <c r="O81" s="16" t="n">
        <f aca="false">Data!T70+Data!T71+Data!T72+Data!T73+Data!T74+Data!T75+Data!T76+Data!T77+Data!T78+Data!T79+Data!T80+Data!T81</f>
        <v>3761936</v>
      </c>
      <c r="P81" s="16" t="n">
        <f aca="false">Data!U70+Data!U71+Data!U72+Data!U73+Data!U74+Data!U75+Data!U76+Data!U77+Data!U78+Data!U79+Data!U80+Data!U81</f>
        <v>670897</v>
      </c>
      <c r="Q81" s="16" t="n">
        <f aca="false">Data!V70+Data!V71+Data!V72+Data!V73+Data!V74+Data!V75+Data!V76+Data!V77+Data!V78+Data!V79+Data!V80+Data!V81</f>
        <v>377832</v>
      </c>
      <c r="R81" s="16" t="n">
        <f aca="false">Data!W70+Data!W71+Data!W72+Data!W73+Data!W74+Data!W75+Data!W76+Data!W77+Data!W78+Data!W79+Data!W80+Data!W81</f>
        <v>393200</v>
      </c>
      <c r="S81" s="16" t="n">
        <f aca="false">Data!X70+Data!X71+Data!X72+Data!X73+Data!X74+Data!X75+Data!X76+Data!X77+Data!X78+Data!X79+Data!X80+Data!X81</f>
        <v>855828</v>
      </c>
      <c r="T81" s="16" t="n">
        <f aca="false">Data!Y70+Data!Z70+Data!AA70+Data!Y71+Data!Z71+Data!AA71+Data!Y72+Data!Z72+Data!AA72+Data!Y73+Data!Z73+Data!AA73+Data!Y74+Data!Z74+Data!AA74+Data!Y75+Data!Z75+Data!AA75+Data!Y76+Data!Z76+Data!AA76+Data!Y77+Data!Z77+Data!AA77+Data!Y78+Data!Z78+Data!AA78+Data!Y79+Data!Z79+Data!AA79+Data!Y80+Data!Z80+Data!AA80+Data!Y81+Data!Z81+Data!AA81</f>
        <v>1614553</v>
      </c>
      <c r="U81" s="16" t="n">
        <f aca="false">Data!Y70+Data!Y71+Data!Y72+Data!Y73+Data!Y74+Data!Y75+Data!Y76+Data!Y77+Data!Y78+Data!Y79+Data!Y80+Data!Y81</f>
        <v>1258454</v>
      </c>
      <c r="V81" s="16" t="n">
        <f aca="false">Data!Z70+Data!Z71+Data!Z72+Data!Z73+Data!Z74+Data!Z75+Data!Z76+Data!Z77+Data!Z78+Data!Z79+Data!Z80+Data!Z81</f>
        <v>331682</v>
      </c>
      <c r="W81" s="16" t="n">
        <f aca="false">Data!AB70+Data!AB71+Data!AB72+Data!AB73+Data!AB74+Data!AB75+Data!AB76+Data!AB77+Data!AB78+Data!AB79+Data!AB80+Data!AB81</f>
        <v>1219038</v>
      </c>
      <c r="X81" s="16" t="n">
        <f aca="false">Data!AC70+Data!AC71+Data!AC72+Data!AC73+Data!AC74+Data!AC75+Data!AC76+Data!AC77+Data!AC78+Data!AC79+Data!AC80+Data!AC81</f>
        <v>497312</v>
      </c>
      <c r="Y81" s="16" t="n">
        <f aca="false">Data!AD70+Data!AE70+Data!AF70+Data!AG70+Data!AH70+Data!AD71+Data!AE71+Data!AF71+Data!AG71+Data!AH71+Data!AD72+Data!AE72+Data!AF72+Data!AG72+Data!AH72+Data!AD73+Data!AE73+Data!AF73+Data!AG73+Data!AH73+Data!AD74+Data!AE74+Data!AF74+Data!AG74+Data!AH74+Data!AD75+Data!AE75+Data!AF75+Data!AG75+Data!AH75+Data!AD76+Data!AE76+Data!AF76+Data!AG76+Data!AH76+Data!AD77+Data!AE77+Data!AF77+Data!AG77+Data!AH77+Data!AD78+Data!AE78+Data!AF78+Data!AG78+Data!AH78+Data!AD79+Data!AE79+Data!AF79+Data!AG79+Data!AH79+Data!AD80+Data!AE80+Data!AF80+Data!AG80+Data!AH80+Data!AD81+Data!AE81+Data!AF81+Data!AG81+Data!AH81</f>
        <v>401290</v>
      </c>
      <c r="Z81" s="16" t="n">
        <f aca="false">Data!AI70+Data!AI71+Data!AI72+Data!AI73+Data!AI74+Data!AI75+Data!AI76+Data!AI77+Data!AI78+Data!AI79+Data!AI80+Data!AI81</f>
        <v>325885</v>
      </c>
      <c r="AA81" s="16" t="n">
        <f aca="false">Data!AJ70+Data!AJ71+Data!AJ72+Data!AJ73+Data!AJ74+Data!AJ75+Data!AJ76+Data!AJ77+Data!AJ78+Data!AJ79+Data!AJ80+Data!AJ81</f>
        <v>0</v>
      </c>
      <c r="AB81" s="16" t="n">
        <f aca="false">Data!AK70+Data!AK71+Data!AK72+Data!AK73+Data!AK74+Data!AK75+Data!AK76+Data!AK77+Data!AK78+Data!AK79+Data!AK80+Data!AK81</f>
        <v>266905</v>
      </c>
      <c r="AC81" s="16" t="n">
        <f aca="false">Data!AL70+Data!AL71+Data!AL72+Data!AL73+Data!AL74+Data!AL75+Data!AL76+Data!AL77+Data!AL78+Data!AL79+Data!AL80+Data!AL81</f>
        <v>725387</v>
      </c>
      <c r="AD81" s="15" t="n">
        <f aca="false">Data!AM70+Data!AM71+Data!AM72+Data!AM73+Data!AM74+Data!AM75+Data!AM76+Data!AM77+Data!AM78+Data!AM79+Data!AM80+Data!AM81</f>
        <v>-1103825</v>
      </c>
      <c r="AE81" s="16" t="n">
        <f aca="false">Data!AN70+Data!AN71+Data!AN72+Data!AN73+Data!AN74+Data!AN75+Data!AN76+Data!AN77+Data!AN78+Data!AN79+Data!AN80+Data!AN81</f>
        <v>835840</v>
      </c>
      <c r="AF81" s="15" t="n">
        <f aca="false">Data!AO70+Data!AO71+Data!AO72+Data!AO73+Data!AO74+Data!AO75+Data!AO76+Data!AO77+Data!AO78+Data!AO79+Data!AO80+Data!AO81</f>
        <v>-1939666</v>
      </c>
    </row>
    <row r="82" customFormat="false" ht="15" hidden="false" customHeight="false" outlineLevel="0" collapsed="false">
      <c r="B82" s="14" t="str">
        <f aca="false">Data!B82</f>
        <v>2022-04</v>
      </c>
      <c r="C82" s="15" t="n">
        <f aca="false">Data!D71+Data!E71+Data!F71+Data!G71+Data!H71+Data!I71+Data!J71+Data!K71+Data!L71+Data!M71+Data!N71+Data!O71+Data!P71+Data!Q71+Data!R71+Data!S71+Data!D72+Data!E72+Data!F72+Data!G72+Data!H72+Data!I72+Data!J72+Data!K72+Data!L72+Data!M72+Data!N72+Data!O72+Data!P72+Data!Q72+Data!R72+Data!S72+Data!D73+Data!E73+Data!F73+Data!G73+Data!H73+Data!I73+Data!J73+Data!K73+Data!L73+Data!M73+Data!N73+Data!O73+Data!P73+Data!Q73+Data!R73+Data!S73+Data!D74+Data!E74+Data!F74+Data!G74+Data!H74+Data!I74+Data!J74+Data!K74+Data!L74+Data!M74+Data!N74+Data!O74+Data!P74+Data!Q74+Data!R74+Data!S74+Data!D75+Data!E75+Data!F75+Data!G75+Data!H75+Data!I75+Data!J75+Data!K75+Data!L75+Data!M75+Data!N75+Data!O75+Data!P75+Data!Q75+Data!R75+Data!S75+Data!D76+Data!E76+Data!F76+Data!G76+Data!H76+Data!I76+Data!J76+Data!K76+Data!L76+Data!M76+Data!N76+Data!O76+Data!P76+Data!Q76+Data!R76+Data!S76+Data!D77+Data!E77+Data!F77+Data!G77+Data!H77+Data!I77+Data!J77+Data!K77+Data!L77+Data!M77+Data!N77+Data!O77+Data!P77+Data!Q77+Data!R77+Data!S77+Data!D78+Data!E78+Data!F78+Data!G78+Data!H78+Data!I78+Data!J78+Data!K78+Data!L78+Data!M78+Data!N78+Data!O78+Data!P78+Data!Q78+Data!R78+Data!S78+Data!D79+Data!E79+Data!F79+Data!G79+Data!H79+Data!I79+Data!J79+Data!K79+Data!L79+Data!M79+Data!N79+Data!O79+Data!P79+Data!Q79+Data!R79+Data!S79+Data!D80+Data!E80+Data!F80+Data!G80+Data!H80+Data!I80+Data!J80+Data!K80+Data!L80+Data!M80+Data!N80+Data!O80+Data!P80+Data!Q80+Data!R80+Data!S80+Data!D81+Data!E81+Data!F81+Data!G81+Data!H81+Data!I81+Data!J81+Data!K81+Data!L81+Data!M81+Data!N81+Data!O81+Data!P81+Data!Q81+Data!R81+Data!S81+Data!D82+Data!E82+Data!F82+Data!G82+Data!H82+Data!I82+Data!J82+Data!K82+Data!L82+Data!M82+Data!N82+Data!O82+Data!P82+Data!Q82+Data!R82+Data!S82</f>
        <v>10481640</v>
      </c>
      <c r="D82" s="16" t="n">
        <f aca="false">Data!D71+Data!E71+Data!G71+Data!H71+Data!I71+Data!J71+Data!K71+Data!L71+Data!M71+Data!D72+Data!E72+Data!G72+Data!H72+Data!I72+Data!J72+Data!K72+Data!L72+Data!M72+Data!D73+Data!E73+Data!G73+Data!H73+Data!I73+Data!J73+Data!K73+Data!L73+Data!M73+Data!D74+Data!E74+Data!G74+Data!H74+Data!I74+Data!J74+Data!K74+Data!L74+Data!M74+Data!D75+Data!E75+Data!G75+Data!H75+Data!I75+Data!J75+Data!K75+Data!L75+Data!M75+Data!D76+Data!E76+Data!G76+Data!H76+Data!I76+Data!J76+Data!K76+Data!L76+Data!M76+Data!D77+Data!E77+Data!G77+Data!H77+Data!I77+Data!J77+Data!K77+Data!L77+Data!M77+Data!D78+Data!E78+Data!G78+Data!H78+Data!I78+Data!J78+Data!K78+Data!L78+Data!M78+Data!D79+Data!E79+Data!G79+Data!H79+Data!I79+Data!J79+Data!K79+Data!L79+Data!M79+Data!D80+Data!E80+Data!G80+Data!H80+Data!I80+Data!J80+Data!K80+Data!L80+Data!M80+Data!D81+Data!E81+Data!G81+Data!H81+Data!I81+Data!J81+Data!K81+Data!L81+Data!M81+Data!D82+Data!E82+Data!G82+Data!H82+Data!I82+Data!J82+Data!K82+Data!L82+Data!M82</f>
        <v>5918502</v>
      </c>
      <c r="E82" s="16" t="n">
        <f aca="false">Data!D71+Data!D72+Data!D73+Data!D74+Data!D75+Data!D76+Data!D77+Data!D78+Data!D79+Data!D80+Data!D81+Data!D82</f>
        <v>1717051</v>
      </c>
      <c r="F82" s="16" t="n">
        <f aca="false">Data!E71+Data!E72+Data!E73+Data!E74+Data!E75+Data!E76+Data!E77+Data!E78+Data!E79+Data!E80+Data!E81+Data!E82</f>
        <v>947697</v>
      </c>
      <c r="G82" s="16" t="n">
        <f aca="false">Data!K71+Data!K72+Data!K73+Data!K74+Data!K75+Data!K76+Data!K77+Data!K78+Data!K79+Data!K80+Data!K81+Data!K82</f>
        <v>1048271</v>
      </c>
      <c r="H82" s="16" t="n">
        <f aca="false">Data!L71+Data!L72+Data!L73+Data!L74+Data!L75+Data!L76+Data!L77+Data!L78+Data!L79+Data!L80+Data!L81+Data!L82</f>
        <v>355564</v>
      </c>
      <c r="I82" s="16" t="n">
        <f aca="false">Data!G71+Data!G72+Data!G73+Data!G74+Data!G75+Data!G76+Data!G77+Data!G78+Data!G79+Data!G80+Data!G81+Data!G82</f>
        <v>863206</v>
      </c>
      <c r="J82" s="16" t="n">
        <f aca="false">Data!H71+Data!I71+Data!J71+Data!M71+Data!H72+Data!I72+Data!J72+Data!M72+Data!H73+Data!I73+Data!J73+Data!M73+Data!H74+Data!I74+Data!J74+Data!M74+Data!H75+Data!I75+Data!J75+Data!M75+Data!H76+Data!I76+Data!J76+Data!M76+Data!H77+Data!I77+Data!J77+Data!M77+Data!H78+Data!I78+Data!J78+Data!M78+Data!H79+Data!I79+Data!J79+Data!M79+Data!H80+Data!I80+Data!J80+Data!M80+Data!H81+Data!I81+Data!J81+Data!M81+Data!H82+Data!I82+Data!J82+Data!M82</f>
        <v>986713</v>
      </c>
      <c r="K82" s="16" t="n">
        <f aca="false">Data!F71+Data!F72+Data!F73+Data!F74+Data!F75+Data!F76+Data!F77+Data!F78+Data!F79+Data!F80+Data!F81+Data!F82</f>
        <v>2847493</v>
      </c>
      <c r="L82" s="16" t="n">
        <f aca="false">Data!N71+Data!O71+Data!P71+Data!Q71+Data!R71+Data!S71+Data!N72+Data!O72+Data!P72+Data!Q72+Data!R72+Data!S72+Data!N73+Data!O73+Data!P73+Data!Q73+Data!R73+Data!S73+Data!N74+Data!O74+Data!P74+Data!Q74+Data!R74+Data!S74+Data!N75+Data!O75+Data!P75+Data!Q75+Data!R75+Data!S75+Data!N76+Data!O76+Data!P76+Data!Q76+Data!R76+Data!S76+Data!N77+Data!O77+Data!P77+Data!Q77+Data!R77+Data!S77+Data!N78+Data!O78+Data!P78+Data!Q78+Data!R78+Data!S78+Data!N79+Data!O79+Data!P79+Data!Q79+Data!R79+Data!S79+Data!N80+Data!O80+Data!P80+Data!Q80+Data!R80+Data!S80+Data!N81+Data!O81+Data!P81+Data!Q81+Data!R81+Data!S81+Data!N82+Data!O82+Data!P82+Data!Q82+Data!R82+Data!S82</f>
        <v>1715645</v>
      </c>
      <c r="M82" s="15" t="n">
        <f aca="false">Data!T71+Data!U71+Data!V71+Data!W71+Data!X71+Data!Y71+Data!Z71+Data!AA71+Data!AB71+Data!AC71+Data!AD71+Data!AE71+Data!AF71+Data!AG71+Data!AH71+Data!AI71+Data!AJ71+Data!AK71+Data!AL71+Data!T72+Data!U72+Data!V72+Data!W72+Data!X72+Data!Y72+Data!Z72+Data!AA72+Data!AB72+Data!AC72+Data!AD72+Data!AE72+Data!AF72+Data!AG72+Data!AH72+Data!AI72+Data!AJ72+Data!AK72+Data!AL72+Data!T73+Data!U73+Data!V73+Data!W73+Data!X73+Data!Y73+Data!Z73+Data!AA73+Data!AB73+Data!AC73+Data!AD73+Data!AE73+Data!AF73+Data!AG73+Data!AH73+Data!AI73+Data!AJ73+Data!AK73+Data!AL73+Data!T74+Data!U74+Data!V74+Data!W74+Data!X74+Data!Y74+Data!Z74+Data!AA74+Data!AB74+Data!AC74+Data!AD74+Data!AE74+Data!AF74+Data!AG74+Data!AH74+Data!AI74+Data!AJ74+Data!AK74+Data!AL74+Data!T75+Data!U75+Data!V75+Data!W75+Data!X75+Data!Y75+Data!Z75+Data!AA75+Data!AB75+Data!AC75+Data!AD75+Data!AE75+Data!AF75+Data!AG75+Data!AH75+Data!AI75+Data!AJ75+Data!AK75+Data!AL75+Data!T76+Data!U76+Data!V76+Data!W76+Data!X76+Data!Y76+Data!Z76+Data!AA76+Data!AB76+Data!AC76+Data!AD76+Data!AE76+Data!AF76+Data!AG76+Data!AH76+Data!AI76+Data!AJ76+Data!AK76+Data!AL76+Data!T77+Data!U77+Data!V77+Data!W77+Data!X77+Data!Y77+Data!Z77+Data!AA77+Data!AB77+Data!AC77+Data!AD77+Data!AE77+Data!AF77+Data!AG77+Data!AH77+Data!AI77+Data!AJ77+Data!AK77+Data!AL77+Data!T78+Data!U78+Data!V78+Data!W78+Data!X78+Data!Y78+Data!Z78+Data!AA78+Data!AB78+Data!AC78+Data!AD78+Data!AE78+Data!AF78+Data!AG78+Data!AH78+Data!AI78+Data!AJ78+Data!AK78+Data!AL78+Data!T79+Data!U79+Data!V79+Data!W79+Data!X79+Data!Y79+Data!Z79+Data!AA79+Data!AB79+Data!AC79+Data!AD79+Data!AE79+Data!AF79+Data!AG79+Data!AH79+Data!AI79+Data!AJ79+Data!AK79+Data!AL79+Data!T80+Data!U80+Data!V80+Data!W80+Data!X80+Data!Y80+Data!Z80+Data!AA80+Data!AB80+Data!AC80+Data!AD80+Data!AE80+Data!AF80+Data!AG80+Data!AH80+Data!AI80+Data!AJ80+Data!AK80+Data!AL80+Data!T81+Data!U81+Data!V81+Data!W81+Data!X81+Data!Y81+Data!Z81+Data!AA81+Data!AB81+Data!AC81+Data!AD81+Data!AE81+Data!AF81+Data!AG81+Data!AH81+Data!AI81+Data!AJ81+Data!AK81+Data!AL81+Data!T82+Data!U82+Data!V82+Data!W82+Data!X82+Data!Y82+Data!Z82+Data!AA82+Data!AB82+Data!AC82+Data!AD82+Data!AE82+Data!AF82+Data!AG82+Data!AH82+Data!AI82+Data!AJ82+Data!AK82+Data!AL82</f>
        <v>11653205</v>
      </c>
      <c r="N82" s="16" t="n">
        <f aca="false">Data!T71+Data!U71+Data!V71+Data!W71+Data!T72+Data!U72+Data!V72+Data!W72+Data!T73+Data!U73+Data!V73+Data!W73+Data!T74+Data!U74+Data!V74+Data!W74+Data!T75+Data!U75+Data!V75+Data!W75+Data!T76+Data!U76+Data!V76+Data!W76+Data!T77+Data!U77+Data!V77+Data!W77+Data!T78+Data!U78+Data!V78+Data!W78+Data!T79+Data!U79+Data!V79+Data!W79+Data!T80+Data!U80+Data!V80+Data!W80+Data!T81+Data!U81+Data!V81+Data!W81+Data!T82+Data!U82+Data!V82+Data!W82</f>
        <v>5418689</v>
      </c>
      <c r="O82" s="16" t="n">
        <f aca="false">Data!T71+Data!T72+Data!T73+Data!T74+Data!T75+Data!T76+Data!T77+Data!T78+Data!T79+Data!T80+Data!T81+Data!T82</f>
        <v>3914100</v>
      </c>
      <c r="P82" s="16" t="n">
        <f aca="false">Data!U71+Data!U72+Data!U73+Data!U74+Data!U75+Data!U76+Data!U77+Data!U78+Data!U79+Data!U80+Data!U81+Data!U82</f>
        <v>705748</v>
      </c>
      <c r="Q82" s="16" t="n">
        <f aca="false">Data!V71+Data!V72+Data!V73+Data!V74+Data!V75+Data!V76+Data!V77+Data!V78+Data!V79+Data!V80+Data!V81+Data!V82</f>
        <v>389836</v>
      </c>
      <c r="R82" s="16" t="n">
        <f aca="false">Data!W71+Data!W72+Data!W73+Data!W74+Data!W75+Data!W76+Data!W77+Data!W78+Data!W79+Data!W80+Data!W81+Data!W82</f>
        <v>409005</v>
      </c>
      <c r="S82" s="16" t="n">
        <f aca="false">Data!X71+Data!X72+Data!X73+Data!X74+Data!X75+Data!X76+Data!X77+Data!X78+Data!X79+Data!X80+Data!X81+Data!X82</f>
        <v>929627</v>
      </c>
      <c r="T82" s="16" t="n">
        <f aca="false">Data!Y71+Data!Z71+Data!AA71+Data!Y72+Data!Z72+Data!AA72+Data!Y73+Data!Z73+Data!AA73+Data!Y74+Data!Z74+Data!AA74+Data!Y75+Data!Z75+Data!AA75+Data!Y76+Data!Z76+Data!AA76+Data!Y77+Data!Z77+Data!AA77+Data!Y78+Data!Z78+Data!AA78+Data!Y79+Data!Z79+Data!AA79+Data!Y80+Data!Z80+Data!AA80+Data!Y81+Data!Z81+Data!AA81+Data!Y82+Data!Z82+Data!AA82</f>
        <v>1711386</v>
      </c>
      <c r="U82" s="16" t="n">
        <f aca="false">Data!Y71+Data!Y72+Data!Y73+Data!Y74+Data!Y75+Data!Y76+Data!Y77+Data!Y78+Data!Y79+Data!Y80+Data!Y81+Data!Y82</f>
        <v>1325012</v>
      </c>
      <c r="V82" s="16" t="n">
        <f aca="false">Data!Z71+Data!Z72+Data!Z73+Data!Z74+Data!Z75+Data!Z76+Data!Z77+Data!Z78+Data!Z79+Data!Z80+Data!Z81+Data!Z82</f>
        <v>361529</v>
      </c>
      <c r="W82" s="16" t="n">
        <f aca="false">Data!AB71+Data!AB72+Data!AB73+Data!AB74+Data!AB75+Data!AB76+Data!AB77+Data!AB78+Data!AB79+Data!AB80+Data!AB81+Data!AB82</f>
        <v>1275543</v>
      </c>
      <c r="X82" s="16" t="n">
        <f aca="false">Data!AC71+Data!AC72+Data!AC73+Data!AC74+Data!AC75+Data!AC76+Data!AC77+Data!AC78+Data!AC79+Data!AC80+Data!AC81+Data!AC82</f>
        <v>521783</v>
      </c>
      <c r="Y82" s="16" t="n">
        <f aca="false">Data!AD71+Data!AE71+Data!AF71+Data!AG71+Data!AH71+Data!AD72+Data!AE72+Data!AF72+Data!AG72+Data!AH72+Data!AD73+Data!AE73+Data!AF73+Data!AG73+Data!AH73+Data!AD74+Data!AE74+Data!AF74+Data!AG74+Data!AH74+Data!AD75+Data!AE75+Data!AF75+Data!AG75+Data!AH75+Data!AD76+Data!AE76+Data!AF76+Data!AG76+Data!AH76+Data!AD77+Data!AE77+Data!AF77+Data!AG77+Data!AH77+Data!AD78+Data!AE78+Data!AF78+Data!AG78+Data!AH78+Data!AD79+Data!AE79+Data!AF79+Data!AG79+Data!AH79+Data!AD80+Data!AE80+Data!AF80+Data!AG80+Data!AH80+Data!AD81+Data!AE81+Data!AF81+Data!AG81+Data!AH81+Data!AD82+Data!AE82+Data!AF82+Data!AG82+Data!AH82</f>
        <v>429850</v>
      </c>
      <c r="Z82" s="16" t="n">
        <f aca="false">Data!AI71+Data!AI72+Data!AI73+Data!AI74+Data!AI75+Data!AI76+Data!AI77+Data!AI78+Data!AI79+Data!AI80+Data!AI81+Data!AI82</f>
        <v>341366</v>
      </c>
      <c r="AA82" s="16" t="n">
        <f aca="false">Data!AJ71+Data!AJ72+Data!AJ73+Data!AJ74+Data!AJ75+Data!AJ76+Data!AJ77+Data!AJ78+Data!AJ79+Data!AJ80+Data!AJ81+Data!AJ82</f>
        <v>0</v>
      </c>
      <c r="AB82" s="16" t="n">
        <f aca="false">Data!AK71+Data!AK72+Data!AK73+Data!AK74+Data!AK75+Data!AK76+Data!AK77+Data!AK78+Data!AK79+Data!AK80+Data!AK81+Data!AK82</f>
        <v>258612</v>
      </c>
      <c r="AC82" s="16" t="n">
        <f aca="false">Data!AL71+Data!AL72+Data!AL73+Data!AL74+Data!AL75+Data!AL76+Data!AL77+Data!AL78+Data!AL79+Data!AL80+Data!AL81+Data!AL82</f>
        <v>766349</v>
      </c>
      <c r="AD82" s="15" t="n">
        <f aca="false">Data!AM71+Data!AM72+Data!AM73+Data!AM74+Data!AM75+Data!AM76+Data!AM77+Data!AM78+Data!AM79+Data!AM80+Data!AM81+Data!AM82</f>
        <v>-1171565</v>
      </c>
      <c r="AE82" s="16" t="n">
        <f aca="false">Data!AN71+Data!AN72+Data!AN73+Data!AN74+Data!AN75+Data!AN76+Data!AN77+Data!AN78+Data!AN79+Data!AN80+Data!AN81+Data!AN82</f>
        <v>857383</v>
      </c>
      <c r="AF82" s="15" t="n">
        <f aca="false">Data!AO71+Data!AO72+Data!AO73+Data!AO74+Data!AO75+Data!AO76+Data!AO77+Data!AO78+Data!AO79+Data!AO80+Data!AO81+Data!AO82</f>
        <v>-2028949</v>
      </c>
    </row>
    <row r="83" customFormat="false" ht="15" hidden="false" customHeight="false" outlineLevel="0" collapsed="false">
      <c r="B83" s="14" t="str">
        <f aca="false">Data!B83</f>
        <v>2022-05</v>
      </c>
      <c r="C83" s="15" t="n">
        <f aca="false">Data!D72+Data!E72+Data!F72+Data!G72+Data!H72+Data!I72+Data!J72+Data!K72+Data!L72+Data!M72+Data!N72+Data!O72+Data!P72+Data!Q72+Data!R72+Data!S72+Data!D73+Data!E73+Data!F73+Data!G73+Data!H73+Data!I73+Data!J73+Data!K73+Data!L73+Data!M73+Data!N73+Data!O73+Data!P73+Data!Q73+Data!R73+Data!S73+Data!D74+Data!E74+Data!F74+Data!G74+Data!H74+Data!I74+Data!J74+Data!K74+Data!L74+Data!M74+Data!N74+Data!O74+Data!P74+Data!Q74+Data!R74+Data!S74+Data!D75+Data!E75+Data!F75+Data!G75+Data!H75+Data!I75+Data!J75+Data!K75+Data!L75+Data!M75+Data!N75+Data!O75+Data!P75+Data!Q75+Data!R75+Data!S75+Data!D76+Data!E76+Data!F76+Data!G76+Data!H76+Data!I76+Data!J76+Data!K76+Data!L76+Data!M76+Data!N76+Data!O76+Data!P76+Data!Q76+Data!R76+Data!S76+Data!D77+Data!E77+Data!F77+Data!G77+Data!H77+Data!I77+Data!J77+Data!K77+Data!L77+Data!M77+Data!N77+Data!O77+Data!P77+Data!Q77+Data!R77+Data!S77+Data!D78+Data!E78+Data!F78+Data!G78+Data!H78+Data!I78+Data!J78+Data!K78+Data!L78+Data!M78+Data!N78+Data!O78+Data!P78+Data!Q78+Data!R78+Data!S78+Data!D79+Data!E79+Data!F79+Data!G79+Data!H79+Data!I79+Data!J79+Data!K79+Data!L79+Data!M79+Data!N79+Data!O79+Data!P79+Data!Q79+Data!R79+Data!S79+Data!D80+Data!E80+Data!F80+Data!G80+Data!H80+Data!I80+Data!J80+Data!K80+Data!L80+Data!M80+Data!N80+Data!O80+Data!P80+Data!Q80+Data!R80+Data!S80+Data!D81+Data!E81+Data!F81+Data!G81+Data!H81+Data!I81+Data!J81+Data!K81+Data!L81+Data!M81+Data!N81+Data!O81+Data!P81+Data!Q81+Data!R81+Data!S81+Data!D82+Data!E82+Data!F82+Data!G82+Data!H82+Data!I82+Data!J82+Data!K82+Data!L82+Data!M82+Data!N82+Data!O82+Data!P82+Data!Q82+Data!R82+Data!S82+Data!D83+Data!E83+Data!F83+Data!G83+Data!H83+Data!I83+Data!J83+Data!K83+Data!L83+Data!M83+Data!N83+Data!O83+Data!P83+Data!Q83+Data!R83+Data!S83</f>
        <v>10898967</v>
      </c>
      <c r="D83" s="16" t="n">
        <f aca="false">Data!D72+Data!E72+Data!G72+Data!H72+Data!I72+Data!J72+Data!K72+Data!L72+Data!M72+Data!D73+Data!E73+Data!G73+Data!H73+Data!I73+Data!J73+Data!K73+Data!L73+Data!M73+Data!D74+Data!E74+Data!G74+Data!H74+Data!I74+Data!J74+Data!K74+Data!L74+Data!M74+Data!D75+Data!E75+Data!G75+Data!H75+Data!I75+Data!J75+Data!K75+Data!L75+Data!M75+Data!D76+Data!E76+Data!G76+Data!H76+Data!I76+Data!J76+Data!K76+Data!L76+Data!M76+Data!D77+Data!E77+Data!G77+Data!H77+Data!I77+Data!J77+Data!K77+Data!L77+Data!M77+Data!D78+Data!E78+Data!G78+Data!H78+Data!I78+Data!J78+Data!K78+Data!L78+Data!M78+Data!D79+Data!E79+Data!G79+Data!H79+Data!I79+Data!J79+Data!K79+Data!L79+Data!M79+Data!D80+Data!E80+Data!G80+Data!H80+Data!I80+Data!J80+Data!K80+Data!L80+Data!M80+Data!D81+Data!E81+Data!G81+Data!H81+Data!I81+Data!J81+Data!K81+Data!L81+Data!M81+Data!D82+Data!E82+Data!G82+Data!H82+Data!I82+Data!J82+Data!K82+Data!L82+Data!M82+Data!D83+Data!E83+Data!G83+Data!H83+Data!I83+Data!J83+Data!K83+Data!L83+Data!M83</f>
        <v>6218039</v>
      </c>
      <c r="E83" s="16" t="n">
        <f aca="false">Data!D72+Data!D73+Data!D74+Data!D75+Data!D76+Data!D77+Data!D78+Data!D79+Data!D80+Data!D81+Data!D82+Data!D83</f>
        <v>1797010</v>
      </c>
      <c r="F83" s="16" t="n">
        <f aca="false">Data!E72+Data!E73+Data!E74+Data!E75+Data!E76+Data!E77+Data!E78+Data!E79+Data!E80+Data!E81+Data!E82+Data!E83</f>
        <v>1030208</v>
      </c>
      <c r="G83" s="16" t="n">
        <f aca="false">Data!K72+Data!K73+Data!K74+Data!K75+Data!K76+Data!K77+Data!K78+Data!K79+Data!K80+Data!K81+Data!K82+Data!K83</f>
        <v>1075858</v>
      </c>
      <c r="H83" s="16" t="n">
        <f aca="false">Data!L72+Data!L73+Data!L74+Data!L75+Data!L76+Data!L77+Data!L78+Data!L79+Data!L80+Data!L81+Data!L82+Data!L83</f>
        <v>370394</v>
      </c>
      <c r="I83" s="16" t="n">
        <f aca="false">Data!G72+Data!G73+Data!G74+Data!G75+Data!G76+Data!G77+Data!G78+Data!G79+Data!G80+Data!G81+Data!G82+Data!G83</f>
        <v>905789</v>
      </c>
      <c r="J83" s="16" t="n">
        <f aca="false">Data!H72+Data!I72+Data!J72+Data!M72+Data!H73+Data!I73+Data!J73+Data!M73+Data!H74+Data!I74+Data!J74+Data!M74+Data!H75+Data!I75+Data!J75+Data!M75+Data!H76+Data!I76+Data!J76+Data!M76+Data!H77+Data!I77+Data!J77+Data!M77+Data!H78+Data!I78+Data!J78+Data!M78+Data!H79+Data!I79+Data!J79+Data!M79+Data!H80+Data!I80+Data!J80+Data!M80+Data!H81+Data!I81+Data!J81+Data!M81+Data!H82+Data!I82+Data!J82+Data!M82+Data!H83+Data!I83+Data!J83+Data!M83</f>
        <v>1038780</v>
      </c>
      <c r="K83" s="16" t="n">
        <f aca="false">Data!F72+Data!F73+Data!F74+Data!F75+Data!F76+Data!F77+Data!F78+Data!F79+Data!F80+Data!F81+Data!F82+Data!F83</f>
        <v>2981347</v>
      </c>
      <c r="L83" s="16" t="n">
        <f aca="false">Data!N72+Data!O72+Data!P72+Data!Q72+Data!R72+Data!S72+Data!N73+Data!O73+Data!P73+Data!Q73+Data!R73+Data!S73+Data!N74+Data!O74+Data!P74+Data!Q74+Data!R74+Data!S74+Data!N75+Data!O75+Data!P75+Data!Q75+Data!R75+Data!S75+Data!N76+Data!O76+Data!P76+Data!Q76+Data!R76+Data!S76+Data!N77+Data!O77+Data!P77+Data!Q77+Data!R77+Data!S77+Data!N78+Data!O78+Data!P78+Data!Q78+Data!R78+Data!S78+Data!N79+Data!O79+Data!P79+Data!Q79+Data!R79+Data!S79+Data!N80+Data!O80+Data!P80+Data!Q80+Data!R80+Data!S80+Data!N81+Data!O81+Data!P81+Data!Q81+Data!R81+Data!S81+Data!N82+Data!O82+Data!P82+Data!Q82+Data!R82+Data!S82+Data!N83+Data!O83+Data!P83+Data!Q83+Data!R83+Data!S83</f>
        <v>1699581</v>
      </c>
      <c r="M83" s="15" t="n">
        <f aca="false">Data!T72+Data!U72+Data!V72+Data!W72+Data!X72+Data!Y72+Data!Z72+Data!AA72+Data!AB72+Data!AC72+Data!AD72+Data!AE72+Data!AF72+Data!AG72+Data!AH72+Data!AI72+Data!AJ72+Data!AK72+Data!AL72+Data!T73+Data!U73+Data!V73+Data!W73+Data!X73+Data!Y73+Data!Z73+Data!AA73+Data!AB73+Data!AC73+Data!AD73+Data!AE73+Data!AF73+Data!AG73+Data!AH73+Data!AI73+Data!AJ73+Data!AK73+Data!AL73+Data!T74+Data!U74+Data!V74+Data!W74+Data!X74+Data!Y74+Data!Z74+Data!AA74+Data!AB74+Data!AC74+Data!AD74+Data!AE74+Data!AF74+Data!AG74+Data!AH74+Data!AI74+Data!AJ74+Data!AK74+Data!AL74+Data!T75+Data!U75+Data!V75+Data!W75+Data!X75+Data!Y75+Data!Z75+Data!AA75+Data!AB75+Data!AC75+Data!AD75+Data!AE75+Data!AF75+Data!AG75+Data!AH75+Data!AI75+Data!AJ75+Data!AK75+Data!AL75+Data!T76+Data!U76+Data!V76+Data!W76+Data!X76+Data!Y76+Data!Z76+Data!AA76+Data!AB76+Data!AC76+Data!AD76+Data!AE76+Data!AF76+Data!AG76+Data!AH76+Data!AI76+Data!AJ76+Data!AK76+Data!AL76+Data!T77+Data!U77+Data!V77+Data!W77+Data!X77+Data!Y77+Data!Z77+Data!AA77+Data!AB77+Data!AC77+Data!AD77+Data!AE77+Data!AF77+Data!AG77+Data!AH77+Data!AI77+Data!AJ77+Data!AK77+Data!AL77+Data!T78+Data!U78+Data!V78+Data!W78+Data!X78+Data!Y78+Data!Z78+Data!AA78+Data!AB78+Data!AC78+Data!AD78+Data!AE78+Data!AF78+Data!AG78+Data!AH78+Data!AI78+Data!AJ78+Data!AK78+Data!AL78+Data!T79+Data!U79+Data!V79+Data!W79+Data!X79+Data!Y79+Data!Z79+Data!AA79+Data!AB79+Data!AC79+Data!AD79+Data!AE79+Data!AF79+Data!AG79+Data!AH79+Data!AI79+Data!AJ79+Data!AK79+Data!AL79+Data!T80+Data!U80+Data!V80+Data!W80+Data!X80+Data!Y80+Data!Z80+Data!AA80+Data!AB80+Data!AC80+Data!AD80+Data!AE80+Data!AF80+Data!AG80+Data!AH80+Data!AI80+Data!AJ80+Data!AK80+Data!AL80+Data!T81+Data!U81+Data!V81+Data!W81+Data!X81+Data!Y81+Data!Z81+Data!AA81+Data!AB81+Data!AC81+Data!AD81+Data!AE81+Data!AF81+Data!AG81+Data!AH81+Data!AI81+Data!AJ81+Data!AK81+Data!AL81+Data!T82+Data!U82+Data!V82+Data!W82+Data!X82+Data!Y82+Data!Z82+Data!AA82+Data!AB82+Data!AC82+Data!AD82+Data!AE82+Data!AF82+Data!AG82+Data!AH82+Data!AI82+Data!AJ82+Data!AK82+Data!AL82+Data!T83+Data!U83+Data!V83+Data!W83+Data!X83+Data!Y83+Data!Z83+Data!AA83+Data!AB83+Data!AC83+Data!AD83+Data!AE83+Data!AF83+Data!AG83+Data!AH83+Data!AI83+Data!AJ83+Data!AK83+Data!AL83</f>
        <v>12258658</v>
      </c>
      <c r="N83" s="16" t="n">
        <f aca="false">Data!T72+Data!U72+Data!V72+Data!W72+Data!T73+Data!U73+Data!V73+Data!W73+Data!T74+Data!U74+Data!V74+Data!W74+Data!T75+Data!U75+Data!V75+Data!W75+Data!T76+Data!U76+Data!V76+Data!W76+Data!T77+Data!U77+Data!V77+Data!W77+Data!T78+Data!U78+Data!V78+Data!W78+Data!T79+Data!U79+Data!V79+Data!W79+Data!T80+Data!U80+Data!V80+Data!W80+Data!T81+Data!U81+Data!V81+Data!W81+Data!T82+Data!U82+Data!V82+Data!W82+Data!T83+Data!U83+Data!V83+Data!W83</f>
        <v>5640328</v>
      </c>
      <c r="O83" s="16" t="n">
        <f aca="false">Data!T72+Data!T73+Data!T74+Data!T75+Data!T76+Data!T77+Data!T78+Data!T79+Data!T80+Data!T81+Data!T82+Data!T83</f>
        <v>4067740</v>
      </c>
      <c r="P83" s="16" t="n">
        <f aca="false">Data!U72+Data!U73+Data!U74+Data!U75+Data!U76+Data!U77+Data!U78+Data!U79+Data!U80+Data!U81+Data!U82+Data!U83</f>
        <v>739311</v>
      </c>
      <c r="Q83" s="16" t="n">
        <f aca="false">Data!V72+Data!V73+Data!V74+Data!V75+Data!V76+Data!V77+Data!V78+Data!V79+Data!V80+Data!V81+Data!V82+Data!V83</f>
        <v>404470</v>
      </c>
      <c r="R83" s="16" t="n">
        <f aca="false">Data!W72+Data!W73+Data!W74+Data!W75+Data!W76+Data!W77+Data!W78+Data!W79+Data!W80+Data!W81+Data!W82+Data!W83</f>
        <v>428807</v>
      </c>
      <c r="S83" s="16" t="n">
        <f aca="false">Data!X72+Data!X73+Data!X74+Data!X75+Data!X76+Data!X77+Data!X78+Data!X79+Data!X80+Data!X81+Data!X82+Data!X83</f>
        <v>1071807</v>
      </c>
      <c r="T83" s="16" t="n">
        <f aca="false">Data!Y72+Data!Z72+Data!AA72+Data!Y73+Data!Z73+Data!AA73+Data!Y74+Data!Z74+Data!AA74+Data!Y75+Data!Z75+Data!AA75+Data!Y76+Data!Z76+Data!AA76+Data!Y77+Data!Z77+Data!AA77+Data!Y78+Data!Z78+Data!AA78+Data!Y79+Data!Z79+Data!AA79+Data!Y80+Data!Z80+Data!AA80+Data!Y81+Data!Z81+Data!AA81+Data!Y82+Data!Z82+Data!AA82+Data!Y83+Data!Z83+Data!AA83</f>
        <v>1778964</v>
      </c>
      <c r="U83" s="16" t="n">
        <f aca="false">Data!Y72+Data!Y73+Data!Y74+Data!Y75+Data!Y76+Data!Y77+Data!Y78+Data!Y79+Data!Y80+Data!Y81+Data!Y82+Data!Y83</f>
        <v>1375030</v>
      </c>
      <c r="V83" s="16" t="n">
        <f aca="false">Data!Z72+Data!Z73+Data!Z74+Data!Z75+Data!Z76+Data!Z77+Data!Z78+Data!Z79+Data!Z80+Data!Z81+Data!Z82+Data!Z83</f>
        <v>379475</v>
      </c>
      <c r="W83" s="16" t="n">
        <f aca="false">Data!AB72+Data!AB73+Data!AB74+Data!AB75+Data!AB76+Data!AB77+Data!AB78+Data!AB79+Data!AB80+Data!AB81+Data!AB82+Data!AB83</f>
        <v>1332529</v>
      </c>
      <c r="X83" s="16" t="n">
        <f aca="false">Data!AC72+Data!AC73+Data!AC74+Data!AC75+Data!AC76+Data!AC77+Data!AC78+Data!AC79+Data!AC80+Data!AC81+Data!AC82+Data!AC83</f>
        <v>539330</v>
      </c>
      <c r="Y83" s="16" t="n">
        <f aca="false">Data!AD72+Data!AE72+Data!AF72+Data!AG72+Data!AH72+Data!AD73+Data!AE73+Data!AF73+Data!AG73+Data!AH73+Data!AD74+Data!AE74+Data!AF74+Data!AG74+Data!AH74+Data!AD75+Data!AE75+Data!AF75+Data!AG75+Data!AH75+Data!AD76+Data!AE76+Data!AF76+Data!AG76+Data!AH76+Data!AD77+Data!AE77+Data!AF77+Data!AG77+Data!AH77+Data!AD78+Data!AE78+Data!AF78+Data!AG78+Data!AH78+Data!AD79+Data!AE79+Data!AF79+Data!AG79+Data!AH79+Data!AD80+Data!AE80+Data!AF80+Data!AG80+Data!AH80+Data!AD81+Data!AE81+Data!AF81+Data!AG81+Data!AH81+Data!AD82+Data!AE82+Data!AF82+Data!AG82+Data!AH82+Data!AD83+Data!AE83+Data!AF83+Data!AG83+Data!AH83</f>
        <v>455830</v>
      </c>
      <c r="Z83" s="16" t="n">
        <f aca="false">Data!AI72+Data!AI73+Data!AI74+Data!AI75+Data!AI76+Data!AI77+Data!AI78+Data!AI79+Data!AI80+Data!AI81+Data!AI82+Data!AI83</f>
        <v>355336</v>
      </c>
      <c r="AA83" s="16" t="n">
        <f aca="false">Data!AJ72+Data!AJ73+Data!AJ74+Data!AJ75+Data!AJ76+Data!AJ77+Data!AJ78+Data!AJ79+Data!AJ80+Data!AJ81+Data!AJ82+Data!AJ83</f>
        <v>0</v>
      </c>
      <c r="AB83" s="16" t="n">
        <f aca="false">Data!AK72+Data!AK73+Data!AK74+Data!AK75+Data!AK76+Data!AK77+Data!AK78+Data!AK79+Data!AK80+Data!AK81+Data!AK82+Data!AK83</f>
        <v>280255</v>
      </c>
      <c r="AC83" s="16" t="n">
        <f aca="false">Data!AL72+Data!AL73+Data!AL74+Data!AL75+Data!AL76+Data!AL77+Data!AL78+Data!AL79+Data!AL80+Data!AL81+Data!AL82+Data!AL83</f>
        <v>804279</v>
      </c>
      <c r="AD83" s="15" t="n">
        <f aca="false">Data!AM72+Data!AM73+Data!AM74+Data!AM75+Data!AM76+Data!AM77+Data!AM78+Data!AM79+Data!AM80+Data!AM81+Data!AM82+Data!AM83</f>
        <v>-1359691</v>
      </c>
      <c r="AE83" s="16" t="n">
        <f aca="false">Data!AN72+Data!AN73+Data!AN74+Data!AN75+Data!AN76+Data!AN77+Data!AN78+Data!AN79+Data!AN80+Data!AN81+Data!AN82+Data!AN83</f>
        <v>847072</v>
      </c>
      <c r="AF83" s="15" t="n">
        <f aca="false">Data!AO72+Data!AO73+Data!AO74+Data!AO75+Data!AO76+Data!AO77+Data!AO78+Data!AO79+Data!AO80+Data!AO81+Data!AO82+Data!AO83</f>
        <v>-2206764</v>
      </c>
    </row>
    <row r="84" customFormat="false" ht="15" hidden="false" customHeight="false" outlineLevel="0" collapsed="false">
      <c r="B84" s="14" t="str">
        <f aca="false">Data!B84</f>
        <v>2022-06</v>
      </c>
      <c r="C84" s="15" t="n">
        <f aca="false">Data!D73+Data!E73+Data!F73+Data!G73+Data!H73+Data!I73+Data!J73+Data!K73+Data!L73+Data!M73+Data!N73+Data!O73+Data!P73+Data!Q73+Data!R73+Data!S73+Data!D74+Data!E74+Data!F74+Data!G74+Data!H74+Data!I74+Data!J74+Data!K74+Data!L74+Data!M74+Data!N74+Data!O74+Data!P74+Data!Q74+Data!R74+Data!S74+Data!D75+Data!E75+Data!F75+Data!G75+Data!H75+Data!I75+Data!J75+Data!K75+Data!L75+Data!M75+Data!N75+Data!O75+Data!P75+Data!Q75+Data!R75+Data!S75+Data!D76+Data!E76+Data!F76+Data!G76+Data!H76+Data!I76+Data!J76+Data!K76+Data!L76+Data!M76+Data!N76+Data!O76+Data!P76+Data!Q76+Data!R76+Data!S76+Data!D77+Data!E77+Data!F77+Data!G77+Data!H77+Data!I77+Data!J77+Data!K77+Data!L77+Data!M77+Data!N77+Data!O77+Data!P77+Data!Q77+Data!R77+Data!S77+Data!D78+Data!E78+Data!F78+Data!G78+Data!H78+Data!I78+Data!J78+Data!K78+Data!L78+Data!M78+Data!N78+Data!O78+Data!P78+Data!Q78+Data!R78+Data!S78+Data!D79+Data!E79+Data!F79+Data!G79+Data!H79+Data!I79+Data!J79+Data!K79+Data!L79+Data!M79+Data!N79+Data!O79+Data!P79+Data!Q79+Data!R79+Data!S79+Data!D80+Data!E80+Data!F80+Data!G80+Data!H80+Data!I80+Data!J80+Data!K80+Data!L80+Data!M80+Data!N80+Data!O80+Data!P80+Data!Q80+Data!R80+Data!S80+Data!D81+Data!E81+Data!F81+Data!G81+Data!H81+Data!I81+Data!J81+Data!K81+Data!L81+Data!M81+Data!N81+Data!O81+Data!P81+Data!Q81+Data!R81+Data!S81+Data!D82+Data!E82+Data!F82+Data!G82+Data!H82+Data!I82+Data!J82+Data!K82+Data!L82+Data!M82+Data!N82+Data!O82+Data!P82+Data!Q82+Data!R82+Data!S82+Data!D83+Data!E83+Data!F83+Data!G83+Data!H83+Data!I83+Data!J83+Data!K83+Data!L83+Data!M83+Data!N83+Data!O83+Data!P83+Data!Q83+Data!R83+Data!S83+Data!D84+Data!E84+Data!F84+Data!G84+Data!H84+Data!I84+Data!J84+Data!K84+Data!L84+Data!M84+Data!N84+Data!O84+Data!P84+Data!Q84+Data!R84+Data!S84</f>
        <v>11334178</v>
      </c>
      <c r="D84" s="16" t="n">
        <f aca="false">Data!D73+Data!E73+Data!G73+Data!H73+Data!I73+Data!J73+Data!K73+Data!L73+Data!M73+Data!D74+Data!E74+Data!G74+Data!H74+Data!I74+Data!J74+Data!K74+Data!L74+Data!M74+Data!D75+Data!E75+Data!G75+Data!H75+Data!I75+Data!J75+Data!K75+Data!L75+Data!M75+Data!D76+Data!E76+Data!G76+Data!H76+Data!I76+Data!J76+Data!K76+Data!L76+Data!M76+Data!D77+Data!E77+Data!G77+Data!H77+Data!I77+Data!J77+Data!K77+Data!L77+Data!M77+Data!D78+Data!E78+Data!G78+Data!H78+Data!I78+Data!J78+Data!K78+Data!L78+Data!M78+Data!D79+Data!E79+Data!G79+Data!H79+Data!I79+Data!J79+Data!K79+Data!L79+Data!M79+Data!D80+Data!E80+Data!G80+Data!H80+Data!I80+Data!J80+Data!K80+Data!L80+Data!M80+Data!D81+Data!E81+Data!G81+Data!H81+Data!I81+Data!J81+Data!K81+Data!L81+Data!M81+Data!D82+Data!E82+Data!G82+Data!H82+Data!I82+Data!J82+Data!K82+Data!L82+Data!M82+Data!D83+Data!E83+Data!G83+Data!H83+Data!I83+Data!J83+Data!K83+Data!L83+Data!M83+Data!D84+Data!E84+Data!G84+Data!H84+Data!I84+Data!J84+Data!K84+Data!L84+Data!M84</f>
        <v>6538800</v>
      </c>
      <c r="E84" s="16" t="n">
        <f aca="false">Data!D73+Data!D74+Data!D75+Data!D76+Data!D77+Data!D78+Data!D79+Data!D80+Data!D81+Data!D82+Data!D83+Data!D84</f>
        <v>1890015</v>
      </c>
      <c r="F84" s="16" t="n">
        <f aca="false">Data!E73+Data!E74+Data!E75+Data!E76+Data!E77+Data!E78+Data!E79+Data!E80+Data!E81+Data!E82+Data!E83+Data!E84</f>
        <v>1121859</v>
      </c>
      <c r="G84" s="16" t="n">
        <f aca="false">Data!K73+Data!K74+Data!K75+Data!K76+Data!K77+Data!K78+Data!K79+Data!K80+Data!K81+Data!K82+Data!K83+Data!K84</f>
        <v>1090780</v>
      </c>
      <c r="H84" s="16" t="n">
        <f aca="false">Data!L73+Data!L74+Data!L75+Data!L76+Data!L77+Data!L78+Data!L79+Data!L80+Data!L81+Data!L82+Data!L83+Data!L84</f>
        <v>386828</v>
      </c>
      <c r="I84" s="16" t="n">
        <f aca="false">Data!G73+Data!G74+Data!G75+Data!G76+Data!G77+Data!G78+Data!G79+Data!G80+Data!G81+Data!G82+Data!G83+Data!G84</f>
        <v>948723</v>
      </c>
      <c r="J84" s="16" t="n">
        <f aca="false">Data!H73+Data!I73+Data!J73+Data!M73+Data!H74+Data!I74+Data!J74+Data!M74+Data!H75+Data!I75+Data!J75+Data!M75+Data!H76+Data!I76+Data!J76+Data!M76+Data!H77+Data!I77+Data!J77+Data!M77+Data!H78+Data!I78+Data!J78+Data!M78+Data!H79+Data!I79+Data!J79+Data!M79+Data!H80+Data!I80+Data!J80+Data!M80+Data!H81+Data!I81+Data!J81+Data!M81+Data!H82+Data!I82+Data!J82+Data!M82+Data!H83+Data!I83+Data!J83+Data!M83+Data!H84+Data!I84+Data!J84+Data!M84</f>
        <v>1100595</v>
      </c>
      <c r="K84" s="16" t="n">
        <f aca="false">Data!F73+Data!F74+Data!F75+Data!F76+Data!F77+Data!F78+Data!F79+Data!F80+Data!F81+Data!F82+Data!F83+Data!F84</f>
        <v>3130120</v>
      </c>
      <c r="L84" s="16" t="n">
        <f aca="false">Data!N73+Data!O73+Data!P73+Data!Q73+Data!R73+Data!S73+Data!N74+Data!O74+Data!P74+Data!Q74+Data!R74+Data!S74+Data!N75+Data!O75+Data!P75+Data!Q75+Data!R75+Data!S75+Data!N76+Data!O76+Data!P76+Data!Q76+Data!R76+Data!S76+Data!N77+Data!O77+Data!P77+Data!Q77+Data!R77+Data!S77+Data!N78+Data!O78+Data!P78+Data!Q78+Data!R78+Data!S78+Data!N79+Data!O79+Data!P79+Data!Q79+Data!R79+Data!S79+Data!N80+Data!O80+Data!P80+Data!Q80+Data!R80+Data!S80+Data!N81+Data!O81+Data!P81+Data!Q81+Data!R81+Data!S81+Data!N82+Data!O82+Data!P82+Data!Q82+Data!R82+Data!S82+Data!N83+Data!O83+Data!P83+Data!Q83+Data!R83+Data!S83+Data!N84+Data!O84+Data!P84+Data!Q84+Data!R84+Data!S84</f>
        <v>1665258</v>
      </c>
      <c r="M84" s="15" t="n">
        <f aca="false">Data!T73+Data!U73+Data!V73+Data!W73+Data!X73+Data!Y73+Data!Z73+Data!AA73+Data!AB73+Data!AC73+Data!AD73+Data!AE73+Data!AF73+Data!AG73+Data!AH73+Data!AI73+Data!AJ73+Data!AK73+Data!AL73+Data!T74+Data!U74+Data!V74+Data!W74+Data!X74+Data!Y74+Data!Z74+Data!AA74+Data!AB74+Data!AC74+Data!AD74+Data!AE74+Data!AF74+Data!AG74+Data!AH74+Data!AI74+Data!AJ74+Data!AK74+Data!AL74+Data!T75+Data!U75+Data!V75+Data!W75+Data!X75+Data!Y75+Data!Z75+Data!AA75+Data!AB75+Data!AC75+Data!AD75+Data!AE75+Data!AF75+Data!AG75+Data!AH75+Data!AI75+Data!AJ75+Data!AK75+Data!AL75+Data!T76+Data!U76+Data!V76+Data!W76+Data!X76+Data!Y76+Data!Z76+Data!AA76+Data!AB76+Data!AC76+Data!AD76+Data!AE76+Data!AF76+Data!AG76+Data!AH76+Data!AI76+Data!AJ76+Data!AK76+Data!AL76+Data!T77+Data!U77+Data!V77+Data!W77+Data!X77+Data!Y77+Data!Z77+Data!AA77+Data!AB77+Data!AC77+Data!AD77+Data!AE77+Data!AF77+Data!AG77+Data!AH77+Data!AI77+Data!AJ77+Data!AK77+Data!AL77+Data!T78+Data!U78+Data!V78+Data!W78+Data!X78+Data!Y78+Data!Z78+Data!AA78+Data!AB78+Data!AC78+Data!AD78+Data!AE78+Data!AF78+Data!AG78+Data!AH78+Data!AI78+Data!AJ78+Data!AK78+Data!AL78+Data!T79+Data!U79+Data!V79+Data!W79+Data!X79+Data!Y79+Data!Z79+Data!AA79+Data!AB79+Data!AC79+Data!AD79+Data!AE79+Data!AF79+Data!AG79+Data!AH79+Data!AI79+Data!AJ79+Data!AK79+Data!AL79+Data!T80+Data!U80+Data!V80+Data!W80+Data!X80+Data!Y80+Data!Z80+Data!AA80+Data!AB80+Data!AC80+Data!AD80+Data!AE80+Data!AF80+Data!AG80+Data!AH80+Data!AI80+Data!AJ80+Data!AK80+Data!AL80+Data!T81+Data!U81+Data!V81+Data!W81+Data!X81+Data!Y81+Data!Z81+Data!AA81+Data!AB81+Data!AC81+Data!AD81+Data!AE81+Data!AF81+Data!AG81+Data!AH81+Data!AI81+Data!AJ81+Data!AK81+Data!AL81+Data!T82+Data!U82+Data!V82+Data!W82+Data!X82+Data!Y82+Data!Z82+Data!AA82+Data!AB82+Data!AC82+Data!AD82+Data!AE82+Data!AF82+Data!AG82+Data!AH82+Data!AI82+Data!AJ82+Data!AK82+Data!AL82+Data!T83+Data!U83+Data!V83+Data!W83+Data!X83+Data!Y83+Data!Z83+Data!AA83+Data!AB83+Data!AC83+Data!AD83+Data!AE83+Data!AF83+Data!AG83+Data!AH83+Data!AI83+Data!AJ83+Data!AK83+Data!AL83+Data!T84+Data!U84+Data!V84+Data!W84+Data!X84+Data!Y84+Data!Z84+Data!AA84+Data!AB84+Data!AC84+Data!AD84+Data!AE84+Data!AF84+Data!AG84+Data!AH84+Data!AI84+Data!AJ84+Data!AK84+Data!AL84</f>
        <v>12862296</v>
      </c>
      <c r="N84" s="16" t="n">
        <f aca="false">Data!T73+Data!U73+Data!V73+Data!W73+Data!T74+Data!U74+Data!V74+Data!W74+Data!T75+Data!U75+Data!V75+Data!W75+Data!T76+Data!U76+Data!V76+Data!W76+Data!T77+Data!U77+Data!V77+Data!W77+Data!T78+Data!U78+Data!V78+Data!W78+Data!T79+Data!U79+Data!V79+Data!W79+Data!T80+Data!U80+Data!V80+Data!W80+Data!T81+Data!U81+Data!V81+Data!W81+Data!T82+Data!U82+Data!V82+Data!W82+Data!T83+Data!U83+Data!V83+Data!W83+Data!T84+Data!U84+Data!V84+Data!W84</f>
        <v>5974794</v>
      </c>
      <c r="O84" s="16" t="n">
        <f aca="false">Data!T73+Data!T74+Data!T75+Data!T76+Data!T77+Data!T78+Data!T79+Data!T80+Data!T81+Data!T82+Data!T83+Data!T84</f>
        <v>4321743</v>
      </c>
      <c r="P84" s="16" t="n">
        <f aca="false">Data!U73+Data!U74+Data!U75+Data!U76+Data!U77+Data!U78+Data!U79+Data!U80+Data!U81+Data!U82+Data!U83+Data!U84</f>
        <v>761974</v>
      </c>
      <c r="Q84" s="16" t="n">
        <f aca="false">Data!V73+Data!V74+Data!V75+Data!V76+Data!V77+Data!V78+Data!V79+Data!V80+Data!V81+Data!V82+Data!V83+Data!V84</f>
        <v>447151</v>
      </c>
      <c r="R84" s="16" t="n">
        <f aca="false">Data!W73+Data!W74+Data!W75+Data!W76+Data!W77+Data!W78+Data!W79+Data!W80+Data!W81+Data!W82+Data!W83+Data!W84</f>
        <v>443926</v>
      </c>
      <c r="S84" s="16" t="n">
        <f aca="false">Data!X73+Data!X74+Data!X75+Data!X76+Data!X77+Data!X78+Data!X79+Data!X80+Data!X81+Data!X82+Data!X83+Data!X84</f>
        <v>1153421</v>
      </c>
      <c r="T84" s="16" t="n">
        <f aca="false">Data!Y73+Data!Z73+Data!AA73+Data!Y74+Data!Z74+Data!AA74+Data!Y75+Data!Z75+Data!AA75+Data!Y76+Data!Z76+Data!AA76+Data!Y77+Data!Z77+Data!AA77+Data!Y78+Data!Z78+Data!AA78+Data!Y79+Data!Z79+Data!AA79+Data!Y80+Data!Z80+Data!AA80+Data!Y81+Data!Z81+Data!AA81+Data!Y82+Data!Z82+Data!AA82+Data!Y83+Data!Z83+Data!AA83+Data!Y84+Data!Z84+Data!AA84</f>
        <v>1813746</v>
      </c>
      <c r="U84" s="16" t="n">
        <f aca="false">Data!Y73+Data!Y74+Data!Y75+Data!Y76+Data!Y77+Data!Y78+Data!Y79+Data!Y80+Data!Y81+Data!Y82+Data!Y83+Data!Y84</f>
        <v>1413821</v>
      </c>
      <c r="V84" s="16" t="n">
        <f aca="false">Data!Z73+Data!Z74+Data!Z75+Data!Z76+Data!Z77+Data!Z78+Data!Z79+Data!Z80+Data!Z81+Data!Z82+Data!Z83+Data!Z84</f>
        <v>375456</v>
      </c>
      <c r="W84" s="16" t="n">
        <f aca="false">Data!AB73+Data!AB74+Data!AB75+Data!AB76+Data!AB77+Data!AB78+Data!AB79+Data!AB80+Data!AB81+Data!AB82+Data!AB83+Data!AB84</f>
        <v>1400211</v>
      </c>
      <c r="X84" s="16" t="n">
        <f aca="false">Data!AC73+Data!AC74+Data!AC75+Data!AC76+Data!AC77+Data!AC78+Data!AC79+Data!AC80+Data!AC81+Data!AC82+Data!AC83+Data!AC84</f>
        <v>550144</v>
      </c>
      <c r="Y84" s="16" t="n">
        <f aca="false">Data!AD73+Data!AE73+Data!AF73+Data!AG73+Data!AH73+Data!AD74+Data!AE74+Data!AF74+Data!AG74+Data!AH74+Data!AD75+Data!AE75+Data!AF75+Data!AG75+Data!AH75+Data!AD76+Data!AE76+Data!AF76+Data!AG76+Data!AH76+Data!AD77+Data!AE77+Data!AF77+Data!AG77+Data!AH77+Data!AD78+Data!AE78+Data!AF78+Data!AG78+Data!AH78+Data!AD79+Data!AE79+Data!AF79+Data!AG79+Data!AH79+Data!AD80+Data!AE80+Data!AF80+Data!AG80+Data!AH80+Data!AD81+Data!AE81+Data!AF81+Data!AG81+Data!AH81+Data!AD82+Data!AE82+Data!AF82+Data!AG82+Data!AH82+Data!AD83+Data!AE83+Data!AF83+Data!AG83+Data!AH83+Data!AD84+Data!AE84+Data!AF84+Data!AG84+Data!AH84</f>
        <v>467120</v>
      </c>
      <c r="Z84" s="16" t="n">
        <f aca="false">Data!AI73+Data!AI74+Data!AI75+Data!AI76+Data!AI77+Data!AI78+Data!AI79+Data!AI80+Data!AI81+Data!AI82+Data!AI83+Data!AI84</f>
        <v>364253</v>
      </c>
      <c r="AA84" s="16" t="n">
        <f aca="false">Data!AJ73+Data!AJ74+Data!AJ75+Data!AJ76+Data!AJ77+Data!AJ78+Data!AJ79+Data!AJ80+Data!AJ81+Data!AJ82+Data!AJ83+Data!AJ84</f>
        <v>0</v>
      </c>
      <c r="AB84" s="16" t="n">
        <f aca="false">Data!AK73+Data!AK74+Data!AK75+Data!AK76+Data!AK77+Data!AK78+Data!AK79+Data!AK80+Data!AK81+Data!AK82+Data!AK83+Data!AK84</f>
        <v>279017</v>
      </c>
      <c r="AC84" s="16" t="n">
        <f aca="false">Data!AL73+Data!AL74+Data!AL75+Data!AL76+Data!AL77+Data!AL78+Data!AL79+Data!AL80+Data!AL81+Data!AL82+Data!AL83+Data!AL84</f>
        <v>859590</v>
      </c>
      <c r="AD84" s="15" t="n">
        <f aca="false">Data!AM73+Data!AM74+Data!AM75+Data!AM76+Data!AM77+Data!AM78+Data!AM79+Data!AM80+Data!AM81+Data!AM82+Data!AM83+Data!AM84</f>
        <v>-1528118</v>
      </c>
      <c r="AE84" s="16" t="n">
        <f aca="false">Data!AN73+Data!AN74+Data!AN75+Data!AN76+Data!AN77+Data!AN78+Data!AN79+Data!AN80+Data!AN81+Data!AN82+Data!AN83+Data!AN84</f>
        <v>867275</v>
      </c>
      <c r="AF84" s="15" t="n">
        <f aca="false">Data!AO73+Data!AO74+Data!AO75+Data!AO76+Data!AO77+Data!AO78+Data!AO79+Data!AO80+Data!AO81+Data!AO82+Data!AO83+Data!AO84</f>
        <v>-2395394</v>
      </c>
    </row>
    <row r="85" customFormat="false" ht="15" hidden="false" customHeight="false" outlineLevel="0" collapsed="false">
      <c r="B85" s="14" t="str">
        <f aca="false">Data!B85</f>
        <v>2022-07</v>
      </c>
      <c r="C85" s="15" t="n">
        <f aca="false">Data!D74+Data!E74+Data!F74+Data!G74+Data!H74+Data!I74+Data!J74+Data!K74+Data!L74+Data!M74+Data!N74+Data!O74+Data!P74+Data!Q74+Data!R74+Data!S74+Data!D75+Data!E75+Data!F75+Data!G75+Data!H75+Data!I75+Data!J75+Data!K75+Data!L75+Data!M75+Data!N75+Data!O75+Data!P75+Data!Q75+Data!R75+Data!S75+Data!D76+Data!E76+Data!F76+Data!G76+Data!H76+Data!I76+Data!J76+Data!K76+Data!L76+Data!M76+Data!N76+Data!O76+Data!P76+Data!Q76+Data!R76+Data!S76+Data!D77+Data!E77+Data!F77+Data!G77+Data!H77+Data!I77+Data!J77+Data!K77+Data!L77+Data!M77+Data!N77+Data!O77+Data!P77+Data!Q77+Data!R77+Data!S77+Data!D78+Data!E78+Data!F78+Data!G78+Data!H78+Data!I78+Data!J78+Data!K78+Data!L78+Data!M78+Data!N78+Data!O78+Data!P78+Data!Q78+Data!R78+Data!S78+Data!D79+Data!E79+Data!F79+Data!G79+Data!H79+Data!I79+Data!J79+Data!K79+Data!L79+Data!M79+Data!N79+Data!O79+Data!P79+Data!Q79+Data!R79+Data!S79+Data!D80+Data!E80+Data!F80+Data!G80+Data!H80+Data!I80+Data!J80+Data!K80+Data!L80+Data!M80+Data!N80+Data!O80+Data!P80+Data!Q80+Data!R80+Data!S80+Data!D81+Data!E81+Data!F81+Data!G81+Data!H81+Data!I81+Data!J81+Data!K81+Data!L81+Data!M81+Data!N81+Data!O81+Data!P81+Data!Q81+Data!R81+Data!S81+Data!D82+Data!E82+Data!F82+Data!G82+Data!H82+Data!I82+Data!J82+Data!K82+Data!L82+Data!M82+Data!N82+Data!O82+Data!P82+Data!Q82+Data!R82+Data!S82+Data!D83+Data!E83+Data!F83+Data!G83+Data!H83+Data!I83+Data!J83+Data!K83+Data!L83+Data!M83+Data!N83+Data!O83+Data!P83+Data!Q83+Data!R83+Data!S83+Data!D84+Data!E84+Data!F84+Data!G84+Data!H84+Data!I84+Data!J84+Data!K84+Data!L84+Data!M84+Data!N84+Data!O84+Data!P84+Data!Q84+Data!R84+Data!S84+Data!D85+Data!E85+Data!F85+Data!G85+Data!H85+Data!I85+Data!J85+Data!K85+Data!L85+Data!M85+Data!N85+Data!O85+Data!P85+Data!Q85+Data!R85+Data!S85</f>
        <v>11961487</v>
      </c>
      <c r="D85" s="16" t="n">
        <f aca="false">Data!D74+Data!E74+Data!G74+Data!H74+Data!I74+Data!J74+Data!K74+Data!L74+Data!M74+Data!D75+Data!E75+Data!G75+Data!H75+Data!I75+Data!J75+Data!K75+Data!L75+Data!M75+Data!D76+Data!E76+Data!G76+Data!H76+Data!I76+Data!J76+Data!K76+Data!L76+Data!M76+Data!D77+Data!E77+Data!G77+Data!H77+Data!I77+Data!J77+Data!K77+Data!L77+Data!M77+Data!D78+Data!E78+Data!G78+Data!H78+Data!I78+Data!J78+Data!K78+Data!L78+Data!M78+Data!D79+Data!E79+Data!G79+Data!H79+Data!I79+Data!J79+Data!K79+Data!L79+Data!M79+Data!D80+Data!E80+Data!G80+Data!H80+Data!I80+Data!J80+Data!K80+Data!L80+Data!M80+Data!D81+Data!E81+Data!G81+Data!H81+Data!I81+Data!J81+Data!K81+Data!L81+Data!M81+Data!D82+Data!E82+Data!G82+Data!H82+Data!I82+Data!J82+Data!K82+Data!L82+Data!M82+Data!D83+Data!E83+Data!G83+Data!H83+Data!I83+Data!J83+Data!K83+Data!L83+Data!M83+Data!D84+Data!E84+Data!G84+Data!H84+Data!I84+Data!J84+Data!K84+Data!L84+Data!M84+Data!D85+Data!E85+Data!G85+Data!H85+Data!I85+Data!J85+Data!K85+Data!L85+Data!M85</f>
        <v>6894335</v>
      </c>
      <c r="E85" s="16" t="n">
        <f aca="false">Data!D74+Data!D75+Data!D76+Data!D77+Data!D78+Data!D79+Data!D80+Data!D81+Data!D82+Data!D83+Data!D84+Data!D85</f>
        <v>1994013</v>
      </c>
      <c r="F85" s="16" t="n">
        <f aca="false">Data!E74+Data!E75+Data!E76+Data!E77+Data!E78+Data!E79+Data!E80+Data!E81+Data!E82+Data!E83+Data!E84+Data!E85</f>
        <v>1203532</v>
      </c>
      <c r="G85" s="16" t="n">
        <f aca="false">Data!K74+Data!K75+Data!K76+Data!K77+Data!K78+Data!K79+Data!K80+Data!K81+Data!K82+Data!K83+Data!K84+Data!K85</f>
        <v>1121463</v>
      </c>
      <c r="H85" s="16" t="n">
        <f aca="false">Data!L74+Data!L75+Data!L76+Data!L77+Data!L78+Data!L79+Data!L80+Data!L81+Data!L82+Data!L83+Data!L84+Data!L85</f>
        <v>406766</v>
      </c>
      <c r="I85" s="16" t="n">
        <f aca="false">Data!G74+Data!G75+Data!G76+Data!G77+Data!G78+Data!G79+Data!G80+Data!G81+Data!G82+Data!G83+Data!G84+Data!G85</f>
        <v>1004891</v>
      </c>
      <c r="J85" s="16" t="n">
        <f aca="false">Data!H74+Data!I74+Data!J74+Data!M74+Data!H75+Data!I75+Data!J75+Data!M75+Data!H76+Data!I76+Data!J76+Data!M76+Data!H77+Data!I77+Data!J77+Data!M77+Data!H78+Data!I78+Data!J78+Data!M78+Data!H79+Data!I79+Data!J79+Data!M79+Data!H80+Data!I80+Data!J80+Data!M80+Data!H81+Data!I81+Data!J81+Data!M81+Data!H82+Data!I82+Data!J82+Data!M82+Data!H83+Data!I83+Data!J83+Data!M83+Data!H84+Data!I84+Data!J84+Data!M84+Data!H85+Data!I85+Data!J85+Data!M85</f>
        <v>1163670</v>
      </c>
      <c r="K85" s="16" t="n">
        <f aca="false">Data!F74+Data!F75+Data!F76+Data!F77+Data!F78+Data!F79+Data!F80+Data!F81+Data!F82+Data!F83+Data!F84+Data!F85</f>
        <v>3319473</v>
      </c>
      <c r="L85" s="16" t="n">
        <f aca="false">Data!N74+Data!O74+Data!P74+Data!Q74+Data!R74+Data!S74+Data!N75+Data!O75+Data!P75+Data!Q75+Data!R75+Data!S75+Data!N76+Data!O76+Data!P76+Data!Q76+Data!R76+Data!S76+Data!N77+Data!O77+Data!P77+Data!Q77+Data!R77+Data!S77+Data!N78+Data!O78+Data!P78+Data!Q78+Data!R78+Data!S78+Data!N79+Data!O79+Data!P79+Data!Q79+Data!R79+Data!S79+Data!N80+Data!O80+Data!P80+Data!Q80+Data!R80+Data!S80+Data!N81+Data!O81+Data!P81+Data!Q81+Data!R81+Data!S81+Data!N82+Data!O82+Data!P82+Data!Q82+Data!R82+Data!S82+Data!N83+Data!O83+Data!P83+Data!Q83+Data!R83+Data!S83+Data!N84+Data!O84+Data!P84+Data!Q84+Data!R84+Data!S84+Data!N85+Data!O85+Data!P85+Data!Q85+Data!R85+Data!S85</f>
        <v>1747679</v>
      </c>
      <c r="M85" s="15" t="n">
        <f aca="false">Data!T74+Data!U74+Data!V74+Data!W74+Data!X74+Data!Y74+Data!Z74+Data!AA74+Data!AB74+Data!AC74+Data!AD74+Data!AE74+Data!AF74+Data!AG74+Data!AH74+Data!AI74+Data!AJ74+Data!AK74+Data!AL74+Data!T75+Data!U75+Data!V75+Data!W75+Data!X75+Data!Y75+Data!Z75+Data!AA75+Data!AB75+Data!AC75+Data!AD75+Data!AE75+Data!AF75+Data!AG75+Data!AH75+Data!AI75+Data!AJ75+Data!AK75+Data!AL75+Data!T76+Data!U76+Data!V76+Data!W76+Data!X76+Data!Y76+Data!Z76+Data!AA76+Data!AB76+Data!AC76+Data!AD76+Data!AE76+Data!AF76+Data!AG76+Data!AH76+Data!AI76+Data!AJ76+Data!AK76+Data!AL76+Data!T77+Data!U77+Data!V77+Data!W77+Data!X77+Data!Y77+Data!Z77+Data!AA77+Data!AB77+Data!AC77+Data!AD77+Data!AE77+Data!AF77+Data!AG77+Data!AH77+Data!AI77+Data!AJ77+Data!AK77+Data!AL77+Data!T78+Data!U78+Data!V78+Data!W78+Data!X78+Data!Y78+Data!Z78+Data!AA78+Data!AB78+Data!AC78+Data!AD78+Data!AE78+Data!AF78+Data!AG78+Data!AH78+Data!AI78+Data!AJ78+Data!AK78+Data!AL78+Data!T79+Data!U79+Data!V79+Data!W79+Data!X79+Data!Y79+Data!Z79+Data!AA79+Data!AB79+Data!AC79+Data!AD79+Data!AE79+Data!AF79+Data!AG79+Data!AH79+Data!AI79+Data!AJ79+Data!AK79+Data!AL79+Data!T80+Data!U80+Data!V80+Data!W80+Data!X80+Data!Y80+Data!Z80+Data!AA80+Data!AB80+Data!AC80+Data!AD80+Data!AE80+Data!AF80+Data!AG80+Data!AH80+Data!AI80+Data!AJ80+Data!AK80+Data!AL80+Data!T81+Data!U81+Data!V81+Data!W81+Data!X81+Data!Y81+Data!Z81+Data!AA81+Data!AB81+Data!AC81+Data!AD81+Data!AE81+Data!AF81+Data!AG81+Data!AH81+Data!AI81+Data!AJ81+Data!AK81+Data!AL81+Data!T82+Data!U82+Data!V82+Data!W82+Data!X82+Data!Y82+Data!Z82+Data!AA82+Data!AB82+Data!AC82+Data!AD82+Data!AE82+Data!AF82+Data!AG82+Data!AH82+Data!AI82+Data!AJ82+Data!AK82+Data!AL82+Data!T83+Data!U83+Data!V83+Data!W83+Data!X83+Data!Y83+Data!Z83+Data!AA83+Data!AB83+Data!AC83+Data!AD83+Data!AE83+Data!AF83+Data!AG83+Data!AH83+Data!AI83+Data!AJ83+Data!AK83+Data!AL83+Data!T84+Data!U84+Data!V84+Data!W84+Data!X84+Data!Y84+Data!Z84+Data!AA84+Data!AB84+Data!AC84+Data!AD84+Data!AE84+Data!AF84+Data!AG84+Data!AH84+Data!AI84+Data!AJ84+Data!AK84+Data!AL84+Data!T85+Data!U85+Data!V85+Data!W85+Data!X85+Data!Y85+Data!Z85+Data!AA85+Data!AB85+Data!AC85+Data!AD85+Data!AE85+Data!AF85+Data!AG85+Data!AH85+Data!AI85+Data!AJ85+Data!AK85+Data!AL85</f>
        <v>13392980</v>
      </c>
      <c r="N85" s="16" t="n">
        <f aca="false">Data!T74+Data!U74+Data!V74+Data!W74+Data!T75+Data!U75+Data!V75+Data!W75+Data!T76+Data!U76+Data!V76+Data!W76+Data!T77+Data!U77+Data!V77+Data!W77+Data!T78+Data!U78+Data!V78+Data!W78+Data!T79+Data!U79+Data!V79+Data!W79+Data!T80+Data!U80+Data!V80+Data!W80+Data!T81+Data!U81+Data!V81+Data!W81+Data!T82+Data!U82+Data!V82+Data!W82+Data!T83+Data!U83+Data!V83+Data!W83+Data!T84+Data!U84+Data!V84+Data!W84+Data!T85+Data!U85+Data!V85+Data!W85</f>
        <v>6217777</v>
      </c>
      <c r="O85" s="16" t="n">
        <f aca="false">Data!T74+Data!T75+Data!T76+Data!T77+Data!T78+Data!T79+Data!T80+Data!T81+Data!T82+Data!T83+Data!T84+Data!T85</f>
        <v>4507303</v>
      </c>
      <c r="P85" s="16" t="n">
        <f aca="false">Data!U74+Data!U75+Data!U76+Data!U77+Data!U78+Data!U79+Data!U80+Data!U81+Data!U82+Data!U83+Data!U84+Data!U85</f>
        <v>787264</v>
      </c>
      <c r="Q85" s="16" t="n">
        <f aca="false">Data!V74+Data!V75+Data!V76+Data!V77+Data!V78+Data!V79+Data!V80+Data!V81+Data!V82+Data!V83+Data!V84+Data!V85</f>
        <v>464916</v>
      </c>
      <c r="R85" s="16" t="n">
        <f aca="false">Data!W74+Data!W75+Data!W76+Data!W77+Data!W78+Data!W79+Data!W80+Data!W81+Data!W82+Data!W83+Data!W84+Data!W85</f>
        <v>458294</v>
      </c>
      <c r="S85" s="16" t="n">
        <f aca="false">Data!X74+Data!X75+Data!X76+Data!X77+Data!X78+Data!X79+Data!X80+Data!X81+Data!X82+Data!X83+Data!X84+Data!X85</f>
        <v>1177787</v>
      </c>
      <c r="T85" s="16" t="n">
        <f aca="false">Data!Y74+Data!Z74+Data!AA74+Data!Y75+Data!Z75+Data!AA75+Data!Y76+Data!Z76+Data!AA76+Data!Y77+Data!Z77+Data!AA77+Data!Y78+Data!Z78+Data!AA78+Data!Y79+Data!Z79+Data!AA79+Data!Y80+Data!Z80+Data!AA80+Data!Y81+Data!Z81+Data!AA81+Data!Y82+Data!Z82+Data!AA82+Data!Y83+Data!Z83+Data!AA83+Data!Y84+Data!Z84+Data!AA84+Data!Y85+Data!Z85+Data!AA85</f>
        <v>1909642</v>
      </c>
      <c r="U85" s="16" t="n">
        <f aca="false">Data!Y74+Data!Y75+Data!Y76+Data!Y77+Data!Y78+Data!Y79+Data!Y80+Data!Y81+Data!Y82+Data!Y83+Data!Y84+Data!Y85</f>
        <v>1506506</v>
      </c>
      <c r="V85" s="16" t="n">
        <f aca="false">Data!Z74+Data!Z75+Data!Z76+Data!Z77+Data!Z78+Data!Z79+Data!Z80+Data!Z81+Data!Z82+Data!Z83+Data!Z84+Data!Z85</f>
        <v>378356</v>
      </c>
      <c r="W85" s="16" t="n">
        <f aca="false">Data!AB74+Data!AB75+Data!AB76+Data!AB77+Data!AB78+Data!AB79+Data!AB80+Data!AB81+Data!AB82+Data!AB83+Data!AB84+Data!AB85</f>
        <v>1498523</v>
      </c>
      <c r="X85" s="16" t="n">
        <f aca="false">Data!AC74+Data!AC75+Data!AC76+Data!AC77+Data!AC78+Data!AC79+Data!AC80+Data!AC81+Data!AC82+Data!AC83+Data!AC84+Data!AC85</f>
        <v>554199</v>
      </c>
      <c r="Y85" s="16" t="n">
        <f aca="false">Data!AD74+Data!AE74+Data!AF74+Data!AG74+Data!AH74+Data!AD75+Data!AE75+Data!AF75+Data!AG75+Data!AH75+Data!AD76+Data!AE76+Data!AF76+Data!AG76+Data!AH76+Data!AD77+Data!AE77+Data!AF77+Data!AG77+Data!AH77+Data!AD78+Data!AE78+Data!AF78+Data!AG78+Data!AH78+Data!AD79+Data!AE79+Data!AF79+Data!AG79+Data!AH79+Data!AD80+Data!AE80+Data!AF80+Data!AG80+Data!AH80+Data!AD81+Data!AE81+Data!AF81+Data!AG81+Data!AH81+Data!AD82+Data!AE82+Data!AF82+Data!AG82+Data!AH82+Data!AD83+Data!AE83+Data!AF83+Data!AG83+Data!AH83+Data!AD84+Data!AE84+Data!AF84+Data!AG84+Data!AH84+Data!AD85+Data!AE85+Data!AF85+Data!AG85+Data!AH85</f>
        <v>472483</v>
      </c>
      <c r="Z85" s="16" t="n">
        <f aca="false">Data!AI74+Data!AI75+Data!AI76+Data!AI77+Data!AI78+Data!AI79+Data!AI80+Data!AI81+Data!AI82+Data!AI83+Data!AI84+Data!AI85</f>
        <v>383879</v>
      </c>
      <c r="AA85" s="16" t="n">
        <f aca="false">Data!AJ74+Data!AJ75+Data!AJ76+Data!AJ77+Data!AJ78+Data!AJ79+Data!AJ80+Data!AJ81+Data!AJ82+Data!AJ83+Data!AJ84+Data!AJ85</f>
        <v>0</v>
      </c>
      <c r="AB85" s="16" t="n">
        <f aca="false">Data!AK74+Data!AK75+Data!AK76+Data!AK77+Data!AK78+Data!AK79+Data!AK80+Data!AK81+Data!AK82+Data!AK83+Data!AK84+Data!AK85</f>
        <v>283737</v>
      </c>
      <c r="AC85" s="16" t="n">
        <f aca="false">Data!AL74+Data!AL75+Data!AL76+Data!AL77+Data!AL78+Data!AL79+Data!AL80+Data!AL81+Data!AL82+Data!AL83+Data!AL84+Data!AL85</f>
        <v>894953</v>
      </c>
      <c r="AD85" s="15" t="n">
        <f aca="false">Data!AM74+Data!AM75+Data!AM76+Data!AM77+Data!AM78+Data!AM79+Data!AM80+Data!AM81+Data!AM82+Data!AM83+Data!AM84+Data!AM85</f>
        <v>-1431493</v>
      </c>
      <c r="AE85" s="16" t="n">
        <f aca="false">Data!AN74+Data!AN75+Data!AN76+Data!AN77+Data!AN78+Data!AN79+Data!AN80+Data!AN81+Data!AN82+Data!AN83+Data!AN84+Data!AN85</f>
        <v>932408</v>
      </c>
      <c r="AF85" s="15" t="n">
        <f aca="false">Data!AO74+Data!AO75+Data!AO76+Data!AO77+Data!AO78+Data!AO79+Data!AO80+Data!AO81+Data!AO82+Data!AO83+Data!AO84+Data!AO85</f>
        <v>-2363901</v>
      </c>
    </row>
    <row r="86" customFormat="false" ht="15" hidden="false" customHeight="false" outlineLevel="0" collapsed="false">
      <c r="B86" s="14" t="str">
        <f aca="false">Data!B86</f>
        <v>2022-08</v>
      </c>
      <c r="C86" s="15" t="n">
        <f aca="false">Data!D75+Data!E75+Data!F75+Data!G75+Data!H75+Data!I75+Data!J75+Data!K75+Data!L75+Data!M75+Data!N75+Data!O75+Data!P75+Data!Q75+Data!R75+Data!S75+Data!D76+Data!E76+Data!F76+Data!G76+Data!H76+Data!I76+Data!J76+Data!K76+Data!L76+Data!M76+Data!N76+Data!O76+Data!P76+Data!Q76+Data!R76+Data!S76+Data!D77+Data!E77+Data!F77+Data!G77+Data!H77+Data!I77+Data!J77+Data!K77+Data!L77+Data!M77+Data!N77+Data!O77+Data!P77+Data!Q77+Data!R77+Data!S77+Data!D78+Data!E78+Data!F78+Data!G78+Data!H78+Data!I78+Data!J78+Data!K78+Data!L78+Data!M78+Data!N78+Data!O78+Data!P78+Data!Q78+Data!R78+Data!S78+Data!D79+Data!E79+Data!F79+Data!G79+Data!H79+Data!I79+Data!J79+Data!K79+Data!L79+Data!M79+Data!N79+Data!O79+Data!P79+Data!Q79+Data!R79+Data!S79+Data!D80+Data!E80+Data!F80+Data!G80+Data!H80+Data!I80+Data!J80+Data!K80+Data!L80+Data!M80+Data!N80+Data!O80+Data!P80+Data!Q80+Data!R80+Data!S80+Data!D81+Data!E81+Data!F81+Data!G81+Data!H81+Data!I81+Data!J81+Data!K81+Data!L81+Data!M81+Data!N81+Data!O81+Data!P81+Data!Q81+Data!R81+Data!S81+Data!D82+Data!E82+Data!F82+Data!G82+Data!H82+Data!I82+Data!J82+Data!K82+Data!L82+Data!M82+Data!N82+Data!O82+Data!P82+Data!Q82+Data!R82+Data!S82+Data!D83+Data!E83+Data!F83+Data!G83+Data!H83+Data!I83+Data!J83+Data!K83+Data!L83+Data!M83+Data!N83+Data!O83+Data!P83+Data!Q83+Data!R83+Data!S83+Data!D84+Data!E84+Data!F84+Data!G84+Data!H84+Data!I84+Data!J84+Data!K84+Data!L84+Data!M84+Data!N84+Data!O84+Data!P84+Data!Q84+Data!R84+Data!S84+Data!D85+Data!E85+Data!F85+Data!G85+Data!H85+Data!I85+Data!J85+Data!K85+Data!L85+Data!M85+Data!N85+Data!O85+Data!P85+Data!Q85+Data!R85+Data!S85+Data!D86+Data!E86+Data!F86+Data!G86+Data!H86+Data!I86+Data!J86+Data!K86+Data!L86+Data!M86+Data!N86+Data!O86+Data!P86+Data!Q86+Data!R86+Data!S86</f>
        <v>12503955</v>
      </c>
      <c r="D86" s="16" t="n">
        <f aca="false">Data!D75+Data!E75+Data!G75+Data!H75+Data!I75+Data!J75+Data!K75+Data!L75+Data!M75+Data!D76+Data!E76+Data!G76+Data!H76+Data!I76+Data!J76+Data!K76+Data!L76+Data!M76+Data!D77+Data!E77+Data!G77+Data!H77+Data!I77+Data!J77+Data!K77+Data!L77+Data!M77+Data!D78+Data!E78+Data!G78+Data!H78+Data!I78+Data!J78+Data!K78+Data!L78+Data!M78+Data!D79+Data!E79+Data!G79+Data!H79+Data!I79+Data!J79+Data!K79+Data!L79+Data!M79+Data!D80+Data!E80+Data!G80+Data!H80+Data!I80+Data!J80+Data!K80+Data!L80+Data!M80+Data!D81+Data!E81+Data!G81+Data!H81+Data!I81+Data!J81+Data!K81+Data!L81+Data!M81+Data!D82+Data!E82+Data!G82+Data!H82+Data!I82+Data!J82+Data!K82+Data!L82+Data!M82+Data!D83+Data!E83+Data!G83+Data!H83+Data!I83+Data!J83+Data!K83+Data!L83+Data!M83+Data!D84+Data!E84+Data!G84+Data!H84+Data!I84+Data!J84+Data!K84+Data!L84+Data!M84+Data!D85+Data!E85+Data!G85+Data!H85+Data!I85+Data!J85+Data!K85+Data!L85+Data!M85+Data!D86+Data!E86+Data!G86+Data!H86+Data!I86+Data!J86+Data!K86+Data!L86+Data!M86</f>
        <v>7204031</v>
      </c>
      <c r="E86" s="16" t="n">
        <f aca="false">Data!D75+Data!D76+Data!D77+Data!D78+Data!D79+Data!D80+Data!D81+Data!D82+Data!D83+Data!D84+Data!D85+Data!D86</f>
        <v>2101771</v>
      </c>
      <c r="F86" s="16" t="n">
        <f aca="false">Data!E75+Data!E76+Data!E77+Data!E78+Data!E79+Data!E80+Data!E81+Data!E82+Data!E83+Data!E84+Data!E85+Data!E86</f>
        <v>1276130</v>
      </c>
      <c r="G86" s="16" t="n">
        <f aca="false">Data!K75+Data!K76+Data!K77+Data!K78+Data!K79+Data!K80+Data!K81+Data!K82+Data!K83+Data!K84+Data!K85+Data!K86</f>
        <v>1121443</v>
      </c>
      <c r="H86" s="16" t="n">
        <f aca="false">Data!L75+Data!L76+Data!L77+Data!L78+Data!L79+Data!L80+Data!L81+Data!L82+Data!L83+Data!L84+Data!L85+Data!L86</f>
        <v>431653</v>
      </c>
      <c r="I86" s="16" t="n">
        <f aca="false">Data!G75+Data!G76+Data!G77+Data!G78+Data!G79+Data!G80+Data!G81+Data!G82+Data!G83+Data!G84+Data!G85+Data!G86</f>
        <v>1056569</v>
      </c>
      <c r="J86" s="16" t="n">
        <f aca="false">Data!H75+Data!I75+Data!J75+Data!M75+Data!H76+Data!I76+Data!J76+Data!M76+Data!H77+Data!I77+Data!J77+Data!M77+Data!H78+Data!I78+Data!J78+Data!M78+Data!H79+Data!I79+Data!J79+Data!M79+Data!H80+Data!I80+Data!J80+Data!M80+Data!H81+Data!I81+Data!J81+Data!M81+Data!H82+Data!I82+Data!J82+Data!M82+Data!H83+Data!I83+Data!J83+Data!M83+Data!H84+Data!I84+Data!J84+Data!M84+Data!H85+Data!I85+Data!J85+Data!M85+Data!H86+Data!I86+Data!J86+Data!M86</f>
        <v>1216465</v>
      </c>
      <c r="K86" s="16" t="n">
        <f aca="false">Data!F75+Data!F76+Data!F77+Data!F78+Data!F79+Data!F80+Data!F81+Data!F82+Data!F83+Data!F84+Data!F85+Data!F86</f>
        <v>3481464</v>
      </c>
      <c r="L86" s="16" t="n">
        <f aca="false">Data!N75+Data!O75+Data!P75+Data!Q75+Data!R75+Data!S75+Data!N76+Data!O76+Data!P76+Data!Q76+Data!R76+Data!S76+Data!N77+Data!O77+Data!P77+Data!Q77+Data!R77+Data!S77+Data!N78+Data!O78+Data!P78+Data!Q78+Data!R78+Data!S78+Data!N79+Data!O79+Data!P79+Data!Q79+Data!R79+Data!S79+Data!N80+Data!O80+Data!P80+Data!Q80+Data!R80+Data!S80+Data!N81+Data!O81+Data!P81+Data!Q81+Data!R81+Data!S81+Data!N82+Data!O82+Data!P82+Data!Q82+Data!R82+Data!S82+Data!N83+Data!O83+Data!P83+Data!Q83+Data!R83+Data!S83+Data!N84+Data!O84+Data!P84+Data!Q84+Data!R84+Data!S84+Data!N85+Data!O85+Data!P85+Data!Q85+Data!R85+Data!S85+Data!N86+Data!O86+Data!P86+Data!Q86+Data!R86+Data!S86</f>
        <v>1818460</v>
      </c>
      <c r="M86" s="15" t="n">
        <f aca="false">Data!T75+Data!U75+Data!V75+Data!W75+Data!X75+Data!Y75+Data!Z75+Data!AA75+Data!AB75+Data!AC75+Data!AD75+Data!AE75+Data!AF75+Data!AG75+Data!AH75+Data!AI75+Data!AJ75+Data!AK75+Data!AL75+Data!T76+Data!U76+Data!V76+Data!W76+Data!X76+Data!Y76+Data!Z76+Data!AA76+Data!AB76+Data!AC76+Data!AD76+Data!AE76+Data!AF76+Data!AG76+Data!AH76+Data!AI76+Data!AJ76+Data!AK76+Data!AL76+Data!T77+Data!U77+Data!V77+Data!W77+Data!X77+Data!Y77+Data!Z77+Data!AA77+Data!AB77+Data!AC77+Data!AD77+Data!AE77+Data!AF77+Data!AG77+Data!AH77+Data!AI77+Data!AJ77+Data!AK77+Data!AL77+Data!T78+Data!U78+Data!V78+Data!W78+Data!X78+Data!Y78+Data!Z78+Data!AA78+Data!AB78+Data!AC78+Data!AD78+Data!AE78+Data!AF78+Data!AG78+Data!AH78+Data!AI78+Data!AJ78+Data!AK78+Data!AL78+Data!T79+Data!U79+Data!V79+Data!W79+Data!X79+Data!Y79+Data!Z79+Data!AA79+Data!AB79+Data!AC79+Data!AD79+Data!AE79+Data!AF79+Data!AG79+Data!AH79+Data!AI79+Data!AJ79+Data!AK79+Data!AL79+Data!T80+Data!U80+Data!V80+Data!W80+Data!X80+Data!Y80+Data!Z80+Data!AA80+Data!AB80+Data!AC80+Data!AD80+Data!AE80+Data!AF80+Data!AG80+Data!AH80+Data!AI80+Data!AJ80+Data!AK80+Data!AL80+Data!T81+Data!U81+Data!V81+Data!W81+Data!X81+Data!Y81+Data!Z81+Data!AA81+Data!AB81+Data!AC81+Data!AD81+Data!AE81+Data!AF81+Data!AG81+Data!AH81+Data!AI81+Data!AJ81+Data!AK81+Data!AL81+Data!T82+Data!U82+Data!V82+Data!W82+Data!X82+Data!Y82+Data!Z82+Data!AA82+Data!AB82+Data!AC82+Data!AD82+Data!AE82+Data!AF82+Data!AG82+Data!AH82+Data!AI82+Data!AJ82+Data!AK82+Data!AL82+Data!T83+Data!U83+Data!V83+Data!W83+Data!X83+Data!Y83+Data!Z83+Data!AA83+Data!AB83+Data!AC83+Data!AD83+Data!AE83+Data!AF83+Data!AG83+Data!AH83+Data!AI83+Data!AJ83+Data!AK83+Data!AL83+Data!T84+Data!U84+Data!V84+Data!W84+Data!X84+Data!Y84+Data!Z84+Data!AA84+Data!AB84+Data!AC84+Data!AD84+Data!AE84+Data!AF84+Data!AG84+Data!AH84+Data!AI84+Data!AJ84+Data!AK84+Data!AL84+Data!T85+Data!U85+Data!V85+Data!W85+Data!X85+Data!Y85+Data!Z85+Data!AA85+Data!AB85+Data!AC85+Data!AD85+Data!AE85+Data!AF85+Data!AG85+Data!AH85+Data!AI85+Data!AJ85+Data!AK85+Data!AL85+Data!T86+Data!U86+Data!V86+Data!W86+Data!X86+Data!Y86+Data!Z86+Data!AA86+Data!AB86+Data!AC86+Data!AD86+Data!AE86+Data!AF86+Data!AG86+Data!AH86+Data!AI86+Data!AJ86+Data!AK86+Data!AL86</f>
        <v>14020665</v>
      </c>
      <c r="N86" s="16" t="n">
        <f aca="false">Data!T75+Data!U75+Data!V75+Data!W75+Data!T76+Data!U76+Data!V76+Data!W76+Data!T77+Data!U77+Data!V77+Data!W77+Data!T78+Data!U78+Data!V78+Data!W78+Data!T79+Data!U79+Data!V79+Data!W79+Data!T80+Data!U80+Data!V80+Data!W80+Data!T81+Data!U81+Data!V81+Data!W81+Data!T82+Data!U82+Data!V82+Data!W82+Data!T83+Data!U83+Data!V83+Data!W83+Data!T84+Data!U84+Data!V84+Data!W84+Data!T85+Data!U85+Data!V85+Data!W85+Data!T86+Data!U86+Data!V86+Data!W86</f>
        <v>6474779</v>
      </c>
      <c r="O86" s="16" t="n">
        <f aca="false">Data!T75+Data!T76+Data!T77+Data!T78+Data!T79+Data!T80+Data!T81+Data!T82+Data!T83+Data!T84+Data!T85+Data!T86</f>
        <v>4686060</v>
      </c>
      <c r="P86" s="16" t="n">
        <f aca="false">Data!U75+Data!U76+Data!U77+Data!U78+Data!U79+Data!U80+Data!U81+Data!U82+Data!U83+Data!U84+Data!U85+Data!U86</f>
        <v>814468</v>
      </c>
      <c r="Q86" s="16" t="n">
        <f aca="false">Data!V75+Data!V76+Data!V77+Data!V78+Data!V79+Data!V80+Data!V81+Data!V82+Data!V83+Data!V84+Data!V85+Data!V86</f>
        <v>477738</v>
      </c>
      <c r="R86" s="16" t="n">
        <f aca="false">Data!W75+Data!W76+Data!W77+Data!W78+Data!W79+Data!W80+Data!W81+Data!W82+Data!W83+Data!W84+Data!W85+Data!W86</f>
        <v>496513</v>
      </c>
      <c r="S86" s="16" t="n">
        <f aca="false">Data!X75+Data!X76+Data!X77+Data!X78+Data!X79+Data!X80+Data!X81+Data!X82+Data!X83+Data!X84+Data!X85+Data!X86</f>
        <v>1206838</v>
      </c>
      <c r="T86" s="16" t="n">
        <f aca="false">Data!Y75+Data!Z75+Data!AA75+Data!Y76+Data!Z76+Data!AA76+Data!Y77+Data!Z77+Data!AA77+Data!Y78+Data!Z78+Data!AA78+Data!Y79+Data!Z79+Data!AA79+Data!Y80+Data!Z80+Data!AA80+Data!Y81+Data!Z81+Data!AA81+Data!Y82+Data!Z82+Data!AA82+Data!Y83+Data!Z83+Data!AA83+Data!Y84+Data!Z84+Data!AA84+Data!Y85+Data!Z85+Data!AA85+Data!Y86+Data!Z86+Data!AA86</f>
        <v>1986834</v>
      </c>
      <c r="U86" s="16" t="n">
        <f aca="false">Data!Y75+Data!Y76+Data!Y77+Data!Y78+Data!Y79+Data!Y80+Data!Y81+Data!Y82+Data!Y83+Data!Y84+Data!Y85+Data!Y86</f>
        <v>1565867</v>
      </c>
      <c r="V86" s="16" t="n">
        <f aca="false">Data!Z75+Data!Z76+Data!Z77+Data!Z78+Data!Z79+Data!Z80+Data!Z81+Data!Z82+Data!Z83+Data!Z84+Data!Z85+Data!Z86</f>
        <v>394908</v>
      </c>
      <c r="W86" s="16" t="n">
        <f aca="false">Data!AB75+Data!AB76+Data!AB77+Data!AB78+Data!AB79+Data!AB80+Data!AB81+Data!AB82+Data!AB83+Data!AB84+Data!AB85+Data!AB86</f>
        <v>1583396</v>
      </c>
      <c r="X86" s="16" t="n">
        <f aca="false">Data!AC75+Data!AC76+Data!AC77+Data!AC78+Data!AC79+Data!AC80+Data!AC81+Data!AC82+Data!AC83+Data!AC84+Data!AC85+Data!AC86</f>
        <v>560497</v>
      </c>
      <c r="Y86" s="16" t="n">
        <f aca="false">Data!AD75+Data!AE75+Data!AF75+Data!AG75+Data!AH75+Data!AD76+Data!AE76+Data!AF76+Data!AG76+Data!AH76+Data!AD77+Data!AE77+Data!AF77+Data!AG77+Data!AH77+Data!AD78+Data!AE78+Data!AF78+Data!AG78+Data!AH78+Data!AD79+Data!AE79+Data!AF79+Data!AG79+Data!AH79+Data!AD80+Data!AE80+Data!AF80+Data!AG80+Data!AH80+Data!AD81+Data!AE81+Data!AF81+Data!AG81+Data!AH81+Data!AD82+Data!AE82+Data!AF82+Data!AG82+Data!AH82+Data!AD83+Data!AE83+Data!AF83+Data!AG83+Data!AH83+Data!AD84+Data!AE84+Data!AF84+Data!AG84+Data!AH84+Data!AD85+Data!AE85+Data!AF85+Data!AG85+Data!AH85+Data!AD86+Data!AE86+Data!AF86+Data!AG86+Data!AH86</f>
        <v>493074</v>
      </c>
      <c r="Z86" s="16" t="n">
        <f aca="false">Data!AI75+Data!AI76+Data!AI77+Data!AI78+Data!AI79+Data!AI80+Data!AI81+Data!AI82+Data!AI83+Data!AI84+Data!AI85+Data!AI86</f>
        <v>407819</v>
      </c>
      <c r="AA86" s="16" t="n">
        <f aca="false">Data!AJ75+Data!AJ76+Data!AJ77+Data!AJ78+Data!AJ79+Data!AJ80+Data!AJ81+Data!AJ82+Data!AJ83+Data!AJ84+Data!AJ85+Data!AJ86</f>
        <v>0</v>
      </c>
      <c r="AB86" s="16" t="n">
        <f aca="false">Data!AK75+Data!AK76+Data!AK77+Data!AK78+Data!AK79+Data!AK80+Data!AK81+Data!AK82+Data!AK83+Data!AK84+Data!AK85+Data!AK86</f>
        <v>280069</v>
      </c>
      <c r="AC86" s="16" t="n">
        <f aca="false">Data!AL75+Data!AL76+Data!AL77+Data!AL78+Data!AL79+Data!AL80+Data!AL81+Data!AL82+Data!AL83+Data!AL84+Data!AL85+Data!AL86</f>
        <v>1027359</v>
      </c>
      <c r="AD86" s="15" t="n">
        <f aca="false">Data!AM75+Data!AM76+Data!AM77+Data!AM78+Data!AM79+Data!AM80+Data!AM81+Data!AM82+Data!AM83+Data!AM84+Data!AM85+Data!AM86</f>
        <v>-1516710</v>
      </c>
      <c r="AE86" s="16" t="n">
        <f aca="false">Data!AN75+Data!AN76+Data!AN77+Data!AN78+Data!AN79+Data!AN80+Data!AN81+Data!AN82+Data!AN83+Data!AN84+Data!AN85+Data!AN86</f>
        <v>1023903</v>
      </c>
      <c r="AF86" s="15" t="n">
        <f aca="false">Data!AO75+Data!AO76+Data!AO77+Data!AO78+Data!AO79+Data!AO80+Data!AO81+Data!AO82+Data!AO83+Data!AO84+Data!AO85+Data!AO86</f>
        <v>-2540612</v>
      </c>
    </row>
    <row r="87" customFormat="false" ht="15" hidden="false" customHeight="false" outlineLevel="0" collapsed="false">
      <c r="B87" s="14" t="str">
        <f aca="false">Data!B87</f>
        <v>2022-09</v>
      </c>
      <c r="C87" s="15" t="n">
        <f aca="false">Data!D76+Data!E76+Data!F76+Data!G76+Data!H76+Data!I76+Data!J76+Data!K76+Data!L76+Data!M76+Data!N76+Data!O76+Data!P76+Data!Q76+Data!R76+Data!S76+Data!D77+Data!E77+Data!F77+Data!G77+Data!H77+Data!I77+Data!J77+Data!K77+Data!L77+Data!M77+Data!N77+Data!O77+Data!P77+Data!Q77+Data!R77+Data!S77+Data!D78+Data!E78+Data!F78+Data!G78+Data!H78+Data!I78+Data!J78+Data!K78+Data!L78+Data!M78+Data!N78+Data!O78+Data!P78+Data!Q78+Data!R78+Data!S78+Data!D79+Data!E79+Data!F79+Data!G79+Data!H79+Data!I79+Data!J79+Data!K79+Data!L79+Data!M79+Data!N79+Data!O79+Data!P79+Data!Q79+Data!R79+Data!S79+Data!D80+Data!E80+Data!F80+Data!G80+Data!H80+Data!I80+Data!J80+Data!K80+Data!L80+Data!M80+Data!N80+Data!O80+Data!P80+Data!Q80+Data!R80+Data!S80+Data!D81+Data!E81+Data!F81+Data!G81+Data!H81+Data!I81+Data!J81+Data!K81+Data!L81+Data!M81+Data!N81+Data!O81+Data!P81+Data!Q81+Data!R81+Data!S81+Data!D82+Data!E82+Data!F82+Data!G82+Data!H82+Data!I82+Data!J82+Data!K82+Data!L82+Data!M82+Data!N82+Data!O82+Data!P82+Data!Q82+Data!R82+Data!S82+Data!D83+Data!E83+Data!F83+Data!G83+Data!H83+Data!I83+Data!J83+Data!K83+Data!L83+Data!M83+Data!N83+Data!O83+Data!P83+Data!Q83+Data!R83+Data!S83+Data!D84+Data!E84+Data!F84+Data!G84+Data!H84+Data!I84+Data!J84+Data!K84+Data!L84+Data!M84+Data!N84+Data!O84+Data!P84+Data!Q84+Data!R84+Data!S84+Data!D85+Data!E85+Data!F85+Data!G85+Data!H85+Data!I85+Data!J85+Data!K85+Data!L85+Data!M85+Data!N85+Data!O85+Data!P85+Data!Q85+Data!R85+Data!S85+Data!D86+Data!E86+Data!F86+Data!G86+Data!H86+Data!I86+Data!J86+Data!K86+Data!L86+Data!M86+Data!N86+Data!O86+Data!P86+Data!Q86+Data!R86+Data!S86+Data!D87+Data!E87+Data!F87+Data!G87+Data!H87+Data!I87+Data!J87+Data!K87+Data!L87+Data!M87+Data!N87+Data!O87+Data!P87+Data!Q87+Data!R87+Data!S87</f>
        <v>12982104</v>
      </c>
      <c r="D87" s="16" t="n">
        <f aca="false">Data!D76+Data!E76+Data!G76+Data!H76+Data!I76+Data!J76+Data!K76+Data!L76+Data!M76+Data!D77+Data!E77+Data!G77+Data!H77+Data!I77+Data!J77+Data!K77+Data!L77+Data!M77+Data!D78+Data!E78+Data!G78+Data!H78+Data!I78+Data!J78+Data!K78+Data!L78+Data!M78+Data!D79+Data!E79+Data!G79+Data!H79+Data!I79+Data!J79+Data!K79+Data!L79+Data!M79+Data!D80+Data!E80+Data!G80+Data!H80+Data!I80+Data!J80+Data!K80+Data!L80+Data!M80+Data!D81+Data!E81+Data!G81+Data!H81+Data!I81+Data!J81+Data!K81+Data!L81+Data!M81+Data!D82+Data!E82+Data!G82+Data!H82+Data!I82+Data!J82+Data!K82+Data!L82+Data!M82+Data!D83+Data!E83+Data!G83+Data!H83+Data!I83+Data!J83+Data!K83+Data!L83+Data!M83+Data!D84+Data!E84+Data!G84+Data!H84+Data!I84+Data!J84+Data!K84+Data!L84+Data!M84+Data!D85+Data!E85+Data!G85+Data!H85+Data!I85+Data!J85+Data!K85+Data!L85+Data!M85+Data!D86+Data!E86+Data!G86+Data!H86+Data!I86+Data!J86+Data!K86+Data!L86+Data!M86+Data!D87+Data!E87+Data!G87+Data!H87+Data!I87+Data!J87+Data!K87+Data!L87+Data!M87</f>
        <v>7803371</v>
      </c>
      <c r="E87" s="16" t="n">
        <f aca="false">Data!D76+Data!D77+Data!D78+Data!D79+Data!D80+Data!D81+Data!D82+Data!D83+Data!D84+Data!D85+Data!D86+Data!D87</f>
        <v>2215251</v>
      </c>
      <c r="F87" s="16" t="n">
        <f aca="false">Data!E76+Data!E77+Data!E78+Data!E79+Data!E80+Data!E81+Data!E82+Data!E83+Data!E84+Data!E85+Data!E86+Data!E87</f>
        <v>1361098</v>
      </c>
      <c r="G87" s="16" t="n">
        <f aca="false">Data!K76+Data!K77+Data!K78+Data!K79+Data!K80+Data!K81+Data!K82+Data!K83+Data!K84+Data!K85+Data!K86+Data!K87</f>
        <v>1366023</v>
      </c>
      <c r="H87" s="16" t="n">
        <f aca="false">Data!L76+Data!L77+Data!L78+Data!L79+Data!L80+Data!L81+Data!L82+Data!L83+Data!L84+Data!L85+Data!L86+Data!L87</f>
        <v>454216</v>
      </c>
      <c r="I87" s="16" t="n">
        <f aca="false">Data!G76+Data!G77+Data!G78+Data!G79+Data!G80+Data!G81+Data!G82+Data!G83+Data!G84+Data!G85+Data!G86+Data!G87</f>
        <v>1120970</v>
      </c>
      <c r="J87" s="16" t="n">
        <f aca="false">Data!H76+Data!I76+Data!J76+Data!M76+Data!H77+Data!I77+Data!J77+Data!M77+Data!H78+Data!I78+Data!J78+Data!M78+Data!H79+Data!I79+Data!J79+Data!M79+Data!H80+Data!I80+Data!J80+Data!M80+Data!H81+Data!I81+Data!J81+Data!M81+Data!H82+Data!I82+Data!J82+Data!M82+Data!H83+Data!I83+Data!J83+Data!M83+Data!H84+Data!I84+Data!J84+Data!M84+Data!H85+Data!I85+Data!J85+Data!M85+Data!H86+Data!I86+Data!J86+Data!M86+Data!H87+Data!I87+Data!J87+Data!M87</f>
        <v>1285813</v>
      </c>
      <c r="K87" s="16" t="n">
        <f aca="false">Data!F76+Data!F77+Data!F78+Data!F79+Data!F80+Data!F81+Data!F82+Data!F83+Data!F84+Data!F85+Data!F86+Data!F87</f>
        <v>3658040</v>
      </c>
      <c r="L87" s="16" t="n">
        <f aca="false">Data!N76+Data!O76+Data!P76+Data!Q76+Data!R76+Data!S76+Data!N77+Data!O77+Data!P77+Data!Q77+Data!R77+Data!S77+Data!N78+Data!O78+Data!P78+Data!Q78+Data!R78+Data!S78+Data!N79+Data!O79+Data!P79+Data!Q79+Data!R79+Data!S79+Data!N80+Data!O80+Data!P80+Data!Q80+Data!R80+Data!S80+Data!N81+Data!O81+Data!P81+Data!Q81+Data!R81+Data!S81+Data!N82+Data!O82+Data!P82+Data!Q82+Data!R82+Data!S82+Data!N83+Data!O83+Data!P83+Data!Q83+Data!R83+Data!S83+Data!N84+Data!O84+Data!P84+Data!Q84+Data!R84+Data!S84+Data!N85+Data!O85+Data!P85+Data!Q85+Data!R85+Data!S85+Data!N86+Data!O86+Data!P86+Data!Q86+Data!R86+Data!S86+Data!N87+Data!O87+Data!P87+Data!Q87+Data!R87+Data!S87</f>
        <v>1520693</v>
      </c>
      <c r="M87" s="15" t="n">
        <f aca="false">Data!T76+Data!U76+Data!V76+Data!W76+Data!X76+Data!Y76+Data!Z76+Data!AA76+Data!AB76+Data!AC76+Data!AD76+Data!AE76+Data!AF76+Data!AG76+Data!AH76+Data!AI76+Data!AJ76+Data!AK76+Data!AL76+Data!T77+Data!U77+Data!V77+Data!W77+Data!X77+Data!Y77+Data!Z77+Data!AA77+Data!AB77+Data!AC77+Data!AD77+Data!AE77+Data!AF77+Data!AG77+Data!AH77+Data!AI77+Data!AJ77+Data!AK77+Data!AL77+Data!T78+Data!U78+Data!V78+Data!W78+Data!X78+Data!Y78+Data!Z78+Data!AA78+Data!AB78+Data!AC78+Data!AD78+Data!AE78+Data!AF78+Data!AG78+Data!AH78+Data!AI78+Data!AJ78+Data!AK78+Data!AL78+Data!T79+Data!U79+Data!V79+Data!W79+Data!X79+Data!Y79+Data!Z79+Data!AA79+Data!AB79+Data!AC79+Data!AD79+Data!AE79+Data!AF79+Data!AG79+Data!AH79+Data!AI79+Data!AJ79+Data!AK79+Data!AL79+Data!T80+Data!U80+Data!V80+Data!W80+Data!X80+Data!Y80+Data!Z80+Data!AA80+Data!AB80+Data!AC80+Data!AD80+Data!AE80+Data!AF80+Data!AG80+Data!AH80+Data!AI80+Data!AJ80+Data!AK80+Data!AL80+Data!T81+Data!U81+Data!V81+Data!W81+Data!X81+Data!Y81+Data!Z81+Data!AA81+Data!AB81+Data!AC81+Data!AD81+Data!AE81+Data!AF81+Data!AG81+Data!AH81+Data!AI81+Data!AJ81+Data!AK81+Data!AL81+Data!T82+Data!U82+Data!V82+Data!W82+Data!X82+Data!Y82+Data!Z82+Data!AA82+Data!AB82+Data!AC82+Data!AD82+Data!AE82+Data!AF82+Data!AG82+Data!AH82+Data!AI82+Data!AJ82+Data!AK82+Data!AL82+Data!T83+Data!U83+Data!V83+Data!W83+Data!X83+Data!Y83+Data!Z83+Data!AA83+Data!AB83+Data!AC83+Data!AD83+Data!AE83+Data!AF83+Data!AG83+Data!AH83+Data!AI83+Data!AJ83+Data!AK83+Data!AL83+Data!T84+Data!U84+Data!V84+Data!W84+Data!X84+Data!Y84+Data!Z84+Data!AA84+Data!AB84+Data!AC84+Data!AD84+Data!AE84+Data!AF84+Data!AG84+Data!AH84+Data!AI84+Data!AJ84+Data!AK84+Data!AL84+Data!T85+Data!U85+Data!V85+Data!W85+Data!X85+Data!Y85+Data!Z85+Data!AA85+Data!AB85+Data!AC85+Data!AD85+Data!AE85+Data!AF85+Data!AG85+Data!AH85+Data!AI85+Data!AJ85+Data!AK85+Data!AL85+Data!T86+Data!U86+Data!V86+Data!W86+Data!X86+Data!Y86+Data!Z86+Data!AA86+Data!AB86+Data!AC86+Data!AD86+Data!AE86+Data!AF86+Data!AG86+Data!AH86+Data!AI86+Data!AJ86+Data!AK86+Data!AL86+Data!T87+Data!U87+Data!V87+Data!W87+Data!X87+Data!Y87+Data!Z87+Data!AA87+Data!AB87+Data!AC87+Data!AD87+Data!AE87+Data!AF87+Data!AG87+Data!AH87+Data!AI87+Data!AJ87+Data!AK87+Data!AL87</f>
        <v>14709618</v>
      </c>
      <c r="N87" s="16" t="n">
        <f aca="false">Data!T76+Data!U76+Data!V76+Data!W76+Data!T77+Data!U77+Data!V77+Data!W77+Data!T78+Data!U78+Data!V78+Data!W78+Data!T79+Data!U79+Data!V79+Data!W79+Data!T80+Data!U80+Data!V80+Data!W80+Data!T81+Data!U81+Data!V81+Data!W81+Data!T82+Data!U82+Data!V82+Data!W82+Data!T83+Data!U83+Data!V83+Data!W83+Data!T84+Data!U84+Data!V84+Data!W84+Data!T85+Data!U85+Data!V85+Data!W85+Data!T86+Data!U86+Data!V86+Data!W86+Data!T87+Data!U87+Data!V87+Data!W87</f>
        <v>6788653</v>
      </c>
      <c r="O87" s="16" t="n">
        <f aca="false">Data!T76+Data!T77+Data!T78+Data!T79+Data!T80+Data!T81+Data!T82+Data!T83+Data!T84+Data!T85+Data!T86+Data!T87</f>
        <v>4897861</v>
      </c>
      <c r="P87" s="16" t="n">
        <f aca="false">Data!U76+Data!U77+Data!U78+Data!U79+Data!U80+Data!U81+Data!U82+Data!U83+Data!U84+Data!U85+Data!U86+Data!U87</f>
        <v>865295</v>
      </c>
      <c r="Q87" s="16" t="n">
        <f aca="false">Data!V76+Data!V77+Data!V78+Data!V79+Data!V80+Data!V81+Data!V82+Data!V83+Data!V84+Data!V85+Data!V86+Data!V87</f>
        <v>507438</v>
      </c>
      <c r="R87" s="16" t="n">
        <f aca="false">Data!W76+Data!W77+Data!W78+Data!W79+Data!W80+Data!W81+Data!W82+Data!W83+Data!W84+Data!W85+Data!W86+Data!W87</f>
        <v>518059</v>
      </c>
      <c r="S87" s="16" t="n">
        <f aca="false">Data!X76+Data!X77+Data!X78+Data!X79+Data!X80+Data!X81+Data!X82+Data!X83+Data!X84+Data!X85+Data!X86+Data!X87</f>
        <v>1268645</v>
      </c>
      <c r="T87" s="16" t="n">
        <f aca="false">Data!Y76+Data!Z76+Data!AA76+Data!Y77+Data!Z77+Data!AA77+Data!Y78+Data!Z78+Data!AA78+Data!Y79+Data!Z79+Data!AA79+Data!Y80+Data!Z80+Data!AA80+Data!Y81+Data!Z81+Data!AA81+Data!Y82+Data!Z82+Data!AA82+Data!Y83+Data!Z83+Data!AA83+Data!Y84+Data!Z84+Data!AA84+Data!Y85+Data!Z85+Data!AA85+Data!Y86+Data!Z86+Data!AA86+Data!Y87+Data!Z87+Data!AA87</f>
        <v>2063148</v>
      </c>
      <c r="U87" s="16" t="n">
        <f aca="false">Data!Y76+Data!Y77+Data!Y78+Data!Y79+Data!Y80+Data!Y81+Data!Y82+Data!Y83+Data!Y84+Data!Y85+Data!Y86+Data!Y87</f>
        <v>1626188</v>
      </c>
      <c r="V87" s="16" t="n">
        <f aca="false">Data!Z76+Data!Z77+Data!Z78+Data!Z79+Data!Z80+Data!Z81+Data!Z82+Data!Z83+Data!Z84+Data!Z85+Data!Z86+Data!Z87</f>
        <v>408374</v>
      </c>
      <c r="W87" s="16" t="n">
        <f aca="false">Data!AB76+Data!AB77+Data!AB78+Data!AB79+Data!AB80+Data!AB81+Data!AB82+Data!AB83+Data!AB84+Data!AB85+Data!AB86+Data!AB87</f>
        <v>1664231</v>
      </c>
      <c r="X87" s="16" t="n">
        <f aca="false">Data!AC76+Data!AC77+Data!AC78+Data!AC79+Data!AC80+Data!AC81+Data!AC82+Data!AC83+Data!AC84+Data!AC85+Data!AC86+Data!AC87</f>
        <v>575810</v>
      </c>
      <c r="Y87" s="16" t="n">
        <f aca="false">Data!AD76+Data!AE76+Data!AF76+Data!AG76+Data!AH76+Data!AD77+Data!AE77+Data!AF77+Data!AG77+Data!AH77+Data!AD78+Data!AE78+Data!AF78+Data!AG78+Data!AH78+Data!AD79+Data!AE79+Data!AF79+Data!AG79+Data!AH79+Data!AD80+Data!AE80+Data!AF80+Data!AG80+Data!AH80+Data!AD81+Data!AE81+Data!AF81+Data!AG81+Data!AH81+Data!AD82+Data!AE82+Data!AF82+Data!AG82+Data!AH82+Data!AD83+Data!AE83+Data!AF83+Data!AG83+Data!AH83+Data!AD84+Data!AE84+Data!AF84+Data!AG84+Data!AH84+Data!AD85+Data!AE85+Data!AF85+Data!AG85+Data!AH85+Data!AD86+Data!AE86+Data!AF86+Data!AG86+Data!AH86+Data!AD87+Data!AE87+Data!AF87+Data!AG87+Data!AH87</f>
        <v>511041</v>
      </c>
      <c r="Z87" s="16" t="n">
        <f aca="false">Data!AI76+Data!AI77+Data!AI78+Data!AI79+Data!AI80+Data!AI81+Data!AI82+Data!AI83+Data!AI84+Data!AI85+Data!AI86+Data!AI87</f>
        <v>428471</v>
      </c>
      <c r="AA87" s="16" t="n">
        <f aca="false">Data!AJ76+Data!AJ77+Data!AJ78+Data!AJ79+Data!AJ80+Data!AJ81+Data!AJ82+Data!AJ83+Data!AJ84+Data!AJ85+Data!AJ86+Data!AJ87</f>
        <v>0</v>
      </c>
      <c r="AB87" s="16" t="n">
        <f aca="false">Data!AK76+Data!AK77+Data!AK78+Data!AK79+Data!AK80+Data!AK81+Data!AK82+Data!AK83+Data!AK84+Data!AK85+Data!AK86+Data!AK87</f>
        <v>286951</v>
      </c>
      <c r="AC87" s="16" t="n">
        <f aca="false">Data!AL76+Data!AL77+Data!AL78+Data!AL79+Data!AL80+Data!AL81+Data!AL82+Data!AL83+Data!AL84+Data!AL85+Data!AL86+Data!AL87</f>
        <v>1122668</v>
      </c>
      <c r="AD87" s="15" t="n">
        <f aca="false">Data!AM76+Data!AM77+Data!AM78+Data!AM79+Data!AM80+Data!AM81+Data!AM82+Data!AM83+Data!AM84+Data!AM85+Data!AM86+Data!AM87</f>
        <v>-1727514</v>
      </c>
      <c r="AE87" s="16" t="n">
        <f aca="false">Data!AN76+Data!AN77+Data!AN78+Data!AN79+Data!AN80+Data!AN81+Data!AN82+Data!AN83+Data!AN84+Data!AN85+Data!AN86+Data!AN87</f>
        <v>1054793</v>
      </c>
      <c r="AF87" s="15" t="n">
        <f aca="false">Data!AO76+Data!AO77+Data!AO78+Data!AO79+Data!AO80+Data!AO81+Data!AO82+Data!AO83+Data!AO84+Data!AO85+Data!AO86+Data!AO87</f>
        <v>-2782306</v>
      </c>
    </row>
    <row r="88" customFormat="false" ht="15" hidden="false" customHeight="false" outlineLevel="0" collapsed="false">
      <c r="B88" s="14" t="str">
        <f aca="false">Data!B88</f>
        <v>2022-10</v>
      </c>
      <c r="C88" s="15" t="n">
        <f aca="false">Data!D77+Data!E77+Data!F77+Data!G77+Data!H77+Data!I77+Data!J77+Data!K77+Data!L77+Data!M77+Data!N77+Data!O77+Data!P77+Data!Q77+Data!R77+Data!S77+Data!D78+Data!E78+Data!F78+Data!G78+Data!H78+Data!I78+Data!J78+Data!K78+Data!L78+Data!M78+Data!N78+Data!O78+Data!P78+Data!Q78+Data!R78+Data!S78+Data!D79+Data!E79+Data!F79+Data!G79+Data!H79+Data!I79+Data!J79+Data!K79+Data!L79+Data!M79+Data!N79+Data!O79+Data!P79+Data!Q79+Data!R79+Data!S79+Data!D80+Data!E80+Data!F80+Data!G80+Data!H80+Data!I80+Data!J80+Data!K80+Data!L80+Data!M80+Data!N80+Data!O80+Data!P80+Data!Q80+Data!R80+Data!S80+Data!D81+Data!E81+Data!F81+Data!G81+Data!H81+Data!I81+Data!J81+Data!K81+Data!L81+Data!M81+Data!N81+Data!O81+Data!P81+Data!Q81+Data!R81+Data!S81+Data!D82+Data!E82+Data!F82+Data!G82+Data!H82+Data!I82+Data!J82+Data!K82+Data!L82+Data!M82+Data!N82+Data!O82+Data!P82+Data!Q82+Data!R82+Data!S82+Data!D83+Data!E83+Data!F83+Data!G83+Data!H83+Data!I83+Data!J83+Data!K83+Data!L83+Data!M83+Data!N83+Data!O83+Data!P83+Data!Q83+Data!R83+Data!S83+Data!D84+Data!E84+Data!F84+Data!G84+Data!H84+Data!I84+Data!J84+Data!K84+Data!L84+Data!M84+Data!N84+Data!O84+Data!P84+Data!Q84+Data!R84+Data!S84+Data!D85+Data!E85+Data!F85+Data!G85+Data!H85+Data!I85+Data!J85+Data!K85+Data!L85+Data!M85+Data!N85+Data!O85+Data!P85+Data!Q85+Data!R85+Data!S85+Data!D86+Data!E86+Data!F86+Data!G86+Data!H86+Data!I86+Data!J86+Data!K86+Data!L86+Data!M86+Data!N86+Data!O86+Data!P86+Data!Q86+Data!R86+Data!S86+Data!D87+Data!E87+Data!F87+Data!G87+Data!H87+Data!I87+Data!J87+Data!K87+Data!L87+Data!M87+Data!N87+Data!O87+Data!P87+Data!Q87+Data!R87+Data!S87+Data!D88+Data!E88+Data!F88+Data!G88+Data!H88+Data!I88+Data!J88+Data!K88+Data!L88+Data!M88+Data!N88+Data!O88+Data!P88+Data!Q88+Data!R88+Data!S88</f>
        <v>13711314</v>
      </c>
      <c r="D88" s="16" t="n">
        <f aca="false">Data!D77+Data!E77+Data!G77+Data!H77+Data!I77+Data!J77+Data!K77+Data!L77+Data!M77+Data!D78+Data!E78+Data!G78+Data!H78+Data!I78+Data!J78+Data!K78+Data!L78+Data!M78+Data!D79+Data!E79+Data!G79+Data!H79+Data!I79+Data!J79+Data!K79+Data!L79+Data!M79+Data!D80+Data!E80+Data!G80+Data!H80+Data!I80+Data!J80+Data!K80+Data!L80+Data!M80+Data!D81+Data!E81+Data!G81+Data!H81+Data!I81+Data!J81+Data!K81+Data!L81+Data!M81+Data!D82+Data!E82+Data!G82+Data!H82+Data!I82+Data!J82+Data!K82+Data!L82+Data!M82+Data!D83+Data!E83+Data!G83+Data!H83+Data!I83+Data!J83+Data!K83+Data!L83+Data!M83+Data!D84+Data!E84+Data!G84+Data!H84+Data!I84+Data!J84+Data!K84+Data!L84+Data!M84+Data!D85+Data!E85+Data!G85+Data!H85+Data!I85+Data!J85+Data!K85+Data!L85+Data!M85+Data!D86+Data!E86+Data!G86+Data!H86+Data!I86+Data!J86+Data!K86+Data!L86+Data!M86+Data!D87+Data!E87+Data!G87+Data!H87+Data!I87+Data!J87+Data!K87+Data!L87+Data!M87+Data!D88+Data!E88+Data!G88+Data!H88+Data!I88+Data!J88+Data!K88+Data!L88+Data!M88</f>
        <v>8284719</v>
      </c>
      <c r="E88" s="16" t="n">
        <f aca="false">Data!D77+Data!D78+Data!D79+Data!D80+Data!D81+Data!D82+Data!D83+Data!D84+Data!D85+Data!D86+Data!D87+Data!D88</f>
        <v>2353623</v>
      </c>
      <c r="F88" s="16" t="n">
        <f aca="false">Data!E77+Data!E78+Data!E79+Data!E80+Data!E81+Data!E82+Data!E83+Data!E84+Data!E85+Data!E86+Data!E87+Data!E88</f>
        <v>1469310</v>
      </c>
      <c r="G88" s="16" t="n">
        <f aca="false">Data!K77+Data!K78+Data!K79+Data!K80+Data!K81+Data!K82+Data!K83+Data!K84+Data!K85+Data!K86+Data!K87+Data!K88</f>
        <v>1462893</v>
      </c>
      <c r="H88" s="16" t="n">
        <f aca="false">Data!L77+Data!L78+Data!L79+Data!L80+Data!L81+Data!L82+Data!L83+Data!L84+Data!L85+Data!L86+Data!L87+Data!L88</f>
        <v>474503</v>
      </c>
      <c r="I88" s="16" t="n">
        <f aca="false">Data!G77+Data!G78+Data!G79+Data!G80+Data!G81+Data!G82+Data!G83+Data!G84+Data!G85+Data!G86+Data!G87+Data!G88</f>
        <v>1181076</v>
      </c>
      <c r="J88" s="16" t="n">
        <f aca="false">Data!H77+Data!I77+Data!J77+Data!M77+Data!H78+Data!I78+Data!J78+Data!M78+Data!H79+Data!I79+Data!J79+Data!M79+Data!H80+Data!I80+Data!J80+Data!M80+Data!H81+Data!I81+Data!J81+Data!M81+Data!H82+Data!I82+Data!J82+Data!M82+Data!H83+Data!I83+Data!J83+Data!M83+Data!H84+Data!I84+Data!J84+Data!M84+Data!H85+Data!I85+Data!J85+Data!M85+Data!H86+Data!I86+Data!J86+Data!M86+Data!H87+Data!I87+Data!J87+Data!M87+Data!H88+Data!I88+Data!J88+Data!M88</f>
        <v>1343314</v>
      </c>
      <c r="K88" s="16" t="n">
        <f aca="false">Data!F77+Data!F78+Data!F79+Data!F80+Data!F81+Data!F82+Data!F83+Data!F84+Data!F85+Data!F86+Data!F87+Data!F88</f>
        <v>3847874</v>
      </c>
      <c r="L88" s="16" t="n">
        <f aca="false">Data!N77+Data!O77+Data!P77+Data!Q77+Data!R77+Data!S77+Data!N78+Data!O78+Data!P78+Data!Q78+Data!R78+Data!S78+Data!N79+Data!O79+Data!P79+Data!Q79+Data!R79+Data!S79+Data!N80+Data!O80+Data!P80+Data!Q80+Data!R80+Data!S80+Data!N81+Data!O81+Data!P81+Data!Q81+Data!R81+Data!S81+Data!N82+Data!O82+Data!P82+Data!Q82+Data!R82+Data!S82+Data!N83+Data!O83+Data!P83+Data!Q83+Data!R83+Data!S83+Data!N84+Data!O84+Data!P84+Data!Q84+Data!R84+Data!S84+Data!N85+Data!O85+Data!P85+Data!Q85+Data!R85+Data!S85+Data!N86+Data!O86+Data!P86+Data!Q86+Data!R86+Data!S86+Data!N87+Data!O87+Data!P87+Data!Q87+Data!R87+Data!S87+Data!N88+Data!O88+Data!P88+Data!Q88+Data!R88+Data!S88</f>
        <v>1578721</v>
      </c>
      <c r="M88" s="15" t="n">
        <f aca="false">Data!T77+Data!U77+Data!V77+Data!W77+Data!X77+Data!Y77+Data!Z77+Data!AA77+Data!AB77+Data!AC77+Data!AD77+Data!AE77+Data!AF77+Data!AG77+Data!AH77+Data!AI77+Data!AJ77+Data!AK77+Data!AL77+Data!T78+Data!U78+Data!V78+Data!W78+Data!X78+Data!Y78+Data!Z78+Data!AA78+Data!AB78+Data!AC78+Data!AD78+Data!AE78+Data!AF78+Data!AG78+Data!AH78+Data!AI78+Data!AJ78+Data!AK78+Data!AL78+Data!T79+Data!U79+Data!V79+Data!W79+Data!X79+Data!Y79+Data!Z79+Data!AA79+Data!AB79+Data!AC79+Data!AD79+Data!AE79+Data!AF79+Data!AG79+Data!AH79+Data!AI79+Data!AJ79+Data!AK79+Data!AL79+Data!T80+Data!U80+Data!V80+Data!W80+Data!X80+Data!Y80+Data!Z80+Data!AA80+Data!AB80+Data!AC80+Data!AD80+Data!AE80+Data!AF80+Data!AG80+Data!AH80+Data!AI80+Data!AJ80+Data!AK80+Data!AL80+Data!T81+Data!U81+Data!V81+Data!W81+Data!X81+Data!Y81+Data!Z81+Data!AA81+Data!AB81+Data!AC81+Data!AD81+Data!AE81+Data!AF81+Data!AG81+Data!AH81+Data!AI81+Data!AJ81+Data!AK81+Data!AL81+Data!T82+Data!U82+Data!V82+Data!W82+Data!X82+Data!Y82+Data!Z82+Data!AA82+Data!AB82+Data!AC82+Data!AD82+Data!AE82+Data!AF82+Data!AG82+Data!AH82+Data!AI82+Data!AJ82+Data!AK82+Data!AL82+Data!T83+Data!U83+Data!V83+Data!W83+Data!X83+Data!Y83+Data!Z83+Data!AA83+Data!AB83+Data!AC83+Data!AD83+Data!AE83+Data!AF83+Data!AG83+Data!AH83+Data!AI83+Data!AJ83+Data!AK83+Data!AL83+Data!T84+Data!U84+Data!V84+Data!W84+Data!X84+Data!Y84+Data!Z84+Data!AA84+Data!AB84+Data!AC84+Data!AD84+Data!AE84+Data!AF84+Data!AG84+Data!AH84+Data!AI84+Data!AJ84+Data!AK84+Data!AL84+Data!T85+Data!U85+Data!V85+Data!W85+Data!X85+Data!Y85+Data!Z85+Data!AA85+Data!AB85+Data!AC85+Data!AD85+Data!AE85+Data!AF85+Data!AG85+Data!AH85+Data!AI85+Data!AJ85+Data!AK85+Data!AL85+Data!T86+Data!U86+Data!V86+Data!W86+Data!X86+Data!Y86+Data!Z86+Data!AA86+Data!AB86+Data!AC86+Data!AD86+Data!AE86+Data!AF86+Data!AG86+Data!AH86+Data!AI86+Data!AJ86+Data!AK86+Data!AL86+Data!T87+Data!U87+Data!V87+Data!W87+Data!X87+Data!Y87+Data!Z87+Data!AA87+Data!AB87+Data!AC87+Data!AD87+Data!AE87+Data!AF87+Data!AG87+Data!AH87+Data!AI87+Data!AJ87+Data!AK87+Data!AL87+Data!T88+Data!U88+Data!V88+Data!W88+Data!X88+Data!Y88+Data!Z88+Data!AA88+Data!AB88+Data!AC88+Data!AD88+Data!AE88+Data!AF88+Data!AG88+Data!AH88+Data!AI88+Data!AJ88+Data!AK88+Data!AL88</f>
        <v>15332708</v>
      </c>
      <c r="N88" s="16" t="n">
        <f aca="false">Data!T77+Data!U77+Data!V77+Data!W77+Data!T78+Data!U78+Data!V78+Data!W78+Data!T79+Data!U79+Data!V79+Data!W79+Data!T80+Data!U80+Data!V80+Data!W80+Data!T81+Data!U81+Data!V81+Data!W81+Data!T82+Data!U82+Data!V82+Data!W82+Data!T83+Data!U83+Data!V83+Data!W83+Data!T84+Data!U84+Data!V84+Data!W84+Data!T85+Data!U85+Data!V85+Data!W85+Data!T86+Data!U86+Data!V86+Data!W86+Data!T87+Data!U87+Data!V87+Data!W87+Data!T88+Data!U88+Data!V88+Data!W88</f>
        <v>7098562</v>
      </c>
      <c r="O88" s="16" t="n">
        <f aca="false">Data!T77+Data!T78+Data!T79+Data!T80+Data!T81+Data!T82+Data!T83+Data!T84+Data!T85+Data!T86+Data!T87+Data!T88</f>
        <v>5124135</v>
      </c>
      <c r="P88" s="16" t="n">
        <f aca="false">Data!U77+Data!U78+Data!U79+Data!U80+Data!U81+Data!U82+Data!U83+Data!U84+Data!U85+Data!U86+Data!U87+Data!U88</f>
        <v>901884</v>
      </c>
      <c r="Q88" s="16" t="n">
        <f aca="false">Data!V77+Data!V78+Data!V79+Data!V80+Data!V81+Data!V82+Data!V83+Data!V84+Data!V85+Data!V86+Data!V87+Data!V88</f>
        <v>537555</v>
      </c>
      <c r="R88" s="16" t="n">
        <f aca="false">Data!W77+Data!W78+Data!W79+Data!W80+Data!W81+Data!W82+Data!W83+Data!W84+Data!W85+Data!W86+Data!W87+Data!W88</f>
        <v>534988</v>
      </c>
      <c r="S88" s="16" t="n">
        <f aca="false">Data!X77+Data!X78+Data!X79+Data!X80+Data!X81+Data!X82+Data!X83+Data!X84+Data!X85+Data!X86+Data!X87+Data!X88</f>
        <v>1315003</v>
      </c>
      <c r="T88" s="16" t="n">
        <f aca="false">Data!Y77+Data!Z77+Data!AA77+Data!Y78+Data!Z78+Data!AA78+Data!Y79+Data!Z79+Data!AA79+Data!Y80+Data!Z80+Data!AA80+Data!Y81+Data!Z81+Data!AA81+Data!Y82+Data!Z82+Data!AA82+Data!Y83+Data!Z83+Data!AA83+Data!Y84+Data!Z84+Data!AA84+Data!Y85+Data!Z85+Data!AA85+Data!Y86+Data!Z86+Data!AA86+Data!Y87+Data!Z87+Data!AA87+Data!Y88+Data!Z88+Data!AA88</f>
        <v>2140229</v>
      </c>
      <c r="U88" s="16" t="n">
        <f aca="false">Data!Y77+Data!Y78+Data!Y79+Data!Y80+Data!Y81+Data!Y82+Data!Y83+Data!Y84+Data!Y85+Data!Y86+Data!Y87+Data!Y88</f>
        <v>1700528</v>
      </c>
      <c r="V88" s="16" t="n">
        <f aca="false">Data!Z77+Data!Z78+Data!Z79+Data!Z80+Data!Z81+Data!Z82+Data!Z83+Data!Z84+Data!Z85+Data!Z86+Data!Z87+Data!Z88</f>
        <v>413787</v>
      </c>
      <c r="W88" s="16" t="n">
        <f aca="false">Data!AB77+Data!AB78+Data!AB79+Data!AB80+Data!AB81+Data!AB82+Data!AB83+Data!AB84+Data!AB85+Data!AB86+Data!AB87+Data!AB88</f>
        <v>1747335</v>
      </c>
      <c r="X88" s="16" t="n">
        <f aca="false">Data!AC77+Data!AC78+Data!AC79+Data!AC80+Data!AC81+Data!AC82+Data!AC83+Data!AC84+Data!AC85+Data!AC86+Data!AC87+Data!AC88</f>
        <v>561524</v>
      </c>
      <c r="Y88" s="16" t="n">
        <f aca="false">Data!AD77+Data!AE77+Data!AF77+Data!AG77+Data!AH77+Data!AD78+Data!AE78+Data!AF78+Data!AG78+Data!AH78+Data!AD79+Data!AE79+Data!AF79+Data!AG79+Data!AH79+Data!AD80+Data!AE80+Data!AF80+Data!AG80+Data!AH80+Data!AD81+Data!AE81+Data!AF81+Data!AG81+Data!AH81+Data!AD82+Data!AE82+Data!AF82+Data!AG82+Data!AH82+Data!AD83+Data!AE83+Data!AF83+Data!AG83+Data!AH83+Data!AD84+Data!AE84+Data!AF84+Data!AG84+Data!AH84+Data!AD85+Data!AE85+Data!AF85+Data!AG85+Data!AH85+Data!AD86+Data!AE86+Data!AF86+Data!AG86+Data!AH86+Data!AD87+Data!AE87+Data!AF87+Data!AG87+Data!AH87+Data!AD88+Data!AE88+Data!AF88+Data!AG88+Data!AH88</f>
        <v>523231</v>
      </c>
      <c r="Z88" s="16" t="n">
        <f aca="false">Data!AI77+Data!AI78+Data!AI79+Data!AI80+Data!AI81+Data!AI82+Data!AI83+Data!AI84+Data!AI85+Data!AI86+Data!AI87+Data!AI88</f>
        <v>453359</v>
      </c>
      <c r="AA88" s="16" t="n">
        <f aca="false">Data!AJ77+Data!AJ78+Data!AJ79+Data!AJ80+Data!AJ81+Data!AJ82+Data!AJ83+Data!AJ84+Data!AJ85+Data!AJ86+Data!AJ87+Data!AJ88</f>
        <v>0</v>
      </c>
      <c r="AB88" s="16" t="n">
        <f aca="false">Data!AK77+Data!AK78+Data!AK79+Data!AK80+Data!AK81+Data!AK82+Data!AK83+Data!AK84+Data!AK85+Data!AK86+Data!AK87+Data!AK88</f>
        <v>302821</v>
      </c>
      <c r="AC88" s="16" t="n">
        <f aca="false">Data!AL77+Data!AL78+Data!AL79+Data!AL80+Data!AL81+Data!AL82+Data!AL83+Data!AL84+Data!AL85+Data!AL86+Data!AL87+Data!AL88</f>
        <v>1190644</v>
      </c>
      <c r="AD88" s="15" t="n">
        <f aca="false">Data!AM77+Data!AM78+Data!AM79+Data!AM80+Data!AM81+Data!AM82+Data!AM83+Data!AM84+Data!AM85+Data!AM86+Data!AM87+Data!AM88</f>
        <v>-1621394</v>
      </c>
      <c r="AE88" s="16" t="n">
        <f aca="false">Data!AN77+Data!AN78+Data!AN79+Data!AN80+Data!AN81+Data!AN82+Data!AN83+Data!AN84+Data!AN85+Data!AN86+Data!AN87+Data!AN88</f>
        <v>1069069</v>
      </c>
      <c r="AF88" s="15" t="n">
        <f aca="false">Data!AO77+Data!AO78+Data!AO79+Data!AO80+Data!AO81+Data!AO82+Data!AO83+Data!AO84+Data!AO85+Data!AO86+Data!AO87+Data!AO88</f>
        <v>-2690463</v>
      </c>
    </row>
    <row r="89" customFormat="false" ht="15" hidden="false" customHeight="false" outlineLevel="0" collapsed="false">
      <c r="B89" s="14" t="str">
        <f aca="false">Data!B89</f>
        <v>2022-11</v>
      </c>
      <c r="C89" s="15" t="n">
        <f aca="false">Data!D78+Data!E78+Data!F78+Data!G78+Data!H78+Data!I78+Data!J78+Data!K78+Data!L78+Data!M78+Data!N78+Data!O78+Data!P78+Data!Q78+Data!R78+Data!S78+Data!D79+Data!E79+Data!F79+Data!G79+Data!H79+Data!I79+Data!J79+Data!K79+Data!L79+Data!M79+Data!N79+Data!O79+Data!P79+Data!Q79+Data!R79+Data!S79+Data!D80+Data!E80+Data!F80+Data!G80+Data!H80+Data!I80+Data!J80+Data!K80+Data!L80+Data!M80+Data!N80+Data!O80+Data!P80+Data!Q80+Data!R80+Data!S80+Data!D81+Data!E81+Data!F81+Data!G81+Data!H81+Data!I81+Data!J81+Data!K81+Data!L81+Data!M81+Data!N81+Data!O81+Data!P81+Data!Q81+Data!R81+Data!S81+Data!D82+Data!E82+Data!F82+Data!G82+Data!H82+Data!I82+Data!J82+Data!K82+Data!L82+Data!M82+Data!N82+Data!O82+Data!P82+Data!Q82+Data!R82+Data!S82+Data!D83+Data!E83+Data!F83+Data!G83+Data!H83+Data!I83+Data!J83+Data!K83+Data!L83+Data!M83+Data!N83+Data!O83+Data!P83+Data!Q83+Data!R83+Data!S83+Data!D84+Data!E84+Data!F84+Data!G84+Data!H84+Data!I84+Data!J84+Data!K84+Data!L84+Data!M84+Data!N84+Data!O84+Data!P84+Data!Q84+Data!R84+Data!S84+Data!D85+Data!E85+Data!F85+Data!G85+Data!H85+Data!I85+Data!J85+Data!K85+Data!L85+Data!M85+Data!N85+Data!O85+Data!P85+Data!Q85+Data!R85+Data!S85+Data!D86+Data!E86+Data!F86+Data!G86+Data!H86+Data!I86+Data!J86+Data!K86+Data!L86+Data!M86+Data!N86+Data!O86+Data!P86+Data!Q86+Data!R86+Data!S86+Data!D87+Data!E87+Data!F87+Data!G87+Data!H87+Data!I87+Data!J87+Data!K87+Data!L87+Data!M87+Data!N87+Data!O87+Data!P87+Data!Q87+Data!R87+Data!S87+Data!D88+Data!E88+Data!F88+Data!G88+Data!H88+Data!I88+Data!J88+Data!K88+Data!L88+Data!M88+Data!N88+Data!O88+Data!P88+Data!Q88+Data!R88+Data!S88+Data!D89+Data!E89+Data!F89+Data!G89+Data!H89+Data!I89+Data!J89+Data!K89+Data!L89+Data!M89+Data!N89+Data!O89+Data!P89+Data!Q89+Data!R89+Data!S89</f>
        <v>14340719</v>
      </c>
      <c r="D89" s="16" t="n">
        <f aca="false">Data!D78+Data!E78+Data!G78+Data!H78+Data!I78+Data!J78+Data!K78+Data!L78+Data!M78+Data!D79+Data!E79+Data!G79+Data!H79+Data!I79+Data!J79+Data!K79+Data!L79+Data!M79+Data!D80+Data!E80+Data!G80+Data!H80+Data!I80+Data!J80+Data!K80+Data!L80+Data!M80+Data!D81+Data!E81+Data!G81+Data!H81+Data!I81+Data!J81+Data!K81+Data!L81+Data!M81+Data!D82+Data!E82+Data!G82+Data!H82+Data!I82+Data!J82+Data!K82+Data!L82+Data!M82+Data!D83+Data!E83+Data!G83+Data!H83+Data!I83+Data!J83+Data!K83+Data!L83+Data!M83+Data!D84+Data!E84+Data!G84+Data!H84+Data!I84+Data!J84+Data!K84+Data!L84+Data!M84+Data!D85+Data!E85+Data!G85+Data!H85+Data!I85+Data!J85+Data!K85+Data!L85+Data!M85+Data!D86+Data!E86+Data!G86+Data!H86+Data!I86+Data!J86+Data!K86+Data!L86+Data!M86+Data!D87+Data!E87+Data!G87+Data!H87+Data!I87+Data!J87+Data!K87+Data!L87+Data!M87+Data!D88+Data!E88+Data!G88+Data!H88+Data!I88+Data!J88+Data!K88+Data!L88+Data!M88+Data!D89+Data!E89+Data!G89+Data!H89+Data!I89+Data!J89+Data!K89+Data!L89+Data!M89</f>
        <v>8654512</v>
      </c>
      <c r="E89" s="16" t="n">
        <f aca="false">Data!D78+Data!D79+Data!D80+Data!D81+Data!D82+Data!D83+Data!D84+Data!D85+Data!D86+Data!D87+Data!D88+Data!D89</f>
        <v>2493688</v>
      </c>
      <c r="F89" s="16" t="n">
        <f aca="false">Data!E78+Data!E79+Data!E80+Data!E81+Data!E82+Data!E83+Data!E84+Data!E85+Data!E86+Data!E87+Data!E88+Data!E89</f>
        <v>1580688</v>
      </c>
      <c r="G89" s="16" t="n">
        <f aca="false">Data!K78+Data!K79+Data!K80+Data!K81+Data!K82+Data!K83+Data!K84+Data!K85+Data!K86+Data!K87+Data!K88+Data!K89</f>
        <v>1440012</v>
      </c>
      <c r="H89" s="16" t="n">
        <f aca="false">Data!L78+Data!L79+Data!L80+Data!L81+Data!L82+Data!L83+Data!L84+Data!L85+Data!L86+Data!L87+Data!L88+Data!L89</f>
        <v>500141</v>
      </c>
      <c r="I89" s="16" t="n">
        <f aca="false">Data!G78+Data!G79+Data!G80+Data!G81+Data!G82+Data!G83+Data!G84+Data!G85+Data!G86+Data!G87+Data!G88+Data!G89</f>
        <v>1246345</v>
      </c>
      <c r="J89" s="16" t="n">
        <f aca="false">Data!H78+Data!I78+Data!J78+Data!M78+Data!H79+Data!I79+Data!J79+Data!M79+Data!H80+Data!I80+Data!J80+Data!M80+Data!H81+Data!I81+Data!J81+Data!M81+Data!H82+Data!I82+Data!J82+Data!M82+Data!H83+Data!I83+Data!J83+Data!M83+Data!H84+Data!I84+Data!J84+Data!M84+Data!H85+Data!I85+Data!J85+Data!M85+Data!H86+Data!I86+Data!J86+Data!M86+Data!H87+Data!I87+Data!J87+Data!M87+Data!H88+Data!I88+Data!J88+Data!M88+Data!H89+Data!I89+Data!J89+Data!M89</f>
        <v>1393638</v>
      </c>
      <c r="K89" s="16" t="n">
        <f aca="false">Data!F78+Data!F79+Data!F80+Data!F81+Data!F82+Data!F83+Data!F84+Data!F85+Data!F86+Data!F87+Data!F88+Data!F89</f>
        <v>4055153</v>
      </c>
      <c r="L89" s="16" t="n">
        <f aca="false">Data!N78+Data!O78+Data!P78+Data!Q78+Data!R78+Data!S78+Data!N79+Data!O79+Data!P79+Data!Q79+Data!R79+Data!S79+Data!N80+Data!O80+Data!P80+Data!Q80+Data!R80+Data!S80+Data!N81+Data!O81+Data!P81+Data!Q81+Data!R81+Data!S81+Data!N82+Data!O82+Data!P82+Data!Q82+Data!R82+Data!S82+Data!N83+Data!O83+Data!P83+Data!Q83+Data!R83+Data!S83+Data!N84+Data!O84+Data!P84+Data!Q84+Data!R84+Data!S84+Data!N85+Data!O85+Data!P85+Data!Q85+Data!R85+Data!S85+Data!N86+Data!O86+Data!P86+Data!Q86+Data!R86+Data!S86+Data!N87+Data!O87+Data!P87+Data!Q87+Data!R87+Data!S87+Data!N88+Data!O88+Data!P88+Data!Q88+Data!R88+Data!S88+Data!N89+Data!O89+Data!P89+Data!Q89+Data!R89+Data!S89</f>
        <v>1631054</v>
      </c>
      <c r="M89" s="15" t="n">
        <f aca="false">Data!T78+Data!U78+Data!V78+Data!W78+Data!X78+Data!Y78+Data!Z78+Data!AA78+Data!AB78+Data!AC78+Data!AD78+Data!AE78+Data!AF78+Data!AG78+Data!AH78+Data!AI78+Data!AJ78+Data!AK78+Data!AL78+Data!T79+Data!U79+Data!V79+Data!W79+Data!X79+Data!Y79+Data!Z79+Data!AA79+Data!AB79+Data!AC79+Data!AD79+Data!AE79+Data!AF79+Data!AG79+Data!AH79+Data!AI79+Data!AJ79+Data!AK79+Data!AL79+Data!T80+Data!U80+Data!V80+Data!W80+Data!X80+Data!Y80+Data!Z80+Data!AA80+Data!AB80+Data!AC80+Data!AD80+Data!AE80+Data!AF80+Data!AG80+Data!AH80+Data!AI80+Data!AJ80+Data!AK80+Data!AL80+Data!T81+Data!U81+Data!V81+Data!W81+Data!X81+Data!Y81+Data!Z81+Data!AA81+Data!AB81+Data!AC81+Data!AD81+Data!AE81+Data!AF81+Data!AG81+Data!AH81+Data!AI81+Data!AJ81+Data!AK81+Data!AL81+Data!T82+Data!U82+Data!V82+Data!W82+Data!X82+Data!Y82+Data!Z82+Data!AA82+Data!AB82+Data!AC82+Data!AD82+Data!AE82+Data!AF82+Data!AG82+Data!AH82+Data!AI82+Data!AJ82+Data!AK82+Data!AL82+Data!T83+Data!U83+Data!V83+Data!W83+Data!X83+Data!Y83+Data!Z83+Data!AA83+Data!AB83+Data!AC83+Data!AD83+Data!AE83+Data!AF83+Data!AG83+Data!AH83+Data!AI83+Data!AJ83+Data!AK83+Data!AL83+Data!T84+Data!U84+Data!V84+Data!W84+Data!X84+Data!Y84+Data!Z84+Data!AA84+Data!AB84+Data!AC84+Data!AD84+Data!AE84+Data!AF84+Data!AG84+Data!AH84+Data!AI84+Data!AJ84+Data!AK84+Data!AL84+Data!T85+Data!U85+Data!V85+Data!W85+Data!X85+Data!Y85+Data!Z85+Data!AA85+Data!AB85+Data!AC85+Data!AD85+Data!AE85+Data!AF85+Data!AG85+Data!AH85+Data!AI85+Data!AJ85+Data!AK85+Data!AL85+Data!T86+Data!U86+Data!V86+Data!W86+Data!X86+Data!Y86+Data!Z86+Data!AA86+Data!AB86+Data!AC86+Data!AD86+Data!AE86+Data!AF86+Data!AG86+Data!AH86+Data!AI86+Data!AJ86+Data!AK86+Data!AL86+Data!T87+Data!U87+Data!V87+Data!W87+Data!X87+Data!Y87+Data!Z87+Data!AA87+Data!AB87+Data!AC87+Data!AD87+Data!AE87+Data!AF87+Data!AG87+Data!AH87+Data!AI87+Data!AJ87+Data!AK87+Data!AL87+Data!T88+Data!U88+Data!V88+Data!W88+Data!X88+Data!Y88+Data!Z88+Data!AA88+Data!AB88+Data!AC88+Data!AD88+Data!AE88+Data!AF88+Data!AG88+Data!AH88+Data!AI88+Data!AJ88+Data!AK88+Data!AL88+Data!T89+Data!U89+Data!V89+Data!W89+Data!X89+Data!Y89+Data!Z89+Data!AA89+Data!AB89+Data!AC89+Data!AD89+Data!AE89+Data!AF89+Data!AG89+Data!AH89+Data!AI89+Data!AJ89+Data!AK89+Data!AL89</f>
        <v>16055298</v>
      </c>
      <c r="N89" s="16" t="n">
        <f aca="false">Data!T78+Data!U78+Data!V78+Data!W78+Data!T79+Data!U79+Data!V79+Data!W79+Data!T80+Data!U80+Data!V80+Data!W80+Data!T81+Data!U81+Data!V81+Data!W81+Data!T82+Data!U82+Data!V82+Data!W82+Data!T83+Data!U83+Data!V83+Data!W83+Data!T84+Data!U84+Data!V84+Data!W84+Data!T85+Data!U85+Data!V85+Data!W85+Data!T86+Data!U86+Data!V86+Data!W86+Data!T87+Data!U87+Data!V87+Data!W87+Data!T88+Data!U88+Data!V88+Data!W88+Data!T89+Data!U89+Data!V89+Data!W89</f>
        <v>7432439</v>
      </c>
      <c r="O89" s="16" t="n">
        <f aca="false">Data!T78+Data!T79+Data!T80+Data!T81+Data!T82+Data!T83+Data!T84+Data!T85+Data!T86+Data!T87+Data!T88+Data!T89</f>
        <v>5349869</v>
      </c>
      <c r="P89" s="16" t="n">
        <f aca="false">Data!U78+Data!U79+Data!U80+Data!U81+Data!U82+Data!U83+Data!U84+Data!U85+Data!U86+Data!U87+Data!U88+Data!U89</f>
        <v>939754</v>
      </c>
      <c r="Q89" s="16" t="n">
        <f aca="false">Data!V78+Data!V79+Data!V80+Data!V81+Data!V82+Data!V83+Data!V84+Data!V85+Data!V86+Data!V87+Data!V88+Data!V89</f>
        <v>568634</v>
      </c>
      <c r="R89" s="16" t="n">
        <f aca="false">Data!W78+Data!W79+Data!W80+Data!W81+Data!W82+Data!W83+Data!W84+Data!W85+Data!W86+Data!W87+Data!W88+Data!W89</f>
        <v>574182</v>
      </c>
      <c r="S89" s="16" t="n">
        <f aca="false">Data!X78+Data!X79+Data!X80+Data!X81+Data!X82+Data!X83+Data!X84+Data!X85+Data!X86+Data!X87+Data!X88+Data!X89</f>
        <v>1402094</v>
      </c>
      <c r="T89" s="16" t="n">
        <f aca="false">Data!Y78+Data!Z78+Data!AA78+Data!Y79+Data!Z79+Data!AA79+Data!Y80+Data!Z80+Data!AA80+Data!Y81+Data!Z81+Data!AA81+Data!Y82+Data!Z82+Data!AA82+Data!Y83+Data!Z83+Data!AA83+Data!Y84+Data!Z84+Data!AA84+Data!Y85+Data!Z85+Data!AA85+Data!Y86+Data!Z86+Data!AA86+Data!Y87+Data!Z87+Data!AA87+Data!Y88+Data!Z88+Data!AA88+Data!Y89+Data!Z89+Data!AA89</f>
        <v>2184314</v>
      </c>
      <c r="U89" s="16" t="n">
        <f aca="false">Data!Y78+Data!Y79+Data!Y80+Data!Y81+Data!Y82+Data!Y83+Data!Y84+Data!Y85+Data!Y86+Data!Y87+Data!Y88+Data!Y89</f>
        <v>1726649</v>
      </c>
      <c r="V89" s="16" t="n">
        <f aca="false">Data!Z78+Data!Z79+Data!Z80+Data!Z81+Data!Z82+Data!Z83+Data!Z84+Data!Z85+Data!Z86+Data!Z87+Data!Z88+Data!Z89</f>
        <v>431716</v>
      </c>
      <c r="W89" s="16" t="n">
        <f aca="false">Data!AB78+Data!AB79+Data!AB80+Data!AB81+Data!AB82+Data!AB83+Data!AB84+Data!AB85+Data!AB86+Data!AB87+Data!AB88+Data!AB89</f>
        <v>1842228</v>
      </c>
      <c r="X89" s="16" t="n">
        <f aca="false">Data!AC78+Data!AC79+Data!AC80+Data!AC81+Data!AC82+Data!AC83+Data!AC84+Data!AC85+Data!AC86+Data!AC87+Data!AC88+Data!AC89</f>
        <v>583814</v>
      </c>
      <c r="Y89" s="16" t="n">
        <f aca="false">Data!AD78+Data!AE78+Data!AF78+Data!AG78+Data!AH78+Data!AD79+Data!AE79+Data!AF79+Data!AG79+Data!AH79+Data!AD80+Data!AE80+Data!AF80+Data!AG80+Data!AH80+Data!AD81+Data!AE81+Data!AF81+Data!AG81+Data!AH81+Data!AD82+Data!AE82+Data!AF82+Data!AG82+Data!AH82+Data!AD83+Data!AE83+Data!AF83+Data!AG83+Data!AH83+Data!AD84+Data!AE84+Data!AF84+Data!AG84+Data!AH84+Data!AD85+Data!AE85+Data!AF85+Data!AG85+Data!AH85+Data!AD86+Data!AE86+Data!AF86+Data!AG86+Data!AH86+Data!AD87+Data!AE87+Data!AF87+Data!AG87+Data!AH87+Data!AD88+Data!AE88+Data!AF88+Data!AG88+Data!AH88+Data!AD89+Data!AE89+Data!AF89+Data!AG89+Data!AH89</f>
        <v>540266</v>
      </c>
      <c r="Z89" s="16" t="n">
        <f aca="false">Data!AI78+Data!AI79+Data!AI80+Data!AI81+Data!AI82+Data!AI83+Data!AI84+Data!AI85+Data!AI86+Data!AI87+Data!AI88+Data!AI89</f>
        <v>474347</v>
      </c>
      <c r="AA89" s="16" t="n">
        <f aca="false">Data!AJ78+Data!AJ79+Data!AJ80+Data!AJ81+Data!AJ82+Data!AJ83+Data!AJ84+Data!AJ85+Data!AJ86+Data!AJ87+Data!AJ88+Data!AJ89</f>
        <v>0</v>
      </c>
      <c r="AB89" s="16" t="n">
        <f aca="false">Data!AK78+Data!AK79+Data!AK80+Data!AK81+Data!AK82+Data!AK83+Data!AK84+Data!AK85+Data!AK86+Data!AK87+Data!AK88+Data!AK89</f>
        <v>322447</v>
      </c>
      <c r="AC89" s="16" t="n">
        <f aca="false">Data!AL78+Data!AL79+Data!AL80+Data!AL81+Data!AL82+Data!AL83+Data!AL84+Data!AL85+Data!AL86+Data!AL87+Data!AL88+Data!AL89</f>
        <v>1273349</v>
      </c>
      <c r="AD89" s="15" t="n">
        <f aca="false">Data!AM78+Data!AM79+Data!AM80+Data!AM81+Data!AM82+Data!AM83+Data!AM84+Data!AM85+Data!AM86+Data!AM87+Data!AM88+Data!AM89</f>
        <v>-1714579</v>
      </c>
      <c r="AE89" s="16" t="n">
        <f aca="false">Data!AN78+Data!AN79+Data!AN80+Data!AN81+Data!AN82+Data!AN83+Data!AN84+Data!AN85+Data!AN86+Data!AN87+Data!AN88+Data!AN89</f>
        <v>1265072</v>
      </c>
      <c r="AF89" s="15" t="n">
        <f aca="false">Data!AO78+Data!AO79+Data!AO80+Data!AO81+Data!AO82+Data!AO83+Data!AO84+Data!AO85+Data!AO86+Data!AO87+Data!AO88+Data!AO89</f>
        <v>-2979651</v>
      </c>
    </row>
    <row r="90" customFormat="false" ht="15" hidden="false" customHeight="false" outlineLevel="0" collapsed="false">
      <c r="B90" s="14" t="str">
        <f aca="false">Data!B90</f>
        <v>2022-12</v>
      </c>
      <c r="C90" s="15" t="n">
        <f aca="false">Data!D79+Data!E79+Data!F79+Data!G79+Data!H79+Data!I79+Data!J79+Data!K79+Data!L79+Data!M79+Data!N79+Data!O79+Data!P79+Data!Q79+Data!R79+Data!S79+Data!D80+Data!E80+Data!F80+Data!G80+Data!H80+Data!I80+Data!J80+Data!K80+Data!L80+Data!M80+Data!N80+Data!O80+Data!P80+Data!Q80+Data!R80+Data!S80+Data!D81+Data!E81+Data!F81+Data!G81+Data!H81+Data!I81+Data!J81+Data!K81+Data!L81+Data!M81+Data!N81+Data!O81+Data!P81+Data!Q81+Data!R81+Data!S81+Data!D82+Data!E82+Data!F82+Data!G82+Data!H82+Data!I82+Data!J82+Data!K82+Data!L82+Data!M82+Data!N82+Data!O82+Data!P82+Data!Q82+Data!R82+Data!S82+Data!D83+Data!E83+Data!F83+Data!G83+Data!H83+Data!I83+Data!J83+Data!K83+Data!L83+Data!M83+Data!N83+Data!O83+Data!P83+Data!Q83+Data!R83+Data!S83+Data!D84+Data!E84+Data!F84+Data!G84+Data!H84+Data!I84+Data!J84+Data!K84+Data!L84+Data!M84+Data!N84+Data!O84+Data!P84+Data!Q84+Data!R84+Data!S84+Data!D85+Data!E85+Data!F85+Data!G85+Data!H85+Data!I85+Data!J85+Data!K85+Data!L85+Data!M85+Data!N85+Data!O85+Data!P85+Data!Q85+Data!R85+Data!S85+Data!D86+Data!E86+Data!F86+Data!G86+Data!H86+Data!I86+Data!J86+Data!K86+Data!L86+Data!M86+Data!N86+Data!O86+Data!P86+Data!Q86+Data!R86+Data!S86+Data!D87+Data!E87+Data!F87+Data!G87+Data!H87+Data!I87+Data!J87+Data!K87+Data!L87+Data!M87+Data!N87+Data!O87+Data!P87+Data!Q87+Data!R87+Data!S87+Data!D88+Data!E88+Data!F88+Data!G88+Data!H88+Data!I88+Data!J88+Data!K88+Data!L88+Data!M88+Data!N88+Data!O88+Data!P88+Data!Q88+Data!R88+Data!S88+Data!D89+Data!E89+Data!F89+Data!G89+Data!H89+Data!I89+Data!J89+Data!K89+Data!L89+Data!M89+Data!N89+Data!O89+Data!P89+Data!Q89+Data!R89+Data!S89+Data!D90+Data!E90+Data!F90+Data!G90+Data!H90+Data!I90+Data!J90+Data!K90+Data!L90+Data!M90+Data!N90+Data!O90+Data!P90+Data!Q90+Data!R90+Data!S90</f>
        <v>15149628</v>
      </c>
      <c r="D90" s="16" t="n">
        <f aca="false">Data!D79+Data!E79+Data!G79+Data!H79+Data!I79+Data!J79+Data!K79+Data!L79+Data!M79+Data!D80+Data!E80+Data!G80+Data!H80+Data!I80+Data!J80+Data!K80+Data!L80+Data!M80+Data!D81+Data!E81+Data!G81+Data!H81+Data!I81+Data!J81+Data!K81+Data!L81+Data!M81+Data!D82+Data!E82+Data!G82+Data!H82+Data!I82+Data!J82+Data!K82+Data!L82+Data!M82+Data!D83+Data!E83+Data!G83+Data!H83+Data!I83+Data!J83+Data!K83+Data!L83+Data!M83+Data!D84+Data!E84+Data!G84+Data!H84+Data!I84+Data!J84+Data!K84+Data!L84+Data!M84+Data!D85+Data!E85+Data!G85+Data!H85+Data!I85+Data!J85+Data!K85+Data!L85+Data!M85+Data!D86+Data!E86+Data!G86+Data!H86+Data!I86+Data!J86+Data!K86+Data!L86+Data!M86+Data!D87+Data!E87+Data!G87+Data!H87+Data!I87+Data!J87+Data!K87+Data!L87+Data!M87+Data!D88+Data!E88+Data!G88+Data!H88+Data!I88+Data!J88+Data!K88+Data!L88+Data!M88+Data!D89+Data!E89+Data!G89+Data!H89+Data!I89+Data!J89+Data!K89+Data!L89+Data!M89+Data!D90+Data!E90+Data!G90+Data!H90+Data!I90+Data!J90+Data!K90+Data!L90+Data!M90</f>
        <v>9152137</v>
      </c>
      <c r="E90" s="16" t="n">
        <f aca="false">Data!D79+Data!D80+Data!D81+Data!D82+Data!D83+Data!D84+Data!D85+Data!D86+Data!D87+Data!D88+Data!D89+Data!D90</f>
        <v>2634872</v>
      </c>
      <c r="F90" s="16" t="n">
        <f aca="false">Data!E79+Data!E80+Data!E81+Data!E82+Data!E83+Data!E84+Data!E85+Data!E86+Data!E87+Data!E88+Data!E89+Data!E90</f>
        <v>1696305</v>
      </c>
      <c r="G90" s="16" t="n">
        <f aca="false">Data!K79+Data!K80+Data!K81+Data!K82+Data!K83+Data!K84+Data!K85+Data!K86+Data!K87+Data!K88+Data!K89+Data!K90</f>
        <v>1518048</v>
      </c>
      <c r="H90" s="16" t="n">
        <f aca="false">Data!L79+Data!L80+Data!L81+Data!L82+Data!L83+Data!L84+Data!L85+Data!L86+Data!L87+Data!L88+Data!L89+Data!L90</f>
        <v>520726</v>
      </c>
      <c r="I90" s="16" t="n">
        <f aca="false">Data!G79+Data!G80+Data!G81+Data!G82+Data!G83+Data!G84+Data!G85+Data!G86+Data!G87+Data!G88+Data!G89+Data!G90</f>
        <v>1317857</v>
      </c>
      <c r="J90" s="16" t="n">
        <f aca="false">Data!H79+Data!I79+Data!J79+Data!M79+Data!H80+Data!I80+Data!J80+Data!M80+Data!H81+Data!I81+Data!J81+Data!M81+Data!H82+Data!I82+Data!J82+Data!M82+Data!H83+Data!I83+Data!J83+Data!M83+Data!H84+Data!I84+Data!J84+Data!M84+Data!H85+Data!I85+Data!J85+Data!M85+Data!H86+Data!I86+Data!J86+Data!M86+Data!H87+Data!I87+Data!J87+Data!M87+Data!H88+Data!I88+Data!J88+Data!M88+Data!H89+Data!I89+Data!J89+Data!M89+Data!H90+Data!I90+Data!J90+Data!M90</f>
        <v>1464329</v>
      </c>
      <c r="K90" s="16" t="n">
        <f aca="false">Data!F79+Data!F80+Data!F81+Data!F82+Data!F83+Data!F84+Data!F85+Data!F86+Data!F87+Data!F88+Data!F89+Data!F90</f>
        <v>4274214</v>
      </c>
      <c r="L90" s="16" t="n">
        <f aca="false">Data!N79+Data!O79+Data!P79+Data!Q79+Data!R79+Data!S79+Data!N80+Data!O80+Data!P80+Data!Q80+Data!R80+Data!S80+Data!N81+Data!O81+Data!P81+Data!Q81+Data!R81+Data!S81+Data!N82+Data!O82+Data!P82+Data!Q82+Data!R82+Data!S82+Data!N83+Data!O83+Data!P83+Data!Q83+Data!R83+Data!S83+Data!N84+Data!O84+Data!P84+Data!Q84+Data!R84+Data!S84+Data!N85+Data!O85+Data!P85+Data!Q85+Data!R85+Data!S85+Data!N86+Data!O86+Data!P86+Data!Q86+Data!R86+Data!S86+Data!N87+Data!O87+Data!P87+Data!Q87+Data!R87+Data!S87+Data!N88+Data!O88+Data!P88+Data!Q88+Data!R88+Data!S88+Data!N89+Data!O89+Data!P89+Data!Q89+Data!R89+Data!S89+Data!N90+Data!O90+Data!P90+Data!Q90+Data!R90+Data!S90</f>
        <v>1723277</v>
      </c>
      <c r="M90" s="15" t="n">
        <f aca="false">Data!T79+Data!U79+Data!V79+Data!W79+Data!X79+Data!Y79+Data!Z79+Data!AA79+Data!AB79+Data!AC79+Data!AD79+Data!AE79+Data!AF79+Data!AG79+Data!AH79+Data!AI79+Data!AJ79+Data!AK79+Data!AL79+Data!T80+Data!U80+Data!V80+Data!W80+Data!X80+Data!Y80+Data!Z80+Data!AA80+Data!AB80+Data!AC80+Data!AD80+Data!AE80+Data!AF80+Data!AG80+Data!AH80+Data!AI80+Data!AJ80+Data!AK80+Data!AL80+Data!T81+Data!U81+Data!V81+Data!W81+Data!X81+Data!Y81+Data!Z81+Data!AA81+Data!AB81+Data!AC81+Data!AD81+Data!AE81+Data!AF81+Data!AG81+Data!AH81+Data!AI81+Data!AJ81+Data!AK81+Data!AL81+Data!T82+Data!U82+Data!V82+Data!W82+Data!X82+Data!Y82+Data!Z82+Data!AA82+Data!AB82+Data!AC82+Data!AD82+Data!AE82+Data!AF82+Data!AG82+Data!AH82+Data!AI82+Data!AJ82+Data!AK82+Data!AL82+Data!T83+Data!U83+Data!V83+Data!W83+Data!X83+Data!Y83+Data!Z83+Data!AA83+Data!AB83+Data!AC83+Data!AD83+Data!AE83+Data!AF83+Data!AG83+Data!AH83+Data!AI83+Data!AJ83+Data!AK83+Data!AL83+Data!T84+Data!U84+Data!V84+Data!W84+Data!X84+Data!Y84+Data!Z84+Data!AA84+Data!AB84+Data!AC84+Data!AD84+Data!AE84+Data!AF84+Data!AG84+Data!AH84+Data!AI84+Data!AJ84+Data!AK84+Data!AL84+Data!T85+Data!U85+Data!V85+Data!W85+Data!X85+Data!Y85+Data!Z85+Data!AA85+Data!AB85+Data!AC85+Data!AD85+Data!AE85+Data!AF85+Data!AG85+Data!AH85+Data!AI85+Data!AJ85+Data!AK85+Data!AL85+Data!T86+Data!U86+Data!V86+Data!W86+Data!X86+Data!Y86+Data!Z86+Data!AA86+Data!AB86+Data!AC86+Data!AD86+Data!AE86+Data!AF86+Data!AG86+Data!AH86+Data!AI86+Data!AJ86+Data!AK86+Data!AL86+Data!T87+Data!U87+Data!V87+Data!W87+Data!X87+Data!Y87+Data!Z87+Data!AA87+Data!AB87+Data!AC87+Data!AD87+Data!AE87+Data!AF87+Data!AG87+Data!AH87+Data!AI87+Data!AJ87+Data!AK87+Data!AL87+Data!T88+Data!U88+Data!V88+Data!W88+Data!X88+Data!Y88+Data!Z88+Data!AA88+Data!AB88+Data!AC88+Data!AD88+Data!AE88+Data!AF88+Data!AG88+Data!AH88+Data!AI88+Data!AJ88+Data!AK88+Data!AL88+Data!T89+Data!U89+Data!V89+Data!W89+Data!X89+Data!Y89+Data!Z89+Data!AA89+Data!AB89+Data!AC89+Data!AD89+Data!AE89+Data!AF89+Data!AG89+Data!AH89+Data!AI89+Data!AJ89+Data!AK89+Data!AL89+Data!T90+Data!U90+Data!V90+Data!W90+Data!X90+Data!Y90+Data!Z90+Data!AA90+Data!AB90+Data!AC90+Data!AD90+Data!AE90+Data!AF90+Data!AG90+Data!AH90+Data!AI90+Data!AJ90+Data!AK90+Data!AL90</f>
        <v>16809375</v>
      </c>
      <c r="N90" s="16" t="n">
        <f aca="false">Data!T79+Data!U79+Data!V79+Data!W79+Data!T80+Data!U80+Data!V80+Data!W80+Data!T81+Data!U81+Data!V81+Data!W81+Data!T82+Data!U82+Data!V82+Data!W82+Data!T83+Data!U83+Data!V83+Data!W83+Data!T84+Data!U84+Data!V84+Data!W84+Data!T85+Data!U85+Data!V85+Data!W85+Data!T86+Data!U86+Data!V86+Data!W86+Data!T87+Data!U87+Data!V87+Data!W87+Data!T88+Data!U88+Data!V88+Data!W88+Data!T89+Data!U89+Data!V89+Data!W89+Data!T90+Data!U90+Data!V90+Data!W90</f>
        <v>7874955</v>
      </c>
      <c r="O90" s="16" t="n">
        <f aca="false">Data!T79+Data!T80+Data!T81+Data!T82+Data!T83+Data!T84+Data!T85+Data!T86+Data!T87+Data!T88+Data!T89+Data!T90</f>
        <v>5690234</v>
      </c>
      <c r="P90" s="16" t="n">
        <f aca="false">Data!U79+Data!U80+Data!U81+Data!U82+Data!U83+Data!U84+Data!U85+Data!U86+Data!U87+Data!U88+Data!U89+Data!U90</f>
        <v>965224</v>
      </c>
      <c r="Q90" s="16" t="n">
        <f aca="false">Data!V79+Data!V80+Data!V81+Data!V82+Data!V83+Data!V84+Data!V85+Data!V86+Data!V87+Data!V88+Data!V89+Data!V90</f>
        <v>597923</v>
      </c>
      <c r="R90" s="16" t="n">
        <f aca="false">Data!W79+Data!W80+Data!W81+Data!W82+Data!W83+Data!W84+Data!W85+Data!W86+Data!W87+Data!W88+Data!W89+Data!W90</f>
        <v>621574</v>
      </c>
      <c r="S90" s="16" t="n">
        <f aca="false">Data!X79+Data!X80+Data!X81+Data!X82+Data!X83+Data!X84+Data!X85+Data!X86+Data!X87+Data!X88+Data!X89+Data!X90</f>
        <v>1476926</v>
      </c>
      <c r="T90" s="16" t="n">
        <f aca="false">Data!Y79+Data!Z79+Data!AA79+Data!Y80+Data!Z80+Data!AA80+Data!Y81+Data!Z81+Data!AA81+Data!Y82+Data!Z82+Data!AA82+Data!Y83+Data!Z83+Data!AA83+Data!Y84+Data!Z84+Data!AA84+Data!Y85+Data!Z85+Data!AA85+Data!Y86+Data!Z86+Data!AA86+Data!Y87+Data!Z87+Data!AA87+Data!Y88+Data!Z88+Data!AA88+Data!Y89+Data!Z89+Data!AA89+Data!Y90+Data!Z90+Data!AA90</f>
        <v>2139431</v>
      </c>
      <c r="U90" s="16" t="n">
        <f aca="false">Data!Y79+Data!Y80+Data!Y81+Data!Y82+Data!Y83+Data!Y84+Data!Y85+Data!Y86+Data!Y87+Data!Y88+Data!Y89+Data!Y90</f>
        <v>1656944</v>
      </c>
      <c r="V90" s="16" t="n">
        <f aca="false">Data!Z79+Data!Z80+Data!Z81+Data!Z82+Data!Z83+Data!Z84+Data!Z85+Data!Z86+Data!Z87+Data!Z88+Data!Z89+Data!Z90</f>
        <v>460270</v>
      </c>
      <c r="W90" s="16" t="n">
        <f aca="false">Data!AB79+Data!AB80+Data!AB81+Data!AB82+Data!AB83+Data!AB84+Data!AB85+Data!AB86+Data!AB87+Data!AB88+Data!AB89+Data!AB90</f>
        <v>1987025</v>
      </c>
      <c r="X90" s="16" t="n">
        <f aca="false">Data!AC79+Data!AC80+Data!AC81+Data!AC82+Data!AC83+Data!AC84+Data!AC85+Data!AC86+Data!AC87+Data!AC88+Data!AC89+Data!AC90</f>
        <v>606019</v>
      </c>
      <c r="Y90" s="16" t="n">
        <f aca="false">Data!AD79+Data!AE79+Data!AF79+Data!AG79+Data!AH79+Data!AD80+Data!AE80+Data!AF80+Data!AG80+Data!AH80+Data!AD81+Data!AE81+Data!AF81+Data!AG81+Data!AH81+Data!AD82+Data!AE82+Data!AF82+Data!AG82+Data!AH82+Data!AD83+Data!AE83+Data!AF83+Data!AG83+Data!AH83+Data!AD84+Data!AE84+Data!AF84+Data!AG84+Data!AH84+Data!AD85+Data!AE85+Data!AF85+Data!AG85+Data!AH85+Data!AD86+Data!AE86+Data!AF86+Data!AG86+Data!AH86+Data!AD87+Data!AE87+Data!AF87+Data!AG87+Data!AH87+Data!AD88+Data!AE88+Data!AF88+Data!AG88+Data!AH88+Data!AD89+Data!AE89+Data!AF89+Data!AG89+Data!AH89+Data!AD90+Data!AE90+Data!AF90+Data!AG90+Data!AH90</f>
        <v>554887</v>
      </c>
      <c r="Z90" s="16" t="n">
        <f aca="false">Data!AI79+Data!AI80+Data!AI81+Data!AI82+Data!AI83+Data!AI84+Data!AI85+Data!AI86+Data!AI87+Data!AI88+Data!AI89+Data!AI90</f>
        <v>514015</v>
      </c>
      <c r="AA90" s="16" t="n">
        <f aca="false">Data!AJ79+Data!AJ80+Data!AJ81+Data!AJ82+Data!AJ83+Data!AJ84+Data!AJ85+Data!AJ86+Data!AJ87+Data!AJ88+Data!AJ89+Data!AJ90</f>
        <v>0</v>
      </c>
      <c r="AB90" s="16" t="n">
        <f aca="false">Data!AK79+Data!AK80+Data!AK81+Data!AK82+Data!AK83+Data!AK84+Data!AK85+Data!AK86+Data!AK87+Data!AK88+Data!AK89+Data!AK90</f>
        <v>323714</v>
      </c>
      <c r="AC90" s="16" t="n">
        <f aca="false">Data!AL79+Data!AL80+Data!AL81+Data!AL82+Data!AL83+Data!AL84+Data!AL85+Data!AL86+Data!AL87+Data!AL88+Data!AL89+Data!AL90</f>
        <v>1332403</v>
      </c>
      <c r="AD90" s="15" t="n">
        <f aca="false">Data!AM79+Data!AM80+Data!AM81+Data!AM82+Data!AM83+Data!AM84+Data!AM85+Data!AM86+Data!AM87+Data!AM88+Data!AM89+Data!AM90</f>
        <v>-1659747</v>
      </c>
      <c r="AE90" s="16" t="n">
        <f aca="false">Data!AN79+Data!AN80+Data!AN81+Data!AN82+Data!AN83+Data!AN84+Data!AN85+Data!AN86+Data!AN87+Data!AN88+Data!AN89+Data!AN90</f>
        <v>1493010</v>
      </c>
      <c r="AF90" s="15" t="n">
        <f aca="false">Data!AO79+Data!AO80+Data!AO81+Data!AO82+Data!AO83+Data!AO84+Data!AO85+Data!AO86+Data!AO87+Data!AO88+Data!AO89+Data!AO90</f>
        <v>-3152757</v>
      </c>
    </row>
    <row r="91" customFormat="false" ht="15" hidden="false" customHeight="false" outlineLevel="0" collapsed="false">
      <c r="B91" s="14" t="str">
        <f aca="false">Data!B91</f>
        <v>2023-01</v>
      </c>
      <c r="C91" s="15" t="n">
        <f aca="false">Data!D80+Data!E80+Data!F80+Data!G80+Data!H80+Data!I80+Data!J80+Data!K80+Data!L80+Data!M80+Data!N80+Data!O80+Data!P80+Data!Q80+Data!R80+Data!S80+Data!D81+Data!E81+Data!F81+Data!G81+Data!H81+Data!I81+Data!J81+Data!K81+Data!L81+Data!M81+Data!N81+Data!O81+Data!P81+Data!Q81+Data!R81+Data!S81+Data!D82+Data!E82+Data!F82+Data!G82+Data!H82+Data!I82+Data!J82+Data!K82+Data!L82+Data!M82+Data!N82+Data!O82+Data!P82+Data!Q82+Data!R82+Data!S82+Data!D83+Data!E83+Data!F83+Data!G83+Data!H83+Data!I83+Data!J83+Data!K83+Data!L83+Data!M83+Data!N83+Data!O83+Data!P83+Data!Q83+Data!R83+Data!S83+Data!D84+Data!E84+Data!F84+Data!G84+Data!H84+Data!I84+Data!J84+Data!K84+Data!L84+Data!M84+Data!N84+Data!O84+Data!P84+Data!Q84+Data!R84+Data!S84+Data!D85+Data!E85+Data!F85+Data!G85+Data!H85+Data!I85+Data!J85+Data!K85+Data!L85+Data!M85+Data!N85+Data!O85+Data!P85+Data!Q85+Data!R85+Data!S85+Data!D86+Data!E86+Data!F86+Data!G86+Data!H86+Data!I86+Data!J86+Data!K86+Data!L86+Data!M86+Data!N86+Data!O86+Data!P86+Data!Q86+Data!R86+Data!S86+Data!D87+Data!E87+Data!F87+Data!G87+Data!H87+Data!I87+Data!J87+Data!K87+Data!L87+Data!M87+Data!N87+Data!O87+Data!P87+Data!Q87+Data!R87+Data!S87+Data!D88+Data!E88+Data!F88+Data!G88+Data!H88+Data!I88+Data!J88+Data!K88+Data!L88+Data!M88+Data!N88+Data!O88+Data!P88+Data!Q88+Data!R88+Data!S88+Data!D89+Data!E89+Data!F89+Data!G89+Data!H89+Data!I89+Data!J89+Data!K89+Data!L89+Data!M89+Data!N89+Data!O89+Data!P89+Data!Q89+Data!R89+Data!S89+Data!D90+Data!E90+Data!F90+Data!G90+Data!H90+Data!I90+Data!J90+Data!K90+Data!L90+Data!M90+Data!N90+Data!O90+Data!P90+Data!Q90+Data!R90+Data!S90+Data!D91+Data!E91+Data!F91+Data!G91+Data!H91+Data!I91+Data!J91+Data!K91+Data!L91+Data!M91+Data!N91+Data!O91+Data!P91+Data!Q91+Data!R91+Data!S91</f>
        <v>15977254</v>
      </c>
      <c r="D91" s="16" t="n">
        <f aca="false">Data!D80+Data!E80+Data!G80+Data!H80+Data!I80+Data!J80+Data!K80+Data!L80+Data!M80+Data!D81+Data!E81+Data!G81+Data!H81+Data!I81+Data!J81+Data!K81+Data!L81+Data!M81+Data!D82+Data!E82+Data!G82+Data!H82+Data!I82+Data!J82+Data!K82+Data!L82+Data!M82+Data!D83+Data!E83+Data!G83+Data!H83+Data!I83+Data!J83+Data!K83+Data!L83+Data!M83+Data!D84+Data!E84+Data!G84+Data!H84+Data!I84+Data!J84+Data!K84+Data!L84+Data!M84+Data!D85+Data!E85+Data!G85+Data!H85+Data!I85+Data!J85+Data!K85+Data!L85+Data!M85+Data!D86+Data!E86+Data!G86+Data!H86+Data!I86+Data!J86+Data!K86+Data!L86+Data!M86+Data!D87+Data!E87+Data!G87+Data!H87+Data!I87+Data!J87+Data!K87+Data!L87+Data!M87+Data!D88+Data!E88+Data!G88+Data!H88+Data!I88+Data!J88+Data!K88+Data!L88+Data!M88+Data!D89+Data!E89+Data!G89+Data!H89+Data!I89+Data!J89+Data!K89+Data!L89+Data!M89+Data!D90+Data!E90+Data!G90+Data!H90+Data!I90+Data!J90+Data!K90+Data!L90+Data!M90+Data!D91+Data!E91+Data!G91+Data!H91+Data!I91+Data!J91+Data!K91+Data!L91+Data!M91</f>
        <v>9589335</v>
      </c>
      <c r="E91" s="16" t="n">
        <f aca="false">Data!D80+Data!D81+Data!D82+Data!D83+Data!D84+Data!D85+Data!D86+Data!D87+Data!D88+Data!D89+Data!D90+Data!D91</f>
        <v>2801899</v>
      </c>
      <c r="F91" s="16" t="n">
        <f aca="false">Data!E80+Data!E81+Data!E82+Data!E83+Data!E84+Data!E85+Data!E86+Data!E87+Data!E88+Data!E89+Data!E90+Data!E91</f>
        <v>1781212</v>
      </c>
      <c r="G91" s="16" t="n">
        <f aca="false">Data!K80+Data!K81+Data!K82+Data!K83+Data!K84+Data!K85+Data!K86+Data!K87+Data!K88+Data!K89+Data!K90+Data!K91</f>
        <v>1545705</v>
      </c>
      <c r="H91" s="16" t="n">
        <f aca="false">Data!L80+Data!L81+Data!L82+Data!L83+Data!L84+Data!L85+Data!L86+Data!L87+Data!L88+Data!L89+Data!L90+Data!L91</f>
        <v>542200</v>
      </c>
      <c r="I91" s="16" t="n">
        <f aca="false">Data!G80+Data!G81+Data!G82+Data!G83+Data!G84+Data!G85+Data!G86+Data!G87+Data!G88+Data!G89+Data!G90+Data!G91</f>
        <v>1393322</v>
      </c>
      <c r="J91" s="16" t="n">
        <f aca="false">Data!H80+Data!I80+Data!J80+Data!M80+Data!H81+Data!I81+Data!J81+Data!M81+Data!H82+Data!I82+Data!J82+Data!M82+Data!H83+Data!I83+Data!J83+Data!M83+Data!H84+Data!I84+Data!J84+Data!M84+Data!H85+Data!I85+Data!J85+Data!M85+Data!H86+Data!I86+Data!J86+Data!M86+Data!H87+Data!I87+Data!J87+Data!M87+Data!H88+Data!I88+Data!J88+Data!M88+Data!H89+Data!I89+Data!J89+Data!M89+Data!H90+Data!I90+Data!J90+Data!M90+Data!H91+Data!I91+Data!J91+Data!M91</f>
        <v>1524997</v>
      </c>
      <c r="K91" s="16" t="n">
        <f aca="false">Data!F80+Data!F81+Data!F82+Data!F83+Data!F84+Data!F85+Data!F86+Data!F87+Data!F88+Data!F89+Data!F90+Data!F91</f>
        <v>4602550</v>
      </c>
      <c r="L91" s="16" t="n">
        <f aca="false">Data!N80+Data!O80+Data!P80+Data!Q80+Data!R80+Data!S80+Data!N81+Data!O81+Data!P81+Data!Q81+Data!R81+Data!S81+Data!N82+Data!O82+Data!P82+Data!Q82+Data!R82+Data!S82+Data!N83+Data!O83+Data!P83+Data!Q83+Data!R83+Data!S83+Data!N84+Data!O84+Data!P84+Data!Q84+Data!R84+Data!S84+Data!N85+Data!O85+Data!P85+Data!Q85+Data!R85+Data!S85+Data!N86+Data!O86+Data!P86+Data!Q86+Data!R86+Data!S86+Data!N87+Data!O87+Data!P87+Data!Q87+Data!R87+Data!S87+Data!N88+Data!O88+Data!P88+Data!Q88+Data!R88+Data!S88+Data!N89+Data!O89+Data!P89+Data!Q89+Data!R89+Data!S89+Data!N90+Data!O90+Data!P90+Data!Q90+Data!R90+Data!S90+Data!N91+Data!O91+Data!P91+Data!Q91+Data!R91+Data!S91</f>
        <v>1785369</v>
      </c>
      <c r="M91" s="15" t="n">
        <f aca="false">Data!T80+Data!U80+Data!V80+Data!W80+Data!X80+Data!Y80+Data!Z80+Data!AA80+Data!AB80+Data!AC80+Data!AD80+Data!AE80+Data!AF80+Data!AG80+Data!AH80+Data!AI80+Data!AJ80+Data!AK80+Data!AL80+Data!T81+Data!U81+Data!V81+Data!W81+Data!X81+Data!Y81+Data!Z81+Data!AA81+Data!AB81+Data!AC81+Data!AD81+Data!AE81+Data!AF81+Data!AG81+Data!AH81+Data!AI81+Data!AJ81+Data!AK81+Data!AL81+Data!T82+Data!U82+Data!V82+Data!W82+Data!X82+Data!Y82+Data!Z82+Data!AA82+Data!AB82+Data!AC82+Data!AD82+Data!AE82+Data!AF82+Data!AG82+Data!AH82+Data!AI82+Data!AJ82+Data!AK82+Data!AL82+Data!T83+Data!U83+Data!V83+Data!W83+Data!X83+Data!Y83+Data!Z83+Data!AA83+Data!AB83+Data!AC83+Data!AD83+Data!AE83+Data!AF83+Data!AG83+Data!AH83+Data!AI83+Data!AJ83+Data!AK83+Data!AL83+Data!T84+Data!U84+Data!V84+Data!W84+Data!X84+Data!Y84+Data!Z84+Data!AA84+Data!AB84+Data!AC84+Data!AD84+Data!AE84+Data!AF84+Data!AG84+Data!AH84+Data!AI84+Data!AJ84+Data!AK84+Data!AL84+Data!T85+Data!U85+Data!V85+Data!W85+Data!X85+Data!Y85+Data!Z85+Data!AA85+Data!AB85+Data!AC85+Data!AD85+Data!AE85+Data!AF85+Data!AG85+Data!AH85+Data!AI85+Data!AJ85+Data!AK85+Data!AL85+Data!T86+Data!U86+Data!V86+Data!W86+Data!X86+Data!Y86+Data!Z86+Data!AA86+Data!AB86+Data!AC86+Data!AD86+Data!AE86+Data!AF86+Data!AG86+Data!AH86+Data!AI86+Data!AJ86+Data!AK86+Data!AL86+Data!T87+Data!U87+Data!V87+Data!W87+Data!X87+Data!Y87+Data!Z87+Data!AA87+Data!AB87+Data!AC87+Data!AD87+Data!AE87+Data!AF87+Data!AG87+Data!AH87+Data!AI87+Data!AJ87+Data!AK87+Data!AL87+Data!T88+Data!U88+Data!V88+Data!W88+Data!X88+Data!Y88+Data!Z88+Data!AA88+Data!AB88+Data!AC88+Data!AD88+Data!AE88+Data!AF88+Data!AG88+Data!AH88+Data!AI88+Data!AJ88+Data!AK88+Data!AL88+Data!T89+Data!U89+Data!V89+Data!W89+Data!X89+Data!Y89+Data!Z89+Data!AA89+Data!AB89+Data!AC89+Data!AD89+Data!AE89+Data!AF89+Data!AG89+Data!AH89+Data!AI89+Data!AJ89+Data!AK89+Data!AL89+Data!T90+Data!U90+Data!V90+Data!W90+Data!X90+Data!Y90+Data!Z90+Data!AA90+Data!AB90+Data!AC90+Data!AD90+Data!AE90+Data!AF90+Data!AG90+Data!AH90+Data!AI90+Data!AJ90+Data!AK90+Data!AL90+Data!T91+Data!U91+Data!V91+Data!W91+Data!X91+Data!Y91+Data!Z91+Data!AA91+Data!AB91+Data!AC91+Data!AD91+Data!AE91+Data!AF91+Data!AG91+Data!AH91+Data!AI91+Data!AJ91+Data!AK91+Data!AL91</f>
        <v>17824241</v>
      </c>
      <c r="N91" s="16" t="n">
        <f aca="false">Data!T80+Data!U80+Data!V80+Data!W80+Data!T81+Data!U81+Data!V81+Data!W81+Data!T82+Data!U82+Data!V82+Data!W82+Data!T83+Data!U83+Data!V83+Data!W83+Data!T84+Data!U84+Data!V84+Data!W84+Data!T85+Data!U85+Data!V85+Data!W85+Data!T86+Data!U86+Data!V86+Data!W86+Data!T87+Data!U87+Data!V87+Data!W87+Data!T88+Data!U88+Data!V88+Data!W88+Data!T89+Data!U89+Data!V89+Data!W89+Data!T90+Data!U90+Data!V90+Data!W90+Data!T91+Data!U91+Data!V91+Data!W91</f>
        <v>8265048</v>
      </c>
      <c r="O91" s="16" t="n">
        <f aca="false">Data!T80+Data!T81+Data!T82+Data!T83+Data!T84+Data!T85+Data!T86+Data!T87+Data!T88+Data!T89+Data!T90+Data!T91</f>
        <v>6001399</v>
      </c>
      <c r="P91" s="16" t="n">
        <f aca="false">Data!U80+Data!U81+Data!U82+Data!U83+Data!U84+Data!U85+Data!U86+Data!U87+Data!U88+Data!U89+Data!U90+Data!U91</f>
        <v>991808</v>
      </c>
      <c r="Q91" s="16" t="n">
        <f aca="false">Data!V80+Data!V81+Data!V82+Data!V83+Data!V84+Data!V85+Data!V86+Data!V87+Data!V88+Data!V89+Data!V90+Data!V91</f>
        <v>615718</v>
      </c>
      <c r="R91" s="16" t="n">
        <f aca="false">Data!W80+Data!W81+Data!W82+Data!W83+Data!W84+Data!W85+Data!W86+Data!W87+Data!W88+Data!W89+Data!W90+Data!W91</f>
        <v>656123</v>
      </c>
      <c r="S91" s="16" t="n">
        <f aca="false">Data!X80+Data!X81+Data!X82+Data!X83+Data!X84+Data!X85+Data!X86+Data!X87+Data!X88+Data!X89+Data!X90+Data!X91</f>
        <v>1638865</v>
      </c>
      <c r="T91" s="16" t="n">
        <f aca="false">Data!Y80+Data!Z80+Data!AA80+Data!Y81+Data!Z81+Data!AA81+Data!Y82+Data!Z82+Data!AA82+Data!Y83+Data!Z83+Data!AA83+Data!Y84+Data!Z84+Data!AA84+Data!Y85+Data!Z85+Data!AA85+Data!Y86+Data!Z86+Data!AA86+Data!Y87+Data!Z87+Data!AA87+Data!Y88+Data!Z88+Data!AA88+Data!Y89+Data!Z89+Data!AA89+Data!Y90+Data!Z90+Data!AA90+Data!Y91+Data!Z91+Data!AA91</f>
        <v>2253357</v>
      </c>
      <c r="U91" s="16" t="n">
        <f aca="false">Data!Y80+Data!Y81+Data!Y82+Data!Y83+Data!Y84+Data!Y85+Data!Y86+Data!Y87+Data!Y88+Data!Y89+Data!Y90+Data!Y91</f>
        <v>1729722</v>
      </c>
      <c r="V91" s="16" t="n">
        <f aca="false">Data!Z80+Data!Z81+Data!Z82+Data!Z83+Data!Z84+Data!Z85+Data!Z86+Data!Z87+Data!Z88+Data!Z89+Data!Z90+Data!Z91</f>
        <v>485859</v>
      </c>
      <c r="W91" s="16" t="n">
        <f aca="false">Data!AB80+Data!AB81+Data!AB82+Data!AB83+Data!AB84+Data!AB85+Data!AB86+Data!AB87+Data!AB88+Data!AB89+Data!AB90+Data!AB91</f>
        <v>2131022</v>
      </c>
      <c r="X91" s="16" t="n">
        <f aca="false">Data!AC80+Data!AC81+Data!AC82+Data!AC83+Data!AC84+Data!AC85+Data!AC86+Data!AC87+Data!AC88+Data!AC89+Data!AC90+Data!AC91</f>
        <v>639655</v>
      </c>
      <c r="Y91" s="16" t="n">
        <f aca="false">Data!AD80+Data!AE80+Data!AF80+Data!AG80+Data!AH80+Data!AD81+Data!AE81+Data!AF81+Data!AG81+Data!AH81+Data!AD82+Data!AE82+Data!AF82+Data!AG82+Data!AH82+Data!AD83+Data!AE83+Data!AF83+Data!AG83+Data!AH83+Data!AD84+Data!AE84+Data!AF84+Data!AG84+Data!AH84+Data!AD85+Data!AE85+Data!AF85+Data!AG85+Data!AH85+Data!AD86+Data!AE86+Data!AF86+Data!AG86+Data!AH86+Data!AD87+Data!AE87+Data!AF87+Data!AG87+Data!AH87+Data!AD88+Data!AE88+Data!AF88+Data!AG88+Data!AH88+Data!AD89+Data!AE89+Data!AF89+Data!AG89+Data!AH89+Data!AD90+Data!AE90+Data!AF90+Data!AG90+Data!AH90+Data!AD91+Data!AE91+Data!AF91+Data!AG91+Data!AH91</f>
        <v>588767</v>
      </c>
      <c r="Z91" s="16" t="n">
        <f aca="false">Data!AI80+Data!AI81+Data!AI82+Data!AI83+Data!AI84+Data!AI85+Data!AI86+Data!AI87+Data!AI88+Data!AI89+Data!AI90+Data!AI91</f>
        <v>546298</v>
      </c>
      <c r="AA91" s="16" t="n">
        <f aca="false">Data!AJ80+Data!AJ81+Data!AJ82+Data!AJ83+Data!AJ84+Data!AJ85+Data!AJ86+Data!AJ87+Data!AJ88+Data!AJ89+Data!AJ90+Data!AJ91</f>
        <v>0</v>
      </c>
      <c r="AB91" s="16" t="n">
        <f aca="false">Data!AK80+Data!AK81+Data!AK82+Data!AK83+Data!AK84+Data!AK85+Data!AK86+Data!AK87+Data!AK88+Data!AK89+Data!AK90+Data!AK91</f>
        <v>335383</v>
      </c>
      <c r="AC91" s="16" t="n">
        <f aca="false">Data!AL80+Data!AL81+Data!AL82+Data!AL83+Data!AL84+Data!AL85+Data!AL86+Data!AL87+Data!AL88+Data!AL89+Data!AL90+Data!AL91</f>
        <v>1425846</v>
      </c>
      <c r="AD91" s="15" t="n">
        <f aca="false">Data!AM80+Data!AM81+Data!AM82+Data!AM83+Data!AM84+Data!AM85+Data!AM86+Data!AM87+Data!AM88+Data!AM89+Data!AM90+Data!AM91</f>
        <v>-1846987</v>
      </c>
      <c r="AE91" s="16" t="n">
        <f aca="false">Data!AN80+Data!AN81+Data!AN82+Data!AN83+Data!AN84+Data!AN85+Data!AN86+Data!AN87+Data!AN88+Data!AN89+Data!AN90+Data!AN91</f>
        <v>1693075</v>
      </c>
      <c r="AF91" s="15" t="n">
        <f aca="false">Data!AO80+Data!AO81+Data!AO82+Data!AO83+Data!AO84+Data!AO85+Data!AO86+Data!AO87+Data!AO88+Data!AO89+Data!AO90+Data!AO91</f>
        <v>-3540063</v>
      </c>
    </row>
    <row r="92" customFormat="false" ht="15" hidden="false" customHeight="false" outlineLevel="0" collapsed="false">
      <c r="B92" s="14" t="str">
        <f aca="false">Data!B92</f>
        <v>2023-02</v>
      </c>
      <c r="C92" s="15" t="n">
        <f aca="false">Data!D81+Data!E81+Data!F81+Data!G81+Data!H81+Data!I81+Data!J81+Data!K81+Data!L81+Data!M81+Data!N81+Data!O81+Data!P81+Data!Q81+Data!R81+Data!S81+Data!D82+Data!E82+Data!F82+Data!G82+Data!H82+Data!I82+Data!J82+Data!K82+Data!L82+Data!M82+Data!N82+Data!O82+Data!P82+Data!Q82+Data!R82+Data!S82+Data!D83+Data!E83+Data!F83+Data!G83+Data!H83+Data!I83+Data!J83+Data!K83+Data!L83+Data!M83+Data!N83+Data!O83+Data!P83+Data!Q83+Data!R83+Data!S83+Data!D84+Data!E84+Data!F84+Data!G84+Data!H84+Data!I84+Data!J84+Data!K84+Data!L84+Data!M84+Data!N84+Data!O84+Data!P84+Data!Q84+Data!R84+Data!S84+Data!D85+Data!E85+Data!F85+Data!G85+Data!H85+Data!I85+Data!J85+Data!K85+Data!L85+Data!M85+Data!N85+Data!O85+Data!P85+Data!Q85+Data!R85+Data!S85+Data!D86+Data!E86+Data!F86+Data!G86+Data!H86+Data!I86+Data!J86+Data!K86+Data!L86+Data!M86+Data!N86+Data!O86+Data!P86+Data!Q86+Data!R86+Data!S86+Data!D87+Data!E87+Data!F87+Data!G87+Data!H87+Data!I87+Data!J87+Data!K87+Data!L87+Data!M87+Data!N87+Data!O87+Data!P87+Data!Q87+Data!R87+Data!S87+Data!D88+Data!E88+Data!F88+Data!G88+Data!H88+Data!I88+Data!J88+Data!K88+Data!L88+Data!M88+Data!N88+Data!O88+Data!P88+Data!Q88+Data!R88+Data!S88+Data!D89+Data!E89+Data!F89+Data!G89+Data!H89+Data!I89+Data!J89+Data!K89+Data!L89+Data!M89+Data!N89+Data!O89+Data!P89+Data!Q89+Data!R89+Data!S89+Data!D90+Data!E90+Data!F90+Data!G90+Data!H90+Data!I90+Data!J90+Data!K90+Data!L90+Data!M90+Data!N90+Data!O90+Data!P90+Data!Q90+Data!R90+Data!S90+Data!D91+Data!E91+Data!F91+Data!G91+Data!H91+Data!I91+Data!J91+Data!K91+Data!L91+Data!M91+Data!N91+Data!O91+Data!P91+Data!Q91+Data!R91+Data!S91+Data!D92+Data!E92+Data!F92+Data!G92+Data!H92+Data!I92+Data!J92+Data!K92+Data!L92+Data!M92+Data!N92+Data!O92+Data!P92+Data!Q92+Data!R92+Data!S92</f>
        <v>16701618</v>
      </c>
      <c r="D92" s="16" t="n">
        <f aca="false">Data!D81+Data!E81+Data!G81+Data!H81+Data!I81+Data!J81+Data!K81+Data!L81+Data!M81+Data!D82+Data!E82+Data!G82+Data!H82+Data!I82+Data!J82+Data!K82+Data!L82+Data!M82+Data!D83+Data!E83+Data!G83+Data!H83+Data!I83+Data!J83+Data!K83+Data!L83+Data!M83+Data!D84+Data!E84+Data!G84+Data!H84+Data!I84+Data!J84+Data!K84+Data!L84+Data!M84+Data!D85+Data!E85+Data!G85+Data!H85+Data!I85+Data!J85+Data!K85+Data!L85+Data!M85+Data!D86+Data!E86+Data!G86+Data!H86+Data!I86+Data!J86+Data!K86+Data!L86+Data!M86+Data!D87+Data!E87+Data!G87+Data!H87+Data!I87+Data!J87+Data!K87+Data!L87+Data!M87+Data!D88+Data!E88+Data!G88+Data!H88+Data!I88+Data!J88+Data!K88+Data!L88+Data!M88+Data!D89+Data!E89+Data!G89+Data!H89+Data!I89+Data!J89+Data!K89+Data!L89+Data!M89+Data!D90+Data!E90+Data!G90+Data!H90+Data!I90+Data!J90+Data!K90+Data!L90+Data!M90+Data!D91+Data!E91+Data!G91+Data!H91+Data!I91+Data!J91+Data!K91+Data!L91+Data!M91+Data!D92+Data!E92+Data!G92+Data!H92+Data!I92+Data!J92+Data!K92+Data!L92+Data!M92</f>
        <v>9938583</v>
      </c>
      <c r="E92" s="16" t="n">
        <f aca="false">Data!D81+Data!D82+Data!D83+Data!D84+Data!D85+Data!D86+Data!D87+Data!D88+Data!D89+Data!D90+Data!D91+Data!D92</f>
        <v>2961325</v>
      </c>
      <c r="F92" s="16" t="n">
        <f aca="false">Data!E81+Data!E82+Data!E83+Data!E84+Data!E85+Data!E86+Data!E87+Data!E88+Data!E89+Data!E90+Data!E91+Data!E92</f>
        <v>1863796</v>
      </c>
      <c r="G92" s="16" t="n">
        <f aca="false">Data!K81+Data!K82+Data!K83+Data!K84+Data!K85+Data!K86+Data!K87+Data!K88+Data!K89+Data!K90+Data!K91+Data!K92</f>
        <v>1503099</v>
      </c>
      <c r="H92" s="16" t="n">
        <f aca="false">Data!L81+Data!L82+Data!L83+Data!L84+Data!L85+Data!L86+Data!L87+Data!L88+Data!L89+Data!L90+Data!L91+Data!L92</f>
        <v>550737</v>
      </c>
      <c r="I92" s="16" t="n">
        <f aca="false">Data!G81+Data!G82+Data!G83+Data!G84+Data!G85+Data!G86+Data!G87+Data!G88+Data!G89+Data!G90+Data!G91+Data!G92</f>
        <v>1468043</v>
      </c>
      <c r="J92" s="16" t="n">
        <f aca="false">Data!H81+Data!I81+Data!J81+Data!M81+Data!H82+Data!I82+Data!J82+Data!M82+Data!H83+Data!I83+Data!J83+Data!M83+Data!H84+Data!I84+Data!J84+Data!M84+Data!H85+Data!I85+Data!J85+Data!M85+Data!H86+Data!I86+Data!J86+Data!M86+Data!H87+Data!I87+Data!J87+Data!M87+Data!H88+Data!I88+Data!J88+Data!M88+Data!H89+Data!I89+Data!J89+Data!M89+Data!H90+Data!I90+Data!J90+Data!M90+Data!H91+Data!I91+Data!J91+Data!M91+Data!H92+Data!I92+Data!J92+Data!M92</f>
        <v>1591583</v>
      </c>
      <c r="K92" s="16" t="n">
        <f aca="false">Data!F81+Data!F82+Data!F83+Data!F84+Data!F85+Data!F86+Data!F87+Data!F88+Data!F89+Data!F90+Data!F91+Data!F92</f>
        <v>4882799</v>
      </c>
      <c r="L92" s="16" t="n">
        <f aca="false">Data!N81+Data!O81+Data!P81+Data!Q81+Data!R81+Data!S81+Data!N82+Data!O82+Data!P82+Data!Q82+Data!R82+Data!S82+Data!N83+Data!O83+Data!P83+Data!Q83+Data!R83+Data!S83+Data!N84+Data!O84+Data!P84+Data!Q84+Data!R84+Data!S84+Data!N85+Data!O85+Data!P85+Data!Q85+Data!R85+Data!S85+Data!N86+Data!O86+Data!P86+Data!Q86+Data!R86+Data!S86+Data!N87+Data!O87+Data!P87+Data!Q87+Data!R87+Data!S87+Data!N88+Data!O88+Data!P88+Data!Q88+Data!R88+Data!S88+Data!N89+Data!O89+Data!P89+Data!Q89+Data!R89+Data!S89+Data!N90+Data!O90+Data!P90+Data!Q90+Data!R90+Data!S90+Data!N91+Data!O91+Data!P91+Data!Q91+Data!R91+Data!S91+Data!N92+Data!O92+Data!P92+Data!Q92+Data!R92+Data!S92</f>
        <v>1880236</v>
      </c>
      <c r="M92" s="15" t="n">
        <f aca="false">Data!T81+Data!U81+Data!V81+Data!W81+Data!X81+Data!Y81+Data!Z81+Data!AA81+Data!AB81+Data!AC81+Data!AD81+Data!AE81+Data!AF81+Data!AG81+Data!AH81+Data!AI81+Data!AJ81+Data!AK81+Data!AL81+Data!T82+Data!U82+Data!V82+Data!W82+Data!X82+Data!Y82+Data!Z82+Data!AA82+Data!AB82+Data!AC82+Data!AD82+Data!AE82+Data!AF82+Data!AG82+Data!AH82+Data!AI82+Data!AJ82+Data!AK82+Data!AL82+Data!T83+Data!U83+Data!V83+Data!W83+Data!X83+Data!Y83+Data!Z83+Data!AA83+Data!AB83+Data!AC83+Data!AD83+Data!AE83+Data!AF83+Data!AG83+Data!AH83+Data!AI83+Data!AJ83+Data!AK83+Data!AL83+Data!T84+Data!U84+Data!V84+Data!W84+Data!X84+Data!Y84+Data!Z84+Data!AA84+Data!AB84+Data!AC84+Data!AD84+Data!AE84+Data!AF84+Data!AG84+Data!AH84+Data!AI84+Data!AJ84+Data!AK84+Data!AL84+Data!T85+Data!U85+Data!V85+Data!W85+Data!X85+Data!Y85+Data!Z85+Data!AA85+Data!AB85+Data!AC85+Data!AD85+Data!AE85+Data!AF85+Data!AG85+Data!AH85+Data!AI85+Data!AJ85+Data!AK85+Data!AL85+Data!T86+Data!U86+Data!V86+Data!W86+Data!X86+Data!Y86+Data!Z86+Data!AA86+Data!AB86+Data!AC86+Data!AD86+Data!AE86+Data!AF86+Data!AG86+Data!AH86+Data!AI86+Data!AJ86+Data!AK86+Data!AL86+Data!T87+Data!U87+Data!V87+Data!W87+Data!X87+Data!Y87+Data!Z87+Data!AA87+Data!AB87+Data!AC87+Data!AD87+Data!AE87+Data!AF87+Data!AG87+Data!AH87+Data!AI87+Data!AJ87+Data!AK87+Data!AL87+Data!T88+Data!U88+Data!V88+Data!W88+Data!X88+Data!Y88+Data!Z88+Data!AA88+Data!AB88+Data!AC88+Data!AD88+Data!AE88+Data!AF88+Data!AG88+Data!AH88+Data!AI88+Data!AJ88+Data!AK88+Data!AL88+Data!T89+Data!U89+Data!V89+Data!W89+Data!X89+Data!Y89+Data!Z89+Data!AA89+Data!AB89+Data!AC89+Data!AD89+Data!AE89+Data!AF89+Data!AG89+Data!AH89+Data!AI89+Data!AJ89+Data!AK89+Data!AL89+Data!T90+Data!U90+Data!V90+Data!W90+Data!X90+Data!Y90+Data!Z90+Data!AA90+Data!AB90+Data!AC90+Data!AD90+Data!AE90+Data!AF90+Data!AG90+Data!AH90+Data!AI90+Data!AJ90+Data!AK90+Data!AL90+Data!T91+Data!U91+Data!V91+Data!W91+Data!X91+Data!Y91+Data!Z91+Data!AA91+Data!AB91+Data!AC91+Data!AD91+Data!AE91+Data!AF91+Data!AG91+Data!AH91+Data!AI91+Data!AJ91+Data!AK91+Data!AL91+Data!T92+Data!U92+Data!V92+Data!W92+Data!X92+Data!Y92+Data!Z92+Data!AA92+Data!AB92+Data!AC92+Data!AD92+Data!AE92+Data!AF92+Data!AG92+Data!AH92+Data!AI92+Data!AJ92+Data!AK92+Data!AL92</f>
        <v>18700456</v>
      </c>
      <c r="N92" s="16" t="n">
        <f aca="false">Data!T81+Data!U81+Data!V81+Data!W81+Data!T82+Data!U82+Data!V82+Data!W82+Data!T83+Data!U83+Data!V83+Data!W83+Data!T84+Data!U84+Data!V84+Data!W84+Data!T85+Data!U85+Data!V85+Data!W85+Data!T86+Data!U86+Data!V86+Data!W86+Data!T87+Data!U87+Data!V87+Data!W87+Data!T88+Data!U88+Data!V88+Data!W88+Data!T89+Data!U89+Data!V89+Data!W89+Data!T90+Data!U90+Data!V90+Data!W90+Data!T91+Data!U91+Data!V91+Data!W91+Data!T92+Data!U92+Data!V92+Data!W92</f>
        <v>8624044</v>
      </c>
      <c r="O92" s="16" t="n">
        <f aca="false">Data!T81+Data!T82+Data!T83+Data!T84+Data!T85+Data!T86+Data!T87+Data!T88+Data!T89+Data!T90+Data!T91+Data!T92</f>
        <v>6275817</v>
      </c>
      <c r="P92" s="16" t="n">
        <f aca="false">Data!U81+Data!U82+Data!U83+Data!U84+Data!U85+Data!U86+Data!U87+Data!U88+Data!U89+Data!U90+Data!U91+Data!U92</f>
        <v>1012234</v>
      </c>
      <c r="Q92" s="16" t="n">
        <f aca="false">Data!V81+Data!V82+Data!V83+Data!V84+Data!V85+Data!V86+Data!V87+Data!V88+Data!V89+Data!V90+Data!V91+Data!V92</f>
        <v>641674</v>
      </c>
      <c r="R92" s="16" t="n">
        <f aca="false">Data!W81+Data!W82+Data!W83+Data!W84+Data!W85+Data!W86+Data!W87+Data!W88+Data!W89+Data!W90+Data!W91+Data!W92</f>
        <v>694319</v>
      </c>
      <c r="S92" s="16" t="n">
        <f aca="false">Data!X81+Data!X82+Data!X83+Data!X84+Data!X85+Data!X86+Data!X87+Data!X88+Data!X89+Data!X90+Data!X91+Data!X92</f>
        <v>1758355</v>
      </c>
      <c r="T92" s="16" t="n">
        <f aca="false">Data!Y81+Data!Z81+Data!AA81+Data!Y82+Data!Z82+Data!AA82+Data!Y83+Data!Z83+Data!AA83+Data!Y84+Data!Z84+Data!AA84+Data!Y85+Data!Z85+Data!AA85+Data!Y86+Data!Z86+Data!AA86+Data!Y87+Data!Z87+Data!AA87+Data!Y88+Data!Z88+Data!AA88+Data!Y89+Data!Z89+Data!AA89+Data!Y90+Data!Z90+Data!AA90+Data!Y91+Data!Z91+Data!AA91+Data!Y92+Data!Z92+Data!AA92</f>
        <v>2328877</v>
      </c>
      <c r="U92" s="16" t="n">
        <f aca="false">Data!Y81+Data!Y82+Data!Y83+Data!Y84+Data!Y85+Data!Y86+Data!Y87+Data!Y88+Data!Y89+Data!Y90+Data!Y91+Data!Y92</f>
        <v>1783369</v>
      </c>
      <c r="V92" s="16" t="n">
        <f aca="false">Data!Z81+Data!Z82+Data!Z83+Data!Z84+Data!Z85+Data!Z86+Data!Z87+Data!Z88+Data!Z89+Data!Z90+Data!Z91+Data!Z92</f>
        <v>507155</v>
      </c>
      <c r="W92" s="16" t="n">
        <f aca="false">Data!AB81+Data!AB82+Data!AB83+Data!AB84+Data!AB85+Data!AB86+Data!AB87+Data!AB88+Data!AB89+Data!AB90+Data!AB91+Data!AB92</f>
        <v>2249614</v>
      </c>
      <c r="X92" s="16" t="n">
        <f aca="false">Data!AC81+Data!AC82+Data!AC83+Data!AC84+Data!AC85+Data!AC86+Data!AC87+Data!AC88+Data!AC89+Data!AC90+Data!AC91+Data!AC92</f>
        <v>663358</v>
      </c>
      <c r="Y92" s="16" t="n">
        <f aca="false">Data!AD81+Data!AE81+Data!AF81+Data!AG81+Data!AH81+Data!AD82+Data!AE82+Data!AF82+Data!AG82+Data!AH82+Data!AD83+Data!AE83+Data!AF83+Data!AG83+Data!AH83+Data!AD84+Data!AE84+Data!AF84+Data!AG84+Data!AH84+Data!AD85+Data!AE85+Data!AF85+Data!AG85+Data!AH85+Data!AD86+Data!AE86+Data!AF86+Data!AG86+Data!AH86+Data!AD87+Data!AE87+Data!AF87+Data!AG87+Data!AH87+Data!AD88+Data!AE88+Data!AF88+Data!AG88+Data!AH88+Data!AD89+Data!AE89+Data!AF89+Data!AG89+Data!AH89+Data!AD90+Data!AE90+Data!AF90+Data!AG90+Data!AH90+Data!AD91+Data!AE91+Data!AF91+Data!AG91+Data!AH91+Data!AD92+Data!AE92+Data!AF92+Data!AG92+Data!AH92</f>
        <v>596356</v>
      </c>
      <c r="Z92" s="16" t="n">
        <f aca="false">Data!AI81+Data!AI82+Data!AI83+Data!AI84+Data!AI85+Data!AI86+Data!AI87+Data!AI88+Data!AI89+Data!AI90+Data!AI91+Data!AI92</f>
        <v>574614</v>
      </c>
      <c r="AA92" s="16" t="n">
        <f aca="false">Data!AJ81+Data!AJ82+Data!AJ83+Data!AJ84+Data!AJ85+Data!AJ86+Data!AJ87+Data!AJ88+Data!AJ89+Data!AJ90+Data!AJ91+Data!AJ92</f>
        <v>0</v>
      </c>
      <c r="AB92" s="16" t="n">
        <f aca="false">Data!AK81+Data!AK82+Data!AK83+Data!AK84+Data!AK85+Data!AK86+Data!AK87+Data!AK88+Data!AK89+Data!AK90+Data!AK91+Data!AK92</f>
        <v>353790</v>
      </c>
      <c r="AC92" s="16" t="n">
        <f aca="false">Data!AL81+Data!AL82+Data!AL83+Data!AL84+Data!AL85+Data!AL86+Data!AL87+Data!AL88+Data!AL89+Data!AL90+Data!AL91+Data!AL92</f>
        <v>1551448</v>
      </c>
      <c r="AD92" s="15" t="n">
        <f aca="false">Data!AM81+Data!AM82+Data!AM83+Data!AM84+Data!AM85+Data!AM86+Data!AM87+Data!AM88+Data!AM89+Data!AM90+Data!AM91+Data!AM92</f>
        <v>-1998838</v>
      </c>
      <c r="AE92" s="16" t="n">
        <f aca="false">Data!AN81+Data!AN82+Data!AN83+Data!AN84+Data!AN85+Data!AN86+Data!AN87+Data!AN88+Data!AN89+Data!AN90+Data!AN91+Data!AN92</f>
        <v>1889917</v>
      </c>
      <c r="AF92" s="15" t="n">
        <f aca="false">Data!AO81+Data!AO82+Data!AO83+Data!AO84+Data!AO85+Data!AO86+Data!AO87+Data!AO88+Data!AO89+Data!AO90+Data!AO91+Data!AO92</f>
        <v>-3888755</v>
      </c>
    </row>
    <row r="93" customFormat="false" ht="15" hidden="false" customHeight="false" outlineLevel="0" collapsed="false">
      <c r="B93" s="14" t="str">
        <f aca="false">Data!B93</f>
        <v>2023-03</v>
      </c>
      <c r="C93" s="15" t="n">
        <f aca="false">Data!D82+Data!E82+Data!F82+Data!G82+Data!H82+Data!I82+Data!J82+Data!K82+Data!L82+Data!M82+Data!N82+Data!O82+Data!P82+Data!Q82+Data!R82+Data!S82+Data!D83+Data!E83+Data!F83+Data!G83+Data!H83+Data!I83+Data!J83+Data!K83+Data!L83+Data!M83+Data!N83+Data!O83+Data!P83+Data!Q83+Data!R83+Data!S83+Data!D84+Data!E84+Data!F84+Data!G84+Data!H84+Data!I84+Data!J84+Data!K84+Data!L84+Data!M84+Data!N84+Data!O84+Data!P84+Data!Q84+Data!R84+Data!S84+Data!D85+Data!E85+Data!F85+Data!G85+Data!H85+Data!I85+Data!J85+Data!K85+Data!L85+Data!M85+Data!N85+Data!O85+Data!P85+Data!Q85+Data!R85+Data!S85+Data!D86+Data!E86+Data!F86+Data!G86+Data!H86+Data!I86+Data!J86+Data!K86+Data!L86+Data!M86+Data!N86+Data!O86+Data!P86+Data!Q86+Data!R86+Data!S86+Data!D87+Data!E87+Data!F87+Data!G87+Data!H87+Data!I87+Data!J87+Data!K87+Data!L87+Data!M87+Data!N87+Data!O87+Data!P87+Data!Q87+Data!R87+Data!S87+Data!D88+Data!E88+Data!F88+Data!G88+Data!H88+Data!I88+Data!J88+Data!K88+Data!L88+Data!M88+Data!N88+Data!O88+Data!P88+Data!Q88+Data!R88+Data!S88+Data!D89+Data!E89+Data!F89+Data!G89+Data!H89+Data!I89+Data!J89+Data!K89+Data!L89+Data!M89+Data!N89+Data!O89+Data!P89+Data!Q89+Data!R89+Data!S89+Data!D90+Data!E90+Data!F90+Data!G90+Data!H90+Data!I90+Data!J90+Data!K90+Data!L90+Data!M90+Data!N90+Data!O90+Data!P90+Data!Q90+Data!R90+Data!S90+Data!D91+Data!E91+Data!F91+Data!G91+Data!H91+Data!I91+Data!J91+Data!K91+Data!L91+Data!M91+Data!N91+Data!O91+Data!P91+Data!Q91+Data!R91+Data!S91+Data!D92+Data!E92+Data!F92+Data!G92+Data!H92+Data!I92+Data!J92+Data!K92+Data!L92+Data!M92+Data!N92+Data!O92+Data!P92+Data!Q92+Data!R92+Data!S92+Data!D93+Data!E93+Data!F93+Data!G93+Data!H93+Data!I93+Data!J93+Data!K93+Data!L93+Data!M93+Data!N93+Data!O93+Data!P93+Data!Q93+Data!R93+Data!S93</f>
        <v>17353683</v>
      </c>
      <c r="D93" s="16" t="n">
        <f aca="false">Data!D82+Data!E82+Data!G82+Data!H82+Data!I82+Data!J82+Data!K82+Data!L82+Data!M82+Data!D83+Data!E83+Data!G83+Data!H83+Data!I83+Data!J83+Data!K83+Data!L83+Data!M83+Data!D84+Data!E84+Data!G84+Data!H84+Data!I84+Data!J84+Data!K84+Data!L84+Data!M84+Data!D85+Data!E85+Data!G85+Data!H85+Data!I85+Data!J85+Data!K85+Data!L85+Data!M85+Data!D86+Data!E86+Data!G86+Data!H86+Data!I86+Data!J86+Data!K86+Data!L86+Data!M86+Data!D87+Data!E87+Data!G87+Data!H87+Data!I87+Data!J87+Data!K87+Data!L87+Data!M87+Data!D88+Data!E88+Data!G88+Data!H88+Data!I88+Data!J88+Data!K88+Data!L88+Data!M88+Data!D89+Data!E89+Data!G89+Data!H89+Data!I89+Data!J89+Data!K89+Data!L89+Data!M89+Data!D90+Data!E90+Data!G90+Data!H90+Data!I90+Data!J90+Data!K90+Data!L90+Data!M90+Data!D91+Data!E91+Data!G91+Data!H91+Data!I91+Data!J91+Data!K91+Data!L91+Data!M91+Data!D92+Data!E92+Data!G92+Data!H92+Data!I92+Data!J92+Data!K92+Data!L92+Data!M92+Data!D93+Data!E93+Data!G93+Data!H93+Data!I93+Data!J93+Data!K93+Data!L93+Data!M93</f>
        <v>10316142</v>
      </c>
      <c r="E93" s="16" t="n">
        <f aca="false">Data!D82+Data!D83+Data!D84+Data!D85+Data!D86+Data!D87+Data!D88+Data!D89+Data!D90+Data!D91+Data!D92+Data!D93</f>
        <v>3170280</v>
      </c>
      <c r="F93" s="16" t="n">
        <f aca="false">Data!E82+Data!E83+Data!E84+Data!E85+Data!E86+Data!E87+Data!E88+Data!E89+Data!E90+Data!E91+Data!E92+Data!E93</f>
        <v>1942151</v>
      </c>
      <c r="G93" s="16" t="n">
        <f aca="false">Data!K82+Data!K83+Data!K84+Data!K85+Data!K86+Data!K87+Data!K88+Data!K89+Data!K90+Data!K91+Data!K92+Data!K93</f>
        <v>1403806</v>
      </c>
      <c r="H93" s="16" t="n">
        <f aca="false">Data!L82+Data!L83+Data!L84+Data!L85+Data!L86+Data!L87+Data!L88+Data!L89+Data!L90+Data!L91+Data!L92+Data!L93</f>
        <v>579164</v>
      </c>
      <c r="I93" s="16" t="n">
        <f aca="false">Data!G82+Data!G83+Data!G84+Data!G85+Data!G86+Data!G87+Data!G88+Data!G89+Data!G90+Data!G91+Data!G92+Data!G93</f>
        <v>1565061</v>
      </c>
      <c r="J93" s="16" t="n">
        <f aca="false">Data!H82+Data!I82+Data!J82+Data!M82+Data!H83+Data!I83+Data!J83+Data!M83+Data!H84+Data!I84+Data!J84+Data!M84+Data!H85+Data!I85+Data!J85+Data!M85+Data!H86+Data!I86+Data!J86+Data!M86+Data!H87+Data!I87+Data!J87+Data!M87+Data!H88+Data!I88+Data!J88+Data!M88+Data!H89+Data!I89+Data!J89+Data!M89+Data!H90+Data!I90+Data!J90+Data!M90+Data!H91+Data!I91+Data!J91+Data!M91+Data!H92+Data!I92+Data!J92+Data!M92+Data!H93+Data!I93+Data!J93+Data!M93</f>
        <v>1655680</v>
      </c>
      <c r="K93" s="16" t="n">
        <f aca="false">Data!F82+Data!F83+Data!F84+Data!F85+Data!F86+Data!F87+Data!F88+Data!F89+Data!F90+Data!F91+Data!F92+Data!F93</f>
        <v>5183996</v>
      </c>
      <c r="L93" s="16" t="n">
        <f aca="false">Data!N82+Data!O82+Data!P82+Data!Q82+Data!R82+Data!S82+Data!N83+Data!O83+Data!P83+Data!Q83+Data!R83+Data!S83+Data!N84+Data!O84+Data!P84+Data!Q84+Data!R84+Data!S84+Data!N85+Data!O85+Data!P85+Data!Q85+Data!R85+Data!S85+Data!N86+Data!O86+Data!P86+Data!Q86+Data!R86+Data!S86+Data!N87+Data!O87+Data!P87+Data!Q87+Data!R87+Data!S87+Data!N88+Data!O88+Data!P88+Data!Q88+Data!R88+Data!S88+Data!N89+Data!O89+Data!P89+Data!Q89+Data!R89+Data!S89+Data!N90+Data!O90+Data!P90+Data!Q90+Data!R90+Data!S90+Data!N91+Data!O91+Data!P91+Data!Q91+Data!R91+Data!S91+Data!N92+Data!O92+Data!P92+Data!Q92+Data!R92+Data!S92+Data!N93+Data!O93+Data!P93+Data!Q93+Data!R93+Data!S93</f>
        <v>1853545</v>
      </c>
      <c r="M93" s="15" t="n">
        <f aca="false">Data!T82+Data!U82+Data!V82+Data!W82+Data!X82+Data!Y82+Data!Z82+Data!AA82+Data!AB82+Data!AC82+Data!AD82+Data!AE82+Data!AF82+Data!AG82+Data!AH82+Data!AI82+Data!AJ82+Data!AK82+Data!AL82+Data!T83+Data!U83+Data!V83+Data!W83+Data!X83+Data!Y83+Data!Z83+Data!AA83+Data!AB83+Data!AC83+Data!AD83+Data!AE83+Data!AF83+Data!AG83+Data!AH83+Data!AI83+Data!AJ83+Data!AK83+Data!AL83+Data!T84+Data!U84+Data!V84+Data!W84+Data!X84+Data!Y84+Data!Z84+Data!AA84+Data!AB84+Data!AC84+Data!AD84+Data!AE84+Data!AF84+Data!AG84+Data!AH84+Data!AI84+Data!AJ84+Data!AK84+Data!AL84+Data!T85+Data!U85+Data!V85+Data!W85+Data!X85+Data!Y85+Data!Z85+Data!AA85+Data!AB85+Data!AC85+Data!AD85+Data!AE85+Data!AF85+Data!AG85+Data!AH85+Data!AI85+Data!AJ85+Data!AK85+Data!AL85+Data!T86+Data!U86+Data!V86+Data!W86+Data!X86+Data!Y86+Data!Z86+Data!AA86+Data!AB86+Data!AC86+Data!AD86+Data!AE86+Data!AF86+Data!AG86+Data!AH86+Data!AI86+Data!AJ86+Data!AK86+Data!AL86+Data!T87+Data!U87+Data!V87+Data!W87+Data!X87+Data!Y87+Data!Z87+Data!AA87+Data!AB87+Data!AC87+Data!AD87+Data!AE87+Data!AF87+Data!AG87+Data!AH87+Data!AI87+Data!AJ87+Data!AK87+Data!AL87+Data!T88+Data!U88+Data!V88+Data!W88+Data!X88+Data!Y88+Data!Z88+Data!AA88+Data!AB88+Data!AC88+Data!AD88+Data!AE88+Data!AF88+Data!AG88+Data!AH88+Data!AI88+Data!AJ88+Data!AK88+Data!AL88+Data!T89+Data!U89+Data!V89+Data!W89+Data!X89+Data!Y89+Data!Z89+Data!AA89+Data!AB89+Data!AC89+Data!AD89+Data!AE89+Data!AF89+Data!AG89+Data!AH89+Data!AI89+Data!AJ89+Data!AK89+Data!AL89+Data!T90+Data!U90+Data!V90+Data!W90+Data!X90+Data!Y90+Data!Z90+Data!AA90+Data!AB90+Data!AC90+Data!AD90+Data!AE90+Data!AF90+Data!AG90+Data!AH90+Data!AI90+Data!AJ90+Data!AK90+Data!AL90+Data!T91+Data!U91+Data!V91+Data!W91+Data!X91+Data!Y91+Data!Z91+Data!AA91+Data!AB91+Data!AC91+Data!AD91+Data!AE91+Data!AF91+Data!AG91+Data!AH91+Data!AI91+Data!AJ91+Data!AK91+Data!AL91+Data!T92+Data!U92+Data!V92+Data!W92+Data!X92+Data!Y92+Data!Z92+Data!AA92+Data!AB92+Data!AC92+Data!AD92+Data!AE92+Data!AF92+Data!AG92+Data!AH92+Data!AI92+Data!AJ92+Data!AK92+Data!AL92+Data!T93+Data!U93+Data!V93+Data!W93+Data!X93+Data!Y93+Data!Z93+Data!AA93+Data!AB93+Data!AC93+Data!AD93+Data!AE93+Data!AF93+Data!AG93+Data!AH93+Data!AI93+Data!AJ93+Data!AK93+Data!AL93</f>
        <v>19510624</v>
      </c>
      <c r="N93" s="16" t="n">
        <f aca="false">Data!T82+Data!U82+Data!V82+Data!W82+Data!T83+Data!U83+Data!V83+Data!W83+Data!T84+Data!U84+Data!V84+Data!W84+Data!T85+Data!U85+Data!V85+Data!W85+Data!T86+Data!U86+Data!V86+Data!W86+Data!T87+Data!U87+Data!V87+Data!W87+Data!T88+Data!U88+Data!V88+Data!W88+Data!T89+Data!U89+Data!V89+Data!W89+Data!T90+Data!U90+Data!V90+Data!W90+Data!T91+Data!U91+Data!V91+Data!W91+Data!T92+Data!U92+Data!V92+Data!W92+Data!T93+Data!U93+Data!V93+Data!W93</f>
        <v>9077732</v>
      </c>
      <c r="O93" s="16" t="n">
        <f aca="false">Data!T82+Data!T83+Data!T84+Data!T85+Data!T86+Data!T87+Data!T88+Data!T89+Data!T90+Data!T91+Data!T92+Data!T93</f>
        <v>6600578</v>
      </c>
      <c r="P93" s="16" t="n">
        <f aca="false">Data!U82+Data!U83+Data!U84+Data!U85+Data!U86+Data!U87+Data!U88+Data!U89+Data!U90+Data!U91+Data!U92+Data!U93</f>
        <v>1058397</v>
      </c>
      <c r="Q93" s="16" t="n">
        <f aca="false">Data!V82+Data!V83+Data!V84+Data!V85+Data!V86+Data!V87+Data!V88+Data!V89+Data!V90+Data!V91+Data!V92+Data!V93</f>
        <v>672365</v>
      </c>
      <c r="R93" s="16" t="n">
        <f aca="false">Data!W82+Data!W83+Data!W84+Data!W85+Data!W86+Data!W87+Data!W88+Data!W89+Data!W90+Data!W91+Data!W92+Data!W93</f>
        <v>746392</v>
      </c>
      <c r="S93" s="16" t="n">
        <f aca="false">Data!X82+Data!X83+Data!X84+Data!X85+Data!X86+Data!X87+Data!X88+Data!X89+Data!X90+Data!X91+Data!X92+Data!X93</f>
        <v>1890414</v>
      </c>
      <c r="T93" s="16" t="n">
        <f aca="false">Data!Y82+Data!Z82+Data!AA82+Data!Y83+Data!Z83+Data!AA83+Data!Y84+Data!Z84+Data!AA84+Data!Y85+Data!Z85+Data!AA85+Data!Y86+Data!Z86+Data!AA86+Data!Y87+Data!Z87+Data!AA87+Data!Y88+Data!Z88+Data!AA88+Data!Y89+Data!Z89+Data!AA89+Data!Y90+Data!Z90+Data!AA90+Data!Y91+Data!Z91+Data!AA91+Data!Y92+Data!Z92+Data!AA92+Data!Y93+Data!Z93+Data!AA93</f>
        <v>2250220</v>
      </c>
      <c r="U93" s="16" t="n">
        <f aca="false">Data!Y82+Data!Y83+Data!Y84+Data!Y85+Data!Y86+Data!Y87+Data!Y88+Data!Y89+Data!Y90+Data!Y91+Data!Y92+Data!Y93</f>
        <v>1693328</v>
      </c>
      <c r="V93" s="16" t="n">
        <f aca="false">Data!Z82+Data!Z83+Data!Z84+Data!Z85+Data!Z86+Data!Z87+Data!Z88+Data!Z89+Data!Z90+Data!Z91+Data!Z92+Data!Z93</f>
        <v>515544</v>
      </c>
      <c r="W93" s="16" t="n">
        <f aca="false">Data!AB82+Data!AB83+Data!AB84+Data!AB85+Data!AB86+Data!AB87+Data!AB88+Data!AB89+Data!AB90+Data!AB91+Data!AB92+Data!AB93</f>
        <v>2398538</v>
      </c>
      <c r="X93" s="16" t="n">
        <f aca="false">Data!AC82+Data!AC83+Data!AC84+Data!AC85+Data!AC86+Data!AC87+Data!AC88+Data!AC89+Data!AC90+Data!AC91+Data!AC92+Data!AC93</f>
        <v>671970</v>
      </c>
      <c r="Y93" s="16" t="n">
        <f aca="false">Data!AD82+Data!AE82+Data!AF82+Data!AG82+Data!AH82+Data!AD83+Data!AE83+Data!AF83+Data!AG83+Data!AH83+Data!AD84+Data!AE84+Data!AF84+Data!AG84+Data!AH84+Data!AD85+Data!AE85+Data!AF85+Data!AG85+Data!AH85+Data!AD86+Data!AE86+Data!AF86+Data!AG86+Data!AH86+Data!AD87+Data!AE87+Data!AF87+Data!AG87+Data!AH87+Data!AD88+Data!AE88+Data!AF88+Data!AG88+Data!AH88+Data!AD89+Data!AE89+Data!AF89+Data!AG89+Data!AH89+Data!AD90+Data!AE90+Data!AF90+Data!AG90+Data!AH90+Data!AD91+Data!AE91+Data!AF91+Data!AG91+Data!AH91+Data!AD92+Data!AE92+Data!AF92+Data!AG92+Data!AH92+Data!AD93+Data!AE93+Data!AF93+Data!AG93+Data!AH93</f>
        <v>618211</v>
      </c>
      <c r="Z93" s="16" t="n">
        <f aca="false">Data!AI82+Data!AI83+Data!AI84+Data!AI85+Data!AI86+Data!AI87+Data!AI88+Data!AI89+Data!AI90+Data!AI91+Data!AI92+Data!AI93</f>
        <v>598757</v>
      </c>
      <c r="AA93" s="16" t="n">
        <f aca="false">Data!AJ82+Data!AJ83+Data!AJ84+Data!AJ85+Data!AJ86+Data!AJ87+Data!AJ88+Data!AJ89+Data!AJ90+Data!AJ91+Data!AJ92+Data!AJ93</f>
        <v>0</v>
      </c>
      <c r="AB93" s="16" t="n">
        <f aca="false">Data!AK82+Data!AK83+Data!AK84+Data!AK85+Data!AK86+Data!AK87+Data!AK88+Data!AK89+Data!AK90+Data!AK91+Data!AK92+Data!AK93</f>
        <v>353184</v>
      </c>
      <c r="AC93" s="16" t="n">
        <f aca="false">Data!AL82+Data!AL83+Data!AL84+Data!AL85+Data!AL86+Data!AL87+Data!AL88+Data!AL89+Data!AL90+Data!AL91+Data!AL92+Data!AL93</f>
        <v>1651598</v>
      </c>
      <c r="AD93" s="15" t="n">
        <f aca="false">Data!AM82+Data!AM83+Data!AM84+Data!AM85+Data!AM86+Data!AM87+Data!AM88+Data!AM89+Data!AM90+Data!AM91+Data!AM92+Data!AM93</f>
        <v>-2156941</v>
      </c>
      <c r="AE93" s="16" t="n">
        <f aca="false">Data!AN82+Data!AN83+Data!AN84+Data!AN85+Data!AN86+Data!AN87+Data!AN88+Data!AN89+Data!AN90+Data!AN91+Data!AN92+Data!AN93</f>
        <v>1947791</v>
      </c>
      <c r="AF93" s="15" t="n">
        <f aca="false">Data!AO82+Data!AO83+Data!AO84+Data!AO85+Data!AO86+Data!AO87+Data!AO88+Data!AO89+Data!AO90+Data!AO91+Data!AO92+Data!AO93</f>
        <v>-4104732</v>
      </c>
    </row>
    <row r="94" customFormat="false" ht="15" hidden="false" customHeight="false" outlineLevel="0" collapsed="false">
      <c r="B94" s="14" t="str">
        <f aca="false">Data!B94</f>
        <v>2023-04</v>
      </c>
      <c r="C94" s="15" t="n">
        <f aca="false">Data!D83+Data!E83+Data!F83+Data!G83+Data!H83+Data!I83+Data!J83+Data!K83+Data!L83+Data!M83+Data!N83+Data!O83+Data!P83+Data!Q83+Data!R83+Data!S83+Data!D84+Data!E84+Data!F84+Data!G84+Data!H84+Data!I84+Data!J84+Data!K84+Data!L84+Data!M84+Data!N84+Data!O84+Data!P84+Data!Q84+Data!R84+Data!S84+Data!D85+Data!E85+Data!F85+Data!G85+Data!H85+Data!I85+Data!J85+Data!K85+Data!L85+Data!M85+Data!N85+Data!O85+Data!P85+Data!Q85+Data!R85+Data!S85+Data!D86+Data!E86+Data!F86+Data!G86+Data!H86+Data!I86+Data!J86+Data!K86+Data!L86+Data!M86+Data!N86+Data!O86+Data!P86+Data!Q86+Data!R86+Data!S86+Data!D87+Data!E87+Data!F87+Data!G87+Data!H87+Data!I87+Data!J87+Data!K87+Data!L87+Data!M87+Data!N87+Data!O87+Data!P87+Data!Q87+Data!R87+Data!S87+Data!D88+Data!E88+Data!F88+Data!G88+Data!H88+Data!I88+Data!J88+Data!K88+Data!L88+Data!M88+Data!N88+Data!O88+Data!P88+Data!Q88+Data!R88+Data!S88+Data!D89+Data!E89+Data!F89+Data!G89+Data!H89+Data!I89+Data!J89+Data!K89+Data!L89+Data!M89+Data!N89+Data!O89+Data!P89+Data!Q89+Data!R89+Data!S89+Data!D90+Data!E90+Data!F90+Data!G90+Data!H90+Data!I90+Data!J90+Data!K90+Data!L90+Data!M90+Data!N90+Data!O90+Data!P90+Data!Q90+Data!R90+Data!S90+Data!D91+Data!E91+Data!F91+Data!G91+Data!H91+Data!I91+Data!J91+Data!K91+Data!L91+Data!M91+Data!N91+Data!O91+Data!P91+Data!Q91+Data!R91+Data!S91+Data!D92+Data!E92+Data!F92+Data!G92+Data!H92+Data!I92+Data!J92+Data!K92+Data!L92+Data!M92+Data!N92+Data!O92+Data!P92+Data!Q92+Data!R92+Data!S92+Data!D93+Data!E93+Data!F93+Data!G93+Data!H93+Data!I93+Data!J93+Data!K93+Data!L93+Data!M93+Data!N93+Data!O93+Data!P93+Data!Q93+Data!R93+Data!S93+Data!D94+Data!E94+Data!F94+Data!G94+Data!H94+Data!I94+Data!J94+Data!K94+Data!L94+Data!M94+Data!N94+Data!O94+Data!P94+Data!Q94+Data!R94+Data!S94</f>
        <v>18134420</v>
      </c>
      <c r="D94" s="16" t="n">
        <f aca="false">Data!D83+Data!E83+Data!G83+Data!H83+Data!I83+Data!J83+Data!K83+Data!L83+Data!M83+Data!D84+Data!E84+Data!G84+Data!H84+Data!I84+Data!J84+Data!K84+Data!L84+Data!M84+Data!D85+Data!E85+Data!G85+Data!H85+Data!I85+Data!J85+Data!K85+Data!L85+Data!M85+Data!D86+Data!E86+Data!G86+Data!H86+Data!I86+Data!J86+Data!K86+Data!L86+Data!M86+Data!D87+Data!E87+Data!G87+Data!H87+Data!I87+Data!J87+Data!K87+Data!L87+Data!M87+Data!D88+Data!E88+Data!G88+Data!H88+Data!I88+Data!J88+Data!K88+Data!L88+Data!M88+Data!D89+Data!E89+Data!G89+Data!H89+Data!I89+Data!J89+Data!K89+Data!L89+Data!M89+Data!D90+Data!E90+Data!G90+Data!H90+Data!I90+Data!J90+Data!K90+Data!L90+Data!M90+Data!D91+Data!E91+Data!G91+Data!H91+Data!I91+Data!J91+Data!K91+Data!L91+Data!M91+Data!D92+Data!E92+Data!G92+Data!H92+Data!I92+Data!J92+Data!K92+Data!L92+Data!M92+Data!D93+Data!E93+Data!G93+Data!H93+Data!I93+Data!J93+Data!K93+Data!L93+Data!M93+Data!D94+Data!E94+Data!G94+Data!H94+Data!I94+Data!J94+Data!K94+Data!L94+Data!M94</f>
        <v>10780250</v>
      </c>
      <c r="E94" s="16" t="n">
        <f aca="false">Data!D83+Data!D84+Data!D85+Data!D86+Data!D87+Data!D88+Data!D89+Data!D90+Data!D91+Data!D92+Data!D93+Data!D94</f>
        <v>3391488</v>
      </c>
      <c r="F94" s="16" t="n">
        <f aca="false">Data!E83+Data!E84+Data!E85+Data!E86+Data!E87+Data!E88+Data!E89+Data!E90+Data!E91+Data!E92+Data!E93+Data!E94</f>
        <v>2026338</v>
      </c>
      <c r="G94" s="16" t="n">
        <f aca="false">Data!K83+Data!K84+Data!K85+Data!K86+Data!K87+Data!K88+Data!K89+Data!K90+Data!K91+Data!K92+Data!K93+Data!K94</f>
        <v>1374291</v>
      </c>
      <c r="H94" s="16" t="n">
        <f aca="false">Data!L83+Data!L84+Data!L85+Data!L86+Data!L87+Data!L88+Data!L89+Data!L90+Data!L91+Data!L92+Data!L93+Data!L94</f>
        <v>603430</v>
      </c>
      <c r="I94" s="16" t="n">
        <f aca="false">Data!G83+Data!G84+Data!G85+Data!G86+Data!G87+Data!G88+Data!G89+Data!G90+Data!G91+Data!G92+Data!G93+Data!G94</f>
        <v>1655613</v>
      </c>
      <c r="J94" s="16" t="n">
        <f aca="false">Data!H83+Data!I83+Data!J83+Data!M83+Data!H84+Data!I84+Data!J84+Data!M84+Data!H85+Data!I85+Data!J85+Data!M85+Data!H86+Data!I86+Data!J86+Data!M86+Data!H87+Data!I87+Data!J87+Data!M87+Data!H88+Data!I88+Data!J88+Data!M88+Data!H89+Data!I89+Data!J89+Data!M89+Data!H90+Data!I90+Data!J90+Data!M90+Data!H91+Data!I91+Data!J91+Data!M91+Data!H92+Data!I92+Data!J92+Data!M92+Data!H93+Data!I93+Data!J93+Data!M93+Data!H94+Data!I94+Data!J94+Data!M94</f>
        <v>1729090</v>
      </c>
      <c r="K94" s="16" t="n">
        <f aca="false">Data!F83+Data!F84+Data!F85+Data!F86+Data!F87+Data!F88+Data!F89+Data!F90+Data!F91+Data!F92+Data!F93+Data!F94</f>
        <v>5513857</v>
      </c>
      <c r="L94" s="16" t="n">
        <f aca="false">Data!N83+Data!O83+Data!P83+Data!Q83+Data!R83+Data!S83+Data!N84+Data!O84+Data!P84+Data!Q84+Data!R84+Data!S84+Data!N85+Data!O85+Data!P85+Data!Q85+Data!R85+Data!S85+Data!N86+Data!O86+Data!P86+Data!Q86+Data!R86+Data!S86+Data!N87+Data!O87+Data!P87+Data!Q87+Data!R87+Data!S87+Data!N88+Data!O88+Data!P88+Data!Q88+Data!R88+Data!S88+Data!N89+Data!O89+Data!P89+Data!Q89+Data!R89+Data!S89+Data!N90+Data!O90+Data!P90+Data!Q90+Data!R90+Data!S90+Data!N91+Data!O91+Data!P91+Data!Q91+Data!R91+Data!S91+Data!N92+Data!O92+Data!P92+Data!Q92+Data!R92+Data!S92+Data!N93+Data!O93+Data!P93+Data!Q93+Data!R93+Data!S93+Data!N94+Data!O94+Data!P94+Data!Q94+Data!R94+Data!S94</f>
        <v>1840313</v>
      </c>
      <c r="M94" s="15" t="n">
        <f aca="false">Data!T83+Data!U83+Data!V83+Data!W83+Data!X83+Data!Y83+Data!Z83+Data!AA83+Data!AB83+Data!AC83+Data!AD83+Data!AE83+Data!AF83+Data!AG83+Data!AH83+Data!AI83+Data!AJ83+Data!AK83+Data!AL83+Data!T84+Data!U84+Data!V84+Data!W84+Data!X84+Data!Y84+Data!Z84+Data!AA84+Data!AB84+Data!AC84+Data!AD84+Data!AE84+Data!AF84+Data!AG84+Data!AH84+Data!AI84+Data!AJ84+Data!AK84+Data!AL84+Data!T85+Data!U85+Data!V85+Data!W85+Data!X85+Data!Y85+Data!Z85+Data!AA85+Data!AB85+Data!AC85+Data!AD85+Data!AE85+Data!AF85+Data!AG85+Data!AH85+Data!AI85+Data!AJ85+Data!AK85+Data!AL85+Data!T86+Data!U86+Data!V86+Data!W86+Data!X86+Data!Y86+Data!Z86+Data!AA86+Data!AB86+Data!AC86+Data!AD86+Data!AE86+Data!AF86+Data!AG86+Data!AH86+Data!AI86+Data!AJ86+Data!AK86+Data!AL86+Data!T87+Data!U87+Data!V87+Data!W87+Data!X87+Data!Y87+Data!Z87+Data!AA87+Data!AB87+Data!AC87+Data!AD87+Data!AE87+Data!AF87+Data!AG87+Data!AH87+Data!AI87+Data!AJ87+Data!AK87+Data!AL87+Data!T88+Data!U88+Data!V88+Data!W88+Data!X88+Data!Y88+Data!Z88+Data!AA88+Data!AB88+Data!AC88+Data!AD88+Data!AE88+Data!AF88+Data!AG88+Data!AH88+Data!AI88+Data!AJ88+Data!AK88+Data!AL88+Data!T89+Data!U89+Data!V89+Data!W89+Data!X89+Data!Y89+Data!Z89+Data!AA89+Data!AB89+Data!AC89+Data!AD89+Data!AE89+Data!AF89+Data!AG89+Data!AH89+Data!AI89+Data!AJ89+Data!AK89+Data!AL89+Data!T90+Data!U90+Data!V90+Data!W90+Data!X90+Data!Y90+Data!Z90+Data!AA90+Data!AB90+Data!AC90+Data!AD90+Data!AE90+Data!AF90+Data!AG90+Data!AH90+Data!AI90+Data!AJ90+Data!AK90+Data!AL90+Data!T91+Data!U91+Data!V91+Data!W91+Data!X91+Data!Y91+Data!Z91+Data!AA91+Data!AB91+Data!AC91+Data!AD91+Data!AE91+Data!AF91+Data!AG91+Data!AH91+Data!AI91+Data!AJ91+Data!AK91+Data!AL91+Data!T92+Data!U92+Data!V92+Data!W92+Data!X92+Data!Y92+Data!Z92+Data!AA92+Data!AB92+Data!AC92+Data!AD92+Data!AE92+Data!AF92+Data!AG92+Data!AH92+Data!AI92+Data!AJ92+Data!AK92+Data!AL92+Data!T93+Data!U93+Data!V93+Data!W93+Data!X93+Data!Y93+Data!Z93+Data!AA93+Data!AB93+Data!AC93+Data!AD93+Data!AE93+Data!AF93+Data!AG93+Data!AH93+Data!AI93+Data!AJ93+Data!AK93+Data!AL93+Data!T94+Data!U94+Data!V94+Data!W94+Data!X94+Data!Y94+Data!Z94+Data!AA94+Data!AB94+Data!AC94+Data!AD94+Data!AE94+Data!AF94+Data!AG94+Data!AH94+Data!AI94+Data!AJ94+Data!AK94+Data!AL94</f>
        <v>20543549</v>
      </c>
      <c r="N94" s="16" t="n">
        <f aca="false">Data!T83+Data!U83+Data!V83+Data!W83+Data!T84+Data!U84+Data!V84+Data!W84+Data!T85+Data!U85+Data!V85+Data!W85+Data!T86+Data!U86+Data!V86+Data!W86+Data!T87+Data!U87+Data!V87+Data!W87+Data!T88+Data!U88+Data!V88+Data!W88+Data!T89+Data!U89+Data!V89+Data!W89+Data!T90+Data!U90+Data!V90+Data!W90+Data!T91+Data!U91+Data!V91+Data!W91+Data!T92+Data!U92+Data!V92+Data!W92+Data!T93+Data!U93+Data!V93+Data!W93+Data!T94+Data!U94+Data!V94+Data!W94</f>
        <v>9541039</v>
      </c>
      <c r="O94" s="16" t="n">
        <f aca="false">Data!T83+Data!T84+Data!T85+Data!T86+Data!T87+Data!T88+Data!T89+Data!T90+Data!T91+Data!T92+Data!T93+Data!T94</f>
        <v>6948219</v>
      </c>
      <c r="P94" s="16" t="n">
        <f aca="false">Data!U83+Data!U84+Data!U85+Data!U86+Data!U87+Data!U88+Data!U89+Data!U90+Data!U91+Data!U92+Data!U93+Data!U94</f>
        <v>1091483</v>
      </c>
      <c r="Q94" s="16" t="n">
        <f aca="false">Data!V83+Data!V84+Data!V85+Data!V86+Data!V87+Data!V88+Data!V89+Data!V90+Data!V91+Data!V92+Data!V93+Data!V94</f>
        <v>703081</v>
      </c>
      <c r="R94" s="16" t="n">
        <f aca="false">Data!W83+Data!W84+Data!W85+Data!W86+Data!W87+Data!W88+Data!W89+Data!W90+Data!W91+Data!W92+Data!W93+Data!W94</f>
        <v>798256</v>
      </c>
      <c r="S94" s="16" t="n">
        <f aca="false">Data!X83+Data!X84+Data!X85+Data!X86+Data!X87+Data!X88+Data!X89+Data!X90+Data!X91+Data!X92+Data!X93+Data!X94</f>
        <v>1999621</v>
      </c>
      <c r="T94" s="16" t="n">
        <f aca="false">Data!Y83+Data!Z83+Data!AA83+Data!Y84+Data!Z84+Data!AA84+Data!Y85+Data!Z85+Data!AA85+Data!Y86+Data!Z86+Data!AA86+Data!Y87+Data!Z87+Data!AA87+Data!Y88+Data!Z88+Data!AA88+Data!Y89+Data!Z89+Data!AA89+Data!Y90+Data!Z90+Data!AA90+Data!Y91+Data!Z91+Data!AA91+Data!Y92+Data!Z92+Data!AA92+Data!Y93+Data!Z93+Data!AA93+Data!Y94+Data!Z94+Data!AA94</f>
        <v>2372934</v>
      </c>
      <c r="U94" s="16" t="n">
        <f aca="false">Data!Y83+Data!Y84+Data!Y85+Data!Y86+Data!Y87+Data!Y88+Data!Y89+Data!Y90+Data!Y91+Data!Y92+Data!Y93+Data!Y94</f>
        <v>1806415</v>
      </c>
      <c r="V94" s="16" t="n">
        <f aca="false">Data!Z83+Data!Z84+Data!Z85+Data!Z86+Data!Z87+Data!Z88+Data!Z89+Data!Z90+Data!Z91+Data!Z92+Data!Z93+Data!Z94</f>
        <v>521260</v>
      </c>
      <c r="W94" s="16" t="n">
        <f aca="false">Data!AB83+Data!AB84+Data!AB85+Data!AB86+Data!AB87+Data!AB88+Data!AB89+Data!AB90+Data!AB91+Data!AB92+Data!AB93+Data!AB94</f>
        <v>2554976</v>
      </c>
      <c r="X94" s="16" t="n">
        <f aca="false">Data!AC83+Data!AC84+Data!AC85+Data!AC86+Data!AC87+Data!AC88+Data!AC89+Data!AC90+Data!AC91+Data!AC92+Data!AC93+Data!AC94</f>
        <v>681819</v>
      </c>
      <c r="Y94" s="16" t="n">
        <f aca="false">Data!AD83+Data!AE83+Data!AF83+Data!AG83+Data!AH83+Data!AD84+Data!AE84+Data!AF84+Data!AG84+Data!AH84+Data!AD85+Data!AE85+Data!AF85+Data!AG85+Data!AH85+Data!AD86+Data!AE86+Data!AF86+Data!AG86+Data!AH86+Data!AD87+Data!AE87+Data!AF87+Data!AG87+Data!AH87+Data!AD88+Data!AE88+Data!AF88+Data!AG88+Data!AH88+Data!AD89+Data!AE89+Data!AF89+Data!AG89+Data!AH89+Data!AD90+Data!AE90+Data!AF90+Data!AG90+Data!AH90+Data!AD91+Data!AE91+Data!AF91+Data!AG91+Data!AH91+Data!AD92+Data!AE92+Data!AF92+Data!AG92+Data!AH92+Data!AD93+Data!AE93+Data!AF93+Data!AG93+Data!AH93+Data!AD94+Data!AE94+Data!AF94+Data!AG94+Data!AH94</f>
        <v>633678</v>
      </c>
      <c r="Z94" s="16" t="n">
        <f aca="false">Data!AI83+Data!AI84+Data!AI85+Data!AI86+Data!AI87+Data!AI88+Data!AI89+Data!AI90+Data!AI91+Data!AI92+Data!AI93+Data!AI94</f>
        <v>640919</v>
      </c>
      <c r="AA94" s="16" t="n">
        <f aca="false">Data!AJ83+Data!AJ84+Data!AJ85+Data!AJ86+Data!AJ87+Data!AJ88+Data!AJ89+Data!AJ90+Data!AJ91+Data!AJ92+Data!AJ93+Data!AJ94</f>
        <v>0</v>
      </c>
      <c r="AB94" s="16" t="n">
        <f aca="false">Data!AK83+Data!AK84+Data!AK85+Data!AK86+Data!AK87+Data!AK88+Data!AK89+Data!AK90+Data!AK91+Data!AK92+Data!AK93+Data!AK94</f>
        <v>378715</v>
      </c>
      <c r="AC94" s="16" t="n">
        <f aca="false">Data!AL83+Data!AL84+Data!AL85+Data!AL86+Data!AL87+Data!AL88+Data!AL89+Data!AL90+Data!AL91+Data!AL92+Data!AL93+Data!AL94</f>
        <v>1739848</v>
      </c>
      <c r="AD94" s="15" t="n">
        <f aca="false">Data!AM83+Data!AM84+Data!AM85+Data!AM86+Data!AM87+Data!AM88+Data!AM89+Data!AM90+Data!AM91+Data!AM92+Data!AM93+Data!AM94</f>
        <v>-2409129</v>
      </c>
      <c r="AE94" s="16" t="n">
        <f aca="false">Data!AN83+Data!AN84+Data!AN85+Data!AN86+Data!AN87+Data!AN88+Data!AN89+Data!AN90+Data!AN91+Data!AN92+Data!AN93+Data!AN94</f>
        <v>1956676</v>
      </c>
      <c r="AF94" s="15" t="n">
        <f aca="false">Data!AO83+Data!AO84+Data!AO85+Data!AO86+Data!AO87+Data!AO88+Data!AO89+Data!AO90+Data!AO91+Data!AO92+Data!AO93+Data!AO94</f>
        <v>-4365805</v>
      </c>
    </row>
    <row r="95" customFormat="false" ht="15" hidden="false" customHeight="false" outlineLevel="0" collapsed="false">
      <c r="B95" s="14" t="str">
        <f aca="false">Data!B95</f>
        <v>2023-05</v>
      </c>
      <c r="C95" s="15" t="n">
        <f aca="false">Data!D84+Data!E84+Data!F84+Data!G84+Data!H84+Data!I84+Data!J84+Data!K84+Data!L84+Data!M84+Data!N84+Data!O84+Data!P84+Data!Q84+Data!R84+Data!S84+Data!D85+Data!E85+Data!F85+Data!G85+Data!H85+Data!I85+Data!J85+Data!K85+Data!L85+Data!M85+Data!N85+Data!O85+Data!P85+Data!Q85+Data!R85+Data!S85+Data!D86+Data!E86+Data!F86+Data!G86+Data!H86+Data!I86+Data!J86+Data!K86+Data!L86+Data!M86+Data!N86+Data!O86+Data!P86+Data!Q86+Data!R86+Data!S86+Data!D87+Data!E87+Data!F87+Data!G87+Data!H87+Data!I87+Data!J87+Data!K87+Data!L87+Data!M87+Data!N87+Data!O87+Data!P87+Data!Q87+Data!R87+Data!S87+Data!D88+Data!E88+Data!F88+Data!G88+Data!H88+Data!I88+Data!J88+Data!K88+Data!L88+Data!M88+Data!N88+Data!O88+Data!P88+Data!Q88+Data!R88+Data!S88+Data!D89+Data!E89+Data!F89+Data!G89+Data!H89+Data!I89+Data!J89+Data!K89+Data!L89+Data!M89+Data!N89+Data!O89+Data!P89+Data!Q89+Data!R89+Data!S89+Data!D90+Data!E90+Data!F90+Data!G90+Data!H90+Data!I90+Data!J90+Data!K90+Data!L90+Data!M90+Data!N90+Data!O90+Data!P90+Data!Q90+Data!R90+Data!S90+Data!D91+Data!E91+Data!F91+Data!G91+Data!H91+Data!I91+Data!J91+Data!K91+Data!L91+Data!M91+Data!N91+Data!O91+Data!P91+Data!Q91+Data!R91+Data!S91+Data!D92+Data!E92+Data!F92+Data!G92+Data!H92+Data!I92+Data!J92+Data!K92+Data!L92+Data!M92+Data!N92+Data!O92+Data!P92+Data!Q92+Data!R92+Data!S92+Data!D93+Data!E93+Data!F93+Data!G93+Data!H93+Data!I93+Data!J93+Data!K93+Data!L93+Data!M93+Data!N93+Data!O93+Data!P93+Data!Q93+Data!R93+Data!S93+Data!D94+Data!E94+Data!F94+Data!G94+Data!H94+Data!I94+Data!J94+Data!K94+Data!L94+Data!M94+Data!N94+Data!O94+Data!P94+Data!Q94+Data!R94+Data!S94+Data!D95+Data!E95+Data!F95+Data!G95+Data!H95+Data!I95+Data!J95+Data!K95+Data!L95+Data!M95+Data!N95+Data!O95+Data!P95+Data!Q95+Data!R95+Data!S95</f>
        <v>19317359</v>
      </c>
      <c r="D95" s="16" t="n">
        <f aca="false">Data!D84+Data!E84+Data!G84+Data!H84+Data!I84+Data!J84+Data!K84+Data!L84+Data!M84+Data!D85+Data!E85+Data!G85+Data!H85+Data!I85+Data!J85+Data!K85+Data!L85+Data!M85+Data!D86+Data!E86+Data!G86+Data!H86+Data!I86+Data!J86+Data!K86+Data!L86+Data!M86+Data!D87+Data!E87+Data!G87+Data!H87+Data!I87+Data!J87+Data!K87+Data!L87+Data!M87+Data!D88+Data!E88+Data!G88+Data!H88+Data!I88+Data!J88+Data!K88+Data!L88+Data!M88+Data!D89+Data!E89+Data!G89+Data!H89+Data!I89+Data!J89+Data!K89+Data!L89+Data!M89+Data!D90+Data!E90+Data!G90+Data!H90+Data!I90+Data!J90+Data!K90+Data!L90+Data!M90+Data!D91+Data!E91+Data!G91+Data!H91+Data!I91+Data!J91+Data!K91+Data!L91+Data!M91+Data!D92+Data!E92+Data!G92+Data!H92+Data!I92+Data!J92+Data!K92+Data!L92+Data!M92+Data!D93+Data!E93+Data!G93+Data!H93+Data!I93+Data!J93+Data!K93+Data!L93+Data!M93+Data!D94+Data!E94+Data!G94+Data!H94+Data!I94+Data!J94+Data!K94+Data!L94+Data!M94+Data!D95+Data!E95+Data!G95+Data!H95+Data!I95+Data!J95+Data!K95+Data!L95+Data!M95</f>
        <v>11456823</v>
      </c>
      <c r="E95" s="16" t="n">
        <f aca="false">Data!D84+Data!D85+Data!D86+Data!D87+Data!D88+Data!D89+Data!D90+Data!D91+Data!D92+Data!D93+Data!D94+Data!D95</f>
        <v>3663752</v>
      </c>
      <c r="F95" s="16" t="n">
        <f aca="false">Data!E84+Data!E85+Data!E86+Data!E87+Data!E88+Data!E89+Data!E90+Data!E91+Data!E92+Data!E93+Data!E94+Data!E95</f>
        <v>2165516</v>
      </c>
      <c r="G95" s="16" t="n">
        <f aca="false">Data!K84+Data!K85+Data!K86+Data!K87+Data!K88+Data!K89+Data!K90+Data!K91+Data!K92+Data!K93+Data!K94+Data!K95</f>
        <v>1394078</v>
      </c>
      <c r="H95" s="16" t="n">
        <f aca="false">Data!L84+Data!L85+Data!L86+Data!L87+Data!L88+Data!L89+Data!L90+Data!L91+Data!L92+Data!L93+Data!L94+Data!L95</f>
        <v>642291</v>
      </c>
      <c r="I95" s="16" t="n">
        <f aca="false">Data!G84+Data!G85+Data!G86+Data!G87+Data!G88+Data!G89+Data!G90+Data!G91+Data!G92+Data!G93+Data!G94+Data!G95</f>
        <v>1783182</v>
      </c>
      <c r="J95" s="16" t="n">
        <f aca="false">Data!H84+Data!I84+Data!J84+Data!M84+Data!H85+Data!I85+Data!J85+Data!M85+Data!H86+Data!I86+Data!J86+Data!M86+Data!H87+Data!I87+Data!J87+Data!M87+Data!H88+Data!I88+Data!J88+Data!M88+Data!H89+Data!I89+Data!J89+Data!M89+Data!H90+Data!I90+Data!J90+Data!M90+Data!H91+Data!I91+Data!J91+Data!M91+Data!H92+Data!I92+Data!J92+Data!M92+Data!H93+Data!I93+Data!J93+Data!M93+Data!H94+Data!I94+Data!J94+Data!M94+Data!H95+Data!I95+Data!J95+Data!M95</f>
        <v>1808004</v>
      </c>
      <c r="K95" s="16" t="n">
        <f aca="false">Data!F84+Data!F85+Data!F86+Data!F87+Data!F88+Data!F89+Data!F90+Data!F91+Data!F92+Data!F93+Data!F94+Data!F95</f>
        <v>5882899</v>
      </c>
      <c r="L95" s="16" t="n">
        <f aca="false">Data!N84+Data!O84+Data!P84+Data!Q84+Data!R84+Data!S84+Data!N85+Data!O85+Data!P85+Data!Q85+Data!R85+Data!S85+Data!N86+Data!O86+Data!P86+Data!Q86+Data!R86+Data!S86+Data!N87+Data!O87+Data!P87+Data!Q87+Data!R87+Data!S87+Data!N88+Data!O88+Data!P88+Data!Q88+Data!R88+Data!S88+Data!N89+Data!O89+Data!P89+Data!Q89+Data!R89+Data!S89+Data!N90+Data!O90+Data!P90+Data!Q90+Data!R90+Data!S90+Data!N91+Data!O91+Data!P91+Data!Q91+Data!R91+Data!S91+Data!N92+Data!O92+Data!P92+Data!Q92+Data!R92+Data!S92+Data!N93+Data!O93+Data!P93+Data!Q93+Data!R93+Data!S93+Data!N94+Data!O94+Data!P94+Data!Q94+Data!R94+Data!S94+Data!N95+Data!O95+Data!P95+Data!Q95+Data!R95+Data!S95</f>
        <v>1977637</v>
      </c>
      <c r="M95" s="15" t="n">
        <f aca="false">Data!T84+Data!U84+Data!V84+Data!W84+Data!X84+Data!Y84+Data!Z84+Data!AA84+Data!AB84+Data!AC84+Data!AD84+Data!AE84+Data!AF84+Data!AG84+Data!AH84+Data!AI84+Data!AJ84+Data!AK84+Data!AL84+Data!T85+Data!U85+Data!V85+Data!W85+Data!X85+Data!Y85+Data!Z85+Data!AA85+Data!AB85+Data!AC85+Data!AD85+Data!AE85+Data!AF85+Data!AG85+Data!AH85+Data!AI85+Data!AJ85+Data!AK85+Data!AL85+Data!T86+Data!U86+Data!V86+Data!W86+Data!X86+Data!Y86+Data!Z86+Data!AA86+Data!AB86+Data!AC86+Data!AD86+Data!AE86+Data!AF86+Data!AG86+Data!AH86+Data!AI86+Data!AJ86+Data!AK86+Data!AL86+Data!T87+Data!U87+Data!V87+Data!W87+Data!X87+Data!Y87+Data!Z87+Data!AA87+Data!AB87+Data!AC87+Data!AD87+Data!AE87+Data!AF87+Data!AG87+Data!AH87+Data!AI87+Data!AJ87+Data!AK87+Data!AL87+Data!T88+Data!U88+Data!V88+Data!W88+Data!X88+Data!Y88+Data!Z88+Data!AA88+Data!AB88+Data!AC88+Data!AD88+Data!AE88+Data!AF88+Data!AG88+Data!AH88+Data!AI88+Data!AJ88+Data!AK88+Data!AL88+Data!T89+Data!U89+Data!V89+Data!W89+Data!X89+Data!Y89+Data!Z89+Data!AA89+Data!AB89+Data!AC89+Data!AD89+Data!AE89+Data!AF89+Data!AG89+Data!AH89+Data!AI89+Data!AJ89+Data!AK89+Data!AL89+Data!T90+Data!U90+Data!V90+Data!W90+Data!X90+Data!Y90+Data!Z90+Data!AA90+Data!AB90+Data!AC90+Data!AD90+Data!AE90+Data!AF90+Data!AG90+Data!AH90+Data!AI90+Data!AJ90+Data!AK90+Data!AL90+Data!T91+Data!U91+Data!V91+Data!W91+Data!X91+Data!Y91+Data!Z91+Data!AA91+Data!AB91+Data!AC91+Data!AD91+Data!AE91+Data!AF91+Data!AG91+Data!AH91+Data!AI91+Data!AJ91+Data!AK91+Data!AL91+Data!T92+Data!U92+Data!V92+Data!W92+Data!X92+Data!Y92+Data!Z92+Data!AA92+Data!AB92+Data!AC92+Data!AD92+Data!AE92+Data!AF92+Data!AG92+Data!AH92+Data!AI92+Data!AJ92+Data!AK92+Data!AL92+Data!T93+Data!U93+Data!V93+Data!W93+Data!X93+Data!Y93+Data!Z93+Data!AA93+Data!AB93+Data!AC93+Data!AD93+Data!AE93+Data!AF93+Data!AG93+Data!AH93+Data!AI93+Data!AJ93+Data!AK93+Data!AL93+Data!T94+Data!U94+Data!V94+Data!W94+Data!X94+Data!Y94+Data!Z94+Data!AA94+Data!AB94+Data!AC94+Data!AD94+Data!AE94+Data!AF94+Data!AG94+Data!AH94+Data!AI94+Data!AJ94+Data!AK94+Data!AL94+Data!T95+Data!U95+Data!V95+Data!W95+Data!X95+Data!Y95+Data!Z95+Data!AA95+Data!AB95+Data!AC95+Data!AD95+Data!AE95+Data!AF95+Data!AG95+Data!AH95+Data!AI95+Data!AJ95+Data!AK95+Data!AL95</f>
        <v>21811727</v>
      </c>
      <c r="N95" s="16" t="n">
        <f aca="false">Data!T84+Data!U84+Data!V84+Data!W84+Data!T85+Data!U85+Data!V85+Data!W85+Data!T86+Data!U86+Data!V86+Data!W86+Data!T87+Data!U87+Data!V87+Data!W87+Data!T88+Data!U88+Data!V88+Data!W88+Data!T89+Data!U89+Data!V89+Data!W89+Data!T90+Data!U90+Data!V90+Data!W90+Data!T91+Data!U91+Data!V91+Data!W91+Data!T92+Data!U92+Data!V92+Data!W92+Data!T93+Data!U93+Data!V93+Data!W93+Data!T94+Data!U94+Data!V94+Data!W94+Data!T95+Data!U95+Data!V95+Data!W95</f>
        <v>10029524</v>
      </c>
      <c r="O95" s="16" t="n">
        <f aca="false">Data!T84+Data!T85+Data!T86+Data!T87+Data!T88+Data!T89+Data!T90+Data!T91+Data!T92+Data!T93+Data!T94+Data!T95</f>
        <v>7303545</v>
      </c>
      <c r="P95" s="16" t="n">
        <f aca="false">Data!U84+Data!U85+Data!U86+Data!U87+Data!U88+Data!U89+Data!U90+Data!U91+Data!U92+Data!U93+Data!U94+Data!U95</f>
        <v>1122117</v>
      </c>
      <c r="Q95" s="16" t="n">
        <f aca="false">Data!V84+Data!V85+Data!V86+Data!V87+Data!V88+Data!V89+Data!V90+Data!V91+Data!V92+Data!V93+Data!V94+Data!V95</f>
        <v>740529</v>
      </c>
      <c r="R95" s="16" t="n">
        <f aca="false">Data!W84+Data!W85+Data!W86+Data!W87+Data!W88+Data!W89+Data!W90+Data!W91+Data!W92+Data!W93+Data!W94+Data!W95</f>
        <v>863333</v>
      </c>
      <c r="S95" s="16" t="n">
        <f aca="false">Data!X84+Data!X85+Data!X86+Data!X87+Data!X88+Data!X89+Data!X90+Data!X91+Data!X92+Data!X93+Data!X94+Data!X95</f>
        <v>2052979</v>
      </c>
      <c r="T95" s="16" t="n">
        <f aca="false">Data!Y84+Data!Z84+Data!AA84+Data!Y85+Data!Z85+Data!AA85+Data!Y86+Data!Z86+Data!AA86+Data!Y87+Data!Z87+Data!AA87+Data!Y88+Data!Z88+Data!AA88+Data!Y89+Data!Z89+Data!AA89+Data!Y90+Data!Z90+Data!AA90+Data!Y91+Data!Z91+Data!AA91+Data!Y92+Data!Z92+Data!AA92+Data!Y93+Data!Z93+Data!AA93+Data!Y94+Data!Z94+Data!AA94+Data!Y95+Data!Z95+Data!AA95</f>
        <v>2627673</v>
      </c>
      <c r="U95" s="16" t="n">
        <f aca="false">Data!Y84+Data!Y85+Data!Y86+Data!Y87+Data!Y88+Data!Y89+Data!Y90+Data!Y91+Data!Y92+Data!Y93+Data!Y94+Data!Y95</f>
        <v>2032428</v>
      </c>
      <c r="V95" s="16" t="n">
        <f aca="false">Data!Z84+Data!Z85+Data!Z86+Data!Z87+Data!Z88+Data!Z89+Data!Z90+Data!Z91+Data!Z92+Data!Z93+Data!Z94+Data!Z95</f>
        <v>548450</v>
      </c>
      <c r="W95" s="16" t="n">
        <f aca="false">Data!AB84+Data!AB85+Data!AB86+Data!AB87+Data!AB88+Data!AB89+Data!AB90+Data!AB91+Data!AB92+Data!AB93+Data!AB94+Data!AB95</f>
        <v>2718175</v>
      </c>
      <c r="X95" s="16" t="n">
        <f aca="false">Data!AC84+Data!AC85+Data!AC86+Data!AC87+Data!AC88+Data!AC89+Data!AC90+Data!AC91+Data!AC92+Data!AC93+Data!AC94+Data!AC95</f>
        <v>732309</v>
      </c>
      <c r="Y95" s="16" t="n">
        <f aca="false">Data!AD84+Data!AE84+Data!AF84+Data!AG84+Data!AH84+Data!AD85+Data!AE85+Data!AF85+Data!AG85+Data!AH85+Data!AD86+Data!AE86+Data!AF86+Data!AG86+Data!AH86+Data!AD87+Data!AE87+Data!AF87+Data!AG87+Data!AH87+Data!AD88+Data!AE88+Data!AF88+Data!AG88+Data!AH88+Data!AD89+Data!AE89+Data!AF89+Data!AG89+Data!AH89+Data!AD90+Data!AE90+Data!AF90+Data!AG90+Data!AH90+Data!AD91+Data!AE91+Data!AF91+Data!AG91+Data!AH91+Data!AD92+Data!AE92+Data!AF92+Data!AG92+Data!AH92+Data!AD93+Data!AE93+Data!AF93+Data!AG93+Data!AH93+Data!AD94+Data!AE94+Data!AF94+Data!AG94+Data!AH94+Data!AD95+Data!AE95+Data!AF95+Data!AG95+Data!AH95</f>
        <v>657149</v>
      </c>
      <c r="Z95" s="16" t="n">
        <f aca="false">Data!AI84+Data!AI85+Data!AI86+Data!AI87+Data!AI88+Data!AI89+Data!AI90+Data!AI91+Data!AI92+Data!AI93+Data!AI94+Data!AI95</f>
        <v>685833</v>
      </c>
      <c r="AA95" s="16" t="n">
        <f aca="false">Data!AJ84+Data!AJ85+Data!AJ86+Data!AJ87+Data!AJ88+Data!AJ89+Data!AJ90+Data!AJ91+Data!AJ92+Data!AJ93+Data!AJ94+Data!AJ95</f>
        <v>0</v>
      </c>
      <c r="AB95" s="16" t="n">
        <f aca="false">Data!AK84+Data!AK85+Data!AK86+Data!AK87+Data!AK88+Data!AK89+Data!AK90+Data!AK91+Data!AK92+Data!AK93+Data!AK94+Data!AK95</f>
        <v>408995</v>
      </c>
      <c r="AC95" s="16" t="n">
        <f aca="false">Data!AL84+Data!AL85+Data!AL86+Data!AL87+Data!AL88+Data!AL89+Data!AL90+Data!AL91+Data!AL92+Data!AL93+Data!AL94+Data!AL95</f>
        <v>1899090</v>
      </c>
      <c r="AD95" s="15" t="n">
        <f aca="false">Data!AM84+Data!AM85+Data!AM86+Data!AM87+Data!AM88+Data!AM89+Data!AM90+Data!AM91+Data!AM92+Data!AM93+Data!AM94+Data!AM95</f>
        <v>-2494368</v>
      </c>
      <c r="AE95" s="16" t="n">
        <f aca="false">Data!AN84+Data!AN85+Data!AN86+Data!AN87+Data!AN88+Data!AN89+Data!AN90+Data!AN91+Data!AN92+Data!AN93+Data!AN94+Data!AN95</f>
        <v>2260076</v>
      </c>
      <c r="AF95" s="15" t="n">
        <f aca="false">Data!AO84+Data!AO85+Data!AO86+Data!AO87+Data!AO88+Data!AO89+Data!AO90+Data!AO91+Data!AO92+Data!AO93+Data!AO94+Data!AO95</f>
        <v>-4754444</v>
      </c>
    </row>
    <row r="96" customFormat="false" ht="15" hidden="false" customHeight="false" outlineLevel="0" collapsed="false">
      <c r="B96" s="14" t="str">
        <f aca="false">Data!B96</f>
        <v>2023-06</v>
      </c>
      <c r="C96" s="15" t="n">
        <f aca="false">Data!D85+Data!E85+Data!F85+Data!G85+Data!H85+Data!I85+Data!J85+Data!K85+Data!L85+Data!M85+Data!N85+Data!O85+Data!P85+Data!Q85+Data!R85+Data!S85+Data!D86+Data!E86+Data!F86+Data!G86+Data!H86+Data!I86+Data!J86+Data!K86+Data!L86+Data!M86+Data!N86+Data!O86+Data!P86+Data!Q86+Data!R86+Data!S86+Data!D87+Data!E87+Data!F87+Data!G87+Data!H87+Data!I87+Data!J87+Data!K87+Data!L87+Data!M87+Data!N87+Data!O87+Data!P87+Data!Q87+Data!R87+Data!S87+Data!D88+Data!E88+Data!F88+Data!G88+Data!H88+Data!I88+Data!J88+Data!K88+Data!L88+Data!M88+Data!N88+Data!O88+Data!P88+Data!Q88+Data!R88+Data!S88+Data!D89+Data!E89+Data!F89+Data!G89+Data!H89+Data!I89+Data!J89+Data!K89+Data!L89+Data!M89+Data!N89+Data!O89+Data!P89+Data!Q89+Data!R89+Data!S89+Data!D90+Data!E90+Data!F90+Data!G90+Data!H90+Data!I90+Data!J90+Data!K90+Data!L90+Data!M90+Data!N90+Data!O90+Data!P90+Data!Q90+Data!R90+Data!S90+Data!D91+Data!E91+Data!F91+Data!G91+Data!H91+Data!I91+Data!J91+Data!K91+Data!L91+Data!M91+Data!N91+Data!O91+Data!P91+Data!Q91+Data!R91+Data!S91+Data!D92+Data!E92+Data!F92+Data!G92+Data!H92+Data!I92+Data!J92+Data!K92+Data!L92+Data!M92+Data!N92+Data!O92+Data!P92+Data!Q92+Data!R92+Data!S92+Data!D93+Data!E93+Data!F93+Data!G93+Data!H93+Data!I93+Data!J93+Data!K93+Data!L93+Data!M93+Data!N93+Data!O93+Data!P93+Data!Q93+Data!R93+Data!S93+Data!D94+Data!E94+Data!F94+Data!G94+Data!H94+Data!I94+Data!J94+Data!K94+Data!L94+Data!M94+Data!N94+Data!O94+Data!P94+Data!Q94+Data!R94+Data!S94+Data!D95+Data!E95+Data!F95+Data!G95+Data!H95+Data!I95+Data!J95+Data!K95+Data!L95+Data!M95+Data!N95+Data!O95+Data!P95+Data!Q95+Data!R95+Data!S95+Data!D96+Data!E96+Data!F96+Data!G96+Data!H96+Data!I96+Data!J96+Data!K96+Data!L96+Data!M96+Data!N96+Data!O96+Data!P96+Data!Q96+Data!R96+Data!S96</f>
        <v>20699674</v>
      </c>
      <c r="D96" s="16" t="n">
        <f aca="false">Data!D85+Data!E85+Data!G85+Data!H85+Data!I85+Data!J85+Data!K85+Data!L85+Data!M85+Data!D86+Data!E86+Data!G86+Data!H86+Data!I86+Data!J86+Data!K86+Data!L86+Data!M86+Data!D87+Data!E87+Data!G87+Data!H87+Data!I87+Data!J87+Data!K87+Data!L87+Data!M87+Data!D88+Data!E88+Data!G88+Data!H88+Data!I88+Data!J88+Data!K88+Data!L88+Data!M88+Data!D89+Data!E89+Data!G89+Data!H89+Data!I89+Data!J89+Data!K89+Data!L89+Data!M89+Data!D90+Data!E90+Data!G90+Data!H90+Data!I90+Data!J90+Data!K90+Data!L90+Data!M90+Data!D91+Data!E91+Data!G91+Data!H91+Data!I91+Data!J91+Data!K91+Data!L91+Data!M91+Data!D92+Data!E92+Data!G92+Data!H92+Data!I92+Data!J92+Data!K92+Data!L92+Data!M92+Data!D93+Data!E93+Data!G93+Data!H93+Data!I93+Data!J93+Data!K93+Data!L93+Data!M93+Data!D94+Data!E94+Data!G94+Data!H94+Data!I94+Data!J94+Data!K94+Data!L94+Data!M94+Data!D95+Data!E95+Data!G95+Data!H95+Data!I95+Data!J95+Data!K95+Data!L95+Data!M95+Data!D96+Data!E96+Data!G96+Data!H96+Data!I96+Data!J96+Data!K96+Data!L96+Data!M96</f>
        <v>12327394</v>
      </c>
      <c r="E96" s="16" t="n">
        <f aca="false">Data!D85+Data!D86+Data!D87+Data!D88+Data!D89+Data!D90+Data!D91+Data!D92+Data!D93+Data!D94+Data!D95+Data!D96</f>
        <v>3976502</v>
      </c>
      <c r="F96" s="16" t="n">
        <f aca="false">Data!E85+Data!E86+Data!E87+Data!E88+Data!E89+Data!E90+Data!E91+Data!E92+Data!E93+Data!E94+Data!E95+Data!E96</f>
        <v>2296582</v>
      </c>
      <c r="G96" s="16" t="n">
        <f aca="false">Data!K85+Data!K86+Data!K87+Data!K88+Data!K89+Data!K90+Data!K91+Data!K92+Data!K93+Data!K94+Data!K95+Data!K96</f>
        <v>1508386</v>
      </c>
      <c r="H96" s="16" t="n">
        <f aca="false">Data!L85+Data!L86+Data!L87+Data!L88+Data!L89+Data!L90+Data!L91+Data!L92+Data!L93+Data!L94+Data!L95+Data!L96</f>
        <v>685005</v>
      </c>
      <c r="I96" s="16" t="n">
        <f aca="false">Data!G85+Data!G86+Data!G87+Data!G88+Data!G89+Data!G90+Data!G91+Data!G92+Data!G93+Data!G94+Data!G95+Data!G96</f>
        <v>1903767</v>
      </c>
      <c r="J96" s="16" t="n">
        <f aca="false">Data!H85+Data!I85+Data!J85+Data!M85+Data!H86+Data!I86+Data!J86+Data!M86+Data!H87+Data!I87+Data!J87+Data!M87+Data!H88+Data!I88+Data!J88+Data!M88+Data!H89+Data!I89+Data!J89+Data!M89+Data!H90+Data!I90+Data!J90+Data!M90+Data!H91+Data!I91+Data!J91+Data!M91+Data!H92+Data!I92+Data!J92+Data!M92+Data!H93+Data!I93+Data!J93+Data!M93+Data!H94+Data!I94+Data!J94+Data!M94+Data!H95+Data!I95+Data!J95+Data!M95+Data!H96+Data!I96+Data!J96+Data!M96</f>
        <v>1957152</v>
      </c>
      <c r="K96" s="16" t="n">
        <f aca="false">Data!F85+Data!F86+Data!F87+Data!F88+Data!F89+Data!F90+Data!F91+Data!F92+Data!F93+Data!F94+Data!F95+Data!F96</f>
        <v>6249042</v>
      </c>
      <c r="L96" s="16" t="n">
        <f aca="false">Data!N85+Data!O85+Data!P85+Data!Q85+Data!R85+Data!S85+Data!N86+Data!O86+Data!P86+Data!Q86+Data!R86+Data!S86+Data!N87+Data!O87+Data!P87+Data!Q87+Data!R87+Data!S87+Data!N88+Data!O88+Data!P88+Data!Q88+Data!R88+Data!S88+Data!N89+Data!O89+Data!P89+Data!Q89+Data!R89+Data!S89+Data!N90+Data!O90+Data!P90+Data!Q90+Data!R90+Data!S90+Data!N91+Data!O91+Data!P91+Data!Q91+Data!R91+Data!S91+Data!N92+Data!O92+Data!P92+Data!Q92+Data!R92+Data!S92+Data!N93+Data!O93+Data!P93+Data!Q93+Data!R93+Data!S93+Data!N94+Data!O94+Data!P94+Data!Q94+Data!R94+Data!S94+Data!N95+Data!O95+Data!P95+Data!Q95+Data!R95+Data!S95+Data!N96+Data!O96+Data!P96+Data!Q96+Data!R96+Data!S96</f>
        <v>2123238</v>
      </c>
      <c r="M96" s="15" t="n">
        <f aca="false">Data!T85+Data!U85+Data!V85+Data!W85+Data!X85+Data!Y85+Data!Z85+Data!AA85+Data!AB85+Data!AC85+Data!AD85+Data!AE85+Data!AF85+Data!AG85+Data!AH85+Data!AI85+Data!AJ85+Data!AK85+Data!AL85+Data!T86+Data!U86+Data!V86+Data!W86+Data!X86+Data!Y86+Data!Z86+Data!AA86+Data!AB86+Data!AC86+Data!AD86+Data!AE86+Data!AF86+Data!AG86+Data!AH86+Data!AI86+Data!AJ86+Data!AK86+Data!AL86+Data!T87+Data!U87+Data!V87+Data!W87+Data!X87+Data!Y87+Data!Z87+Data!AA87+Data!AB87+Data!AC87+Data!AD87+Data!AE87+Data!AF87+Data!AG87+Data!AH87+Data!AI87+Data!AJ87+Data!AK87+Data!AL87+Data!T88+Data!U88+Data!V88+Data!W88+Data!X88+Data!Y88+Data!Z88+Data!AA88+Data!AB88+Data!AC88+Data!AD88+Data!AE88+Data!AF88+Data!AG88+Data!AH88+Data!AI88+Data!AJ88+Data!AK88+Data!AL88+Data!T89+Data!U89+Data!V89+Data!W89+Data!X89+Data!Y89+Data!Z89+Data!AA89+Data!AB89+Data!AC89+Data!AD89+Data!AE89+Data!AF89+Data!AG89+Data!AH89+Data!AI89+Data!AJ89+Data!AK89+Data!AL89+Data!T90+Data!U90+Data!V90+Data!W90+Data!X90+Data!Y90+Data!Z90+Data!AA90+Data!AB90+Data!AC90+Data!AD90+Data!AE90+Data!AF90+Data!AG90+Data!AH90+Data!AI90+Data!AJ90+Data!AK90+Data!AL90+Data!T91+Data!U91+Data!V91+Data!W91+Data!X91+Data!Y91+Data!Z91+Data!AA91+Data!AB91+Data!AC91+Data!AD91+Data!AE91+Data!AF91+Data!AG91+Data!AH91+Data!AI91+Data!AJ91+Data!AK91+Data!AL91+Data!T92+Data!U92+Data!V92+Data!W92+Data!X92+Data!Y92+Data!Z92+Data!AA92+Data!AB92+Data!AC92+Data!AD92+Data!AE92+Data!AF92+Data!AG92+Data!AH92+Data!AI92+Data!AJ92+Data!AK92+Data!AL92+Data!T93+Data!U93+Data!V93+Data!W93+Data!X93+Data!Y93+Data!Z93+Data!AA93+Data!AB93+Data!AC93+Data!AD93+Data!AE93+Data!AF93+Data!AG93+Data!AH93+Data!AI93+Data!AJ93+Data!AK93+Data!AL93+Data!T94+Data!U94+Data!V94+Data!W94+Data!X94+Data!Y94+Data!Z94+Data!AA94+Data!AB94+Data!AC94+Data!AD94+Data!AE94+Data!AF94+Data!AG94+Data!AH94+Data!AI94+Data!AJ94+Data!AK94+Data!AL94+Data!T95+Data!U95+Data!V95+Data!W95+Data!X95+Data!Y95+Data!Z95+Data!AA95+Data!AB95+Data!AC95+Data!AD95+Data!AE95+Data!AF95+Data!AG95+Data!AH95+Data!AI95+Data!AJ95+Data!AK95+Data!AL95+Data!T96+Data!U96+Data!V96+Data!W96+Data!X96+Data!Y96+Data!Z96+Data!AA96+Data!AB96+Data!AC96+Data!AD96+Data!AE96+Data!AF96+Data!AG96+Data!AH96+Data!AI96+Data!AJ96+Data!AK96+Data!AL96</f>
        <v>23484141</v>
      </c>
      <c r="N96" s="16" t="n">
        <f aca="false">Data!T85+Data!U85+Data!V85+Data!W85+Data!T86+Data!U86+Data!V86+Data!W86+Data!T87+Data!U87+Data!V87+Data!W87+Data!T88+Data!U88+Data!V88+Data!W88+Data!T89+Data!U89+Data!V89+Data!W89+Data!T90+Data!U90+Data!V90+Data!W90+Data!T91+Data!U91+Data!V91+Data!W91+Data!T92+Data!U92+Data!V92+Data!W92+Data!T93+Data!U93+Data!V93+Data!W93+Data!T94+Data!U94+Data!V94+Data!W94+Data!T95+Data!U95+Data!V95+Data!W95+Data!T96+Data!U96+Data!V96+Data!W96</f>
        <v>10814161</v>
      </c>
      <c r="O96" s="16" t="n">
        <f aca="false">Data!T85+Data!T86+Data!T87+Data!T88+Data!T89+Data!T90+Data!T91+Data!T92+Data!T93+Data!T94+Data!T95+Data!T96</f>
        <v>7929479</v>
      </c>
      <c r="P96" s="16" t="n">
        <f aca="false">Data!U85+Data!U86+Data!U87+Data!U88+Data!U89+Data!U90+Data!U91+Data!U92+Data!U93+Data!U94+Data!U95+Data!U96</f>
        <v>1176868</v>
      </c>
      <c r="Q96" s="16" t="n">
        <f aca="false">Data!V85+Data!V86+Data!V87+Data!V88+Data!V89+Data!V90+Data!V91+Data!V92+Data!V93+Data!V94+Data!V95+Data!V96</f>
        <v>776484</v>
      </c>
      <c r="R96" s="16" t="n">
        <f aca="false">Data!W85+Data!W86+Data!W87+Data!W88+Data!W89+Data!W90+Data!W91+Data!W92+Data!W93+Data!W94+Data!W95+Data!W96</f>
        <v>931330</v>
      </c>
      <c r="S96" s="16" t="n">
        <f aca="false">Data!X85+Data!X86+Data!X87+Data!X88+Data!X89+Data!X90+Data!X91+Data!X92+Data!X93+Data!X94+Data!X95+Data!X96</f>
        <v>2163360</v>
      </c>
      <c r="T96" s="16" t="n">
        <f aca="false">Data!Y85+Data!Z85+Data!AA85+Data!Y86+Data!Z86+Data!AA86+Data!Y87+Data!Z87+Data!AA87+Data!Y88+Data!Z88+Data!AA88+Data!Y89+Data!Z89+Data!AA89+Data!Y90+Data!Z90+Data!AA90+Data!Y91+Data!Z91+Data!AA91+Data!Y92+Data!Z92+Data!AA92+Data!Y93+Data!Z93+Data!AA93+Data!Y94+Data!Z94+Data!AA94+Data!Y95+Data!Z95+Data!AA95+Data!Y96+Data!Z96+Data!AA96</f>
        <v>2882336</v>
      </c>
      <c r="U96" s="16" t="n">
        <f aca="false">Data!Y85+Data!Y86+Data!Y87+Data!Y88+Data!Y89+Data!Y90+Data!Y91+Data!Y92+Data!Y93+Data!Y94+Data!Y95+Data!Y96</f>
        <v>2236424</v>
      </c>
      <c r="V96" s="16" t="n">
        <f aca="false">Data!Z85+Data!Z86+Data!Z87+Data!Z88+Data!Z89+Data!Z90+Data!Z91+Data!Z92+Data!Z93+Data!Z94+Data!Z95+Data!Z96</f>
        <v>596762</v>
      </c>
      <c r="W96" s="16" t="n">
        <f aca="false">Data!AB85+Data!AB86+Data!AB87+Data!AB88+Data!AB89+Data!AB90+Data!AB91+Data!AB92+Data!AB93+Data!AB94+Data!AB95+Data!AB96</f>
        <v>2909774</v>
      </c>
      <c r="X96" s="16" t="n">
        <f aca="false">Data!AC85+Data!AC86+Data!AC87+Data!AC88+Data!AC89+Data!AC90+Data!AC91+Data!AC92+Data!AC93+Data!AC94+Data!AC95+Data!AC96</f>
        <v>791429</v>
      </c>
      <c r="Y96" s="16" t="n">
        <f aca="false">Data!AD85+Data!AE85+Data!AF85+Data!AG85+Data!AH85+Data!AD86+Data!AE86+Data!AF86+Data!AG86+Data!AH86+Data!AD87+Data!AE87+Data!AF87+Data!AG87+Data!AH87+Data!AD88+Data!AE88+Data!AF88+Data!AG88+Data!AH88+Data!AD89+Data!AE89+Data!AF89+Data!AG89+Data!AH89+Data!AD90+Data!AE90+Data!AF90+Data!AG90+Data!AH90+Data!AD91+Data!AE91+Data!AF91+Data!AG91+Data!AH91+Data!AD92+Data!AE92+Data!AF92+Data!AG92+Data!AH92+Data!AD93+Data!AE93+Data!AF93+Data!AG93+Data!AH93+Data!AD94+Data!AE94+Data!AF94+Data!AG94+Data!AH94+Data!AD95+Data!AE95+Data!AF95+Data!AG95+Data!AH95+Data!AD96+Data!AE96+Data!AF96+Data!AG96+Data!AH96</f>
        <v>697892</v>
      </c>
      <c r="Z96" s="16" t="n">
        <f aca="false">Data!AI85+Data!AI86+Data!AI87+Data!AI88+Data!AI89+Data!AI90+Data!AI91+Data!AI92+Data!AI93+Data!AI94+Data!AI95+Data!AI96</f>
        <v>743781</v>
      </c>
      <c r="AA96" s="16" t="n">
        <f aca="false">Data!AJ85+Data!AJ86+Data!AJ87+Data!AJ88+Data!AJ89+Data!AJ90+Data!AJ91+Data!AJ92+Data!AJ93+Data!AJ94+Data!AJ95+Data!AJ96</f>
        <v>0</v>
      </c>
      <c r="AB96" s="16" t="n">
        <f aca="false">Data!AK85+Data!AK86+Data!AK87+Data!AK88+Data!AK89+Data!AK90+Data!AK91+Data!AK92+Data!AK93+Data!AK94+Data!AK95+Data!AK96</f>
        <v>432155</v>
      </c>
      <c r="AC96" s="16" t="n">
        <f aca="false">Data!AL85+Data!AL86+Data!AL87+Data!AL88+Data!AL89+Data!AL90+Data!AL91+Data!AL92+Data!AL93+Data!AL94+Data!AL95+Data!AL96</f>
        <v>2049253</v>
      </c>
      <c r="AD96" s="15" t="n">
        <f aca="false">Data!AM85+Data!AM86+Data!AM87+Data!AM88+Data!AM89+Data!AM90+Data!AM91+Data!AM92+Data!AM93+Data!AM94+Data!AM95+Data!AM96</f>
        <v>-2784467</v>
      </c>
      <c r="AE96" s="16" t="n">
        <f aca="false">Data!AN85+Data!AN86+Data!AN87+Data!AN88+Data!AN89+Data!AN90+Data!AN91+Data!AN92+Data!AN93+Data!AN94+Data!AN95+Data!AN96</f>
        <v>2282004</v>
      </c>
      <c r="AF96" s="15" t="n">
        <f aca="false">Data!AO85+Data!AO86+Data!AO87+Data!AO88+Data!AO89+Data!AO90+Data!AO91+Data!AO92+Data!AO93+Data!AO94+Data!AO95+Data!AO96</f>
        <v>-5066470</v>
      </c>
    </row>
    <row r="97" customFormat="false" ht="15" hidden="false" customHeight="false" outlineLevel="0" collapsed="false">
      <c r="B97" s="14" t="str">
        <f aca="false">Data!B97</f>
        <v>2023-07</v>
      </c>
      <c r="C97" s="15" t="n">
        <f aca="false">Data!D86+Data!E86+Data!F86+Data!G86+Data!H86+Data!I86+Data!J86+Data!K86+Data!L86+Data!M86+Data!N86+Data!O86+Data!P86+Data!Q86+Data!R86+Data!S86+Data!D87+Data!E87+Data!F87+Data!G87+Data!H87+Data!I87+Data!J87+Data!K87+Data!L87+Data!M87+Data!N87+Data!O87+Data!P87+Data!Q87+Data!R87+Data!S87+Data!D88+Data!E88+Data!F88+Data!G88+Data!H88+Data!I88+Data!J88+Data!K88+Data!L88+Data!M88+Data!N88+Data!O88+Data!P88+Data!Q88+Data!R88+Data!S88+Data!D89+Data!E89+Data!F89+Data!G89+Data!H89+Data!I89+Data!J89+Data!K89+Data!L89+Data!M89+Data!N89+Data!O89+Data!P89+Data!Q89+Data!R89+Data!S89+Data!D90+Data!E90+Data!F90+Data!G90+Data!H90+Data!I90+Data!J90+Data!K90+Data!L90+Data!M90+Data!N90+Data!O90+Data!P90+Data!Q90+Data!R90+Data!S90+Data!D91+Data!E91+Data!F91+Data!G91+Data!H91+Data!I91+Data!J91+Data!K91+Data!L91+Data!M91+Data!N91+Data!O91+Data!P91+Data!Q91+Data!R91+Data!S91+Data!D92+Data!E92+Data!F92+Data!G92+Data!H92+Data!I92+Data!J92+Data!K92+Data!L92+Data!M92+Data!N92+Data!O92+Data!P92+Data!Q92+Data!R92+Data!S92+Data!D93+Data!E93+Data!F93+Data!G93+Data!H93+Data!I93+Data!J93+Data!K93+Data!L93+Data!M93+Data!N93+Data!O93+Data!P93+Data!Q93+Data!R93+Data!S93+Data!D94+Data!E94+Data!F94+Data!G94+Data!H94+Data!I94+Data!J94+Data!K94+Data!L94+Data!M94+Data!N94+Data!O94+Data!P94+Data!Q94+Data!R94+Data!S94+Data!D95+Data!E95+Data!F95+Data!G95+Data!H95+Data!I95+Data!J95+Data!K95+Data!L95+Data!M95+Data!N95+Data!O95+Data!P95+Data!Q95+Data!R95+Data!S95+Data!D96+Data!E96+Data!F96+Data!G96+Data!H96+Data!I96+Data!J96+Data!K96+Data!L96+Data!M96+Data!N96+Data!O96+Data!P96+Data!Q96+Data!R96+Data!S96+Data!D97+Data!E97+Data!F97+Data!G97+Data!H97+Data!I97+Data!J97+Data!K97+Data!L97+Data!M97+Data!N97+Data!O97+Data!P97+Data!Q97+Data!R97+Data!S97</f>
        <v>22016466</v>
      </c>
      <c r="D97" s="16" t="n">
        <f aca="false">Data!D86+Data!E86+Data!G86+Data!H86+Data!I86+Data!J86+Data!K86+Data!L86+Data!M86+Data!D87+Data!E87+Data!G87+Data!H87+Data!I87+Data!J87+Data!K87+Data!L87+Data!M87+Data!D88+Data!E88+Data!G88+Data!H88+Data!I88+Data!J88+Data!K88+Data!L88+Data!M88+Data!D89+Data!E89+Data!G89+Data!H89+Data!I89+Data!J89+Data!K89+Data!L89+Data!M89+Data!D90+Data!E90+Data!G90+Data!H90+Data!I90+Data!J90+Data!K90+Data!L90+Data!M90+Data!D91+Data!E91+Data!G91+Data!H91+Data!I91+Data!J91+Data!K91+Data!L91+Data!M91+Data!D92+Data!E92+Data!G92+Data!H92+Data!I92+Data!J92+Data!K92+Data!L92+Data!M92+Data!D93+Data!E93+Data!G93+Data!H93+Data!I93+Data!J93+Data!K93+Data!L93+Data!M93+Data!D94+Data!E94+Data!G94+Data!H94+Data!I94+Data!J94+Data!K94+Data!L94+Data!M94+Data!D95+Data!E95+Data!G95+Data!H95+Data!I95+Data!J95+Data!K95+Data!L95+Data!M95+Data!D96+Data!E96+Data!G96+Data!H96+Data!I96+Data!J96+Data!K96+Data!L96+Data!M96+Data!D97+Data!E97+Data!G97+Data!H97+Data!I97+Data!J97+Data!K97+Data!L97+Data!M97</f>
        <v>12965130</v>
      </c>
      <c r="E97" s="16" t="n">
        <f aca="false">Data!D86+Data!D87+Data!D88+Data!D89+Data!D90+Data!D91+Data!D92+Data!D93+Data!D94+Data!D95+Data!D96+Data!D97</f>
        <v>4282083</v>
      </c>
      <c r="F97" s="16" t="n">
        <f aca="false">Data!E86+Data!E87+Data!E88+Data!E89+Data!E90+Data!E91+Data!E92+Data!E93+Data!E94+Data!E95+Data!E96+Data!E97</f>
        <v>2408507</v>
      </c>
      <c r="G97" s="16" t="n">
        <f aca="false">Data!K86+Data!K87+Data!K88+Data!K89+Data!K90+Data!K91+Data!K92+Data!K93+Data!K94+Data!K95+Data!K96+Data!K97</f>
        <v>1464206</v>
      </c>
      <c r="H97" s="16" t="n">
        <f aca="false">Data!L86+Data!L87+Data!L88+Data!L89+Data!L90+Data!L91+Data!L92+Data!L93+Data!L94+Data!L95+Data!L96+Data!L97</f>
        <v>725130</v>
      </c>
      <c r="I97" s="16" t="n">
        <f aca="false">Data!G86+Data!G87+Data!G88+Data!G89+Data!G90+Data!G91+Data!G92+Data!G93+Data!G94+Data!G95+Data!G96+Data!G97</f>
        <v>2033510</v>
      </c>
      <c r="J97" s="16" t="n">
        <f aca="false">Data!H86+Data!I86+Data!J86+Data!M86+Data!H87+Data!I87+Data!J87+Data!M87+Data!H88+Data!I88+Data!J88+Data!M88+Data!H89+Data!I89+Data!J89+Data!M89+Data!H90+Data!I90+Data!J90+Data!M90+Data!H91+Data!I91+Data!J91+Data!M91+Data!H92+Data!I92+Data!J92+Data!M92+Data!H93+Data!I93+Data!J93+Data!M93+Data!H94+Data!I94+Data!J94+Data!M94+Data!H95+Data!I95+Data!J95+Data!M95+Data!H96+Data!I96+Data!J96+Data!M96+Data!H97+Data!I97+Data!J97+Data!M97</f>
        <v>2051694</v>
      </c>
      <c r="K97" s="16" t="n">
        <f aca="false">Data!F86+Data!F87+Data!F88+Data!F89+Data!F90+Data!F91+Data!F92+Data!F93+Data!F94+Data!F95+Data!F96+Data!F97</f>
        <v>6809049</v>
      </c>
      <c r="L97" s="16" t="n">
        <f aca="false">Data!N86+Data!O86+Data!P86+Data!Q86+Data!R86+Data!S86+Data!N87+Data!O87+Data!P87+Data!Q87+Data!R87+Data!S87+Data!N88+Data!O88+Data!P88+Data!Q88+Data!R88+Data!S88+Data!N89+Data!O89+Data!P89+Data!Q89+Data!R89+Data!S89+Data!N90+Data!O90+Data!P90+Data!Q90+Data!R90+Data!S90+Data!N91+Data!O91+Data!P91+Data!Q91+Data!R91+Data!S91+Data!N92+Data!O92+Data!P92+Data!Q92+Data!R92+Data!S92+Data!N93+Data!O93+Data!P93+Data!Q93+Data!R93+Data!S93+Data!N94+Data!O94+Data!P94+Data!Q94+Data!R94+Data!S94+Data!N95+Data!O95+Data!P95+Data!Q95+Data!R95+Data!S95+Data!N96+Data!O96+Data!P96+Data!Q96+Data!R96+Data!S96+Data!N97+Data!O97+Data!P97+Data!Q97+Data!R97+Data!S97</f>
        <v>2242287</v>
      </c>
      <c r="M97" s="15" t="n">
        <f aca="false">Data!T86+Data!U86+Data!V86+Data!W86+Data!X86+Data!Y86+Data!Z86+Data!AA86+Data!AB86+Data!AC86+Data!AD86+Data!AE86+Data!AF86+Data!AG86+Data!AH86+Data!AI86+Data!AJ86+Data!AK86+Data!AL86+Data!T87+Data!U87+Data!V87+Data!W87+Data!X87+Data!Y87+Data!Z87+Data!AA87+Data!AB87+Data!AC87+Data!AD87+Data!AE87+Data!AF87+Data!AG87+Data!AH87+Data!AI87+Data!AJ87+Data!AK87+Data!AL87+Data!T88+Data!U88+Data!V88+Data!W88+Data!X88+Data!Y88+Data!Z88+Data!AA88+Data!AB88+Data!AC88+Data!AD88+Data!AE88+Data!AF88+Data!AG88+Data!AH88+Data!AI88+Data!AJ88+Data!AK88+Data!AL88+Data!T89+Data!U89+Data!V89+Data!W89+Data!X89+Data!Y89+Data!Z89+Data!AA89+Data!AB89+Data!AC89+Data!AD89+Data!AE89+Data!AF89+Data!AG89+Data!AH89+Data!AI89+Data!AJ89+Data!AK89+Data!AL89+Data!T90+Data!U90+Data!V90+Data!W90+Data!X90+Data!Y90+Data!Z90+Data!AA90+Data!AB90+Data!AC90+Data!AD90+Data!AE90+Data!AF90+Data!AG90+Data!AH90+Data!AI90+Data!AJ90+Data!AK90+Data!AL90+Data!T91+Data!U91+Data!V91+Data!W91+Data!X91+Data!Y91+Data!Z91+Data!AA91+Data!AB91+Data!AC91+Data!AD91+Data!AE91+Data!AF91+Data!AG91+Data!AH91+Data!AI91+Data!AJ91+Data!AK91+Data!AL91+Data!T92+Data!U92+Data!V92+Data!W92+Data!X92+Data!Y92+Data!Z92+Data!AA92+Data!AB92+Data!AC92+Data!AD92+Data!AE92+Data!AF92+Data!AG92+Data!AH92+Data!AI92+Data!AJ92+Data!AK92+Data!AL92+Data!T93+Data!U93+Data!V93+Data!W93+Data!X93+Data!Y93+Data!Z93+Data!AA93+Data!AB93+Data!AC93+Data!AD93+Data!AE93+Data!AF93+Data!AG93+Data!AH93+Data!AI93+Data!AJ93+Data!AK93+Data!AL93+Data!T94+Data!U94+Data!V94+Data!W94+Data!X94+Data!Y94+Data!Z94+Data!AA94+Data!AB94+Data!AC94+Data!AD94+Data!AE94+Data!AF94+Data!AG94+Data!AH94+Data!AI94+Data!AJ94+Data!AK94+Data!AL94+Data!T95+Data!U95+Data!V95+Data!W95+Data!X95+Data!Y95+Data!Z95+Data!AA95+Data!AB95+Data!AC95+Data!AD95+Data!AE95+Data!AF95+Data!AG95+Data!AH95+Data!AI95+Data!AJ95+Data!AK95+Data!AL95+Data!T96+Data!U96+Data!V96+Data!W96+Data!X96+Data!Y96+Data!Z96+Data!AA96+Data!AB96+Data!AC96+Data!AD96+Data!AE96+Data!AF96+Data!AG96+Data!AH96+Data!AI96+Data!AJ96+Data!AK96+Data!AL96+Data!T97+Data!U97+Data!V97+Data!W97+Data!X97+Data!Y97+Data!Z97+Data!AA97+Data!AB97+Data!AC97+Data!AD97+Data!AE97+Data!AF97+Data!AG97+Data!AH97+Data!AI97+Data!AJ97+Data!AK97+Data!AL97</f>
        <v>25133354</v>
      </c>
      <c r="N97" s="16" t="n">
        <f aca="false">Data!T86+Data!U86+Data!V86+Data!W86+Data!T87+Data!U87+Data!V87+Data!W87+Data!T88+Data!U88+Data!V88+Data!W88+Data!T89+Data!U89+Data!V89+Data!W89+Data!T90+Data!U90+Data!V90+Data!W90+Data!T91+Data!U91+Data!V91+Data!W91+Data!T92+Data!U92+Data!V92+Data!W92+Data!T93+Data!U93+Data!V93+Data!W93+Data!T94+Data!U94+Data!V94+Data!W94+Data!T95+Data!U95+Data!V95+Data!W95+Data!T96+Data!U96+Data!V96+Data!W96+Data!T97+Data!U97+Data!V97+Data!W97</f>
        <v>11443915</v>
      </c>
      <c r="O97" s="16" t="n">
        <f aca="false">Data!T86+Data!T87+Data!T88+Data!T89+Data!T90+Data!T91+Data!T92+Data!T93+Data!T94+Data!T95+Data!T96+Data!T97</f>
        <v>8374160</v>
      </c>
      <c r="P97" s="16" t="n">
        <f aca="false">Data!U86+Data!U87+Data!U88+Data!U89+Data!U90+Data!U91+Data!U92+Data!U93+Data!U94+Data!U95+Data!U96+Data!U97</f>
        <v>1246123</v>
      </c>
      <c r="Q97" s="16" t="n">
        <f aca="false">Data!V86+Data!V87+Data!V88+Data!V89+Data!V90+Data!V91+Data!V92+Data!V93+Data!V94+Data!V95+Data!V96+Data!V97</f>
        <v>815817</v>
      </c>
      <c r="R97" s="16" t="n">
        <f aca="false">Data!W86+Data!W87+Data!W88+Data!W89+Data!W90+Data!W91+Data!W92+Data!W93+Data!W94+Data!W95+Data!W96+Data!W97</f>
        <v>1007815</v>
      </c>
      <c r="S97" s="16" t="n">
        <f aca="false">Data!X86+Data!X87+Data!X88+Data!X89+Data!X90+Data!X91+Data!X92+Data!X93+Data!X94+Data!X95+Data!X96+Data!X97</f>
        <v>2374099</v>
      </c>
      <c r="T97" s="16" t="n">
        <f aca="false">Data!Y86+Data!Z86+Data!AA86+Data!Y87+Data!Z87+Data!AA87+Data!Y88+Data!Z88+Data!AA88+Data!Y89+Data!Z89+Data!AA89+Data!Y90+Data!Z90+Data!AA90+Data!Y91+Data!Z91+Data!AA91+Data!Y92+Data!Z92+Data!AA92+Data!Y93+Data!Z93+Data!AA93+Data!Y94+Data!Z94+Data!AA94+Data!Y95+Data!Z95+Data!AA95+Data!Y96+Data!Z96+Data!AA96+Data!Y97+Data!Z97+Data!AA97</f>
        <v>2988244</v>
      </c>
      <c r="U97" s="16" t="n">
        <f aca="false">Data!Y86+Data!Y87+Data!Y88+Data!Y89+Data!Y90+Data!Y91+Data!Y92+Data!Y93+Data!Y94+Data!Y95+Data!Y96+Data!Y97</f>
        <v>2287211</v>
      </c>
      <c r="V97" s="16" t="n">
        <f aca="false">Data!Z86+Data!Z87+Data!Z88+Data!Z89+Data!Z90+Data!Z91+Data!Z92+Data!Z93+Data!Z94+Data!Z95+Data!Z96+Data!Z97</f>
        <v>648687</v>
      </c>
      <c r="W97" s="16" t="n">
        <f aca="false">Data!AB86+Data!AB87+Data!AB88+Data!AB89+Data!AB90+Data!AB91+Data!AB92+Data!AB93+Data!AB94+Data!AB95+Data!AB96+Data!AB97</f>
        <v>3184410</v>
      </c>
      <c r="X97" s="16" t="n">
        <f aca="false">Data!AC86+Data!AC87+Data!AC88+Data!AC89+Data!AC90+Data!AC91+Data!AC92+Data!AC93+Data!AC94+Data!AC95+Data!AC96+Data!AC97</f>
        <v>856489</v>
      </c>
      <c r="Y97" s="16" t="n">
        <f aca="false">Data!AD86+Data!AE86+Data!AF86+Data!AG86+Data!AH86+Data!AD87+Data!AE87+Data!AF87+Data!AG87+Data!AH87+Data!AD88+Data!AE88+Data!AF88+Data!AG88+Data!AH88+Data!AD89+Data!AE89+Data!AF89+Data!AG89+Data!AH89+Data!AD90+Data!AE90+Data!AF90+Data!AG90+Data!AH90+Data!AD91+Data!AE91+Data!AF91+Data!AG91+Data!AH91+Data!AD92+Data!AE92+Data!AF92+Data!AG92+Data!AH92+Data!AD93+Data!AE93+Data!AF93+Data!AG93+Data!AH93+Data!AD94+Data!AE94+Data!AF94+Data!AG94+Data!AH94+Data!AD95+Data!AE95+Data!AF95+Data!AG95+Data!AH95+Data!AD96+Data!AE96+Data!AF96+Data!AG96+Data!AH96+Data!AD97+Data!AE97+Data!AF97+Data!AG97+Data!AH97</f>
        <v>756053</v>
      </c>
      <c r="Z97" s="16" t="n">
        <f aca="false">Data!AI86+Data!AI87+Data!AI88+Data!AI89+Data!AI90+Data!AI91+Data!AI92+Data!AI93+Data!AI94+Data!AI95+Data!AI96+Data!AI97</f>
        <v>821678</v>
      </c>
      <c r="AA97" s="16" t="n">
        <f aca="false">Data!AJ86+Data!AJ87+Data!AJ88+Data!AJ89+Data!AJ90+Data!AJ91+Data!AJ92+Data!AJ93+Data!AJ94+Data!AJ95+Data!AJ96+Data!AJ97</f>
        <v>0</v>
      </c>
      <c r="AB97" s="16" t="n">
        <f aca="false">Data!AK86+Data!AK87+Data!AK88+Data!AK89+Data!AK90+Data!AK91+Data!AK92+Data!AK93+Data!AK94+Data!AK95+Data!AK96+Data!AK97</f>
        <v>483662</v>
      </c>
      <c r="AC97" s="16" t="n">
        <f aca="false">Data!AL86+Data!AL87+Data!AL88+Data!AL89+Data!AL90+Data!AL91+Data!AL92+Data!AL93+Data!AL94+Data!AL95+Data!AL96+Data!AL97</f>
        <v>2224804</v>
      </c>
      <c r="AD97" s="15" t="n">
        <f aca="false">Data!AM86+Data!AM87+Data!AM88+Data!AM89+Data!AM90+Data!AM91+Data!AM92+Data!AM93+Data!AM94+Data!AM95+Data!AM96+Data!AM97</f>
        <v>-3116888</v>
      </c>
      <c r="AE97" s="16" t="n">
        <f aca="false">Data!AN86+Data!AN87+Data!AN88+Data!AN89+Data!AN90+Data!AN91+Data!AN92+Data!AN93+Data!AN94+Data!AN95+Data!AN96+Data!AN97</f>
        <v>2572163</v>
      </c>
      <c r="AF97" s="15" t="n">
        <f aca="false">Data!AO86+Data!AO87+Data!AO88+Data!AO89+Data!AO90+Data!AO91+Data!AO92+Data!AO93+Data!AO94+Data!AO95+Data!AO96+Data!AO97</f>
        <v>-5689050</v>
      </c>
    </row>
    <row r="98" customFormat="false" ht="15" hidden="false" customHeight="false" outlineLevel="0" collapsed="false">
      <c r="B98" s="14" t="str">
        <f aca="false">Data!B98</f>
        <v>2023-08</v>
      </c>
      <c r="C98" s="15" t="n">
        <f aca="false">Data!D87+Data!E87+Data!F87+Data!G87+Data!H87+Data!I87+Data!J87+Data!K87+Data!L87+Data!M87+Data!N87+Data!O87+Data!P87+Data!Q87+Data!R87+Data!S87+Data!D88+Data!E88+Data!F88+Data!G88+Data!H88+Data!I88+Data!J88+Data!K88+Data!L88+Data!M88+Data!N88+Data!O88+Data!P88+Data!Q88+Data!R88+Data!S88+Data!D89+Data!E89+Data!F89+Data!G89+Data!H89+Data!I89+Data!J89+Data!K89+Data!L89+Data!M89+Data!N89+Data!O89+Data!P89+Data!Q89+Data!R89+Data!S89+Data!D90+Data!E90+Data!F90+Data!G90+Data!H90+Data!I90+Data!J90+Data!K90+Data!L90+Data!M90+Data!N90+Data!O90+Data!P90+Data!Q90+Data!R90+Data!S90+Data!D91+Data!E91+Data!F91+Data!G91+Data!H91+Data!I91+Data!J91+Data!K91+Data!L91+Data!M91+Data!N91+Data!O91+Data!P91+Data!Q91+Data!R91+Data!S91+Data!D92+Data!E92+Data!F92+Data!G92+Data!H92+Data!I92+Data!J92+Data!K92+Data!L92+Data!M92+Data!N92+Data!O92+Data!P92+Data!Q92+Data!R92+Data!S92+Data!D93+Data!E93+Data!F93+Data!G93+Data!H93+Data!I93+Data!J93+Data!K93+Data!L93+Data!M93+Data!N93+Data!O93+Data!P93+Data!Q93+Data!R93+Data!S93+Data!D94+Data!E94+Data!F94+Data!G94+Data!H94+Data!I94+Data!J94+Data!K94+Data!L94+Data!M94+Data!N94+Data!O94+Data!P94+Data!Q94+Data!R94+Data!S94+Data!D95+Data!E95+Data!F95+Data!G95+Data!H95+Data!I95+Data!J95+Data!K95+Data!L95+Data!M95+Data!N95+Data!O95+Data!P95+Data!Q95+Data!R95+Data!S95+Data!D96+Data!E96+Data!F96+Data!G96+Data!H96+Data!I96+Data!J96+Data!K96+Data!L96+Data!M96+Data!N96+Data!O96+Data!P96+Data!Q96+Data!R96+Data!S96+Data!D97+Data!E97+Data!F97+Data!G97+Data!H97+Data!I97+Data!J97+Data!K97+Data!L97+Data!M97+Data!N97+Data!O97+Data!P97+Data!Q97+Data!R97+Data!S97+Data!D98+Data!E98+Data!F98+Data!G98+Data!H98+Data!I98+Data!J98+Data!K98+Data!L98+Data!M98+Data!N98+Data!O98+Data!P98+Data!Q98+Data!R98+Data!S98</f>
        <v>23756674</v>
      </c>
      <c r="D98" s="16" t="n">
        <f aca="false">Data!D87+Data!E87+Data!G87+Data!H87+Data!I87+Data!J87+Data!K87+Data!L87+Data!M87+Data!D88+Data!E88+Data!G88+Data!H88+Data!I88+Data!J88+Data!K88+Data!L88+Data!M88+Data!D89+Data!E89+Data!G89+Data!H89+Data!I89+Data!J89+Data!K89+Data!L89+Data!M89+Data!D90+Data!E90+Data!G90+Data!H90+Data!I90+Data!J90+Data!K90+Data!L90+Data!M90+Data!D91+Data!E91+Data!G91+Data!H91+Data!I91+Data!J91+Data!K91+Data!L91+Data!M91+Data!D92+Data!E92+Data!G92+Data!H92+Data!I92+Data!J92+Data!K92+Data!L92+Data!M92+Data!D93+Data!E93+Data!G93+Data!H93+Data!I93+Data!J93+Data!K93+Data!L93+Data!M93+Data!D94+Data!E94+Data!G94+Data!H94+Data!I94+Data!J94+Data!K94+Data!L94+Data!M94+Data!D95+Data!E95+Data!G95+Data!H95+Data!I95+Data!J95+Data!K95+Data!L95+Data!M95+Data!D96+Data!E96+Data!G96+Data!H96+Data!I96+Data!J96+Data!K96+Data!L96+Data!M96+Data!D97+Data!E97+Data!G97+Data!H97+Data!I97+Data!J97+Data!K97+Data!L97+Data!M97+Data!D98+Data!E98+Data!G98+Data!H98+Data!I98+Data!J98+Data!K98+Data!L98+Data!M98</f>
        <v>14067218</v>
      </c>
      <c r="E98" s="16" t="n">
        <f aca="false">Data!D87+Data!D88+Data!D89+Data!D90+Data!D91+Data!D92+Data!D93+Data!D94+Data!D95+Data!D96+Data!D97+Data!D98</f>
        <v>4670494</v>
      </c>
      <c r="F98" s="16" t="n">
        <f aca="false">Data!E87+Data!E88+Data!E89+Data!E90+Data!E91+Data!E92+Data!E93+Data!E94+Data!E95+Data!E96+Data!E97+Data!E98</f>
        <v>2576371</v>
      </c>
      <c r="G98" s="16" t="n">
        <f aca="false">Data!K87+Data!K88+Data!K89+Data!K90+Data!K91+Data!K92+Data!K93+Data!K94+Data!K95+Data!K96+Data!K97+Data!K98</f>
        <v>1486454</v>
      </c>
      <c r="H98" s="16" t="n">
        <f aca="false">Data!L87+Data!L88+Data!L89+Data!L90+Data!L91+Data!L92+Data!L93+Data!L94+Data!L95+Data!L96+Data!L97+Data!L98</f>
        <v>791648</v>
      </c>
      <c r="I98" s="16" t="n">
        <f aca="false">Data!G87+Data!G88+Data!G89+Data!G90+Data!G91+Data!G92+Data!G93+Data!G94+Data!G95+Data!G96+Data!G97+Data!G98</f>
        <v>2191605</v>
      </c>
      <c r="J98" s="16" t="n">
        <f aca="false">Data!H87+Data!I87+Data!J87+Data!M87+Data!H88+Data!I88+Data!J88+Data!M88+Data!H89+Data!I89+Data!J89+Data!M89+Data!H90+Data!I90+Data!J90+Data!M90+Data!H91+Data!I91+Data!J91+Data!M91+Data!H92+Data!I92+Data!J92+Data!M92+Data!H93+Data!I93+Data!J93+Data!M93+Data!H94+Data!I94+Data!J94+Data!M94+Data!H95+Data!I95+Data!J95+Data!M95+Data!H96+Data!I96+Data!J96+Data!M96+Data!H97+Data!I97+Data!J97+Data!M97+Data!H98+Data!I98+Data!J98+Data!M98</f>
        <v>2350646</v>
      </c>
      <c r="K98" s="16" t="n">
        <f aca="false">Data!F87+Data!F88+Data!F89+Data!F90+Data!F91+Data!F92+Data!F93+Data!F94+Data!F95+Data!F96+Data!F97+Data!F98</f>
        <v>7294767</v>
      </c>
      <c r="L98" s="16" t="n">
        <f aca="false">Data!N87+Data!O87+Data!P87+Data!Q87+Data!R87+Data!S87+Data!N88+Data!O88+Data!P88+Data!Q88+Data!R88+Data!S88+Data!N89+Data!O89+Data!P89+Data!Q89+Data!R89+Data!S89+Data!N90+Data!O90+Data!P90+Data!Q90+Data!R90+Data!S90+Data!N91+Data!O91+Data!P91+Data!Q91+Data!R91+Data!S91+Data!N92+Data!O92+Data!P92+Data!Q92+Data!R92+Data!S92+Data!N93+Data!O93+Data!P93+Data!Q93+Data!R93+Data!S93+Data!N94+Data!O94+Data!P94+Data!Q94+Data!R94+Data!S94+Data!N95+Data!O95+Data!P95+Data!Q95+Data!R95+Data!S95+Data!N96+Data!O96+Data!P96+Data!Q96+Data!R96+Data!S96+Data!N97+Data!O97+Data!P97+Data!Q97+Data!R97+Data!S97+Data!N98+Data!O98+Data!P98+Data!Q98+Data!R98+Data!S98</f>
        <v>2394689</v>
      </c>
      <c r="M98" s="15" t="n">
        <f aca="false">Data!T87+Data!U87+Data!V87+Data!W87+Data!X87+Data!Y87+Data!Z87+Data!AA87+Data!AB87+Data!AC87+Data!AD87+Data!AE87+Data!AF87+Data!AG87+Data!AH87+Data!AI87+Data!AJ87+Data!AK87+Data!AL87+Data!T88+Data!U88+Data!V88+Data!W88+Data!X88+Data!Y88+Data!Z88+Data!AA88+Data!AB88+Data!AC88+Data!AD88+Data!AE88+Data!AF88+Data!AG88+Data!AH88+Data!AI88+Data!AJ88+Data!AK88+Data!AL88+Data!T89+Data!U89+Data!V89+Data!W89+Data!X89+Data!Y89+Data!Z89+Data!AA89+Data!AB89+Data!AC89+Data!AD89+Data!AE89+Data!AF89+Data!AG89+Data!AH89+Data!AI89+Data!AJ89+Data!AK89+Data!AL89+Data!T90+Data!U90+Data!V90+Data!W90+Data!X90+Data!Y90+Data!Z90+Data!AA90+Data!AB90+Data!AC90+Data!AD90+Data!AE90+Data!AF90+Data!AG90+Data!AH90+Data!AI90+Data!AJ90+Data!AK90+Data!AL90+Data!T91+Data!U91+Data!V91+Data!W91+Data!X91+Data!Y91+Data!Z91+Data!AA91+Data!AB91+Data!AC91+Data!AD91+Data!AE91+Data!AF91+Data!AG91+Data!AH91+Data!AI91+Data!AJ91+Data!AK91+Data!AL91+Data!T92+Data!U92+Data!V92+Data!W92+Data!X92+Data!Y92+Data!Z92+Data!AA92+Data!AB92+Data!AC92+Data!AD92+Data!AE92+Data!AF92+Data!AG92+Data!AH92+Data!AI92+Data!AJ92+Data!AK92+Data!AL92+Data!T93+Data!U93+Data!V93+Data!W93+Data!X93+Data!Y93+Data!Z93+Data!AA93+Data!AB93+Data!AC93+Data!AD93+Data!AE93+Data!AF93+Data!AG93+Data!AH93+Data!AI93+Data!AJ93+Data!AK93+Data!AL93+Data!T94+Data!U94+Data!V94+Data!W94+Data!X94+Data!Y94+Data!Z94+Data!AA94+Data!AB94+Data!AC94+Data!AD94+Data!AE94+Data!AF94+Data!AG94+Data!AH94+Data!AI94+Data!AJ94+Data!AK94+Data!AL94+Data!T95+Data!U95+Data!V95+Data!W95+Data!X95+Data!Y95+Data!Z95+Data!AA95+Data!AB95+Data!AC95+Data!AD95+Data!AE95+Data!AF95+Data!AG95+Data!AH95+Data!AI95+Data!AJ95+Data!AK95+Data!AL95+Data!T96+Data!U96+Data!V96+Data!W96+Data!X96+Data!Y96+Data!Z96+Data!AA96+Data!AB96+Data!AC96+Data!AD96+Data!AE96+Data!AF96+Data!AG96+Data!AH96+Data!AI96+Data!AJ96+Data!AK96+Data!AL96+Data!T97+Data!U97+Data!V97+Data!W97+Data!X97+Data!Y97+Data!Z97+Data!AA97+Data!AB97+Data!AC97+Data!AD97+Data!AE97+Data!AF97+Data!AG97+Data!AH97+Data!AI97+Data!AJ97+Data!AK97+Data!AL97+Data!T98+Data!U98+Data!V98+Data!W98+Data!X98+Data!Y98+Data!Z98+Data!AA98+Data!AB98+Data!AC98+Data!AD98+Data!AE98+Data!AF98+Data!AG98+Data!AH98+Data!AI98+Data!AJ98+Data!AK98+Data!AL98</f>
        <v>26700474</v>
      </c>
      <c r="N98" s="16" t="n">
        <f aca="false">Data!T87+Data!U87+Data!V87+Data!W87+Data!T88+Data!U88+Data!V88+Data!W88+Data!T89+Data!U89+Data!V89+Data!W89+Data!T90+Data!U90+Data!V90+Data!W90+Data!T91+Data!U91+Data!V91+Data!W91+Data!T92+Data!U92+Data!V92+Data!W92+Data!T93+Data!U93+Data!V93+Data!W93+Data!T94+Data!U94+Data!V94+Data!W94+Data!T95+Data!U95+Data!V95+Data!W95+Data!T96+Data!U96+Data!V96+Data!W96+Data!T97+Data!U97+Data!V97+Data!W97+Data!T98+Data!U98+Data!V98+Data!W98</f>
        <v>12119334</v>
      </c>
      <c r="O98" s="16" t="n">
        <f aca="false">Data!T87+Data!T88+Data!T89+Data!T90+Data!T91+Data!T92+Data!T93+Data!T94+Data!T95+Data!T96+Data!T97+Data!T98</f>
        <v>8880594</v>
      </c>
      <c r="P98" s="16" t="n">
        <f aca="false">Data!U87+Data!U88+Data!U89+Data!U90+Data!U91+Data!U92+Data!U93+Data!U94+Data!U95+Data!U96+Data!U97+Data!U98</f>
        <v>1289286</v>
      </c>
      <c r="Q98" s="16" t="n">
        <f aca="false">Data!V87+Data!V88+Data!V89+Data!V90+Data!V91+Data!V92+Data!V93+Data!V94+Data!V95+Data!V96+Data!V97+Data!V98</f>
        <v>859936</v>
      </c>
      <c r="R98" s="16" t="n">
        <f aca="false">Data!W87+Data!W88+Data!W89+Data!W90+Data!W91+Data!W92+Data!W93+Data!W94+Data!W95+Data!W96+Data!W97+Data!W98</f>
        <v>1089518</v>
      </c>
      <c r="S98" s="16" t="n">
        <f aca="false">Data!X87+Data!X88+Data!X89+Data!X90+Data!X91+Data!X92+Data!X93+Data!X94+Data!X95+Data!X96+Data!X97+Data!X98</f>
        <v>2572019</v>
      </c>
      <c r="T98" s="16" t="n">
        <f aca="false">Data!Y87+Data!Z87+Data!AA87+Data!Y88+Data!Z88+Data!AA88+Data!Y89+Data!Z89+Data!AA89+Data!Y90+Data!Z90+Data!AA90+Data!Y91+Data!Z91+Data!AA91+Data!Y92+Data!Z92+Data!AA92+Data!Y93+Data!Z93+Data!AA93+Data!Y94+Data!Z94+Data!AA94+Data!Y95+Data!Z95+Data!AA95+Data!Y96+Data!Z96+Data!AA96+Data!Y97+Data!Z97+Data!AA97+Data!Y98+Data!Z98+Data!AA98</f>
        <v>3154047</v>
      </c>
      <c r="U98" s="16" t="n">
        <f aca="false">Data!Y87+Data!Y88+Data!Y89+Data!Y90+Data!Y91+Data!Y92+Data!Y93+Data!Y94+Data!Y95+Data!Y96+Data!Y97+Data!Y98</f>
        <v>2422149</v>
      </c>
      <c r="V98" s="16" t="n">
        <f aca="false">Data!Z87+Data!Z88+Data!Z89+Data!Z90+Data!Z91+Data!Z92+Data!Z93+Data!Z94+Data!Z95+Data!Z96+Data!Z97+Data!Z98</f>
        <v>676209</v>
      </c>
      <c r="W98" s="16" t="n">
        <f aca="false">Data!AB87+Data!AB88+Data!AB89+Data!AB90+Data!AB91+Data!AB92+Data!AB93+Data!AB94+Data!AB95+Data!AB96+Data!AB97+Data!AB98</f>
        <v>3409786</v>
      </c>
      <c r="X98" s="16" t="n">
        <f aca="false">Data!AC87+Data!AC88+Data!AC89+Data!AC90+Data!AC91+Data!AC92+Data!AC93+Data!AC94+Data!AC95+Data!AC96+Data!AC97+Data!AC98</f>
        <v>937188</v>
      </c>
      <c r="Y98" s="16" t="n">
        <f aca="false">Data!AD87+Data!AE87+Data!AF87+Data!AG87+Data!AH87+Data!AD88+Data!AE88+Data!AF88+Data!AG88+Data!AH88+Data!AD89+Data!AE89+Data!AF89+Data!AG89+Data!AH89+Data!AD90+Data!AE90+Data!AF90+Data!AG90+Data!AH90+Data!AD91+Data!AE91+Data!AF91+Data!AG91+Data!AH91+Data!AD92+Data!AE92+Data!AF92+Data!AG92+Data!AH92+Data!AD93+Data!AE93+Data!AF93+Data!AG93+Data!AH93+Data!AD94+Data!AE94+Data!AF94+Data!AG94+Data!AH94+Data!AD95+Data!AE95+Data!AF95+Data!AG95+Data!AH95+Data!AD96+Data!AE96+Data!AF96+Data!AG96+Data!AH96+Data!AD97+Data!AE97+Data!AF97+Data!AG97+Data!AH97+Data!AD98+Data!AE98+Data!AF98+Data!AG98+Data!AH98</f>
        <v>821439</v>
      </c>
      <c r="Z98" s="16" t="n">
        <f aca="false">Data!AI87+Data!AI88+Data!AI89+Data!AI90+Data!AI91+Data!AI92+Data!AI93+Data!AI94+Data!AI95+Data!AI96+Data!AI97+Data!AI98</f>
        <v>876249</v>
      </c>
      <c r="AA98" s="16" t="n">
        <f aca="false">Data!AJ87+Data!AJ88+Data!AJ89+Data!AJ90+Data!AJ91+Data!AJ92+Data!AJ93+Data!AJ94+Data!AJ95+Data!AJ96+Data!AJ97+Data!AJ98</f>
        <v>0</v>
      </c>
      <c r="AB98" s="16" t="n">
        <f aca="false">Data!AK87+Data!AK88+Data!AK89+Data!AK90+Data!AK91+Data!AK92+Data!AK93+Data!AK94+Data!AK95+Data!AK96+Data!AK97+Data!AK98</f>
        <v>498157</v>
      </c>
      <c r="AC98" s="16" t="n">
        <f aca="false">Data!AL87+Data!AL88+Data!AL89+Data!AL90+Data!AL91+Data!AL92+Data!AL93+Data!AL94+Data!AL95+Data!AL96+Data!AL97+Data!AL98</f>
        <v>2312255</v>
      </c>
      <c r="AD98" s="15" t="n">
        <f aca="false">Data!AM87+Data!AM88+Data!AM89+Data!AM90+Data!AM91+Data!AM92+Data!AM93+Data!AM94+Data!AM95+Data!AM96+Data!AM97+Data!AM98</f>
        <v>-2943800</v>
      </c>
      <c r="AE98" s="16" t="n">
        <f aca="false">Data!AN87+Data!AN88+Data!AN89+Data!AN90+Data!AN91+Data!AN92+Data!AN93+Data!AN94+Data!AN95+Data!AN96+Data!AN97+Data!AN98</f>
        <v>2759650</v>
      </c>
      <c r="AF98" s="15" t="n">
        <f aca="false">Data!AO87+Data!AO88+Data!AO89+Data!AO90+Data!AO91+Data!AO92+Data!AO93+Data!AO94+Data!AO95+Data!AO96+Data!AO97+Data!AO98</f>
        <v>-5703450</v>
      </c>
    </row>
    <row r="99" customFormat="false" ht="15" hidden="false" customHeight="false" outlineLevel="0" collapsed="false">
      <c r="B99" s="14" t="str">
        <f aca="false">Data!B99</f>
        <v>2023-09</v>
      </c>
      <c r="C99" s="15" t="n">
        <f aca="false">Data!D88+Data!E88+Data!F88+Data!G88+Data!H88+Data!I88+Data!J88+Data!K88+Data!L88+Data!M88+Data!N88+Data!O88+Data!P88+Data!Q88+Data!R88+Data!S88+Data!D89+Data!E89+Data!F89+Data!G89+Data!H89+Data!I89+Data!J89+Data!K89+Data!L89+Data!M89+Data!N89+Data!O89+Data!P89+Data!Q89+Data!R89+Data!S89+Data!D90+Data!E90+Data!F90+Data!G90+Data!H90+Data!I90+Data!J90+Data!K90+Data!L90+Data!M90+Data!N90+Data!O90+Data!P90+Data!Q90+Data!R90+Data!S90+Data!D91+Data!E91+Data!F91+Data!G91+Data!H91+Data!I91+Data!J91+Data!K91+Data!L91+Data!M91+Data!N91+Data!O91+Data!P91+Data!Q91+Data!R91+Data!S91+Data!D92+Data!E92+Data!F92+Data!G92+Data!H92+Data!I92+Data!J92+Data!K92+Data!L92+Data!M92+Data!N92+Data!O92+Data!P92+Data!Q92+Data!R92+Data!S92+Data!D93+Data!E93+Data!F93+Data!G93+Data!H93+Data!I93+Data!J93+Data!K93+Data!L93+Data!M93+Data!N93+Data!O93+Data!P93+Data!Q93+Data!R93+Data!S93+Data!D94+Data!E94+Data!F94+Data!G94+Data!H94+Data!I94+Data!J94+Data!K94+Data!L94+Data!M94+Data!N94+Data!O94+Data!P94+Data!Q94+Data!R94+Data!S94+Data!D95+Data!E95+Data!F95+Data!G95+Data!H95+Data!I95+Data!J95+Data!K95+Data!L95+Data!M95+Data!N95+Data!O95+Data!P95+Data!Q95+Data!R95+Data!S95+Data!D96+Data!E96+Data!F96+Data!G96+Data!H96+Data!I96+Data!J96+Data!K96+Data!L96+Data!M96+Data!N96+Data!O96+Data!P96+Data!Q96+Data!R96+Data!S96+Data!D97+Data!E97+Data!F97+Data!G97+Data!H97+Data!I97+Data!J97+Data!K97+Data!L97+Data!M97+Data!N97+Data!O97+Data!P97+Data!Q97+Data!R97+Data!S97+Data!D98+Data!E98+Data!F98+Data!G98+Data!H98+Data!I98+Data!J98+Data!K98+Data!L98+Data!M98+Data!N98+Data!O98+Data!P98+Data!Q98+Data!R98+Data!S98+Data!D99+Data!E99+Data!F99+Data!G99+Data!H99+Data!I99+Data!J99+Data!K99+Data!L99+Data!M99+Data!N99+Data!O99+Data!P99+Data!Q99+Data!R99+Data!S99</f>
        <v>25323752</v>
      </c>
      <c r="D99" s="16" t="n">
        <f aca="false">Data!D88+Data!E88+Data!G88+Data!H88+Data!I88+Data!J88+Data!K88+Data!L88+Data!M88+Data!D89+Data!E89+Data!G89+Data!H89+Data!I89+Data!J89+Data!K89+Data!L89+Data!M89+Data!D90+Data!E90+Data!G90+Data!H90+Data!I90+Data!J90+Data!K90+Data!L90+Data!M90+Data!D91+Data!E91+Data!G91+Data!H91+Data!I91+Data!J91+Data!K91+Data!L91+Data!M91+Data!D92+Data!E92+Data!G92+Data!H92+Data!I92+Data!J92+Data!K92+Data!L92+Data!M92+Data!D93+Data!E93+Data!G93+Data!H93+Data!I93+Data!J93+Data!K93+Data!L93+Data!M93+Data!D94+Data!E94+Data!G94+Data!H94+Data!I94+Data!J94+Data!K94+Data!L94+Data!M94+Data!D95+Data!E95+Data!G95+Data!H95+Data!I95+Data!J95+Data!K95+Data!L95+Data!M95+Data!D96+Data!E96+Data!G96+Data!H96+Data!I96+Data!J96+Data!K96+Data!L96+Data!M96+Data!D97+Data!E97+Data!G97+Data!H97+Data!I97+Data!J97+Data!K97+Data!L97+Data!M97+Data!D98+Data!E98+Data!G98+Data!H98+Data!I98+Data!J98+Data!K98+Data!L98+Data!M98+Data!D99+Data!E99+Data!G99+Data!H99+Data!I99+Data!J99+Data!K99+Data!L99+Data!M99</f>
        <v>15004354</v>
      </c>
      <c r="E99" s="16" t="n">
        <f aca="false">Data!D88+Data!D89+Data!D90+Data!D91+Data!D92+Data!D93+Data!D94+Data!D95+Data!D96+Data!D97+Data!D98+Data!D99</f>
        <v>5156301</v>
      </c>
      <c r="F99" s="16" t="n">
        <f aca="false">Data!E88+Data!E89+Data!E90+Data!E91+Data!E92+Data!E93+Data!E94+Data!E95+Data!E96+Data!E97+Data!E98+Data!E99</f>
        <v>2715946</v>
      </c>
      <c r="G99" s="16" t="n">
        <f aca="false">Data!K88+Data!K89+Data!K90+Data!K91+Data!K92+Data!K93+Data!K94+Data!K95+Data!K96+Data!K97+Data!K98+Data!K99</f>
        <v>1275234</v>
      </c>
      <c r="H99" s="16" t="n">
        <f aca="false">Data!L88+Data!L89+Data!L90+Data!L91+Data!L92+Data!L93+Data!L94+Data!L95+Data!L96+Data!L97+Data!L98+Data!L99</f>
        <v>863823</v>
      </c>
      <c r="I99" s="16" t="n">
        <f aca="false">Data!G88+Data!G89+Data!G90+Data!G91+Data!G92+Data!G93+Data!G94+Data!G95+Data!G96+Data!G97+Data!G98+Data!G99</f>
        <v>2365869</v>
      </c>
      <c r="J99" s="16" t="n">
        <f aca="false">Data!H88+Data!I88+Data!J88+Data!M88+Data!H89+Data!I89+Data!J89+Data!M89+Data!H90+Data!I90+Data!J90+Data!M90+Data!H91+Data!I91+Data!J91+Data!M91+Data!H92+Data!I92+Data!J92+Data!M92+Data!H93+Data!I93+Data!J93+Data!M93+Data!H94+Data!I94+Data!J94+Data!M94+Data!H95+Data!I95+Data!J95+Data!M95+Data!H96+Data!I96+Data!J96+Data!M96+Data!H97+Data!I97+Data!J97+Data!M97+Data!H98+Data!I98+Data!J98+Data!M98+Data!H99+Data!I99+Data!J99+Data!M99</f>
        <v>2627181</v>
      </c>
      <c r="K99" s="16" t="n">
        <f aca="false">Data!F88+Data!F89+Data!F90+Data!F91+Data!F92+Data!F93+Data!F94+Data!F95+Data!F96+Data!F97+Data!F98+Data!F99</f>
        <v>7774876</v>
      </c>
      <c r="L99" s="16" t="n">
        <f aca="false">Data!N88+Data!O88+Data!P88+Data!Q88+Data!R88+Data!S88+Data!N89+Data!O89+Data!P89+Data!Q89+Data!R89+Data!S89+Data!N90+Data!O90+Data!P90+Data!Q90+Data!R90+Data!S90+Data!N91+Data!O91+Data!P91+Data!Q91+Data!R91+Data!S91+Data!N92+Data!O92+Data!P92+Data!Q92+Data!R92+Data!S92+Data!N93+Data!O93+Data!P93+Data!Q93+Data!R93+Data!S93+Data!N94+Data!O94+Data!P94+Data!Q94+Data!R94+Data!S94+Data!N95+Data!O95+Data!P95+Data!Q95+Data!R95+Data!S95+Data!N96+Data!O96+Data!P96+Data!Q96+Data!R96+Data!S96+Data!N97+Data!O97+Data!P97+Data!Q97+Data!R97+Data!S97+Data!N98+Data!O98+Data!P98+Data!Q98+Data!R98+Data!S98+Data!N99+Data!O99+Data!P99+Data!Q99+Data!R99+Data!S99</f>
        <v>2544522</v>
      </c>
      <c r="M99" s="15" t="n">
        <f aca="false">Data!T88+Data!U88+Data!V88+Data!W88+Data!X88+Data!Y88+Data!Z88+Data!AA88+Data!AB88+Data!AC88+Data!AD88+Data!AE88+Data!AF88+Data!AG88+Data!AH88+Data!AI88+Data!AJ88+Data!AK88+Data!AL88+Data!T89+Data!U89+Data!V89+Data!W89+Data!X89+Data!Y89+Data!Z89+Data!AA89+Data!AB89+Data!AC89+Data!AD89+Data!AE89+Data!AF89+Data!AG89+Data!AH89+Data!AI89+Data!AJ89+Data!AK89+Data!AL89+Data!T90+Data!U90+Data!V90+Data!W90+Data!X90+Data!Y90+Data!Z90+Data!AA90+Data!AB90+Data!AC90+Data!AD90+Data!AE90+Data!AF90+Data!AG90+Data!AH90+Data!AI90+Data!AJ90+Data!AK90+Data!AL90+Data!T91+Data!U91+Data!V91+Data!W91+Data!X91+Data!Y91+Data!Z91+Data!AA91+Data!AB91+Data!AC91+Data!AD91+Data!AE91+Data!AF91+Data!AG91+Data!AH91+Data!AI91+Data!AJ91+Data!AK91+Data!AL91+Data!T92+Data!U92+Data!V92+Data!W92+Data!X92+Data!Y92+Data!Z92+Data!AA92+Data!AB92+Data!AC92+Data!AD92+Data!AE92+Data!AF92+Data!AG92+Data!AH92+Data!AI92+Data!AJ92+Data!AK92+Data!AL92+Data!T93+Data!U93+Data!V93+Data!W93+Data!X93+Data!Y93+Data!Z93+Data!AA93+Data!AB93+Data!AC93+Data!AD93+Data!AE93+Data!AF93+Data!AG93+Data!AH93+Data!AI93+Data!AJ93+Data!AK93+Data!AL93+Data!T94+Data!U94+Data!V94+Data!W94+Data!X94+Data!Y94+Data!Z94+Data!AA94+Data!AB94+Data!AC94+Data!AD94+Data!AE94+Data!AF94+Data!AG94+Data!AH94+Data!AI94+Data!AJ94+Data!AK94+Data!AL94+Data!T95+Data!U95+Data!V95+Data!W95+Data!X95+Data!Y95+Data!Z95+Data!AA95+Data!AB95+Data!AC95+Data!AD95+Data!AE95+Data!AF95+Data!AG95+Data!AH95+Data!AI95+Data!AJ95+Data!AK95+Data!AL95+Data!T96+Data!U96+Data!V96+Data!W96+Data!X96+Data!Y96+Data!Z96+Data!AA96+Data!AB96+Data!AC96+Data!AD96+Data!AE96+Data!AF96+Data!AG96+Data!AH96+Data!AI96+Data!AJ96+Data!AK96+Data!AL96+Data!T97+Data!U97+Data!V97+Data!W97+Data!X97+Data!Y97+Data!Z97+Data!AA97+Data!AB97+Data!AC97+Data!AD97+Data!AE97+Data!AF97+Data!AG97+Data!AH97+Data!AI97+Data!AJ97+Data!AK97+Data!AL97+Data!T98+Data!U98+Data!V98+Data!W98+Data!X98+Data!Y98+Data!Z98+Data!AA98+Data!AB98+Data!AC98+Data!AD98+Data!AE98+Data!AF98+Data!AG98+Data!AH98+Data!AI98+Data!AJ98+Data!AK98+Data!AL98+Data!T99+Data!U99+Data!V99+Data!W99+Data!X99+Data!Y99+Data!Z99+Data!AA99+Data!AB99+Data!AC99+Data!AD99+Data!AE99+Data!AF99+Data!AG99+Data!AH99+Data!AI99+Data!AJ99+Data!AK99+Data!AL99</f>
        <v>28728649</v>
      </c>
      <c r="N99" s="16" t="n">
        <f aca="false">Data!T88+Data!U88+Data!V88+Data!W88+Data!T89+Data!U89+Data!V89+Data!W89+Data!T90+Data!U90+Data!V90+Data!W90+Data!T91+Data!U91+Data!V91+Data!W91+Data!T92+Data!U92+Data!V92+Data!W92+Data!T93+Data!U93+Data!V93+Data!W93+Data!T94+Data!U94+Data!V94+Data!W94+Data!T95+Data!U95+Data!V95+Data!W95+Data!T96+Data!U96+Data!V96+Data!W96+Data!T97+Data!U97+Data!V97+Data!W97+Data!T98+Data!U98+Data!V98+Data!W98+Data!T99+Data!U99+Data!V99+Data!W99</f>
        <v>12947797</v>
      </c>
      <c r="O99" s="16" t="n">
        <f aca="false">Data!T88+Data!T89+Data!T90+Data!T91+Data!T92+Data!T93+Data!T94+Data!T95+Data!T96+Data!T97+Data!T98+Data!T99</f>
        <v>9463934</v>
      </c>
      <c r="P99" s="16" t="n">
        <f aca="false">Data!U88+Data!U89+Data!U90+Data!U91+Data!U92+Data!U93+Data!U94+Data!U95+Data!U96+Data!U97+Data!U98+Data!U99</f>
        <v>1346366</v>
      </c>
      <c r="Q99" s="16" t="n">
        <f aca="false">Data!V88+Data!V89+Data!V90+Data!V91+Data!V92+Data!V93+Data!V94+Data!V95+Data!V96+Data!V97+Data!V98+Data!V99</f>
        <v>902711</v>
      </c>
      <c r="R99" s="16" t="n">
        <f aca="false">Data!W88+Data!W89+Data!W90+Data!W91+Data!W92+Data!W93+Data!W94+Data!W95+Data!W96+Data!W97+Data!W98+Data!W99</f>
        <v>1234786</v>
      </c>
      <c r="S99" s="16" t="n">
        <f aca="false">Data!X88+Data!X89+Data!X90+Data!X91+Data!X92+Data!X93+Data!X94+Data!X95+Data!X96+Data!X97+Data!X98+Data!X99</f>
        <v>2873491</v>
      </c>
      <c r="T99" s="16" t="n">
        <f aca="false">Data!Y88+Data!Z88+Data!AA88+Data!Y89+Data!Z89+Data!AA89+Data!Y90+Data!Z90+Data!AA90+Data!Y91+Data!Z91+Data!AA91+Data!Y92+Data!Z92+Data!AA92+Data!Y93+Data!Z93+Data!AA93+Data!Y94+Data!Z94+Data!AA94+Data!Y95+Data!Z95+Data!AA95+Data!Y96+Data!Z96+Data!AA96+Data!Y97+Data!Z97+Data!AA97+Data!Y98+Data!Z98+Data!AA98+Data!Y99+Data!Z99+Data!AA99</f>
        <v>3200668</v>
      </c>
      <c r="U99" s="16" t="n">
        <f aca="false">Data!Y88+Data!Y89+Data!Y90+Data!Y91+Data!Y92+Data!Y93+Data!Y94+Data!Y95+Data!Y96+Data!Y97+Data!Y98+Data!Y99</f>
        <v>2419616</v>
      </c>
      <c r="V99" s="16" t="n">
        <f aca="false">Data!Z88+Data!Z89+Data!Z90+Data!Z91+Data!Z92+Data!Z93+Data!Z94+Data!Z95+Data!Z96+Data!Z97+Data!Z98+Data!Z99</f>
        <v>722763</v>
      </c>
      <c r="W99" s="16" t="n">
        <f aca="false">Data!AB88+Data!AB89+Data!AB90+Data!AB91+Data!AB92+Data!AB93+Data!AB94+Data!AB95+Data!AB96+Data!AB97+Data!AB98+Data!AB99</f>
        <v>3669330</v>
      </c>
      <c r="X99" s="16" t="n">
        <f aca="false">Data!AC88+Data!AC89+Data!AC90+Data!AC91+Data!AC92+Data!AC93+Data!AC94+Data!AC95+Data!AC96+Data!AC97+Data!AC98+Data!AC99</f>
        <v>1009368</v>
      </c>
      <c r="Y99" s="16" t="n">
        <f aca="false">Data!AD88+Data!AE88+Data!AF88+Data!AG88+Data!AH88+Data!AD89+Data!AE89+Data!AF89+Data!AG89+Data!AH89+Data!AD90+Data!AE90+Data!AF90+Data!AG90+Data!AH90+Data!AD91+Data!AE91+Data!AF91+Data!AG91+Data!AH91+Data!AD92+Data!AE92+Data!AF92+Data!AG92+Data!AH92+Data!AD93+Data!AE93+Data!AF93+Data!AG93+Data!AH93+Data!AD94+Data!AE94+Data!AF94+Data!AG94+Data!AH94+Data!AD95+Data!AE95+Data!AF95+Data!AG95+Data!AH95+Data!AD96+Data!AE96+Data!AF96+Data!AG96+Data!AH96+Data!AD97+Data!AE97+Data!AF97+Data!AG97+Data!AH97+Data!AD98+Data!AE98+Data!AF98+Data!AG98+Data!AH98+Data!AD99+Data!AE99+Data!AF99+Data!AG99+Data!AH99</f>
        <v>968347</v>
      </c>
      <c r="Z99" s="16" t="n">
        <f aca="false">Data!AI88+Data!AI89+Data!AI90+Data!AI91+Data!AI92+Data!AI93+Data!AI94+Data!AI95+Data!AI96+Data!AI97+Data!AI98+Data!AI99</f>
        <v>943117</v>
      </c>
      <c r="AA99" s="16" t="n">
        <f aca="false">Data!AJ88+Data!AJ89+Data!AJ90+Data!AJ91+Data!AJ92+Data!AJ93+Data!AJ94+Data!AJ95+Data!AJ96+Data!AJ97+Data!AJ98+Data!AJ99</f>
        <v>0</v>
      </c>
      <c r="AB99" s="16" t="n">
        <f aca="false">Data!AK88+Data!AK89+Data!AK90+Data!AK91+Data!AK92+Data!AK93+Data!AK94+Data!AK95+Data!AK96+Data!AK97+Data!AK98+Data!AK99</f>
        <v>577709</v>
      </c>
      <c r="AC99" s="16" t="n">
        <f aca="false">Data!AL88+Data!AL89+Data!AL90+Data!AL91+Data!AL92+Data!AL93+Data!AL94+Data!AL95+Data!AL96+Data!AL97+Data!AL98+Data!AL99</f>
        <v>2538822</v>
      </c>
      <c r="AD99" s="15" t="n">
        <f aca="false">Data!AM88+Data!AM89+Data!AM90+Data!AM91+Data!AM92+Data!AM93+Data!AM94+Data!AM95+Data!AM96+Data!AM97+Data!AM98+Data!AM99</f>
        <v>-3404897</v>
      </c>
      <c r="AE99" s="16" t="n">
        <f aca="false">Data!AN88+Data!AN89+Data!AN90+Data!AN91+Data!AN92+Data!AN93+Data!AN94+Data!AN95+Data!AN96+Data!AN97+Data!AN98+Data!AN99</f>
        <v>2805641</v>
      </c>
      <c r="AF99" s="15" t="n">
        <f aca="false">Data!AO88+Data!AO89+Data!AO90+Data!AO91+Data!AO92+Data!AO93+Data!AO94+Data!AO95+Data!AO96+Data!AO97+Data!AO98+Data!AO99</f>
        <v>-6210539</v>
      </c>
    </row>
    <row r="100" customFormat="false" ht="15" hidden="false" customHeight="false" outlineLevel="0" collapsed="false">
      <c r="B100" s="14" t="str">
        <f aca="false">Data!B100</f>
        <v>2023-10</v>
      </c>
      <c r="C100" s="15" t="n">
        <f aca="false">Data!D89+Data!E89+Data!F89+Data!G89+Data!H89+Data!I89+Data!J89+Data!K89+Data!L89+Data!M89+Data!N89+Data!O89+Data!P89+Data!Q89+Data!R89+Data!S89+Data!D90+Data!E90+Data!F90+Data!G90+Data!H90+Data!I90+Data!J90+Data!K90+Data!L90+Data!M90+Data!N90+Data!O90+Data!P90+Data!Q90+Data!R90+Data!S90+Data!D91+Data!E91+Data!F91+Data!G91+Data!H91+Data!I91+Data!J91+Data!K91+Data!L91+Data!M91+Data!N91+Data!O91+Data!P91+Data!Q91+Data!R91+Data!S91+Data!D92+Data!E92+Data!F92+Data!G92+Data!H92+Data!I92+Data!J92+Data!K92+Data!L92+Data!M92+Data!N92+Data!O92+Data!P92+Data!Q92+Data!R92+Data!S92+Data!D93+Data!E93+Data!F93+Data!G93+Data!H93+Data!I93+Data!J93+Data!K93+Data!L93+Data!M93+Data!N93+Data!O93+Data!P93+Data!Q93+Data!R93+Data!S93+Data!D94+Data!E94+Data!F94+Data!G94+Data!H94+Data!I94+Data!J94+Data!K94+Data!L94+Data!M94+Data!N94+Data!O94+Data!P94+Data!Q94+Data!R94+Data!S94+Data!D95+Data!E95+Data!F95+Data!G95+Data!H95+Data!I95+Data!J95+Data!K95+Data!L95+Data!M95+Data!N95+Data!O95+Data!P95+Data!Q95+Data!R95+Data!S95+Data!D96+Data!E96+Data!F96+Data!G96+Data!H96+Data!I96+Data!J96+Data!K96+Data!L96+Data!M96+Data!N96+Data!O96+Data!P96+Data!Q96+Data!R96+Data!S96+Data!D97+Data!E97+Data!F97+Data!G97+Data!H97+Data!I97+Data!J97+Data!K97+Data!L97+Data!M97+Data!N97+Data!O97+Data!P97+Data!Q97+Data!R97+Data!S97+Data!D98+Data!E98+Data!F98+Data!G98+Data!H98+Data!I98+Data!J98+Data!K98+Data!L98+Data!M98+Data!N98+Data!O98+Data!P98+Data!Q98+Data!R98+Data!S98+Data!D99+Data!E99+Data!F99+Data!G99+Data!H99+Data!I99+Data!J99+Data!K99+Data!L99+Data!M99+Data!N99+Data!O99+Data!P99+Data!Q99+Data!R99+Data!S99+Data!D100+Data!E100+Data!F100+Data!G100+Data!H100+Data!I100+Data!J100+Data!K100+Data!L100+Data!M100+Data!N100+Data!O100+Data!P100+Data!Q100+Data!R100+Data!S100</f>
        <v>27317714</v>
      </c>
      <c r="D100" s="16" t="n">
        <f aca="false">Data!D89+Data!E89+Data!G89+Data!H89+Data!I89+Data!J89+Data!K89+Data!L89+Data!M89+Data!D90+Data!E90+Data!G90+Data!H90+Data!I90+Data!J90+Data!K90+Data!L90+Data!M90+Data!D91+Data!E91+Data!G91+Data!H91+Data!I91+Data!J91+Data!K91+Data!L91+Data!M91+Data!D92+Data!E92+Data!G92+Data!H92+Data!I92+Data!J92+Data!K92+Data!L92+Data!M92+Data!D93+Data!E93+Data!G93+Data!H93+Data!I93+Data!J93+Data!K93+Data!L93+Data!M93+Data!D94+Data!E94+Data!G94+Data!H94+Data!I94+Data!J94+Data!K94+Data!L94+Data!M94+Data!D95+Data!E95+Data!G95+Data!H95+Data!I95+Data!J95+Data!K95+Data!L95+Data!M95+Data!D96+Data!E96+Data!G96+Data!H96+Data!I96+Data!J96+Data!K96+Data!L96+Data!M96+Data!D97+Data!E97+Data!G97+Data!H97+Data!I97+Data!J97+Data!K97+Data!L97+Data!M97+Data!D98+Data!E98+Data!G98+Data!H98+Data!I98+Data!J98+Data!K98+Data!L98+Data!M98+Data!D99+Data!E99+Data!G99+Data!H99+Data!I99+Data!J99+Data!K99+Data!L99+Data!M99+Data!D100+Data!E100+Data!G100+Data!H100+Data!I100+Data!J100+Data!K100+Data!L100+Data!M100</f>
        <v>16215222</v>
      </c>
      <c r="E100" s="16" t="n">
        <f aca="false">Data!D89+Data!D90+Data!D91+Data!D92+Data!D93+Data!D94+Data!D95+Data!D96+Data!D97+Data!D98+Data!D99+Data!D100</f>
        <v>5573167</v>
      </c>
      <c r="F100" s="16" t="n">
        <f aca="false">Data!E89+Data!E90+Data!E91+Data!E92+Data!E93+Data!E94+Data!E95+Data!E96+Data!E97+Data!E98+Data!E99+Data!E100</f>
        <v>2883082</v>
      </c>
      <c r="G100" s="16" t="n">
        <f aca="false">Data!K89+Data!K90+Data!K91+Data!K92+Data!K93+Data!K94+Data!K95+Data!K96+Data!K97+Data!K98+Data!K99+Data!K100</f>
        <v>1261684</v>
      </c>
      <c r="H100" s="16" t="n">
        <f aca="false">Data!L89+Data!L90+Data!L91+Data!L92+Data!L93+Data!L94+Data!L95+Data!L96+Data!L97+Data!L98+Data!L99+Data!L100</f>
        <v>947511</v>
      </c>
      <c r="I100" s="16" t="n">
        <f aca="false">Data!G89+Data!G90+Data!G91+Data!G92+Data!G93+Data!G94+Data!G95+Data!G96+Data!G97+Data!G98+Data!G99+Data!G100</f>
        <v>2583145</v>
      </c>
      <c r="J100" s="16" t="n">
        <f aca="false">Data!H89+Data!I89+Data!J89+Data!M89+Data!H90+Data!I90+Data!J90+Data!M90+Data!H91+Data!I91+Data!J91+Data!M91+Data!H92+Data!I92+Data!J92+Data!M92+Data!H93+Data!I93+Data!J93+Data!M93+Data!H94+Data!I94+Data!J94+Data!M94+Data!H95+Data!I95+Data!J95+Data!M95+Data!H96+Data!I96+Data!J96+Data!M96+Data!H97+Data!I97+Data!J97+Data!M97+Data!H98+Data!I98+Data!J98+Data!M98+Data!H99+Data!I99+Data!J99+Data!M99+Data!H100+Data!I100+Data!J100+Data!M100</f>
        <v>2966633</v>
      </c>
      <c r="K100" s="16" t="n">
        <f aca="false">Data!F89+Data!F90+Data!F91+Data!F92+Data!F93+Data!F94+Data!F95+Data!F96+Data!F97+Data!F98+Data!F99+Data!F100</f>
        <v>8281574</v>
      </c>
      <c r="L100" s="16" t="n">
        <f aca="false">Data!N89+Data!O89+Data!P89+Data!Q89+Data!R89+Data!S89+Data!N90+Data!O90+Data!P90+Data!Q90+Data!R90+Data!S90+Data!N91+Data!O91+Data!P91+Data!Q91+Data!R91+Data!S91+Data!N92+Data!O92+Data!P92+Data!Q92+Data!R92+Data!S92+Data!N93+Data!O93+Data!P93+Data!Q93+Data!R93+Data!S93+Data!N94+Data!O94+Data!P94+Data!Q94+Data!R94+Data!S94+Data!N95+Data!O95+Data!P95+Data!Q95+Data!R95+Data!S95+Data!N96+Data!O96+Data!P96+Data!Q96+Data!R96+Data!S96+Data!N97+Data!O97+Data!P97+Data!Q97+Data!R97+Data!S97+Data!N98+Data!O98+Data!P98+Data!Q98+Data!R98+Data!S98+Data!N99+Data!O99+Data!P99+Data!Q99+Data!R99+Data!S99+Data!N100+Data!O100+Data!P100+Data!Q100+Data!R100+Data!S100</f>
        <v>2820918</v>
      </c>
      <c r="M100" s="15" t="n">
        <f aca="false">Data!T89+Data!U89+Data!V89+Data!W89+Data!X89+Data!Y89+Data!Z89+Data!AA89+Data!AB89+Data!AC89+Data!AD89+Data!AE89+Data!AF89+Data!AG89+Data!AH89+Data!AI89+Data!AJ89+Data!AK89+Data!AL89+Data!T90+Data!U90+Data!V90+Data!W90+Data!X90+Data!Y90+Data!Z90+Data!AA90+Data!AB90+Data!AC90+Data!AD90+Data!AE90+Data!AF90+Data!AG90+Data!AH90+Data!AI90+Data!AJ90+Data!AK90+Data!AL90+Data!T91+Data!U91+Data!V91+Data!W91+Data!X91+Data!Y91+Data!Z91+Data!AA91+Data!AB91+Data!AC91+Data!AD91+Data!AE91+Data!AF91+Data!AG91+Data!AH91+Data!AI91+Data!AJ91+Data!AK91+Data!AL91+Data!T92+Data!U92+Data!V92+Data!W92+Data!X92+Data!Y92+Data!Z92+Data!AA92+Data!AB92+Data!AC92+Data!AD92+Data!AE92+Data!AF92+Data!AG92+Data!AH92+Data!AI92+Data!AJ92+Data!AK92+Data!AL92+Data!T93+Data!U93+Data!V93+Data!W93+Data!X93+Data!Y93+Data!Z93+Data!AA93+Data!AB93+Data!AC93+Data!AD93+Data!AE93+Data!AF93+Data!AG93+Data!AH93+Data!AI93+Data!AJ93+Data!AK93+Data!AL93+Data!T94+Data!U94+Data!V94+Data!W94+Data!X94+Data!Y94+Data!Z94+Data!AA94+Data!AB94+Data!AC94+Data!AD94+Data!AE94+Data!AF94+Data!AG94+Data!AH94+Data!AI94+Data!AJ94+Data!AK94+Data!AL94+Data!T95+Data!U95+Data!V95+Data!W95+Data!X95+Data!Y95+Data!Z95+Data!AA95+Data!AB95+Data!AC95+Data!AD95+Data!AE95+Data!AF95+Data!AG95+Data!AH95+Data!AI95+Data!AJ95+Data!AK95+Data!AL95+Data!T96+Data!U96+Data!V96+Data!W96+Data!X96+Data!Y96+Data!Z96+Data!AA96+Data!AB96+Data!AC96+Data!AD96+Data!AE96+Data!AF96+Data!AG96+Data!AH96+Data!AI96+Data!AJ96+Data!AK96+Data!AL96+Data!T97+Data!U97+Data!V97+Data!W97+Data!X97+Data!Y97+Data!Z97+Data!AA97+Data!AB97+Data!AC97+Data!AD97+Data!AE97+Data!AF97+Data!AG97+Data!AH97+Data!AI97+Data!AJ97+Data!AK97+Data!AL97+Data!T98+Data!U98+Data!V98+Data!W98+Data!X98+Data!Y98+Data!Z98+Data!AA98+Data!AB98+Data!AC98+Data!AD98+Data!AE98+Data!AF98+Data!AG98+Data!AH98+Data!AI98+Data!AJ98+Data!AK98+Data!AL98+Data!T99+Data!U99+Data!V99+Data!W99+Data!X99+Data!Y99+Data!Z99+Data!AA99+Data!AB99+Data!AC99+Data!AD99+Data!AE99+Data!AF99+Data!AG99+Data!AH99+Data!AI99+Data!AJ99+Data!AK99+Data!AL99+Data!T100+Data!U100+Data!V100+Data!W100+Data!X100+Data!Y100+Data!Z100+Data!AA100+Data!AB100+Data!AC100+Data!AD100+Data!AE100+Data!AF100+Data!AG100+Data!AH100+Data!AI100+Data!AJ100+Data!AK100+Data!AL100</f>
        <v>30949900</v>
      </c>
      <c r="N100" s="16" t="n">
        <f aca="false">Data!T89+Data!U89+Data!V89+Data!W89+Data!T90+Data!U90+Data!V90+Data!W90+Data!T91+Data!U91+Data!V91+Data!W91+Data!T92+Data!U92+Data!V92+Data!W92+Data!T93+Data!U93+Data!V93+Data!W93+Data!T94+Data!U94+Data!V94+Data!W94+Data!T95+Data!U95+Data!V95+Data!W95+Data!T96+Data!U96+Data!V96+Data!W96+Data!T97+Data!U97+Data!V97+Data!W97+Data!T98+Data!U98+Data!V98+Data!W98+Data!T99+Data!U99+Data!V99+Data!W99+Data!T100+Data!U100+Data!V100+Data!W100</f>
        <v>13842451</v>
      </c>
      <c r="O100" s="16" t="n">
        <f aca="false">Data!T89+Data!T90+Data!T91+Data!T92+Data!T93+Data!T94+Data!T95+Data!T96+Data!T97+Data!T98+Data!T99+Data!T100</f>
        <v>10073571</v>
      </c>
      <c r="P100" s="16" t="n">
        <f aca="false">Data!U89+Data!U90+Data!U91+Data!U92+Data!U93+Data!U94+Data!U95+Data!U96+Data!U97+Data!U98+Data!U99+Data!U100</f>
        <v>1400589</v>
      </c>
      <c r="Q100" s="16" t="n">
        <f aca="false">Data!V89+Data!V90+Data!V91+Data!V92+Data!V93+Data!V94+Data!V95+Data!V96+Data!V97+Data!V98+Data!V99+Data!V100</f>
        <v>946710</v>
      </c>
      <c r="R100" s="16" t="n">
        <f aca="false">Data!W89+Data!W90+Data!W91+Data!W92+Data!W93+Data!W94+Data!W95+Data!W96+Data!W97+Data!W98+Data!W99+Data!W100</f>
        <v>1421581</v>
      </c>
      <c r="S100" s="16" t="n">
        <f aca="false">Data!X89+Data!X90+Data!X91+Data!X92+Data!X93+Data!X94+Data!X95+Data!X96+Data!X97+Data!X98+Data!X99+Data!X100</f>
        <v>3327889</v>
      </c>
      <c r="T100" s="16" t="n">
        <f aca="false">Data!Y89+Data!Z89+Data!AA89+Data!Y90+Data!Z90+Data!AA90+Data!Y91+Data!Z91+Data!AA91+Data!Y92+Data!Z92+Data!AA92+Data!Y93+Data!Z93+Data!AA93+Data!Y94+Data!Z94+Data!AA94+Data!Y95+Data!Z95+Data!AA95+Data!Y96+Data!Z96+Data!AA96+Data!Y97+Data!Z97+Data!AA97+Data!Y98+Data!Z98+Data!AA98+Data!Y99+Data!Z99+Data!AA99+Data!Y100+Data!Z100+Data!AA100</f>
        <v>3293477</v>
      </c>
      <c r="U100" s="16" t="n">
        <f aca="false">Data!Y89+Data!Y90+Data!Y91+Data!Y92+Data!Y93+Data!Y94+Data!Y95+Data!Y96+Data!Y97+Data!Y98+Data!Y99+Data!Y100</f>
        <v>2442934</v>
      </c>
      <c r="V100" s="16" t="n">
        <f aca="false">Data!Z89+Data!Z90+Data!Z91+Data!Z92+Data!Z93+Data!Z94+Data!Z95+Data!Z96+Data!Z97+Data!Z98+Data!Z99+Data!Z100</f>
        <v>776734</v>
      </c>
      <c r="W100" s="16" t="n">
        <f aca="false">Data!AB89+Data!AB90+Data!AB91+Data!AB92+Data!AB93+Data!AB94+Data!AB95+Data!AB96+Data!AB97+Data!AB98+Data!AB99+Data!AB100</f>
        <v>3967975</v>
      </c>
      <c r="X100" s="16" t="n">
        <f aca="false">Data!AC89+Data!AC90+Data!AC91+Data!AC92+Data!AC93+Data!AC94+Data!AC95+Data!AC96+Data!AC97+Data!AC98+Data!AC99+Data!AC100</f>
        <v>1103835</v>
      </c>
      <c r="Y100" s="16" t="n">
        <f aca="false">Data!AD89+Data!AE89+Data!AF89+Data!AG89+Data!AH89+Data!AD90+Data!AE90+Data!AF90+Data!AG90+Data!AH90+Data!AD91+Data!AE91+Data!AF91+Data!AG91+Data!AH91+Data!AD92+Data!AE92+Data!AF92+Data!AG92+Data!AH92+Data!AD93+Data!AE93+Data!AF93+Data!AG93+Data!AH93+Data!AD94+Data!AE94+Data!AF94+Data!AG94+Data!AH94+Data!AD95+Data!AE95+Data!AF95+Data!AG95+Data!AH95+Data!AD96+Data!AE96+Data!AF96+Data!AG96+Data!AH96+Data!AD97+Data!AE97+Data!AF97+Data!AG97+Data!AH97+Data!AD98+Data!AE98+Data!AF98+Data!AG98+Data!AH98+Data!AD99+Data!AE99+Data!AF99+Data!AG99+Data!AH99+Data!AD100+Data!AE100+Data!AF100+Data!AG100+Data!AH100</f>
        <v>1068331</v>
      </c>
      <c r="Z100" s="16" t="n">
        <f aca="false">Data!AI89+Data!AI90+Data!AI91+Data!AI92+Data!AI93+Data!AI94+Data!AI95+Data!AI96+Data!AI97+Data!AI98+Data!AI99+Data!AI100</f>
        <v>1012394</v>
      </c>
      <c r="AA100" s="16" t="n">
        <f aca="false">Data!AJ89+Data!AJ90+Data!AJ91+Data!AJ92+Data!AJ93+Data!AJ94+Data!AJ95+Data!AJ96+Data!AJ97+Data!AJ98+Data!AJ99+Data!AJ100</f>
        <v>0</v>
      </c>
      <c r="AB100" s="16" t="n">
        <f aca="false">Data!AK89+Data!AK90+Data!AK91+Data!AK92+Data!AK93+Data!AK94+Data!AK95+Data!AK96+Data!AK97+Data!AK98+Data!AK99+Data!AK100</f>
        <v>633773</v>
      </c>
      <c r="AC100" s="16" t="n">
        <f aca="false">Data!AL89+Data!AL90+Data!AL91+Data!AL92+Data!AL93+Data!AL94+Data!AL95+Data!AL96+Data!AL97+Data!AL98+Data!AL99+Data!AL100</f>
        <v>2699775</v>
      </c>
      <c r="AD100" s="15" t="n">
        <f aca="false">Data!AM89+Data!AM90+Data!AM91+Data!AM92+Data!AM93+Data!AM94+Data!AM95+Data!AM96+Data!AM97+Data!AM98+Data!AM99+Data!AM100</f>
        <v>-3632186</v>
      </c>
      <c r="AE100" s="16" t="n">
        <f aca="false">Data!AN89+Data!AN90+Data!AN91+Data!AN92+Data!AN93+Data!AN94+Data!AN95+Data!AN96+Data!AN97+Data!AN98+Data!AN99+Data!AN100</f>
        <v>2847350</v>
      </c>
      <c r="AF100" s="15" t="n">
        <f aca="false">Data!AO89+Data!AO90+Data!AO91+Data!AO92+Data!AO93+Data!AO94+Data!AO95+Data!AO96+Data!AO97+Data!AO98+Data!AO99+Data!AO100</f>
        <v>-6479537</v>
      </c>
    </row>
    <row r="101" customFormat="false" ht="15" hidden="false" customHeight="false" outlineLevel="0" collapsed="false">
      <c r="B101" s="14" t="str">
        <f aca="false">Data!B101</f>
        <v>2023-11</v>
      </c>
      <c r="C101" s="15" t="n">
        <f aca="false">Data!D90+Data!E90+Data!F90+Data!G90+Data!H90+Data!I90+Data!J90+Data!K90+Data!L90+Data!M90+Data!N90+Data!O90+Data!P90+Data!Q90+Data!R90+Data!S90+Data!D91+Data!E91+Data!F91+Data!G91+Data!H91+Data!I91+Data!J91+Data!K91+Data!L91+Data!M91+Data!N91+Data!O91+Data!P91+Data!Q91+Data!R91+Data!S91+Data!D92+Data!E92+Data!F92+Data!G92+Data!H92+Data!I92+Data!J92+Data!K92+Data!L92+Data!M92+Data!N92+Data!O92+Data!P92+Data!Q92+Data!R92+Data!S92+Data!D93+Data!E93+Data!F93+Data!G93+Data!H93+Data!I93+Data!J93+Data!K93+Data!L93+Data!M93+Data!N93+Data!O93+Data!P93+Data!Q93+Data!R93+Data!S93+Data!D94+Data!E94+Data!F94+Data!G94+Data!H94+Data!I94+Data!J94+Data!K94+Data!L94+Data!M94+Data!N94+Data!O94+Data!P94+Data!Q94+Data!R94+Data!S94+Data!D95+Data!E95+Data!F95+Data!G95+Data!H95+Data!I95+Data!J95+Data!K95+Data!L95+Data!M95+Data!N95+Data!O95+Data!P95+Data!Q95+Data!R95+Data!S95+Data!D96+Data!E96+Data!F96+Data!G96+Data!H96+Data!I96+Data!J96+Data!K96+Data!L96+Data!M96+Data!N96+Data!O96+Data!P96+Data!Q96+Data!R96+Data!S96+Data!D97+Data!E97+Data!F97+Data!G97+Data!H97+Data!I97+Data!J97+Data!K97+Data!L97+Data!M97+Data!N97+Data!O97+Data!P97+Data!Q97+Data!R97+Data!S97+Data!D98+Data!E98+Data!F98+Data!G98+Data!H98+Data!I98+Data!J98+Data!K98+Data!L98+Data!M98+Data!N98+Data!O98+Data!P98+Data!Q98+Data!R98+Data!S98+Data!D99+Data!E99+Data!F99+Data!G99+Data!H99+Data!I99+Data!J99+Data!K99+Data!L99+Data!M99+Data!N99+Data!O99+Data!P99+Data!Q99+Data!R99+Data!S99+Data!D100+Data!E100+Data!F100+Data!G100+Data!H100+Data!I100+Data!J100+Data!K100+Data!L100+Data!M100+Data!N100+Data!O100+Data!P100+Data!Q100+Data!R100+Data!S100+Data!D101+Data!E101+Data!F101+Data!G101+Data!H101+Data!I101+Data!J101+Data!K101+Data!L101+Data!M101+Data!N101+Data!O101+Data!P101+Data!Q101+Data!R101+Data!S101</f>
        <v>29781182</v>
      </c>
      <c r="D101" s="16" t="n">
        <f aca="false">Data!D90+Data!E90+Data!G90+Data!H90+Data!I90+Data!J90+Data!K90+Data!L90+Data!M90+Data!D91+Data!E91+Data!G91+Data!H91+Data!I91+Data!J91+Data!K91+Data!L91+Data!M91+Data!D92+Data!E92+Data!G92+Data!H92+Data!I92+Data!J92+Data!K92+Data!L92+Data!M92+Data!D93+Data!E93+Data!G93+Data!H93+Data!I93+Data!J93+Data!K93+Data!L93+Data!M93+Data!D94+Data!E94+Data!G94+Data!H94+Data!I94+Data!J94+Data!K94+Data!L94+Data!M94+Data!D95+Data!E95+Data!G95+Data!H95+Data!I95+Data!J95+Data!K95+Data!L95+Data!M95+Data!D96+Data!E96+Data!G96+Data!H96+Data!I96+Data!J96+Data!K96+Data!L96+Data!M96+Data!D97+Data!E97+Data!G97+Data!H97+Data!I97+Data!J97+Data!K97+Data!L97+Data!M97+Data!D98+Data!E98+Data!G98+Data!H98+Data!I98+Data!J98+Data!K98+Data!L98+Data!M98+Data!D99+Data!E99+Data!G99+Data!H99+Data!I99+Data!J99+Data!K99+Data!L99+Data!M99+Data!D100+Data!E100+Data!G100+Data!H100+Data!I100+Data!J100+Data!K100+Data!L100+Data!M100+Data!D101+Data!E101+Data!G101+Data!H101+Data!I101+Data!J101+Data!K101+Data!L101+Data!M101</f>
        <v>17481082</v>
      </c>
      <c r="E101" s="16" t="n">
        <f aca="false">Data!D90+Data!D91+Data!D92+Data!D93+Data!D94+Data!D95+Data!D96+Data!D97+Data!D98+Data!D99+Data!D100+Data!D101</f>
        <v>6051738</v>
      </c>
      <c r="F101" s="16" t="n">
        <f aca="false">Data!E90+Data!E91+Data!E92+Data!E93+Data!E94+Data!E95+Data!E96+Data!E97+Data!E98+Data!E99+Data!E100+Data!E101</f>
        <v>3032407</v>
      </c>
      <c r="G101" s="16" t="n">
        <f aca="false">Data!K90+Data!K91+Data!K92+Data!K93+Data!K94+Data!K95+Data!K96+Data!K97+Data!K98+Data!K99+Data!K100+Data!K101</f>
        <v>1310146</v>
      </c>
      <c r="H101" s="16" t="n">
        <f aca="false">Data!L90+Data!L91+Data!L92+Data!L93+Data!L94+Data!L95+Data!L96+Data!L97+Data!L98+Data!L99+Data!L100+Data!L101</f>
        <v>1009846</v>
      </c>
      <c r="I101" s="16" t="n">
        <f aca="false">Data!G90+Data!G91+Data!G92+Data!G93+Data!G94+Data!G95+Data!G96+Data!G97+Data!G98+Data!G99+Data!G100+Data!G101</f>
        <v>2822245</v>
      </c>
      <c r="J101" s="16" t="n">
        <f aca="false">Data!H90+Data!I90+Data!J90+Data!M90+Data!H91+Data!I91+Data!J91+Data!M91+Data!H92+Data!I92+Data!J92+Data!M92+Data!H93+Data!I93+Data!J93+Data!M93+Data!H94+Data!I94+Data!J94+Data!M94+Data!H95+Data!I95+Data!J95+Data!M95+Data!H96+Data!I96+Data!J96+Data!M96+Data!H97+Data!I97+Data!J97+Data!M97+Data!H98+Data!I98+Data!J98+Data!M98+Data!H99+Data!I99+Data!J99+Data!M99+Data!H100+Data!I100+Data!J100+Data!M100+Data!H101+Data!I101+Data!J101+Data!M101</f>
        <v>3254700</v>
      </c>
      <c r="K101" s="16" t="n">
        <f aca="false">Data!F90+Data!F91+Data!F92+Data!F93+Data!F94+Data!F95+Data!F96+Data!F97+Data!F98+Data!F99+Data!F100+Data!F101</f>
        <v>8913403</v>
      </c>
      <c r="L101" s="16" t="n">
        <f aca="false">Data!N90+Data!O90+Data!P90+Data!Q90+Data!R90+Data!S90+Data!N91+Data!O91+Data!P91+Data!Q91+Data!R91+Data!S91+Data!N92+Data!O92+Data!P92+Data!Q92+Data!R92+Data!S92+Data!N93+Data!O93+Data!P93+Data!Q93+Data!R93+Data!S93+Data!N94+Data!O94+Data!P94+Data!Q94+Data!R94+Data!S94+Data!N95+Data!O95+Data!P95+Data!Q95+Data!R95+Data!S95+Data!N96+Data!O96+Data!P96+Data!Q96+Data!R96+Data!S96+Data!N97+Data!O97+Data!P97+Data!Q97+Data!R97+Data!S97+Data!N98+Data!O98+Data!P98+Data!Q98+Data!R98+Data!S98+Data!N99+Data!O99+Data!P99+Data!Q99+Data!R99+Data!S99+Data!N100+Data!O100+Data!P100+Data!Q100+Data!R100+Data!S100+Data!N101+Data!O101+Data!P101+Data!Q101+Data!R101+Data!S101</f>
        <v>3386697</v>
      </c>
      <c r="M101" s="15" t="n">
        <f aca="false">Data!T90+Data!U90+Data!V90+Data!W90+Data!X90+Data!Y90+Data!Z90+Data!AA90+Data!AB90+Data!AC90+Data!AD90+Data!AE90+Data!AF90+Data!AG90+Data!AH90+Data!AI90+Data!AJ90+Data!AK90+Data!AL90+Data!T91+Data!U91+Data!V91+Data!W91+Data!X91+Data!Y91+Data!Z91+Data!AA91+Data!AB91+Data!AC91+Data!AD91+Data!AE91+Data!AF91+Data!AG91+Data!AH91+Data!AI91+Data!AJ91+Data!AK91+Data!AL91+Data!T92+Data!U92+Data!V92+Data!W92+Data!X92+Data!Y92+Data!Z92+Data!AA92+Data!AB92+Data!AC92+Data!AD92+Data!AE92+Data!AF92+Data!AG92+Data!AH92+Data!AI92+Data!AJ92+Data!AK92+Data!AL92+Data!T93+Data!U93+Data!V93+Data!W93+Data!X93+Data!Y93+Data!Z93+Data!AA93+Data!AB93+Data!AC93+Data!AD93+Data!AE93+Data!AF93+Data!AG93+Data!AH93+Data!AI93+Data!AJ93+Data!AK93+Data!AL93+Data!T94+Data!U94+Data!V94+Data!W94+Data!X94+Data!Y94+Data!Z94+Data!AA94+Data!AB94+Data!AC94+Data!AD94+Data!AE94+Data!AF94+Data!AG94+Data!AH94+Data!AI94+Data!AJ94+Data!AK94+Data!AL94+Data!T95+Data!U95+Data!V95+Data!W95+Data!X95+Data!Y95+Data!Z95+Data!AA95+Data!AB95+Data!AC95+Data!AD95+Data!AE95+Data!AF95+Data!AG95+Data!AH95+Data!AI95+Data!AJ95+Data!AK95+Data!AL95+Data!T96+Data!U96+Data!V96+Data!W96+Data!X96+Data!Y96+Data!Z96+Data!AA96+Data!AB96+Data!AC96+Data!AD96+Data!AE96+Data!AF96+Data!AG96+Data!AH96+Data!AI96+Data!AJ96+Data!AK96+Data!AL96+Data!T97+Data!U97+Data!V97+Data!W97+Data!X97+Data!Y97+Data!Z97+Data!AA97+Data!AB97+Data!AC97+Data!AD97+Data!AE97+Data!AF97+Data!AG97+Data!AH97+Data!AI97+Data!AJ97+Data!AK97+Data!AL97+Data!T98+Data!U98+Data!V98+Data!W98+Data!X98+Data!Y98+Data!Z98+Data!AA98+Data!AB98+Data!AC98+Data!AD98+Data!AE98+Data!AF98+Data!AG98+Data!AH98+Data!AI98+Data!AJ98+Data!AK98+Data!AL98+Data!T99+Data!U99+Data!V99+Data!W99+Data!X99+Data!Y99+Data!Z99+Data!AA99+Data!AB99+Data!AC99+Data!AD99+Data!AE99+Data!AF99+Data!AG99+Data!AH99+Data!AI99+Data!AJ99+Data!AK99+Data!AL99+Data!T100+Data!U100+Data!V100+Data!W100+Data!X100+Data!Y100+Data!Z100+Data!AA100+Data!AB100+Data!AC100+Data!AD100+Data!AE100+Data!AF100+Data!AG100+Data!AH100+Data!AI100+Data!AJ100+Data!AK100+Data!AL100+Data!T101+Data!U101+Data!V101+Data!W101+Data!X101+Data!Y101+Data!Z101+Data!AA101+Data!AB101+Data!AC101+Data!AD101+Data!AE101+Data!AF101+Data!AG101+Data!AH101+Data!AI101+Data!AJ101+Data!AK101+Data!AL101</f>
        <v>33396014</v>
      </c>
      <c r="N101" s="16" t="n">
        <f aca="false">Data!T90+Data!U90+Data!V90+Data!W90+Data!T91+Data!U91+Data!V91+Data!W91+Data!T92+Data!U92+Data!V92+Data!W92+Data!T93+Data!U93+Data!V93+Data!W93+Data!T94+Data!U94+Data!V94+Data!W94+Data!T95+Data!U95+Data!V95+Data!W95+Data!T96+Data!U96+Data!V96+Data!W96+Data!T97+Data!U97+Data!V97+Data!W97+Data!T98+Data!U98+Data!V98+Data!W98+Data!T99+Data!U99+Data!V99+Data!W99+Data!T100+Data!U100+Data!V100+Data!W100+Data!T101+Data!U101+Data!V101+Data!W101</f>
        <v>14776743</v>
      </c>
      <c r="O101" s="16" t="n">
        <f aca="false">Data!T90+Data!T91+Data!T92+Data!T93+Data!T94+Data!T95+Data!T96+Data!T97+Data!T98+Data!T99+Data!T100+Data!T101</f>
        <v>10709789</v>
      </c>
      <c r="P101" s="16" t="n">
        <f aca="false">Data!U90+Data!U91+Data!U92+Data!U93+Data!U94+Data!U95+Data!U96+Data!U97+Data!U98+Data!U99+Data!U100+Data!U101</f>
        <v>1447601</v>
      </c>
      <c r="Q101" s="16" t="n">
        <f aca="false">Data!V90+Data!V91+Data!V92+Data!V93+Data!V94+Data!V95+Data!V96+Data!V97+Data!V98+Data!V99+Data!V100+Data!V101</f>
        <v>1001557</v>
      </c>
      <c r="R101" s="16" t="n">
        <f aca="false">Data!W90+Data!W91+Data!W92+Data!W93+Data!W94+Data!W95+Data!W96+Data!W97+Data!W98+Data!W99+Data!W100+Data!W101</f>
        <v>1617796</v>
      </c>
      <c r="S101" s="16" t="n">
        <f aca="false">Data!X90+Data!X91+Data!X92+Data!X93+Data!X94+Data!X95+Data!X96+Data!X97+Data!X98+Data!X99+Data!X100+Data!X101</f>
        <v>3790024</v>
      </c>
      <c r="T101" s="16" t="n">
        <f aca="false">Data!Y90+Data!Z90+Data!AA90+Data!Y91+Data!Z91+Data!AA91+Data!Y92+Data!Z92+Data!AA92+Data!Y93+Data!Z93+Data!AA93+Data!Y94+Data!Z94+Data!AA94+Data!Y95+Data!Z95+Data!AA95+Data!Y96+Data!Z96+Data!AA96+Data!Y97+Data!Z97+Data!AA97+Data!Y98+Data!Z98+Data!AA98+Data!Y99+Data!Z99+Data!AA99+Data!Y100+Data!Z100+Data!AA100+Data!Y101+Data!Z101+Data!AA101</f>
        <v>3392746</v>
      </c>
      <c r="U101" s="16" t="n">
        <f aca="false">Data!Y90+Data!Y91+Data!Y92+Data!Y93+Data!Y94+Data!Y95+Data!Y96+Data!Y97+Data!Y98+Data!Y99+Data!Y100+Data!Y101</f>
        <v>2456374</v>
      </c>
      <c r="V101" s="16" t="n">
        <f aca="false">Data!Z90+Data!Z91+Data!Z92+Data!Z93+Data!Z94+Data!Z95+Data!Z96+Data!Z97+Data!Z98+Data!Z99+Data!Z100+Data!Z101</f>
        <v>846734</v>
      </c>
      <c r="W101" s="16" t="n">
        <f aca="false">Data!AB90+Data!AB91+Data!AB92+Data!AB93+Data!AB94+Data!AB95+Data!AB96+Data!AB97+Data!AB98+Data!AB99+Data!AB100+Data!AB101</f>
        <v>4313913</v>
      </c>
      <c r="X101" s="16" t="n">
        <f aca="false">Data!AC90+Data!AC91+Data!AC92+Data!AC93+Data!AC94+Data!AC95+Data!AC96+Data!AC97+Data!AC98+Data!AC99+Data!AC100+Data!AC101</f>
        <v>1181378</v>
      </c>
      <c r="Y101" s="16" t="n">
        <f aca="false">Data!AD90+Data!AE90+Data!AF90+Data!AG90+Data!AH90+Data!AD91+Data!AE91+Data!AF91+Data!AG91+Data!AH91+Data!AD92+Data!AE92+Data!AF92+Data!AG92+Data!AH92+Data!AD93+Data!AE93+Data!AF93+Data!AG93+Data!AH93+Data!AD94+Data!AE94+Data!AF94+Data!AG94+Data!AH94+Data!AD95+Data!AE95+Data!AF95+Data!AG95+Data!AH95+Data!AD96+Data!AE96+Data!AF96+Data!AG96+Data!AH96+Data!AD97+Data!AE97+Data!AF97+Data!AG97+Data!AH97+Data!AD98+Data!AE98+Data!AF98+Data!AG98+Data!AH98+Data!AD99+Data!AE99+Data!AF99+Data!AG99+Data!AH99+Data!AD100+Data!AE100+Data!AF100+Data!AG100+Data!AH100+Data!AD101+Data!AE101+Data!AF101+Data!AG101+Data!AH101</f>
        <v>1206895</v>
      </c>
      <c r="Z101" s="16" t="n">
        <f aca="false">Data!AI90+Data!AI91+Data!AI92+Data!AI93+Data!AI94+Data!AI95+Data!AI96+Data!AI97+Data!AI98+Data!AI99+Data!AI100+Data!AI101</f>
        <v>1121871</v>
      </c>
      <c r="AA101" s="16" t="n">
        <f aca="false">Data!AJ90+Data!AJ91+Data!AJ92+Data!AJ93+Data!AJ94+Data!AJ95+Data!AJ96+Data!AJ97+Data!AJ98+Data!AJ99+Data!AJ100+Data!AJ101</f>
        <v>0</v>
      </c>
      <c r="AB101" s="16" t="n">
        <f aca="false">Data!AK90+Data!AK91+Data!AK92+Data!AK93+Data!AK94+Data!AK95+Data!AK96+Data!AK97+Data!AK98+Data!AK99+Data!AK100+Data!AK101</f>
        <v>685611</v>
      </c>
      <c r="AC101" s="16" t="n">
        <f aca="false">Data!AL90+Data!AL91+Data!AL92+Data!AL93+Data!AL94+Data!AL95+Data!AL96+Data!AL97+Data!AL98+Data!AL99+Data!AL100+Data!AL101</f>
        <v>2926833</v>
      </c>
      <c r="AD101" s="15" t="n">
        <f aca="false">Data!AM90+Data!AM91+Data!AM92+Data!AM93+Data!AM94+Data!AM95+Data!AM96+Data!AM97+Data!AM98+Data!AM99+Data!AM100+Data!AM101</f>
        <v>-3614832</v>
      </c>
      <c r="AE101" s="16" t="n">
        <f aca="false">Data!AN90+Data!AN91+Data!AN92+Data!AN93+Data!AN94+Data!AN95+Data!AN96+Data!AN97+Data!AN98+Data!AN99+Data!AN100+Data!AN101</f>
        <v>3088383</v>
      </c>
      <c r="AF101" s="15" t="n">
        <f aca="false">Data!AO90+Data!AO91+Data!AO92+Data!AO93+Data!AO94+Data!AO95+Data!AO96+Data!AO97+Data!AO98+Data!AO99+Data!AO100+Data!AO101</f>
        <v>-6703216</v>
      </c>
    </row>
    <row r="102" customFormat="false" ht="15" hidden="false" customHeight="false" outlineLevel="0" collapsed="false">
      <c r="B102" s="14" t="str">
        <f aca="false">Data!B102</f>
        <v>2023-12</v>
      </c>
      <c r="C102" s="15" t="n">
        <f aca="false">Data!D91+Data!E91+Data!F91+Data!G91+Data!H91+Data!I91+Data!J91+Data!K91+Data!L91+Data!M91+Data!N91+Data!O91+Data!P91+Data!Q91+Data!R91+Data!S91+Data!D92+Data!E92+Data!F92+Data!G92+Data!H92+Data!I92+Data!J92+Data!K92+Data!L92+Data!M92+Data!N92+Data!O92+Data!P92+Data!Q92+Data!R92+Data!S92+Data!D93+Data!E93+Data!F93+Data!G93+Data!H93+Data!I93+Data!J93+Data!K93+Data!L93+Data!M93+Data!N93+Data!O93+Data!P93+Data!Q93+Data!R93+Data!S93+Data!D94+Data!E94+Data!F94+Data!G94+Data!H94+Data!I94+Data!J94+Data!K94+Data!L94+Data!M94+Data!N94+Data!O94+Data!P94+Data!Q94+Data!R94+Data!S94+Data!D95+Data!E95+Data!F95+Data!G95+Data!H95+Data!I95+Data!J95+Data!K95+Data!L95+Data!M95+Data!N95+Data!O95+Data!P95+Data!Q95+Data!R95+Data!S95+Data!D96+Data!E96+Data!F96+Data!G96+Data!H96+Data!I96+Data!J96+Data!K96+Data!L96+Data!M96+Data!N96+Data!O96+Data!P96+Data!Q96+Data!R96+Data!S96+Data!D97+Data!E97+Data!F97+Data!G97+Data!H97+Data!I97+Data!J97+Data!K97+Data!L97+Data!M97+Data!N97+Data!O97+Data!P97+Data!Q97+Data!R97+Data!S97+Data!D98+Data!E98+Data!F98+Data!G98+Data!H98+Data!I98+Data!J98+Data!K98+Data!L98+Data!M98+Data!N98+Data!O98+Data!P98+Data!Q98+Data!R98+Data!S98+Data!D99+Data!E99+Data!F99+Data!G99+Data!H99+Data!I99+Data!J99+Data!K99+Data!L99+Data!M99+Data!N99+Data!O99+Data!P99+Data!Q99+Data!R99+Data!S99+Data!D100+Data!E100+Data!F100+Data!G100+Data!H100+Data!I100+Data!J100+Data!K100+Data!L100+Data!M100+Data!N100+Data!O100+Data!P100+Data!Q100+Data!R100+Data!S100+Data!D101+Data!E101+Data!F101+Data!G101+Data!H101+Data!I101+Data!J101+Data!K101+Data!L101+Data!M101+Data!N101+Data!O101+Data!P101+Data!Q101+Data!R101+Data!S101+Data!D102+Data!E102+Data!F102+Data!G102+Data!H102+Data!I102+Data!J102+Data!K102+Data!L102+Data!M102+Data!N102+Data!O102+Data!P102+Data!Q102+Data!R102+Data!S102</f>
        <v>32320186</v>
      </c>
      <c r="D102" s="16" t="n">
        <f aca="false">Data!D91+Data!E91+Data!G91+Data!H91+Data!I91+Data!J91+Data!K91+Data!L91+Data!M91+Data!D92+Data!E92+Data!G92+Data!H92+Data!I92+Data!J92+Data!K92+Data!L92+Data!M92+Data!D93+Data!E93+Data!G93+Data!H93+Data!I93+Data!J93+Data!K93+Data!L93+Data!M93+Data!D94+Data!E94+Data!G94+Data!H94+Data!I94+Data!J94+Data!K94+Data!L94+Data!M94+Data!D95+Data!E95+Data!G95+Data!H95+Data!I95+Data!J95+Data!K95+Data!L95+Data!M95+Data!D96+Data!E96+Data!G96+Data!H96+Data!I96+Data!J96+Data!K96+Data!L96+Data!M96+Data!D97+Data!E97+Data!G97+Data!H97+Data!I97+Data!J97+Data!K97+Data!L97+Data!M97+Data!D98+Data!E98+Data!G98+Data!H98+Data!I98+Data!J98+Data!K98+Data!L98+Data!M98+Data!D99+Data!E99+Data!G99+Data!H99+Data!I99+Data!J99+Data!K99+Data!L99+Data!M99+Data!D100+Data!E100+Data!G100+Data!H100+Data!I100+Data!J100+Data!K100+Data!L100+Data!M100+Data!D101+Data!E101+Data!G101+Data!H101+Data!I101+Data!J101+Data!K101+Data!L101+Data!M101+Data!D102+Data!E102+Data!G102+Data!H102+Data!I102+Data!J102+Data!K102+Data!L102+Data!M102</f>
        <v>19005565</v>
      </c>
      <c r="E102" s="16" t="n">
        <f aca="false">Data!D91+Data!D92+Data!D93+Data!D94+Data!D95+Data!D96+Data!D97+Data!D98+Data!D99+Data!D100+Data!D101+Data!D102</f>
        <v>6650748</v>
      </c>
      <c r="F102" s="16" t="n">
        <f aca="false">Data!E91+Data!E92+Data!E93+Data!E94+Data!E95+Data!E96+Data!E97+Data!E98+Data!E99+Data!E100+Data!E101+Data!E102</f>
        <v>3108216</v>
      </c>
      <c r="G102" s="16" t="n">
        <f aca="false">Data!K91+Data!K92+Data!K93+Data!K94+Data!K95+Data!K96+Data!K97+Data!K98+Data!K99+Data!K100+Data!K101+Data!K102</f>
        <v>1529861</v>
      </c>
      <c r="H102" s="16" t="n">
        <f aca="false">Data!L91+Data!L92+Data!L93+Data!L94+Data!L95+Data!L96+Data!L97+Data!L98+Data!L99+Data!L100+Data!L101+Data!L102</f>
        <v>1099261</v>
      </c>
      <c r="I102" s="16" t="n">
        <f aca="false">Data!G91+Data!G92+Data!G93+Data!G94+Data!G95+Data!G96+Data!G97+Data!G98+Data!G99+Data!G100+Data!G101+Data!G102</f>
        <v>3007930</v>
      </c>
      <c r="J102" s="16" t="n">
        <f aca="false">Data!H91+Data!I91+Data!J91+Data!M91+Data!H92+Data!I92+Data!J92+Data!M92+Data!H93+Data!I93+Data!J93+Data!M93+Data!H94+Data!I94+Data!J94+Data!M94+Data!H95+Data!I95+Data!J95+Data!M95+Data!H96+Data!I96+Data!J96+Data!M96+Data!H97+Data!I97+Data!J97+Data!M97+Data!H98+Data!I98+Data!J98+Data!M98+Data!H99+Data!I99+Data!J99+Data!M99+Data!H100+Data!I100+Data!J100+Data!M100+Data!H101+Data!I101+Data!J101+Data!M101+Data!H102+Data!I102+Data!J102+Data!M102</f>
        <v>3609549</v>
      </c>
      <c r="K102" s="16" t="n">
        <f aca="false">Data!F91+Data!F92+Data!F93+Data!F94+Data!F95+Data!F96+Data!F97+Data!F98+Data!F99+Data!F100+Data!F101+Data!F102</f>
        <v>9619769</v>
      </c>
      <c r="L102" s="16" t="n">
        <f aca="false">Data!N91+Data!O91+Data!P91+Data!Q91+Data!R91+Data!S91+Data!N92+Data!O92+Data!P92+Data!Q92+Data!R92+Data!S92+Data!N93+Data!O93+Data!P93+Data!Q93+Data!R93+Data!S93+Data!N94+Data!O94+Data!P94+Data!Q94+Data!R94+Data!S94+Data!N95+Data!O95+Data!P95+Data!Q95+Data!R95+Data!S95+Data!N96+Data!O96+Data!P96+Data!Q96+Data!R96+Data!S96+Data!N97+Data!O97+Data!P97+Data!Q97+Data!R97+Data!S97+Data!N98+Data!O98+Data!P98+Data!Q98+Data!R98+Data!S98+Data!N99+Data!O99+Data!P99+Data!Q99+Data!R99+Data!S99+Data!N100+Data!O100+Data!P100+Data!Q100+Data!R100+Data!S100+Data!N101+Data!O101+Data!P101+Data!Q101+Data!R101+Data!S101+Data!N102+Data!O102+Data!P102+Data!Q102+Data!R102+Data!S102</f>
        <v>3694852</v>
      </c>
      <c r="M102" s="15" t="n">
        <f aca="false">Data!T91+Data!U91+Data!V91+Data!W91+Data!X91+Data!Y91+Data!Z91+Data!AA91+Data!AB91+Data!AC91+Data!AD91+Data!AE91+Data!AF91+Data!AG91+Data!AH91+Data!AI91+Data!AJ91+Data!AK91+Data!AL91+Data!T92+Data!U92+Data!V92+Data!W92+Data!X92+Data!Y92+Data!Z92+Data!AA92+Data!AB92+Data!AC92+Data!AD92+Data!AE92+Data!AF92+Data!AG92+Data!AH92+Data!AI92+Data!AJ92+Data!AK92+Data!AL92+Data!T93+Data!U93+Data!V93+Data!W93+Data!X93+Data!Y93+Data!Z93+Data!AA93+Data!AB93+Data!AC93+Data!AD93+Data!AE93+Data!AF93+Data!AG93+Data!AH93+Data!AI93+Data!AJ93+Data!AK93+Data!AL93+Data!T94+Data!U94+Data!V94+Data!W94+Data!X94+Data!Y94+Data!Z94+Data!AA94+Data!AB94+Data!AC94+Data!AD94+Data!AE94+Data!AF94+Data!AG94+Data!AH94+Data!AI94+Data!AJ94+Data!AK94+Data!AL94+Data!T95+Data!U95+Data!V95+Data!W95+Data!X95+Data!Y95+Data!Z95+Data!AA95+Data!AB95+Data!AC95+Data!AD95+Data!AE95+Data!AF95+Data!AG95+Data!AH95+Data!AI95+Data!AJ95+Data!AK95+Data!AL95+Data!T96+Data!U96+Data!V96+Data!W96+Data!X96+Data!Y96+Data!Z96+Data!AA96+Data!AB96+Data!AC96+Data!AD96+Data!AE96+Data!AF96+Data!AG96+Data!AH96+Data!AI96+Data!AJ96+Data!AK96+Data!AL96+Data!T97+Data!U97+Data!V97+Data!W97+Data!X97+Data!Y97+Data!Z97+Data!AA97+Data!AB97+Data!AC97+Data!AD97+Data!AE97+Data!AF97+Data!AG97+Data!AH97+Data!AI97+Data!AJ97+Data!AK97+Data!AL97+Data!T98+Data!U98+Data!V98+Data!W98+Data!X98+Data!Y98+Data!Z98+Data!AA98+Data!AB98+Data!AC98+Data!AD98+Data!AE98+Data!AF98+Data!AG98+Data!AH98+Data!AI98+Data!AJ98+Data!AK98+Data!AL98+Data!T99+Data!U99+Data!V99+Data!W99+Data!X99+Data!Y99+Data!Z99+Data!AA99+Data!AB99+Data!AC99+Data!AD99+Data!AE99+Data!AF99+Data!AG99+Data!AH99+Data!AI99+Data!AJ99+Data!AK99+Data!AL99+Data!T100+Data!U100+Data!V100+Data!W100+Data!X100+Data!Y100+Data!Z100+Data!AA100+Data!AB100+Data!AC100+Data!AD100+Data!AE100+Data!AF100+Data!AG100+Data!AH100+Data!AI100+Data!AJ100+Data!AK100+Data!AL100+Data!T101+Data!U101+Data!V101+Data!W101+Data!X101+Data!Y101+Data!Z101+Data!AA101+Data!AB101+Data!AC101+Data!AD101+Data!AE101+Data!AF101+Data!AG101+Data!AH101+Data!AI101+Data!AJ101+Data!AK101+Data!AL101+Data!T102+Data!U102+Data!V102+Data!W102+Data!X102+Data!Y102+Data!Z102+Data!AA102+Data!AB102+Data!AC102+Data!AD102+Data!AE102+Data!AF102+Data!AG102+Data!AH102+Data!AI102+Data!AJ102+Data!AK102+Data!AL102</f>
        <v>37484822</v>
      </c>
      <c r="N102" s="16" t="n">
        <f aca="false">Data!T91+Data!U91+Data!V91+Data!W91+Data!T92+Data!U92+Data!V92+Data!W92+Data!T93+Data!U93+Data!V93+Data!W93+Data!T94+Data!U94+Data!V94+Data!W94+Data!T95+Data!U95+Data!V95+Data!W95+Data!T96+Data!U96+Data!V96+Data!W96+Data!T97+Data!U97+Data!V97+Data!W97+Data!T98+Data!U98+Data!V98+Data!W98+Data!T99+Data!U99+Data!V99+Data!W99+Data!T100+Data!U100+Data!V100+Data!W100+Data!T101+Data!U101+Data!V101+Data!W101+Data!T102+Data!U102+Data!V102+Data!W102</f>
        <v>16251418</v>
      </c>
      <c r="O102" s="16" t="n">
        <f aca="false">Data!T91+Data!T92+Data!T93+Data!T94+Data!T95+Data!T96+Data!T97+Data!T98+Data!T99+Data!T100+Data!T101+Data!T102</f>
        <v>11836839</v>
      </c>
      <c r="P102" s="16" t="n">
        <f aca="false">Data!U91+Data!U92+Data!U93+Data!U94+Data!U95+Data!U96+Data!U97+Data!U98+Data!U99+Data!U100+Data!U101+Data!U102</f>
        <v>1548321</v>
      </c>
      <c r="Q102" s="16" t="n">
        <f aca="false">Data!V91+Data!V92+Data!V93+Data!V94+Data!V95+Data!V96+Data!V97+Data!V98+Data!V99+Data!V100+Data!V101+Data!V102</f>
        <v>1077353</v>
      </c>
      <c r="R102" s="16" t="n">
        <f aca="false">Data!W91+Data!W92+Data!W93+Data!W94+Data!W95+Data!W96+Data!W97+Data!W98+Data!W99+Data!W100+Data!W101+Data!W102</f>
        <v>1788905</v>
      </c>
      <c r="S102" s="16" t="n">
        <f aca="false">Data!X91+Data!X92+Data!X93+Data!X94+Data!X95+Data!X96+Data!X97+Data!X98+Data!X99+Data!X100+Data!X101+Data!X102</f>
        <v>4132425</v>
      </c>
      <c r="T102" s="16" t="n">
        <f aca="false">Data!Y91+Data!Z91+Data!AA91+Data!Y92+Data!Z92+Data!AA92+Data!Y93+Data!Z93+Data!AA93+Data!Y94+Data!Z94+Data!AA94+Data!Y95+Data!Z95+Data!AA95+Data!Y96+Data!Z96+Data!AA96+Data!Y97+Data!Z97+Data!AA97+Data!Y98+Data!Z98+Data!AA98+Data!Y99+Data!Z99+Data!AA99+Data!Y100+Data!Z100+Data!AA100+Data!Y101+Data!Z101+Data!AA101+Data!Y102+Data!Z102+Data!AA102</f>
        <v>3979784</v>
      </c>
      <c r="U102" s="16" t="n">
        <f aca="false">Data!Y91+Data!Y92+Data!Y93+Data!Y94+Data!Y95+Data!Y96+Data!Y97+Data!Y98+Data!Y99+Data!Y100+Data!Y101+Data!Y102</f>
        <v>2951668</v>
      </c>
      <c r="V102" s="16" t="n">
        <f aca="false">Data!Z91+Data!Z92+Data!Z93+Data!Z94+Data!Z95+Data!Z96+Data!Z97+Data!Z98+Data!Z99+Data!Z100+Data!Z101+Data!Z102</f>
        <v>916051</v>
      </c>
      <c r="W102" s="16" t="n">
        <f aca="false">Data!AB91+Data!AB92+Data!AB93+Data!AB94+Data!AB95+Data!AB96+Data!AB97+Data!AB98+Data!AB99+Data!AB100+Data!AB101+Data!AB102</f>
        <v>5037828</v>
      </c>
      <c r="X102" s="16" t="n">
        <f aca="false">Data!AC91+Data!AC92+Data!AC93+Data!AC94+Data!AC95+Data!AC96+Data!AC97+Data!AC98+Data!AC99+Data!AC100+Data!AC101+Data!AC102</f>
        <v>1271571</v>
      </c>
      <c r="Y102" s="16" t="n">
        <f aca="false">Data!AD91+Data!AE91+Data!AF91+Data!AG91+Data!AH91+Data!AD92+Data!AE92+Data!AF92+Data!AG92+Data!AH92+Data!AD93+Data!AE93+Data!AF93+Data!AG93+Data!AH93+Data!AD94+Data!AE94+Data!AF94+Data!AG94+Data!AH94+Data!AD95+Data!AE95+Data!AF95+Data!AG95+Data!AH95+Data!AD96+Data!AE96+Data!AF96+Data!AG96+Data!AH96+Data!AD97+Data!AE97+Data!AF97+Data!AG97+Data!AH97+Data!AD98+Data!AE98+Data!AF98+Data!AG98+Data!AH98+Data!AD99+Data!AE99+Data!AF99+Data!AG99+Data!AH99+Data!AD100+Data!AE100+Data!AF100+Data!AG100+Data!AH100+Data!AD101+Data!AE101+Data!AF101+Data!AG101+Data!AH101+Data!AD102+Data!AE102+Data!AF102+Data!AG102+Data!AH102</f>
        <v>1437660</v>
      </c>
      <c r="Z102" s="16" t="n">
        <f aca="false">Data!AI91+Data!AI92+Data!AI93+Data!AI94+Data!AI95+Data!AI96+Data!AI97+Data!AI98+Data!AI99+Data!AI100+Data!AI101+Data!AI102</f>
        <v>1412796</v>
      </c>
      <c r="AA102" s="16" t="n">
        <f aca="false">Data!AJ91+Data!AJ92+Data!AJ93+Data!AJ94+Data!AJ95+Data!AJ96+Data!AJ97+Data!AJ98+Data!AJ99+Data!AJ100+Data!AJ101+Data!AJ102</f>
        <v>0</v>
      </c>
      <c r="AB102" s="16" t="n">
        <f aca="false">Data!AK91+Data!AK92+Data!AK93+Data!AK94+Data!AK95+Data!AK96+Data!AK97+Data!AK98+Data!AK99+Data!AK100+Data!AK101+Data!AK102</f>
        <v>890985</v>
      </c>
      <c r="AC102" s="16" t="n">
        <f aca="false">Data!AL91+Data!AL92+Data!AL93+Data!AL94+Data!AL95+Data!AL96+Data!AL97+Data!AL98+Data!AL99+Data!AL100+Data!AL101+Data!AL102</f>
        <v>3070355</v>
      </c>
      <c r="AD102" s="15" t="n">
        <f aca="false">Data!AM91+Data!AM92+Data!AM93+Data!AM94+Data!AM95+Data!AM96+Data!AM97+Data!AM98+Data!AM99+Data!AM100+Data!AM101+Data!AM102</f>
        <v>-5164636</v>
      </c>
      <c r="AE102" s="16" t="n">
        <f aca="false">Data!AN91+Data!AN92+Data!AN93+Data!AN94+Data!AN95+Data!AN96+Data!AN97+Data!AN98+Data!AN99+Data!AN100+Data!AN101+Data!AN102</f>
        <v>3253831</v>
      </c>
      <c r="AF102" s="15" t="n">
        <f aca="false">Data!AO91+Data!AO92+Data!AO93+Data!AO94+Data!AO95+Data!AO96+Data!AO97+Data!AO98+Data!AO99+Data!AO100+Data!AO101+Data!AO102</f>
        <v>-8418468</v>
      </c>
    </row>
    <row r="103" customFormat="false" ht="15" hidden="false" customHeight="false" outlineLevel="0" collapsed="false">
      <c r="B103" s="14" t="str">
        <f aca="false">Data!B103</f>
        <v>2024-01</v>
      </c>
      <c r="C103" s="15" t="n">
        <f aca="false">Data!D92+Data!E92+Data!F92+Data!G92+Data!H92+Data!I92+Data!J92+Data!K92+Data!L92+Data!M92+Data!N92+Data!O92+Data!P92+Data!Q92+Data!R92+Data!S92+Data!D93+Data!E93+Data!F93+Data!G93+Data!H93+Data!I93+Data!J93+Data!K93+Data!L93+Data!M93+Data!N93+Data!O93+Data!P93+Data!Q93+Data!R93+Data!S93+Data!D94+Data!E94+Data!F94+Data!G94+Data!H94+Data!I94+Data!J94+Data!K94+Data!L94+Data!M94+Data!N94+Data!O94+Data!P94+Data!Q94+Data!R94+Data!S94+Data!D95+Data!E95+Data!F95+Data!G95+Data!H95+Data!I95+Data!J95+Data!K95+Data!L95+Data!M95+Data!N95+Data!O95+Data!P95+Data!Q95+Data!R95+Data!S95+Data!D96+Data!E96+Data!F96+Data!G96+Data!H96+Data!I96+Data!J96+Data!K96+Data!L96+Data!M96+Data!N96+Data!O96+Data!P96+Data!Q96+Data!R96+Data!S96+Data!D97+Data!E97+Data!F97+Data!G97+Data!H97+Data!I97+Data!J97+Data!K97+Data!L97+Data!M97+Data!N97+Data!O97+Data!P97+Data!Q97+Data!R97+Data!S97+Data!D98+Data!E98+Data!F98+Data!G98+Data!H98+Data!I98+Data!J98+Data!K98+Data!L98+Data!M98+Data!N98+Data!O98+Data!P98+Data!Q98+Data!R98+Data!S98+Data!D99+Data!E99+Data!F99+Data!G99+Data!H99+Data!I99+Data!J99+Data!K99+Data!L99+Data!M99+Data!N99+Data!O99+Data!P99+Data!Q99+Data!R99+Data!S99+Data!D100+Data!E100+Data!F100+Data!G100+Data!H100+Data!I100+Data!J100+Data!K100+Data!L100+Data!M100+Data!N100+Data!O100+Data!P100+Data!Q100+Data!R100+Data!S100+Data!D101+Data!E101+Data!F101+Data!G101+Data!H101+Data!I101+Data!J101+Data!K101+Data!L101+Data!M101+Data!N101+Data!O101+Data!P101+Data!Q101+Data!R101+Data!S101+Data!D102+Data!E102+Data!F102+Data!G102+Data!H102+Data!I102+Data!J102+Data!K102+Data!L102+Data!M102+Data!N102+Data!O102+Data!P102+Data!Q102+Data!R102+Data!S102+Data!D103+Data!E103+Data!F103+Data!G103+Data!H103+Data!I103+Data!J103+Data!K103+Data!L103+Data!M103+Data!N103+Data!O103+Data!P103+Data!Q103+Data!R103+Data!S103</f>
        <v>36744212</v>
      </c>
      <c r="D103" s="16" t="n">
        <f aca="false">Data!D92+Data!E92+Data!G92+Data!H92+Data!I92+Data!J92+Data!K92+Data!L92+Data!M92+Data!D93+Data!E93+Data!G93+Data!H93+Data!I93+Data!J93+Data!K93+Data!L93+Data!M93+Data!D94+Data!E94+Data!G94+Data!H94+Data!I94+Data!J94+Data!K94+Data!L94+Data!M94+Data!D95+Data!E95+Data!G95+Data!H95+Data!I95+Data!J95+Data!K95+Data!L95+Data!M95+Data!D96+Data!E96+Data!G96+Data!H96+Data!I96+Data!J96+Data!K96+Data!L96+Data!M96+Data!D97+Data!E97+Data!G97+Data!H97+Data!I97+Data!J97+Data!K97+Data!L97+Data!M97+Data!D98+Data!E98+Data!G98+Data!H98+Data!I98+Data!J98+Data!K98+Data!L98+Data!M98+Data!D99+Data!E99+Data!G99+Data!H99+Data!I99+Data!J99+Data!K99+Data!L99+Data!M99+Data!D100+Data!E100+Data!G100+Data!H100+Data!I100+Data!J100+Data!K100+Data!L100+Data!M100+Data!D101+Data!E101+Data!G101+Data!H101+Data!I101+Data!J101+Data!K101+Data!L101+Data!M101+Data!D102+Data!E102+Data!G102+Data!H102+Data!I102+Data!J102+Data!K102+Data!L102+Data!M102+Data!D103+Data!E103+Data!G103+Data!H103+Data!I103+Data!J103+Data!K103+Data!L103+Data!M103</f>
        <v>21997279</v>
      </c>
      <c r="E103" s="16" t="n">
        <f aca="false">Data!D92+Data!D93+Data!D94+Data!D95+Data!D96+Data!D97+Data!D98+Data!D99+Data!D100+Data!D101+Data!D102+Data!D103</f>
        <v>7600065</v>
      </c>
      <c r="F103" s="16" t="n">
        <f aca="false">Data!E92+Data!E93+Data!E94+Data!E95+Data!E96+Data!E97+Data!E98+Data!E99+Data!E100+Data!E101+Data!E102+Data!E103</f>
        <v>3311075</v>
      </c>
      <c r="G103" s="16" t="n">
        <f aca="false">Data!K92+Data!K93+Data!K94+Data!K95+Data!K96+Data!K97+Data!K98+Data!K99+Data!K100+Data!K101+Data!K102+Data!K103</f>
        <v>2075342</v>
      </c>
      <c r="H103" s="16" t="n">
        <f aca="false">Data!L92+Data!L93+Data!L94+Data!L95+Data!L96+Data!L97+Data!L98+Data!L99+Data!L100+Data!L101+Data!L102+Data!L103</f>
        <v>1307204</v>
      </c>
      <c r="I103" s="16" t="n">
        <f aca="false">Data!G92+Data!G93+Data!G94+Data!G95+Data!G96+Data!G97+Data!G98+Data!G99+Data!G100+Data!G101+Data!G102+Data!G103</f>
        <v>3387877</v>
      </c>
      <c r="J103" s="16" t="n">
        <f aca="false">Data!H92+Data!I92+Data!J92+Data!M92+Data!H93+Data!I93+Data!J93+Data!M93+Data!H94+Data!I94+Data!J94+Data!M94+Data!H95+Data!I95+Data!J95+Data!M95+Data!H96+Data!I96+Data!J96+Data!M96+Data!H97+Data!I97+Data!J97+Data!M97+Data!H98+Data!I98+Data!J98+Data!M98+Data!H99+Data!I99+Data!J99+Data!M99+Data!H100+Data!I100+Data!J100+Data!M100+Data!H101+Data!I101+Data!J101+Data!M101+Data!H102+Data!I102+Data!J102+Data!M102+Data!H103+Data!I103+Data!J103+Data!M103</f>
        <v>4315716</v>
      </c>
      <c r="K103" s="16" t="n">
        <f aca="false">Data!F92+Data!F93+Data!F94+Data!F95+Data!F96+Data!F97+Data!F98+Data!F99+Data!F100+Data!F101+Data!F102+Data!F103</f>
        <v>10699558</v>
      </c>
      <c r="L103" s="16" t="n">
        <f aca="false">Data!N92+Data!O92+Data!P92+Data!Q92+Data!R92+Data!S92+Data!N93+Data!O93+Data!P93+Data!Q93+Data!R93+Data!S93+Data!N94+Data!O94+Data!P94+Data!Q94+Data!R94+Data!S94+Data!N95+Data!O95+Data!P95+Data!Q95+Data!R95+Data!S95+Data!N96+Data!O96+Data!P96+Data!Q96+Data!R96+Data!S96+Data!N97+Data!O97+Data!P97+Data!Q97+Data!R97+Data!S97+Data!N98+Data!O98+Data!P98+Data!Q98+Data!R98+Data!S98+Data!N99+Data!O99+Data!P99+Data!Q99+Data!R99+Data!S99+Data!N100+Data!O100+Data!P100+Data!Q100+Data!R100+Data!S100+Data!N101+Data!O101+Data!P101+Data!Q101+Data!R101+Data!S101+Data!N102+Data!O102+Data!P102+Data!Q102+Data!R102+Data!S102+Data!N103+Data!O103+Data!P103+Data!Q103+Data!R103+Data!S103</f>
        <v>4047375</v>
      </c>
      <c r="M103" s="15" t="n">
        <f aca="false">Data!T92+Data!U92+Data!V92+Data!W92+Data!X92+Data!Y92+Data!Z92+Data!AA92+Data!AB92+Data!AC92+Data!AD92+Data!AE92+Data!AF92+Data!AG92+Data!AH92+Data!AI92+Data!AJ92+Data!AK92+Data!AL92+Data!T93+Data!U93+Data!V93+Data!W93+Data!X93+Data!Y93+Data!Z93+Data!AA93+Data!AB93+Data!AC93+Data!AD93+Data!AE93+Data!AF93+Data!AG93+Data!AH93+Data!AI93+Data!AJ93+Data!AK93+Data!AL93+Data!T94+Data!U94+Data!V94+Data!W94+Data!X94+Data!Y94+Data!Z94+Data!AA94+Data!AB94+Data!AC94+Data!AD94+Data!AE94+Data!AF94+Data!AG94+Data!AH94+Data!AI94+Data!AJ94+Data!AK94+Data!AL94+Data!T95+Data!U95+Data!V95+Data!W95+Data!X95+Data!Y95+Data!Z95+Data!AA95+Data!AB95+Data!AC95+Data!AD95+Data!AE95+Data!AF95+Data!AG95+Data!AH95+Data!AI95+Data!AJ95+Data!AK95+Data!AL95+Data!T96+Data!U96+Data!V96+Data!W96+Data!X96+Data!Y96+Data!Z96+Data!AA96+Data!AB96+Data!AC96+Data!AD96+Data!AE96+Data!AF96+Data!AG96+Data!AH96+Data!AI96+Data!AJ96+Data!AK96+Data!AL96+Data!T97+Data!U97+Data!V97+Data!W97+Data!X97+Data!Y97+Data!Z97+Data!AA97+Data!AB97+Data!AC97+Data!AD97+Data!AE97+Data!AF97+Data!AG97+Data!AH97+Data!AI97+Data!AJ97+Data!AK97+Data!AL97+Data!T98+Data!U98+Data!V98+Data!W98+Data!X98+Data!Y98+Data!Z98+Data!AA98+Data!AB98+Data!AC98+Data!AD98+Data!AE98+Data!AF98+Data!AG98+Data!AH98+Data!AI98+Data!AJ98+Data!AK98+Data!AL98+Data!T99+Data!U99+Data!V99+Data!W99+Data!X99+Data!Y99+Data!Z99+Data!AA99+Data!AB99+Data!AC99+Data!AD99+Data!AE99+Data!AF99+Data!AG99+Data!AH99+Data!AI99+Data!AJ99+Data!AK99+Data!AL99+Data!T100+Data!U100+Data!V100+Data!W100+Data!X100+Data!Y100+Data!Z100+Data!AA100+Data!AB100+Data!AC100+Data!AD100+Data!AE100+Data!AF100+Data!AG100+Data!AH100+Data!AI100+Data!AJ100+Data!AK100+Data!AL100+Data!T101+Data!U101+Data!V101+Data!W101+Data!X101+Data!Y101+Data!Z101+Data!AA101+Data!AB101+Data!AC101+Data!AD101+Data!AE101+Data!AF101+Data!AG101+Data!AH101+Data!AI101+Data!AJ101+Data!AK101+Data!AL101+Data!T102+Data!U102+Data!V102+Data!W102+Data!X102+Data!Y102+Data!Z102+Data!AA102+Data!AB102+Data!AC102+Data!AD102+Data!AE102+Data!AF102+Data!AG102+Data!AH102+Data!AI102+Data!AJ102+Data!AK102+Data!AL102+Data!T103+Data!U103+Data!V103+Data!W103+Data!X103+Data!Y103+Data!Z103+Data!AA103+Data!AB103+Data!AC103+Data!AD103+Data!AE103+Data!AF103+Data!AG103+Data!AH103+Data!AI103+Data!AJ103+Data!AK103+Data!AL103</f>
        <v>39694164</v>
      </c>
      <c r="N103" s="16" t="n">
        <f aca="false">Data!T92+Data!U92+Data!V92+Data!W92+Data!T93+Data!U93+Data!V93+Data!W93+Data!T94+Data!U94+Data!V94+Data!W94+Data!T95+Data!U95+Data!V95+Data!W95+Data!T96+Data!U96+Data!V96+Data!W96+Data!T97+Data!U97+Data!V97+Data!W97+Data!T98+Data!U98+Data!V98+Data!W98+Data!T99+Data!U99+Data!V99+Data!W99+Data!T100+Data!U100+Data!V100+Data!W100+Data!T101+Data!U101+Data!V101+Data!W101+Data!T102+Data!U102+Data!V102+Data!W102+Data!T103+Data!U103+Data!V103+Data!W103</f>
        <v>17503556</v>
      </c>
      <c r="O103" s="16" t="n">
        <f aca="false">Data!T92+Data!T93+Data!T94+Data!T95+Data!T96+Data!T97+Data!T98+Data!T99+Data!T100+Data!T101+Data!T102+Data!T103</f>
        <v>12618813</v>
      </c>
      <c r="P103" s="16" t="n">
        <f aca="false">Data!U92+Data!U93+Data!U94+Data!U95+Data!U96+Data!U97+Data!U98+Data!U99+Data!U100+Data!U101+Data!U102+Data!U103</f>
        <v>1718426</v>
      </c>
      <c r="Q103" s="16" t="n">
        <f aca="false">Data!V92+Data!V93+Data!V94+Data!V95+Data!V96+Data!V97+Data!V98+Data!V99+Data!V100+Data!V101+Data!V102+Data!V103</f>
        <v>1184162</v>
      </c>
      <c r="R103" s="16" t="n">
        <f aca="false">Data!W92+Data!W93+Data!W94+Data!W95+Data!W96+Data!W97+Data!W98+Data!W99+Data!W100+Data!W101+Data!W102+Data!W103</f>
        <v>1982155</v>
      </c>
      <c r="S103" s="16" t="n">
        <f aca="false">Data!X92+Data!X93+Data!X94+Data!X95+Data!X96+Data!X97+Data!X98+Data!X99+Data!X100+Data!X101+Data!X102+Data!X103</f>
        <v>4479111</v>
      </c>
      <c r="T103" s="16" t="n">
        <f aca="false">Data!Y92+Data!Z92+Data!AA92+Data!Y93+Data!Z93+Data!AA93+Data!Y94+Data!Z94+Data!AA94+Data!Y95+Data!Z95+Data!AA95+Data!Y96+Data!Z96+Data!AA96+Data!Y97+Data!Z97+Data!AA97+Data!Y98+Data!Z98+Data!AA98+Data!Y99+Data!Z99+Data!AA99+Data!Y100+Data!Z100+Data!AA100+Data!Y101+Data!Z101+Data!AA101+Data!Y102+Data!Z102+Data!AA102+Data!Y103+Data!Z103+Data!AA103</f>
        <v>4034660</v>
      </c>
      <c r="U103" s="16" t="n">
        <f aca="false">Data!Y92+Data!Y93+Data!Y94+Data!Y95+Data!Y96+Data!Y97+Data!Y98+Data!Y99+Data!Y100+Data!Y101+Data!Y102+Data!Y103</f>
        <v>2926019</v>
      </c>
      <c r="V103" s="16" t="n">
        <f aca="false">Data!Z92+Data!Z93+Data!Z94+Data!Z95+Data!Z96+Data!Z97+Data!Z98+Data!Z99+Data!Z100+Data!Z101+Data!Z102+Data!Z103</f>
        <v>1008987</v>
      </c>
      <c r="W103" s="16" t="n">
        <f aca="false">Data!AB92+Data!AB93+Data!AB94+Data!AB95+Data!AB96+Data!AB97+Data!AB98+Data!AB99+Data!AB100+Data!AB101+Data!AB102+Data!AB103</f>
        <v>5461164</v>
      </c>
      <c r="X103" s="16" t="n">
        <f aca="false">Data!AC92+Data!AC93+Data!AC94+Data!AC95+Data!AC96+Data!AC97+Data!AC98+Data!AC99+Data!AC100+Data!AC101+Data!AC102+Data!AC103</f>
        <v>1370567</v>
      </c>
      <c r="Y103" s="16" t="n">
        <f aca="false">Data!AD92+Data!AE92+Data!AF92+Data!AG92+Data!AH92+Data!AD93+Data!AE93+Data!AF93+Data!AG93+Data!AH93+Data!AD94+Data!AE94+Data!AF94+Data!AG94+Data!AH94+Data!AD95+Data!AE95+Data!AF95+Data!AG95+Data!AH95+Data!AD96+Data!AE96+Data!AF96+Data!AG96+Data!AH96+Data!AD97+Data!AE97+Data!AF97+Data!AG97+Data!AH97+Data!AD98+Data!AE98+Data!AF98+Data!AG98+Data!AH98+Data!AD99+Data!AE99+Data!AF99+Data!AG99+Data!AH99+Data!AD100+Data!AE100+Data!AF100+Data!AG100+Data!AH100+Data!AD101+Data!AE101+Data!AF101+Data!AG101+Data!AH101+Data!AD102+Data!AE102+Data!AF102+Data!AG102+Data!AH102+Data!AD103+Data!AE103+Data!AF103+Data!AG103+Data!AH103</f>
        <v>1437100</v>
      </c>
      <c r="Z103" s="16" t="n">
        <f aca="false">Data!AI92+Data!AI93+Data!AI94+Data!AI95+Data!AI96+Data!AI97+Data!AI98+Data!AI99+Data!AI100+Data!AI101+Data!AI102+Data!AI103</f>
        <v>1498736</v>
      </c>
      <c r="AA103" s="16" t="n">
        <f aca="false">Data!AJ92+Data!AJ93+Data!AJ94+Data!AJ95+Data!AJ96+Data!AJ97+Data!AJ98+Data!AJ99+Data!AJ100+Data!AJ101+Data!AJ102+Data!AJ103</f>
        <v>0</v>
      </c>
      <c r="AB103" s="16" t="n">
        <f aca="false">Data!AK92+Data!AK93+Data!AK94+Data!AK95+Data!AK96+Data!AK97+Data!AK98+Data!AK99+Data!AK100+Data!AK101+Data!AK102+Data!AK103</f>
        <v>916904</v>
      </c>
      <c r="AC103" s="16" t="n">
        <f aca="false">Data!AL92+Data!AL93+Data!AL94+Data!AL95+Data!AL96+Data!AL97+Data!AL98+Data!AL99+Data!AL100+Data!AL101+Data!AL102+Data!AL103</f>
        <v>2992366</v>
      </c>
      <c r="AD103" s="15" t="n">
        <f aca="false">Data!AM92+Data!AM93+Data!AM94+Data!AM95+Data!AM96+Data!AM97+Data!AM98+Data!AM99+Data!AM100+Data!AM101+Data!AM102+Data!AM103</f>
        <v>-2949952</v>
      </c>
      <c r="AE103" s="16" t="n">
        <f aca="false">Data!AN92+Data!AN93+Data!AN94+Data!AN95+Data!AN96+Data!AN97+Data!AN98+Data!AN99+Data!AN100+Data!AN101+Data!AN102+Data!AN103</f>
        <v>4412138</v>
      </c>
      <c r="AF103" s="15" t="n">
        <f aca="false">Data!AO92+Data!AO93+Data!AO94+Data!AO95+Data!AO96+Data!AO97+Data!AO98+Data!AO99+Data!AO100+Data!AO101+Data!AO102+Data!AO103</f>
        <v>-7362090</v>
      </c>
    </row>
    <row r="104" customFormat="false" ht="15" hidden="false" customHeight="false" outlineLevel="0" collapsed="false">
      <c r="B104" s="14" t="str">
        <f aca="false">Data!B104</f>
        <v>2024-02</v>
      </c>
      <c r="C104" s="15" t="n">
        <f aca="false">Data!D93+Data!E93+Data!F93+Data!G93+Data!H93+Data!I93+Data!J93+Data!K93+Data!L93+Data!M93+Data!N93+Data!O93+Data!P93+Data!Q93+Data!R93+Data!S93+Data!D94+Data!E94+Data!F94+Data!G94+Data!H94+Data!I94+Data!J94+Data!K94+Data!L94+Data!M94+Data!N94+Data!O94+Data!P94+Data!Q94+Data!R94+Data!S94+Data!D95+Data!E95+Data!F95+Data!G95+Data!H95+Data!I95+Data!J95+Data!K95+Data!L95+Data!M95+Data!N95+Data!O95+Data!P95+Data!Q95+Data!R95+Data!S95+Data!D96+Data!E96+Data!F96+Data!G96+Data!H96+Data!I96+Data!J96+Data!K96+Data!L96+Data!M96+Data!N96+Data!O96+Data!P96+Data!Q96+Data!R96+Data!S96+Data!D97+Data!E97+Data!F97+Data!G97+Data!H97+Data!I97+Data!J97+Data!K97+Data!L97+Data!M97+Data!N97+Data!O97+Data!P97+Data!Q97+Data!R97+Data!S97+Data!D98+Data!E98+Data!F98+Data!G98+Data!H98+Data!I98+Data!J98+Data!K98+Data!L98+Data!M98+Data!N98+Data!O98+Data!P98+Data!Q98+Data!R98+Data!S98+Data!D99+Data!E99+Data!F99+Data!G99+Data!H99+Data!I99+Data!J99+Data!K99+Data!L99+Data!M99+Data!N99+Data!O99+Data!P99+Data!Q99+Data!R99+Data!S99+Data!D100+Data!E100+Data!F100+Data!G100+Data!H100+Data!I100+Data!J100+Data!K100+Data!L100+Data!M100+Data!N100+Data!O100+Data!P100+Data!Q100+Data!R100+Data!S100+Data!D101+Data!E101+Data!F101+Data!G101+Data!H101+Data!I101+Data!J101+Data!K101+Data!L101+Data!M101+Data!N101+Data!O101+Data!P101+Data!Q101+Data!R101+Data!S101+Data!D102+Data!E102+Data!F102+Data!G102+Data!H102+Data!I102+Data!J102+Data!K102+Data!L102+Data!M102+Data!N102+Data!O102+Data!P102+Data!Q102+Data!R102+Data!S102+Data!D103+Data!E103+Data!F103+Data!G103+Data!H103+Data!I103+Data!J103+Data!K103+Data!L103+Data!M103+Data!N103+Data!O103+Data!P103+Data!Q103+Data!R103+Data!S103+Data!D104+Data!E104+Data!F104+Data!G104+Data!H104+Data!I104+Data!J104+Data!K104+Data!L104+Data!M104+Data!N104+Data!O104+Data!P104+Data!Q104+Data!R104+Data!S104</f>
        <v>40709477</v>
      </c>
      <c r="D104" s="16" t="n">
        <f aca="false">Data!D93+Data!E93+Data!G93+Data!H93+Data!I93+Data!J93+Data!K93+Data!L93+Data!M93+Data!D94+Data!E94+Data!G94+Data!H94+Data!I94+Data!J94+Data!K94+Data!L94+Data!M94+Data!D95+Data!E95+Data!G95+Data!H95+Data!I95+Data!J95+Data!K95+Data!L95+Data!M95+Data!D96+Data!E96+Data!G96+Data!H96+Data!I96+Data!J96+Data!K96+Data!L96+Data!M96+Data!D97+Data!E97+Data!G97+Data!H97+Data!I97+Data!J97+Data!K97+Data!L97+Data!M97+Data!D98+Data!E98+Data!G98+Data!H98+Data!I98+Data!J98+Data!K98+Data!L98+Data!M98+Data!D99+Data!E99+Data!G99+Data!H99+Data!I99+Data!J99+Data!K99+Data!L99+Data!M99+Data!D100+Data!E100+Data!G100+Data!H100+Data!I100+Data!J100+Data!K100+Data!L100+Data!M100+Data!D101+Data!E101+Data!G101+Data!H101+Data!I101+Data!J101+Data!K101+Data!L101+Data!M101+Data!D102+Data!E102+Data!G102+Data!H102+Data!I102+Data!J102+Data!K102+Data!L102+Data!M102+Data!D103+Data!E103+Data!G103+Data!H103+Data!I103+Data!J103+Data!K103+Data!L103+Data!M103+Data!D104+Data!E104+Data!G104+Data!H104+Data!I104+Data!J104+Data!K104+Data!L104+Data!M104</f>
        <v>24571453</v>
      </c>
      <c r="E104" s="16" t="n">
        <f aca="false">Data!D93+Data!D94+Data!D95+Data!D96+Data!D97+Data!D98+Data!D99+Data!D100+Data!D101+Data!D102+Data!D103+Data!D104</f>
        <v>8551977</v>
      </c>
      <c r="F104" s="16" t="n">
        <f aca="false">Data!E93+Data!E94+Data!E95+Data!E96+Data!E97+Data!E98+Data!E99+Data!E100+Data!E101+Data!E102+Data!E103+Data!E104</f>
        <v>3546608</v>
      </c>
      <c r="G104" s="16" t="n">
        <f aca="false">Data!K93+Data!K94+Data!K95+Data!K96+Data!K97+Data!K98+Data!K99+Data!K100+Data!K101+Data!K102+Data!K103+Data!K104</f>
        <v>2286226</v>
      </c>
      <c r="H104" s="16" t="n">
        <f aca="false">Data!L93+Data!L94+Data!L95+Data!L96+Data!L97+Data!L98+Data!L99+Data!L100+Data!L101+Data!L102+Data!L103+Data!L104</f>
        <v>1457166</v>
      </c>
      <c r="I104" s="16" t="n">
        <f aca="false">Data!G93+Data!G94+Data!G95+Data!G96+Data!G97+Data!G98+Data!G99+Data!G100+Data!G101+Data!G102+Data!G103+Data!G104</f>
        <v>3796526</v>
      </c>
      <c r="J104" s="16" t="n">
        <f aca="false">Data!H93+Data!I93+Data!J93+Data!M93+Data!H94+Data!I94+Data!J94+Data!M94+Data!H95+Data!I95+Data!J95+Data!M95+Data!H96+Data!I96+Data!J96+Data!M96+Data!H97+Data!I97+Data!J97+Data!M97+Data!H98+Data!I98+Data!J98+Data!M98+Data!H99+Data!I99+Data!J99+Data!M99+Data!H100+Data!I100+Data!J100+Data!M100+Data!H101+Data!I101+Data!J101+Data!M101+Data!H102+Data!I102+Data!J102+Data!M102+Data!H103+Data!I103+Data!J103+Data!M103+Data!H104+Data!I104+Data!J104+Data!M104</f>
        <v>4932950</v>
      </c>
      <c r="K104" s="16" t="n">
        <f aca="false">Data!F93+Data!F94+Data!F95+Data!F96+Data!F97+Data!F98+Data!F99+Data!F100+Data!F101+Data!F102+Data!F103+Data!F104</f>
        <v>11738986</v>
      </c>
      <c r="L104" s="16" t="n">
        <f aca="false">Data!N93+Data!O93+Data!P93+Data!Q93+Data!R93+Data!S93+Data!N94+Data!O94+Data!P94+Data!Q94+Data!R94+Data!S94+Data!N95+Data!O95+Data!P95+Data!Q95+Data!R95+Data!S95+Data!N96+Data!O96+Data!P96+Data!Q96+Data!R96+Data!S96+Data!N97+Data!O97+Data!P97+Data!Q97+Data!R97+Data!S97+Data!N98+Data!O98+Data!P98+Data!Q98+Data!R98+Data!S98+Data!N99+Data!O99+Data!P99+Data!Q99+Data!R99+Data!S99+Data!N100+Data!O100+Data!P100+Data!Q100+Data!R100+Data!S100+Data!N101+Data!O101+Data!P101+Data!Q101+Data!R101+Data!S101+Data!N102+Data!O102+Data!P102+Data!Q102+Data!R102+Data!S102+Data!N103+Data!O103+Data!P103+Data!Q103+Data!R103+Data!S103+Data!N104+Data!O104+Data!P104+Data!Q104+Data!R104+Data!S104</f>
        <v>4399038</v>
      </c>
      <c r="M104" s="15" t="n">
        <f aca="false">Data!T93+Data!U93+Data!V93+Data!W93+Data!X93+Data!Y93+Data!Z93+Data!AA93+Data!AB93+Data!AC93+Data!AD93+Data!AE93+Data!AF93+Data!AG93+Data!AH93+Data!AI93+Data!AJ93+Data!AK93+Data!AL93+Data!T94+Data!U94+Data!V94+Data!W94+Data!X94+Data!Y94+Data!Z94+Data!AA94+Data!AB94+Data!AC94+Data!AD94+Data!AE94+Data!AF94+Data!AG94+Data!AH94+Data!AI94+Data!AJ94+Data!AK94+Data!AL94+Data!T95+Data!U95+Data!V95+Data!W95+Data!X95+Data!Y95+Data!Z95+Data!AA95+Data!AB95+Data!AC95+Data!AD95+Data!AE95+Data!AF95+Data!AG95+Data!AH95+Data!AI95+Data!AJ95+Data!AK95+Data!AL95+Data!T96+Data!U96+Data!V96+Data!W96+Data!X96+Data!Y96+Data!Z96+Data!AA96+Data!AB96+Data!AC96+Data!AD96+Data!AE96+Data!AF96+Data!AG96+Data!AH96+Data!AI96+Data!AJ96+Data!AK96+Data!AL96+Data!T97+Data!U97+Data!V97+Data!W97+Data!X97+Data!Y97+Data!Z97+Data!AA97+Data!AB97+Data!AC97+Data!AD97+Data!AE97+Data!AF97+Data!AG97+Data!AH97+Data!AI97+Data!AJ97+Data!AK97+Data!AL97+Data!T98+Data!U98+Data!V98+Data!W98+Data!X98+Data!Y98+Data!Z98+Data!AA98+Data!AB98+Data!AC98+Data!AD98+Data!AE98+Data!AF98+Data!AG98+Data!AH98+Data!AI98+Data!AJ98+Data!AK98+Data!AL98+Data!T99+Data!U99+Data!V99+Data!W99+Data!X99+Data!Y99+Data!Z99+Data!AA99+Data!AB99+Data!AC99+Data!AD99+Data!AE99+Data!AF99+Data!AG99+Data!AH99+Data!AI99+Data!AJ99+Data!AK99+Data!AL99+Data!T100+Data!U100+Data!V100+Data!W100+Data!X100+Data!Y100+Data!Z100+Data!AA100+Data!AB100+Data!AC100+Data!AD100+Data!AE100+Data!AF100+Data!AG100+Data!AH100+Data!AI100+Data!AJ100+Data!AK100+Data!AL100+Data!T101+Data!U101+Data!V101+Data!W101+Data!X101+Data!Y101+Data!Z101+Data!AA101+Data!AB101+Data!AC101+Data!AD101+Data!AE101+Data!AF101+Data!AG101+Data!AH101+Data!AI101+Data!AJ101+Data!AK101+Data!AL101+Data!T102+Data!U102+Data!V102+Data!W102+Data!X102+Data!Y102+Data!Z102+Data!AA102+Data!AB102+Data!AC102+Data!AD102+Data!AE102+Data!AF102+Data!AG102+Data!AH102+Data!AI102+Data!AJ102+Data!AK102+Data!AL102+Data!T103+Data!U103+Data!V103+Data!W103+Data!X103+Data!Y103+Data!Z103+Data!AA103+Data!AB103+Data!AC103+Data!AD103+Data!AE103+Data!AF103+Data!AG103+Data!AH103+Data!AI103+Data!AJ103+Data!AK103+Data!AL103+Data!T104+Data!U104+Data!V104+Data!W104+Data!X104+Data!Y104+Data!Z104+Data!AA104+Data!AB104+Data!AC104+Data!AD104+Data!AE104+Data!AF104+Data!AG104+Data!AH104+Data!AI104+Data!AJ104+Data!AK104+Data!AL104</f>
        <v>42198770</v>
      </c>
      <c r="N104" s="16" t="n">
        <f aca="false">Data!T93+Data!U93+Data!V93+Data!W93+Data!T94+Data!U94+Data!V94+Data!W94+Data!T95+Data!U95+Data!V95+Data!W95+Data!T96+Data!U96+Data!V96+Data!W96+Data!T97+Data!U97+Data!V97+Data!W97+Data!T98+Data!U98+Data!V98+Data!W98+Data!T99+Data!U99+Data!V99+Data!W99+Data!T100+Data!U100+Data!V100+Data!W100+Data!T101+Data!U101+Data!V101+Data!W101+Data!T102+Data!U102+Data!V102+Data!W102+Data!T103+Data!U103+Data!V103+Data!W103+Data!T104+Data!U104+Data!V104+Data!W104</f>
        <v>18763541</v>
      </c>
      <c r="O104" s="16" t="n">
        <f aca="false">Data!T93+Data!T94+Data!T95+Data!T96+Data!T97+Data!T98+Data!T99+Data!T100+Data!T101+Data!T102+Data!T103+Data!T104</f>
        <v>13430376</v>
      </c>
      <c r="P104" s="16" t="n">
        <f aca="false">Data!U93+Data!U94+Data!U95+Data!U96+Data!U97+Data!U98+Data!U99+Data!U100+Data!U101+Data!U102+Data!U103+Data!U104</f>
        <v>1895274</v>
      </c>
      <c r="Q104" s="16" t="n">
        <f aca="false">Data!V93+Data!V94+Data!V95+Data!V96+Data!V97+Data!V98+Data!V99+Data!V100+Data!V101+Data!V102+Data!V103+Data!V104</f>
        <v>1251071</v>
      </c>
      <c r="R104" s="16" t="n">
        <f aca="false">Data!W93+Data!W94+Data!W95+Data!W96+Data!W97+Data!W98+Data!W99+Data!W100+Data!W101+Data!W102+Data!W103+Data!W104</f>
        <v>2186820</v>
      </c>
      <c r="S104" s="16" t="n">
        <f aca="false">Data!X93+Data!X94+Data!X95+Data!X96+Data!X97+Data!X98+Data!X99+Data!X100+Data!X101+Data!X102+Data!X103+Data!X104</f>
        <v>4876932</v>
      </c>
      <c r="T104" s="16" t="n">
        <f aca="false">Data!Y93+Data!Z93+Data!AA93+Data!Y94+Data!Z94+Data!AA94+Data!Y95+Data!Z95+Data!AA95+Data!Y96+Data!Z96+Data!AA96+Data!Y97+Data!Z97+Data!AA97+Data!Y98+Data!Z98+Data!AA98+Data!Y99+Data!Z99+Data!AA99+Data!Y100+Data!Z100+Data!AA100+Data!Y101+Data!Z101+Data!AA101+Data!Y102+Data!Z102+Data!AA102+Data!Y103+Data!Z103+Data!AA103+Data!Y104+Data!Z104+Data!AA104</f>
        <v>4249844</v>
      </c>
      <c r="U104" s="16" t="n">
        <f aca="false">Data!Y93+Data!Y94+Data!Y95+Data!Y96+Data!Y97+Data!Y98+Data!Y99+Data!Y100+Data!Y101+Data!Y102+Data!Y103+Data!Y104</f>
        <v>3067312</v>
      </c>
      <c r="V104" s="16" t="n">
        <f aca="false">Data!Z93+Data!Z94+Data!Z95+Data!Z96+Data!Z97+Data!Z98+Data!Z99+Data!Z100+Data!Z101+Data!Z102+Data!Z103+Data!Z104</f>
        <v>1077636</v>
      </c>
      <c r="W104" s="16" t="n">
        <f aca="false">Data!AB93+Data!AB94+Data!AB95+Data!AB96+Data!AB97+Data!AB98+Data!AB99+Data!AB100+Data!AB101+Data!AB102+Data!AB103+Data!AB104</f>
        <v>6008917</v>
      </c>
      <c r="X104" s="16" t="n">
        <f aca="false">Data!AC93+Data!AC94+Data!AC95+Data!AC96+Data!AC97+Data!AC98+Data!AC99+Data!AC100+Data!AC101+Data!AC102+Data!AC103+Data!AC104</f>
        <v>1451596</v>
      </c>
      <c r="Y104" s="16" t="n">
        <f aca="false">Data!AD93+Data!AE93+Data!AF93+Data!AG93+Data!AH93+Data!AD94+Data!AE94+Data!AF94+Data!AG94+Data!AH94+Data!AD95+Data!AE95+Data!AF95+Data!AG95+Data!AH95+Data!AD96+Data!AE96+Data!AF96+Data!AG96+Data!AH96+Data!AD97+Data!AE97+Data!AF97+Data!AG97+Data!AH97+Data!AD98+Data!AE98+Data!AF98+Data!AG98+Data!AH98+Data!AD99+Data!AE99+Data!AF99+Data!AG99+Data!AH99+Data!AD100+Data!AE100+Data!AF100+Data!AG100+Data!AH100+Data!AD101+Data!AE101+Data!AF101+Data!AG101+Data!AH101+Data!AD102+Data!AE102+Data!AF102+Data!AG102+Data!AH102+Data!AD103+Data!AE103+Data!AF103+Data!AG103+Data!AH103+Data!AD104+Data!AE104+Data!AF104+Data!AG104+Data!AH104</f>
        <v>1420789</v>
      </c>
      <c r="Z104" s="16" t="n">
        <f aca="false">Data!AI93+Data!AI94+Data!AI95+Data!AI96+Data!AI97+Data!AI98+Data!AI99+Data!AI100+Data!AI101+Data!AI102+Data!AI103+Data!AI104</f>
        <v>1601190</v>
      </c>
      <c r="AA104" s="16" t="n">
        <f aca="false">Data!AJ93+Data!AJ94+Data!AJ95+Data!AJ96+Data!AJ97+Data!AJ98+Data!AJ99+Data!AJ100+Data!AJ101+Data!AJ102+Data!AJ103+Data!AJ104</f>
        <v>0</v>
      </c>
      <c r="AB104" s="16" t="n">
        <f aca="false">Data!AK93+Data!AK94+Data!AK95+Data!AK96+Data!AK97+Data!AK98+Data!AK99+Data!AK100+Data!AK101+Data!AK102+Data!AK103+Data!AK104</f>
        <v>929554</v>
      </c>
      <c r="AC104" s="16" t="n">
        <f aca="false">Data!AL93+Data!AL94+Data!AL95+Data!AL96+Data!AL97+Data!AL98+Data!AL99+Data!AL100+Data!AL101+Data!AL102+Data!AL103+Data!AL104</f>
        <v>2896407</v>
      </c>
      <c r="AD104" s="15" t="n">
        <f aca="false">Data!AM93+Data!AM94+Data!AM95+Data!AM96+Data!AM97+Data!AM98+Data!AM99+Data!AM100+Data!AM101+Data!AM102+Data!AM103+Data!AM104</f>
        <v>-1489293</v>
      </c>
      <c r="AE104" s="16" t="n">
        <f aca="false">Data!AN93+Data!AN94+Data!AN95+Data!AN96+Data!AN97+Data!AN98+Data!AN99+Data!AN100+Data!AN101+Data!AN102+Data!AN103+Data!AN104</f>
        <v>5049093</v>
      </c>
      <c r="AF104" s="15" t="n">
        <f aca="false">Data!AO93+Data!AO94+Data!AO95+Data!AO96+Data!AO97+Data!AO98+Data!AO99+Data!AO100+Data!AO101+Data!AO102+Data!AO103+Data!AO104</f>
        <v>-6538387</v>
      </c>
    </row>
    <row r="105" customFormat="false" ht="15" hidden="false" customHeight="false" outlineLevel="0" collapsed="false">
      <c r="B105" s="14" t="str">
        <f aca="false">Data!B105</f>
        <v>2024-03</v>
      </c>
      <c r="C105" s="15" t="n">
        <f aca="false">Data!D94+Data!E94+Data!F94+Data!G94+Data!H94+Data!I94+Data!J94+Data!K94+Data!L94+Data!M94+Data!N94+Data!O94+Data!P94+Data!Q94+Data!R94+Data!S94+Data!D95+Data!E95+Data!F95+Data!G95+Data!H95+Data!I95+Data!J95+Data!K95+Data!L95+Data!M95+Data!N95+Data!O95+Data!P95+Data!Q95+Data!R95+Data!S95+Data!D96+Data!E96+Data!F96+Data!G96+Data!H96+Data!I96+Data!J96+Data!K96+Data!L96+Data!M96+Data!N96+Data!O96+Data!P96+Data!Q96+Data!R96+Data!S96+Data!D97+Data!E97+Data!F97+Data!G97+Data!H97+Data!I97+Data!J97+Data!K97+Data!L97+Data!M97+Data!N97+Data!O97+Data!P97+Data!Q97+Data!R97+Data!S97+Data!D98+Data!E98+Data!F98+Data!G98+Data!H98+Data!I98+Data!J98+Data!K98+Data!L98+Data!M98+Data!N98+Data!O98+Data!P98+Data!Q98+Data!R98+Data!S98+Data!D99+Data!E99+Data!F99+Data!G99+Data!H99+Data!I99+Data!J99+Data!K99+Data!L99+Data!M99+Data!N99+Data!O99+Data!P99+Data!Q99+Data!R99+Data!S99+Data!D100+Data!E100+Data!F100+Data!G100+Data!H100+Data!I100+Data!J100+Data!K100+Data!L100+Data!M100+Data!N100+Data!O100+Data!P100+Data!Q100+Data!R100+Data!S100+Data!D101+Data!E101+Data!F101+Data!G101+Data!H101+Data!I101+Data!J101+Data!K101+Data!L101+Data!M101+Data!N101+Data!O101+Data!P101+Data!Q101+Data!R101+Data!S101+Data!D102+Data!E102+Data!F102+Data!G102+Data!H102+Data!I102+Data!J102+Data!K102+Data!L102+Data!M102+Data!N102+Data!O102+Data!P102+Data!Q102+Data!R102+Data!S102+Data!D103+Data!E103+Data!F103+Data!G103+Data!H103+Data!I103+Data!J103+Data!K103+Data!L103+Data!M103+Data!N103+Data!O103+Data!P103+Data!Q103+Data!R103+Data!S103+Data!D104+Data!E104+Data!F104+Data!G104+Data!H104+Data!I104+Data!J104+Data!K104+Data!L104+Data!M104+Data!N104+Data!O104+Data!P104+Data!Q104+Data!R104+Data!S104+Data!D105+Data!E105+Data!F105+Data!G105+Data!H105+Data!I105+Data!J105+Data!K105+Data!L105+Data!M105+Data!N105+Data!O105+Data!P105+Data!Q105+Data!R105+Data!S105</f>
        <v>45104328</v>
      </c>
      <c r="D105" s="16" t="n">
        <f aca="false">Data!D94+Data!E94+Data!G94+Data!H94+Data!I94+Data!J94+Data!K94+Data!L94+Data!M94+Data!D95+Data!E95+Data!G95+Data!H95+Data!I95+Data!J95+Data!K95+Data!L95+Data!M95+Data!D96+Data!E96+Data!G96+Data!H96+Data!I96+Data!J96+Data!K96+Data!L96+Data!M96+Data!D97+Data!E97+Data!G97+Data!H97+Data!I97+Data!J97+Data!K97+Data!L97+Data!M97+Data!D98+Data!E98+Data!G98+Data!H98+Data!I98+Data!J98+Data!K98+Data!L98+Data!M98+Data!D99+Data!E99+Data!G99+Data!H99+Data!I99+Data!J99+Data!K99+Data!L99+Data!M99+Data!D100+Data!E100+Data!G100+Data!H100+Data!I100+Data!J100+Data!K100+Data!L100+Data!M100+Data!D101+Data!E101+Data!G101+Data!H101+Data!I101+Data!J101+Data!K101+Data!L101+Data!M101+Data!D102+Data!E102+Data!G102+Data!H102+Data!I102+Data!J102+Data!K102+Data!L102+Data!M102+Data!D103+Data!E103+Data!G103+Data!H103+Data!I103+Data!J103+Data!K103+Data!L103+Data!M103+Data!D104+Data!E104+Data!G104+Data!H104+Data!I104+Data!J104+Data!K104+Data!L104+Data!M104+Data!D105+Data!E105+Data!G105+Data!H105+Data!I105+Data!J105+Data!K105+Data!L105+Data!M105</f>
        <v>27326136</v>
      </c>
      <c r="E105" s="16" t="n">
        <f aca="false">Data!D94+Data!D95+Data!D96+Data!D97+Data!D98+Data!D99+Data!D100+Data!D101+Data!D102+Data!D103+Data!D104+Data!D105</f>
        <v>9430950</v>
      </c>
      <c r="F105" s="16" t="n">
        <f aca="false">Data!E94+Data!E95+Data!E96+Data!E97+Data!E98+Data!E99+Data!E100+Data!E101+Data!E102+Data!E103+Data!E104+Data!E105</f>
        <v>3761566</v>
      </c>
      <c r="G105" s="16" t="n">
        <f aca="false">Data!K94+Data!K95+Data!K96+Data!K97+Data!K98+Data!K99+Data!K100+Data!K101+Data!K102+Data!K103+Data!K104+Data!K105</f>
        <v>2553532</v>
      </c>
      <c r="H105" s="16" t="n">
        <f aca="false">Data!L94+Data!L95+Data!L96+Data!L97+Data!L98+Data!L99+Data!L100+Data!L101+Data!L102+Data!L103+Data!L104+Data!L105</f>
        <v>1579719</v>
      </c>
      <c r="I105" s="16" t="n">
        <f aca="false">Data!G94+Data!G95+Data!G96+Data!G97+Data!G98+Data!G99+Data!G100+Data!G101+Data!G102+Data!G103+Data!G104+Data!G105</f>
        <v>4211420</v>
      </c>
      <c r="J105" s="16" t="n">
        <f aca="false">Data!H94+Data!I94+Data!J94+Data!M94+Data!H95+Data!I95+Data!J95+Data!M95+Data!H96+Data!I96+Data!J96+Data!M96+Data!H97+Data!I97+Data!J97+Data!M97+Data!H98+Data!I98+Data!J98+Data!M98+Data!H99+Data!I99+Data!J99+Data!M99+Data!H100+Data!I100+Data!J100+Data!M100+Data!H101+Data!I101+Data!J101+Data!M101+Data!H102+Data!I102+Data!J102+Data!M102+Data!H103+Data!I103+Data!J103+Data!M103+Data!H104+Data!I104+Data!J104+Data!M104+Data!H105+Data!I105+Data!J105+Data!M105</f>
        <v>5788949</v>
      </c>
      <c r="K105" s="16" t="n">
        <f aca="false">Data!F94+Data!F95+Data!F96+Data!F97+Data!F98+Data!F99+Data!F100+Data!F101+Data!F102+Data!F103+Data!F104+Data!F105</f>
        <v>12945491</v>
      </c>
      <c r="L105" s="16" t="n">
        <f aca="false">Data!N94+Data!O94+Data!P94+Data!Q94+Data!R94+Data!S94+Data!N95+Data!O95+Data!P95+Data!Q95+Data!R95+Data!S95+Data!N96+Data!O96+Data!P96+Data!Q96+Data!R96+Data!S96+Data!N97+Data!O97+Data!P97+Data!Q97+Data!R97+Data!S97+Data!N98+Data!O98+Data!P98+Data!Q98+Data!R98+Data!S98+Data!N99+Data!O99+Data!P99+Data!Q99+Data!R99+Data!S99+Data!N100+Data!O100+Data!P100+Data!Q100+Data!R100+Data!S100+Data!N101+Data!O101+Data!P101+Data!Q101+Data!R101+Data!S101+Data!N102+Data!O102+Data!P102+Data!Q102+Data!R102+Data!S102+Data!N103+Data!O103+Data!P103+Data!Q103+Data!R103+Data!S103+Data!N104+Data!O104+Data!P104+Data!Q104+Data!R104+Data!S104+Data!N105+Data!O105+Data!P105+Data!Q105+Data!R105+Data!S105</f>
        <v>4832701</v>
      </c>
      <c r="M105" s="15" t="n">
        <f aca="false">Data!T94+Data!U94+Data!V94+Data!W94+Data!X94+Data!Y94+Data!Z94+Data!AA94+Data!AB94+Data!AC94+Data!AD94+Data!AE94+Data!AF94+Data!AG94+Data!AH94+Data!AI94+Data!AJ94+Data!AK94+Data!AL94+Data!T95+Data!U95+Data!V95+Data!W95+Data!X95+Data!Y95+Data!Z95+Data!AA95+Data!AB95+Data!AC95+Data!AD95+Data!AE95+Data!AF95+Data!AG95+Data!AH95+Data!AI95+Data!AJ95+Data!AK95+Data!AL95+Data!T96+Data!U96+Data!V96+Data!W96+Data!X96+Data!Y96+Data!Z96+Data!AA96+Data!AB96+Data!AC96+Data!AD96+Data!AE96+Data!AF96+Data!AG96+Data!AH96+Data!AI96+Data!AJ96+Data!AK96+Data!AL96+Data!T97+Data!U97+Data!V97+Data!W97+Data!X97+Data!Y97+Data!Z97+Data!AA97+Data!AB97+Data!AC97+Data!AD97+Data!AE97+Data!AF97+Data!AG97+Data!AH97+Data!AI97+Data!AJ97+Data!AK97+Data!AL97+Data!T98+Data!U98+Data!V98+Data!W98+Data!X98+Data!Y98+Data!Z98+Data!AA98+Data!AB98+Data!AC98+Data!AD98+Data!AE98+Data!AF98+Data!AG98+Data!AH98+Data!AI98+Data!AJ98+Data!AK98+Data!AL98+Data!T99+Data!U99+Data!V99+Data!W99+Data!X99+Data!Y99+Data!Z99+Data!AA99+Data!AB99+Data!AC99+Data!AD99+Data!AE99+Data!AF99+Data!AG99+Data!AH99+Data!AI99+Data!AJ99+Data!AK99+Data!AL99+Data!T100+Data!U100+Data!V100+Data!W100+Data!X100+Data!Y100+Data!Z100+Data!AA100+Data!AB100+Data!AC100+Data!AD100+Data!AE100+Data!AF100+Data!AG100+Data!AH100+Data!AI100+Data!AJ100+Data!AK100+Data!AL100+Data!T101+Data!U101+Data!V101+Data!W101+Data!X101+Data!Y101+Data!Z101+Data!AA101+Data!AB101+Data!AC101+Data!AD101+Data!AE101+Data!AF101+Data!AG101+Data!AH101+Data!AI101+Data!AJ101+Data!AK101+Data!AL101+Data!T102+Data!U102+Data!V102+Data!W102+Data!X102+Data!Y102+Data!Z102+Data!AA102+Data!AB102+Data!AC102+Data!AD102+Data!AE102+Data!AF102+Data!AG102+Data!AH102+Data!AI102+Data!AJ102+Data!AK102+Data!AL102+Data!T103+Data!U103+Data!V103+Data!W103+Data!X103+Data!Y103+Data!Z103+Data!AA103+Data!AB103+Data!AC103+Data!AD103+Data!AE103+Data!AF103+Data!AG103+Data!AH103+Data!AI103+Data!AJ103+Data!AK103+Data!AL103+Data!T104+Data!U104+Data!V104+Data!W104+Data!X104+Data!Y104+Data!Z104+Data!AA104+Data!AB104+Data!AC104+Data!AD104+Data!AE104+Data!AF104+Data!AG104+Data!AH104+Data!AI104+Data!AJ104+Data!AK104+Data!AL104+Data!T105+Data!U105+Data!V105+Data!W105+Data!X105+Data!Y105+Data!Z105+Data!AA105+Data!AB105+Data!AC105+Data!AD105+Data!AE105+Data!AF105+Data!AG105+Data!AH105+Data!AI105+Data!AJ105+Data!AK105+Data!AL105</f>
        <v>45710731</v>
      </c>
      <c r="N105" s="16" t="n">
        <f aca="false">Data!T94+Data!U94+Data!V94+Data!W94+Data!T95+Data!U95+Data!V95+Data!W95+Data!T96+Data!U96+Data!V96+Data!W96+Data!T97+Data!U97+Data!V97+Data!W97+Data!T98+Data!U98+Data!V98+Data!W98+Data!T99+Data!U99+Data!V99+Data!W99+Data!T100+Data!U100+Data!V100+Data!W100+Data!T101+Data!U101+Data!V101+Data!W101+Data!T102+Data!U102+Data!V102+Data!W102+Data!T103+Data!U103+Data!V103+Data!W103+Data!T104+Data!U104+Data!V104+Data!W104+Data!T105+Data!U105+Data!V105+Data!W105</f>
        <v>20739083</v>
      </c>
      <c r="O105" s="16" t="n">
        <f aca="false">Data!T94+Data!T95+Data!T96+Data!T97+Data!T98+Data!T99+Data!T100+Data!T101+Data!T102+Data!T103+Data!T104+Data!T105</f>
        <v>14571891</v>
      </c>
      <c r="P105" s="16" t="n">
        <f aca="false">Data!U94+Data!U95+Data!U96+Data!U97+Data!U98+Data!U99+Data!U100+Data!U101+Data!U102+Data!U103+Data!U104+Data!U105</f>
        <v>2426248</v>
      </c>
      <c r="Q105" s="16" t="n">
        <f aca="false">Data!V94+Data!V95+Data!V96+Data!V97+Data!V98+Data!V99+Data!V100+Data!V101+Data!V102+Data!V103+Data!V104+Data!V105</f>
        <v>1339271</v>
      </c>
      <c r="R105" s="16" t="n">
        <f aca="false">Data!W94+Data!W95+Data!W96+Data!W97+Data!W98+Data!W99+Data!W100+Data!W101+Data!W102+Data!W103+Data!W104+Data!W105</f>
        <v>2401673</v>
      </c>
      <c r="S105" s="16" t="n">
        <f aca="false">Data!X94+Data!X95+Data!X96+Data!X97+Data!X98+Data!X99+Data!X100+Data!X101+Data!X102+Data!X103+Data!X104+Data!X105</f>
        <v>5354842</v>
      </c>
      <c r="T105" s="16" t="n">
        <f aca="false">Data!Y94+Data!Z94+Data!AA94+Data!Y95+Data!Z95+Data!AA95+Data!Y96+Data!Z96+Data!AA96+Data!Y97+Data!Z97+Data!AA97+Data!Y98+Data!Z98+Data!AA98+Data!Y99+Data!Z99+Data!AA99+Data!Y100+Data!Z100+Data!AA100+Data!Y101+Data!Z101+Data!AA101+Data!Y102+Data!Z102+Data!AA102+Data!Y103+Data!Z103+Data!AA103+Data!Y104+Data!Z104+Data!AA104+Data!Y105+Data!Z105+Data!AA105</f>
        <v>4546722</v>
      </c>
      <c r="U105" s="16" t="n">
        <f aca="false">Data!Y94+Data!Y95+Data!Y96+Data!Y97+Data!Y98+Data!Y99+Data!Y100+Data!Y101+Data!Y102+Data!Y103+Data!Y104+Data!Y105</f>
        <v>3280678</v>
      </c>
      <c r="V105" s="16" t="n">
        <f aca="false">Data!Z94+Data!Z95+Data!Z96+Data!Z97+Data!Z98+Data!Z99+Data!Z100+Data!Z101+Data!Z102+Data!Z103+Data!Z104+Data!Z105</f>
        <v>1138045</v>
      </c>
      <c r="W105" s="16" t="n">
        <f aca="false">Data!AB94+Data!AB95+Data!AB96+Data!AB97+Data!AB98+Data!AB99+Data!AB100+Data!AB101+Data!AB102+Data!AB103+Data!AB104+Data!AB105</f>
        <v>6570142</v>
      </c>
      <c r="X105" s="16" t="n">
        <f aca="false">Data!AC94+Data!AC95+Data!AC96+Data!AC97+Data!AC98+Data!AC99+Data!AC100+Data!AC101+Data!AC102+Data!AC103+Data!AC104+Data!AC105</f>
        <v>1566235</v>
      </c>
      <c r="Y105" s="16" t="n">
        <f aca="false">Data!AD94+Data!AE94+Data!AF94+Data!AG94+Data!AH94+Data!AD95+Data!AE95+Data!AF95+Data!AG95+Data!AH95+Data!AD96+Data!AE96+Data!AF96+Data!AG96+Data!AH96+Data!AD97+Data!AE97+Data!AF97+Data!AG97+Data!AH97+Data!AD98+Data!AE98+Data!AF98+Data!AG98+Data!AH98+Data!AD99+Data!AE99+Data!AF99+Data!AG99+Data!AH99+Data!AD100+Data!AE100+Data!AF100+Data!AG100+Data!AH100+Data!AD101+Data!AE101+Data!AF101+Data!AG101+Data!AH101+Data!AD102+Data!AE102+Data!AF102+Data!AG102+Data!AH102+Data!AD103+Data!AE103+Data!AF103+Data!AG103+Data!AH103+Data!AD104+Data!AE104+Data!AF104+Data!AG104+Data!AH104+Data!AD105+Data!AE105+Data!AF105+Data!AG105+Data!AH105</f>
        <v>1417198</v>
      </c>
      <c r="Z105" s="16" t="n">
        <f aca="false">Data!AI94+Data!AI95+Data!AI96+Data!AI97+Data!AI98+Data!AI99+Data!AI100+Data!AI101+Data!AI102+Data!AI103+Data!AI104+Data!AI105</f>
        <v>1728065</v>
      </c>
      <c r="AA105" s="16" t="n">
        <f aca="false">Data!AJ94+Data!AJ95+Data!AJ96+Data!AJ97+Data!AJ98+Data!AJ99+Data!AJ100+Data!AJ101+Data!AJ102+Data!AJ103+Data!AJ104+Data!AJ105</f>
        <v>0</v>
      </c>
      <c r="AB105" s="16" t="n">
        <f aca="false">Data!AK94+Data!AK95+Data!AK96+Data!AK97+Data!AK98+Data!AK99+Data!AK100+Data!AK101+Data!AK102+Data!AK103+Data!AK104+Data!AK105</f>
        <v>972838</v>
      </c>
      <c r="AC105" s="16" t="n">
        <f aca="false">Data!AL94+Data!AL95+Data!AL96+Data!AL97+Data!AL98+Data!AL99+Data!AL100+Data!AL101+Data!AL102+Data!AL103+Data!AL104+Data!AL105</f>
        <v>2815606</v>
      </c>
      <c r="AD105" s="15" t="n">
        <f aca="false">Data!AM94+Data!AM95+Data!AM96+Data!AM97+Data!AM98+Data!AM99+Data!AM100+Data!AM101+Data!AM102+Data!AM103+Data!AM104+Data!AM105</f>
        <v>-606403</v>
      </c>
      <c r="AE105" s="16" t="n">
        <f aca="false">Data!AN94+Data!AN95+Data!AN96+Data!AN97+Data!AN98+Data!AN99+Data!AN100+Data!AN101+Data!AN102+Data!AN103+Data!AN104+Data!AN105</f>
        <v>5267339</v>
      </c>
      <c r="AF105" s="15" t="n">
        <f aca="false">Data!AO94+Data!AO95+Data!AO96+Data!AO97+Data!AO98+Data!AO99+Data!AO100+Data!AO101+Data!AO102+Data!AO103+Data!AO104+Data!AO105</f>
        <v>-5873743</v>
      </c>
    </row>
    <row r="106" customFormat="false" ht="15" hidden="false" customHeight="false" outlineLevel="0" collapsed="false">
      <c r="B106" s="14" t="str">
        <f aca="false">Data!B106</f>
        <v>2024-04</v>
      </c>
      <c r="C106" s="15" t="n">
        <f aca="false">Data!D95+Data!E95+Data!F95+Data!G95+Data!H95+Data!I95+Data!J95+Data!K95+Data!L95+Data!M95+Data!N95+Data!O95+Data!P95+Data!Q95+Data!R95+Data!S95+Data!D96+Data!E96+Data!F96+Data!G96+Data!H96+Data!I96+Data!J96+Data!K96+Data!L96+Data!M96+Data!N96+Data!O96+Data!P96+Data!Q96+Data!R96+Data!S96+Data!D97+Data!E97+Data!F97+Data!G97+Data!H97+Data!I97+Data!J97+Data!K97+Data!L97+Data!M97+Data!N97+Data!O97+Data!P97+Data!Q97+Data!R97+Data!S97+Data!D98+Data!E98+Data!F98+Data!G98+Data!H98+Data!I98+Data!J98+Data!K98+Data!L98+Data!M98+Data!N98+Data!O98+Data!P98+Data!Q98+Data!R98+Data!S98+Data!D99+Data!E99+Data!F99+Data!G99+Data!H99+Data!I99+Data!J99+Data!K99+Data!L99+Data!M99+Data!N99+Data!O99+Data!P99+Data!Q99+Data!R99+Data!S99+Data!D100+Data!E100+Data!F100+Data!G100+Data!H100+Data!I100+Data!J100+Data!K100+Data!L100+Data!M100+Data!N100+Data!O100+Data!P100+Data!Q100+Data!R100+Data!S100+Data!D101+Data!E101+Data!F101+Data!G101+Data!H101+Data!I101+Data!J101+Data!K101+Data!L101+Data!M101+Data!N101+Data!O101+Data!P101+Data!Q101+Data!R101+Data!S101+Data!D102+Data!E102+Data!F102+Data!G102+Data!H102+Data!I102+Data!J102+Data!K102+Data!L102+Data!M102+Data!N102+Data!O102+Data!P102+Data!Q102+Data!R102+Data!S102+Data!D103+Data!E103+Data!F103+Data!G103+Data!H103+Data!I103+Data!J103+Data!K103+Data!L103+Data!M103+Data!N103+Data!O103+Data!P103+Data!Q103+Data!R103+Data!S103+Data!D104+Data!E104+Data!F104+Data!G104+Data!H104+Data!I104+Data!J104+Data!K104+Data!L104+Data!M104+Data!N104+Data!O104+Data!P104+Data!Q104+Data!R104+Data!S104+Data!D105+Data!E105+Data!F105+Data!G105+Data!H105+Data!I105+Data!J105+Data!K105+Data!L105+Data!M105+Data!N105+Data!O105+Data!P105+Data!Q105+Data!R105+Data!S105+Data!D106+Data!E106+Data!F106+Data!G106+Data!H106+Data!I106+Data!J106+Data!K106+Data!L106+Data!M106+Data!N106+Data!O106+Data!P106+Data!Q106+Data!R106+Data!S106</f>
        <v>50030211</v>
      </c>
      <c r="D106" s="16" t="n">
        <f aca="false">Data!D95+Data!E95+Data!G95+Data!H95+Data!I95+Data!J95+Data!K95+Data!L95+Data!M95+Data!D96+Data!E96+Data!G96+Data!H96+Data!I96+Data!J96+Data!K96+Data!L96+Data!M96+Data!D97+Data!E97+Data!G97+Data!H97+Data!I97+Data!J97+Data!K97+Data!L97+Data!M97+Data!D98+Data!E98+Data!G98+Data!H98+Data!I98+Data!J98+Data!K98+Data!L98+Data!M98+Data!D99+Data!E99+Data!G99+Data!H99+Data!I99+Data!J99+Data!K99+Data!L99+Data!M99+Data!D100+Data!E100+Data!G100+Data!H100+Data!I100+Data!J100+Data!K100+Data!L100+Data!M100+Data!D101+Data!E101+Data!G101+Data!H101+Data!I101+Data!J101+Data!K101+Data!L101+Data!M101+Data!D102+Data!E102+Data!G102+Data!H102+Data!I102+Data!J102+Data!K102+Data!L102+Data!M102+Data!D103+Data!E103+Data!G103+Data!H103+Data!I103+Data!J103+Data!K103+Data!L103+Data!M103+Data!D104+Data!E104+Data!G104+Data!H104+Data!I104+Data!J104+Data!K104+Data!L104+Data!M104+Data!D105+Data!E105+Data!G105+Data!H105+Data!I105+Data!J105+Data!K105+Data!L105+Data!M105+Data!D106+Data!E106+Data!G106+Data!H106+Data!I106+Data!J106+Data!K106+Data!L106+Data!M106</f>
        <v>30280319</v>
      </c>
      <c r="E106" s="16" t="n">
        <f aca="false">Data!D95+Data!D96+Data!D97+Data!D98+Data!D99+Data!D100+Data!D101+Data!D102+Data!D103+Data!D104+Data!D105+Data!D106</f>
        <v>10496394</v>
      </c>
      <c r="F106" s="16" t="n">
        <f aca="false">Data!E95+Data!E96+Data!E97+Data!E98+Data!E99+Data!E100+Data!E101+Data!E102+Data!E103+Data!E104+Data!E105+Data!E106</f>
        <v>4020101</v>
      </c>
      <c r="G106" s="16" t="n">
        <f aca="false">Data!K95+Data!K96+Data!K97+Data!K98+Data!K99+Data!K100+Data!K101+Data!K102+Data!K103+Data!K104+Data!K105+Data!K106</f>
        <v>2803649</v>
      </c>
      <c r="H106" s="16" t="n">
        <f aca="false">Data!L95+Data!L96+Data!L97+Data!L98+Data!L99+Data!L100+Data!L101+Data!L102+Data!L103+Data!L104+Data!L105+Data!L106</f>
        <v>1753088</v>
      </c>
      <c r="I106" s="16" t="n">
        <f aca="false">Data!G95+Data!G96+Data!G97+Data!G98+Data!G99+Data!G100+Data!G101+Data!G102+Data!G103+Data!G104+Data!G105+Data!G106</f>
        <v>4628844</v>
      </c>
      <c r="J106" s="16" t="n">
        <f aca="false">Data!H95+Data!I95+Data!J95+Data!M95+Data!H96+Data!I96+Data!J96+Data!M96+Data!H97+Data!I97+Data!J97+Data!M97+Data!H98+Data!I98+Data!J98+Data!M98+Data!H99+Data!I99+Data!J99+Data!M99+Data!H100+Data!I100+Data!J100+Data!M100+Data!H101+Data!I101+Data!J101+Data!M101+Data!H102+Data!I102+Data!J102+Data!M102+Data!H103+Data!I103+Data!J103+Data!M103+Data!H104+Data!I104+Data!J104+Data!M104+Data!H105+Data!I105+Data!J105+Data!M105+Data!H106+Data!I106+Data!J106+Data!M106</f>
        <v>6578243</v>
      </c>
      <c r="K106" s="16" t="n">
        <f aca="false">Data!F95+Data!F96+Data!F97+Data!F98+Data!F99+Data!F100+Data!F101+Data!F102+Data!F103+Data!F104+Data!F105+Data!F106</f>
        <v>14312721</v>
      </c>
      <c r="L106" s="16" t="n">
        <f aca="false">Data!N95+Data!O95+Data!P95+Data!Q95+Data!R95+Data!S95+Data!N96+Data!O96+Data!P96+Data!Q96+Data!R96+Data!S96+Data!N97+Data!O97+Data!P97+Data!Q97+Data!R97+Data!S97+Data!N98+Data!O98+Data!P98+Data!Q98+Data!R98+Data!S98+Data!N99+Data!O99+Data!P99+Data!Q99+Data!R99+Data!S99+Data!N100+Data!O100+Data!P100+Data!Q100+Data!R100+Data!S100+Data!N101+Data!O101+Data!P101+Data!Q101+Data!R101+Data!S101+Data!N102+Data!O102+Data!P102+Data!Q102+Data!R102+Data!S102+Data!N103+Data!O103+Data!P103+Data!Q103+Data!R103+Data!S103+Data!N104+Data!O104+Data!P104+Data!Q104+Data!R104+Data!S104+Data!N105+Data!O105+Data!P105+Data!Q105+Data!R105+Data!S105+Data!N106+Data!O106+Data!P106+Data!Q106+Data!R106+Data!S106</f>
        <v>5437171</v>
      </c>
      <c r="M106" s="15" t="n">
        <f aca="false">Data!T95+Data!U95+Data!V95+Data!W95+Data!X95+Data!Y95+Data!Z95+Data!AA95+Data!AB95+Data!AC95+Data!AD95+Data!AE95+Data!AF95+Data!AG95+Data!AH95+Data!AI95+Data!AJ95+Data!AK95+Data!AL95+Data!T96+Data!U96+Data!V96+Data!W96+Data!X96+Data!Y96+Data!Z96+Data!AA96+Data!AB96+Data!AC96+Data!AD96+Data!AE96+Data!AF96+Data!AG96+Data!AH96+Data!AI96+Data!AJ96+Data!AK96+Data!AL96+Data!T97+Data!U97+Data!V97+Data!W97+Data!X97+Data!Y97+Data!Z97+Data!AA97+Data!AB97+Data!AC97+Data!AD97+Data!AE97+Data!AF97+Data!AG97+Data!AH97+Data!AI97+Data!AJ97+Data!AK97+Data!AL97+Data!T98+Data!U98+Data!V98+Data!W98+Data!X98+Data!Y98+Data!Z98+Data!AA98+Data!AB98+Data!AC98+Data!AD98+Data!AE98+Data!AF98+Data!AG98+Data!AH98+Data!AI98+Data!AJ98+Data!AK98+Data!AL98+Data!T99+Data!U99+Data!V99+Data!W99+Data!X99+Data!Y99+Data!Z99+Data!AA99+Data!AB99+Data!AC99+Data!AD99+Data!AE99+Data!AF99+Data!AG99+Data!AH99+Data!AI99+Data!AJ99+Data!AK99+Data!AL99+Data!T100+Data!U100+Data!V100+Data!W100+Data!X100+Data!Y100+Data!Z100+Data!AA100+Data!AB100+Data!AC100+Data!AD100+Data!AE100+Data!AF100+Data!AG100+Data!AH100+Data!AI100+Data!AJ100+Data!AK100+Data!AL100+Data!T101+Data!U101+Data!V101+Data!W101+Data!X101+Data!Y101+Data!Z101+Data!AA101+Data!AB101+Data!AC101+Data!AD101+Data!AE101+Data!AF101+Data!AG101+Data!AH101+Data!AI101+Data!AJ101+Data!AK101+Data!AL101+Data!T102+Data!U102+Data!V102+Data!W102+Data!X102+Data!Y102+Data!Z102+Data!AA102+Data!AB102+Data!AC102+Data!AD102+Data!AE102+Data!AF102+Data!AG102+Data!AH102+Data!AI102+Data!AJ102+Data!AK102+Data!AL102+Data!T103+Data!U103+Data!V103+Data!W103+Data!X103+Data!Y103+Data!Z103+Data!AA103+Data!AB103+Data!AC103+Data!AD103+Data!AE103+Data!AF103+Data!AG103+Data!AH103+Data!AI103+Data!AJ103+Data!AK103+Data!AL103+Data!T104+Data!U104+Data!V104+Data!W104+Data!X104+Data!Y104+Data!Z104+Data!AA104+Data!AB104+Data!AC104+Data!AD104+Data!AE104+Data!AF104+Data!AG104+Data!AH104+Data!AI104+Data!AJ104+Data!AK104+Data!AL104+Data!T105+Data!U105+Data!V105+Data!W105+Data!X105+Data!Y105+Data!Z105+Data!AA105+Data!AB105+Data!AC105+Data!AD105+Data!AE105+Data!AF105+Data!AG105+Data!AH105+Data!AI105+Data!AJ105+Data!AK105+Data!AL105+Data!T106+Data!U106+Data!V106+Data!W106+Data!X106+Data!Y106+Data!Z106+Data!AA106+Data!AB106+Data!AC106+Data!AD106+Data!AE106+Data!AF106+Data!AG106+Data!AH106+Data!AI106+Data!AJ106+Data!AK106+Data!AL106</f>
        <v>50040289</v>
      </c>
      <c r="N106" s="16" t="n">
        <f aca="false">Data!T95+Data!U95+Data!V95+Data!W95+Data!T96+Data!U96+Data!V96+Data!W96+Data!T97+Data!U97+Data!V97+Data!W97+Data!T98+Data!U98+Data!V98+Data!W98+Data!T99+Data!U99+Data!V99+Data!W99+Data!T100+Data!U100+Data!V100+Data!W100+Data!T101+Data!U101+Data!V101+Data!W101+Data!T102+Data!U102+Data!V102+Data!W102+Data!T103+Data!U103+Data!V103+Data!W103+Data!T104+Data!U104+Data!V104+Data!W104+Data!T105+Data!U105+Data!V105+Data!W105+Data!T106+Data!U106+Data!V106+Data!W106</f>
        <v>22759067</v>
      </c>
      <c r="O106" s="16" t="n">
        <f aca="false">Data!T95+Data!T96+Data!T97+Data!T98+Data!T99+Data!T100+Data!T101+Data!T102+Data!T103+Data!T104+Data!T105+Data!T106</f>
        <v>15937485</v>
      </c>
      <c r="P106" s="16" t="n">
        <f aca="false">Data!U95+Data!U96+Data!U97+Data!U98+Data!U99+Data!U100+Data!U101+Data!U102+Data!U103+Data!U104+Data!U105+Data!U106</f>
        <v>2654379</v>
      </c>
      <c r="Q106" s="16" t="n">
        <f aca="false">Data!V95+Data!V96+Data!V97+Data!V98+Data!V99+Data!V100+Data!V101+Data!V102+Data!V103+Data!V104+Data!V105+Data!V106</f>
        <v>1471417</v>
      </c>
      <c r="R106" s="16" t="n">
        <f aca="false">Data!W95+Data!W96+Data!W97+Data!W98+Data!W99+Data!W100+Data!W101+Data!W102+Data!W103+Data!W104+Data!W105+Data!W106</f>
        <v>2695786</v>
      </c>
      <c r="S106" s="16" t="n">
        <f aca="false">Data!X95+Data!X96+Data!X97+Data!X98+Data!X99+Data!X100+Data!X101+Data!X102+Data!X103+Data!X104+Data!X105+Data!X106</f>
        <v>6018469</v>
      </c>
      <c r="T106" s="16" t="n">
        <f aca="false">Data!Y95+Data!Z95+Data!AA95+Data!Y96+Data!Z96+Data!AA96+Data!Y97+Data!Z97+Data!AA97+Data!Y98+Data!Z98+Data!AA98+Data!Y99+Data!Z99+Data!AA99+Data!Y100+Data!Z100+Data!AA100+Data!Y101+Data!Z101+Data!AA101+Data!Y102+Data!Z102+Data!AA102+Data!Y103+Data!Z103+Data!AA103+Data!Y104+Data!Z104+Data!AA104+Data!Y105+Data!Z105+Data!AA105+Data!Y106+Data!Z106+Data!AA106</f>
        <v>5214507</v>
      </c>
      <c r="U106" s="16" t="n">
        <f aca="false">Data!Y95+Data!Y96+Data!Y97+Data!Y98+Data!Y99+Data!Y100+Data!Y101+Data!Y102+Data!Y103+Data!Y104+Data!Y105+Data!Y106</f>
        <v>3830503</v>
      </c>
      <c r="V106" s="16" t="n">
        <f aca="false">Data!Z95+Data!Z96+Data!Z97+Data!Z98+Data!Z99+Data!Z100+Data!Z101+Data!Z102+Data!Z103+Data!Z104+Data!Z105+Data!Z106</f>
        <v>1249446</v>
      </c>
      <c r="W106" s="16" t="n">
        <f aca="false">Data!AB95+Data!AB96+Data!AB97+Data!AB98+Data!AB99+Data!AB100+Data!AB101+Data!AB102+Data!AB103+Data!AB104+Data!AB105+Data!AB106</f>
        <v>7184996</v>
      </c>
      <c r="X106" s="16" t="n">
        <f aca="false">Data!AC95+Data!AC96+Data!AC97+Data!AC98+Data!AC99+Data!AC100+Data!AC101+Data!AC102+Data!AC103+Data!AC104+Data!AC105+Data!AC106</f>
        <v>1703095</v>
      </c>
      <c r="Y106" s="16" t="n">
        <f aca="false">Data!AD95+Data!AE95+Data!AF95+Data!AG95+Data!AH95+Data!AD96+Data!AE96+Data!AF96+Data!AG96+Data!AH96+Data!AD97+Data!AE97+Data!AF97+Data!AG97+Data!AH97+Data!AD98+Data!AE98+Data!AF98+Data!AG98+Data!AH98+Data!AD99+Data!AE99+Data!AF99+Data!AG99+Data!AH99+Data!AD100+Data!AE100+Data!AF100+Data!AG100+Data!AH100+Data!AD101+Data!AE101+Data!AF101+Data!AG101+Data!AH101+Data!AD102+Data!AE102+Data!AF102+Data!AG102+Data!AH102+Data!AD103+Data!AE103+Data!AF103+Data!AG103+Data!AH103+Data!AD104+Data!AE104+Data!AF104+Data!AG104+Data!AH104+Data!AD105+Data!AE105+Data!AF105+Data!AG105+Data!AH105+Data!AD106+Data!AE106+Data!AF106+Data!AG106+Data!AH106</f>
        <v>1419524</v>
      </c>
      <c r="Z106" s="16" t="n">
        <f aca="false">Data!AI95+Data!AI96+Data!AI97+Data!AI98+Data!AI99+Data!AI100+Data!AI101+Data!AI102+Data!AI103+Data!AI104+Data!AI105+Data!AI106</f>
        <v>1867625</v>
      </c>
      <c r="AA106" s="16" t="n">
        <f aca="false">Data!AJ95+Data!AJ96+Data!AJ97+Data!AJ98+Data!AJ99+Data!AJ100+Data!AJ101+Data!AJ102+Data!AJ103+Data!AJ104+Data!AJ105+Data!AJ106</f>
        <v>0</v>
      </c>
      <c r="AB106" s="16" t="n">
        <f aca="false">Data!AK95+Data!AK96+Data!AK97+Data!AK98+Data!AK99+Data!AK100+Data!AK101+Data!AK102+Data!AK103+Data!AK104+Data!AK105+Data!AK106</f>
        <v>1083550</v>
      </c>
      <c r="AC106" s="16" t="n">
        <f aca="false">Data!AL95+Data!AL96+Data!AL97+Data!AL98+Data!AL99+Data!AL100+Data!AL101+Data!AL102+Data!AL103+Data!AL104+Data!AL105+Data!AL106</f>
        <v>2789456</v>
      </c>
      <c r="AD106" s="15" t="n">
        <f aca="false">Data!AM95+Data!AM96+Data!AM97+Data!AM98+Data!AM99+Data!AM100+Data!AM101+Data!AM102+Data!AM103+Data!AM104+Data!AM105+Data!AM106</f>
        <v>-10078</v>
      </c>
      <c r="AE106" s="16" t="n">
        <f aca="false">Data!AN95+Data!AN96+Data!AN97+Data!AN98+Data!AN99+Data!AN100+Data!AN101+Data!AN102+Data!AN103+Data!AN104+Data!AN105+Data!AN106</f>
        <v>5438867</v>
      </c>
      <c r="AF106" s="15" t="n">
        <f aca="false">Data!AO95+Data!AO96+Data!AO97+Data!AO98+Data!AO99+Data!AO100+Data!AO101+Data!AO102+Data!AO103+Data!AO104+Data!AO105+Data!AO106</f>
        <v>-5448946</v>
      </c>
    </row>
    <row r="107" customFormat="false" ht="15" hidden="false" customHeight="false" outlineLevel="0" collapsed="false">
      <c r="B107" s="14" t="str">
        <f aca="false">Data!B107</f>
        <v>2024-05</v>
      </c>
      <c r="C107" s="15" t="n">
        <f aca="false">Data!D96+Data!E96+Data!F96+Data!G96+Data!H96+Data!I96+Data!J96+Data!K96+Data!L96+Data!M96+Data!N96+Data!O96+Data!P96+Data!Q96+Data!R96+Data!S96+Data!D97+Data!E97+Data!F97+Data!G97+Data!H97+Data!I97+Data!J97+Data!K97+Data!L97+Data!M97+Data!N97+Data!O97+Data!P97+Data!Q97+Data!R97+Data!S97+Data!D98+Data!E98+Data!F98+Data!G98+Data!H98+Data!I98+Data!J98+Data!K98+Data!L98+Data!M98+Data!N98+Data!O98+Data!P98+Data!Q98+Data!R98+Data!S98+Data!D99+Data!E99+Data!F99+Data!G99+Data!H99+Data!I99+Data!J99+Data!K99+Data!L99+Data!M99+Data!N99+Data!O99+Data!P99+Data!Q99+Data!R99+Data!S99+Data!D100+Data!E100+Data!F100+Data!G100+Data!H100+Data!I100+Data!J100+Data!K100+Data!L100+Data!M100+Data!N100+Data!O100+Data!P100+Data!Q100+Data!R100+Data!S100+Data!D101+Data!E101+Data!F101+Data!G101+Data!H101+Data!I101+Data!J101+Data!K101+Data!L101+Data!M101+Data!N101+Data!O101+Data!P101+Data!Q101+Data!R101+Data!S101+Data!D102+Data!E102+Data!F102+Data!G102+Data!H102+Data!I102+Data!J102+Data!K102+Data!L102+Data!M102+Data!N102+Data!O102+Data!P102+Data!Q102+Data!R102+Data!S102+Data!D103+Data!E103+Data!F103+Data!G103+Data!H103+Data!I103+Data!J103+Data!K103+Data!L103+Data!M103+Data!N103+Data!O103+Data!P103+Data!Q103+Data!R103+Data!S103+Data!D104+Data!E104+Data!F104+Data!G104+Data!H104+Data!I104+Data!J104+Data!K104+Data!L104+Data!M104+Data!N104+Data!O104+Data!P104+Data!Q104+Data!R104+Data!S104+Data!D105+Data!E105+Data!F105+Data!G105+Data!H105+Data!I105+Data!J105+Data!K105+Data!L105+Data!M105+Data!N105+Data!O105+Data!P105+Data!Q105+Data!R105+Data!S105+Data!D106+Data!E106+Data!F106+Data!G106+Data!H106+Data!I106+Data!J106+Data!K106+Data!L106+Data!M106+Data!N106+Data!O106+Data!P106+Data!Q106+Data!R106+Data!S106+Data!D107+Data!E107+Data!F107+Data!G107+Data!H107+Data!I107+Data!J107+Data!K107+Data!L107+Data!M107+Data!N107+Data!O107+Data!P107+Data!Q107+Data!R107+Data!S107</f>
        <v>56922765</v>
      </c>
      <c r="D107" s="16" t="n">
        <f aca="false">Data!D96+Data!E96+Data!G96+Data!H96+Data!I96+Data!J96+Data!K96+Data!L96+Data!M96+Data!D97+Data!E97+Data!G97+Data!H97+Data!I97+Data!J97+Data!K97+Data!L97+Data!M97+Data!D98+Data!E98+Data!G98+Data!H98+Data!I98+Data!J98+Data!K98+Data!L98+Data!M98+Data!D99+Data!E99+Data!G99+Data!H99+Data!I99+Data!J99+Data!K99+Data!L99+Data!M99+Data!D100+Data!E100+Data!G100+Data!H100+Data!I100+Data!J100+Data!K100+Data!L100+Data!M100+Data!D101+Data!E101+Data!G101+Data!H101+Data!I101+Data!J101+Data!K101+Data!L101+Data!M101+Data!D102+Data!E102+Data!G102+Data!H102+Data!I102+Data!J102+Data!K102+Data!L102+Data!M102+Data!D103+Data!E103+Data!G103+Data!H103+Data!I103+Data!J103+Data!K103+Data!L103+Data!M103+Data!D104+Data!E104+Data!G104+Data!H104+Data!I104+Data!J104+Data!K104+Data!L104+Data!M104+Data!D105+Data!E105+Data!G105+Data!H105+Data!I105+Data!J105+Data!K105+Data!L105+Data!M105+Data!D106+Data!E106+Data!G106+Data!H106+Data!I106+Data!J106+Data!K106+Data!L106+Data!M106+Data!D107+Data!E107+Data!G107+Data!H107+Data!I107+Data!J107+Data!K107+Data!L107+Data!M107</f>
        <v>35137172</v>
      </c>
      <c r="E107" s="16" t="n">
        <f aca="false">Data!D96+Data!D97+Data!D98+Data!D99+Data!D100+Data!D101+Data!D102+Data!D103+Data!D104+Data!D105+Data!D106+Data!D107</f>
        <v>11449237</v>
      </c>
      <c r="F107" s="16" t="n">
        <f aca="false">Data!E96+Data!E97+Data!E98+Data!E99+Data!E100+Data!E101+Data!E102+Data!E103+Data!E104+Data!E105+Data!E106+Data!E107</f>
        <v>5873468</v>
      </c>
      <c r="G107" s="16" t="n">
        <f aca="false">Data!K96+Data!K97+Data!K98+Data!K99+Data!K100+Data!K101+Data!K102+Data!K103+Data!K104+Data!K105+Data!K106+Data!K107</f>
        <v>3409422</v>
      </c>
      <c r="H107" s="16" t="n">
        <f aca="false">Data!L96+Data!L97+Data!L98+Data!L99+Data!L100+Data!L101+Data!L102+Data!L103+Data!L104+Data!L105+Data!L106+Data!L107</f>
        <v>1901099</v>
      </c>
      <c r="I107" s="16" t="n">
        <f aca="false">Data!G96+Data!G97+Data!G98+Data!G99+Data!G100+Data!G101+Data!G102+Data!G103+Data!G104+Data!G105+Data!G106+Data!G107</f>
        <v>5037498</v>
      </c>
      <c r="J107" s="16" t="n">
        <f aca="false">Data!H96+Data!I96+Data!J96+Data!M96+Data!H97+Data!I97+Data!J97+Data!M97+Data!H98+Data!I98+Data!J98+Data!M98+Data!H99+Data!I99+Data!J99+Data!M99+Data!H100+Data!I100+Data!J100+Data!M100+Data!H101+Data!I101+Data!J101+Data!M101+Data!H102+Data!I102+Data!J102+Data!M102+Data!H103+Data!I103+Data!J103+Data!M103+Data!H104+Data!I104+Data!J104+Data!M104+Data!H105+Data!I105+Data!J105+Data!M105+Data!H106+Data!I106+Data!J106+Data!M106+Data!H107+Data!I107+Data!J107+Data!M107</f>
        <v>7466448</v>
      </c>
      <c r="K107" s="16" t="n">
        <f aca="false">Data!F96+Data!F97+Data!F98+Data!F99+Data!F100+Data!F101+Data!F102+Data!F103+Data!F104+Data!F105+Data!F106+Data!F107</f>
        <v>15893075</v>
      </c>
      <c r="L107" s="16" t="n">
        <f aca="false">Data!N96+Data!O96+Data!P96+Data!Q96+Data!R96+Data!S96+Data!N97+Data!O97+Data!P97+Data!Q97+Data!R97+Data!S97+Data!N98+Data!O98+Data!P98+Data!Q98+Data!R98+Data!S98+Data!N99+Data!O99+Data!P99+Data!Q99+Data!R99+Data!S99+Data!N100+Data!O100+Data!P100+Data!Q100+Data!R100+Data!S100+Data!N101+Data!O101+Data!P101+Data!Q101+Data!R101+Data!S101+Data!N102+Data!O102+Data!P102+Data!Q102+Data!R102+Data!S102+Data!N103+Data!O103+Data!P103+Data!Q103+Data!R103+Data!S103+Data!N104+Data!O104+Data!P104+Data!Q104+Data!R104+Data!S104+Data!N105+Data!O105+Data!P105+Data!Q105+Data!R105+Data!S105+Data!N106+Data!O106+Data!P106+Data!Q106+Data!R106+Data!S106+Data!N107+Data!O107+Data!P107+Data!Q107+Data!R107+Data!S107</f>
        <v>5892518</v>
      </c>
      <c r="M107" s="15" t="n">
        <f aca="false">Data!T96+Data!U96+Data!V96+Data!W96+Data!X96+Data!Y96+Data!Z96+Data!AA96+Data!AB96+Data!AC96+Data!AD96+Data!AE96+Data!AF96+Data!AG96+Data!AH96+Data!AI96+Data!AJ96+Data!AK96+Data!AL96+Data!T97+Data!U97+Data!V97+Data!W97+Data!X97+Data!Y97+Data!Z97+Data!AA97+Data!AB97+Data!AC97+Data!AD97+Data!AE97+Data!AF97+Data!AG97+Data!AH97+Data!AI97+Data!AJ97+Data!AK97+Data!AL97+Data!T98+Data!U98+Data!V98+Data!W98+Data!X98+Data!Y98+Data!Z98+Data!AA98+Data!AB98+Data!AC98+Data!AD98+Data!AE98+Data!AF98+Data!AG98+Data!AH98+Data!AI98+Data!AJ98+Data!AK98+Data!AL98+Data!T99+Data!U99+Data!V99+Data!W99+Data!X99+Data!Y99+Data!Z99+Data!AA99+Data!AB99+Data!AC99+Data!AD99+Data!AE99+Data!AF99+Data!AG99+Data!AH99+Data!AI99+Data!AJ99+Data!AK99+Data!AL99+Data!T100+Data!U100+Data!V100+Data!W100+Data!X100+Data!Y100+Data!Z100+Data!AA100+Data!AB100+Data!AC100+Data!AD100+Data!AE100+Data!AF100+Data!AG100+Data!AH100+Data!AI100+Data!AJ100+Data!AK100+Data!AL100+Data!T101+Data!U101+Data!V101+Data!W101+Data!X101+Data!Y101+Data!Z101+Data!AA101+Data!AB101+Data!AC101+Data!AD101+Data!AE101+Data!AF101+Data!AG101+Data!AH101+Data!AI101+Data!AJ101+Data!AK101+Data!AL101+Data!T102+Data!U102+Data!V102+Data!W102+Data!X102+Data!Y102+Data!Z102+Data!AA102+Data!AB102+Data!AC102+Data!AD102+Data!AE102+Data!AF102+Data!AG102+Data!AH102+Data!AI102+Data!AJ102+Data!AK102+Data!AL102+Data!T103+Data!U103+Data!V103+Data!W103+Data!X103+Data!Y103+Data!Z103+Data!AA103+Data!AB103+Data!AC103+Data!AD103+Data!AE103+Data!AF103+Data!AG103+Data!AH103+Data!AI103+Data!AJ103+Data!AK103+Data!AL103+Data!T104+Data!U104+Data!V104+Data!W104+Data!X104+Data!Y104+Data!Z104+Data!AA104+Data!AB104+Data!AC104+Data!AD104+Data!AE104+Data!AF104+Data!AG104+Data!AH104+Data!AI104+Data!AJ104+Data!AK104+Data!AL104+Data!T105+Data!U105+Data!V105+Data!W105+Data!X105+Data!Y105+Data!Z105+Data!AA105+Data!AB105+Data!AC105+Data!AD105+Data!AE105+Data!AF105+Data!AG105+Data!AH105+Data!AI105+Data!AJ105+Data!AK105+Data!AL105+Data!T106+Data!U106+Data!V106+Data!W106+Data!X106+Data!Y106+Data!Z106+Data!AA106+Data!AB106+Data!AC106+Data!AD106+Data!AE106+Data!AF106+Data!AG106+Data!AH106+Data!AI106+Data!AJ106+Data!AK106+Data!AL106+Data!T107+Data!U107+Data!V107+Data!W107+Data!X107+Data!Y107+Data!Z107+Data!AA107+Data!AB107+Data!AC107+Data!AD107+Data!AE107+Data!AF107+Data!AG107+Data!AH107+Data!AI107+Data!AJ107+Data!AK107+Data!AL107</f>
        <v>54352987</v>
      </c>
      <c r="N107" s="16" t="n">
        <f aca="false">Data!T96+Data!U96+Data!V96+Data!W96+Data!T97+Data!U97+Data!V97+Data!W97+Data!T98+Data!U98+Data!V98+Data!W98+Data!T99+Data!U99+Data!V99+Data!W99+Data!T100+Data!U100+Data!V100+Data!W100+Data!T101+Data!U101+Data!V101+Data!W101+Data!T102+Data!U102+Data!V102+Data!W102+Data!T103+Data!U103+Data!V103+Data!W103+Data!T104+Data!U104+Data!V104+Data!W104+Data!T105+Data!U105+Data!V105+Data!W105+Data!T106+Data!U106+Data!V106+Data!W106+Data!T107+Data!U107+Data!V107+Data!W107</f>
        <v>25023256</v>
      </c>
      <c r="O107" s="16" t="n">
        <f aca="false">Data!T96+Data!T97+Data!T98+Data!T99+Data!T100+Data!T101+Data!T102+Data!T103+Data!T104+Data!T105+Data!T106+Data!T107</f>
        <v>17536830</v>
      </c>
      <c r="P107" s="16" t="n">
        <f aca="false">Data!U96+Data!U97+Data!U98+Data!U99+Data!U100+Data!U101+Data!U102+Data!U103+Data!U104+Data!U105+Data!U106+Data!U107</f>
        <v>2878278</v>
      </c>
      <c r="Q107" s="16" t="n">
        <f aca="false">Data!V96+Data!V97+Data!V98+Data!V99+Data!V100+Data!V101+Data!V102+Data!V103+Data!V104+Data!V105+Data!V106+Data!V107</f>
        <v>1609299</v>
      </c>
      <c r="R107" s="16" t="n">
        <f aca="false">Data!W96+Data!W97+Data!W98+Data!W99+Data!W100+Data!W101+Data!W102+Data!W103+Data!W104+Data!W105+Data!W106+Data!W107</f>
        <v>2998849</v>
      </c>
      <c r="S107" s="16" t="n">
        <f aca="false">Data!X96+Data!X97+Data!X98+Data!X99+Data!X100+Data!X101+Data!X102+Data!X103+Data!X104+Data!X105+Data!X106+Data!X107</f>
        <v>6464024</v>
      </c>
      <c r="T107" s="16" t="n">
        <f aca="false">Data!Y96+Data!Z96+Data!AA96+Data!Y97+Data!Z97+Data!AA97+Data!Y98+Data!Z98+Data!AA98+Data!Y99+Data!Z99+Data!AA99+Data!Y100+Data!Z100+Data!AA100+Data!Y101+Data!Z101+Data!AA101+Data!Y102+Data!Z102+Data!AA102+Data!Y103+Data!Z103+Data!AA103+Data!Y104+Data!Z104+Data!AA104+Data!Y105+Data!Z105+Data!AA105+Data!Y106+Data!Z106+Data!AA106+Data!Y107+Data!Z107+Data!AA107</f>
        <v>5890380</v>
      </c>
      <c r="U107" s="16" t="n">
        <f aca="false">Data!Y96+Data!Y97+Data!Y98+Data!Y99+Data!Y100+Data!Y101+Data!Y102+Data!Y103+Data!Y104+Data!Y105+Data!Y106+Data!Y107</f>
        <v>4419272</v>
      </c>
      <c r="V107" s="16" t="n">
        <f aca="false">Data!Z96+Data!Z97+Data!Z98+Data!Z99+Data!Z100+Data!Z101+Data!Z102+Data!Z103+Data!Z104+Data!Z105+Data!Z106+Data!Z107</f>
        <v>1331229</v>
      </c>
      <c r="W107" s="16" t="n">
        <f aca="false">Data!AB96+Data!AB97+Data!AB98+Data!AB99+Data!AB100+Data!AB101+Data!AB102+Data!AB103+Data!AB104+Data!AB105+Data!AB106+Data!AB107</f>
        <v>7832127</v>
      </c>
      <c r="X107" s="16" t="n">
        <f aca="false">Data!AC96+Data!AC97+Data!AC98+Data!AC99+Data!AC100+Data!AC101+Data!AC102+Data!AC103+Data!AC104+Data!AC105+Data!AC106+Data!AC107</f>
        <v>1829432</v>
      </c>
      <c r="Y107" s="16" t="n">
        <f aca="false">Data!AD96+Data!AE96+Data!AF96+Data!AG96+Data!AH96+Data!AD97+Data!AE97+Data!AF97+Data!AG97+Data!AH97+Data!AD98+Data!AE98+Data!AF98+Data!AG98+Data!AH98+Data!AD99+Data!AE99+Data!AF99+Data!AG99+Data!AH99+Data!AD100+Data!AE100+Data!AF100+Data!AG100+Data!AH100+Data!AD101+Data!AE101+Data!AF101+Data!AG101+Data!AH101+Data!AD102+Data!AE102+Data!AF102+Data!AG102+Data!AH102+Data!AD103+Data!AE103+Data!AF103+Data!AG103+Data!AH103+Data!AD104+Data!AE104+Data!AF104+Data!AG104+Data!AH104+Data!AD105+Data!AE105+Data!AF105+Data!AG105+Data!AH105+Data!AD106+Data!AE106+Data!AF106+Data!AG106+Data!AH106+Data!AD107+Data!AE107+Data!AF107+Data!AG107+Data!AH107</f>
        <v>1417389</v>
      </c>
      <c r="Z107" s="16" t="n">
        <f aca="false">Data!AI96+Data!AI97+Data!AI98+Data!AI99+Data!AI100+Data!AI101+Data!AI102+Data!AI103+Data!AI104+Data!AI105+Data!AI106+Data!AI107</f>
        <v>2034355</v>
      </c>
      <c r="AA107" s="16" t="n">
        <f aca="false">Data!AJ96+Data!AJ97+Data!AJ98+Data!AJ99+Data!AJ100+Data!AJ101+Data!AJ102+Data!AJ103+Data!AJ104+Data!AJ105+Data!AJ106+Data!AJ107</f>
        <v>0</v>
      </c>
      <c r="AB107" s="16" t="n">
        <f aca="false">Data!AK96+Data!AK97+Data!AK98+Data!AK99+Data!AK100+Data!AK101+Data!AK102+Data!AK103+Data!AK104+Data!AK105+Data!AK106+Data!AK107</f>
        <v>1113370</v>
      </c>
      <c r="AC107" s="16" t="n">
        <f aca="false">Data!AL96+Data!AL97+Data!AL98+Data!AL99+Data!AL100+Data!AL101+Data!AL102+Data!AL103+Data!AL104+Data!AL105+Data!AL106+Data!AL107</f>
        <v>2748654</v>
      </c>
      <c r="AD107" s="15" t="n">
        <f aca="false">Data!AM96+Data!AM97+Data!AM98+Data!AM99+Data!AM100+Data!AM101+Data!AM102+Data!AM103+Data!AM104+Data!AM105+Data!AM106+Data!AM107</f>
        <v>2569778</v>
      </c>
      <c r="AE107" s="16" t="n">
        <f aca="false">Data!AN96+Data!AN97+Data!AN98+Data!AN99+Data!AN100+Data!AN101+Data!AN102+Data!AN103+Data!AN104+Data!AN105+Data!AN106+Data!AN107</f>
        <v>6204080</v>
      </c>
      <c r="AF107" s="15" t="n">
        <f aca="false">Data!AO96+Data!AO97+Data!AO98+Data!AO99+Data!AO100+Data!AO101+Data!AO102+Data!AO103+Data!AO104+Data!AO105+Data!AO106+Data!AO107</f>
        <v>-3634303</v>
      </c>
    </row>
    <row r="108" customFormat="false" ht="15" hidden="false" customHeight="false" outlineLevel="0" collapsed="false">
      <c r="B108" s="14" t="str">
        <f aca="false">Data!B108</f>
        <v>2024-06</v>
      </c>
      <c r="C108" s="15" t="n">
        <f aca="false">Data!D97+Data!E97+Data!F97+Data!G97+Data!H97+Data!I97+Data!J97+Data!K97+Data!L97+Data!M97+Data!N97+Data!O97+Data!P97+Data!Q97+Data!R97+Data!S97+Data!D98+Data!E98+Data!F98+Data!G98+Data!H98+Data!I98+Data!J98+Data!K98+Data!L98+Data!M98+Data!N98+Data!O98+Data!P98+Data!Q98+Data!R98+Data!S98+Data!D99+Data!E99+Data!F99+Data!G99+Data!H99+Data!I99+Data!J99+Data!K99+Data!L99+Data!M99+Data!N99+Data!O99+Data!P99+Data!Q99+Data!R99+Data!S99+Data!D100+Data!E100+Data!F100+Data!G100+Data!H100+Data!I100+Data!J100+Data!K100+Data!L100+Data!M100+Data!N100+Data!O100+Data!P100+Data!Q100+Data!R100+Data!S100+Data!D101+Data!E101+Data!F101+Data!G101+Data!H101+Data!I101+Data!J101+Data!K101+Data!L101+Data!M101+Data!N101+Data!O101+Data!P101+Data!Q101+Data!R101+Data!S101+Data!D102+Data!E102+Data!F102+Data!G102+Data!H102+Data!I102+Data!J102+Data!K102+Data!L102+Data!M102+Data!N102+Data!O102+Data!P102+Data!Q102+Data!R102+Data!S102+Data!D103+Data!E103+Data!F103+Data!G103+Data!H103+Data!I103+Data!J103+Data!K103+Data!L103+Data!M103+Data!N103+Data!O103+Data!P103+Data!Q103+Data!R103+Data!S103+Data!D104+Data!E104+Data!F104+Data!G104+Data!H104+Data!I104+Data!J104+Data!K104+Data!L104+Data!M104+Data!N104+Data!O104+Data!P104+Data!Q104+Data!R104+Data!S104+Data!D105+Data!E105+Data!F105+Data!G105+Data!H105+Data!I105+Data!J105+Data!K105+Data!L105+Data!M105+Data!N105+Data!O105+Data!P105+Data!Q105+Data!R105+Data!S105+Data!D106+Data!E106+Data!F106+Data!G106+Data!H106+Data!I106+Data!J106+Data!K106+Data!L106+Data!M106+Data!N106+Data!O106+Data!P106+Data!Q106+Data!R106+Data!S106+Data!D107+Data!E107+Data!F107+Data!G107+Data!H107+Data!I107+Data!J107+Data!K107+Data!L107+Data!M107+Data!N107+Data!O107+Data!P107+Data!Q107+Data!R107+Data!S107+Data!D108+Data!E108+Data!F108+Data!G108+Data!H108+Data!I108+Data!J108+Data!K108+Data!L108+Data!M108+Data!N108+Data!O108+Data!P108+Data!Q108+Data!R108+Data!S108</f>
        <v>62521053</v>
      </c>
      <c r="D108" s="16" t="n">
        <f aca="false">Data!D97+Data!E97+Data!G97+Data!H97+Data!I97+Data!J97+Data!K97+Data!L97+Data!M97+Data!D98+Data!E98+Data!G98+Data!H98+Data!I98+Data!J98+Data!K98+Data!L98+Data!M98+Data!D99+Data!E99+Data!G99+Data!H99+Data!I99+Data!J99+Data!K99+Data!L99+Data!M99+Data!D100+Data!E100+Data!G100+Data!H100+Data!I100+Data!J100+Data!K100+Data!L100+Data!M100+Data!D101+Data!E101+Data!G101+Data!H101+Data!I101+Data!J101+Data!K101+Data!L101+Data!M101+Data!D102+Data!E102+Data!G102+Data!H102+Data!I102+Data!J102+Data!K102+Data!L102+Data!M102+Data!D103+Data!E103+Data!G103+Data!H103+Data!I103+Data!J103+Data!K103+Data!L103+Data!M103+Data!D104+Data!E104+Data!G104+Data!H104+Data!I104+Data!J104+Data!K104+Data!L104+Data!M104+Data!D105+Data!E105+Data!G105+Data!H105+Data!I105+Data!J105+Data!K105+Data!L105+Data!M105+Data!D106+Data!E106+Data!G106+Data!H106+Data!I106+Data!J106+Data!K106+Data!L106+Data!M106+Data!D107+Data!E107+Data!G107+Data!H107+Data!I107+Data!J107+Data!K107+Data!L107+Data!M107+Data!D108+Data!E108+Data!G108+Data!H108+Data!I108+Data!J108+Data!K108+Data!L108+Data!M108</f>
        <v>38794891</v>
      </c>
      <c r="E108" s="16" t="n">
        <f aca="false">Data!D97+Data!D98+Data!D99+Data!D100+Data!D101+Data!D102+Data!D103+Data!D104+Data!D105+Data!D106+Data!D107+Data!D108</f>
        <v>12486446</v>
      </c>
      <c r="F108" s="16" t="n">
        <f aca="false">Data!E97+Data!E98+Data!E99+Data!E100+Data!E101+Data!E102+Data!E103+Data!E104+Data!E105+Data!E106+Data!E107+Data!E108</f>
        <v>6516450</v>
      </c>
      <c r="G108" s="16" t="n">
        <f aca="false">Data!K97+Data!K98+Data!K99+Data!K100+Data!K101+Data!K102+Data!K103+Data!K104+Data!K105+Data!K106+Data!K107+Data!K108</f>
        <v>3641063</v>
      </c>
      <c r="H108" s="16" t="n">
        <f aca="false">Data!L97+Data!L98+Data!L99+Data!L100+Data!L101+Data!L102+Data!L103+Data!L104+Data!L105+Data!L106+Data!L107+Data!L108</f>
        <v>1977621</v>
      </c>
      <c r="I108" s="16" t="n">
        <f aca="false">Data!G97+Data!G98+Data!G99+Data!G100+Data!G101+Data!G102+Data!G103+Data!G104+Data!G105+Data!G106+Data!G107+Data!G108</f>
        <v>5677301</v>
      </c>
      <c r="J108" s="16" t="n">
        <f aca="false">Data!H97+Data!I97+Data!J97+Data!M97+Data!H98+Data!I98+Data!J98+Data!M98+Data!H99+Data!I99+Data!J99+Data!M99+Data!H100+Data!I100+Data!J100+Data!M100+Data!H101+Data!I101+Data!J101+Data!M101+Data!H102+Data!I102+Data!J102+Data!M102+Data!H103+Data!I103+Data!J103+Data!M103+Data!H104+Data!I104+Data!J104+Data!M104+Data!H105+Data!I105+Data!J105+Data!M105+Data!H106+Data!I106+Data!J106+Data!M106+Data!H107+Data!I107+Data!J107+Data!M107+Data!H108+Data!I108+Data!J108+Data!M108</f>
        <v>8496010</v>
      </c>
      <c r="K108" s="16" t="n">
        <f aca="false">Data!F97+Data!F98+Data!F99+Data!F100+Data!F101+Data!F102+Data!F103+Data!F104+Data!F105+Data!F106+Data!F107+Data!F108</f>
        <v>17526450</v>
      </c>
      <c r="L108" s="16" t="n">
        <f aca="false">Data!N97+Data!O97+Data!P97+Data!Q97+Data!R97+Data!S97+Data!N98+Data!O98+Data!P98+Data!Q98+Data!R98+Data!S98+Data!N99+Data!O99+Data!P99+Data!Q99+Data!R99+Data!S99+Data!N100+Data!O100+Data!P100+Data!Q100+Data!R100+Data!S100+Data!N101+Data!O101+Data!P101+Data!Q101+Data!R101+Data!S101+Data!N102+Data!O102+Data!P102+Data!Q102+Data!R102+Data!S102+Data!N103+Data!O103+Data!P103+Data!Q103+Data!R103+Data!S103+Data!N104+Data!O104+Data!P104+Data!Q104+Data!R104+Data!S104+Data!N105+Data!O105+Data!P105+Data!Q105+Data!R105+Data!S105+Data!N106+Data!O106+Data!P106+Data!Q106+Data!R106+Data!S106+Data!N107+Data!O107+Data!P107+Data!Q107+Data!R107+Data!S107+Data!N108+Data!O108+Data!P108+Data!Q108+Data!R108+Data!S108</f>
        <v>6199712</v>
      </c>
      <c r="M108" s="15" t="n">
        <f aca="false">Data!T97+Data!U97+Data!V97+Data!W97+Data!X97+Data!Y97+Data!Z97+Data!AA97+Data!AB97+Data!AC97+Data!AD97+Data!AE97+Data!AF97+Data!AG97+Data!AH97+Data!AI97+Data!AJ97+Data!AK97+Data!AL97+Data!T98+Data!U98+Data!V98+Data!W98+Data!X98+Data!Y98+Data!Z98+Data!AA98+Data!AB98+Data!AC98+Data!AD98+Data!AE98+Data!AF98+Data!AG98+Data!AH98+Data!AI98+Data!AJ98+Data!AK98+Data!AL98+Data!T99+Data!U99+Data!V99+Data!W99+Data!X99+Data!Y99+Data!Z99+Data!AA99+Data!AB99+Data!AC99+Data!AD99+Data!AE99+Data!AF99+Data!AG99+Data!AH99+Data!AI99+Data!AJ99+Data!AK99+Data!AL99+Data!T100+Data!U100+Data!V100+Data!W100+Data!X100+Data!Y100+Data!Z100+Data!AA100+Data!AB100+Data!AC100+Data!AD100+Data!AE100+Data!AF100+Data!AG100+Data!AH100+Data!AI100+Data!AJ100+Data!AK100+Data!AL100+Data!T101+Data!U101+Data!V101+Data!W101+Data!X101+Data!Y101+Data!Z101+Data!AA101+Data!AB101+Data!AC101+Data!AD101+Data!AE101+Data!AF101+Data!AG101+Data!AH101+Data!AI101+Data!AJ101+Data!AK101+Data!AL101+Data!T102+Data!U102+Data!V102+Data!W102+Data!X102+Data!Y102+Data!Z102+Data!AA102+Data!AB102+Data!AC102+Data!AD102+Data!AE102+Data!AF102+Data!AG102+Data!AH102+Data!AI102+Data!AJ102+Data!AK102+Data!AL102+Data!T103+Data!U103+Data!V103+Data!W103+Data!X103+Data!Y103+Data!Z103+Data!AA103+Data!AB103+Data!AC103+Data!AD103+Data!AE103+Data!AF103+Data!AG103+Data!AH103+Data!AI103+Data!AJ103+Data!AK103+Data!AL103+Data!T104+Data!U104+Data!V104+Data!W104+Data!X104+Data!Y104+Data!Z104+Data!AA104+Data!AB104+Data!AC104+Data!AD104+Data!AE104+Data!AF104+Data!AG104+Data!AH104+Data!AI104+Data!AJ104+Data!AK104+Data!AL104+Data!T105+Data!U105+Data!V105+Data!W105+Data!X105+Data!Y105+Data!Z105+Data!AA105+Data!AB105+Data!AC105+Data!AD105+Data!AE105+Data!AF105+Data!AG105+Data!AH105+Data!AI105+Data!AJ105+Data!AK105+Data!AL105+Data!T106+Data!U106+Data!V106+Data!W106+Data!X106+Data!Y106+Data!Z106+Data!AA106+Data!AB106+Data!AC106+Data!AD106+Data!AE106+Data!AF106+Data!AG106+Data!AH106+Data!AI106+Data!AJ106+Data!AK106+Data!AL106+Data!T107+Data!U107+Data!V107+Data!W107+Data!X107+Data!Y107+Data!Z107+Data!AA107+Data!AB107+Data!AC107+Data!AD107+Data!AE107+Data!AF107+Data!AG107+Data!AH107+Data!AI107+Data!AJ107+Data!AK107+Data!AL107+Data!T108+Data!U108+Data!V108+Data!W108+Data!X108+Data!Y108+Data!Z108+Data!AA108+Data!AB108+Data!AC108+Data!AD108+Data!AE108+Data!AF108+Data!AG108+Data!AH108+Data!AI108+Data!AJ108+Data!AK108+Data!AL108</f>
        <v>58850963</v>
      </c>
      <c r="N108" s="16" t="n">
        <f aca="false">Data!T97+Data!U97+Data!V97+Data!W97+Data!T98+Data!U98+Data!V98+Data!W98+Data!T99+Data!U99+Data!V99+Data!W99+Data!T100+Data!U100+Data!V100+Data!W100+Data!T101+Data!U101+Data!V101+Data!W101+Data!T102+Data!U102+Data!V102+Data!W102+Data!T103+Data!U103+Data!V103+Data!W103+Data!T104+Data!U104+Data!V104+Data!W104+Data!T105+Data!U105+Data!V105+Data!W105+Data!T106+Data!U106+Data!V106+Data!W106+Data!T107+Data!U107+Data!V107+Data!W107+Data!T108+Data!U108+Data!V108+Data!W108</f>
        <v>28541193</v>
      </c>
      <c r="O108" s="16" t="n">
        <f aca="false">Data!T97+Data!T98+Data!T99+Data!T100+Data!T101+Data!T102+Data!T103+Data!T104+Data!T105+Data!T106+Data!T107+Data!T108</f>
        <v>20113293</v>
      </c>
      <c r="P108" s="16" t="n">
        <f aca="false">Data!U97+Data!U98+Data!U99+Data!U100+Data!U101+Data!U102+Data!U103+Data!U104+Data!U105+Data!U106+Data!U107+Data!U108</f>
        <v>3218631</v>
      </c>
      <c r="Q108" s="16" t="n">
        <f aca="false">Data!V97+Data!V98+Data!V99+Data!V100+Data!V101+Data!V102+Data!V103+Data!V104+Data!V105+Data!V106+Data!V107+Data!V108</f>
        <v>1869013</v>
      </c>
      <c r="R108" s="16" t="n">
        <f aca="false">Data!W97+Data!W98+Data!W99+Data!W100+Data!W101+Data!W102+Data!W103+Data!W104+Data!W105+Data!W106+Data!W107+Data!W108</f>
        <v>3340256</v>
      </c>
      <c r="S108" s="16" t="n">
        <f aca="false">Data!X97+Data!X98+Data!X99+Data!X100+Data!X101+Data!X102+Data!X103+Data!X104+Data!X105+Data!X106+Data!X107+Data!X108</f>
        <v>6708021</v>
      </c>
      <c r="T108" s="16" t="n">
        <f aca="false">Data!Y97+Data!Z97+Data!AA97+Data!Y98+Data!Z98+Data!AA98+Data!Y99+Data!Z99+Data!AA99+Data!Y100+Data!Z100+Data!AA100+Data!Y101+Data!Z101+Data!AA101+Data!Y102+Data!Z102+Data!AA102+Data!Y103+Data!Z103+Data!AA103+Data!Y104+Data!Z104+Data!AA104+Data!Y105+Data!Z105+Data!AA105+Data!Y106+Data!Z106+Data!AA106+Data!Y107+Data!Z107+Data!AA107+Data!Y108+Data!Z108+Data!AA108</f>
        <v>5872441</v>
      </c>
      <c r="U108" s="16" t="n">
        <f aca="false">Data!Y97+Data!Y98+Data!Y99+Data!Y100+Data!Y101+Data!Y102+Data!Y103+Data!Y104+Data!Y105+Data!Y106+Data!Y107+Data!Y108</f>
        <v>4315992</v>
      </c>
      <c r="V108" s="16" t="n">
        <f aca="false">Data!Z97+Data!Z98+Data!Z99+Data!Z100+Data!Z101+Data!Z102+Data!Z103+Data!Z104+Data!Z105+Data!Z106+Data!Z107+Data!Z108</f>
        <v>1404566</v>
      </c>
      <c r="W108" s="16" t="n">
        <f aca="false">Data!AB97+Data!AB98+Data!AB99+Data!AB100+Data!AB101+Data!AB102+Data!AB103+Data!AB104+Data!AB105+Data!AB106+Data!AB107+Data!AB108</f>
        <v>8526429</v>
      </c>
      <c r="X108" s="16" t="n">
        <f aca="false">Data!AC97+Data!AC98+Data!AC99+Data!AC100+Data!AC101+Data!AC102+Data!AC103+Data!AC104+Data!AC105+Data!AC106+Data!AC107+Data!AC108</f>
        <v>1913128</v>
      </c>
      <c r="Y108" s="16" t="n">
        <f aca="false">Data!AD97+Data!AE97+Data!AF97+Data!AG97+Data!AH97+Data!AD98+Data!AE98+Data!AF98+Data!AG98+Data!AH98+Data!AD99+Data!AE99+Data!AF99+Data!AG99+Data!AH99+Data!AD100+Data!AE100+Data!AF100+Data!AG100+Data!AH100+Data!AD101+Data!AE101+Data!AF101+Data!AG101+Data!AH101+Data!AD102+Data!AE102+Data!AF102+Data!AG102+Data!AH102+Data!AD103+Data!AE103+Data!AF103+Data!AG103+Data!AH103+Data!AD104+Data!AE104+Data!AF104+Data!AG104+Data!AH104+Data!AD105+Data!AE105+Data!AF105+Data!AG105+Data!AH105+Data!AD106+Data!AE106+Data!AF106+Data!AG106+Data!AH106+Data!AD107+Data!AE107+Data!AF107+Data!AG107+Data!AH107+Data!AD108+Data!AE108+Data!AF108+Data!AG108+Data!AH108</f>
        <v>1420017</v>
      </c>
      <c r="Z108" s="16" t="n">
        <f aca="false">Data!AI97+Data!AI98+Data!AI99+Data!AI100+Data!AI101+Data!AI102+Data!AI103+Data!AI104+Data!AI105+Data!AI106+Data!AI107+Data!AI108</f>
        <v>1960062</v>
      </c>
      <c r="AA108" s="16" t="n">
        <f aca="false">Data!AJ97+Data!AJ98+Data!AJ99+Data!AJ100+Data!AJ101+Data!AJ102+Data!AJ103+Data!AJ104+Data!AJ105+Data!AJ106+Data!AJ107+Data!AJ108</f>
        <v>0</v>
      </c>
      <c r="AB108" s="16" t="n">
        <f aca="false">Data!AK97+Data!AK98+Data!AK99+Data!AK100+Data!AK101+Data!AK102+Data!AK103+Data!AK104+Data!AK105+Data!AK106+Data!AK107+Data!AK108</f>
        <v>1173521</v>
      </c>
      <c r="AC108" s="16" t="n">
        <f aca="false">Data!AL97+Data!AL98+Data!AL99+Data!AL100+Data!AL101+Data!AL102+Data!AL103+Data!AL104+Data!AL105+Data!AL106+Data!AL107+Data!AL108</f>
        <v>2736151</v>
      </c>
      <c r="AD108" s="15" t="n">
        <f aca="false">Data!AM97+Data!AM98+Data!AM99+Data!AM100+Data!AM101+Data!AM102+Data!AM103+Data!AM104+Data!AM105+Data!AM106+Data!AM107+Data!AM108</f>
        <v>3670090</v>
      </c>
      <c r="AE108" s="16" t="n">
        <f aca="false">Data!AN97+Data!AN98+Data!AN99+Data!AN100+Data!AN101+Data!AN102+Data!AN103+Data!AN104+Data!AN105+Data!AN106+Data!AN107+Data!AN108</f>
        <v>6357599</v>
      </c>
      <c r="AF108" s="15" t="n">
        <f aca="false">Data!AO97+Data!AO98+Data!AO99+Data!AO100+Data!AO101+Data!AO102+Data!AO103+Data!AO104+Data!AO105+Data!AO106+Data!AO107+Data!AO108</f>
        <v>-2687511</v>
      </c>
    </row>
    <row r="109" customFormat="false" ht="15" hidden="false" customHeight="false" outlineLevel="0" collapsed="false">
      <c r="B109" s="14" t="str">
        <f aca="false">Data!B109</f>
        <v>2024-07</v>
      </c>
      <c r="C109" s="15" t="n">
        <f aca="false">Data!D98+Data!E98+Data!F98+Data!G98+Data!H98+Data!I98+Data!J98+Data!K98+Data!L98+Data!M98+Data!N98+Data!O98+Data!P98+Data!Q98+Data!R98+Data!S98+Data!D99+Data!E99+Data!F99+Data!G99+Data!H99+Data!I99+Data!J99+Data!K99+Data!L99+Data!M99+Data!N99+Data!O99+Data!P99+Data!Q99+Data!R99+Data!S99+Data!D100+Data!E100+Data!F100+Data!G100+Data!H100+Data!I100+Data!J100+Data!K100+Data!L100+Data!M100+Data!N100+Data!O100+Data!P100+Data!Q100+Data!R100+Data!S100+Data!D101+Data!E101+Data!F101+Data!G101+Data!H101+Data!I101+Data!J101+Data!K101+Data!L101+Data!M101+Data!N101+Data!O101+Data!P101+Data!Q101+Data!R101+Data!S101+Data!D102+Data!E102+Data!F102+Data!G102+Data!H102+Data!I102+Data!J102+Data!K102+Data!L102+Data!M102+Data!N102+Data!O102+Data!P102+Data!Q102+Data!R102+Data!S102+Data!D103+Data!E103+Data!F103+Data!G103+Data!H103+Data!I103+Data!J103+Data!K103+Data!L103+Data!M103+Data!N103+Data!O103+Data!P103+Data!Q103+Data!R103+Data!S103+Data!D104+Data!E104+Data!F104+Data!G104+Data!H104+Data!I104+Data!J104+Data!K104+Data!L104+Data!M104+Data!N104+Data!O104+Data!P104+Data!Q104+Data!R104+Data!S104+Data!D105+Data!E105+Data!F105+Data!G105+Data!H105+Data!I105+Data!J105+Data!K105+Data!L105+Data!M105+Data!N105+Data!O105+Data!P105+Data!Q105+Data!R105+Data!S105+Data!D106+Data!E106+Data!F106+Data!G106+Data!H106+Data!I106+Data!J106+Data!K106+Data!L106+Data!M106+Data!N106+Data!O106+Data!P106+Data!Q106+Data!R106+Data!S106+Data!D107+Data!E107+Data!F107+Data!G107+Data!H107+Data!I107+Data!J107+Data!K107+Data!L107+Data!M107+Data!N107+Data!O107+Data!P107+Data!Q107+Data!R107+Data!S107+Data!D108+Data!E108+Data!F108+Data!G108+Data!H108+Data!I108+Data!J108+Data!K108+Data!L108+Data!M108+Data!N108+Data!O108+Data!P108+Data!Q108+Data!R108+Data!S108+Data!D109+Data!E109+Data!F109+Data!G109+Data!H109+Data!I109+Data!J109+Data!K109+Data!L109+Data!M109+Data!N109+Data!O109+Data!P109+Data!Q109+Data!R109+Data!S109</f>
        <v>69153084</v>
      </c>
      <c r="D109" s="16" t="n">
        <f aca="false">Data!D98+Data!E98+Data!G98+Data!H98+Data!I98+Data!J98+Data!K98+Data!L98+Data!M98+Data!D99+Data!E99+Data!G99+Data!H99+Data!I99+Data!J99+Data!K99+Data!L99+Data!M99+Data!D100+Data!E100+Data!G100+Data!H100+Data!I100+Data!J100+Data!K100+Data!L100+Data!M100+Data!D101+Data!E101+Data!G101+Data!H101+Data!I101+Data!J101+Data!K101+Data!L101+Data!M101+Data!D102+Data!E102+Data!G102+Data!H102+Data!I102+Data!J102+Data!K102+Data!L102+Data!M102+Data!D103+Data!E103+Data!G103+Data!H103+Data!I103+Data!J103+Data!K103+Data!L103+Data!M103+Data!D104+Data!E104+Data!G104+Data!H104+Data!I104+Data!J104+Data!K104+Data!L104+Data!M104+Data!D105+Data!E105+Data!G105+Data!H105+Data!I105+Data!J105+Data!K105+Data!L105+Data!M105+Data!D106+Data!E106+Data!G106+Data!H106+Data!I106+Data!J106+Data!K106+Data!L106+Data!M106+Data!D107+Data!E107+Data!G107+Data!H107+Data!I107+Data!J107+Data!K107+Data!L107+Data!M107+Data!D108+Data!E108+Data!G108+Data!H108+Data!I108+Data!J108+Data!K108+Data!L108+Data!M108+Data!D109+Data!E109+Data!G109+Data!H109+Data!I109+Data!J109+Data!K109+Data!L109+Data!M109</f>
        <v>42709056</v>
      </c>
      <c r="E109" s="16" t="n">
        <f aca="false">Data!D98+Data!D99+Data!D100+Data!D101+Data!D102+Data!D103+Data!D104+Data!D105+Data!D106+Data!D107+Data!D108+Data!D109</f>
        <v>13662261</v>
      </c>
      <c r="F109" s="16" t="n">
        <f aca="false">Data!E98+Data!E99+Data!E100+Data!E101+Data!E102+Data!E103+Data!E104+Data!E105+Data!E106+Data!E107+Data!E108+Data!E109</f>
        <v>6951729</v>
      </c>
      <c r="G109" s="16" t="n">
        <f aca="false">Data!K98+Data!K99+Data!K100+Data!K101+Data!K102+Data!K103+Data!K104+Data!K105+Data!K106+Data!K107+Data!K108+Data!K109</f>
        <v>4133823</v>
      </c>
      <c r="H109" s="16" t="n">
        <f aca="false">Data!L98+Data!L99+Data!L100+Data!L101+Data!L102+Data!L103+Data!L104+Data!L105+Data!L106+Data!L107+Data!L108+Data!L109</f>
        <v>2159599</v>
      </c>
      <c r="I109" s="16" t="n">
        <f aca="false">Data!G98+Data!G99+Data!G100+Data!G101+Data!G102+Data!G103+Data!G104+Data!G105+Data!G106+Data!G107+Data!G108+Data!G109</f>
        <v>6288664</v>
      </c>
      <c r="J109" s="16" t="n">
        <f aca="false">Data!H98+Data!I98+Data!J98+Data!M98+Data!H99+Data!I99+Data!J99+Data!M99+Data!H100+Data!I100+Data!J100+Data!M100+Data!H101+Data!I101+Data!J101+Data!M101+Data!H102+Data!I102+Data!J102+Data!M102+Data!H103+Data!I103+Data!J103+Data!M103+Data!H104+Data!I104+Data!J104+Data!M104+Data!H105+Data!I105+Data!J105+Data!M105+Data!H106+Data!I106+Data!J106+Data!M106+Data!H107+Data!I107+Data!J107+Data!M107+Data!H108+Data!I108+Data!J108+Data!M108+Data!H109+Data!I109+Data!J109+Data!M109</f>
        <v>9512980</v>
      </c>
      <c r="K109" s="16" t="n">
        <f aca="false">Data!F98+Data!F99+Data!F100+Data!F101+Data!F102+Data!F103+Data!F104+Data!F105+Data!F106+Data!F107+Data!F108+Data!F109</f>
        <v>19876624</v>
      </c>
      <c r="L109" s="16" t="n">
        <f aca="false">Data!N98+Data!O98+Data!P98+Data!Q98+Data!R98+Data!S98+Data!N99+Data!O99+Data!P99+Data!Q99+Data!R99+Data!S99+Data!N100+Data!O100+Data!P100+Data!Q100+Data!R100+Data!S100+Data!N101+Data!O101+Data!P101+Data!Q101+Data!R101+Data!S101+Data!N102+Data!O102+Data!P102+Data!Q102+Data!R102+Data!S102+Data!N103+Data!O103+Data!P103+Data!Q103+Data!R103+Data!S103+Data!N104+Data!O104+Data!P104+Data!Q104+Data!R104+Data!S104+Data!N105+Data!O105+Data!P105+Data!Q105+Data!R105+Data!S105+Data!N106+Data!O106+Data!P106+Data!Q106+Data!R106+Data!S106+Data!N107+Data!O107+Data!P107+Data!Q107+Data!R107+Data!S107+Data!N108+Data!O108+Data!P108+Data!Q108+Data!R108+Data!S108+Data!N109+Data!O109+Data!P109+Data!Q109+Data!R109+Data!S109</f>
        <v>6567404</v>
      </c>
      <c r="M109" s="15" t="n">
        <f aca="false">Data!T98+Data!U98+Data!V98+Data!W98+Data!X98+Data!Y98+Data!Z98+Data!AA98+Data!AB98+Data!AC98+Data!AD98+Data!AE98+Data!AF98+Data!AG98+Data!AH98+Data!AI98+Data!AJ98+Data!AK98+Data!AL98+Data!T99+Data!U99+Data!V99+Data!W99+Data!X99+Data!Y99+Data!Z99+Data!AA99+Data!AB99+Data!AC99+Data!AD99+Data!AE99+Data!AF99+Data!AG99+Data!AH99+Data!AI99+Data!AJ99+Data!AK99+Data!AL99+Data!T100+Data!U100+Data!V100+Data!W100+Data!X100+Data!Y100+Data!Z100+Data!AA100+Data!AB100+Data!AC100+Data!AD100+Data!AE100+Data!AF100+Data!AG100+Data!AH100+Data!AI100+Data!AJ100+Data!AK100+Data!AL100+Data!T101+Data!U101+Data!V101+Data!W101+Data!X101+Data!Y101+Data!Z101+Data!AA101+Data!AB101+Data!AC101+Data!AD101+Data!AE101+Data!AF101+Data!AG101+Data!AH101+Data!AI101+Data!AJ101+Data!AK101+Data!AL101+Data!T102+Data!U102+Data!V102+Data!W102+Data!X102+Data!Y102+Data!Z102+Data!AA102+Data!AB102+Data!AC102+Data!AD102+Data!AE102+Data!AF102+Data!AG102+Data!AH102+Data!AI102+Data!AJ102+Data!AK102+Data!AL102+Data!T103+Data!U103+Data!V103+Data!W103+Data!X103+Data!Y103+Data!Z103+Data!AA103+Data!AB103+Data!AC103+Data!AD103+Data!AE103+Data!AF103+Data!AG103+Data!AH103+Data!AI103+Data!AJ103+Data!AK103+Data!AL103+Data!T104+Data!U104+Data!V104+Data!W104+Data!X104+Data!Y104+Data!Z104+Data!AA104+Data!AB104+Data!AC104+Data!AD104+Data!AE104+Data!AF104+Data!AG104+Data!AH104+Data!AI104+Data!AJ104+Data!AK104+Data!AL104+Data!T105+Data!U105+Data!V105+Data!W105+Data!X105+Data!Y105+Data!Z105+Data!AA105+Data!AB105+Data!AC105+Data!AD105+Data!AE105+Data!AF105+Data!AG105+Data!AH105+Data!AI105+Data!AJ105+Data!AK105+Data!AL105+Data!T106+Data!U106+Data!V106+Data!W106+Data!X106+Data!Y106+Data!Z106+Data!AA106+Data!AB106+Data!AC106+Data!AD106+Data!AE106+Data!AF106+Data!AG106+Data!AH106+Data!AI106+Data!AJ106+Data!AK106+Data!AL106+Data!T107+Data!U107+Data!V107+Data!W107+Data!X107+Data!Y107+Data!Z107+Data!AA107+Data!AB107+Data!AC107+Data!AD107+Data!AE107+Data!AF107+Data!AG107+Data!AH107+Data!AI107+Data!AJ107+Data!AK107+Data!AL107+Data!T108+Data!U108+Data!V108+Data!W108+Data!X108+Data!Y108+Data!Z108+Data!AA108+Data!AB108+Data!AC108+Data!AD108+Data!AE108+Data!AF108+Data!AG108+Data!AH108+Data!AI108+Data!AJ108+Data!AK108+Data!AL108+Data!T109+Data!U109+Data!V109+Data!W109+Data!X109+Data!Y109+Data!Z109+Data!AA109+Data!AB109+Data!AC109+Data!AD109+Data!AE109+Data!AF109+Data!AG109+Data!AH109+Data!AI109+Data!AJ109+Data!AK109+Data!AL109</f>
        <v>64240375</v>
      </c>
      <c r="N109" s="16" t="n">
        <f aca="false">Data!T98+Data!U98+Data!V98+Data!W98+Data!T99+Data!U99+Data!V99+Data!W99+Data!T100+Data!U100+Data!V100+Data!W100+Data!T101+Data!U101+Data!V101+Data!W101+Data!T102+Data!U102+Data!V102+Data!W102+Data!T103+Data!U103+Data!V103+Data!W103+Data!T104+Data!U104+Data!V104+Data!W104+Data!T105+Data!U105+Data!V105+Data!W105+Data!T106+Data!U106+Data!V106+Data!W106+Data!T107+Data!U107+Data!V107+Data!W107+Data!T108+Data!U108+Data!V108+Data!W108+Data!T109+Data!U109+Data!V109+Data!W109</f>
        <v>31410551</v>
      </c>
      <c r="O109" s="16" t="n">
        <f aca="false">Data!T98+Data!T99+Data!T100+Data!T101+Data!T102+Data!T103+Data!T104+Data!T105+Data!T106+Data!T107+Data!T108+Data!T109</f>
        <v>21971036</v>
      </c>
      <c r="P109" s="16" t="n">
        <f aca="false">Data!U98+Data!U99+Data!U100+Data!U101+Data!U102+Data!U103+Data!U104+Data!U105+Data!U106+Data!U107+Data!U108+Data!U109</f>
        <v>3610660</v>
      </c>
      <c r="Q109" s="16" t="n">
        <f aca="false">Data!V98+Data!V99+Data!V100+Data!V101+Data!V102+Data!V103+Data!V104+Data!V105+Data!V106+Data!V107+Data!V108+Data!V109</f>
        <v>2051787</v>
      </c>
      <c r="R109" s="16" t="n">
        <f aca="false">Data!W98+Data!W99+Data!W100+Data!W101+Data!W102+Data!W103+Data!W104+Data!W105+Data!W106+Data!W107+Data!W108+Data!W109</f>
        <v>3777068</v>
      </c>
      <c r="S109" s="16" t="n">
        <f aca="false">Data!X98+Data!X99+Data!X100+Data!X101+Data!X102+Data!X103+Data!X104+Data!X105+Data!X106+Data!X107+Data!X108+Data!X109</f>
        <v>7203750</v>
      </c>
      <c r="T109" s="16" t="n">
        <f aca="false">Data!Y98+Data!Z98+Data!AA98+Data!Y99+Data!Z99+Data!AA99+Data!Y100+Data!Z100+Data!AA100+Data!Y101+Data!Z101+Data!AA101+Data!Y102+Data!Z102+Data!AA102+Data!Y103+Data!Z103+Data!AA103+Data!Y104+Data!Z104+Data!AA104+Data!Y105+Data!Z105+Data!AA105+Data!Y106+Data!Z106+Data!AA106+Data!Y107+Data!Z107+Data!AA107+Data!Y108+Data!Z108+Data!AA108+Data!Y109+Data!Z109+Data!AA109</f>
        <v>6601857</v>
      </c>
      <c r="U109" s="16" t="n">
        <f aca="false">Data!Y98+Data!Y99+Data!Y100+Data!Y101+Data!Y102+Data!Y103+Data!Y104+Data!Y105+Data!Y106+Data!Y107+Data!Y108+Data!Y109</f>
        <v>4887213</v>
      </c>
      <c r="V109" s="16" t="n">
        <f aca="false">Data!Z98+Data!Z99+Data!Z100+Data!Z101+Data!Z102+Data!Z103+Data!Z104+Data!Z105+Data!Z106+Data!Z107+Data!Z108+Data!Z109</f>
        <v>1539305</v>
      </c>
      <c r="W109" s="16" t="n">
        <f aca="false">Data!AB98+Data!AB99+Data!AB100+Data!AB101+Data!AB102+Data!AB103+Data!AB104+Data!AB105+Data!AB106+Data!AB107+Data!AB108+Data!AB109</f>
        <v>9419217</v>
      </c>
      <c r="X109" s="16" t="n">
        <f aca="false">Data!AC98+Data!AC99+Data!AC100+Data!AC101+Data!AC102+Data!AC103+Data!AC104+Data!AC105+Data!AC106+Data!AC107+Data!AC108+Data!AC109</f>
        <v>2084704</v>
      </c>
      <c r="Y109" s="16" t="n">
        <f aca="false">Data!AD98+Data!AE98+Data!AF98+Data!AG98+Data!AH98+Data!AD99+Data!AE99+Data!AF99+Data!AG99+Data!AH99+Data!AD100+Data!AE100+Data!AF100+Data!AG100+Data!AH100+Data!AD101+Data!AE101+Data!AF101+Data!AG101+Data!AH101+Data!AD102+Data!AE102+Data!AF102+Data!AG102+Data!AH102+Data!AD103+Data!AE103+Data!AF103+Data!AG103+Data!AH103+Data!AD104+Data!AE104+Data!AF104+Data!AG104+Data!AH104+Data!AD105+Data!AE105+Data!AF105+Data!AG105+Data!AH105+Data!AD106+Data!AE106+Data!AF106+Data!AG106+Data!AH106+Data!AD107+Data!AE107+Data!AF107+Data!AG107+Data!AH107+Data!AD108+Data!AE108+Data!AF108+Data!AG108+Data!AH108+Data!AD109+Data!AE109+Data!AF109+Data!AG109+Data!AH109</f>
        <v>1406091</v>
      </c>
      <c r="Z109" s="16" t="n">
        <f aca="false">Data!AI98+Data!AI99+Data!AI100+Data!AI101+Data!AI102+Data!AI103+Data!AI104+Data!AI105+Data!AI106+Data!AI107+Data!AI108+Data!AI109</f>
        <v>2211463</v>
      </c>
      <c r="AA109" s="16" t="n">
        <f aca="false">Data!AJ98+Data!AJ99+Data!AJ100+Data!AJ101+Data!AJ102+Data!AJ103+Data!AJ104+Data!AJ105+Data!AJ106+Data!AJ107+Data!AJ108+Data!AJ109</f>
        <v>0</v>
      </c>
      <c r="AB109" s="16" t="n">
        <f aca="false">Data!AK98+Data!AK99+Data!AK100+Data!AK101+Data!AK102+Data!AK103+Data!AK104+Data!AK105+Data!AK106+Data!AK107+Data!AK108+Data!AK109</f>
        <v>1229515</v>
      </c>
      <c r="AC109" s="16" t="n">
        <f aca="false">Data!AL98+Data!AL99+Data!AL100+Data!AL101+Data!AL102+Data!AL103+Data!AL104+Data!AL105+Data!AL106+Data!AL107+Data!AL108+Data!AL109</f>
        <v>2673227</v>
      </c>
      <c r="AD109" s="15" t="n">
        <f aca="false">Data!AM98+Data!AM99+Data!AM100+Data!AM101+Data!AM102+Data!AM103+Data!AM104+Data!AM105+Data!AM106+Data!AM107+Data!AM108+Data!AM109</f>
        <v>4912709</v>
      </c>
      <c r="AE109" s="16" t="n">
        <f aca="false">Data!AN98+Data!AN99+Data!AN100+Data!AN101+Data!AN102+Data!AN103+Data!AN104+Data!AN105+Data!AN106+Data!AN107+Data!AN108+Data!AN109</f>
        <v>7446932</v>
      </c>
      <c r="AF109" s="15" t="n">
        <f aca="false">Data!AO98+Data!AO99+Data!AO100+Data!AO101+Data!AO102+Data!AO103+Data!AO104+Data!AO105+Data!AO106+Data!AO107+Data!AO108+Data!AO109</f>
        <v>-2534225</v>
      </c>
    </row>
    <row r="110" customFormat="false" ht="15" hidden="false" customHeight="false" outlineLevel="0" collapsed="false">
      <c r="B110" s="14" t="str">
        <f aca="false">Data!B110</f>
        <v>2024-08</v>
      </c>
      <c r="C110" s="15" t="n">
        <f aca="false">Data!D99+Data!E99+Data!F99+Data!G99+Data!H99+Data!I99+Data!J99+Data!K99+Data!L99+Data!M99+Data!N99+Data!O99+Data!P99+Data!Q99+Data!R99+Data!S99+Data!D100+Data!E100+Data!F100+Data!G100+Data!H100+Data!I100+Data!J100+Data!K100+Data!L100+Data!M100+Data!N100+Data!O100+Data!P100+Data!Q100+Data!R100+Data!S100+Data!D101+Data!E101+Data!F101+Data!G101+Data!H101+Data!I101+Data!J101+Data!K101+Data!L101+Data!M101+Data!N101+Data!O101+Data!P101+Data!Q101+Data!R101+Data!S101+Data!D102+Data!E102+Data!F102+Data!G102+Data!H102+Data!I102+Data!J102+Data!K102+Data!L102+Data!M102+Data!N102+Data!O102+Data!P102+Data!Q102+Data!R102+Data!S102+Data!D103+Data!E103+Data!F103+Data!G103+Data!H103+Data!I103+Data!J103+Data!K103+Data!L103+Data!M103+Data!N103+Data!O103+Data!P103+Data!Q103+Data!R103+Data!S103+Data!D104+Data!E104+Data!F104+Data!G104+Data!H104+Data!I104+Data!J104+Data!K104+Data!L104+Data!M104+Data!N104+Data!O104+Data!P104+Data!Q104+Data!R104+Data!S104+Data!D105+Data!E105+Data!F105+Data!G105+Data!H105+Data!I105+Data!J105+Data!K105+Data!L105+Data!M105+Data!N105+Data!O105+Data!P105+Data!Q105+Data!R105+Data!S105+Data!D106+Data!E106+Data!F106+Data!G106+Data!H106+Data!I106+Data!J106+Data!K106+Data!L106+Data!M106+Data!N106+Data!O106+Data!P106+Data!Q106+Data!R106+Data!S106+Data!D107+Data!E107+Data!F107+Data!G107+Data!H107+Data!I107+Data!J107+Data!K107+Data!L107+Data!M107+Data!N107+Data!O107+Data!P107+Data!Q107+Data!R107+Data!S107+Data!D108+Data!E108+Data!F108+Data!G108+Data!H108+Data!I108+Data!J108+Data!K108+Data!L108+Data!M108+Data!N108+Data!O108+Data!P108+Data!Q108+Data!R108+Data!S108+Data!D109+Data!E109+Data!F109+Data!G109+Data!H109+Data!I109+Data!J109+Data!K109+Data!L109+Data!M109+Data!N109+Data!O109+Data!P109+Data!Q109+Data!R109+Data!S109+Data!D110+Data!E110+Data!F110+Data!G110+Data!H110+Data!I110+Data!J110+Data!K110+Data!L110+Data!M110+Data!N110+Data!O110+Data!P110+Data!Q110+Data!R110+Data!S110</f>
        <v>74883161</v>
      </c>
      <c r="D110" s="16" t="n">
        <f aca="false">Data!D99+Data!E99+Data!G99+Data!H99+Data!I99+Data!J99+Data!K99+Data!L99+Data!M99+Data!D100+Data!E100+Data!G100+Data!H100+Data!I100+Data!J100+Data!K100+Data!L100+Data!M100+Data!D101+Data!E101+Data!G101+Data!H101+Data!I101+Data!J101+Data!K101+Data!L101+Data!M101+Data!D102+Data!E102+Data!G102+Data!H102+Data!I102+Data!J102+Data!K102+Data!L102+Data!M102+Data!D103+Data!E103+Data!G103+Data!H103+Data!I103+Data!J103+Data!K103+Data!L103+Data!M103+Data!D104+Data!E104+Data!G104+Data!H104+Data!I104+Data!J104+Data!K104+Data!L104+Data!M104+Data!D105+Data!E105+Data!G105+Data!H105+Data!I105+Data!J105+Data!K105+Data!L105+Data!M105+Data!D106+Data!E106+Data!G106+Data!H106+Data!I106+Data!J106+Data!K106+Data!L106+Data!M106+Data!D107+Data!E107+Data!G107+Data!H107+Data!I107+Data!J107+Data!K107+Data!L107+Data!M107+Data!D108+Data!E108+Data!G108+Data!H108+Data!I108+Data!J108+Data!K108+Data!L108+Data!M108+Data!D109+Data!E109+Data!G109+Data!H109+Data!I109+Data!J109+Data!K109+Data!L109+Data!M109+Data!D110+Data!E110+Data!G110+Data!H110+Data!I110+Data!J110+Data!K110+Data!L110+Data!M110</f>
        <v>46313350</v>
      </c>
      <c r="E110" s="16" t="n">
        <f aca="false">Data!D99+Data!D100+Data!D101+Data!D102+Data!D103+Data!D104+Data!D105+Data!D106+Data!D107+Data!D108+Data!D109+Data!D110</f>
        <v>14831639</v>
      </c>
      <c r="F110" s="16" t="n">
        <f aca="false">Data!E99+Data!E100+Data!E101+Data!E102+Data!E103+Data!E104+Data!E105+Data!E106+Data!E107+Data!E108+Data!E109+Data!E110</f>
        <v>7403758</v>
      </c>
      <c r="G110" s="16" t="n">
        <f aca="false">Data!K99+Data!K100+Data!K101+Data!K102+Data!K103+Data!K104+Data!K105+Data!K106+Data!K107+Data!K108+Data!K109+Data!K110</f>
        <v>4463741</v>
      </c>
      <c r="H110" s="16" t="n">
        <f aca="false">Data!L99+Data!L100+Data!L101+Data!L102+Data!L103+Data!L104+Data!L105+Data!L106+Data!L107+Data!L108+Data!L109+Data!L110</f>
        <v>2304082</v>
      </c>
      <c r="I110" s="16" t="n">
        <f aca="false">Data!G99+Data!G100+Data!G101+Data!G102+Data!G103+Data!G104+Data!G105+Data!G106+Data!G107+Data!G108+Data!G109+Data!G110</f>
        <v>6921278</v>
      </c>
      <c r="J110" s="16" t="n">
        <f aca="false">Data!H99+Data!I99+Data!J99+Data!M99+Data!H100+Data!I100+Data!J100+Data!M100+Data!H101+Data!I101+Data!J101+Data!M101+Data!H102+Data!I102+Data!J102+Data!M102+Data!H103+Data!I103+Data!J103+Data!M103+Data!H104+Data!I104+Data!J104+Data!M104+Data!H105+Data!I105+Data!J105+Data!M105+Data!H106+Data!I106+Data!J106+Data!M106+Data!H107+Data!I107+Data!J107+Data!M107+Data!H108+Data!I108+Data!J108+Data!M108+Data!H109+Data!I109+Data!J109+Data!M109+Data!H110+Data!I110+Data!J110+Data!M110</f>
        <v>10388852</v>
      </c>
      <c r="K110" s="16" t="n">
        <f aca="false">Data!F99+Data!F100+Data!F101+Data!F102+Data!F103+Data!F104+Data!F105+Data!F106+Data!F107+Data!F108+Data!F109+Data!F110</f>
        <v>21694850</v>
      </c>
      <c r="L110" s="16" t="n">
        <f aca="false">Data!N99+Data!O99+Data!P99+Data!Q99+Data!R99+Data!S99+Data!N100+Data!O100+Data!P100+Data!Q100+Data!R100+Data!S100+Data!N101+Data!O101+Data!P101+Data!Q101+Data!R101+Data!S101+Data!N102+Data!O102+Data!P102+Data!Q102+Data!R102+Data!S102+Data!N103+Data!O103+Data!P103+Data!Q103+Data!R103+Data!S103+Data!N104+Data!O104+Data!P104+Data!Q104+Data!R104+Data!S104+Data!N105+Data!O105+Data!P105+Data!Q105+Data!R105+Data!S105+Data!N106+Data!O106+Data!P106+Data!Q106+Data!R106+Data!S106+Data!N107+Data!O107+Data!P107+Data!Q107+Data!R107+Data!S107+Data!N108+Data!O108+Data!P108+Data!Q108+Data!R108+Data!S108+Data!N109+Data!O109+Data!P109+Data!Q109+Data!R109+Data!S109+Data!N110+Data!O110+Data!P110+Data!Q110+Data!R110+Data!S110</f>
        <v>6874961</v>
      </c>
      <c r="M110" s="15" t="n">
        <f aca="false">Data!T99+Data!U99+Data!V99+Data!W99+Data!X99+Data!Y99+Data!Z99+Data!AA99+Data!AB99+Data!AC99+Data!AD99+Data!AE99+Data!AF99+Data!AG99+Data!AH99+Data!AI99+Data!AJ99+Data!AK99+Data!AL99+Data!T100+Data!U100+Data!V100+Data!W100+Data!X100+Data!Y100+Data!Z100+Data!AA100+Data!AB100+Data!AC100+Data!AD100+Data!AE100+Data!AF100+Data!AG100+Data!AH100+Data!AI100+Data!AJ100+Data!AK100+Data!AL100+Data!T101+Data!U101+Data!V101+Data!W101+Data!X101+Data!Y101+Data!Z101+Data!AA101+Data!AB101+Data!AC101+Data!AD101+Data!AE101+Data!AF101+Data!AG101+Data!AH101+Data!AI101+Data!AJ101+Data!AK101+Data!AL101+Data!T102+Data!U102+Data!V102+Data!W102+Data!X102+Data!Y102+Data!Z102+Data!AA102+Data!AB102+Data!AC102+Data!AD102+Data!AE102+Data!AF102+Data!AG102+Data!AH102+Data!AI102+Data!AJ102+Data!AK102+Data!AL102+Data!T103+Data!U103+Data!V103+Data!W103+Data!X103+Data!Y103+Data!Z103+Data!AA103+Data!AB103+Data!AC103+Data!AD103+Data!AE103+Data!AF103+Data!AG103+Data!AH103+Data!AI103+Data!AJ103+Data!AK103+Data!AL103+Data!T104+Data!U104+Data!V104+Data!W104+Data!X104+Data!Y104+Data!Z104+Data!AA104+Data!AB104+Data!AC104+Data!AD104+Data!AE104+Data!AF104+Data!AG104+Data!AH104+Data!AI104+Data!AJ104+Data!AK104+Data!AL104+Data!T105+Data!U105+Data!V105+Data!W105+Data!X105+Data!Y105+Data!Z105+Data!AA105+Data!AB105+Data!AC105+Data!AD105+Data!AE105+Data!AF105+Data!AG105+Data!AH105+Data!AI105+Data!AJ105+Data!AK105+Data!AL105+Data!T106+Data!U106+Data!V106+Data!W106+Data!X106+Data!Y106+Data!Z106+Data!AA106+Data!AB106+Data!AC106+Data!AD106+Data!AE106+Data!AF106+Data!AG106+Data!AH106+Data!AI106+Data!AJ106+Data!AK106+Data!AL106+Data!T107+Data!U107+Data!V107+Data!W107+Data!X107+Data!Y107+Data!Z107+Data!AA107+Data!AB107+Data!AC107+Data!AD107+Data!AE107+Data!AF107+Data!AG107+Data!AH107+Data!AI107+Data!AJ107+Data!AK107+Data!AL107+Data!T108+Data!U108+Data!V108+Data!W108+Data!X108+Data!Y108+Data!Z108+Data!AA108+Data!AB108+Data!AC108+Data!AD108+Data!AE108+Data!AF108+Data!AG108+Data!AH108+Data!AI108+Data!AJ108+Data!AK108+Data!AL108+Data!T109+Data!U109+Data!V109+Data!W109+Data!X109+Data!Y109+Data!Z109+Data!AA109+Data!AB109+Data!AC109+Data!AD109+Data!AE109+Data!AF109+Data!AG109+Data!AH109+Data!AI109+Data!AJ109+Data!AK109+Data!AL109+Data!T110+Data!U110+Data!V110+Data!W110+Data!X110+Data!Y110+Data!Z110+Data!AA110+Data!AB110+Data!AC110+Data!AD110+Data!AE110+Data!AF110+Data!AG110+Data!AH110+Data!AI110+Data!AJ110+Data!AK110+Data!AL110</f>
        <v>69033828</v>
      </c>
      <c r="N110" s="16" t="n">
        <f aca="false">Data!T99+Data!U99+Data!V99+Data!W99+Data!T100+Data!U100+Data!V100+Data!W100+Data!T101+Data!U101+Data!V101+Data!W101+Data!T102+Data!U102+Data!V102+Data!W102+Data!T103+Data!U103+Data!V103+Data!W103+Data!T104+Data!U104+Data!V104+Data!W104+Data!T105+Data!U105+Data!V105+Data!W105+Data!T106+Data!U106+Data!V106+Data!W106+Data!T107+Data!U107+Data!V107+Data!W107+Data!T108+Data!U108+Data!V108+Data!W108+Data!T109+Data!U109+Data!V109+Data!W109+Data!T110+Data!U110+Data!V110+Data!W110</f>
        <v>34114537</v>
      </c>
      <c r="O110" s="16" t="n">
        <f aca="false">Data!T99+Data!T100+Data!T101+Data!T102+Data!T103+Data!T104+Data!T105+Data!T106+Data!T107+Data!T108+Data!T109+Data!T110</f>
        <v>23864012</v>
      </c>
      <c r="P110" s="16" t="n">
        <f aca="false">Data!U99+Data!U100+Data!U101+Data!U102+Data!U103+Data!U104+Data!U105+Data!U106+Data!U107+Data!U108+Data!U109+Data!U110</f>
        <v>3990214</v>
      </c>
      <c r="Q110" s="16" t="n">
        <f aca="false">Data!V99+Data!V100+Data!V101+Data!V102+Data!V103+Data!V104+Data!V105+Data!V106+Data!V107+Data!V108+Data!V109+Data!V110</f>
        <v>2240287</v>
      </c>
      <c r="R110" s="16" t="n">
        <f aca="false">Data!W99+Data!W100+Data!W101+Data!W102+Data!W103+Data!W104+Data!W105+Data!W106+Data!W107+Data!W108+Data!W109+Data!W110</f>
        <v>4020024</v>
      </c>
      <c r="S110" s="16" t="n">
        <f aca="false">Data!X99+Data!X100+Data!X101+Data!X102+Data!X103+Data!X104+Data!X105+Data!X106+Data!X107+Data!X108+Data!X109+Data!X110</f>
        <v>7450050</v>
      </c>
      <c r="T110" s="16" t="n">
        <f aca="false">Data!Y99+Data!Z99+Data!AA99+Data!Y100+Data!Z100+Data!AA100+Data!Y101+Data!Z101+Data!AA101+Data!Y102+Data!Z102+Data!AA102+Data!Y103+Data!Z103+Data!AA103+Data!Y104+Data!Z104+Data!AA104+Data!Y105+Data!Z105+Data!AA105+Data!Y106+Data!Z106+Data!AA106+Data!Y107+Data!Z107+Data!AA107+Data!Y108+Data!Z108+Data!AA108+Data!Y109+Data!Z109+Data!AA109+Data!Y110+Data!Z110+Data!AA110</f>
        <v>7354582</v>
      </c>
      <c r="U110" s="16" t="n">
        <f aca="false">Data!Y99+Data!Y100+Data!Y101+Data!Y102+Data!Y103+Data!Y104+Data!Y105+Data!Y106+Data!Y107+Data!Y108+Data!Y109+Data!Y110</f>
        <v>5437502</v>
      </c>
      <c r="V110" s="16" t="n">
        <f aca="false">Data!Z99+Data!Z100+Data!Z101+Data!Z102+Data!Z103+Data!Z104+Data!Z105+Data!Z106+Data!Z107+Data!Z108+Data!Z109+Data!Z110</f>
        <v>1743477</v>
      </c>
      <c r="W110" s="16" t="n">
        <f aca="false">Data!AB99+Data!AB100+Data!AB101+Data!AB102+Data!AB103+Data!AB104+Data!AB105+Data!AB106+Data!AB107+Data!AB108+Data!AB109+Data!AB110</f>
        <v>10062832</v>
      </c>
      <c r="X110" s="16" t="n">
        <f aca="false">Data!AC99+Data!AC100+Data!AC101+Data!AC102+Data!AC103+Data!AC104+Data!AC105+Data!AC106+Data!AC107+Data!AC108+Data!AC109+Data!AC110</f>
        <v>2293970</v>
      </c>
      <c r="Y110" s="16" t="n">
        <f aca="false">Data!AD99+Data!AE99+Data!AF99+Data!AG99+Data!AH99+Data!AD100+Data!AE100+Data!AF100+Data!AG100+Data!AH100+Data!AD101+Data!AE101+Data!AF101+Data!AG101+Data!AH101+Data!AD102+Data!AE102+Data!AF102+Data!AG102+Data!AH102+Data!AD103+Data!AE103+Data!AF103+Data!AG103+Data!AH103+Data!AD104+Data!AE104+Data!AF104+Data!AG104+Data!AH104+Data!AD105+Data!AE105+Data!AF105+Data!AG105+Data!AH105+Data!AD106+Data!AE106+Data!AF106+Data!AG106+Data!AH106+Data!AD107+Data!AE107+Data!AF107+Data!AG107+Data!AH107+Data!AD108+Data!AE108+Data!AF108+Data!AG108+Data!AH108+Data!AD109+Data!AE109+Data!AF109+Data!AG109+Data!AH109+Data!AD110+Data!AE110+Data!AF110+Data!AG110+Data!AH110</f>
        <v>1519197</v>
      </c>
      <c r="Z110" s="16" t="n">
        <f aca="false">Data!AI99+Data!AI100+Data!AI101+Data!AI102+Data!AI103+Data!AI104+Data!AI105+Data!AI106+Data!AI107+Data!AI108+Data!AI109+Data!AI110</f>
        <v>2344484</v>
      </c>
      <c r="AA110" s="16" t="n">
        <f aca="false">Data!AJ99+Data!AJ100+Data!AJ101+Data!AJ102+Data!AJ103+Data!AJ104+Data!AJ105+Data!AJ106+Data!AJ107+Data!AJ108+Data!AJ109+Data!AJ110</f>
        <v>0</v>
      </c>
      <c r="AB110" s="16" t="n">
        <f aca="false">Data!AK99+Data!AK100+Data!AK101+Data!AK102+Data!AK103+Data!AK104+Data!AK105+Data!AK106+Data!AK107+Data!AK108+Data!AK109+Data!AK110</f>
        <v>1233782</v>
      </c>
      <c r="AC110" s="16" t="n">
        <f aca="false">Data!AL99+Data!AL100+Data!AL101+Data!AL102+Data!AL103+Data!AL104+Data!AL105+Data!AL106+Data!AL107+Data!AL108+Data!AL109+Data!AL110</f>
        <v>2660394</v>
      </c>
      <c r="AD110" s="15" t="n">
        <f aca="false">Data!AM99+Data!AM100+Data!AM101+Data!AM102+Data!AM103+Data!AM104+Data!AM105+Data!AM106+Data!AM107+Data!AM108+Data!AM109+Data!AM110</f>
        <v>5849333</v>
      </c>
      <c r="AE110" s="16" t="n">
        <f aca="false">Data!AN99+Data!AN100+Data!AN101+Data!AN102+Data!AN103+Data!AN104+Data!AN105+Data!AN106+Data!AN107+Data!AN108+Data!AN109+Data!AN110</f>
        <v>7995521</v>
      </c>
      <c r="AF110" s="15" t="n">
        <f aca="false">Data!AO99+Data!AO100+Data!AO101+Data!AO102+Data!AO103+Data!AO104+Data!AO105+Data!AO106+Data!AO107+Data!AO108+Data!AO109+Data!AO110</f>
        <v>-2146191</v>
      </c>
    </row>
    <row r="111" customFormat="false" ht="15" hidden="false" customHeight="false" outlineLevel="0" collapsed="false">
      <c r="B111" s="14" t="str">
        <f aca="false">Data!B111</f>
        <v>2024-09</v>
      </c>
      <c r="C111" s="15" t="n">
        <f aca="false">Data!D100+Data!E100+Data!F100+Data!G100+Data!H100+Data!I100+Data!J100+Data!K100+Data!L100+Data!M100+Data!N100+Data!O100+Data!P100+Data!Q100+Data!R100+Data!S100+Data!D101+Data!E101+Data!F101+Data!G101+Data!H101+Data!I101+Data!J101+Data!K101+Data!L101+Data!M101+Data!N101+Data!O101+Data!P101+Data!Q101+Data!R101+Data!S101+Data!D102+Data!E102+Data!F102+Data!G102+Data!H102+Data!I102+Data!J102+Data!K102+Data!L102+Data!M102+Data!N102+Data!O102+Data!P102+Data!Q102+Data!R102+Data!S102+Data!D103+Data!E103+Data!F103+Data!G103+Data!H103+Data!I103+Data!J103+Data!K103+Data!L103+Data!M103+Data!N103+Data!O103+Data!P103+Data!Q103+Data!R103+Data!S103+Data!D104+Data!E104+Data!F104+Data!G104+Data!H104+Data!I104+Data!J104+Data!K104+Data!L104+Data!M104+Data!N104+Data!O104+Data!P104+Data!Q104+Data!R104+Data!S104+Data!D105+Data!E105+Data!F105+Data!G105+Data!H105+Data!I105+Data!J105+Data!K105+Data!L105+Data!M105+Data!N105+Data!O105+Data!P105+Data!Q105+Data!R105+Data!S105+Data!D106+Data!E106+Data!F106+Data!G106+Data!H106+Data!I106+Data!J106+Data!K106+Data!L106+Data!M106+Data!N106+Data!O106+Data!P106+Data!Q106+Data!R106+Data!S106+Data!D107+Data!E107+Data!F107+Data!G107+Data!H107+Data!I107+Data!J107+Data!K107+Data!L107+Data!M107+Data!N107+Data!O107+Data!P107+Data!Q107+Data!R107+Data!S107+Data!D108+Data!E108+Data!F108+Data!G108+Data!H108+Data!I108+Data!J108+Data!K108+Data!L108+Data!M108+Data!N108+Data!O108+Data!P108+Data!Q108+Data!R108+Data!S108+Data!D109+Data!E109+Data!F109+Data!G109+Data!H109+Data!I109+Data!J109+Data!K109+Data!L109+Data!M109+Data!N109+Data!O109+Data!P109+Data!Q109+Data!R109+Data!S109+Data!D110+Data!E110+Data!F110+Data!G110+Data!H110+Data!I110+Data!J110+Data!K110+Data!L110+Data!M110+Data!N110+Data!O110+Data!P110+Data!Q110+Data!R110+Data!S110+Data!D111+Data!E111+Data!F111+Data!G111+Data!H111+Data!I111+Data!J111+Data!K111+Data!L111+Data!M111+Data!N111+Data!O111+Data!P111+Data!Q111+Data!R111+Data!S111</f>
        <v>80787478</v>
      </c>
      <c r="D111" s="16" t="n">
        <f aca="false">Data!D100+Data!E100+Data!G100+Data!H100+Data!I100+Data!J100+Data!K100+Data!L100+Data!M100+Data!D101+Data!E101+Data!G101+Data!H101+Data!I101+Data!J101+Data!K101+Data!L101+Data!M101+Data!D102+Data!E102+Data!G102+Data!H102+Data!I102+Data!J102+Data!K102+Data!L102+Data!M102+Data!D103+Data!E103+Data!G103+Data!H103+Data!I103+Data!J103+Data!K103+Data!L103+Data!M103+Data!D104+Data!E104+Data!G104+Data!H104+Data!I104+Data!J104+Data!K104+Data!L104+Data!M104+Data!D105+Data!E105+Data!G105+Data!H105+Data!I105+Data!J105+Data!K105+Data!L105+Data!M105+Data!D106+Data!E106+Data!G106+Data!H106+Data!I106+Data!J106+Data!K106+Data!L106+Data!M106+Data!D107+Data!E107+Data!G107+Data!H107+Data!I107+Data!J107+Data!K107+Data!L107+Data!M107+Data!D108+Data!E108+Data!G108+Data!H108+Data!I108+Data!J108+Data!K108+Data!L108+Data!M108+Data!D109+Data!E109+Data!G109+Data!H109+Data!I109+Data!J109+Data!K109+Data!L109+Data!M109+Data!D110+Data!E110+Data!G110+Data!H110+Data!I110+Data!J110+Data!K110+Data!L110+Data!M110+Data!D111+Data!E111+Data!G111+Data!H111+Data!I111+Data!J111+Data!K111+Data!L111+Data!M111</f>
        <v>50066377</v>
      </c>
      <c r="E111" s="16" t="n">
        <f aca="false">Data!D100+Data!D101+Data!D102+Data!D103+Data!D104+Data!D105+Data!D106+Data!D107+Data!D108+Data!D109+Data!D110+Data!D111</f>
        <v>15979169</v>
      </c>
      <c r="F111" s="16" t="n">
        <f aca="false">Data!E100+Data!E101+Data!E102+Data!E103+Data!E104+Data!E105+Data!E106+Data!E107+Data!E108+Data!E109+Data!E110+Data!E111</f>
        <v>7887350</v>
      </c>
      <c r="G111" s="16" t="n">
        <f aca="false">Data!K100+Data!K101+Data!K102+Data!K103+Data!K104+Data!K105+Data!K106+Data!K107+Data!K108+Data!K109+Data!K110+Data!K111</f>
        <v>4885192</v>
      </c>
      <c r="H111" s="16" t="n">
        <f aca="false">Data!L100+Data!L101+Data!L102+Data!L103+Data!L104+Data!L105+Data!L106+Data!L107+Data!L108+Data!L109+Data!L110+Data!L111</f>
        <v>2461855</v>
      </c>
      <c r="I111" s="16" t="n">
        <f aca="false">Data!G100+Data!G101+Data!G102+Data!G103+Data!G104+Data!G105+Data!G106+Data!G107+Data!G108+Data!G109+Data!G110+Data!G111</f>
        <v>7465371</v>
      </c>
      <c r="J111" s="16" t="n">
        <f aca="false">Data!H100+Data!I100+Data!J100+Data!M100+Data!H101+Data!I101+Data!J101+Data!M101+Data!H102+Data!I102+Data!J102+Data!M102+Data!H103+Data!I103+Data!J103+Data!M103+Data!H104+Data!I104+Data!J104+Data!M104+Data!H105+Data!I105+Data!J105+Data!M105+Data!H106+Data!I106+Data!J106+Data!M106+Data!H107+Data!I107+Data!J107+Data!M107+Data!H108+Data!I108+Data!J108+Data!M108+Data!H109+Data!I109+Data!J109+Data!M109+Data!H110+Data!I110+Data!J110+Data!M110+Data!H111+Data!I111+Data!J111+Data!M111</f>
        <v>11387440</v>
      </c>
      <c r="K111" s="16" t="n">
        <f aca="false">Data!F100+Data!F101+Data!F102+Data!F103+Data!F104+Data!F105+Data!F106+Data!F107+Data!F108+Data!F109+Data!F110+Data!F111</f>
        <v>23588167</v>
      </c>
      <c r="L111" s="16" t="n">
        <f aca="false">Data!N100+Data!O100+Data!P100+Data!Q100+Data!R100+Data!S100+Data!N101+Data!O101+Data!P101+Data!Q101+Data!R101+Data!S101+Data!N102+Data!O102+Data!P102+Data!Q102+Data!R102+Data!S102+Data!N103+Data!O103+Data!P103+Data!Q103+Data!R103+Data!S103+Data!N104+Data!O104+Data!P104+Data!Q104+Data!R104+Data!S104+Data!N105+Data!O105+Data!P105+Data!Q105+Data!R105+Data!S105+Data!N106+Data!O106+Data!P106+Data!Q106+Data!R106+Data!S106+Data!N107+Data!O107+Data!P107+Data!Q107+Data!R107+Data!S107+Data!N108+Data!O108+Data!P108+Data!Q108+Data!R108+Data!S108+Data!N109+Data!O109+Data!P109+Data!Q109+Data!R109+Data!S109+Data!N110+Data!O110+Data!P110+Data!Q110+Data!R110+Data!S110+Data!N111+Data!O111+Data!P111+Data!Q111+Data!R111+Data!S111</f>
        <v>7132934</v>
      </c>
      <c r="M111" s="15" t="n">
        <f aca="false">Data!T100+Data!U100+Data!V100+Data!W100+Data!X100+Data!Y100+Data!Z100+Data!AA100+Data!AB100+Data!AC100+Data!AD100+Data!AE100+Data!AF100+Data!AG100+Data!AH100+Data!AI100+Data!AJ100+Data!AK100+Data!AL100+Data!T101+Data!U101+Data!V101+Data!W101+Data!X101+Data!Y101+Data!Z101+Data!AA101+Data!AB101+Data!AC101+Data!AD101+Data!AE101+Data!AF101+Data!AG101+Data!AH101+Data!AI101+Data!AJ101+Data!AK101+Data!AL101+Data!T102+Data!U102+Data!V102+Data!W102+Data!X102+Data!Y102+Data!Z102+Data!AA102+Data!AB102+Data!AC102+Data!AD102+Data!AE102+Data!AF102+Data!AG102+Data!AH102+Data!AI102+Data!AJ102+Data!AK102+Data!AL102+Data!T103+Data!U103+Data!V103+Data!W103+Data!X103+Data!Y103+Data!Z103+Data!AA103+Data!AB103+Data!AC103+Data!AD103+Data!AE103+Data!AF103+Data!AG103+Data!AH103+Data!AI103+Data!AJ103+Data!AK103+Data!AL103+Data!T104+Data!U104+Data!V104+Data!W104+Data!X104+Data!Y104+Data!Z104+Data!AA104+Data!AB104+Data!AC104+Data!AD104+Data!AE104+Data!AF104+Data!AG104+Data!AH104+Data!AI104+Data!AJ104+Data!AK104+Data!AL104+Data!T105+Data!U105+Data!V105+Data!W105+Data!X105+Data!Y105+Data!Z105+Data!AA105+Data!AB105+Data!AC105+Data!AD105+Data!AE105+Data!AF105+Data!AG105+Data!AH105+Data!AI105+Data!AJ105+Data!AK105+Data!AL105+Data!T106+Data!U106+Data!V106+Data!W106+Data!X106+Data!Y106+Data!Z106+Data!AA106+Data!AB106+Data!AC106+Data!AD106+Data!AE106+Data!AF106+Data!AG106+Data!AH106+Data!AI106+Data!AJ106+Data!AK106+Data!AL106+Data!T107+Data!U107+Data!V107+Data!W107+Data!X107+Data!Y107+Data!Z107+Data!AA107+Data!AB107+Data!AC107+Data!AD107+Data!AE107+Data!AF107+Data!AG107+Data!AH107+Data!AI107+Data!AJ107+Data!AK107+Data!AL107+Data!T108+Data!U108+Data!V108+Data!W108+Data!X108+Data!Y108+Data!Z108+Data!AA108+Data!AB108+Data!AC108+Data!AD108+Data!AE108+Data!AF108+Data!AG108+Data!AH108+Data!AI108+Data!AJ108+Data!AK108+Data!AL108+Data!T109+Data!U109+Data!V109+Data!W109+Data!X109+Data!Y109+Data!Z109+Data!AA109+Data!AB109+Data!AC109+Data!AD109+Data!AE109+Data!AF109+Data!AG109+Data!AH109+Data!AI109+Data!AJ109+Data!AK109+Data!AL109+Data!T110+Data!U110+Data!V110+Data!W110+Data!X110+Data!Y110+Data!Z110+Data!AA110+Data!AB110+Data!AC110+Data!AD110+Data!AE110+Data!AF110+Data!AG110+Data!AH110+Data!AI110+Data!AJ110+Data!AK110+Data!AL110+Data!T111+Data!U111+Data!V111+Data!W111+Data!X111+Data!Y111+Data!Z111+Data!AA111+Data!AB111+Data!AC111+Data!AD111+Data!AE111+Data!AF111+Data!AG111+Data!AH111+Data!AI111+Data!AJ111+Data!AK111+Data!AL111</f>
        <v>73741225</v>
      </c>
      <c r="N111" s="16" t="n">
        <f aca="false">Data!T100+Data!U100+Data!V100+Data!W100+Data!T101+Data!U101+Data!V101+Data!W101+Data!T102+Data!U102+Data!V102+Data!W102+Data!T103+Data!U103+Data!V103+Data!W103+Data!T104+Data!U104+Data!V104+Data!W104+Data!T105+Data!U105+Data!V105+Data!W105+Data!T106+Data!U106+Data!V106+Data!W106+Data!T107+Data!U107+Data!V107+Data!W107+Data!T108+Data!U108+Data!V108+Data!W108+Data!T109+Data!U109+Data!V109+Data!W109+Data!T110+Data!U110+Data!V110+Data!W110+Data!T111+Data!U111+Data!V111+Data!W111</f>
        <v>36954469</v>
      </c>
      <c r="O111" s="16" t="n">
        <f aca="false">Data!T100+Data!T101+Data!T102+Data!T103+Data!T104+Data!T105+Data!T106+Data!T107+Data!T108+Data!T109+Data!T110+Data!T111</f>
        <v>25750626</v>
      </c>
      <c r="P111" s="16" t="n">
        <f aca="false">Data!U100+Data!U101+Data!U102+Data!U103+Data!U104+Data!U105+Data!U106+Data!U107+Data!U108+Data!U109+Data!U110+Data!U111</f>
        <v>4354895</v>
      </c>
      <c r="Q111" s="16" t="n">
        <f aca="false">Data!V100+Data!V101+Data!V102+Data!V103+Data!V104+Data!V105+Data!V106+Data!V107+Data!V108+Data!V109+Data!V110+Data!V111</f>
        <v>2424378</v>
      </c>
      <c r="R111" s="16" t="n">
        <f aca="false">Data!W100+Data!W101+Data!W102+Data!W103+Data!W104+Data!W105+Data!W106+Data!W107+Data!W108+Data!W109+Data!W110+Data!W111</f>
        <v>4424570</v>
      </c>
      <c r="S111" s="16" t="n">
        <f aca="false">Data!X100+Data!X101+Data!X102+Data!X103+Data!X104+Data!X105+Data!X106+Data!X107+Data!X108+Data!X109+Data!X110+Data!X111</f>
        <v>8030251</v>
      </c>
      <c r="T111" s="16" t="n">
        <f aca="false">Data!Y100+Data!Z100+Data!AA100+Data!Y101+Data!Z101+Data!AA101+Data!Y102+Data!Z102+Data!AA102+Data!Y103+Data!Z103+Data!AA103+Data!Y104+Data!Z104+Data!AA104+Data!Y105+Data!Z105+Data!AA105+Data!Y106+Data!Z106+Data!AA106+Data!Y107+Data!Z107+Data!AA107+Data!Y108+Data!Z108+Data!AA108+Data!Y109+Data!Z109+Data!AA109+Data!Y110+Data!Z110+Data!AA110+Data!Y111+Data!Z111+Data!AA111</f>
        <v>7801071</v>
      </c>
      <c r="U111" s="16" t="n">
        <f aca="false">Data!Y100+Data!Y101+Data!Y102+Data!Y103+Data!Y104+Data!Y105+Data!Y106+Data!Y107+Data!Y108+Data!Y109+Data!Y110+Data!Y111</f>
        <v>5772812</v>
      </c>
      <c r="V111" s="16" t="n">
        <f aca="false">Data!Z100+Data!Z101+Data!Z102+Data!Z103+Data!Z104+Data!Z105+Data!Z106+Data!Z107+Data!Z108+Data!Z109+Data!Z110+Data!Z111</f>
        <v>1839982</v>
      </c>
      <c r="W111" s="16" t="n">
        <f aca="false">Data!AB100+Data!AB101+Data!AB102+Data!AB103+Data!AB104+Data!AB105+Data!AB106+Data!AB107+Data!AB108+Data!AB109+Data!AB110+Data!AB111</f>
        <v>10699222</v>
      </c>
      <c r="X111" s="16" t="n">
        <f aca="false">Data!AC100+Data!AC101+Data!AC102+Data!AC103+Data!AC104+Data!AC105+Data!AC106+Data!AC107+Data!AC108+Data!AC109+Data!AC110+Data!AC111</f>
        <v>2454800</v>
      </c>
      <c r="Y111" s="16" t="n">
        <f aca="false">Data!AD100+Data!AE100+Data!AF100+Data!AG100+Data!AH100+Data!AD101+Data!AE101+Data!AF101+Data!AG101+Data!AH101+Data!AD102+Data!AE102+Data!AF102+Data!AG102+Data!AH102+Data!AD103+Data!AE103+Data!AF103+Data!AG103+Data!AH103+Data!AD104+Data!AE104+Data!AF104+Data!AG104+Data!AH104+Data!AD105+Data!AE105+Data!AF105+Data!AG105+Data!AH105+Data!AD106+Data!AE106+Data!AF106+Data!AG106+Data!AH106+Data!AD107+Data!AE107+Data!AF107+Data!AG107+Data!AH107+Data!AD108+Data!AE108+Data!AF108+Data!AG108+Data!AH108+Data!AD109+Data!AE109+Data!AF109+Data!AG109+Data!AH109+Data!AD110+Data!AE110+Data!AF110+Data!AG110+Data!AH110+Data!AD111+Data!AE111+Data!AF111+Data!AG111+Data!AH111</f>
        <v>1495533</v>
      </c>
      <c r="Z111" s="16" t="n">
        <f aca="false">Data!AI100+Data!AI101+Data!AI102+Data!AI103+Data!AI104+Data!AI105+Data!AI106+Data!AI107+Data!AI108+Data!AI109+Data!AI110+Data!AI111</f>
        <v>2510546</v>
      </c>
      <c r="AA111" s="16" t="n">
        <f aca="false">Data!AJ100+Data!AJ101+Data!AJ102+Data!AJ103+Data!AJ104+Data!AJ105+Data!AJ106+Data!AJ107+Data!AJ108+Data!AJ109+Data!AJ110+Data!AJ111</f>
        <v>0</v>
      </c>
      <c r="AB111" s="16" t="n">
        <f aca="false">Data!AK100+Data!AK101+Data!AK102+Data!AK103+Data!AK104+Data!AK105+Data!AK106+Data!AK107+Data!AK108+Data!AK109+Data!AK110+Data!AK111</f>
        <v>1199292</v>
      </c>
      <c r="AC111" s="16" t="n">
        <f aca="false">Data!AL100+Data!AL101+Data!AL102+Data!AL103+Data!AL104+Data!AL105+Data!AL106+Data!AL107+Data!AL108+Data!AL109+Data!AL110+Data!AL111</f>
        <v>2596041</v>
      </c>
      <c r="AD111" s="15" t="n">
        <f aca="false">Data!AM100+Data!AM101+Data!AM102+Data!AM103+Data!AM104+Data!AM105+Data!AM106+Data!AM107+Data!AM108+Data!AM109+Data!AM110+Data!AM111</f>
        <v>7046253</v>
      </c>
      <c r="AE111" s="16" t="n">
        <f aca="false">Data!AN100+Data!AN101+Data!AN102+Data!AN103+Data!AN104+Data!AN105+Data!AN106+Data!AN107+Data!AN108+Data!AN109+Data!AN110+Data!AN111</f>
        <v>8214278</v>
      </c>
      <c r="AF111" s="15" t="n">
        <f aca="false">Data!AO100+Data!AO101+Data!AO102+Data!AO103+Data!AO104+Data!AO105+Data!AO106+Data!AO107+Data!AO108+Data!AO109+Data!AO110+Data!AO111</f>
        <v>-1168027</v>
      </c>
    </row>
    <row r="112" customFormat="false" ht="15" hidden="false" customHeight="false" outlineLevel="0" collapsed="false">
      <c r="B112" s="14" t="str">
        <f aca="false">Data!B112</f>
        <v>2024-10</v>
      </c>
      <c r="C112" s="15" t="n">
        <f aca="false">Data!D101+Data!E101+Data!F101+Data!G101+Data!H101+Data!I101+Data!J101+Data!K101+Data!L101+Data!M101+Data!N101+Data!O101+Data!P101+Data!Q101+Data!R101+Data!S101+Data!D102+Data!E102+Data!F102+Data!G102+Data!H102+Data!I102+Data!J102+Data!K102+Data!L102+Data!M102+Data!N102+Data!O102+Data!P102+Data!Q102+Data!R102+Data!S102+Data!D103+Data!E103+Data!F103+Data!G103+Data!H103+Data!I103+Data!J103+Data!K103+Data!L103+Data!M103+Data!N103+Data!O103+Data!P103+Data!Q103+Data!R103+Data!S103+Data!D104+Data!E104+Data!F104+Data!G104+Data!H104+Data!I104+Data!J104+Data!K104+Data!L104+Data!M104+Data!N104+Data!O104+Data!P104+Data!Q104+Data!R104+Data!S104+Data!D105+Data!E105+Data!F105+Data!G105+Data!H105+Data!I105+Data!J105+Data!K105+Data!L105+Data!M105+Data!N105+Data!O105+Data!P105+Data!Q105+Data!R105+Data!S105+Data!D106+Data!E106+Data!F106+Data!G106+Data!H106+Data!I106+Data!J106+Data!K106+Data!L106+Data!M106+Data!N106+Data!O106+Data!P106+Data!Q106+Data!R106+Data!S106+Data!D107+Data!E107+Data!F107+Data!G107+Data!H107+Data!I107+Data!J107+Data!K107+Data!L107+Data!M107+Data!N107+Data!O107+Data!P107+Data!Q107+Data!R107+Data!S107+Data!D108+Data!E108+Data!F108+Data!G108+Data!H108+Data!I108+Data!J108+Data!K108+Data!L108+Data!M108+Data!N108+Data!O108+Data!P108+Data!Q108+Data!R108+Data!S108+Data!D109+Data!E109+Data!F109+Data!G109+Data!H109+Data!I109+Data!J109+Data!K109+Data!L109+Data!M109+Data!N109+Data!O109+Data!P109+Data!Q109+Data!R109+Data!S109+Data!D110+Data!E110+Data!F110+Data!G110+Data!H110+Data!I110+Data!J110+Data!K110+Data!L110+Data!M110+Data!N110+Data!O110+Data!P110+Data!Q110+Data!R110+Data!S110+Data!D111+Data!E111+Data!F111+Data!G111+Data!H111+Data!I111+Data!J111+Data!K111+Data!L111+Data!M111+Data!N111+Data!O111+Data!P111+Data!Q111+Data!R111+Data!S111+Data!D112+Data!E112+Data!F112+Data!G112+Data!H112+Data!I112+Data!J112+Data!K112+Data!L112+Data!M112+Data!N112+Data!O112+Data!P112+Data!Q112+Data!R112+Data!S112</f>
        <v>86651170</v>
      </c>
      <c r="D112" s="16" t="n">
        <f aca="false">Data!D101+Data!E101+Data!G101+Data!H101+Data!I101+Data!J101+Data!K101+Data!L101+Data!M101+Data!D102+Data!E102+Data!G102+Data!H102+Data!I102+Data!J102+Data!K102+Data!L102+Data!M102+Data!D103+Data!E103+Data!G103+Data!H103+Data!I103+Data!J103+Data!K103+Data!L103+Data!M103+Data!D104+Data!E104+Data!G104+Data!H104+Data!I104+Data!J104+Data!K104+Data!L104+Data!M104+Data!D105+Data!E105+Data!G105+Data!H105+Data!I105+Data!J105+Data!K105+Data!L105+Data!M105+Data!D106+Data!E106+Data!G106+Data!H106+Data!I106+Data!J106+Data!K106+Data!L106+Data!M106+Data!D107+Data!E107+Data!G107+Data!H107+Data!I107+Data!J107+Data!K107+Data!L107+Data!M107+Data!D108+Data!E108+Data!G108+Data!H108+Data!I108+Data!J108+Data!K108+Data!L108+Data!M108+Data!D109+Data!E109+Data!G109+Data!H109+Data!I109+Data!J109+Data!K109+Data!L109+Data!M109+Data!D110+Data!E110+Data!G110+Data!H110+Data!I110+Data!J110+Data!K110+Data!L110+Data!M110+Data!D111+Data!E111+Data!G111+Data!H111+Data!I111+Data!J111+Data!K111+Data!L111+Data!M111+Data!D112+Data!E112+Data!G112+Data!H112+Data!I112+Data!J112+Data!K112+Data!L112+Data!M112</f>
        <v>53714483</v>
      </c>
      <c r="E112" s="16" t="n">
        <f aca="false">Data!D101+Data!D102+Data!D103+Data!D104+Data!D105+Data!D106+Data!D107+Data!D108+Data!D109+Data!D110+Data!D111+Data!D112</f>
        <v>17295340</v>
      </c>
      <c r="F112" s="16" t="n">
        <f aca="false">Data!E101+Data!E102+Data!E103+Data!E104+Data!E105+Data!E106+Data!E107+Data!E108+Data!E109+Data!E110+Data!E111+Data!E112</f>
        <v>8296461</v>
      </c>
      <c r="G112" s="16" t="n">
        <f aca="false">Data!K101+Data!K102+Data!K103+Data!K104+Data!K105+Data!K106+Data!K107+Data!K108+Data!K109+Data!K110+Data!K111+Data!K112</f>
        <v>5264760</v>
      </c>
      <c r="H112" s="16" t="n">
        <f aca="false">Data!L101+Data!L102+Data!L103+Data!L104+Data!L105+Data!L106+Data!L107+Data!L108+Data!L109+Data!L110+Data!L111+Data!L112</f>
        <v>2728894</v>
      </c>
      <c r="I112" s="16" t="n">
        <f aca="false">Data!G101+Data!G102+Data!G103+Data!G104+Data!G105+Data!G106+Data!G107+Data!G108+Data!G109+Data!G110+Data!G111+Data!G112</f>
        <v>8051622</v>
      </c>
      <c r="J112" s="16" t="n">
        <f aca="false">Data!H101+Data!I101+Data!J101+Data!M101+Data!H102+Data!I102+Data!J102+Data!M102+Data!H103+Data!I103+Data!J103+Data!M103+Data!H104+Data!I104+Data!J104+Data!M104+Data!H105+Data!I105+Data!J105+Data!M105+Data!H106+Data!I106+Data!J106+Data!M106+Data!H107+Data!I107+Data!J107+Data!M107+Data!H108+Data!I108+Data!J108+Data!M108+Data!H109+Data!I109+Data!J109+Data!M109+Data!H110+Data!I110+Data!J110+Data!M110+Data!H111+Data!I111+Data!J111+Data!M111+Data!H112+Data!I112+Data!J112+Data!M112</f>
        <v>12077406</v>
      </c>
      <c r="K112" s="16" t="n">
        <f aca="false">Data!F101+Data!F102+Data!F103+Data!F104+Data!F105+Data!F106+Data!F107+Data!F108+Data!F109+Data!F110+Data!F111+Data!F112</f>
        <v>25529646</v>
      </c>
      <c r="L112" s="16" t="n">
        <f aca="false">Data!N101+Data!O101+Data!P101+Data!Q101+Data!R101+Data!S101+Data!N102+Data!O102+Data!P102+Data!Q102+Data!R102+Data!S102+Data!N103+Data!O103+Data!P103+Data!Q103+Data!R103+Data!S103+Data!N104+Data!O104+Data!P104+Data!Q104+Data!R104+Data!S104+Data!N105+Data!O105+Data!P105+Data!Q105+Data!R105+Data!S105+Data!N106+Data!O106+Data!P106+Data!Q106+Data!R106+Data!S106+Data!N107+Data!O107+Data!P107+Data!Q107+Data!R107+Data!S107+Data!N108+Data!O108+Data!P108+Data!Q108+Data!R108+Data!S108+Data!N109+Data!O109+Data!P109+Data!Q109+Data!R109+Data!S109+Data!N110+Data!O110+Data!P110+Data!Q110+Data!R110+Data!S110+Data!N111+Data!O111+Data!P111+Data!Q111+Data!R111+Data!S111+Data!N112+Data!O112+Data!P112+Data!Q112+Data!R112+Data!S112</f>
        <v>7407041</v>
      </c>
      <c r="M112" s="15" t="n">
        <f aca="false">Data!T101+Data!U101+Data!V101+Data!W101+Data!X101+Data!Y101+Data!Z101+Data!AA101+Data!AB101+Data!AC101+Data!AD101+Data!AE101+Data!AF101+Data!AG101+Data!AH101+Data!AI101+Data!AJ101+Data!AK101+Data!AL101+Data!T102+Data!U102+Data!V102+Data!W102+Data!X102+Data!Y102+Data!Z102+Data!AA102+Data!AB102+Data!AC102+Data!AD102+Data!AE102+Data!AF102+Data!AG102+Data!AH102+Data!AI102+Data!AJ102+Data!AK102+Data!AL102+Data!T103+Data!U103+Data!V103+Data!W103+Data!X103+Data!Y103+Data!Z103+Data!AA103+Data!AB103+Data!AC103+Data!AD103+Data!AE103+Data!AF103+Data!AG103+Data!AH103+Data!AI103+Data!AJ103+Data!AK103+Data!AL103+Data!T104+Data!U104+Data!V104+Data!W104+Data!X104+Data!Y104+Data!Z104+Data!AA104+Data!AB104+Data!AC104+Data!AD104+Data!AE104+Data!AF104+Data!AG104+Data!AH104+Data!AI104+Data!AJ104+Data!AK104+Data!AL104+Data!T105+Data!U105+Data!V105+Data!W105+Data!X105+Data!Y105+Data!Z105+Data!AA105+Data!AB105+Data!AC105+Data!AD105+Data!AE105+Data!AF105+Data!AG105+Data!AH105+Data!AI105+Data!AJ105+Data!AK105+Data!AL105+Data!T106+Data!U106+Data!V106+Data!W106+Data!X106+Data!Y106+Data!Z106+Data!AA106+Data!AB106+Data!AC106+Data!AD106+Data!AE106+Data!AF106+Data!AG106+Data!AH106+Data!AI106+Data!AJ106+Data!AK106+Data!AL106+Data!T107+Data!U107+Data!V107+Data!W107+Data!X107+Data!Y107+Data!Z107+Data!AA107+Data!AB107+Data!AC107+Data!AD107+Data!AE107+Data!AF107+Data!AG107+Data!AH107+Data!AI107+Data!AJ107+Data!AK107+Data!AL107+Data!T108+Data!U108+Data!V108+Data!W108+Data!X108+Data!Y108+Data!Z108+Data!AA108+Data!AB108+Data!AC108+Data!AD108+Data!AE108+Data!AF108+Data!AG108+Data!AH108+Data!AI108+Data!AJ108+Data!AK108+Data!AL108+Data!T109+Data!U109+Data!V109+Data!W109+Data!X109+Data!Y109+Data!Z109+Data!AA109+Data!AB109+Data!AC109+Data!AD109+Data!AE109+Data!AF109+Data!AG109+Data!AH109+Data!AI109+Data!AJ109+Data!AK109+Data!AL109+Data!T110+Data!U110+Data!V110+Data!W110+Data!X110+Data!Y110+Data!Z110+Data!AA110+Data!AB110+Data!AC110+Data!AD110+Data!AE110+Data!AF110+Data!AG110+Data!AH110+Data!AI110+Data!AJ110+Data!AK110+Data!AL110+Data!T111+Data!U111+Data!V111+Data!W111+Data!X111+Data!Y111+Data!Z111+Data!AA111+Data!AB111+Data!AC111+Data!AD111+Data!AE111+Data!AF111+Data!AG111+Data!AH111+Data!AI111+Data!AJ111+Data!AK111+Data!AL111+Data!T112+Data!U112+Data!V112+Data!W112+Data!X112+Data!Y112+Data!Z112+Data!AA112+Data!AB112+Data!AC112+Data!AD112+Data!AE112+Data!AF112+Data!AG112+Data!AH112+Data!AI112+Data!AJ112+Data!AK112+Data!AL112</f>
        <v>78527658</v>
      </c>
      <c r="N112" s="16" t="n">
        <f aca="false">Data!T101+Data!U101+Data!V101+Data!W101+Data!T102+Data!U102+Data!V102+Data!W102+Data!T103+Data!U103+Data!V103+Data!W103+Data!T104+Data!U104+Data!V104+Data!W104+Data!T105+Data!U105+Data!V105+Data!W105+Data!T106+Data!U106+Data!V106+Data!W106+Data!T107+Data!U107+Data!V107+Data!W107+Data!T108+Data!U108+Data!V108+Data!W108+Data!T109+Data!U109+Data!V109+Data!W109+Data!T110+Data!U110+Data!V110+Data!W110+Data!T111+Data!U111+Data!V111+Data!W111+Data!T112+Data!U112+Data!V112+Data!W112</f>
        <v>39801674</v>
      </c>
      <c r="O112" s="16" t="n">
        <f aca="false">Data!T101+Data!T102+Data!T103+Data!T104+Data!T105+Data!T106+Data!T107+Data!T108+Data!T109+Data!T110+Data!T111+Data!T112</f>
        <v>27675976</v>
      </c>
      <c r="P112" s="16" t="n">
        <f aca="false">Data!U101+Data!U102+Data!U103+Data!U104+Data!U105+Data!U106+Data!U107+Data!U108+Data!U109+Data!U110+Data!U111+Data!U112</f>
        <v>4753638</v>
      </c>
      <c r="Q112" s="16" t="n">
        <f aca="false">Data!V101+Data!V102+Data!V103+Data!V104+Data!V105+Data!V106+Data!V107+Data!V108+Data!V109+Data!V110+Data!V111+Data!V112</f>
        <v>2599351</v>
      </c>
      <c r="R112" s="16" t="n">
        <f aca="false">Data!W101+Data!W102+Data!W103+Data!W104+Data!W105+Data!W106+Data!W107+Data!W108+Data!W109+Data!W110+Data!W111+Data!W112</f>
        <v>4772709</v>
      </c>
      <c r="S112" s="16" t="n">
        <f aca="false">Data!X101+Data!X102+Data!X103+Data!X104+Data!X105+Data!X106+Data!X107+Data!X108+Data!X109+Data!X110+Data!X111+Data!X112</f>
        <v>8214031</v>
      </c>
      <c r="T112" s="16" t="n">
        <f aca="false">Data!Y101+Data!Z101+Data!AA101+Data!Y102+Data!Z102+Data!AA102+Data!Y103+Data!Z103+Data!AA103+Data!Y104+Data!Z104+Data!AA104+Data!Y105+Data!Z105+Data!AA105+Data!Y106+Data!Z106+Data!AA106+Data!Y107+Data!Z107+Data!AA107+Data!Y108+Data!Z108+Data!AA108+Data!Y109+Data!Z109+Data!AA109+Data!Y110+Data!Z110+Data!AA110+Data!Y111+Data!Z111+Data!AA111+Data!Y112+Data!Z112+Data!AA112</f>
        <v>8293182</v>
      </c>
      <c r="U112" s="16" t="n">
        <f aca="false">Data!Y101+Data!Y102+Data!Y103+Data!Y104+Data!Y105+Data!Y106+Data!Y107+Data!Y108+Data!Y109+Data!Y110+Data!Y111+Data!Y112</f>
        <v>6161171</v>
      </c>
      <c r="V112" s="16" t="n">
        <f aca="false">Data!Z101+Data!Z102+Data!Z103+Data!Z104+Data!Z105+Data!Z106+Data!Z107+Data!Z108+Data!Z109+Data!Z110+Data!Z111+Data!Z112</f>
        <v>1952738</v>
      </c>
      <c r="W112" s="16" t="n">
        <f aca="false">Data!AB101+Data!AB102+Data!AB103+Data!AB104+Data!AB105+Data!AB106+Data!AB107+Data!AB108+Data!AB109+Data!AB110+Data!AB111+Data!AB112</f>
        <v>11380421</v>
      </c>
      <c r="X112" s="16" t="n">
        <f aca="false">Data!AC101+Data!AC102+Data!AC103+Data!AC104+Data!AC105+Data!AC106+Data!AC107+Data!AC108+Data!AC109+Data!AC110+Data!AC111+Data!AC112</f>
        <v>2563087</v>
      </c>
      <c r="Y112" s="16" t="n">
        <f aca="false">Data!AD101+Data!AE101+Data!AF101+Data!AG101+Data!AH101+Data!AD102+Data!AE102+Data!AF102+Data!AG102+Data!AH102+Data!AD103+Data!AE103+Data!AF103+Data!AG103+Data!AH103+Data!AD104+Data!AE104+Data!AF104+Data!AG104+Data!AH104+Data!AD105+Data!AE105+Data!AF105+Data!AG105+Data!AH105+Data!AD106+Data!AE106+Data!AF106+Data!AG106+Data!AH106+Data!AD107+Data!AE107+Data!AF107+Data!AG107+Data!AH107+Data!AD108+Data!AE108+Data!AF108+Data!AG108+Data!AH108+Data!AD109+Data!AE109+Data!AF109+Data!AG109+Data!AH109+Data!AD110+Data!AE110+Data!AF110+Data!AG110+Data!AH110+Data!AD111+Data!AE111+Data!AF111+Data!AG111+Data!AH111+Data!AD112+Data!AE112+Data!AF112+Data!AG112+Data!AH112</f>
        <v>1564773</v>
      </c>
      <c r="Z112" s="16" t="n">
        <f aca="false">Data!AI101+Data!AI102+Data!AI103+Data!AI104+Data!AI105+Data!AI106+Data!AI107+Data!AI108+Data!AI109+Data!AI110+Data!AI111+Data!AI112</f>
        <v>2996485</v>
      </c>
      <c r="AA112" s="16" t="n">
        <f aca="false">Data!AJ101+Data!AJ102+Data!AJ103+Data!AJ104+Data!AJ105+Data!AJ106+Data!AJ107+Data!AJ108+Data!AJ109+Data!AJ110+Data!AJ111+Data!AJ112</f>
        <v>0</v>
      </c>
      <c r="AB112" s="16" t="n">
        <f aca="false">Data!AK101+Data!AK102+Data!AK103+Data!AK104+Data!AK105+Data!AK106+Data!AK107+Data!AK108+Data!AK109+Data!AK110+Data!AK111+Data!AK112</f>
        <v>1159715</v>
      </c>
      <c r="AC112" s="16" t="n">
        <f aca="false">Data!AL101+Data!AL102+Data!AL103+Data!AL104+Data!AL105+Data!AL106+Data!AL107+Data!AL108+Data!AL109+Data!AL110+Data!AL111+Data!AL112</f>
        <v>2554290</v>
      </c>
      <c r="AD112" s="15" t="n">
        <f aca="false">Data!AM101+Data!AM102+Data!AM103+Data!AM104+Data!AM105+Data!AM106+Data!AM107+Data!AM108+Data!AM109+Data!AM110+Data!AM111+Data!AM112</f>
        <v>8123512</v>
      </c>
      <c r="AE112" s="16" t="n">
        <f aca="false">Data!AN101+Data!AN102+Data!AN103+Data!AN104+Data!AN105+Data!AN106+Data!AN107+Data!AN108+Data!AN109+Data!AN110+Data!AN111+Data!AN112</f>
        <v>8313890</v>
      </c>
      <c r="AF112" s="15" t="n">
        <f aca="false">Data!AO101+Data!AO102+Data!AO103+Data!AO104+Data!AO105+Data!AO106+Data!AO107+Data!AO108+Data!AO109+Data!AO110+Data!AO111+Data!AO112</f>
        <v>-190380</v>
      </c>
    </row>
    <row r="113" customFormat="false" ht="15" hidden="false" customHeight="false" outlineLevel="0" collapsed="false">
      <c r="B113" s="14" t="str">
        <f aca="false">Data!B113</f>
        <v>2024-11</v>
      </c>
      <c r="C113" s="15" t="n">
        <f aca="false">Data!D102+Data!E102+Data!F102+Data!G102+Data!H102+Data!I102+Data!J102+Data!K102+Data!L102+Data!M102+Data!N102+Data!O102+Data!P102+Data!Q102+Data!R102+Data!S102+Data!D103+Data!E103+Data!F103+Data!G103+Data!H103+Data!I103+Data!J103+Data!K103+Data!L103+Data!M103+Data!N103+Data!O103+Data!P103+Data!Q103+Data!R103+Data!S103+Data!D104+Data!E104+Data!F104+Data!G104+Data!H104+Data!I104+Data!J104+Data!K104+Data!L104+Data!M104+Data!N104+Data!O104+Data!P104+Data!Q104+Data!R104+Data!S104+Data!D105+Data!E105+Data!F105+Data!G105+Data!H105+Data!I105+Data!J105+Data!K105+Data!L105+Data!M105+Data!N105+Data!O105+Data!P105+Data!Q105+Data!R105+Data!S105+Data!D106+Data!E106+Data!F106+Data!G106+Data!H106+Data!I106+Data!J106+Data!K106+Data!L106+Data!M106+Data!N106+Data!O106+Data!P106+Data!Q106+Data!R106+Data!S106+Data!D107+Data!E107+Data!F107+Data!G107+Data!H107+Data!I107+Data!J107+Data!K107+Data!L107+Data!M107+Data!N107+Data!O107+Data!P107+Data!Q107+Data!R107+Data!S107+Data!D108+Data!E108+Data!F108+Data!G108+Data!H108+Data!I108+Data!J108+Data!K108+Data!L108+Data!M108+Data!N108+Data!O108+Data!P108+Data!Q108+Data!R108+Data!S108+Data!D109+Data!E109+Data!F109+Data!G109+Data!H109+Data!I109+Data!J109+Data!K109+Data!L109+Data!M109+Data!N109+Data!O109+Data!P109+Data!Q109+Data!R109+Data!S109+Data!D110+Data!E110+Data!F110+Data!G110+Data!H110+Data!I110+Data!J110+Data!K110+Data!L110+Data!M110+Data!N110+Data!O110+Data!P110+Data!Q110+Data!R110+Data!S110+Data!D111+Data!E111+Data!F111+Data!G111+Data!H111+Data!I111+Data!J111+Data!K111+Data!L111+Data!M111+Data!N111+Data!O111+Data!P111+Data!Q111+Data!R111+Data!S111+Data!D112+Data!E112+Data!F112+Data!G112+Data!H112+Data!I112+Data!J112+Data!K112+Data!L112+Data!M112+Data!N112+Data!O112+Data!P112+Data!Q112+Data!R112+Data!S112+Data!D113+Data!E113+Data!F113+Data!G113+Data!H113+Data!I113+Data!J113+Data!K113+Data!L113+Data!M113+Data!N113+Data!O113+Data!P113+Data!Q113+Data!R113+Data!S113</f>
        <v>92374509</v>
      </c>
      <c r="D113" s="16" t="n">
        <f aca="false">Data!D102+Data!E102+Data!G102+Data!H102+Data!I102+Data!J102+Data!K102+Data!L102+Data!M102+Data!D103+Data!E103+Data!G103+Data!H103+Data!I103+Data!J103+Data!K103+Data!L103+Data!M103+Data!D104+Data!E104+Data!G104+Data!H104+Data!I104+Data!J104+Data!K104+Data!L104+Data!M104+Data!D105+Data!E105+Data!G105+Data!H105+Data!I105+Data!J105+Data!K105+Data!L105+Data!M105+Data!D106+Data!E106+Data!G106+Data!H106+Data!I106+Data!J106+Data!K106+Data!L106+Data!M106+Data!D107+Data!E107+Data!G107+Data!H107+Data!I107+Data!J107+Data!K107+Data!L107+Data!M107+Data!D108+Data!E108+Data!G108+Data!H108+Data!I108+Data!J108+Data!K108+Data!L108+Data!M108+Data!D109+Data!E109+Data!G109+Data!H109+Data!I109+Data!J109+Data!K109+Data!L109+Data!M109+Data!D110+Data!E110+Data!G110+Data!H110+Data!I110+Data!J110+Data!K110+Data!L110+Data!M110+Data!D111+Data!E111+Data!G111+Data!H111+Data!I111+Data!J111+Data!K111+Data!L111+Data!M111+Data!D112+Data!E112+Data!G112+Data!H112+Data!I112+Data!J112+Data!K112+Data!L112+Data!M112+Data!D113+Data!E113+Data!G113+Data!H113+Data!I113+Data!J113+Data!K113+Data!L113+Data!M113</f>
        <v>57516211</v>
      </c>
      <c r="E113" s="16" t="n">
        <f aca="false">Data!D102+Data!D103+Data!D104+Data!D105+Data!D106+Data!D107+Data!D108+Data!D109+Data!D110+Data!D111+Data!D112+Data!D113</f>
        <v>18481362</v>
      </c>
      <c r="F113" s="16" t="n">
        <f aca="false">Data!E102+Data!E103+Data!E104+Data!E105+Data!E106+Data!E107+Data!E108+Data!E109+Data!E110+Data!E111+Data!E112+Data!E113</f>
        <v>8902648</v>
      </c>
      <c r="G113" s="16" t="n">
        <f aca="false">Data!K102+Data!K103+Data!K104+Data!K105+Data!K106+Data!K107+Data!K108+Data!K109+Data!K110+Data!K111+Data!K112+Data!K113</f>
        <v>5726891</v>
      </c>
      <c r="H113" s="16" t="n">
        <f aca="false">Data!L102+Data!L103+Data!L104+Data!L105+Data!L106+Data!L107+Data!L108+Data!L109+Data!L110+Data!L111+Data!L112+Data!L113</f>
        <v>2948375</v>
      </c>
      <c r="I113" s="16" t="n">
        <f aca="false">Data!G102+Data!G103+Data!G104+Data!G105+Data!G106+Data!G107+Data!G108+Data!G109+Data!G110+Data!G111+Data!G112+Data!G113</f>
        <v>8661263</v>
      </c>
      <c r="J113" s="16" t="n">
        <f aca="false">Data!H102+Data!I102+Data!J102+Data!M102+Data!H103+Data!I103+Data!J103+Data!M103+Data!H104+Data!I104+Data!J104+Data!M104+Data!H105+Data!I105+Data!J105+Data!M105+Data!H106+Data!I106+Data!J106+Data!M106+Data!H107+Data!I107+Data!J107+Data!M107+Data!H108+Data!I108+Data!J108+Data!M108+Data!H109+Data!I109+Data!J109+Data!M109+Data!H110+Data!I110+Data!J110+Data!M110+Data!H111+Data!I111+Data!J111+Data!M111+Data!H112+Data!I112+Data!J112+Data!M112+Data!H113+Data!I113+Data!J113+Data!M113</f>
        <v>12795672</v>
      </c>
      <c r="K113" s="16" t="n">
        <f aca="false">Data!F102+Data!F103+Data!F104+Data!F105+Data!F106+Data!F107+Data!F108+Data!F109+Data!F110+Data!F111+Data!F112+Data!F113</f>
        <v>27495149</v>
      </c>
      <c r="L113" s="16" t="n">
        <f aca="false">Data!N102+Data!O102+Data!P102+Data!Q102+Data!R102+Data!S102+Data!N103+Data!O103+Data!P103+Data!Q103+Data!R103+Data!S103+Data!N104+Data!O104+Data!P104+Data!Q104+Data!R104+Data!S104+Data!N105+Data!O105+Data!P105+Data!Q105+Data!R105+Data!S105+Data!N106+Data!O106+Data!P106+Data!Q106+Data!R106+Data!S106+Data!N107+Data!O107+Data!P107+Data!Q107+Data!R107+Data!S107+Data!N108+Data!O108+Data!P108+Data!Q108+Data!R108+Data!S108+Data!N109+Data!O109+Data!P109+Data!Q109+Data!R109+Data!S109+Data!N110+Data!O110+Data!P110+Data!Q110+Data!R110+Data!S110+Data!N111+Data!O111+Data!P111+Data!Q111+Data!R111+Data!S111+Data!N112+Data!O112+Data!P112+Data!Q112+Data!R112+Data!S112+Data!N113+Data!O113+Data!P113+Data!Q113+Data!R113+Data!S113</f>
        <v>7363149</v>
      </c>
      <c r="M113" s="15" t="n">
        <f aca="false">Data!T102+Data!U102+Data!V102+Data!W102+Data!X102+Data!Y102+Data!Z102+Data!AA102+Data!AB102+Data!AC102+Data!AD102+Data!AE102+Data!AF102+Data!AG102+Data!AH102+Data!AI102+Data!AJ102+Data!AK102+Data!AL102+Data!T103+Data!U103+Data!V103+Data!W103+Data!X103+Data!Y103+Data!Z103+Data!AA103+Data!AB103+Data!AC103+Data!AD103+Data!AE103+Data!AF103+Data!AG103+Data!AH103+Data!AI103+Data!AJ103+Data!AK103+Data!AL103+Data!T104+Data!U104+Data!V104+Data!W104+Data!X104+Data!Y104+Data!Z104+Data!AA104+Data!AB104+Data!AC104+Data!AD104+Data!AE104+Data!AF104+Data!AG104+Data!AH104+Data!AI104+Data!AJ104+Data!AK104+Data!AL104+Data!T105+Data!U105+Data!V105+Data!W105+Data!X105+Data!Y105+Data!Z105+Data!AA105+Data!AB105+Data!AC105+Data!AD105+Data!AE105+Data!AF105+Data!AG105+Data!AH105+Data!AI105+Data!AJ105+Data!AK105+Data!AL105+Data!T106+Data!U106+Data!V106+Data!W106+Data!X106+Data!Y106+Data!Z106+Data!AA106+Data!AB106+Data!AC106+Data!AD106+Data!AE106+Data!AF106+Data!AG106+Data!AH106+Data!AI106+Data!AJ106+Data!AK106+Data!AL106+Data!T107+Data!U107+Data!V107+Data!W107+Data!X107+Data!Y107+Data!Z107+Data!AA107+Data!AB107+Data!AC107+Data!AD107+Data!AE107+Data!AF107+Data!AG107+Data!AH107+Data!AI107+Data!AJ107+Data!AK107+Data!AL107+Data!T108+Data!U108+Data!V108+Data!W108+Data!X108+Data!Y108+Data!Z108+Data!AA108+Data!AB108+Data!AC108+Data!AD108+Data!AE108+Data!AF108+Data!AG108+Data!AH108+Data!AI108+Data!AJ108+Data!AK108+Data!AL108+Data!T109+Data!U109+Data!V109+Data!W109+Data!X109+Data!Y109+Data!Z109+Data!AA109+Data!AB109+Data!AC109+Data!AD109+Data!AE109+Data!AF109+Data!AG109+Data!AH109+Data!AI109+Data!AJ109+Data!AK109+Data!AL109+Data!T110+Data!U110+Data!V110+Data!W110+Data!X110+Data!Y110+Data!Z110+Data!AA110+Data!AB110+Data!AC110+Data!AD110+Data!AE110+Data!AF110+Data!AG110+Data!AH110+Data!AI110+Data!AJ110+Data!AK110+Data!AL110+Data!T111+Data!U111+Data!V111+Data!W111+Data!X111+Data!Y111+Data!Z111+Data!AA111+Data!AB111+Data!AC111+Data!AD111+Data!AE111+Data!AF111+Data!AG111+Data!AH111+Data!AI111+Data!AJ111+Data!AK111+Data!AL111+Data!T112+Data!U112+Data!V112+Data!W112+Data!X112+Data!Y112+Data!Z112+Data!AA112+Data!AB112+Data!AC112+Data!AD112+Data!AE112+Data!AF112+Data!AG112+Data!AH112+Data!AI112+Data!AJ112+Data!AK112+Data!AL112+Data!T113+Data!U113+Data!V113+Data!W113+Data!X113+Data!Y113+Data!Z113+Data!AA113+Data!AB113+Data!AC113+Data!AD113+Data!AE113+Data!AF113+Data!AG113+Data!AH113+Data!AI113+Data!AJ113+Data!AK113+Data!AL113</f>
        <v>82658968</v>
      </c>
      <c r="N113" s="16" t="n">
        <f aca="false">Data!T102+Data!U102+Data!V102+Data!W102+Data!T103+Data!U103+Data!V103+Data!W103+Data!T104+Data!U104+Data!V104+Data!W104+Data!T105+Data!U105+Data!V105+Data!W105+Data!T106+Data!U106+Data!V106+Data!W106+Data!T107+Data!U107+Data!V107+Data!W107+Data!T108+Data!U108+Data!V108+Data!W108+Data!T109+Data!U109+Data!V109+Data!W109+Data!T110+Data!U110+Data!V110+Data!W110+Data!T111+Data!U111+Data!V111+Data!W111+Data!T112+Data!U112+Data!V112+Data!W112+Data!T113+Data!U113+Data!V113+Data!W113</f>
        <v>42896113</v>
      </c>
      <c r="O113" s="16" t="n">
        <f aca="false">Data!T102+Data!T103+Data!T104+Data!T105+Data!T106+Data!T107+Data!T108+Data!T109+Data!T110+Data!T111+Data!T112+Data!T113</f>
        <v>29721095</v>
      </c>
      <c r="P113" s="16" t="n">
        <f aca="false">Data!U102+Data!U103+Data!U104+Data!U105+Data!U106+Data!U107+Data!U108+Data!U109+Data!U110+Data!U111+Data!U112+Data!U113</f>
        <v>5180354</v>
      </c>
      <c r="Q113" s="16" t="n">
        <f aca="false">Data!V102+Data!V103+Data!V104+Data!V105+Data!V106+Data!V107+Data!V108+Data!V109+Data!V110+Data!V111+Data!V112+Data!V113</f>
        <v>2778455</v>
      </c>
      <c r="R113" s="16" t="n">
        <f aca="false">Data!W102+Data!W103+Data!W104+Data!W105+Data!W106+Data!W107+Data!W108+Data!W109+Data!W110+Data!W111+Data!W112+Data!W113</f>
        <v>5216209</v>
      </c>
      <c r="S113" s="16" t="n">
        <f aca="false">Data!X102+Data!X103+Data!X104+Data!X105+Data!X106+Data!X107+Data!X108+Data!X109+Data!X110+Data!X111+Data!X112+Data!X113</f>
        <v>8334089</v>
      </c>
      <c r="T113" s="16" t="n">
        <f aca="false">Data!Y102+Data!Z102+Data!AA102+Data!Y103+Data!Z103+Data!AA103+Data!Y104+Data!Z104+Data!AA104+Data!Y105+Data!Z105+Data!AA105+Data!Y106+Data!Z106+Data!AA106+Data!Y107+Data!Z107+Data!AA107+Data!Y108+Data!Z108+Data!AA108+Data!Y109+Data!Z109+Data!AA109+Data!Y110+Data!Z110+Data!AA110+Data!Y111+Data!Z111+Data!AA111+Data!Y112+Data!Z112+Data!AA112+Data!Y113+Data!Z113+Data!AA113</f>
        <v>8584303</v>
      </c>
      <c r="U113" s="16" t="n">
        <f aca="false">Data!Y102+Data!Y103+Data!Y104+Data!Y105+Data!Y106+Data!Y107+Data!Y108+Data!Y109+Data!Y110+Data!Y111+Data!Y112+Data!Y113</f>
        <v>6370152</v>
      </c>
      <c r="V113" s="16" t="n">
        <f aca="false">Data!Z102+Data!Z103+Data!Z104+Data!Z105+Data!Z106+Data!Z107+Data!Z108+Data!Z109+Data!Z110+Data!Z111+Data!Z112+Data!Z113</f>
        <v>2044409</v>
      </c>
      <c r="W113" s="16" t="n">
        <f aca="false">Data!AB102+Data!AB103+Data!AB104+Data!AB105+Data!AB106+Data!AB107+Data!AB108+Data!AB109+Data!AB110+Data!AB111+Data!AB112+Data!AB113</f>
        <v>11971808</v>
      </c>
      <c r="X113" s="16" t="n">
        <f aca="false">Data!AC102+Data!AC103+Data!AC104+Data!AC105+Data!AC106+Data!AC107+Data!AC108+Data!AC109+Data!AC110+Data!AC111+Data!AC112+Data!AC113</f>
        <v>2688618</v>
      </c>
      <c r="Y113" s="16" t="n">
        <f aca="false">Data!AD102+Data!AE102+Data!AF102+Data!AG102+Data!AH102+Data!AD103+Data!AE103+Data!AF103+Data!AG103+Data!AH103+Data!AD104+Data!AE104+Data!AF104+Data!AG104+Data!AH104+Data!AD105+Data!AE105+Data!AF105+Data!AG105+Data!AH105+Data!AD106+Data!AE106+Data!AF106+Data!AG106+Data!AH106+Data!AD107+Data!AE107+Data!AF107+Data!AG107+Data!AH107+Data!AD108+Data!AE108+Data!AF108+Data!AG108+Data!AH108+Data!AD109+Data!AE109+Data!AF109+Data!AG109+Data!AH109+Data!AD110+Data!AE110+Data!AF110+Data!AG110+Data!AH110+Data!AD111+Data!AE111+Data!AF111+Data!AG111+Data!AH111+Data!AD112+Data!AE112+Data!AF112+Data!AG112+Data!AH112+Data!AD113+Data!AE113+Data!AF113+Data!AG113+Data!AH113</f>
        <v>1535915</v>
      </c>
      <c r="Z113" s="16" t="n">
        <f aca="false">Data!AI102+Data!AI103+Data!AI104+Data!AI105+Data!AI106+Data!AI107+Data!AI108+Data!AI109+Data!AI110+Data!AI111+Data!AI112+Data!AI113</f>
        <v>3145814</v>
      </c>
      <c r="AA113" s="16" t="n">
        <f aca="false">Data!AJ102+Data!AJ103+Data!AJ104+Data!AJ105+Data!AJ106+Data!AJ107+Data!AJ108+Data!AJ109+Data!AJ110+Data!AJ111+Data!AJ112+Data!AJ113</f>
        <v>0</v>
      </c>
      <c r="AB113" s="16" t="n">
        <f aca="false">Data!AK102+Data!AK103+Data!AK104+Data!AK105+Data!AK106+Data!AK107+Data!AK108+Data!AK109+Data!AK110+Data!AK111+Data!AK112+Data!AK113</f>
        <v>1082596</v>
      </c>
      <c r="AC113" s="16" t="n">
        <f aca="false">Data!AL102+Data!AL103+Data!AL104+Data!AL105+Data!AL106+Data!AL107+Data!AL108+Data!AL109+Data!AL110+Data!AL111+Data!AL112+Data!AL113</f>
        <v>2419712</v>
      </c>
      <c r="AD113" s="15" t="n">
        <f aca="false">Data!AM102+Data!AM103+Data!AM104+Data!AM105+Data!AM106+Data!AM107+Data!AM108+Data!AM109+Data!AM110+Data!AM111+Data!AM112+Data!AM113</f>
        <v>9715541</v>
      </c>
      <c r="AE113" s="16" t="n">
        <f aca="false">Data!AN102+Data!AN103+Data!AN104+Data!AN105+Data!AN106+Data!AN107+Data!AN108+Data!AN109+Data!AN110+Data!AN111+Data!AN112+Data!AN113</f>
        <v>8793801</v>
      </c>
      <c r="AF113" s="15" t="n">
        <f aca="false">Data!AO102+Data!AO103+Data!AO104+Data!AO105+Data!AO106+Data!AO107+Data!AO108+Data!AO109+Data!AO110+Data!AO111+Data!AO112+Data!AO113</f>
        <v>921738</v>
      </c>
    </row>
    <row r="114" customFormat="false" ht="15" hidden="false" customHeight="false" outlineLevel="0" collapsed="false">
      <c r="B114" s="14" t="str">
        <f aca="false">Data!B114</f>
        <v>2024-12</v>
      </c>
      <c r="C114" s="15" t="n">
        <f aca="false">Data!D103+Data!E103+Data!F103+Data!G103+Data!H103+Data!I103+Data!J103+Data!K103+Data!L103+Data!M103+Data!N103+Data!O103+Data!P103+Data!Q103+Data!R103+Data!S103+Data!D104+Data!E104+Data!F104+Data!G104+Data!H104+Data!I104+Data!J104+Data!K104+Data!L104+Data!M104+Data!N104+Data!O104+Data!P104+Data!Q104+Data!R104+Data!S104+Data!D105+Data!E105+Data!F105+Data!G105+Data!H105+Data!I105+Data!J105+Data!K105+Data!L105+Data!M105+Data!N105+Data!O105+Data!P105+Data!Q105+Data!R105+Data!S105+Data!D106+Data!E106+Data!F106+Data!G106+Data!H106+Data!I106+Data!J106+Data!K106+Data!L106+Data!M106+Data!N106+Data!O106+Data!P106+Data!Q106+Data!R106+Data!S106+Data!D107+Data!E107+Data!F107+Data!G107+Data!H107+Data!I107+Data!J107+Data!K107+Data!L107+Data!M107+Data!N107+Data!O107+Data!P107+Data!Q107+Data!R107+Data!S107+Data!D108+Data!E108+Data!F108+Data!G108+Data!H108+Data!I108+Data!J108+Data!K108+Data!L108+Data!M108+Data!N108+Data!O108+Data!P108+Data!Q108+Data!R108+Data!S108+Data!D109+Data!E109+Data!F109+Data!G109+Data!H109+Data!I109+Data!J109+Data!K109+Data!L109+Data!M109+Data!N109+Data!O109+Data!P109+Data!Q109+Data!R109+Data!S109+Data!D110+Data!E110+Data!F110+Data!G110+Data!H110+Data!I110+Data!J110+Data!K110+Data!L110+Data!M110+Data!N110+Data!O110+Data!P110+Data!Q110+Data!R110+Data!S110+Data!D111+Data!E111+Data!F111+Data!G111+Data!H111+Data!I111+Data!J111+Data!K111+Data!L111+Data!M111+Data!N111+Data!O111+Data!P111+Data!Q111+Data!R111+Data!S111+Data!D112+Data!E112+Data!F112+Data!G112+Data!H112+Data!I112+Data!J112+Data!K112+Data!L112+Data!M112+Data!N112+Data!O112+Data!P112+Data!Q112+Data!R112+Data!S112+Data!D113+Data!E113+Data!F113+Data!G113+Data!H113+Data!I113+Data!J113+Data!K113+Data!L113+Data!M113+Data!N113+Data!O113+Data!P113+Data!Q113+Data!R113+Data!S113+Data!D114+Data!E114+Data!F114+Data!G114+Data!H114+Data!I114+Data!J114+Data!K114+Data!L114+Data!M114+Data!N114+Data!O114+Data!P114+Data!Q114+Data!R114+Data!S114</f>
        <v>98018504</v>
      </c>
      <c r="D114" s="16" t="n">
        <f aca="false">Data!D103+Data!E103+Data!G103+Data!H103+Data!I103+Data!J103+Data!K103+Data!L103+Data!M103+Data!D104+Data!E104+Data!G104+Data!H104+Data!I104+Data!J104+Data!K104+Data!L104+Data!M104+Data!D105+Data!E105+Data!G105+Data!H105+Data!I105+Data!J105+Data!K105+Data!L105+Data!M105+Data!D106+Data!E106+Data!G106+Data!H106+Data!I106+Data!J106+Data!K106+Data!L106+Data!M106+Data!D107+Data!E107+Data!G107+Data!H107+Data!I107+Data!J107+Data!K107+Data!L107+Data!M107+Data!D108+Data!E108+Data!G108+Data!H108+Data!I108+Data!J108+Data!K108+Data!L108+Data!M108+Data!D109+Data!E109+Data!G109+Data!H109+Data!I109+Data!J109+Data!K109+Data!L109+Data!M109+Data!D110+Data!E110+Data!G110+Data!H110+Data!I110+Data!J110+Data!K110+Data!L110+Data!M110+Data!D111+Data!E111+Data!G111+Data!H111+Data!I111+Data!J111+Data!K111+Data!L111+Data!M111+Data!D112+Data!E112+Data!G112+Data!H112+Data!I112+Data!J112+Data!K112+Data!L112+Data!M112+Data!D113+Data!E113+Data!G113+Data!H113+Data!I113+Data!J113+Data!K113+Data!L113+Data!M113+Data!D114+Data!E114+Data!G114+Data!H114+Data!I114+Data!J114+Data!K114+Data!L114+Data!M114</f>
        <v>60630333</v>
      </c>
      <c r="E114" s="16" t="n">
        <f aca="false">Data!D103+Data!D104+Data!D105+Data!D106+Data!D107+Data!D108+Data!D109+Data!D110+Data!D111+Data!D112+Data!D113+Data!D114</f>
        <v>19590558</v>
      </c>
      <c r="F114" s="16" t="n">
        <f aca="false">Data!E103+Data!E104+Data!E105+Data!E106+Data!E107+Data!E108+Data!E109+Data!E110+Data!E111+Data!E112+Data!E113+Data!E114</f>
        <v>9520962</v>
      </c>
      <c r="G114" s="16" t="n">
        <f aca="false">Data!K103+Data!K104+Data!K105+Data!K106+Data!K107+Data!K108+Data!K109+Data!K110+Data!K111+Data!K112+Data!K113+Data!K114</f>
        <v>5902180</v>
      </c>
      <c r="H114" s="16" t="n">
        <f aca="false">Data!L103+Data!L104+Data!L105+Data!L106+Data!L107+Data!L108+Data!L109+Data!L110+Data!L111+Data!L112+Data!L113+Data!L114</f>
        <v>3147990</v>
      </c>
      <c r="I114" s="16" t="n">
        <f aca="false">Data!G103+Data!G104+Data!G105+Data!G106+Data!G107+Data!G108+Data!G109+Data!G110+Data!G111+Data!G112+Data!G113+Data!G114</f>
        <v>9277118</v>
      </c>
      <c r="J114" s="16" t="n">
        <f aca="false">Data!H103+Data!I103+Data!J103+Data!M103+Data!H104+Data!I104+Data!J104+Data!M104+Data!H105+Data!I105+Data!J105+Data!M105+Data!H106+Data!I106+Data!J106+Data!M106+Data!H107+Data!I107+Data!J107+Data!M107+Data!H108+Data!I108+Data!J108+Data!M108+Data!H109+Data!I109+Data!J109+Data!M109+Data!H110+Data!I110+Data!J110+Data!M110+Data!H111+Data!I111+Data!J111+Data!M111+Data!H112+Data!I112+Data!J112+Data!M112+Data!H113+Data!I113+Data!J113+Data!M113+Data!H114+Data!I114+Data!J114+Data!M114</f>
        <v>13191525</v>
      </c>
      <c r="K114" s="16" t="n">
        <f aca="false">Data!F103+Data!F104+Data!F105+Data!F106+Data!F107+Data!F108+Data!F109+Data!F110+Data!F111+Data!F112+Data!F113+Data!F114</f>
        <v>29444259</v>
      </c>
      <c r="L114" s="16" t="n">
        <f aca="false">Data!N103+Data!O103+Data!P103+Data!Q103+Data!R103+Data!S103+Data!N104+Data!O104+Data!P104+Data!Q104+Data!R104+Data!S104+Data!N105+Data!O105+Data!P105+Data!Q105+Data!R105+Data!S105+Data!N106+Data!O106+Data!P106+Data!Q106+Data!R106+Data!S106+Data!N107+Data!O107+Data!P107+Data!Q107+Data!R107+Data!S107+Data!N108+Data!O108+Data!P108+Data!Q108+Data!R108+Data!S108+Data!N109+Data!O109+Data!P109+Data!Q109+Data!R109+Data!S109+Data!N110+Data!O110+Data!P110+Data!Q110+Data!R110+Data!S110+Data!N111+Data!O111+Data!P111+Data!Q111+Data!R111+Data!S111+Data!N112+Data!O112+Data!P112+Data!Q112+Data!R112+Data!S112+Data!N113+Data!O113+Data!P113+Data!Q113+Data!R113+Data!S113+Data!N114+Data!O114+Data!P114+Data!Q114+Data!R114+Data!S114</f>
        <v>7943912</v>
      </c>
      <c r="M114" s="15" t="n">
        <f aca="false">Data!T103+Data!U103+Data!V103+Data!W103+Data!X103+Data!Y103+Data!Z103+Data!AA103+Data!AB103+Data!AC103+Data!AD103+Data!AE103+Data!AF103+Data!AG103+Data!AH103+Data!AI103+Data!AJ103+Data!AK103+Data!AL103+Data!T104+Data!U104+Data!V104+Data!W104+Data!X104+Data!Y104+Data!Z104+Data!AA104+Data!AB104+Data!AC104+Data!AD104+Data!AE104+Data!AF104+Data!AG104+Data!AH104+Data!AI104+Data!AJ104+Data!AK104+Data!AL104+Data!T105+Data!U105+Data!V105+Data!W105+Data!X105+Data!Y105+Data!Z105+Data!AA105+Data!AB105+Data!AC105+Data!AD105+Data!AE105+Data!AF105+Data!AG105+Data!AH105+Data!AI105+Data!AJ105+Data!AK105+Data!AL105+Data!T106+Data!U106+Data!V106+Data!W106+Data!X106+Data!Y106+Data!Z106+Data!AA106+Data!AB106+Data!AC106+Data!AD106+Data!AE106+Data!AF106+Data!AG106+Data!AH106+Data!AI106+Data!AJ106+Data!AK106+Data!AL106+Data!T107+Data!U107+Data!V107+Data!W107+Data!X107+Data!Y107+Data!Z107+Data!AA107+Data!AB107+Data!AC107+Data!AD107+Data!AE107+Data!AF107+Data!AG107+Data!AH107+Data!AI107+Data!AJ107+Data!AK107+Data!AL107+Data!T108+Data!U108+Data!V108+Data!W108+Data!X108+Data!Y108+Data!Z108+Data!AA108+Data!AB108+Data!AC108+Data!AD108+Data!AE108+Data!AF108+Data!AG108+Data!AH108+Data!AI108+Data!AJ108+Data!AK108+Data!AL108+Data!T109+Data!U109+Data!V109+Data!W109+Data!X109+Data!Y109+Data!Z109+Data!AA109+Data!AB109+Data!AC109+Data!AD109+Data!AE109+Data!AF109+Data!AG109+Data!AH109+Data!AI109+Data!AJ109+Data!AK109+Data!AL109+Data!T110+Data!U110+Data!V110+Data!W110+Data!X110+Data!Y110+Data!Z110+Data!AA110+Data!AB110+Data!AC110+Data!AD110+Data!AE110+Data!AF110+Data!AG110+Data!AH110+Data!AI110+Data!AJ110+Data!AK110+Data!AL110+Data!T111+Data!U111+Data!V111+Data!W111+Data!X111+Data!Y111+Data!Z111+Data!AA111+Data!AB111+Data!AC111+Data!AD111+Data!AE111+Data!AF111+Data!AG111+Data!AH111+Data!AI111+Data!AJ111+Data!AK111+Data!AL111+Data!T112+Data!U112+Data!V112+Data!W112+Data!X112+Data!Y112+Data!Z112+Data!AA112+Data!AB112+Data!AC112+Data!AD112+Data!AE112+Data!AF112+Data!AG112+Data!AH112+Data!AI112+Data!AJ112+Data!AK112+Data!AL112+Data!T113+Data!U113+Data!V113+Data!W113+Data!X113+Data!Y113+Data!Z113+Data!AA113+Data!AB113+Data!AC113+Data!AD113+Data!AE113+Data!AF113+Data!AG113+Data!AH113+Data!AI113+Data!AJ113+Data!AK113+Data!AL113+Data!T114+Data!U114+Data!V114+Data!W114+Data!X114+Data!Y114+Data!Z114+Data!AA114+Data!AB114+Data!AC114+Data!AD114+Data!AE114+Data!AF114+Data!AG114+Data!AH114+Data!AI114+Data!AJ114+Data!AK114+Data!AL114</f>
        <v>87612693</v>
      </c>
      <c r="N114" s="16" t="n">
        <f aca="false">Data!T103+Data!U103+Data!V103+Data!W103+Data!T104+Data!U104+Data!V104+Data!W104+Data!T105+Data!U105+Data!V105+Data!W105+Data!T106+Data!U106+Data!V106+Data!W106+Data!T107+Data!U107+Data!V107+Data!W107+Data!T108+Data!U108+Data!V108+Data!W108+Data!T109+Data!U109+Data!V109+Data!W109+Data!T110+Data!U110+Data!V110+Data!W110+Data!T111+Data!U111+Data!V111+Data!W111+Data!T112+Data!U112+Data!V112+Data!W112+Data!T113+Data!U113+Data!V113+Data!W113+Data!T114+Data!U114+Data!V114+Data!W114</f>
        <v>46776549</v>
      </c>
      <c r="O114" s="16" t="n">
        <f aca="false">Data!T103+Data!T104+Data!T105+Data!T106+Data!T107+Data!T108+Data!T109+Data!T110+Data!T111+Data!T112+Data!T113+Data!T114</f>
        <v>32654891</v>
      </c>
      <c r="P114" s="16" t="n">
        <f aca="false">Data!U103+Data!U104+Data!U105+Data!U106+Data!U107+Data!U108+Data!U109+Data!U110+Data!U111+Data!U112+Data!U113+Data!U114</f>
        <v>5600997</v>
      </c>
      <c r="Q114" s="16" t="n">
        <f aca="false">Data!V103+Data!V104+Data!V105+Data!V106+Data!V107+Data!V108+Data!V109+Data!V110+Data!V111+Data!V112+Data!V113+Data!V114</f>
        <v>3078278</v>
      </c>
      <c r="R114" s="16" t="n">
        <f aca="false">Data!W103+Data!W104+Data!W105+Data!W106+Data!W107+Data!W108+Data!W109+Data!W110+Data!W111+Data!W112+Data!W113+Data!W114</f>
        <v>5442383</v>
      </c>
      <c r="S114" s="16" t="n">
        <f aca="false">Data!X103+Data!X104+Data!X105+Data!X106+Data!X107+Data!X108+Data!X109+Data!X110+Data!X111+Data!X112+Data!X113+Data!X114</f>
        <v>8559466</v>
      </c>
      <c r="T114" s="16" t="n">
        <f aca="false">Data!Y103+Data!Z103+Data!AA103+Data!Y104+Data!Z104+Data!AA104+Data!Y105+Data!Z105+Data!AA105+Data!Y106+Data!Z106+Data!AA106+Data!Y107+Data!Z107+Data!AA107+Data!Y108+Data!Z108+Data!AA108+Data!Y109+Data!Z109+Data!AA109+Data!Y110+Data!Z110+Data!AA110+Data!Y111+Data!Z111+Data!AA111+Data!Y112+Data!Z112+Data!AA112+Data!Y113+Data!Z113+Data!AA113+Data!Y114+Data!Z114+Data!AA114</f>
        <v>8725938</v>
      </c>
      <c r="U114" s="16" t="n">
        <f aca="false">Data!Y103+Data!Y104+Data!Y105+Data!Y106+Data!Y107+Data!Y108+Data!Y109+Data!Y110+Data!Y111+Data!Y112+Data!Y113+Data!Y114</f>
        <v>6484063</v>
      </c>
      <c r="V114" s="16" t="n">
        <f aca="false">Data!Z103+Data!Z104+Data!Z105+Data!Z106+Data!Z107+Data!Z108+Data!Z109+Data!Z110+Data!Z111+Data!Z112+Data!Z113+Data!Z114</f>
        <v>2093841</v>
      </c>
      <c r="W114" s="16" t="n">
        <f aca="false">Data!AB103+Data!AB104+Data!AB105+Data!AB106+Data!AB107+Data!AB108+Data!AB109+Data!AB110+Data!AB111+Data!AB112+Data!AB113+Data!AB114</f>
        <v>12588607</v>
      </c>
      <c r="X114" s="16" t="n">
        <f aca="false">Data!AC103+Data!AC104+Data!AC105+Data!AC106+Data!AC107+Data!AC108+Data!AC109+Data!AC110+Data!AC111+Data!AC112+Data!AC113+Data!AC114</f>
        <v>3040245</v>
      </c>
      <c r="Y114" s="16" t="n">
        <f aca="false">Data!AD103+Data!AE103+Data!AF103+Data!AG103+Data!AH103+Data!AD104+Data!AE104+Data!AF104+Data!AG104+Data!AH104+Data!AD105+Data!AE105+Data!AF105+Data!AG105+Data!AH105+Data!AD106+Data!AE106+Data!AF106+Data!AG106+Data!AH106+Data!AD107+Data!AE107+Data!AF107+Data!AG107+Data!AH107+Data!AD108+Data!AE108+Data!AF108+Data!AG108+Data!AH108+Data!AD109+Data!AE109+Data!AF109+Data!AG109+Data!AH109+Data!AD110+Data!AE110+Data!AF110+Data!AG110+Data!AH110+Data!AD111+Data!AE111+Data!AF111+Data!AG111+Data!AH111+Data!AD112+Data!AE112+Data!AF112+Data!AG112+Data!AH112+Data!AD113+Data!AE113+Data!AF113+Data!AG113+Data!AH113+Data!AD114+Data!AE114+Data!AF114+Data!AG114+Data!AH114</f>
        <v>1451668</v>
      </c>
      <c r="Z114" s="16" t="n">
        <f aca="false">Data!AI103+Data!AI104+Data!AI105+Data!AI106+Data!AI107+Data!AI108+Data!AI109+Data!AI110+Data!AI111+Data!AI112+Data!AI113+Data!AI114</f>
        <v>3251601</v>
      </c>
      <c r="AA114" s="16" t="n">
        <f aca="false">Data!AJ103+Data!AJ104+Data!AJ105+Data!AJ106+Data!AJ107+Data!AJ108+Data!AJ109+Data!AJ110+Data!AJ111+Data!AJ112+Data!AJ113+Data!AJ114</f>
        <v>0</v>
      </c>
      <c r="AB114" s="16" t="n">
        <f aca="false">Data!AK103+Data!AK104+Data!AK105+Data!AK106+Data!AK107+Data!AK108+Data!AK109+Data!AK110+Data!AK111+Data!AK112+Data!AK113+Data!AK114</f>
        <v>849413</v>
      </c>
      <c r="AC114" s="16" t="n">
        <f aca="false">Data!AL103+Data!AL104+Data!AL105+Data!AL106+Data!AL107+Data!AL108+Data!AL109+Data!AL110+Data!AL111+Data!AL112+Data!AL113+Data!AL114</f>
        <v>2369206</v>
      </c>
      <c r="AD114" s="15" t="n">
        <f aca="false">Data!AM103+Data!AM104+Data!AM105+Data!AM106+Data!AM107+Data!AM108+Data!AM109+Data!AM110+Data!AM111+Data!AM112+Data!AM113+Data!AM114</f>
        <v>10405811</v>
      </c>
      <c r="AE114" s="16" t="n">
        <f aca="false">Data!AN103+Data!AN104+Data!AN105+Data!AN106+Data!AN107+Data!AN108+Data!AN109+Data!AN110+Data!AN111+Data!AN112+Data!AN113+Data!AN114</f>
        <v>8641024</v>
      </c>
      <c r="AF114" s="15" t="n">
        <f aca="false">Data!AO103+Data!AO104+Data!AO105+Data!AO106+Data!AO107+Data!AO108+Data!AO109+Data!AO110+Data!AO111+Data!AO112+Data!AO113+Data!AO114</f>
        <v>1764786</v>
      </c>
    </row>
    <row r="115" customFormat="false" ht="15" hidden="false" customHeight="false" outlineLevel="0" collapsed="false">
      <c r="B115" s="14" t="str">
        <f aca="false">Data!B115</f>
        <v>2025-01</v>
      </c>
      <c r="C115" s="15" t="n">
        <f aca="false">Data!D104+Data!E104+Data!F104+Data!G104+Data!H104+Data!I104+Data!J104+Data!K104+Data!L104+Data!M104+Data!N104+Data!O104+Data!P104+Data!Q104+Data!R104+Data!S104+Data!D105+Data!E105+Data!F105+Data!G105+Data!H105+Data!I105+Data!J105+Data!K105+Data!L105+Data!M105+Data!N105+Data!O105+Data!P105+Data!Q105+Data!R105+Data!S105+Data!D106+Data!E106+Data!F106+Data!G106+Data!H106+Data!I106+Data!J106+Data!K106+Data!L106+Data!M106+Data!N106+Data!O106+Data!P106+Data!Q106+Data!R106+Data!S106+Data!D107+Data!E107+Data!F107+Data!G107+Data!H107+Data!I107+Data!J107+Data!K107+Data!L107+Data!M107+Data!N107+Data!O107+Data!P107+Data!Q107+Data!R107+Data!S107+Data!D108+Data!E108+Data!F108+Data!G108+Data!H108+Data!I108+Data!J108+Data!K108+Data!L108+Data!M108+Data!N108+Data!O108+Data!P108+Data!Q108+Data!R108+Data!S108+Data!D109+Data!E109+Data!F109+Data!G109+Data!H109+Data!I109+Data!J109+Data!K109+Data!L109+Data!M109+Data!N109+Data!O109+Data!P109+Data!Q109+Data!R109+Data!S109+Data!D110+Data!E110+Data!F110+Data!G110+Data!H110+Data!I110+Data!J110+Data!K110+Data!L110+Data!M110+Data!N110+Data!O110+Data!P110+Data!Q110+Data!R110+Data!S110+Data!D111+Data!E111+Data!F111+Data!G111+Data!H111+Data!I111+Data!J111+Data!K111+Data!L111+Data!M111+Data!N111+Data!O111+Data!P111+Data!Q111+Data!R111+Data!S111+Data!D112+Data!E112+Data!F112+Data!G112+Data!H112+Data!I112+Data!J112+Data!K112+Data!L112+Data!M112+Data!N112+Data!O112+Data!P112+Data!Q112+Data!R112+Data!S112+Data!D113+Data!E113+Data!F113+Data!G113+Data!H113+Data!I113+Data!J113+Data!K113+Data!L113+Data!M113+Data!N113+Data!O113+Data!P113+Data!Q113+Data!R113+Data!S113+Data!D114+Data!E114+Data!F114+Data!G114+Data!H114+Data!I114+Data!J114+Data!K114+Data!L114+Data!M114+Data!N114+Data!O114+Data!P114+Data!Q114+Data!R114+Data!S114+Data!D115+Data!E115+Data!F115+Data!G115+Data!H115+Data!I115+Data!J115+Data!K115+Data!L115+Data!M115+Data!N115+Data!O115+Data!P115+Data!Q115+Data!R115+Data!S115</f>
        <v>102971764</v>
      </c>
      <c r="D115" s="16" t="n">
        <f aca="false">Data!D104+Data!E104+Data!G104+Data!H104+Data!I104+Data!J104+Data!K104+Data!L104+Data!M104+Data!D105+Data!E105+Data!G105+Data!H105+Data!I105+Data!J105+Data!K105+Data!L105+Data!M105+Data!D106+Data!E106+Data!G106+Data!H106+Data!I106+Data!J106+Data!K106+Data!L106+Data!M106+Data!D107+Data!E107+Data!G107+Data!H107+Data!I107+Data!J107+Data!K107+Data!L107+Data!M107+Data!D108+Data!E108+Data!G108+Data!H108+Data!I108+Data!J108+Data!K108+Data!L108+Data!M108+Data!D109+Data!E109+Data!G109+Data!H109+Data!I109+Data!J109+Data!K109+Data!L109+Data!M109+Data!D110+Data!E110+Data!G110+Data!H110+Data!I110+Data!J110+Data!K110+Data!L110+Data!M110+Data!D111+Data!E111+Data!G111+Data!H111+Data!I111+Data!J111+Data!K111+Data!L111+Data!M111+Data!D112+Data!E112+Data!G112+Data!H112+Data!I112+Data!J112+Data!K112+Data!L112+Data!M112+Data!D113+Data!E113+Data!G113+Data!H113+Data!I113+Data!J113+Data!K113+Data!L113+Data!M113+Data!D114+Data!E114+Data!G114+Data!H114+Data!I114+Data!J114+Data!K114+Data!L114+Data!M114+Data!D115+Data!E115+Data!G115+Data!H115+Data!I115+Data!J115+Data!K115+Data!L115+Data!M115</f>
        <v>62767234</v>
      </c>
      <c r="E115" s="16" t="n">
        <f aca="false">Data!D104+Data!D105+Data!D106+Data!D107+Data!D108+Data!D109+Data!D110+Data!D111+Data!D112+Data!D113+Data!D114+Data!D115</f>
        <v>20766077</v>
      </c>
      <c r="F115" s="16" t="n">
        <f aca="false">Data!E104+Data!E105+Data!E106+Data!E107+Data!E108+Data!E109+Data!E110+Data!E111+Data!E112+Data!E113+Data!E114+Data!E115</f>
        <v>10026106</v>
      </c>
      <c r="G115" s="16" t="n">
        <f aca="false">Data!K104+Data!K105+Data!K106+Data!K107+Data!K108+Data!K109+Data!K110+Data!K111+Data!K112+Data!K113+Data!K114+Data!K115</f>
        <v>5805622</v>
      </c>
      <c r="H115" s="16" t="n">
        <f aca="false">Data!L104+Data!L105+Data!L106+Data!L107+Data!L108+Data!L109+Data!L110+Data!L111+Data!L112+Data!L113+Data!L114+Data!L115</f>
        <v>3298586</v>
      </c>
      <c r="I115" s="16" t="n">
        <f aca="false">Data!G104+Data!G105+Data!G106+Data!G107+Data!G108+Data!G109+Data!G110+Data!G111+Data!G112+Data!G113+Data!G114+Data!G115</f>
        <v>9831096</v>
      </c>
      <c r="J115" s="16" t="n">
        <f aca="false">Data!H104+Data!I104+Data!J104+Data!M104+Data!H105+Data!I105+Data!J105+Data!M105+Data!H106+Data!I106+Data!J106+Data!M106+Data!H107+Data!I107+Data!J107+Data!M107+Data!H108+Data!I108+Data!J108+Data!M108+Data!H109+Data!I109+Data!J109+Data!M109+Data!H110+Data!I110+Data!J110+Data!M110+Data!H111+Data!I111+Data!J111+Data!M111+Data!H112+Data!I112+Data!J112+Data!M112+Data!H113+Data!I113+Data!J113+Data!M113+Data!H114+Data!I114+Data!J114+Data!M114+Data!H115+Data!I115+Data!J115+Data!M115</f>
        <v>13039747</v>
      </c>
      <c r="K115" s="16" t="n">
        <f aca="false">Data!F104+Data!F105+Data!F106+Data!F107+Data!F108+Data!F109+Data!F110+Data!F111+Data!F112+Data!F113+Data!F114+Data!F115</f>
        <v>32092345</v>
      </c>
      <c r="L115" s="16" t="n">
        <f aca="false">Data!N104+Data!O104+Data!P104+Data!Q104+Data!R104+Data!S104+Data!N105+Data!O105+Data!P105+Data!Q105+Data!R105+Data!S105+Data!N106+Data!O106+Data!P106+Data!Q106+Data!R106+Data!S106+Data!N107+Data!O107+Data!P107+Data!Q107+Data!R107+Data!S107+Data!N108+Data!O108+Data!P108+Data!Q108+Data!R108+Data!S108+Data!N109+Data!O109+Data!P109+Data!Q109+Data!R109+Data!S109+Data!N110+Data!O110+Data!P110+Data!Q110+Data!R110+Data!S110+Data!N111+Data!O111+Data!P111+Data!Q111+Data!R111+Data!S111+Data!N112+Data!O112+Data!P112+Data!Q112+Data!R112+Data!S112+Data!N113+Data!O113+Data!P113+Data!Q113+Data!R113+Data!S113+Data!N114+Data!O114+Data!P114+Data!Q114+Data!R114+Data!S114+Data!N115+Data!O115+Data!P115+Data!Q115+Data!R115+Data!S115</f>
        <v>8112185</v>
      </c>
      <c r="M115" s="15" t="n">
        <f aca="false">Data!T104+Data!U104+Data!V104+Data!W104+Data!X104+Data!Y104+Data!Z104+Data!AA104+Data!AB104+Data!AC104+Data!AD104+Data!AE104+Data!AF104+Data!AG104+Data!AH104+Data!AI104+Data!AJ104+Data!AK104+Data!AL104+Data!T105+Data!U105+Data!V105+Data!W105+Data!X105+Data!Y105+Data!Z105+Data!AA105+Data!AB105+Data!AC105+Data!AD105+Data!AE105+Data!AF105+Data!AG105+Data!AH105+Data!AI105+Data!AJ105+Data!AK105+Data!AL105+Data!T106+Data!U106+Data!V106+Data!W106+Data!X106+Data!Y106+Data!Z106+Data!AA106+Data!AB106+Data!AC106+Data!AD106+Data!AE106+Data!AF106+Data!AG106+Data!AH106+Data!AI106+Data!AJ106+Data!AK106+Data!AL106+Data!T107+Data!U107+Data!V107+Data!W107+Data!X107+Data!Y107+Data!Z107+Data!AA107+Data!AB107+Data!AC107+Data!AD107+Data!AE107+Data!AF107+Data!AG107+Data!AH107+Data!AI107+Data!AJ107+Data!AK107+Data!AL107+Data!T108+Data!U108+Data!V108+Data!W108+Data!X108+Data!Y108+Data!Z108+Data!AA108+Data!AB108+Data!AC108+Data!AD108+Data!AE108+Data!AF108+Data!AG108+Data!AH108+Data!AI108+Data!AJ108+Data!AK108+Data!AL108+Data!T109+Data!U109+Data!V109+Data!W109+Data!X109+Data!Y109+Data!Z109+Data!AA109+Data!AB109+Data!AC109+Data!AD109+Data!AE109+Data!AF109+Data!AG109+Data!AH109+Data!AI109+Data!AJ109+Data!AK109+Data!AL109+Data!T110+Data!U110+Data!V110+Data!W110+Data!X110+Data!Y110+Data!Z110+Data!AA110+Data!AB110+Data!AC110+Data!AD110+Data!AE110+Data!AF110+Data!AG110+Data!AH110+Data!AI110+Data!AJ110+Data!AK110+Data!AL110+Data!T111+Data!U111+Data!V111+Data!W111+Data!X111+Data!Y111+Data!Z111+Data!AA111+Data!AB111+Data!AC111+Data!AD111+Data!AE111+Data!AF111+Data!AG111+Data!AH111+Data!AI111+Data!AJ111+Data!AK111+Data!AL111+Data!T112+Data!U112+Data!V112+Data!W112+Data!X112+Data!Y112+Data!Z112+Data!AA112+Data!AB112+Data!AC112+Data!AD112+Data!AE112+Data!AF112+Data!AG112+Data!AH112+Data!AI112+Data!AJ112+Data!AK112+Data!AL112+Data!T113+Data!U113+Data!V113+Data!W113+Data!X113+Data!Y113+Data!Z113+Data!AA113+Data!AB113+Data!AC113+Data!AD113+Data!AE113+Data!AF113+Data!AG113+Data!AH113+Data!AI113+Data!AJ113+Data!AK113+Data!AL113+Data!T114+Data!U114+Data!V114+Data!W114+Data!X114+Data!Y114+Data!Z114+Data!AA114+Data!AB114+Data!AC114+Data!AD114+Data!AE114+Data!AF114+Data!AG114+Data!AH114+Data!AI114+Data!AJ114+Data!AK114+Data!AL114+Data!T115+Data!U115+Data!V115+Data!W115+Data!X115+Data!Y115+Data!Z115+Data!AA115+Data!AB115+Data!AC115+Data!AD115+Data!AE115+Data!AF115+Data!AG115+Data!AH115+Data!AI115+Data!AJ115+Data!AK115+Data!AL115</f>
        <v>92141834</v>
      </c>
      <c r="N115" s="16" t="n">
        <f aca="false">Data!T104+Data!U104+Data!V104+Data!W104+Data!T105+Data!U105+Data!V105+Data!W105+Data!T106+Data!U106+Data!V106+Data!W106+Data!T107+Data!U107+Data!V107+Data!W107+Data!T108+Data!U108+Data!V108+Data!W108+Data!T109+Data!U109+Data!V109+Data!W109+Data!T110+Data!U110+Data!V110+Data!W110+Data!T111+Data!U111+Data!V111+Data!W111+Data!T112+Data!U112+Data!V112+Data!W112+Data!T113+Data!U113+Data!V113+Data!W113+Data!T114+Data!U114+Data!V114+Data!W114+Data!T115+Data!U115+Data!V115+Data!W115</f>
        <v>49632952</v>
      </c>
      <c r="O115" s="16" t="n">
        <f aca="false">Data!T104+Data!T105+Data!T106+Data!T107+Data!T108+Data!T109+Data!T110+Data!T111+Data!T112+Data!T113+Data!T114+Data!T115</f>
        <v>34669904</v>
      </c>
      <c r="P115" s="16" t="n">
        <f aca="false">Data!U104+Data!U105+Data!U106+Data!U107+Data!U108+Data!U109+Data!U110+Data!U111+Data!U112+Data!U113+Data!U114+Data!U115</f>
        <v>5947296</v>
      </c>
      <c r="Q115" s="16" t="n">
        <f aca="false">Data!V104+Data!V105+Data!V106+Data!V107+Data!V108+Data!V109+Data!V110+Data!V111+Data!V112+Data!V113+Data!V114+Data!V115</f>
        <v>3225940</v>
      </c>
      <c r="R115" s="16" t="n">
        <f aca="false">Data!W104+Data!W105+Data!W106+Data!W107+Data!W108+Data!W109+Data!W110+Data!W111+Data!W112+Data!W113+Data!W114+Data!W115</f>
        <v>5789812</v>
      </c>
      <c r="S115" s="16" t="n">
        <f aca="false">Data!X104+Data!X105+Data!X106+Data!X107+Data!X108+Data!X109+Data!X110+Data!X111+Data!X112+Data!X113+Data!X114+Data!X115</f>
        <v>8707974</v>
      </c>
      <c r="T115" s="16" t="n">
        <f aca="false">Data!Y104+Data!Z104+Data!AA104+Data!Y105+Data!Z105+Data!AA105+Data!Y106+Data!Z106+Data!AA106+Data!Y107+Data!Z107+Data!AA107+Data!Y108+Data!Z108+Data!AA108+Data!Y109+Data!Z109+Data!AA109+Data!Y110+Data!Z110+Data!AA110+Data!Y111+Data!Z111+Data!AA111+Data!Y112+Data!Z112+Data!AA112+Data!Y113+Data!Z113+Data!AA113+Data!Y114+Data!Z114+Data!AA114+Data!Y115+Data!Z115+Data!AA115</f>
        <v>8890198</v>
      </c>
      <c r="U115" s="16" t="n">
        <f aca="false">Data!Y104+Data!Y105+Data!Y106+Data!Y107+Data!Y108+Data!Y109+Data!Y110+Data!Y111+Data!Y112+Data!Y113+Data!Y114+Data!Y115</f>
        <v>6589019</v>
      </c>
      <c r="V115" s="16" t="n">
        <f aca="false">Data!Z104+Data!Z105+Data!Z106+Data!Z107+Data!Z108+Data!Z109+Data!Z110+Data!Z111+Data!Z112+Data!Z113+Data!Z114+Data!Z115</f>
        <v>2150696</v>
      </c>
      <c r="W115" s="16" t="n">
        <f aca="false">Data!AB104+Data!AB105+Data!AB106+Data!AB107+Data!AB108+Data!AB109+Data!AB110+Data!AB111+Data!AB112+Data!AB113+Data!AB114+Data!AB115</f>
        <v>13239031</v>
      </c>
      <c r="X115" s="16" t="n">
        <f aca="false">Data!AC104+Data!AC105+Data!AC106+Data!AC107+Data!AC108+Data!AC109+Data!AC110+Data!AC111+Data!AC112+Data!AC113+Data!AC114+Data!AC115</f>
        <v>3312925</v>
      </c>
      <c r="Y115" s="16" t="n">
        <f aca="false">Data!AD104+Data!AE104+Data!AF104+Data!AG104+Data!AH104+Data!AD105+Data!AE105+Data!AF105+Data!AG105+Data!AH105+Data!AD106+Data!AE106+Data!AF106+Data!AG106+Data!AH106+Data!AD107+Data!AE107+Data!AF107+Data!AG107+Data!AH107+Data!AD108+Data!AE108+Data!AF108+Data!AG108+Data!AH108+Data!AD109+Data!AE109+Data!AF109+Data!AG109+Data!AH109+Data!AD110+Data!AE110+Data!AF110+Data!AG110+Data!AH110+Data!AD111+Data!AE111+Data!AF111+Data!AG111+Data!AH111+Data!AD112+Data!AE112+Data!AF112+Data!AG112+Data!AH112+Data!AD113+Data!AE113+Data!AF113+Data!AG113+Data!AH113+Data!AD114+Data!AE114+Data!AF114+Data!AG114+Data!AH114+Data!AD115+Data!AE115+Data!AF115+Data!AG115+Data!AH115</f>
        <v>1530235</v>
      </c>
      <c r="Z115" s="16" t="n">
        <f aca="false">Data!AI104+Data!AI105+Data!AI106+Data!AI107+Data!AI108+Data!AI109+Data!AI110+Data!AI111+Data!AI112+Data!AI113+Data!AI114+Data!AI115</f>
        <v>3427088</v>
      </c>
      <c r="AA115" s="16" t="n">
        <f aca="false">Data!AJ104+Data!AJ105+Data!AJ106+Data!AJ107+Data!AJ108+Data!AJ109+Data!AJ110+Data!AJ111+Data!AJ112+Data!AJ113+Data!AJ114+Data!AJ115</f>
        <v>0</v>
      </c>
      <c r="AB115" s="16" t="n">
        <f aca="false">Data!AK104+Data!AK105+Data!AK106+Data!AK107+Data!AK108+Data!AK109+Data!AK110+Data!AK111+Data!AK112+Data!AK113+Data!AK114+Data!AK115</f>
        <v>939661</v>
      </c>
      <c r="AC115" s="16" t="n">
        <f aca="false">Data!AL104+Data!AL105+Data!AL106+Data!AL107+Data!AL108+Data!AL109+Data!AL110+Data!AL111+Data!AL112+Data!AL113+Data!AL114+Data!AL115</f>
        <v>2461770</v>
      </c>
      <c r="AD115" s="15" t="n">
        <f aca="false">Data!AM104+Data!AM105+Data!AM106+Data!AM107+Data!AM108+Data!AM109+Data!AM110+Data!AM111+Data!AM112+Data!AM113+Data!AM114+Data!AM115</f>
        <v>10829930</v>
      </c>
      <c r="AE115" s="16" t="n">
        <f aca="false">Data!AN104+Data!AN105+Data!AN106+Data!AN107+Data!AN108+Data!AN109+Data!AN110+Data!AN111+Data!AN112+Data!AN113+Data!AN114+Data!AN115</f>
        <v>8983798</v>
      </c>
      <c r="AF115" s="15" t="n">
        <f aca="false">Data!AO104+Data!AO105+Data!AO106+Data!AO107+Data!AO108+Data!AO109+Data!AO110+Data!AO111+Data!AO112+Data!AO113+Data!AO114+Data!AO115</f>
        <v>1846131</v>
      </c>
    </row>
    <row r="116" customFormat="false" ht="15" hidden="false" customHeight="false" outlineLevel="0" collapsed="false">
      <c r="B116" s="14" t="str">
        <f aca="false">Data!B116</f>
        <v>2025-02</v>
      </c>
      <c r="C116" s="15" t="n">
        <f aca="false">Data!D105+Data!E105+Data!F105+Data!G105+Data!H105+Data!I105+Data!J105+Data!K105+Data!L105+Data!M105+Data!N105+Data!O105+Data!P105+Data!Q105+Data!R105+Data!S105+Data!D106+Data!E106+Data!F106+Data!G106+Data!H106+Data!I106+Data!J106+Data!K106+Data!L106+Data!M106+Data!N106+Data!O106+Data!P106+Data!Q106+Data!R106+Data!S106+Data!D107+Data!E107+Data!F107+Data!G107+Data!H107+Data!I107+Data!J107+Data!K107+Data!L107+Data!M107+Data!N107+Data!O107+Data!P107+Data!Q107+Data!R107+Data!S107+Data!D108+Data!E108+Data!F108+Data!G108+Data!H108+Data!I108+Data!J108+Data!K108+Data!L108+Data!M108+Data!N108+Data!O108+Data!P108+Data!Q108+Data!R108+Data!S108+Data!D109+Data!E109+Data!F109+Data!G109+Data!H109+Data!I109+Data!J109+Data!K109+Data!L109+Data!M109+Data!N109+Data!O109+Data!P109+Data!Q109+Data!R109+Data!S109+Data!D110+Data!E110+Data!F110+Data!G110+Data!H110+Data!I110+Data!J110+Data!K110+Data!L110+Data!M110+Data!N110+Data!O110+Data!P110+Data!Q110+Data!R110+Data!S110+Data!D111+Data!E111+Data!F111+Data!G111+Data!H111+Data!I111+Data!J111+Data!K111+Data!L111+Data!M111+Data!N111+Data!O111+Data!P111+Data!Q111+Data!R111+Data!S111+Data!D112+Data!E112+Data!F112+Data!G112+Data!H112+Data!I112+Data!J112+Data!K112+Data!L112+Data!M112+Data!N112+Data!O112+Data!P112+Data!Q112+Data!R112+Data!S112+Data!D113+Data!E113+Data!F113+Data!G113+Data!H113+Data!I113+Data!J113+Data!K113+Data!L113+Data!M113+Data!N113+Data!O113+Data!P113+Data!Q113+Data!R113+Data!S113+Data!D114+Data!E114+Data!F114+Data!G114+Data!H114+Data!I114+Data!J114+Data!K114+Data!L114+Data!M114+Data!N114+Data!O114+Data!P114+Data!Q114+Data!R114+Data!S114+Data!D115+Data!E115+Data!F115+Data!G115+Data!H115+Data!I115+Data!J115+Data!K115+Data!L115+Data!M115+Data!N115+Data!O115+Data!P115+Data!Q115+Data!R115+Data!S115+Data!D116+Data!E116+Data!F116+Data!G116+Data!H116+Data!I116+Data!J116+Data!K116+Data!L116+Data!M116+Data!N116+Data!O116+Data!P116+Data!Q116+Data!R116+Data!S116</f>
        <v>107168875</v>
      </c>
      <c r="D116" s="16" t="n">
        <f aca="false">Data!D105+Data!E105+Data!G105+Data!H105+Data!I105+Data!J105+Data!K105+Data!L105+Data!M105+Data!D106+Data!E106+Data!G106+Data!H106+Data!I106+Data!J106+Data!K106+Data!L106+Data!M106+Data!D107+Data!E107+Data!G107+Data!H107+Data!I107+Data!J107+Data!K107+Data!L107+Data!M107+Data!D108+Data!E108+Data!G108+Data!H108+Data!I108+Data!J108+Data!K108+Data!L108+Data!M108+Data!D109+Data!E109+Data!G109+Data!H109+Data!I109+Data!J109+Data!K109+Data!L109+Data!M109+Data!D110+Data!E110+Data!G110+Data!H110+Data!I110+Data!J110+Data!K110+Data!L110+Data!M110+Data!D111+Data!E111+Data!G111+Data!H111+Data!I111+Data!J111+Data!K111+Data!L111+Data!M111+Data!D112+Data!E112+Data!G112+Data!H112+Data!I112+Data!J112+Data!K112+Data!L112+Data!M112+Data!D113+Data!E113+Data!G113+Data!H113+Data!I113+Data!J113+Data!K113+Data!L113+Data!M113+Data!D114+Data!E114+Data!G114+Data!H114+Data!I114+Data!J114+Data!K114+Data!L114+Data!M114+Data!D115+Data!E115+Data!G115+Data!H115+Data!I115+Data!J115+Data!K115+Data!L115+Data!M115+Data!D116+Data!E116+Data!G116+Data!H116+Data!I116+Data!J116+Data!K116+Data!L116+Data!M116</f>
        <v>64972640</v>
      </c>
      <c r="E116" s="16" t="n">
        <f aca="false">Data!D105+Data!D106+Data!D107+Data!D108+Data!D109+Data!D110+Data!D111+Data!D112+Data!D113+Data!D114+Data!D115+Data!D116</f>
        <v>21661418</v>
      </c>
      <c r="F116" s="16" t="n">
        <f aca="false">Data!E105+Data!E106+Data!E107+Data!E108+Data!E109+Data!E110+Data!E111+Data!E112+Data!E113+Data!E114+Data!E115+Data!E116</f>
        <v>10514717</v>
      </c>
      <c r="G116" s="16" t="n">
        <f aca="false">Data!K105+Data!K106+Data!K107+Data!K108+Data!K109+Data!K110+Data!K111+Data!K112+Data!K113+Data!K114+Data!K115+Data!K116</f>
        <v>6066526</v>
      </c>
      <c r="H116" s="16" t="n">
        <f aca="false">Data!L105+Data!L106+Data!L107+Data!L108+Data!L109+Data!L110+Data!L111+Data!L112+Data!L113+Data!L114+Data!L115+Data!L116</f>
        <v>3494046</v>
      </c>
      <c r="I116" s="16" t="n">
        <f aca="false">Data!G105+Data!G106+Data!G107+Data!G108+Data!G109+Data!G110+Data!G111+Data!G112+Data!G113+Data!G114+Data!G115+Data!G116</f>
        <v>10247694</v>
      </c>
      <c r="J116" s="16" t="n">
        <f aca="false">Data!H105+Data!I105+Data!J105+Data!M105+Data!H106+Data!I106+Data!J106+Data!M106+Data!H107+Data!I107+Data!J107+Data!M107+Data!H108+Data!I108+Data!J108+Data!M108+Data!H109+Data!I109+Data!J109+Data!M109+Data!H110+Data!I110+Data!J110+Data!M110+Data!H111+Data!I111+Data!J111+Data!M111+Data!H112+Data!I112+Data!J112+Data!M112+Data!H113+Data!I113+Data!J113+Data!M113+Data!H114+Data!I114+Data!J114+Data!M114+Data!H115+Data!I115+Data!J115+Data!M115+Data!H116+Data!I116+Data!J116+Data!M116</f>
        <v>12988239</v>
      </c>
      <c r="K116" s="16" t="n">
        <f aca="false">Data!F105+Data!F106+Data!F107+Data!F108+Data!F109+Data!F110+Data!F111+Data!F112+Data!F113+Data!F114+Data!F115+Data!F116</f>
        <v>33990553</v>
      </c>
      <c r="L116" s="16" t="n">
        <f aca="false">Data!N105+Data!O105+Data!P105+Data!Q105+Data!R105+Data!S105+Data!N106+Data!O106+Data!P106+Data!Q106+Data!R106+Data!S106+Data!N107+Data!O107+Data!P107+Data!Q107+Data!R107+Data!S107+Data!N108+Data!O108+Data!P108+Data!Q108+Data!R108+Data!S108+Data!N109+Data!O109+Data!P109+Data!Q109+Data!R109+Data!S109+Data!N110+Data!O110+Data!P110+Data!Q110+Data!R110+Data!S110+Data!N111+Data!O111+Data!P111+Data!Q111+Data!R111+Data!S111+Data!N112+Data!O112+Data!P112+Data!Q112+Data!R112+Data!S112+Data!N113+Data!O113+Data!P113+Data!Q113+Data!R113+Data!S113+Data!N114+Data!O114+Data!P114+Data!Q114+Data!R114+Data!S114+Data!N115+Data!O115+Data!P115+Data!Q115+Data!R115+Data!S115+Data!N116+Data!O116+Data!P116+Data!Q116+Data!R116+Data!S116</f>
        <v>8205682</v>
      </c>
      <c r="M116" s="15" t="n">
        <f aca="false">Data!T105+Data!U105+Data!V105+Data!W105+Data!X105+Data!Y105+Data!Z105+Data!AA105+Data!AB105+Data!AC105+Data!AD105+Data!AE105+Data!AF105+Data!AG105+Data!AH105+Data!AI105+Data!AJ105+Data!AK105+Data!AL105+Data!T106+Data!U106+Data!V106+Data!W106+Data!X106+Data!Y106+Data!Z106+Data!AA106+Data!AB106+Data!AC106+Data!AD106+Data!AE106+Data!AF106+Data!AG106+Data!AH106+Data!AI106+Data!AJ106+Data!AK106+Data!AL106+Data!T107+Data!U107+Data!V107+Data!W107+Data!X107+Data!Y107+Data!Z107+Data!AA107+Data!AB107+Data!AC107+Data!AD107+Data!AE107+Data!AF107+Data!AG107+Data!AH107+Data!AI107+Data!AJ107+Data!AK107+Data!AL107+Data!T108+Data!U108+Data!V108+Data!W108+Data!X108+Data!Y108+Data!Z108+Data!AA108+Data!AB108+Data!AC108+Data!AD108+Data!AE108+Data!AF108+Data!AG108+Data!AH108+Data!AI108+Data!AJ108+Data!AK108+Data!AL108+Data!T109+Data!U109+Data!V109+Data!W109+Data!X109+Data!Y109+Data!Z109+Data!AA109+Data!AB109+Data!AC109+Data!AD109+Data!AE109+Data!AF109+Data!AG109+Data!AH109+Data!AI109+Data!AJ109+Data!AK109+Data!AL109+Data!T110+Data!U110+Data!V110+Data!W110+Data!X110+Data!Y110+Data!Z110+Data!AA110+Data!AB110+Data!AC110+Data!AD110+Data!AE110+Data!AF110+Data!AG110+Data!AH110+Data!AI110+Data!AJ110+Data!AK110+Data!AL110+Data!T111+Data!U111+Data!V111+Data!W111+Data!X111+Data!Y111+Data!Z111+Data!AA111+Data!AB111+Data!AC111+Data!AD111+Data!AE111+Data!AF111+Data!AG111+Data!AH111+Data!AI111+Data!AJ111+Data!AK111+Data!AL111+Data!T112+Data!U112+Data!V112+Data!W112+Data!X112+Data!Y112+Data!Z112+Data!AA112+Data!AB112+Data!AC112+Data!AD112+Data!AE112+Data!AF112+Data!AG112+Data!AH112+Data!AI112+Data!AJ112+Data!AK112+Data!AL112+Data!T113+Data!U113+Data!V113+Data!W113+Data!X113+Data!Y113+Data!Z113+Data!AA113+Data!AB113+Data!AC113+Data!AD113+Data!AE113+Data!AF113+Data!AG113+Data!AH113+Data!AI113+Data!AJ113+Data!AK113+Data!AL113+Data!T114+Data!U114+Data!V114+Data!W114+Data!X114+Data!Y114+Data!Z114+Data!AA114+Data!AB114+Data!AC114+Data!AD114+Data!AE114+Data!AF114+Data!AG114+Data!AH114+Data!AI114+Data!AJ114+Data!AK114+Data!AL114+Data!T115+Data!U115+Data!V115+Data!W115+Data!X115+Data!Y115+Data!Z115+Data!AA115+Data!AB115+Data!AC115+Data!AD115+Data!AE115+Data!AF115+Data!AG115+Data!AH115+Data!AI115+Data!AJ115+Data!AK115+Data!AL115+Data!T116+Data!U116+Data!V116+Data!W116+Data!X116+Data!Y116+Data!Z116+Data!AA116+Data!AB116+Data!AC116+Data!AD116+Data!AE116+Data!AF116+Data!AG116+Data!AH116+Data!AI116+Data!AJ116+Data!AK116+Data!AL116</f>
        <v>96394555</v>
      </c>
      <c r="N116" s="16" t="n">
        <f aca="false">Data!T105+Data!U105+Data!V105+Data!W105+Data!T106+Data!U106+Data!V106+Data!W106+Data!T107+Data!U107+Data!V107+Data!W107+Data!T108+Data!U108+Data!V108+Data!W108+Data!T109+Data!U109+Data!V109+Data!W109+Data!T110+Data!U110+Data!V110+Data!W110+Data!T111+Data!U111+Data!V111+Data!W111+Data!T112+Data!U112+Data!V112+Data!W112+Data!T113+Data!U113+Data!V113+Data!W113+Data!T114+Data!U114+Data!V114+Data!W114+Data!T115+Data!U115+Data!V115+Data!W115+Data!T116+Data!U116+Data!V116+Data!W116</f>
        <v>52650718</v>
      </c>
      <c r="O116" s="16" t="n">
        <f aca="false">Data!T105+Data!T106+Data!T107+Data!T108+Data!T109+Data!T110+Data!T111+Data!T112+Data!T113+Data!T114+Data!T115+Data!T116</f>
        <v>36815888</v>
      </c>
      <c r="P116" s="16" t="n">
        <f aca="false">Data!U105+Data!U106+Data!U107+Data!U108+Data!U109+Data!U110+Data!U111+Data!U112+Data!U113+Data!U114+Data!U115+Data!U116</f>
        <v>6307618</v>
      </c>
      <c r="Q116" s="16" t="n">
        <f aca="false">Data!V105+Data!V106+Data!V107+Data!V108+Data!V109+Data!V110+Data!V111+Data!V112+Data!V113+Data!V114+Data!V115+Data!V116</f>
        <v>3397787</v>
      </c>
      <c r="R116" s="16" t="n">
        <f aca="false">Data!W105+Data!W106+Data!W107+Data!W108+Data!W109+Data!W110+Data!W111+Data!W112+Data!W113+Data!W114+Data!W115+Data!W116</f>
        <v>6129425</v>
      </c>
      <c r="S116" s="16" t="n">
        <f aca="false">Data!X105+Data!X106+Data!X107+Data!X108+Data!X109+Data!X110+Data!X111+Data!X112+Data!X113+Data!X114+Data!X115+Data!X116</f>
        <v>8858431</v>
      </c>
      <c r="T116" s="16" t="n">
        <f aca="false">Data!Y105+Data!Z105+Data!AA105+Data!Y106+Data!Z106+Data!AA106+Data!Y107+Data!Z107+Data!AA107+Data!Y108+Data!Z108+Data!AA108+Data!Y109+Data!Z109+Data!AA109+Data!Y110+Data!Z110+Data!AA110+Data!Y111+Data!Z111+Data!AA111+Data!Y112+Data!Z112+Data!AA112+Data!Y113+Data!Z113+Data!AA113+Data!Y114+Data!Z114+Data!AA114+Data!Y115+Data!Z115+Data!AA115+Data!Y116+Data!Z116+Data!AA116</f>
        <v>8913818</v>
      </c>
      <c r="U116" s="16" t="n">
        <f aca="false">Data!Y105+Data!Y106+Data!Y107+Data!Y108+Data!Y109+Data!Y110+Data!Y111+Data!Y112+Data!Y113+Data!Y114+Data!Y115+Data!Y116</f>
        <v>6473885</v>
      </c>
      <c r="V116" s="16" t="n">
        <f aca="false">Data!Z105+Data!Z106+Data!Z107+Data!Z108+Data!Z109+Data!Z110+Data!Z111+Data!Z112+Data!Z113+Data!Z114+Data!Z115+Data!Z116</f>
        <v>2291346</v>
      </c>
      <c r="W116" s="16" t="n">
        <f aca="false">Data!AB105+Data!AB106+Data!AB107+Data!AB108+Data!AB109+Data!AB110+Data!AB111+Data!AB112+Data!AB113+Data!AB114+Data!AB115+Data!AB116</f>
        <v>13668243</v>
      </c>
      <c r="X116" s="16" t="n">
        <f aca="false">Data!AC105+Data!AC106+Data!AC107+Data!AC108+Data!AC109+Data!AC110+Data!AC111+Data!AC112+Data!AC113+Data!AC114+Data!AC115+Data!AC116</f>
        <v>3500513</v>
      </c>
      <c r="Y116" s="16" t="n">
        <f aca="false">Data!AD105+Data!AE105+Data!AF105+Data!AG105+Data!AH105+Data!AD106+Data!AE106+Data!AF106+Data!AG106+Data!AH106+Data!AD107+Data!AE107+Data!AF107+Data!AG107+Data!AH107+Data!AD108+Data!AE108+Data!AF108+Data!AG108+Data!AH108+Data!AD109+Data!AE109+Data!AF109+Data!AG109+Data!AH109+Data!AD110+Data!AE110+Data!AF110+Data!AG110+Data!AH110+Data!AD111+Data!AE111+Data!AF111+Data!AG111+Data!AH111+Data!AD112+Data!AE112+Data!AF112+Data!AG112+Data!AH112+Data!AD113+Data!AE113+Data!AF113+Data!AG113+Data!AH113+Data!AD114+Data!AE114+Data!AF114+Data!AG114+Data!AH114+Data!AD115+Data!AE115+Data!AF115+Data!AG115+Data!AH115+Data!AD116+Data!AE116+Data!AF116+Data!AG116+Data!AH116</f>
        <v>1654490</v>
      </c>
      <c r="Z116" s="16" t="n">
        <f aca="false">Data!AI105+Data!AI106+Data!AI107+Data!AI108+Data!AI109+Data!AI110+Data!AI111+Data!AI112+Data!AI113+Data!AI114+Data!AI115+Data!AI116</f>
        <v>3572566</v>
      </c>
      <c r="AA116" s="16" t="n">
        <f aca="false">Data!AJ105+Data!AJ106+Data!AJ107+Data!AJ108+Data!AJ109+Data!AJ110+Data!AJ111+Data!AJ112+Data!AJ113+Data!AJ114+Data!AJ115+Data!AJ116</f>
        <v>0</v>
      </c>
      <c r="AB116" s="16" t="n">
        <f aca="false">Data!AK105+Data!AK106+Data!AK107+Data!AK108+Data!AK109+Data!AK110+Data!AK111+Data!AK112+Data!AK113+Data!AK114+Data!AK115+Data!AK116</f>
        <v>990229</v>
      </c>
      <c r="AC116" s="16" t="n">
        <f aca="false">Data!AL105+Data!AL106+Data!AL107+Data!AL108+Data!AL109+Data!AL110+Data!AL111+Data!AL112+Data!AL113+Data!AL114+Data!AL115+Data!AL116</f>
        <v>2585547</v>
      </c>
      <c r="AD116" s="15" t="n">
        <f aca="false">Data!AM105+Data!AM106+Data!AM107+Data!AM108+Data!AM109+Data!AM110+Data!AM111+Data!AM112+Data!AM113+Data!AM114+Data!AM115+Data!AM116</f>
        <v>10774320</v>
      </c>
      <c r="AE116" s="16" t="n">
        <f aca="false">Data!AN105+Data!AN106+Data!AN107+Data!AN108+Data!AN109+Data!AN110+Data!AN111+Data!AN112+Data!AN113+Data!AN114+Data!AN115+Data!AN116</f>
        <v>8955575</v>
      </c>
      <c r="AF116" s="15" t="n">
        <f aca="false">Data!AO105+Data!AO106+Data!AO107+Data!AO108+Data!AO109+Data!AO110+Data!AO111+Data!AO112+Data!AO113+Data!AO114+Data!AO115+Data!AO116</f>
        <v>1818745</v>
      </c>
    </row>
    <row r="117" customFormat="false" ht="15" hidden="false" customHeight="false" outlineLevel="0" collapsed="false">
      <c r="B117" s="14" t="str">
        <f aca="false">Data!B117</f>
        <v>2025-03</v>
      </c>
      <c r="C117" s="15" t="n">
        <f aca="false">Data!D106+Data!E106+Data!F106+Data!G106+Data!H106+Data!I106+Data!J106+Data!K106+Data!L106+Data!M106+Data!N106+Data!O106+Data!P106+Data!Q106+Data!R106+Data!S106+Data!D107+Data!E107+Data!F107+Data!G107+Data!H107+Data!I107+Data!J107+Data!K107+Data!L107+Data!M107+Data!N107+Data!O107+Data!P107+Data!Q107+Data!R107+Data!S107+Data!D108+Data!E108+Data!F108+Data!G108+Data!H108+Data!I108+Data!J108+Data!K108+Data!L108+Data!M108+Data!N108+Data!O108+Data!P108+Data!Q108+Data!R108+Data!S108+Data!D109+Data!E109+Data!F109+Data!G109+Data!H109+Data!I109+Data!J109+Data!K109+Data!L109+Data!M109+Data!N109+Data!O109+Data!P109+Data!Q109+Data!R109+Data!S109+Data!D110+Data!E110+Data!F110+Data!G110+Data!H110+Data!I110+Data!J110+Data!K110+Data!L110+Data!M110+Data!N110+Data!O110+Data!P110+Data!Q110+Data!R110+Data!S110+Data!D111+Data!E111+Data!F111+Data!G111+Data!H111+Data!I111+Data!J111+Data!K111+Data!L111+Data!M111+Data!N111+Data!O111+Data!P111+Data!Q111+Data!R111+Data!S111+Data!D112+Data!E112+Data!F112+Data!G112+Data!H112+Data!I112+Data!J112+Data!K112+Data!L112+Data!M112+Data!N112+Data!O112+Data!P112+Data!Q112+Data!R112+Data!S112+Data!D113+Data!E113+Data!F113+Data!G113+Data!H113+Data!I113+Data!J113+Data!K113+Data!L113+Data!M113+Data!N113+Data!O113+Data!P113+Data!Q113+Data!R113+Data!S113+Data!D114+Data!E114+Data!F114+Data!G114+Data!H114+Data!I114+Data!J114+Data!K114+Data!L114+Data!M114+Data!N114+Data!O114+Data!P114+Data!Q114+Data!R114+Data!S114+Data!D115+Data!E115+Data!F115+Data!G115+Data!H115+Data!I115+Data!J115+Data!K115+Data!L115+Data!M115+Data!N115+Data!O115+Data!P115+Data!Q115+Data!R115+Data!S115+Data!D116+Data!E116+Data!F116+Data!G116+Data!H116+Data!I116+Data!J116+Data!K116+Data!L116+Data!M116+Data!N116+Data!O116+Data!P116+Data!Q116+Data!R116+Data!S116+Data!D117+Data!E117+Data!F117+Data!G117+Data!H117+Data!I117+Data!J117+Data!K117+Data!L117+Data!M117+Data!N117+Data!O117+Data!P117+Data!Q117+Data!R117+Data!S117</f>
        <v>110523868</v>
      </c>
      <c r="D117" s="16" t="n">
        <f aca="false">Data!D106+Data!E106+Data!G106+Data!H106+Data!I106+Data!J106+Data!K106+Data!L106+Data!M106+Data!D107+Data!E107+Data!G107+Data!H107+Data!I107+Data!J107+Data!K107+Data!L107+Data!M107+Data!D108+Data!E108+Data!G108+Data!H108+Data!I108+Data!J108+Data!K108+Data!L108+Data!M108+Data!D109+Data!E109+Data!G109+Data!H109+Data!I109+Data!J109+Data!K109+Data!L109+Data!M109+Data!D110+Data!E110+Data!G110+Data!H110+Data!I110+Data!J110+Data!K110+Data!L110+Data!M110+Data!D111+Data!E111+Data!G111+Data!H111+Data!I111+Data!J111+Data!K111+Data!L111+Data!M111+Data!D112+Data!E112+Data!G112+Data!H112+Data!I112+Data!J112+Data!K112+Data!L112+Data!M112+Data!D113+Data!E113+Data!G113+Data!H113+Data!I113+Data!J113+Data!K113+Data!L113+Data!M113+Data!D114+Data!E114+Data!G114+Data!H114+Data!I114+Data!J114+Data!K114+Data!L114+Data!M114+Data!D115+Data!E115+Data!G115+Data!H115+Data!I115+Data!J115+Data!K115+Data!L115+Data!M115+Data!D116+Data!E116+Data!G116+Data!H116+Data!I116+Data!J116+Data!K116+Data!L116+Data!M116+Data!D117+Data!E117+Data!G117+Data!H117+Data!I117+Data!J117+Data!K117+Data!L117+Data!M117</f>
        <v>66515460</v>
      </c>
      <c r="E117" s="16" t="n">
        <f aca="false">Data!D106+Data!D107+Data!D108+Data!D109+Data!D110+Data!D111+Data!D112+Data!D113+Data!D114+Data!D115+Data!D116+Data!D117</f>
        <v>22412199</v>
      </c>
      <c r="F117" s="16" t="n">
        <f aca="false">Data!E106+Data!E107+Data!E108+Data!E109+Data!E110+Data!E111+Data!E112+Data!E113+Data!E114+Data!E115+Data!E116+Data!E117</f>
        <v>10900344</v>
      </c>
      <c r="G117" s="16" t="n">
        <f aca="false">Data!K106+Data!K107+Data!K108+Data!K109+Data!K110+Data!K111+Data!K112+Data!K113+Data!K114+Data!K115+Data!K116+Data!K117</f>
        <v>6311474</v>
      </c>
      <c r="H117" s="16" t="n">
        <f aca="false">Data!L106+Data!L107+Data!L108+Data!L109+Data!L110+Data!L111+Data!L112+Data!L113+Data!L114+Data!L115+Data!L116+Data!L117</f>
        <v>3664783</v>
      </c>
      <c r="I117" s="16" t="n">
        <f aca="false">Data!G106+Data!G107+Data!G108+Data!G109+Data!G110+Data!G111+Data!G112+Data!G113+Data!G114+Data!G115+Data!G116+Data!G117</f>
        <v>10583489</v>
      </c>
      <c r="J117" s="16" t="n">
        <f aca="false">Data!H106+Data!I106+Data!J106+Data!M106+Data!H107+Data!I107+Data!J107+Data!M107+Data!H108+Data!I108+Data!J108+Data!M108+Data!H109+Data!I109+Data!J109+Data!M109+Data!H110+Data!I110+Data!J110+Data!M110+Data!H111+Data!I111+Data!J111+Data!M111+Data!H112+Data!I112+Data!J112+Data!M112+Data!H113+Data!I113+Data!J113+Data!M113+Data!H114+Data!I114+Data!J114+Data!M114+Data!H115+Data!I115+Data!J115+Data!M115+Data!H116+Data!I116+Data!J116+Data!M116+Data!H117+Data!I117+Data!J117+Data!M117</f>
        <v>12643171</v>
      </c>
      <c r="K117" s="16" t="n">
        <f aca="false">Data!F106+Data!F107+Data!F108+Data!F109+Data!F110+Data!F111+Data!F112+Data!F113+Data!F114+Data!F115+Data!F116+Data!F117</f>
        <v>35765218</v>
      </c>
      <c r="L117" s="16" t="n">
        <f aca="false">Data!N106+Data!O106+Data!P106+Data!Q106+Data!R106+Data!S106+Data!N107+Data!O107+Data!P107+Data!Q107+Data!R107+Data!S107+Data!N108+Data!O108+Data!P108+Data!Q108+Data!R108+Data!S108+Data!N109+Data!O109+Data!P109+Data!Q109+Data!R109+Data!S109+Data!N110+Data!O110+Data!P110+Data!Q110+Data!R110+Data!S110+Data!N111+Data!O111+Data!P111+Data!Q111+Data!R111+Data!S111+Data!N112+Data!O112+Data!P112+Data!Q112+Data!R112+Data!S112+Data!N113+Data!O113+Data!P113+Data!Q113+Data!R113+Data!S113+Data!N114+Data!O114+Data!P114+Data!Q114+Data!R114+Data!S114+Data!N115+Data!O115+Data!P115+Data!Q115+Data!R115+Data!S115+Data!N116+Data!O116+Data!P116+Data!Q116+Data!R116+Data!S116+Data!N117+Data!O117+Data!P117+Data!Q117+Data!R117+Data!S117</f>
        <v>8243190</v>
      </c>
      <c r="M117" s="15" t="n">
        <f aca="false">Data!T106+Data!U106+Data!V106+Data!W106+Data!X106+Data!Y106+Data!Z106+Data!AA106+Data!AB106+Data!AC106+Data!AD106+Data!AE106+Data!AF106+Data!AG106+Data!AH106+Data!AI106+Data!AJ106+Data!AK106+Data!AL106+Data!T107+Data!U107+Data!V107+Data!W107+Data!X107+Data!Y107+Data!Z107+Data!AA107+Data!AB107+Data!AC107+Data!AD107+Data!AE107+Data!AF107+Data!AG107+Data!AH107+Data!AI107+Data!AJ107+Data!AK107+Data!AL107+Data!T108+Data!U108+Data!V108+Data!W108+Data!X108+Data!Y108+Data!Z108+Data!AA108+Data!AB108+Data!AC108+Data!AD108+Data!AE108+Data!AF108+Data!AG108+Data!AH108+Data!AI108+Data!AJ108+Data!AK108+Data!AL108+Data!T109+Data!U109+Data!V109+Data!W109+Data!X109+Data!Y109+Data!Z109+Data!AA109+Data!AB109+Data!AC109+Data!AD109+Data!AE109+Data!AF109+Data!AG109+Data!AH109+Data!AI109+Data!AJ109+Data!AK109+Data!AL109+Data!T110+Data!U110+Data!V110+Data!W110+Data!X110+Data!Y110+Data!Z110+Data!AA110+Data!AB110+Data!AC110+Data!AD110+Data!AE110+Data!AF110+Data!AG110+Data!AH110+Data!AI110+Data!AJ110+Data!AK110+Data!AL110+Data!T111+Data!U111+Data!V111+Data!W111+Data!X111+Data!Y111+Data!Z111+Data!AA111+Data!AB111+Data!AC111+Data!AD111+Data!AE111+Data!AF111+Data!AG111+Data!AH111+Data!AI111+Data!AJ111+Data!AK111+Data!AL111+Data!T112+Data!U112+Data!V112+Data!W112+Data!X112+Data!Y112+Data!Z112+Data!AA112+Data!AB112+Data!AC112+Data!AD112+Data!AE112+Data!AF112+Data!AG112+Data!AH112+Data!AI112+Data!AJ112+Data!AK112+Data!AL112+Data!T113+Data!U113+Data!V113+Data!W113+Data!X113+Data!Y113+Data!Z113+Data!AA113+Data!AB113+Data!AC113+Data!AD113+Data!AE113+Data!AF113+Data!AG113+Data!AH113+Data!AI113+Data!AJ113+Data!AK113+Data!AL113+Data!T114+Data!U114+Data!V114+Data!W114+Data!X114+Data!Y114+Data!Z114+Data!AA114+Data!AB114+Data!AC114+Data!AD114+Data!AE114+Data!AF114+Data!AG114+Data!AH114+Data!AI114+Data!AJ114+Data!AK114+Data!AL114+Data!T115+Data!U115+Data!V115+Data!W115+Data!X115+Data!Y115+Data!Z115+Data!AA115+Data!AB115+Data!AC115+Data!AD115+Data!AE115+Data!AF115+Data!AG115+Data!AH115+Data!AI115+Data!AJ115+Data!AK115+Data!AL115+Data!T116+Data!U116+Data!V116+Data!W116+Data!X116+Data!Y116+Data!Z116+Data!AA116+Data!AB116+Data!AC116+Data!AD116+Data!AE116+Data!AF116+Data!AG116+Data!AH116+Data!AI116+Data!AJ116+Data!AK116+Data!AL116+Data!T117+Data!U117+Data!V117+Data!W117+Data!X117+Data!Y117+Data!Z117+Data!AA117+Data!AB117+Data!AC117+Data!AD117+Data!AE117+Data!AF117+Data!AG117+Data!AH117+Data!AI117+Data!AJ117+Data!AK117+Data!AL117</f>
        <v>99629243</v>
      </c>
      <c r="N117" s="16" t="n">
        <f aca="false">Data!T106+Data!U106+Data!V106+Data!W106+Data!T107+Data!U107+Data!V107+Data!W107+Data!T108+Data!U108+Data!V108+Data!W108+Data!T109+Data!U109+Data!V109+Data!W109+Data!T110+Data!U110+Data!V110+Data!W110+Data!T111+Data!U111+Data!V111+Data!W111+Data!T112+Data!U112+Data!V112+Data!W112+Data!T113+Data!U113+Data!V113+Data!W113+Data!T114+Data!U114+Data!V114+Data!W114+Data!T115+Data!U115+Data!V115+Data!W115+Data!T116+Data!U116+Data!V116+Data!W116+Data!T117+Data!U117+Data!V117+Data!W117</f>
        <v>55367310</v>
      </c>
      <c r="O117" s="16" t="n">
        <f aca="false">Data!T106+Data!T107+Data!T108+Data!T109+Data!T110+Data!T111+Data!T112+Data!T113+Data!T114+Data!T115+Data!T116+Data!T117</f>
        <v>38637826</v>
      </c>
      <c r="P117" s="16" t="n">
        <f aca="false">Data!U106+Data!U107+Data!U108+Data!U109+Data!U110+Data!U111+Data!U112+Data!U113+Data!U114+Data!U115+Data!U116+Data!U117</f>
        <v>6741743</v>
      </c>
      <c r="Q117" s="16" t="n">
        <f aca="false">Data!V106+Data!V107+Data!V108+Data!V109+Data!V110+Data!V111+Data!V112+Data!V113+Data!V114+Data!V115+Data!V116+Data!V117</f>
        <v>3545944</v>
      </c>
      <c r="R117" s="16" t="n">
        <f aca="false">Data!W106+Data!W107+Data!W108+Data!W109+Data!W110+Data!W111+Data!W112+Data!W113+Data!W114+Data!W115+Data!W116+Data!W117</f>
        <v>6441797</v>
      </c>
      <c r="S117" s="16" t="n">
        <f aca="false">Data!X106+Data!X107+Data!X108+Data!X109+Data!X110+Data!X111+Data!X112+Data!X113+Data!X114+Data!X115+Data!X116+Data!X117</f>
        <v>8803049</v>
      </c>
      <c r="T117" s="16" t="n">
        <f aca="false">Data!Y106+Data!Z106+Data!AA106+Data!Y107+Data!Z107+Data!AA107+Data!Y108+Data!Z108+Data!AA108+Data!Y109+Data!Z109+Data!AA109+Data!Y110+Data!Z110+Data!AA110+Data!Y111+Data!Z111+Data!AA111+Data!Y112+Data!Z112+Data!AA112+Data!Y113+Data!Z113+Data!AA113+Data!Y114+Data!Z114+Data!AA114+Data!Y115+Data!Z115+Data!AA115+Data!Y116+Data!Z116+Data!AA116+Data!Y117+Data!Z117+Data!AA117</f>
        <v>8861319</v>
      </c>
      <c r="U117" s="16" t="n">
        <f aca="false">Data!Y106+Data!Y107+Data!Y108+Data!Y109+Data!Y110+Data!Y111+Data!Y112+Data!Y113+Data!Y114+Data!Y115+Data!Y116+Data!Y117</f>
        <v>6309972</v>
      </c>
      <c r="V117" s="16" t="n">
        <f aca="false">Data!Z106+Data!Z107+Data!Z108+Data!Z109+Data!Z110+Data!Z111+Data!Z112+Data!Z113+Data!Z114+Data!Z115+Data!Z116+Data!Z117</f>
        <v>2410660</v>
      </c>
      <c r="W117" s="16" t="n">
        <f aca="false">Data!AB106+Data!AB107+Data!AB108+Data!AB109+Data!AB110+Data!AB111+Data!AB112+Data!AB113+Data!AB114+Data!AB115+Data!AB116+Data!AB117</f>
        <v>13991821</v>
      </c>
      <c r="X117" s="16" t="n">
        <f aca="false">Data!AC106+Data!AC107+Data!AC108+Data!AC109+Data!AC110+Data!AC111+Data!AC112+Data!AC113+Data!AC114+Data!AC115+Data!AC116+Data!AC117</f>
        <v>3617189</v>
      </c>
      <c r="Y117" s="16" t="n">
        <f aca="false">Data!AD106+Data!AE106+Data!AF106+Data!AG106+Data!AH106+Data!AD107+Data!AE107+Data!AF107+Data!AG107+Data!AH107+Data!AD108+Data!AE108+Data!AF108+Data!AG108+Data!AH108+Data!AD109+Data!AE109+Data!AF109+Data!AG109+Data!AH109+Data!AD110+Data!AE110+Data!AF110+Data!AG110+Data!AH110+Data!AD111+Data!AE111+Data!AF111+Data!AG111+Data!AH111+Data!AD112+Data!AE112+Data!AF112+Data!AG112+Data!AH112+Data!AD113+Data!AE113+Data!AF113+Data!AG113+Data!AH113+Data!AD114+Data!AE114+Data!AF114+Data!AG114+Data!AH114+Data!AD115+Data!AE115+Data!AF115+Data!AG115+Data!AH115+Data!AD116+Data!AE116+Data!AF116+Data!AG116+Data!AH116+Data!AD117+Data!AE117+Data!AF117+Data!AG117+Data!AH117</f>
        <v>1870517</v>
      </c>
      <c r="Z117" s="16" t="n">
        <f aca="false">Data!AI106+Data!AI107+Data!AI108+Data!AI109+Data!AI110+Data!AI111+Data!AI112+Data!AI113+Data!AI114+Data!AI115+Data!AI116+Data!AI117</f>
        <v>3419476</v>
      </c>
      <c r="AA117" s="16" t="n">
        <f aca="false">Data!AJ106+Data!AJ107+Data!AJ108+Data!AJ109+Data!AJ110+Data!AJ111+Data!AJ112+Data!AJ113+Data!AJ114+Data!AJ115+Data!AJ116+Data!AJ117</f>
        <v>0</v>
      </c>
      <c r="AB117" s="16" t="n">
        <f aca="false">Data!AK106+Data!AK107+Data!AK108+Data!AK109+Data!AK110+Data!AK111+Data!AK112+Data!AK113+Data!AK114+Data!AK115+Data!AK116+Data!AK117</f>
        <v>1005630</v>
      </c>
      <c r="AC117" s="16" t="n">
        <f aca="false">Data!AL106+Data!AL107+Data!AL108+Data!AL109+Data!AL110+Data!AL111+Data!AL112+Data!AL113+Data!AL114+Data!AL115+Data!AL116+Data!AL117</f>
        <v>2692932</v>
      </c>
      <c r="AD117" s="15" t="n">
        <f aca="false">Data!AM106+Data!AM107+Data!AM108+Data!AM109+Data!AM110+Data!AM111+Data!AM112+Data!AM113+Data!AM114+Data!AM115+Data!AM116+Data!AM117</f>
        <v>10894625</v>
      </c>
      <c r="AE117" s="16" t="n">
        <f aca="false">Data!AN106+Data!AN107+Data!AN108+Data!AN109+Data!AN110+Data!AN111+Data!AN112+Data!AN113+Data!AN114+Data!AN115+Data!AN116+Data!AN117</f>
        <v>8953609</v>
      </c>
      <c r="AF117" s="15" t="n">
        <f aca="false">Data!AO106+Data!AO107+Data!AO108+Data!AO109+Data!AO110+Data!AO111+Data!AO112+Data!AO113+Data!AO114+Data!AO115+Data!AO116+Data!AO117</f>
        <v>1941016</v>
      </c>
    </row>
    <row r="118" customFormat="false" ht="15" hidden="false" customHeight="false" outlineLevel="0" collapsed="false">
      <c r="B118" s="14" t="str">
        <f aca="false">Data!B118</f>
        <v>2025-04</v>
      </c>
      <c r="C118" s="15" t="n">
        <f aca="false">Data!D107+Data!E107+Data!F107+Data!G107+Data!H107+Data!I107+Data!J107+Data!K107+Data!L107+Data!M107+Data!N107+Data!O107+Data!P107+Data!Q107+Data!R107+Data!S107+Data!D108+Data!E108+Data!F108+Data!G108+Data!H108+Data!I108+Data!J108+Data!K108+Data!L108+Data!M108+Data!N108+Data!O108+Data!P108+Data!Q108+Data!R108+Data!S108+Data!D109+Data!E109+Data!F109+Data!G109+Data!H109+Data!I109+Data!J109+Data!K109+Data!L109+Data!M109+Data!N109+Data!O109+Data!P109+Data!Q109+Data!R109+Data!S109+Data!D110+Data!E110+Data!F110+Data!G110+Data!H110+Data!I110+Data!J110+Data!K110+Data!L110+Data!M110+Data!N110+Data!O110+Data!P110+Data!Q110+Data!R110+Data!S110+Data!D111+Data!E111+Data!F111+Data!G111+Data!H111+Data!I111+Data!J111+Data!K111+Data!L111+Data!M111+Data!N111+Data!O111+Data!P111+Data!Q111+Data!R111+Data!S111+Data!D112+Data!E112+Data!F112+Data!G112+Data!H112+Data!I112+Data!J112+Data!K112+Data!L112+Data!M112+Data!N112+Data!O112+Data!P112+Data!Q112+Data!R112+Data!S112+Data!D113+Data!E113+Data!F113+Data!G113+Data!H113+Data!I113+Data!J113+Data!K113+Data!L113+Data!M113+Data!N113+Data!O113+Data!P113+Data!Q113+Data!R113+Data!S113+Data!D114+Data!E114+Data!F114+Data!G114+Data!H114+Data!I114+Data!J114+Data!K114+Data!L114+Data!M114+Data!N114+Data!O114+Data!P114+Data!Q114+Data!R114+Data!S114+Data!D115+Data!E115+Data!F115+Data!G115+Data!H115+Data!I115+Data!J115+Data!K115+Data!L115+Data!M115+Data!N115+Data!O115+Data!P115+Data!Q115+Data!R115+Data!S115+Data!D116+Data!E116+Data!F116+Data!G116+Data!H116+Data!I116+Data!J116+Data!K116+Data!L116+Data!M116+Data!N116+Data!O116+Data!P116+Data!Q116+Data!R116+Data!S116+Data!D117+Data!E117+Data!F117+Data!G117+Data!H117+Data!I117+Data!J117+Data!K117+Data!L117+Data!M117+Data!N117+Data!O117+Data!P117+Data!Q117+Data!R117+Data!S117+Data!D118+Data!E118+Data!F118+Data!G118+Data!H118+Data!I118+Data!J118+Data!K118+Data!L118+Data!M118+Data!N118+Data!O118+Data!P118+Data!Q118+Data!R118+Data!S118</f>
        <v>114078182</v>
      </c>
      <c r="D118" s="16" t="n">
        <f aca="false">Data!D107+Data!E107+Data!G107+Data!H107+Data!I107+Data!J107+Data!K107+Data!L107+Data!M107+Data!D108+Data!E108+Data!G108+Data!H108+Data!I108+Data!J108+Data!K108+Data!L108+Data!M108+Data!D109+Data!E109+Data!G109+Data!H109+Data!I109+Data!J109+Data!K109+Data!L109+Data!M109+Data!D110+Data!E110+Data!G110+Data!H110+Data!I110+Data!J110+Data!K110+Data!L110+Data!M110+Data!D111+Data!E111+Data!G111+Data!H111+Data!I111+Data!J111+Data!K111+Data!L111+Data!M111+Data!D112+Data!E112+Data!G112+Data!H112+Data!I112+Data!J112+Data!K112+Data!L112+Data!M112+Data!D113+Data!E113+Data!G113+Data!H113+Data!I113+Data!J113+Data!K113+Data!L113+Data!M113+Data!D114+Data!E114+Data!G114+Data!H114+Data!I114+Data!J114+Data!K114+Data!L114+Data!M114+Data!D115+Data!E115+Data!G115+Data!H115+Data!I115+Data!J115+Data!K115+Data!L115+Data!M115+Data!D116+Data!E116+Data!G116+Data!H116+Data!I116+Data!J116+Data!K116+Data!L116+Data!M116+Data!D117+Data!E117+Data!G117+Data!H117+Data!I117+Data!J117+Data!K117+Data!L117+Data!M117+Data!D118+Data!E118+Data!G118+Data!H118+Data!I118+Data!J118+Data!K118+Data!L118+Data!M118</f>
        <v>68282342</v>
      </c>
      <c r="E118" s="16" t="n">
        <f aca="false">Data!D107+Data!D108+Data!D109+Data!D110+Data!D111+Data!D112+Data!D113+Data!D114+Data!D115+Data!D116+Data!D117+Data!D118</f>
        <v>23084578</v>
      </c>
      <c r="F118" s="16" t="n">
        <f aca="false">Data!E107+Data!E108+Data!E109+Data!E110+Data!E111+Data!E112+Data!E113+Data!E114+Data!E115+Data!E116+Data!E117+Data!E118</f>
        <v>11248663</v>
      </c>
      <c r="G118" s="16" t="n">
        <f aca="false">Data!K107+Data!K108+Data!K109+Data!K110+Data!K111+Data!K112+Data!K113+Data!K114+Data!K115+Data!K116+Data!K117+Data!K118</f>
        <v>6693191</v>
      </c>
      <c r="H118" s="16" t="n">
        <f aca="false">Data!L107+Data!L108+Data!L109+Data!L110+Data!L111+Data!L112+Data!L113+Data!L114+Data!L115+Data!L116+Data!L117+Data!L118</f>
        <v>3847890</v>
      </c>
      <c r="I118" s="16" t="n">
        <f aca="false">Data!G107+Data!G108+Data!G109+Data!G110+Data!G111+Data!G112+Data!G113+Data!G114+Data!G115+Data!G116+Data!G117+Data!G118</f>
        <v>11018193</v>
      </c>
      <c r="J118" s="16" t="n">
        <f aca="false">Data!H107+Data!I107+Data!J107+Data!M107+Data!H108+Data!I108+Data!J108+Data!M108+Data!H109+Data!I109+Data!J109+Data!M109+Data!H110+Data!I110+Data!J110+Data!M110+Data!H111+Data!I111+Data!J111+Data!M111+Data!H112+Data!I112+Data!J112+Data!M112+Data!H113+Data!I113+Data!J113+Data!M113+Data!H114+Data!I114+Data!J114+Data!M114+Data!H115+Data!I115+Data!J115+Data!M115+Data!H116+Data!I116+Data!J116+Data!M116+Data!H117+Data!I117+Data!J117+Data!M117+Data!H118+Data!I118+Data!J118+Data!M118</f>
        <v>12389827</v>
      </c>
      <c r="K118" s="16" t="n">
        <f aca="false">Data!F107+Data!F108+Data!F109+Data!F110+Data!F111+Data!F112+Data!F113+Data!F114+Data!F115+Data!F116+Data!F117+Data!F118</f>
        <v>37461911</v>
      </c>
      <c r="L118" s="16" t="n">
        <f aca="false">Data!N107+Data!O107+Data!P107+Data!Q107+Data!R107+Data!S107+Data!N108+Data!O108+Data!P108+Data!Q108+Data!R108+Data!S108+Data!N109+Data!O109+Data!P109+Data!Q109+Data!R109+Data!S109+Data!N110+Data!O110+Data!P110+Data!Q110+Data!R110+Data!S110+Data!N111+Data!O111+Data!P111+Data!Q111+Data!R111+Data!S111+Data!N112+Data!O112+Data!P112+Data!Q112+Data!R112+Data!S112+Data!N113+Data!O113+Data!P113+Data!Q113+Data!R113+Data!S113+Data!N114+Data!O114+Data!P114+Data!Q114+Data!R114+Data!S114+Data!N115+Data!O115+Data!P115+Data!Q115+Data!R115+Data!S115+Data!N116+Data!O116+Data!P116+Data!Q116+Data!R116+Data!S116+Data!N117+Data!O117+Data!P117+Data!Q117+Data!R117+Data!S117+Data!N118+Data!O118+Data!P118+Data!Q118+Data!R118+Data!S118</f>
        <v>8333929</v>
      </c>
      <c r="M118" s="15" t="n">
        <f aca="false">Data!T107+Data!U107+Data!V107+Data!W107+Data!X107+Data!Y107+Data!Z107+Data!AA107+Data!AB107+Data!AC107+Data!AD107+Data!AE107+Data!AF107+Data!AG107+Data!AH107+Data!AI107+Data!AJ107+Data!AK107+Data!AL107+Data!T108+Data!U108+Data!V108+Data!W108+Data!X108+Data!Y108+Data!Z108+Data!AA108+Data!AB108+Data!AC108+Data!AD108+Data!AE108+Data!AF108+Data!AG108+Data!AH108+Data!AI108+Data!AJ108+Data!AK108+Data!AL108+Data!T109+Data!U109+Data!V109+Data!W109+Data!X109+Data!Y109+Data!Z109+Data!AA109+Data!AB109+Data!AC109+Data!AD109+Data!AE109+Data!AF109+Data!AG109+Data!AH109+Data!AI109+Data!AJ109+Data!AK109+Data!AL109+Data!T110+Data!U110+Data!V110+Data!W110+Data!X110+Data!Y110+Data!Z110+Data!AA110+Data!AB110+Data!AC110+Data!AD110+Data!AE110+Data!AF110+Data!AG110+Data!AH110+Data!AI110+Data!AJ110+Data!AK110+Data!AL110+Data!T111+Data!U111+Data!V111+Data!W111+Data!X111+Data!Y111+Data!Z111+Data!AA111+Data!AB111+Data!AC111+Data!AD111+Data!AE111+Data!AF111+Data!AG111+Data!AH111+Data!AI111+Data!AJ111+Data!AK111+Data!AL111+Data!T112+Data!U112+Data!V112+Data!W112+Data!X112+Data!Y112+Data!Z112+Data!AA112+Data!AB112+Data!AC112+Data!AD112+Data!AE112+Data!AF112+Data!AG112+Data!AH112+Data!AI112+Data!AJ112+Data!AK112+Data!AL112+Data!T113+Data!U113+Data!V113+Data!W113+Data!X113+Data!Y113+Data!Z113+Data!AA113+Data!AB113+Data!AC113+Data!AD113+Data!AE113+Data!AF113+Data!AG113+Data!AH113+Data!AI113+Data!AJ113+Data!AK113+Data!AL113+Data!T114+Data!U114+Data!V114+Data!W114+Data!X114+Data!Y114+Data!Z114+Data!AA114+Data!AB114+Data!AC114+Data!AD114+Data!AE114+Data!AF114+Data!AG114+Data!AH114+Data!AI114+Data!AJ114+Data!AK114+Data!AL114+Data!T115+Data!U115+Data!V115+Data!W115+Data!X115+Data!Y115+Data!Z115+Data!AA115+Data!AB115+Data!AC115+Data!AD115+Data!AE115+Data!AF115+Data!AG115+Data!AH115+Data!AI115+Data!AJ115+Data!AK115+Data!AL115+Data!T116+Data!U116+Data!V116+Data!W116+Data!X116+Data!Y116+Data!Z116+Data!AA116+Data!AB116+Data!AC116+Data!AD116+Data!AE116+Data!AF116+Data!AG116+Data!AH116+Data!AI116+Data!AJ116+Data!AK116+Data!AL116+Data!T117+Data!U117+Data!V117+Data!W117+Data!X117+Data!Y117+Data!Z117+Data!AA117+Data!AB117+Data!AC117+Data!AD117+Data!AE117+Data!AF117+Data!AG117+Data!AH117+Data!AI117+Data!AJ117+Data!AK117+Data!AL117+Data!T118+Data!U118+Data!V118+Data!W118+Data!X118+Data!Y118+Data!Z118+Data!AA118+Data!AB118+Data!AC118+Data!AD118+Data!AE118+Data!AF118+Data!AG118+Data!AH118+Data!AI118+Data!AJ118+Data!AK118+Data!AL118</f>
        <v>102602560</v>
      </c>
      <c r="N118" s="16" t="n">
        <f aca="false">Data!T107+Data!U107+Data!V107+Data!W107+Data!T108+Data!U108+Data!V108+Data!W108+Data!T109+Data!U109+Data!V109+Data!W109+Data!T110+Data!U110+Data!V110+Data!W110+Data!T111+Data!U111+Data!V111+Data!W111+Data!T112+Data!U112+Data!V112+Data!W112+Data!T113+Data!U113+Data!V113+Data!W113+Data!T114+Data!U114+Data!V114+Data!W114+Data!T115+Data!U115+Data!V115+Data!W115+Data!T116+Data!U116+Data!V116+Data!W116+Data!T117+Data!U117+Data!V117+Data!W117+Data!T118+Data!U118+Data!V118+Data!W118</f>
        <v>57714480</v>
      </c>
      <c r="O118" s="16" t="n">
        <f aca="false">Data!T107+Data!T108+Data!T109+Data!T110+Data!T111+Data!T112+Data!T113+Data!T114+Data!T115+Data!T116+Data!T117+Data!T118</f>
        <v>40282101</v>
      </c>
      <c r="P118" s="16" t="n">
        <f aca="false">Data!U107+Data!U108+Data!U109+Data!U110+Data!U111+Data!U112+Data!U113+Data!U114+Data!U115+Data!U116+Data!U117+Data!U118</f>
        <v>7062633</v>
      </c>
      <c r="Q118" s="16" t="n">
        <f aca="false">Data!V107+Data!V108+Data!V109+Data!V110+Data!V111+Data!V112+Data!V113+Data!V114+Data!V115+Data!V116+Data!V117+Data!V118</f>
        <v>3656967</v>
      </c>
      <c r="R118" s="16" t="n">
        <f aca="false">Data!W107+Data!W108+Data!W109+Data!W110+Data!W111+Data!W112+Data!W113+Data!W114+Data!W115+Data!W116+Data!W117+Data!W118</f>
        <v>6712779</v>
      </c>
      <c r="S118" s="16" t="n">
        <f aca="false">Data!X107+Data!X108+Data!X109+Data!X110+Data!X111+Data!X112+Data!X113+Data!X114+Data!X115+Data!X116+Data!X117+Data!X118</f>
        <v>8681922</v>
      </c>
      <c r="T118" s="16" t="n">
        <f aca="false">Data!Y107+Data!Z107+Data!AA107+Data!Y108+Data!Z108+Data!AA108+Data!Y109+Data!Z109+Data!AA109+Data!Y110+Data!Z110+Data!AA110+Data!Y111+Data!Z111+Data!AA111+Data!Y112+Data!Z112+Data!AA112+Data!Y113+Data!Z113+Data!AA113+Data!Y114+Data!Z114+Data!AA114+Data!Y115+Data!Z115+Data!AA115+Data!Y116+Data!Z116+Data!AA116+Data!Y117+Data!Z117+Data!AA117+Data!Y118+Data!Z118+Data!AA118</f>
        <v>8381992</v>
      </c>
      <c r="U118" s="16" t="n">
        <f aca="false">Data!Y107+Data!Y108+Data!Y109+Data!Y110+Data!Y111+Data!Y112+Data!Y113+Data!Y114+Data!Y115+Data!Y116+Data!Y117+Data!Y118</f>
        <v>5782022</v>
      </c>
      <c r="V118" s="16" t="n">
        <f aca="false">Data!Z107+Data!Z108+Data!Z109+Data!Z110+Data!Z111+Data!Z112+Data!Z113+Data!Z114+Data!Z115+Data!Z116+Data!Z117+Data!Z118</f>
        <v>2467295</v>
      </c>
      <c r="W118" s="16" t="n">
        <f aca="false">Data!AB107+Data!AB108+Data!AB109+Data!AB110+Data!AB111+Data!AB112+Data!AB113+Data!AB114+Data!AB115+Data!AB116+Data!AB117+Data!AB118</f>
        <v>14362592</v>
      </c>
      <c r="X118" s="16" t="n">
        <f aca="false">Data!AC107+Data!AC108+Data!AC109+Data!AC110+Data!AC111+Data!AC112+Data!AC113+Data!AC114+Data!AC115+Data!AC116+Data!AC117+Data!AC118</f>
        <v>3870914</v>
      </c>
      <c r="Y118" s="16" t="n">
        <f aca="false">Data!AD107+Data!AE107+Data!AF107+Data!AG107+Data!AH107+Data!AD108+Data!AE108+Data!AF108+Data!AG108+Data!AH108+Data!AD109+Data!AE109+Data!AF109+Data!AG109+Data!AH109+Data!AD110+Data!AE110+Data!AF110+Data!AG110+Data!AH110+Data!AD111+Data!AE111+Data!AF111+Data!AG111+Data!AH111+Data!AD112+Data!AE112+Data!AF112+Data!AG112+Data!AH112+Data!AD113+Data!AE113+Data!AF113+Data!AG113+Data!AH113+Data!AD114+Data!AE114+Data!AF114+Data!AG114+Data!AH114+Data!AD115+Data!AE115+Data!AF115+Data!AG115+Data!AH115+Data!AD116+Data!AE116+Data!AF116+Data!AG116+Data!AH116+Data!AD117+Data!AE117+Data!AF117+Data!AG117+Data!AH117+Data!AD118+Data!AE118+Data!AF118+Data!AG118+Data!AH118</f>
        <v>2057938</v>
      </c>
      <c r="Z118" s="16" t="n">
        <f aca="false">Data!AI107+Data!AI108+Data!AI109+Data!AI110+Data!AI111+Data!AI112+Data!AI113+Data!AI114+Data!AI115+Data!AI116+Data!AI117+Data!AI118</f>
        <v>3813812</v>
      </c>
      <c r="AA118" s="16" t="n">
        <f aca="false">Data!AJ107+Data!AJ108+Data!AJ109+Data!AJ110+Data!AJ111+Data!AJ112+Data!AJ113+Data!AJ114+Data!AJ115+Data!AJ116+Data!AJ117+Data!AJ118</f>
        <v>0</v>
      </c>
      <c r="AB118" s="16" t="n">
        <f aca="false">Data!AK107+Data!AK108+Data!AK109+Data!AK110+Data!AK111+Data!AK112+Data!AK113+Data!AK114+Data!AK115+Data!AK116+Data!AK117+Data!AK118</f>
        <v>988363</v>
      </c>
      <c r="AC118" s="16" t="n">
        <f aca="false">Data!AL107+Data!AL108+Data!AL109+Data!AL110+Data!AL111+Data!AL112+Data!AL113+Data!AL114+Data!AL115+Data!AL116+Data!AL117+Data!AL118</f>
        <v>2730547</v>
      </c>
      <c r="AD118" s="15" t="n">
        <f aca="false">Data!AM107+Data!AM108+Data!AM109+Data!AM110+Data!AM111+Data!AM112+Data!AM113+Data!AM114+Data!AM115+Data!AM116+Data!AM117+Data!AM118</f>
        <v>11475622</v>
      </c>
      <c r="AE118" s="16" t="n">
        <f aca="false">Data!AN107+Data!AN108+Data!AN109+Data!AN110+Data!AN111+Data!AN112+Data!AN113+Data!AN114+Data!AN115+Data!AN116+Data!AN117+Data!AN118</f>
        <v>8979674</v>
      </c>
      <c r="AF118" s="15" t="n">
        <f aca="false">Data!AO107+Data!AO108+Data!AO109+Data!AO110+Data!AO111+Data!AO112+Data!AO113+Data!AO114+Data!AO115+Data!AO116+Data!AO117+Data!AO118</f>
        <v>2495948</v>
      </c>
    </row>
    <row r="119" customFormat="false" ht="15" hidden="false" customHeight="false" outlineLevel="0" collapsed="false">
      <c r="B119" s="14" t="str">
        <f aca="false">Data!B119</f>
        <v>2025-05</v>
      </c>
      <c r="C119" s="15" t="n">
        <f aca="false">Data!D108+Data!E108+Data!F108+Data!G108+Data!H108+Data!I108+Data!J108+Data!K108+Data!L108+Data!M108+Data!N108+Data!O108+Data!P108+Data!Q108+Data!R108+Data!S108+Data!D109+Data!E109+Data!F109+Data!G109+Data!H109+Data!I109+Data!J109+Data!K109+Data!L109+Data!M109+Data!N109+Data!O109+Data!P109+Data!Q109+Data!R109+Data!S109+Data!D110+Data!E110+Data!F110+Data!G110+Data!H110+Data!I110+Data!J110+Data!K110+Data!L110+Data!M110+Data!N110+Data!O110+Data!P110+Data!Q110+Data!R110+Data!S110+Data!D111+Data!E111+Data!F111+Data!G111+Data!H111+Data!I111+Data!J111+Data!K111+Data!L111+Data!M111+Data!N111+Data!O111+Data!P111+Data!Q111+Data!R111+Data!S111+Data!D112+Data!E112+Data!F112+Data!G112+Data!H112+Data!I112+Data!J112+Data!K112+Data!L112+Data!M112+Data!N112+Data!O112+Data!P112+Data!Q112+Data!R112+Data!S112+Data!D113+Data!E113+Data!F113+Data!G113+Data!H113+Data!I113+Data!J113+Data!K113+Data!L113+Data!M113+Data!N113+Data!O113+Data!P113+Data!Q113+Data!R113+Data!S113+Data!D114+Data!E114+Data!F114+Data!G114+Data!H114+Data!I114+Data!J114+Data!K114+Data!L114+Data!M114+Data!N114+Data!O114+Data!P114+Data!Q114+Data!R114+Data!S114+Data!D115+Data!E115+Data!F115+Data!G115+Data!H115+Data!I115+Data!J115+Data!K115+Data!L115+Data!M115+Data!N115+Data!O115+Data!P115+Data!Q115+Data!R115+Data!S115+Data!D116+Data!E116+Data!F116+Data!G116+Data!H116+Data!I116+Data!J116+Data!K116+Data!L116+Data!M116+Data!N116+Data!O116+Data!P116+Data!Q116+Data!R116+Data!S116+Data!D117+Data!E117+Data!F117+Data!G117+Data!H117+Data!I117+Data!J117+Data!K117+Data!L117+Data!M117+Data!N117+Data!O117+Data!P117+Data!Q117+Data!R117+Data!S117+Data!D118+Data!E118+Data!F118+Data!G118+Data!H118+Data!I118+Data!J118+Data!K118+Data!L118+Data!M118+Data!N118+Data!O118+Data!P118+Data!Q118+Data!R118+Data!S118+Data!D119+Data!E119+Data!F119+Data!G119+Data!H119+Data!I119+Data!J119+Data!K119+Data!L119+Data!M119+Data!N119+Data!O119+Data!P119+Data!Q119+Data!R119+Data!S119</f>
        <v>116248188</v>
      </c>
      <c r="D119" s="16" t="n">
        <f aca="false">Data!D108+Data!E108+Data!G108+Data!H108+Data!I108+Data!J108+Data!K108+Data!L108+Data!M108+Data!D109+Data!E109+Data!G109+Data!H109+Data!I109+Data!J109+Data!K109+Data!L109+Data!M109+Data!D110+Data!E110+Data!G110+Data!H110+Data!I110+Data!J110+Data!K110+Data!L110+Data!M110+Data!D111+Data!E111+Data!G111+Data!H111+Data!I111+Data!J111+Data!K111+Data!L111+Data!M111+Data!D112+Data!E112+Data!G112+Data!H112+Data!I112+Data!J112+Data!K112+Data!L112+Data!M112+Data!D113+Data!E113+Data!G113+Data!H113+Data!I113+Data!J113+Data!K113+Data!L113+Data!M113+Data!D114+Data!E114+Data!G114+Data!H114+Data!I114+Data!J114+Data!K114+Data!L114+Data!M114+Data!D115+Data!E115+Data!G115+Data!H115+Data!I115+Data!J115+Data!K115+Data!L115+Data!M115+Data!D116+Data!E116+Data!G116+Data!H116+Data!I116+Data!J116+Data!K116+Data!L116+Data!M116+Data!D117+Data!E117+Data!G117+Data!H117+Data!I117+Data!J117+Data!K117+Data!L117+Data!M117+Data!D118+Data!E118+Data!G118+Data!H118+Data!I118+Data!J118+Data!K118+Data!L118+Data!M118+Data!D119+Data!E119+Data!G119+Data!H119+Data!I119+Data!J119+Data!K119+Data!L119+Data!M119</f>
        <v>68746849</v>
      </c>
      <c r="E119" s="16" t="n">
        <f aca="false">Data!D108+Data!D109+Data!D110+Data!D111+Data!D112+Data!D113+Data!D114+Data!D115+Data!D116+Data!D117+Data!D118+Data!D119</f>
        <v>23690522</v>
      </c>
      <c r="F119" s="16" t="n">
        <f aca="false">Data!E108+Data!E109+Data!E110+Data!E111+Data!E112+Data!E113+Data!E114+Data!E115+Data!E116+Data!E117+Data!E118+Data!E119</f>
        <v>10820594</v>
      </c>
      <c r="G119" s="16" t="n">
        <f aca="false">Data!K108+Data!K109+Data!K110+Data!K111+Data!K112+Data!K113+Data!K114+Data!K115+Data!K116+Data!K117+Data!K118+Data!K119</f>
        <v>6611892</v>
      </c>
      <c r="H119" s="16" t="n">
        <f aca="false">Data!L108+Data!L109+Data!L110+Data!L111+Data!L112+Data!L113+Data!L114+Data!L115+Data!L116+Data!L117+Data!L118+Data!L119</f>
        <v>4016795</v>
      </c>
      <c r="I119" s="16" t="n">
        <f aca="false">Data!G108+Data!G109+Data!G110+Data!G111+Data!G112+Data!G113+Data!G114+Data!G115+Data!G116+Data!G117+Data!G118+Data!G119</f>
        <v>11496619</v>
      </c>
      <c r="J119" s="16" t="n">
        <f aca="false">Data!H108+Data!I108+Data!J108+Data!M108+Data!H109+Data!I109+Data!J109+Data!M109+Data!H110+Data!I110+Data!J110+Data!M110+Data!H111+Data!I111+Data!J111+Data!M111+Data!H112+Data!I112+Data!J112+Data!M112+Data!H113+Data!I113+Data!J113+Data!M113+Data!H114+Data!I114+Data!J114+Data!M114+Data!H115+Data!I115+Data!J115+Data!M115+Data!H116+Data!I116+Data!J116+Data!M116+Data!H117+Data!I117+Data!J117+Data!M117+Data!H118+Data!I118+Data!J118+Data!M118+Data!H119+Data!I119+Data!J119+Data!M119</f>
        <v>12110427</v>
      </c>
      <c r="K119" s="16" t="n">
        <f aca="false">Data!F108+Data!F109+Data!F110+Data!F111+Data!F112+Data!F113+Data!F114+Data!F115+Data!F116+Data!F117+Data!F118+Data!F119</f>
        <v>38918912</v>
      </c>
      <c r="L119" s="16" t="n">
        <f aca="false">Data!N108+Data!O108+Data!P108+Data!Q108+Data!R108+Data!S108+Data!N109+Data!O109+Data!P109+Data!Q109+Data!R109+Data!S109+Data!N110+Data!O110+Data!P110+Data!Q110+Data!R110+Data!S110+Data!N111+Data!O111+Data!P111+Data!Q111+Data!R111+Data!S111+Data!N112+Data!O112+Data!P112+Data!Q112+Data!R112+Data!S112+Data!N113+Data!O113+Data!P113+Data!Q113+Data!R113+Data!S113+Data!N114+Data!O114+Data!P114+Data!Q114+Data!R114+Data!S114+Data!N115+Data!O115+Data!P115+Data!Q115+Data!R115+Data!S115+Data!N116+Data!O116+Data!P116+Data!Q116+Data!R116+Data!S116+Data!N117+Data!O117+Data!P117+Data!Q117+Data!R117+Data!S117+Data!N118+Data!O118+Data!P118+Data!Q118+Data!R118+Data!S118+Data!N119+Data!O119+Data!P119+Data!Q119+Data!R119+Data!S119</f>
        <v>8582427</v>
      </c>
      <c r="M119" s="15" t="n">
        <f aca="false">Data!T108+Data!U108+Data!V108+Data!W108+Data!X108+Data!Y108+Data!Z108+Data!AA108+Data!AB108+Data!AC108+Data!AD108+Data!AE108+Data!AF108+Data!AG108+Data!AH108+Data!AI108+Data!AJ108+Data!AK108+Data!AL108+Data!T109+Data!U109+Data!V109+Data!W109+Data!X109+Data!Y109+Data!Z109+Data!AA109+Data!AB109+Data!AC109+Data!AD109+Data!AE109+Data!AF109+Data!AG109+Data!AH109+Data!AI109+Data!AJ109+Data!AK109+Data!AL109+Data!T110+Data!U110+Data!V110+Data!W110+Data!X110+Data!Y110+Data!Z110+Data!AA110+Data!AB110+Data!AC110+Data!AD110+Data!AE110+Data!AF110+Data!AG110+Data!AH110+Data!AI110+Data!AJ110+Data!AK110+Data!AL110+Data!T111+Data!U111+Data!V111+Data!W111+Data!X111+Data!Y111+Data!Z111+Data!AA111+Data!AB111+Data!AC111+Data!AD111+Data!AE111+Data!AF111+Data!AG111+Data!AH111+Data!AI111+Data!AJ111+Data!AK111+Data!AL111+Data!T112+Data!U112+Data!V112+Data!W112+Data!X112+Data!Y112+Data!Z112+Data!AA112+Data!AB112+Data!AC112+Data!AD112+Data!AE112+Data!AF112+Data!AG112+Data!AH112+Data!AI112+Data!AJ112+Data!AK112+Data!AL112+Data!T113+Data!U113+Data!V113+Data!W113+Data!X113+Data!Y113+Data!Z113+Data!AA113+Data!AB113+Data!AC113+Data!AD113+Data!AE113+Data!AF113+Data!AG113+Data!AH113+Data!AI113+Data!AJ113+Data!AK113+Data!AL113+Data!T114+Data!U114+Data!V114+Data!W114+Data!X114+Data!Y114+Data!Z114+Data!AA114+Data!AB114+Data!AC114+Data!AD114+Data!AE114+Data!AF114+Data!AG114+Data!AH114+Data!AI114+Data!AJ114+Data!AK114+Data!AL114+Data!T115+Data!U115+Data!V115+Data!W115+Data!X115+Data!Y115+Data!Z115+Data!AA115+Data!AB115+Data!AC115+Data!AD115+Data!AE115+Data!AF115+Data!AG115+Data!AH115+Data!AI115+Data!AJ115+Data!AK115+Data!AL115+Data!T116+Data!U116+Data!V116+Data!W116+Data!X116+Data!Y116+Data!Z116+Data!AA116+Data!AB116+Data!AC116+Data!AD116+Data!AE116+Data!AF116+Data!AG116+Data!AH116+Data!AI116+Data!AJ116+Data!AK116+Data!AL116+Data!T117+Data!U117+Data!V117+Data!W117+Data!X117+Data!Y117+Data!Z117+Data!AA117+Data!AB117+Data!AC117+Data!AD117+Data!AE117+Data!AF117+Data!AG117+Data!AH117+Data!AI117+Data!AJ117+Data!AK117+Data!AL117+Data!T118+Data!U118+Data!V118+Data!W118+Data!X118+Data!Y118+Data!Z118+Data!AA118+Data!AB118+Data!AC118+Data!AD118+Data!AE118+Data!AF118+Data!AG118+Data!AH118+Data!AI118+Data!AJ118+Data!AK118+Data!AL118+Data!T119+Data!U119+Data!V119+Data!W119+Data!X119+Data!Y119+Data!Z119+Data!AA119+Data!AB119+Data!AC119+Data!AD119+Data!AE119+Data!AF119+Data!AG119+Data!AH119+Data!AI119+Data!AJ119+Data!AK119+Data!AL119</f>
        <v>105407854</v>
      </c>
      <c r="N119" s="16" t="n">
        <f aca="false">Data!T108+Data!U108+Data!V108+Data!W108+Data!T109+Data!U109+Data!V109+Data!W109+Data!T110+Data!U110+Data!V110+Data!W110+Data!T111+Data!U111+Data!V111+Data!W111+Data!T112+Data!U112+Data!V112+Data!W112+Data!T113+Data!U113+Data!V113+Data!W113+Data!T114+Data!U114+Data!V114+Data!W114+Data!T115+Data!U115+Data!V115+Data!W115+Data!T116+Data!U116+Data!V116+Data!W116+Data!T117+Data!U117+Data!V117+Data!W117+Data!T118+Data!U118+Data!V118+Data!W118+Data!T119+Data!U119+Data!V119+Data!W119</f>
        <v>59877229</v>
      </c>
      <c r="O119" s="16" t="n">
        <f aca="false">Data!T108+Data!T109+Data!T110+Data!T111+Data!T112+Data!T113+Data!T114+Data!T115+Data!T116+Data!T117+Data!T118+Data!T119</f>
        <v>41839550</v>
      </c>
      <c r="P119" s="16" t="n">
        <f aca="false">Data!U108+Data!U109+Data!U110+Data!U111+Data!U112+Data!U113+Data!U114+Data!U115+Data!U116+Data!U117+Data!U118+Data!U119</f>
        <v>7390944</v>
      </c>
      <c r="Q119" s="16" t="n">
        <f aca="false">Data!V108+Data!V109+Data!V110+Data!V111+Data!V112+Data!V113+Data!V114+Data!V115+Data!V116+Data!V117+Data!V118+Data!V119</f>
        <v>3769161</v>
      </c>
      <c r="R119" s="16" t="n">
        <f aca="false">Data!W108+Data!W109+Data!W110+Data!W111+Data!W112+Data!W113+Data!W114+Data!W115+Data!W116+Data!W117+Data!W118+Data!W119</f>
        <v>6877574</v>
      </c>
      <c r="S119" s="16" t="n">
        <f aca="false">Data!X108+Data!X109+Data!X110+Data!X111+Data!X112+Data!X113+Data!X114+Data!X115+Data!X116+Data!X117+Data!X118+Data!X119</f>
        <v>8811331</v>
      </c>
      <c r="T119" s="16" t="n">
        <f aca="false">Data!Y108+Data!Z108+Data!AA108+Data!Y109+Data!Z109+Data!AA109+Data!Y110+Data!Z110+Data!AA110+Data!Y111+Data!Z111+Data!AA111+Data!Y112+Data!Z112+Data!AA112+Data!Y113+Data!Z113+Data!AA113+Data!Y114+Data!Z114+Data!AA114+Data!Y115+Data!Z115+Data!AA115+Data!Y116+Data!Z116+Data!AA116+Data!Y117+Data!Z117+Data!AA117+Data!Y118+Data!Z118+Data!AA118+Data!Y119+Data!Z119+Data!AA119</f>
        <v>8009097</v>
      </c>
      <c r="U119" s="16" t="n">
        <f aca="false">Data!Y108+Data!Y109+Data!Y110+Data!Y111+Data!Y112+Data!Y113+Data!Y114+Data!Y115+Data!Y116+Data!Y117+Data!Y118+Data!Y119</f>
        <v>5316221</v>
      </c>
      <c r="V119" s="16" t="n">
        <f aca="false">Data!Z108+Data!Z109+Data!Z110+Data!Z111+Data!Z112+Data!Z113+Data!Z114+Data!Z115+Data!Z116+Data!Z117+Data!Z118+Data!Z119</f>
        <v>2564243</v>
      </c>
      <c r="W119" s="16" t="n">
        <f aca="false">Data!AB108+Data!AB109+Data!AB110+Data!AB111+Data!AB112+Data!AB113+Data!AB114+Data!AB115+Data!AB116+Data!AB117+Data!AB118+Data!AB119</f>
        <v>14698663</v>
      </c>
      <c r="X119" s="16" t="n">
        <f aca="false">Data!AC108+Data!AC109+Data!AC110+Data!AC111+Data!AC112+Data!AC113+Data!AC114+Data!AC115+Data!AC116+Data!AC117+Data!AC118+Data!AC119</f>
        <v>4063922</v>
      </c>
      <c r="Y119" s="16" t="n">
        <f aca="false">Data!AD108+Data!AE108+Data!AF108+Data!AG108+Data!AH108+Data!AD109+Data!AE109+Data!AF109+Data!AG109+Data!AH109+Data!AD110+Data!AE110+Data!AF110+Data!AG110+Data!AH110+Data!AD111+Data!AE111+Data!AF111+Data!AG111+Data!AH111+Data!AD112+Data!AE112+Data!AF112+Data!AG112+Data!AH112+Data!AD113+Data!AE113+Data!AF113+Data!AG113+Data!AH113+Data!AD114+Data!AE114+Data!AF114+Data!AG114+Data!AH114+Data!AD115+Data!AE115+Data!AF115+Data!AG115+Data!AH115+Data!AD116+Data!AE116+Data!AF116+Data!AG116+Data!AH116+Data!AD117+Data!AE117+Data!AF117+Data!AG117+Data!AH117+Data!AD118+Data!AE118+Data!AF118+Data!AG118+Data!AH118+Data!AD119+Data!AE119+Data!AF119+Data!AG119+Data!AH119</f>
        <v>2191679</v>
      </c>
      <c r="Z119" s="16" t="n">
        <f aca="false">Data!AI108+Data!AI109+Data!AI110+Data!AI111+Data!AI112+Data!AI113+Data!AI114+Data!AI115+Data!AI116+Data!AI117+Data!AI118+Data!AI119</f>
        <v>3894391</v>
      </c>
      <c r="AA119" s="16" t="n">
        <f aca="false">Data!AJ108+Data!AJ109+Data!AJ110+Data!AJ111+Data!AJ112+Data!AJ113+Data!AJ114+Data!AJ115+Data!AJ116+Data!AJ117+Data!AJ118+Data!AJ119</f>
        <v>0</v>
      </c>
      <c r="AB119" s="16" t="n">
        <f aca="false">Data!AK108+Data!AK109+Data!AK110+Data!AK111+Data!AK112+Data!AK113+Data!AK114+Data!AK115+Data!AK116+Data!AK117+Data!AK118+Data!AK119</f>
        <v>1141306</v>
      </c>
      <c r="AC119" s="16" t="n">
        <f aca="false">Data!AL108+Data!AL109+Data!AL110+Data!AL111+Data!AL112+Data!AL113+Data!AL114+Data!AL115+Data!AL116+Data!AL117+Data!AL118+Data!AL119</f>
        <v>2720236</v>
      </c>
      <c r="AD119" s="15" t="n">
        <f aca="false">Data!AM108+Data!AM109+Data!AM110+Data!AM111+Data!AM112+Data!AM113+Data!AM114+Data!AM115+Data!AM116+Data!AM117+Data!AM118+Data!AM119</f>
        <v>10840334</v>
      </c>
      <c r="AE119" s="16" t="n">
        <f aca="false">Data!AN108+Data!AN109+Data!AN110+Data!AN111+Data!AN112+Data!AN113+Data!AN114+Data!AN115+Data!AN116+Data!AN117+Data!AN118+Data!AN119</f>
        <v>8865835</v>
      </c>
      <c r="AF119" s="15" t="n">
        <f aca="false">Data!AO108+Data!AO109+Data!AO110+Data!AO111+Data!AO112+Data!AO113+Data!AO114+Data!AO115+Data!AO116+Data!AO117+Data!AO118+Data!AO119</f>
        <v>1974500</v>
      </c>
    </row>
    <row r="120" customFormat="false" ht="15" hidden="false" customHeight="false" outlineLevel="0" collapsed="false">
      <c r="B120" s="14" t="str">
        <f aca="false">Data!B120</f>
        <v>2025-06</v>
      </c>
      <c r="C120" s="15" t="n">
        <f aca="false">Data!D109+Data!E109+Data!F109+Data!G109+Data!H109+Data!I109+Data!J109+Data!K109+Data!L109+Data!M109+Data!N109+Data!O109+Data!P109+Data!Q109+Data!R109+Data!S109+Data!D110+Data!E110+Data!F110+Data!G110+Data!H110+Data!I110+Data!J110+Data!K110+Data!L110+Data!M110+Data!N110+Data!O110+Data!P110+Data!Q110+Data!R110+Data!S110+Data!D111+Data!E111+Data!F111+Data!G111+Data!H111+Data!I111+Data!J111+Data!K111+Data!L111+Data!M111+Data!N111+Data!O111+Data!P111+Data!Q111+Data!R111+Data!S111+Data!D112+Data!E112+Data!F112+Data!G112+Data!H112+Data!I112+Data!J112+Data!K112+Data!L112+Data!M112+Data!N112+Data!O112+Data!P112+Data!Q112+Data!R112+Data!S112+Data!D113+Data!E113+Data!F113+Data!G113+Data!H113+Data!I113+Data!J113+Data!K113+Data!L113+Data!M113+Data!N113+Data!O113+Data!P113+Data!Q113+Data!R113+Data!S113+Data!D114+Data!E114+Data!F114+Data!G114+Data!H114+Data!I114+Data!J114+Data!K114+Data!L114+Data!M114+Data!N114+Data!O114+Data!P114+Data!Q114+Data!R114+Data!S114+Data!D115+Data!E115+Data!F115+Data!G115+Data!H115+Data!I115+Data!J115+Data!K115+Data!L115+Data!M115+Data!N115+Data!O115+Data!P115+Data!Q115+Data!R115+Data!S115+Data!D116+Data!E116+Data!F116+Data!G116+Data!H116+Data!I116+Data!J116+Data!K116+Data!L116+Data!M116+Data!N116+Data!O116+Data!P116+Data!Q116+Data!R116+Data!S116+Data!D117+Data!E117+Data!F117+Data!G117+Data!H117+Data!I117+Data!J117+Data!K117+Data!L117+Data!M117+Data!N117+Data!O117+Data!P117+Data!Q117+Data!R117+Data!S117+Data!D118+Data!E118+Data!F118+Data!G118+Data!H118+Data!I118+Data!J118+Data!K118+Data!L118+Data!M118+Data!N118+Data!O118+Data!P118+Data!Q118+Data!R118+Data!S118+Data!D119+Data!E119+Data!F119+Data!G119+Data!H119+Data!I119+Data!J119+Data!K119+Data!L119+Data!M119+Data!N119+Data!O119+Data!P119+Data!Q119+Data!R119+Data!S119+Data!D120+Data!E120+Data!F120+Data!G120+Data!H120+Data!I120+Data!J120+Data!K120+Data!L120+Data!M120+Data!N120+Data!O120+Data!P120+Data!Q120+Data!R120+Data!S120</f>
        <v>119648919</v>
      </c>
      <c r="D120" s="16" t="n">
        <f aca="false">Data!D109+Data!E109+Data!G109+Data!H109+Data!I109+Data!J109+Data!K109+Data!L109+Data!M109+Data!D110+Data!E110+Data!G110+Data!H110+Data!I110+Data!J110+Data!K110+Data!L110+Data!M110+Data!D111+Data!E111+Data!G111+Data!H111+Data!I111+Data!J111+Data!K111+Data!L111+Data!M111+Data!D112+Data!E112+Data!G112+Data!H112+Data!I112+Data!J112+Data!K112+Data!L112+Data!M112+Data!D113+Data!E113+Data!G113+Data!H113+Data!I113+Data!J113+Data!K113+Data!L113+Data!M113+Data!D114+Data!E114+Data!G114+Data!H114+Data!I114+Data!J114+Data!K114+Data!L114+Data!M114+Data!D115+Data!E115+Data!G115+Data!H115+Data!I115+Data!J115+Data!K115+Data!L115+Data!M115+Data!D116+Data!E116+Data!G116+Data!H116+Data!I116+Data!J116+Data!K116+Data!L116+Data!M116+Data!D117+Data!E117+Data!G117+Data!H117+Data!I117+Data!J117+Data!K117+Data!L117+Data!M117+Data!D118+Data!E118+Data!G118+Data!H118+Data!I118+Data!J118+Data!K118+Data!L118+Data!M118+Data!D119+Data!E119+Data!G119+Data!H119+Data!I119+Data!J119+Data!K119+Data!L119+Data!M119+Data!D120+Data!E120+Data!G120+Data!H120+Data!I120+Data!J120+Data!K120+Data!L120+Data!M120</f>
        <v>70618540</v>
      </c>
      <c r="E120" s="16" t="n">
        <f aca="false">Data!D109+Data!D110+Data!D111+Data!D112+Data!D113+Data!D114+Data!D115+Data!D116+Data!D117+Data!D118+Data!D119+Data!D120</f>
        <v>24472253</v>
      </c>
      <c r="F120" s="16" t="n">
        <f aca="false">Data!E109+Data!E110+Data!E111+Data!E112+Data!E113+Data!E114+Data!E115+Data!E116+Data!E117+Data!E118+Data!E119+Data!E120</f>
        <v>10810345</v>
      </c>
      <c r="G120" s="16" t="n">
        <f aca="false">Data!K109+Data!K110+Data!K111+Data!K112+Data!K113+Data!K114+Data!K115+Data!K116+Data!K117+Data!K118+Data!K119+Data!K120</f>
        <v>7365610</v>
      </c>
      <c r="H120" s="16" t="n">
        <f aca="false">Data!L109+Data!L110+Data!L111+Data!L112+Data!L113+Data!L114+Data!L115+Data!L116+Data!L117+Data!L118+Data!L119+Data!L120</f>
        <v>4243761</v>
      </c>
      <c r="I120" s="16" t="n">
        <f aca="false">Data!G109+Data!G110+Data!G111+Data!G112+Data!G113+Data!G114+Data!G115+Data!G116+Data!G117+Data!G118+Data!G119+Data!G120</f>
        <v>11680806</v>
      </c>
      <c r="J120" s="16" t="n">
        <f aca="false">Data!H109+Data!I109+Data!J109+Data!M109+Data!H110+Data!I110+Data!J110+Data!M110+Data!H111+Data!I111+Data!J111+Data!M111+Data!H112+Data!I112+Data!J112+Data!M112+Data!H113+Data!I113+Data!J113+Data!M113+Data!H114+Data!I114+Data!J114+Data!M114+Data!H115+Data!I115+Data!J115+Data!M115+Data!H116+Data!I116+Data!J116+Data!M116+Data!H117+Data!I117+Data!J117+Data!M117+Data!H118+Data!I118+Data!J118+Data!M118+Data!H119+Data!I119+Data!J119+Data!M119+Data!H120+Data!I120+Data!J120+Data!M120</f>
        <v>12045765</v>
      </c>
      <c r="K120" s="16" t="n">
        <f aca="false">Data!F109+Data!F110+Data!F111+Data!F112+Data!F113+Data!F114+Data!F115+Data!F116+Data!F117+Data!F118+Data!F119+Data!F120</f>
        <v>40252135</v>
      </c>
      <c r="L120" s="16" t="n">
        <f aca="false">Data!N109+Data!O109+Data!P109+Data!Q109+Data!R109+Data!S109+Data!N110+Data!O110+Data!P110+Data!Q110+Data!R110+Data!S110+Data!N111+Data!O111+Data!P111+Data!Q111+Data!R111+Data!S111+Data!N112+Data!O112+Data!P112+Data!Q112+Data!R112+Data!S112+Data!N113+Data!O113+Data!P113+Data!Q113+Data!R113+Data!S113+Data!N114+Data!O114+Data!P114+Data!Q114+Data!R114+Data!S114+Data!N115+Data!O115+Data!P115+Data!Q115+Data!R115+Data!S115+Data!N116+Data!O116+Data!P116+Data!Q116+Data!R116+Data!S116+Data!N117+Data!O117+Data!P117+Data!Q117+Data!R117+Data!S117+Data!N118+Data!O118+Data!P118+Data!Q118+Data!R118+Data!S118+Data!N119+Data!O119+Data!P119+Data!Q119+Data!R119+Data!S119+Data!N120+Data!O120+Data!P120+Data!Q120+Data!R120+Data!S120</f>
        <v>8778244</v>
      </c>
      <c r="M120" s="15" t="n">
        <f aca="false">Data!T109+Data!U109+Data!V109+Data!W109+Data!X109+Data!Y109+Data!Z109+Data!AA109+Data!AB109+Data!AC109+Data!AD109+Data!AE109+Data!AF109+Data!AG109+Data!AH109+Data!AI109+Data!AJ109+Data!AK109+Data!AL109+Data!T110+Data!U110+Data!V110+Data!W110+Data!X110+Data!Y110+Data!Z110+Data!AA110+Data!AB110+Data!AC110+Data!AD110+Data!AE110+Data!AF110+Data!AG110+Data!AH110+Data!AI110+Data!AJ110+Data!AK110+Data!AL110+Data!T111+Data!U111+Data!V111+Data!W111+Data!X111+Data!Y111+Data!Z111+Data!AA111+Data!AB111+Data!AC111+Data!AD111+Data!AE111+Data!AF111+Data!AG111+Data!AH111+Data!AI111+Data!AJ111+Data!AK111+Data!AL111+Data!T112+Data!U112+Data!V112+Data!W112+Data!X112+Data!Y112+Data!Z112+Data!AA112+Data!AB112+Data!AC112+Data!AD112+Data!AE112+Data!AF112+Data!AG112+Data!AH112+Data!AI112+Data!AJ112+Data!AK112+Data!AL112+Data!T113+Data!U113+Data!V113+Data!W113+Data!X113+Data!Y113+Data!Z113+Data!AA113+Data!AB113+Data!AC113+Data!AD113+Data!AE113+Data!AF113+Data!AG113+Data!AH113+Data!AI113+Data!AJ113+Data!AK113+Data!AL113+Data!T114+Data!U114+Data!V114+Data!W114+Data!X114+Data!Y114+Data!Z114+Data!AA114+Data!AB114+Data!AC114+Data!AD114+Data!AE114+Data!AF114+Data!AG114+Data!AH114+Data!AI114+Data!AJ114+Data!AK114+Data!AL114+Data!T115+Data!U115+Data!V115+Data!W115+Data!X115+Data!Y115+Data!Z115+Data!AA115+Data!AB115+Data!AC115+Data!AD115+Data!AE115+Data!AF115+Data!AG115+Data!AH115+Data!AI115+Data!AJ115+Data!AK115+Data!AL115+Data!T116+Data!U116+Data!V116+Data!W116+Data!X116+Data!Y116+Data!Z116+Data!AA116+Data!AB116+Data!AC116+Data!AD116+Data!AE116+Data!AF116+Data!AG116+Data!AH116+Data!AI116+Data!AJ116+Data!AK116+Data!AL116+Data!T117+Data!U117+Data!V117+Data!W117+Data!X117+Data!Y117+Data!Z117+Data!AA117+Data!AB117+Data!AC117+Data!AD117+Data!AE117+Data!AF117+Data!AG117+Data!AH117+Data!AI117+Data!AJ117+Data!AK117+Data!AL117+Data!T118+Data!U118+Data!V118+Data!W118+Data!X118+Data!Y118+Data!Z118+Data!AA118+Data!AB118+Data!AC118+Data!AD118+Data!AE118+Data!AF118+Data!AG118+Data!AH118+Data!AI118+Data!AJ118+Data!AK118+Data!AL118+Data!T119+Data!U119+Data!V119+Data!W119+Data!X119+Data!Y119+Data!Z119+Data!AA119+Data!AB119+Data!AC119+Data!AD119+Data!AE119+Data!AF119+Data!AG119+Data!AH119+Data!AI119+Data!AJ119+Data!AK119+Data!AL119+Data!T120+Data!U120+Data!V120+Data!W120+Data!X120+Data!Y120+Data!Z120+Data!AA120+Data!AB120+Data!AC120+Data!AD120+Data!AE120+Data!AF120+Data!AG120+Data!AH120+Data!AI120+Data!AJ120+Data!AK120+Data!AL120</f>
        <v>108506621</v>
      </c>
      <c r="N120" s="16" t="n">
        <f aca="false">Data!T109+Data!U109+Data!V109+Data!W109+Data!T110+Data!U110+Data!V110+Data!W110+Data!T111+Data!U111+Data!V111+Data!W111+Data!T112+Data!U112+Data!V112+Data!W112+Data!T113+Data!U113+Data!V113+Data!W113+Data!T114+Data!U114+Data!V114+Data!W114+Data!T115+Data!U115+Data!V115+Data!W115+Data!T116+Data!U116+Data!V116+Data!W116+Data!T117+Data!U117+Data!V117+Data!W117+Data!T118+Data!U118+Data!V118+Data!W118+Data!T119+Data!U119+Data!V119+Data!W119+Data!T120+Data!U120+Data!V120+Data!W120</f>
        <v>62288527</v>
      </c>
      <c r="O120" s="16" t="n">
        <f aca="false">Data!T109+Data!T110+Data!T111+Data!T112+Data!T113+Data!T114+Data!T115+Data!T116+Data!T117+Data!T118+Data!T119+Data!T120</f>
        <v>43702588</v>
      </c>
      <c r="P120" s="16" t="n">
        <f aca="false">Data!U109+Data!U110+Data!U111+Data!U112+Data!U113+Data!U114+Data!U115+Data!U116+Data!U117+Data!U118+Data!U119+Data!U120</f>
        <v>7607278</v>
      </c>
      <c r="Q120" s="16" t="n">
        <f aca="false">Data!V109+Data!V110+Data!V111+Data!V112+Data!V113+Data!V114+Data!V115+Data!V116+Data!V117+Data!V118+Data!V119+Data!V120</f>
        <v>3899516</v>
      </c>
      <c r="R120" s="16" t="n">
        <f aca="false">Data!W109+Data!W110+Data!W111+Data!W112+Data!W113+Data!W114+Data!W115+Data!W116+Data!W117+Data!W118+Data!W119+Data!W120</f>
        <v>7079145</v>
      </c>
      <c r="S120" s="16" t="n">
        <f aca="false">Data!X109+Data!X110+Data!X111+Data!X112+Data!X113+Data!X114+Data!X115+Data!X116+Data!X117+Data!X118+Data!X119+Data!X120</f>
        <v>8788190</v>
      </c>
      <c r="T120" s="16" t="n">
        <f aca="false">Data!Y109+Data!Z109+Data!AA109+Data!Y110+Data!Z110+Data!AA110+Data!Y111+Data!Z111+Data!AA111+Data!Y112+Data!Z112+Data!AA112+Data!Y113+Data!Z113+Data!AA113+Data!Y114+Data!Z114+Data!AA114+Data!Y115+Data!Z115+Data!AA115+Data!Y116+Data!Z116+Data!AA116+Data!Y117+Data!Z117+Data!AA117+Data!Y118+Data!Z118+Data!AA118+Data!Y119+Data!Z119+Data!AA119+Data!Y120+Data!Z120+Data!AA120</f>
        <v>8008497</v>
      </c>
      <c r="U120" s="16" t="n">
        <f aca="false">Data!Y109+Data!Y110+Data!Y111+Data!Y112+Data!Y113+Data!Y114+Data!Y115+Data!Y116+Data!Y117+Data!Y118+Data!Y119+Data!Y120</f>
        <v>5314832</v>
      </c>
      <c r="V120" s="16" t="n">
        <f aca="false">Data!Z109+Data!Z110+Data!Z111+Data!Z112+Data!Z113+Data!Z114+Data!Z115+Data!Z116+Data!Z117+Data!Z118+Data!Z119+Data!Z120</f>
        <v>2579165</v>
      </c>
      <c r="W120" s="16" t="n">
        <f aca="false">Data!AB109+Data!AB110+Data!AB111+Data!AB112+Data!AB113+Data!AB114+Data!AB115+Data!AB116+Data!AB117+Data!AB118+Data!AB119+Data!AB120</f>
        <v>14999465</v>
      </c>
      <c r="X120" s="16" t="n">
        <f aca="false">Data!AC109+Data!AC110+Data!AC111+Data!AC112+Data!AC113+Data!AC114+Data!AC115+Data!AC116+Data!AC117+Data!AC118+Data!AC119+Data!AC120</f>
        <v>4214802</v>
      </c>
      <c r="Y120" s="16" t="n">
        <f aca="false">Data!AD109+Data!AE109+Data!AF109+Data!AG109+Data!AH109+Data!AD110+Data!AE110+Data!AF110+Data!AG110+Data!AH110+Data!AD111+Data!AE111+Data!AF111+Data!AG111+Data!AH111+Data!AD112+Data!AE112+Data!AF112+Data!AG112+Data!AH112+Data!AD113+Data!AE113+Data!AF113+Data!AG113+Data!AH113+Data!AD114+Data!AE114+Data!AF114+Data!AG114+Data!AH114+Data!AD115+Data!AE115+Data!AF115+Data!AG115+Data!AH115+Data!AD116+Data!AE116+Data!AF116+Data!AG116+Data!AH116+Data!AD117+Data!AE117+Data!AF117+Data!AG117+Data!AH117+Data!AD118+Data!AE118+Data!AF118+Data!AG118+Data!AH118+Data!AD119+Data!AE119+Data!AF119+Data!AG119+Data!AH119+Data!AD120+Data!AE120+Data!AF120+Data!AG120+Data!AH120</f>
        <v>2384006</v>
      </c>
      <c r="Z120" s="16" t="n">
        <f aca="false">Data!AI109+Data!AI110+Data!AI111+Data!AI112+Data!AI113+Data!AI114+Data!AI115+Data!AI116+Data!AI117+Data!AI118+Data!AI119+Data!AI120</f>
        <v>3915866</v>
      </c>
      <c r="AA120" s="16" t="n">
        <f aca="false">Data!AJ109+Data!AJ110+Data!AJ111+Data!AJ112+Data!AJ113+Data!AJ114+Data!AJ115+Data!AJ116+Data!AJ117+Data!AJ118+Data!AJ119+Data!AJ120</f>
        <v>0</v>
      </c>
      <c r="AB120" s="16" t="n">
        <f aca="false">Data!AK109+Data!AK110+Data!AK111+Data!AK112+Data!AK113+Data!AK114+Data!AK115+Data!AK116+Data!AK117+Data!AK118+Data!AK119+Data!AK120</f>
        <v>1192417</v>
      </c>
      <c r="AC120" s="16" t="n">
        <f aca="false">Data!AL109+Data!AL110+Data!AL111+Data!AL112+Data!AL113+Data!AL114+Data!AL115+Data!AL116+Data!AL117+Data!AL118+Data!AL119+Data!AL120</f>
        <v>2714851</v>
      </c>
      <c r="AD120" s="15" t="n">
        <f aca="false">Data!AM109+Data!AM110+Data!AM111+Data!AM112+Data!AM113+Data!AM114+Data!AM115+Data!AM116+Data!AM117+Data!AM118+Data!AM119+Data!AM120</f>
        <v>11142298</v>
      </c>
      <c r="AE120" s="16" t="n">
        <f aca="false">Data!AN109+Data!AN110+Data!AN111+Data!AN112+Data!AN113+Data!AN114+Data!AN115+Data!AN116+Data!AN117+Data!AN118+Data!AN119+Data!AN120</f>
        <v>8854754</v>
      </c>
      <c r="AF120" s="15" t="n">
        <f aca="false">Data!AO109+Data!AO110+Data!AO111+Data!AO112+Data!AO113+Data!AO114+Data!AO115+Data!AO116+Data!AO117+Data!AO118+Data!AO119+Data!AO120</f>
        <v>2287545</v>
      </c>
    </row>
    <row r="121" customFormat="false" ht="15" hidden="false" customHeight="false" outlineLevel="0" collapsed="false">
      <c r="B121" s="14" t="str">
        <f aca="false">Data!B121</f>
        <v>2025-07</v>
      </c>
      <c r="C121" s="15" t="n">
        <f aca="false">Data!D110+Data!E110+Data!F110+Data!G110+Data!H110+Data!I110+Data!J110+Data!K110+Data!L110+Data!M110+Data!N110+Data!O110+Data!P110+Data!Q110+Data!R110+Data!S110+Data!D111+Data!E111+Data!F111+Data!G111+Data!H111+Data!I111+Data!J111+Data!K111+Data!L111+Data!M111+Data!N111+Data!O111+Data!P111+Data!Q111+Data!R111+Data!S111+Data!D112+Data!E112+Data!F112+Data!G112+Data!H112+Data!I112+Data!J112+Data!K112+Data!L112+Data!M112+Data!N112+Data!O112+Data!P112+Data!Q112+Data!R112+Data!S112+Data!D113+Data!E113+Data!F113+Data!G113+Data!H113+Data!I113+Data!J113+Data!K113+Data!L113+Data!M113+Data!N113+Data!O113+Data!P113+Data!Q113+Data!R113+Data!S113+Data!D114+Data!E114+Data!F114+Data!G114+Data!H114+Data!I114+Data!J114+Data!K114+Data!L114+Data!M114+Data!N114+Data!O114+Data!P114+Data!Q114+Data!R114+Data!S114+Data!D115+Data!E115+Data!F115+Data!G115+Data!H115+Data!I115+Data!J115+Data!K115+Data!L115+Data!M115+Data!N115+Data!O115+Data!P115+Data!Q115+Data!R115+Data!S115+Data!D116+Data!E116+Data!F116+Data!G116+Data!H116+Data!I116+Data!J116+Data!K116+Data!L116+Data!M116+Data!N116+Data!O116+Data!P116+Data!Q116+Data!R116+Data!S116+Data!D117+Data!E117+Data!F117+Data!G117+Data!H117+Data!I117+Data!J117+Data!K117+Data!L117+Data!M117+Data!N117+Data!O117+Data!P117+Data!Q117+Data!R117+Data!S117+Data!D118+Data!E118+Data!F118+Data!G118+Data!H118+Data!I118+Data!J118+Data!K118+Data!L118+Data!M118+Data!N118+Data!O118+Data!P118+Data!Q118+Data!R118+Data!S118+Data!D119+Data!E119+Data!F119+Data!G119+Data!H119+Data!I119+Data!J119+Data!K119+Data!L119+Data!M119+Data!N119+Data!O119+Data!P119+Data!Q119+Data!R119+Data!S119+Data!D120+Data!E120+Data!F120+Data!G120+Data!H120+Data!I120+Data!J120+Data!K120+Data!L120+Data!M120+Data!N120+Data!O120+Data!P120+Data!Q120+Data!R120+Data!S120+Data!D121+Data!E121+Data!F121+Data!G121+Data!H121+Data!I121+Data!J121+Data!K121+Data!L121+Data!M121+Data!N121+Data!O121+Data!P121+Data!Q121+Data!R121+Data!S121</f>
        <v>123421046</v>
      </c>
      <c r="D121" s="16" t="n">
        <f aca="false">Data!D110+Data!E110+Data!G110+Data!H110+Data!I110+Data!J110+Data!K110+Data!L110+Data!M110+Data!D111+Data!E111+Data!G111+Data!H111+Data!I111+Data!J111+Data!K111+Data!L111+Data!M111+Data!D112+Data!E112+Data!G112+Data!H112+Data!I112+Data!J112+Data!K112+Data!L112+Data!M112+Data!D113+Data!E113+Data!G113+Data!H113+Data!I113+Data!J113+Data!K113+Data!L113+Data!M113+Data!D114+Data!E114+Data!G114+Data!H114+Data!I114+Data!J114+Data!K114+Data!L114+Data!M114+Data!D115+Data!E115+Data!G115+Data!H115+Data!I115+Data!J115+Data!K115+Data!L115+Data!M115+Data!D116+Data!E116+Data!G116+Data!H116+Data!I116+Data!J116+Data!K116+Data!L116+Data!M116+Data!D117+Data!E117+Data!G117+Data!H117+Data!I117+Data!J117+Data!K117+Data!L117+Data!M117+Data!D118+Data!E118+Data!G118+Data!H118+Data!I118+Data!J118+Data!K118+Data!L118+Data!M118+Data!D119+Data!E119+Data!G119+Data!H119+Data!I119+Data!J119+Data!K119+Data!L119+Data!M119+Data!D120+Data!E120+Data!G120+Data!H120+Data!I120+Data!J120+Data!K120+Data!L120+Data!M120+Data!D121+Data!E121+Data!G121+Data!H121+Data!I121+Data!J121+Data!K121+Data!L121+Data!M121</f>
        <v>72401086</v>
      </c>
      <c r="E121" s="16" t="n">
        <f aca="false">Data!D110+Data!D111+Data!D112+Data!D113+Data!D114+Data!D115+Data!D116+Data!D117+Data!D118+Data!D119+Data!D120+Data!D121</f>
        <v>25116933</v>
      </c>
      <c r="F121" s="16" t="n">
        <f aca="false">Data!E110+Data!E111+Data!E112+Data!E113+Data!E114+Data!E115+Data!E116+Data!E117+Data!E118+Data!E119+Data!E120+Data!E121</f>
        <v>11185219</v>
      </c>
      <c r="G121" s="16" t="n">
        <f aca="false">Data!K110+Data!K111+Data!K112+Data!K113+Data!K114+Data!K115+Data!K116+Data!K117+Data!K118+Data!K119+Data!K120+Data!K121</f>
        <v>7953677</v>
      </c>
      <c r="H121" s="16" t="n">
        <f aca="false">Data!L110+Data!L111+Data!L112+Data!L113+Data!L114+Data!L115+Data!L116+Data!L117+Data!L118+Data!L119+Data!L120+Data!L121</f>
        <v>4456618</v>
      </c>
      <c r="I121" s="16" t="n">
        <f aca="false">Data!G110+Data!G111+Data!G112+Data!G113+Data!G114+Data!G115+Data!G116+Data!G117+Data!G118+Data!G119+Data!G120+Data!G121</f>
        <v>12094471</v>
      </c>
      <c r="J121" s="16" t="n">
        <f aca="false">Data!H110+Data!I110+Data!J110+Data!M110+Data!H111+Data!I111+Data!J111+Data!M111+Data!H112+Data!I112+Data!J112+Data!M112+Data!H113+Data!I113+Data!J113+Data!M113+Data!H114+Data!I114+Data!J114+Data!M114+Data!H115+Data!I115+Data!J115+Data!M115+Data!H116+Data!I116+Data!J116+Data!M116+Data!H117+Data!I117+Data!J117+Data!M117+Data!H118+Data!I118+Data!J118+Data!M118+Data!H119+Data!I119+Data!J119+Data!M119+Data!H120+Data!I120+Data!J120+Data!M120+Data!H121+Data!I121+Data!J121+Data!M121</f>
        <v>11594168</v>
      </c>
      <c r="K121" s="16" t="n">
        <f aca="false">Data!F110+Data!F111+Data!F112+Data!F113+Data!F114+Data!F115+Data!F116+Data!F117+Data!F118+Data!F119+Data!F120+Data!F121</f>
        <v>41924872</v>
      </c>
      <c r="L121" s="16" t="n">
        <f aca="false">Data!N110+Data!O110+Data!P110+Data!Q110+Data!R110+Data!S110+Data!N111+Data!O111+Data!P111+Data!Q111+Data!R111+Data!S111+Data!N112+Data!O112+Data!P112+Data!Q112+Data!R112+Data!S112+Data!N113+Data!O113+Data!P113+Data!Q113+Data!R113+Data!S113+Data!N114+Data!O114+Data!P114+Data!Q114+Data!R114+Data!S114+Data!N115+Data!O115+Data!P115+Data!Q115+Data!R115+Data!S115+Data!N116+Data!O116+Data!P116+Data!Q116+Data!R116+Data!S116+Data!N117+Data!O117+Data!P117+Data!Q117+Data!R117+Data!S117+Data!N118+Data!O118+Data!P118+Data!Q118+Data!R118+Data!S118+Data!N119+Data!O119+Data!P119+Data!Q119+Data!R119+Data!S119+Data!N120+Data!O120+Data!P120+Data!Q120+Data!R120+Data!S120+Data!N121+Data!O121+Data!P121+Data!Q121+Data!R121+Data!S121</f>
        <v>9095088</v>
      </c>
      <c r="M121" s="15" t="n">
        <f aca="false">Data!T110+Data!U110+Data!V110+Data!W110+Data!X110+Data!Y110+Data!Z110+Data!AA110+Data!AB110+Data!AC110+Data!AD110+Data!AE110+Data!AF110+Data!AG110+Data!AH110+Data!AI110+Data!AJ110+Data!AK110+Data!AL110+Data!T111+Data!U111+Data!V111+Data!W111+Data!X111+Data!Y111+Data!Z111+Data!AA111+Data!AB111+Data!AC111+Data!AD111+Data!AE111+Data!AF111+Data!AG111+Data!AH111+Data!AI111+Data!AJ111+Data!AK111+Data!AL111+Data!T112+Data!U112+Data!V112+Data!W112+Data!X112+Data!Y112+Data!Z112+Data!AA112+Data!AB112+Data!AC112+Data!AD112+Data!AE112+Data!AF112+Data!AG112+Data!AH112+Data!AI112+Data!AJ112+Data!AK112+Data!AL112+Data!T113+Data!U113+Data!V113+Data!W113+Data!X113+Data!Y113+Data!Z113+Data!AA113+Data!AB113+Data!AC113+Data!AD113+Data!AE113+Data!AF113+Data!AG113+Data!AH113+Data!AI113+Data!AJ113+Data!AK113+Data!AL113+Data!T114+Data!U114+Data!V114+Data!W114+Data!X114+Data!Y114+Data!Z114+Data!AA114+Data!AB114+Data!AC114+Data!AD114+Data!AE114+Data!AF114+Data!AG114+Data!AH114+Data!AI114+Data!AJ114+Data!AK114+Data!AL114+Data!T115+Data!U115+Data!V115+Data!W115+Data!X115+Data!Y115+Data!Z115+Data!AA115+Data!AB115+Data!AC115+Data!AD115+Data!AE115+Data!AF115+Data!AG115+Data!AH115+Data!AI115+Data!AJ115+Data!AK115+Data!AL115+Data!T116+Data!U116+Data!V116+Data!W116+Data!X116+Data!Y116+Data!Z116+Data!AA116+Data!AB116+Data!AC116+Data!AD116+Data!AE116+Data!AF116+Data!AG116+Data!AH116+Data!AI116+Data!AJ116+Data!AK116+Data!AL116+Data!T117+Data!U117+Data!V117+Data!W117+Data!X117+Data!Y117+Data!Z117+Data!AA117+Data!AB117+Data!AC117+Data!AD117+Data!AE117+Data!AF117+Data!AG117+Data!AH117+Data!AI117+Data!AJ117+Data!AK117+Data!AL117+Data!T118+Data!U118+Data!V118+Data!W118+Data!X118+Data!Y118+Data!Z118+Data!AA118+Data!AB118+Data!AC118+Data!AD118+Data!AE118+Data!AF118+Data!AG118+Data!AH118+Data!AI118+Data!AJ118+Data!AK118+Data!AL118+Data!T119+Data!U119+Data!V119+Data!W119+Data!X119+Data!Y119+Data!Z119+Data!AA119+Data!AB119+Data!AC119+Data!AD119+Data!AE119+Data!AF119+Data!AG119+Data!AH119+Data!AI119+Data!AJ119+Data!AK119+Data!AL119+Data!T120+Data!U120+Data!V120+Data!W120+Data!X120+Data!Y120+Data!Z120+Data!AA120+Data!AB120+Data!AC120+Data!AD120+Data!AE120+Data!AF120+Data!AG120+Data!AH120+Data!AI120+Data!AJ120+Data!AK120+Data!AL120+Data!T121+Data!U121+Data!V121+Data!W121+Data!X121+Data!Y121+Data!Z121+Data!AA121+Data!AB121+Data!AC121+Data!AD121+Data!AE121+Data!AF121+Data!AG121+Data!AH121+Data!AI121+Data!AJ121+Data!AK121+Data!AL121</f>
        <v>111437615</v>
      </c>
      <c r="N121" s="16" t="n">
        <f aca="false">Data!T110+Data!U110+Data!V110+Data!W110+Data!T111+Data!U111+Data!V111+Data!W111+Data!T112+Data!U112+Data!V112+Data!W112+Data!T113+Data!U113+Data!V113+Data!W113+Data!T114+Data!U114+Data!V114+Data!W114+Data!T115+Data!U115+Data!V115+Data!W115+Data!T116+Data!U116+Data!V116+Data!W116+Data!T117+Data!U117+Data!V117+Data!W117+Data!T118+Data!U118+Data!V118+Data!W118+Data!T119+Data!U119+Data!V119+Data!W119+Data!T120+Data!U120+Data!V120+Data!W120+Data!T121+Data!U121+Data!V121+Data!W121</f>
        <v>64291913</v>
      </c>
      <c r="O121" s="16" t="n">
        <f aca="false">Data!T110+Data!T111+Data!T112+Data!T113+Data!T114+Data!T115+Data!T116+Data!T117+Data!T118+Data!T119+Data!T120+Data!T121</f>
        <v>45326152</v>
      </c>
      <c r="P121" s="16" t="n">
        <f aca="false">Data!U110+Data!U111+Data!U112+Data!U113+Data!U114+Data!U115+Data!U116+Data!U117+Data!U118+Data!U119+Data!U120+Data!U121</f>
        <v>7766186</v>
      </c>
      <c r="Q121" s="16" t="n">
        <f aca="false">Data!V110+Data!V111+Data!V112+Data!V113+Data!V114+Data!V115+Data!V116+Data!V117+Data!V118+Data!V119+Data!V120+Data!V121</f>
        <v>3972556</v>
      </c>
      <c r="R121" s="16" t="n">
        <f aca="false">Data!W110+Data!W111+Data!W112+Data!W113+Data!W114+Data!W115+Data!W116+Data!W117+Data!W118+Data!W119+Data!W120+Data!W121</f>
        <v>7227019</v>
      </c>
      <c r="S121" s="16" t="n">
        <f aca="false">Data!X110+Data!X111+Data!X112+Data!X113+Data!X114+Data!X115+Data!X116+Data!X117+Data!X118+Data!X119+Data!X120+Data!X121</f>
        <v>8952575</v>
      </c>
      <c r="T121" s="16" t="n">
        <f aca="false">Data!Y110+Data!Z110+Data!AA110+Data!Y111+Data!Z111+Data!AA111+Data!Y112+Data!Z112+Data!AA112+Data!Y113+Data!Z113+Data!AA113+Data!Y114+Data!Z114+Data!AA114+Data!Y115+Data!Z115+Data!AA115+Data!Y116+Data!Z116+Data!AA116+Data!Y117+Data!Z117+Data!AA117+Data!Y118+Data!Z118+Data!AA118+Data!Y119+Data!Z119+Data!AA119+Data!Y120+Data!Z120+Data!AA120+Data!Y121+Data!Z121+Data!AA121</f>
        <v>8010824</v>
      </c>
      <c r="U121" s="16" t="n">
        <f aca="false">Data!Y110+Data!Y111+Data!Y112+Data!Y113+Data!Y114+Data!Y115+Data!Y116+Data!Y117+Data!Y118+Data!Y119+Data!Y120+Data!Y121</f>
        <v>5297985</v>
      </c>
      <c r="V121" s="16" t="n">
        <f aca="false">Data!Z110+Data!Z111+Data!Z112+Data!Z113+Data!Z114+Data!Z115+Data!Z116+Data!Z117+Data!Z118+Data!Z119+Data!Z120+Data!Z121</f>
        <v>2619840</v>
      </c>
      <c r="W121" s="16" t="n">
        <f aca="false">Data!AB110+Data!AB111+Data!AB112+Data!AB113+Data!AB114+Data!AB115+Data!AB116+Data!AB117+Data!AB118+Data!AB119+Data!AB120+Data!AB121</f>
        <v>15314356</v>
      </c>
      <c r="X121" s="16" t="n">
        <f aca="false">Data!AC110+Data!AC111+Data!AC112+Data!AC113+Data!AC114+Data!AC115+Data!AC116+Data!AC117+Data!AC118+Data!AC119+Data!AC120+Data!AC121</f>
        <v>4394224</v>
      </c>
      <c r="Y121" s="16" t="n">
        <f aca="false">Data!AD110+Data!AE110+Data!AF110+Data!AG110+Data!AH110+Data!AD111+Data!AE111+Data!AF111+Data!AG111+Data!AH111+Data!AD112+Data!AE112+Data!AF112+Data!AG112+Data!AH112+Data!AD113+Data!AE113+Data!AF113+Data!AG113+Data!AH113+Data!AD114+Data!AE114+Data!AF114+Data!AG114+Data!AH114+Data!AD115+Data!AE115+Data!AF115+Data!AG115+Data!AH115+Data!AD116+Data!AE116+Data!AF116+Data!AG116+Data!AH116+Data!AD117+Data!AE117+Data!AF117+Data!AG117+Data!AH117+Data!AD118+Data!AE118+Data!AF118+Data!AG118+Data!AH118+Data!AD119+Data!AE119+Data!AF119+Data!AG119+Data!AH119+Data!AD120+Data!AE120+Data!AF120+Data!AG120+Data!AH120+Data!AD121+Data!AE121+Data!AF121+Data!AG121+Data!AH121</f>
        <v>2523708</v>
      </c>
      <c r="Z121" s="16" t="n">
        <f aca="false">Data!AI110+Data!AI111+Data!AI112+Data!AI113+Data!AI114+Data!AI115+Data!AI116+Data!AI117+Data!AI118+Data!AI119+Data!AI120+Data!AI121</f>
        <v>4013691</v>
      </c>
      <c r="AA121" s="16" t="n">
        <f aca="false">Data!AJ110+Data!AJ111+Data!AJ112+Data!AJ113+Data!AJ114+Data!AJ115+Data!AJ116+Data!AJ117+Data!AJ118+Data!AJ119+Data!AJ120+Data!AJ121</f>
        <v>0</v>
      </c>
      <c r="AB121" s="16" t="n">
        <f aca="false">Data!AK110+Data!AK111+Data!AK112+Data!AK113+Data!AK114+Data!AK115+Data!AK116+Data!AK117+Data!AK118+Data!AK119+Data!AK120+Data!AK121</f>
        <v>1224043</v>
      </c>
      <c r="AC121" s="16" t="n">
        <f aca="false">Data!AL110+Data!AL111+Data!AL112+Data!AL113+Data!AL114+Data!AL115+Data!AL116+Data!AL117+Data!AL118+Data!AL119+Data!AL120+Data!AL121</f>
        <v>2712281</v>
      </c>
      <c r="AD121" s="15" t="n">
        <f aca="false">Data!AM110+Data!AM111+Data!AM112+Data!AM113+Data!AM114+Data!AM115+Data!AM116+Data!AM117+Data!AM118+Data!AM119+Data!AM120+Data!AM121</f>
        <v>11983431</v>
      </c>
      <c r="AE121" s="16" t="n">
        <f aca="false">Data!AN110+Data!AN111+Data!AN112+Data!AN113+Data!AN114+Data!AN115+Data!AN116+Data!AN117+Data!AN118+Data!AN119+Data!AN120+Data!AN121</f>
        <v>9263445</v>
      </c>
      <c r="AF121" s="15" t="n">
        <f aca="false">Data!AO110+Data!AO111+Data!AO112+Data!AO113+Data!AO114+Data!AO115+Data!AO116+Data!AO117+Data!AO118+Data!AO119+Data!AO120+Data!AO121</f>
        <v>2719987</v>
      </c>
    </row>
    <row r="122" customFormat="false" ht="15" hidden="false" customHeight="false" outlineLevel="0" collapsed="false">
      <c r="B122" s="14" t="str">
        <f aca="false">Data!B122</f>
        <v>2025-08</v>
      </c>
      <c r="C122" s="15" t="n">
        <f aca="false">Data!D111+Data!E111+Data!F111+Data!G111+Data!H111+Data!I111+Data!J111+Data!K111+Data!L111+Data!M111+Data!N111+Data!O111+Data!P111+Data!Q111+Data!R111+Data!S111+Data!D112+Data!E112+Data!F112+Data!G112+Data!H112+Data!I112+Data!J112+Data!K112+Data!L112+Data!M112+Data!N112+Data!O112+Data!P112+Data!Q112+Data!R112+Data!S112+Data!D113+Data!E113+Data!F113+Data!G113+Data!H113+Data!I113+Data!J113+Data!K113+Data!L113+Data!M113+Data!N113+Data!O113+Data!P113+Data!Q113+Data!R113+Data!S113+Data!D114+Data!E114+Data!F114+Data!G114+Data!H114+Data!I114+Data!J114+Data!K114+Data!L114+Data!M114+Data!N114+Data!O114+Data!P114+Data!Q114+Data!R114+Data!S114+Data!D115+Data!E115+Data!F115+Data!G115+Data!H115+Data!I115+Data!J115+Data!K115+Data!L115+Data!M115+Data!N115+Data!O115+Data!P115+Data!Q115+Data!R115+Data!S115+Data!D116+Data!E116+Data!F116+Data!G116+Data!H116+Data!I116+Data!J116+Data!K116+Data!L116+Data!M116+Data!N116+Data!O116+Data!P116+Data!Q116+Data!R116+Data!S116+Data!D117+Data!E117+Data!F117+Data!G117+Data!H117+Data!I117+Data!J117+Data!K117+Data!L117+Data!M117+Data!N117+Data!O117+Data!P117+Data!Q117+Data!R117+Data!S117+Data!D118+Data!E118+Data!F118+Data!G118+Data!H118+Data!I118+Data!J118+Data!K118+Data!L118+Data!M118+Data!N118+Data!O118+Data!P118+Data!Q118+Data!R118+Data!S118+Data!D119+Data!E119+Data!F119+Data!G119+Data!H119+Data!I119+Data!J119+Data!K119+Data!L119+Data!M119+Data!N119+Data!O119+Data!P119+Data!Q119+Data!R119+Data!S119+Data!D120+Data!E120+Data!F120+Data!G120+Data!H120+Data!I120+Data!J120+Data!K120+Data!L120+Data!M120+Data!N120+Data!O120+Data!P120+Data!Q120+Data!R120+Data!S120+Data!D121+Data!E121+Data!F121+Data!G121+Data!H121+Data!I121+Data!J121+Data!K121+Data!L121+Data!M121+Data!N121+Data!O121+Data!P121+Data!Q121+Data!R121+Data!S121+Data!D122+Data!E122+Data!F122+Data!G122+Data!H122+Data!I122+Data!J122+Data!K122+Data!L122+Data!M122+Data!N122+Data!O122+Data!P122+Data!Q122+Data!R122+Data!S122</f>
        <v>126038647</v>
      </c>
      <c r="D122" s="16" t="n">
        <f aca="false">Data!D111+Data!E111+Data!G111+Data!H111+Data!I111+Data!J111+Data!K111+Data!L111+Data!M111+Data!D112+Data!E112+Data!G112+Data!H112+Data!I112+Data!J112+Data!K112+Data!L112+Data!M112+Data!D113+Data!E113+Data!G113+Data!H113+Data!I113+Data!J113+Data!K113+Data!L113+Data!M113+Data!D114+Data!E114+Data!G114+Data!H114+Data!I114+Data!J114+Data!K114+Data!L114+Data!M114+Data!D115+Data!E115+Data!G115+Data!H115+Data!I115+Data!J115+Data!K115+Data!L115+Data!M115+Data!D116+Data!E116+Data!G116+Data!H116+Data!I116+Data!J116+Data!K116+Data!L116+Data!M116+Data!D117+Data!E117+Data!G117+Data!H117+Data!I117+Data!J117+Data!K117+Data!L117+Data!M117+Data!D118+Data!E118+Data!G118+Data!H118+Data!I118+Data!J118+Data!K118+Data!L118+Data!M118+Data!D119+Data!E119+Data!G119+Data!H119+Data!I119+Data!J119+Data!K119+Data!L119+Data!M119+Data!D120+Data!E120+Data!G120+Data!H120+Data!I120+Data!J120+Data!K120+Data!L120+Data!M120+Data!D121+Data!E121+Data!G121+Data!H121+Data!I121+Data!J121+Data!K121+Data!L121+Data!M121+Data!D122+Data!E122+Data!G122+Data!H122+Data!I122+Data!J122+Data!K122+Data!L122+Data!M122</f>
        <v>73391411</v>
      </c>
      <c r="E122" s="16" t="n">
        <f aca="false">Data!D111+Data!D112+Data!D113+Data!D114+Data!D115+Data!D116+Data!D117+Data!D118+Data!D119+Data!D120+Data!D121+Data!D122</f>
        <v>25734136</v>
      </c>
      <c r="F122" s="16" t="n">
        <f aca="false">Data!E111+Data!E112+Data!E113+Data!E114+Data!E115+Data!E116+Data!E117+Data!E118+Data!E119+Data!E120+Data!E121+Data!E122</f>
        <v>11495397</v>
      </c>
      <c r="G122" s="16" t="n">
        <f aca="false">Data!K111+Data!K112+Data!K113+Data!K114+Data!K115+Data!K116+Data!K117+Data!K118+Data!K119+Data!K120+Data!K121+Data!K122</f>
        <v>7926384</v>
      </c>
      <c r="H122" s="16" t="n">
        <f aca="false">Data!L111+Data!L112+Data!L113+Data!L114+Data!L115+Data!L116+Data!L117+Data!L118+Data!L119+Data!L120+Data!L121+Data!L122</f>
        <v>4667731</v>
      </c>
      <c r="I122" s="16" t="n">
        <f aca="false">Data!G111+Data!G112+Data!G113+Data!G114+Data!G115+Data!G116+Data!G117+Data!G118+Data!G119+Data!G120+Data!G121+Data!G122</f>
        <v>12417703</v>
      </c>
      <c r="J122" s="16" t="n">
        <f aca="false">Data!H111+Data!I111+Data!J111+Data!M111+Data!H112+Data!I112+Data!J112+Data!M112+Data!H113+Data!I113+Data!J113+Data!M113+Data!H114+Data!I114+Data!J114+Data!M114+Data!H115+Data!I115+Data!J115+Data!M115+Data!H116+Data!I116+Data!J116+Data!M116+Data!H117+Data!I117+Data!J117+Data!M117+Data!H118+Data!I118+Data!J118+Data!M118+Data!H119+Data!I119+Data!J119+Data!M119+Data!H120+Data!I120+Data!J120+Data!M120+Data!H121+Data!I121+Data!J121+Data!M121+Data!H122+Data!I122+Data!J122+Data!M122</f>
        <v>11150060</v>
      </c>
      <c r="K122" s="16" t="n">
        <f aca="false">Data!F111+Data!F112+Data!F113+Data!F114+Data!F115+Data!F116+Data!F117+Data!F118+Data!F119+Data!F120+Data!F121+Data!F122</f>
        <v>43026451</v>
      </c>
      <c r="L122" s="16" t="n">
        <f aca="false">Data!N111+Data!O111+Data!P111+Data!Q111+Data!R111+Data!S111+Data!N112+Data!O112+Data!P112+Data!Q112+Data!R112+Data!S112+Data!N113+Data!O113+Data!P113+Data!Q113+Data!R113+Data!S113+Data!N114+Data!O114+Data!P114+Data!Q114+Data!R114+Data!S114+Data!N115+Data!O115+Data!P115+Data!Q115+Data!R115+Data!S115+Data!N116+Data!O116+Data!P116+Data!Q116+Data!R116+Data!S116+Data!N117+Data!O117+Data!P117+Data!Q117+Data!R117+Data!S117+Data!N118+Data!O118+Data!P118+Data!Q118+Data!R118+Data!S118+Data!N119+Data!O119+Data!P119+Data!Q119+Data!R119+Data!S119+Data!N120+Data!O120+Data!P120+Data!Q120+Data!R120+Data!S120+Data!N121+Data!O121+Data!P121+Data!Q121+Data!R121+Data!S121+Data!N122+Data!O122+Data!P122+Data!Q122+Data!R122+Data!S122</f>
        <v>9620785</v>
      </c>
      <c r="M122" s="15" t="n">
        <f aca="false">Data!T111+Data!U111+Data!V111+Data!W111+Data!X111+Data!Y111+Data!Z111+Data!AA111+Data!AB111+Data!AC111+Data!AD111+Data!AE111+Data!AF111+Data!AG111+Data!AH111+Data!AI111+Data!AJ111+Data!AK111+Data!AL111+Data!T112+Data!U112+Data!V112+Data!W112+Data!X112+Data!Y112+Data!Z112+Data!AA112+Data!AB112+Data!AC112+Data!AD112+Data!AE112+Data!AF112+Data!AG112+Data!AH112+Data!AI112+Data!AJ112+Data!AK112+Data!AL112+Data!T113+Data!U113+Data!V113+Data!W113+Data!X113+Data!Y113+Data!Z113+Data!AA113+Data!AB113+Data!AC113+Data!AD113+Data!AE113+Data!AF113+Data!AG113+Data!AH113+Data!AI113+Data!AJ113+Data!AK113+Data!AL113+Data!T114+Data!U114+Data!V114+Data!W114+Data!X114+Data!Y114+Data!Z114+Data!AA114+Data!AB114+Data!AC114+Data!AD114+Data!AE114+Data!AF114+Data!AG114+Data!AH114+Data!AI114+Data!AJ114+Data!AK114+Data!AL114+Data!T115+Data!U115+Data!V115+Data!W115+Data!X115+Data!Y115+Data!Z115+Data!AA115+Data!AB115+Data!AC115+Data!AD115+Data!AE115+Data!AF115+Data!AG115+Data!AH115+Data!AI115+Data!AJ115+Data!AK115+Data!AL115+Data!T116+Data!U116+Data!V116+Data!W116+Data!X116+Data!Y116+Data!Z116+Data!AA116+Data!AB116+Data!AC116+Data!AD116+Data!AE116+Data!AF116+Data!AG116+Data!AH116+Data!AI116+Data!AJ116+Data!AK116+Data!AL116+Data!T117+Data!U117+Data!V117+Data!W117+Data!X117+Data!Y117+Data!Z117+Data!AA117+Data!AB117+Data!AC117+Data!AD117+Data!AE117+Data!AF117+Data!AG117+Data!AH117+Data!AI117+Data!AJ117+Data!AK117+Data!AL117+Data!T118+Data!U118+Data!V118+Data!W118+Data!X118+Data!Y118+Data!Z118+Data!AA118+Data!AB118+Data!AC118+Data!AD118+Data!AE118+Data!AF118+Data!AG118+Data!AH118+Data!AI118+Data!AJ118+Data!AK118+Data!AL118+Data!T119+Data!U119+Data!V119+Data!W119+Data!X119+Data!Y119+Data!Z119+Data!AA119+Data!AB119+Data!AC119+Data!AD119+Data!AE119+Data!AF119+Data!AG119+Data!AH119+Data!AI119+Data!AJ119+Data!AK119+Data!AL119+Data!T120+Data!U120+Data!V120+Data!W120+Data!X120+Data!Y120+Data!Z120+Data!AA120+Data!AB120+Data!AC120+Data!AD120+Data!AE120+Data!AF120+Data!AG120+Data!AH120+Data!AI120+Data!AJ120+Data!AK120+Data!AL120+Data!T121+Data!U121+Data!V121+Data!W121+Data!X121+Data!Y121+Data!Z121+Data!AA121+Data!AB121+Data!AC121+Data!AD121+Data!AE121+Data!AF121+Data!AG121+Data!AH121+Data!AI121+Data!AJ121+Data!AK121+Data!AL121+Data!T122+Data!U122+Data!V122+Data!W122+Data!X122+Data!Y122+Data!Z122+Data!AA122+Data!AB122+Data!AC122+Data!AD122+Data!AE122+Data!AF122+Data!AG122+Data!AH122+Data!AI122+Data!AJ122+Data!AK122+Data!AL122</f>
        <v>113398012</v>
      </c>
      <c r="N122" s="16" t="n">
        <f aca="false">Data!T111+Data!U111+Data!V111+Data!W111+Data!T112+Data!U112+Data!V112+Data!W112+Data!T113+Data!U113+Data!V113+Data!W113+Data!T114+Data!U114+Data!V114+Data!W114+Data!T115+Data!U115+Data!V115+Data!W115+Data!T116+Data!U116+Data!V116+Data!W116+Data!T117+Data!U117+Data!V117+Data!W117+Data!T118+Data!U118+Data!V118+Data!W118+Data!T119+Data!U119+Data!V119+Data!W119+Data!T120+Data!U120+Data!V120+Data!W120+Data!T121+Data!U121+Data!V121+Data!W121+Data!T122+Data!U122+Data!V122+Data!W122</f>
        <v>66051603</v>
      </c>
      <c r="O122" s="16" t="n">
        <f aca="false">Data!T111+Data!T112+Data!T113+Data!T114+Data!T115+Data!T116+Data!T117+Data!T118+Data!T119+Data!T120+Data!T121+Data!T122</f>
        <v>46624497</v>
      </c>
      <c r="P122" s="16" t="n">
        <f aca="false">Data!U111+Data!U112+Data!U113+Data!U114+Data!U115+Data!U116+Data!U117+Data!U118+Data!U119+Data!U120+Data!U121+Data!U122</f>
        <v>7954609</v>
      </c>
      <c r="Q122" s="16" t="n">
        <f aca="false">Data!V111+Data!V112+Data!V113+Data!V114+Data!V115+Data!V116+Data!V117+Data!V118+Data!V119+Data!V120+Data!V121+Data!V122</f>
        <v>4024500</v>
      </c>
      <c r="R122" s="16" t="n">
        <f aca="false">Data!W111+Data!W112+Data!W113+Data!W114+Data!W115+Data!W116+Data!W117+Data!W118+Data!W119+Data!W120+Data!W121+Data!W122</f>
        <v>7447997</v>
      </c>
      <c r="S122" s="16" t="n">
        <f aca="false">Data!X111+Data!X112+Data!X113+Data!X114+Data!X115+Data!X116+Data!X117+Data!X118+Data!X119+Data!X120+Data!X121+Data!X122</f>
        <v>8905933</v>
      </c>
      <c r="T122" s="16" t="n">
        <f aca="false">Data!Y111+Data!Z111+Data!AA111+Data!Y112+Data!Z112+Data!AA112+Data!Y113+Data!Z113+Data!AA113+Data!Y114+Data!Z114+Data!AA114+Data!Y115+Data!Z115+Data!AA115+Data!Y116+Data!Z116+Data!AA116+Data!Y117+Data!Z117+Data!AA117+Data!Y118+Data!Z118+Data!AA118+Data!Y119+Data!Z119+Data!AA119+Data!Y120+Data!Z120+Data!AA120+Data!Y121+Data!Z121+Data!AA121+Data!Y122+Data!Z122+Data!AA122</f>
        <v>7795892</v>
      </c>
      <c r="U122" s="16" t="n">
        <f aca="false">Data!Y111+Data!Y112+Data!Y113+Data!Y114+Data!Y115+Data!Y116+Data!Y117+Data!Y118+Data!Y119+Data!Y120+Data!Y121+Data!Y122</f>
        <v>5131878</v>
      </c>
      <c r="V122" s="16" t="n">
        <f aca="false">Data!Z111+Data!Z112+Data!Z113+Data!Z114+Data!Z115+Data!Z116+Data!Z117+Data!Z118+Data!Z119+Data!Z120+Data!Z121+Data!Z122</f>
        <v>2567609</v>
      </c>
      <c r="W122" s="16" t="n">
        <f aca="false">Data!AB111+Data!AB112+Data!AB113+Data!AB114+Data!AB115+Data!AB116+Data!AB117+Data!AB118+Data!AB119+Data!AB120+Data!AB121+Data!AB122</f>
        <v>15567355</v>
      </c>
      <c r="X122" s="16" t="n">
        <f aca="false">Data!AC111+Data!AC112+Data!AC113+Data!AC114+Data!AC115+Data!AC116+Data!AC117+Data!AC118+Data!AC119+Data!AC120+Data!AC121+Data!AC122</f>
        <v>4506019</v>
      </c>
      <c r="Y122" s="16" t="n">
        <f aca="false">Data!AD111+Data!AE111+Data!AF111+Data!AG111+Data!AH111+Data!AD112+Data!AE112+Data!AF112+Data!AG112+Data!AH112+Data!AD113+Data!AE113+Data!AF113+Data!AG113+Data!AH113+Data!AD114+Data!AE114+Data!AF114+Data!AG114+Data!AH114+Data!AD115+Data!AE115+Data!AF115+Data!AG115+Data!AH115+Data!AD116+Data!AE116+Data!AF116+Data!AG116+Data!AH116+Data!AD117+Data!AE117+Data!AF117+Data!AG117+Data!AH117+Data!AD118+Data!AE118+Data!AF118+Data!AG118+Data!AH118+Data!AD119+Data!AE119+Data!AF119+Data!AG119+Data!AH119+Data!AD120+Data!AE120+Data!AF120+Data!AG120+Data!AH120+Data!AD121+Data!AE121+Data!AF121+Data!AG121+Data!AH121+Data!AD122+Data!AE122+Data!AF122+Data!AG122+Data!AH122</f>
        <v>2444515</v>
      </c>
      <c r="Z122" s="16" t="n">
        <f aca="false">Data!AI111+Data!AI112+Data!AI113+Data!AI114+Data!AI115+Data!AI116+Data!AI117+Data!AI118+Data!AI119+Data!AI120+Data!AI121+Data!AI122</f>
        <v>4121093</v>
      </c>
      <c r="AA122" s="16" t="n">
        <f aca="false">Data!AJ111+Data!AJ112+Data!AJ113+Data!AJ114+Data!AJ115+Data!AJ116+Data!AJ117+Data!AJ118+Data!AJ119+Data!AJ120+Data!AJ121+Data!AJ122</f>
        <v>0</v>
      </c>
      <c r="AB122" s="16" t="n">
        <f aca="false">Data!AK111+Data!AK112+Data!AK113+Data!AK114+Data!AK115+Data!AK116+Data!AK117+Data!AK118+Data!AK119+Data!AK120+Data!AK121+Data!AK122</f>
        <v>1333952</v>
      </c>
      <c r="AC122" s="16" t="n">
        <f aca="false">Data!AL111+Data!AL112+Data!AL113+Data!AL114+Data!AL115+Data!AL116+Data!AL117+Data!AL118+Data!AL119+Data!AL120+Data!AL121+Data!AL122</f>
        <v>2671650</v>
      </c>
      <c r="AD122" s="15" t="n">
        <f aca="false">Data!AM111+Data!AM112+Data!AM113+Data!AM114+Data!AM115+Data!AM116+Data!AM117+Data!AM118+Data!AM119+Data!AM120+Data!AM121+Data!AM122</f>
        <v>12640635</v>
      </c>
      <c r="AE122" s="16" t="n">
        <f aca="false">Data!AN111+Data!AN112+Data!AN113+Data!AN114+Data!AN115+Data!AN116+Data!AN117+Data!AN118+Data!AN119+Data!AN120+Data!AN121+Data!AN122</f>
        <v>9533880</v>
      </c>
      <c r="AF122" s="15" t="n">
        <f aca="false">Data!AO111+Data!AO112+Data!AO113+Data!AO114+Data!AO115+Data!AO116+Data!AO117+Data!AO118+Data!AO119+Data!AO120+Data!AO121+Data!AO122</f>
        <v>3106758</v>
      </c>
    </row>
    <row r="123" customFormat="false" ht="15" hidden="false" customHeight="false" outlineLevel="0" collapsed="false">
      <c r="B123" s="14" t="str">
        <f aca="false">Data!B123</f>
        <v>2025-09</v>
      </c>
      <c r="C123" s="15" t="n">
        <f aca="false">Data!D112+Data!E112+Data!F112+Data!G112+Data!H112+Data!I112+Data!J112+Data!K112+Data!L112+Data!M112+Data!N112+Data!O112+Data!P112+Data!Q112+Data!R112+Data!S112+Data!D113+Data!E113+Data!F113+Data!G113+Data!H113+Data!I113+Data!J113+Data!K113+Data!L113+Data!M113+Data!N113+Data!O113+Data!P113+Data!Q113+Data!R113+Data!S113+Data!D114+Data!E114+Data!F114+Data!G114+Data!H114+Data!I114+Data!J114+Data!K114+Data!L114+Data!M114+Data!N114+Data!O114+Data!P114+Data!Q114+Data!R114+Data!S114+Data!D115+Data!E115+Data!F115+Data!G115+Data!H115+Data!I115+Data!J115+Data!K115+Data!L115+Data!M115+Data!N115+Data!O115+Data!P115+Data!Q115+Data!R115+Data!S115+Data!D116+Data!E116+Data!F116+Data!G116+Data!H116+Data!I116+Data!J116+Data!K116+Data!L116+Data!M116+Data!N116+Data!O116+Data!P116+Data!Q116+Data!R116+Data!S116+Data!D117+Data!E117+Data!F117+Data!G117+Data!H117+Data!I117+Data!J117+Data!K117+Data!L117+Data!M117+Data!N117+Data!O117+Data!P117+Data!Q117+Data!R117+Data!S117+Data!D118+Data!E118+Data!F118+Data!G118+Data!H118+Data!I118+Data!J118+Data!K118+Data!L118+Data!M118+Data!N118+Data!O118+Data!P118+Data!Q118+Data!R118+Data!S118+Data!D119+Data!E119+Data!F119+Data!G119+Data!H119+Data!I119+Data!J119+Data!K119+Data!L119+Data!M119+Data!N119+Data!O119+Data!P119+Data!Q119+Data!R119+Data!S119+Data!D120+Data!E120+Data!F120+Data!G120+Data!H120+Data!I120+Data!J120+Data!K120+Data!L120+Data!M120+Data!N120+Data!O120+Data!P120+Data!Q120+Data!R120+Data!S120+Data!D121+Data!E121+Data!F121+Data!G121+Data!H121+Data!I121+Data!J121+Data!K121+Data!L121+Data!M121+Data!N121+Data!O121+Data!P121+Data!Q121+Data!R121+Data!S121+Data!D122+Data!E122+Data!F122+Data!G122+Data!H122+Data!I122+Data!J122+Data!K122+Data!L122+Data!M122+Data!N122+Data!O122+Data!P122+Data!Q122+Data!R122+Data!S122+Data!D123+Data!E123+Data!F123+Data!G123+Data!H123+Data!I123+Data!J123+Data!K123+Data!L123+Data!M123+Data!N123+Data!O123+Data!P123+Data!Q123+Data!R123+Data!S123</f>
        <v>128559053</v>
      </c>
      <c r="D123" s="16" t="n">
        <f aca="false">Data!D112+Data!E112+Data!G112+Data!H112+Data!I112+Data!J112+Data!K112+Data!L112+Data!M112+Data!D113+Data!E113+Data!G113+Data!H113+Data!I113+Data!J113+Data!K113+Data!L113+Data!M113+Data!D114+Data!E114+Data!G114+Data!H114+Data!I114+Data!J114+Data!K114+Data!L114+Data!M114+Data!D115+Data!E115+Data!G115+Data!H115+Data!I115+Data!J115+Data!K115+Data!L115+Data!M115+Data!D116+Data!E116+Data!G116+Data!H116+Data!I116+Data!J116+Data!K116+Data!L116+Data!M116+Data!D117+Data!E117+Data!G117+Data!H117+Data!I117+Data!J117+Data!K117+Data!L117+Data!M117+Data!D118+Data!E118+Data!G118+Data!H118+Data!I118+Data!J118+Data!K118+Data!L118+Data!M118+Data!D119+Data!E119+Data!G119+Data!H119+Data!I119+Data!J119+Data!K119+Data!L119+Data!M119+Data!D120+Data!E120+Data!G120+Data!H120+Data!I120+Data!J120+Data!K120+Data!L120+Data!M120+Data!D121+Data!E121+Data!G121+Data!H121+Data!I121+Data!J121+Data!K121+Data!L121+Data!M121+Data!D122+Data!E122+Data!G122+Data!H122+Data!I122+Data!J122+Data!K122+Data!L122+Data!M122+Data!D123+Data!E123+Data!G123+Data!H123+Data!I123+Data!J123+Data!K123+Data!L123+Data!M123</f>
        <v>74291277</v>
      </c>
      <c r="E123" s="16" t="n">
        <f aca="false">Data!D112+Data!D113+Data!D114+Data!D115+Data!D116+Data!D117+Data!D118+Data!D119+Data!D120+Data!D121+Data!D122+Data!D123</f>
        <v>26364463</v>
      </c>
      <c r="F123" s="16" t="n">
        <f aca="false">Data!E112+Data!E113+Data!E114+Data!E115+Data!E116+Data!E117+Data!E118+Data!E119+Data!E120+Data!E121+Data!E122+Data!E123</f>
        <v>11670531</v>
      </c>
      <c r="G123" s="16" t="n">
        <f aca="false">Data!K112+Data!K113+Data!K114+Data!K115+Data!K116+Data!K117+Data!K118+Data!K119+Data!K120+Data!K121+Data!K122+Data!K123</f>
        <v>7916013</v>
      </c>
      <c r="H123" s="16" t="n">
        <f aca="false">Data!L112+Data!L113+Data!L114+Data!L115+Data!L116+Data!L117+Data!L118+Data!L119+Data!L120+Data!L121+Data!L122+Data!L123</f>
        <v>4966846</v>
      </c>
      <c r="I123" s="16" t="n">
        <f aca="false">Data!G112+Data!G113+Data!G114+Data!G115+Data!G116+Data!G117+Data!G118+Data!G119+Data!G120+Data!G121+Data!G122+Data!G123</f>
        <v>12747334</v>
      </c>
      <c r="J123" s="16" t="n">
        <f aca="false">Data!H112+Data!I112+Data!J112+Data!M112+Data!H113+Data!I113+Data!J113+Data!M113+Data!H114+Data!I114+Data!J114+Data!M114+Data!H115+Data!I115+Data!J115+Data!M115+Data!H116+Data!I116+Data!J116+Data!M116+Data!H117+Data!I117+Data!J117+Data!M117+Data!H118+Data!I118+Data!J118+Data!M118+Data!H119+Data!I119+Data!J119+Data!M119+Data!H120+Data!I120+Data!J120+Data!M120+Data!H121+Data!I121+Data!J121+Data!M121+Data!H122+Data!I122+Data!J122+Data!M122+Data!H123+Data!I123+Data!J123+Data!M123</f>
        <v>10626090</v>
      </c>
      <c r="K123" s="16" t="n">
        <f aca="false">Data!F112+Data!F113+Data!F114+Data!F115+Data!F116+Data!F117+Data!F118+Data!F119+Data!F120+Data!F121+Data!F122+Data!F123</f>
        <v>44069302</v>
      </c>
      <c r="L123" s="16" t="n">
        <f aca="false">Data!N112+Data!O112+Data!P112+Data!Q112+Data!R112+Data!S112+Data!N113+Data!O113+Data!P113+Data!Q113+Data!R113+Data!S113+Data!N114+Data!O114+Data!P114+Data!Q114+Data!R114+Data!S114+Data!N115+Data!O115+Data!P115+Data!Q115+Data!R115+Data!S115+Data!N116+Data!O116+Data!P116+Data!Q116+Data!R116+Data!S116+Data!N117+Data!O117+Data!P117+Data!Q117+Data!R117+Data!S117+Data!N118+Data!O118+Data!P118+Data!Q118+Data!R118+Data!S118+Data!N119+Data!O119+Data!P119+Data!Q119+Data!R119+Data!S119+Data!N120+Data!O120+Data!P120+Data!Q120+Data!R120+Data!S120+Data!N121+Data!O121+Data!P121+Data!Q121+Data!R121+Data!S121+Data!N122+Data!O122+Data!P122+Data!Q122+Data!R122+Data!S122+Data!N123+Data!O123+Data!P123+Data!Q123+Data!R123+Data!S123</f>
        <v>10198474</v>
      </c>
      <c r="M123" s="15" t="n">
        <f aca="false">Data!T112+Data!U112+Data!V112+Data!W112+Data!X112+Data!Y112+Data!Z112+Data!AA112+Data!AB112+Data!AC112+Data!AD112+Data!AE112+Data!AF112+Data!AG112+Data!AH112+Data!AI112+Data!AJ112+Data!AK112+Data!AL112+Data!T113+Data!U113+Data!V113+Data!W113+Data!X113+Data!Y113+Data!Z113+Data!AA113+Data!AB113+Data!AC113+Data!AD113+Data!AE113+Data!AF113+Data!AG113+Data!AH113+Data!AI113+Data!AJ113+Data!AK113+Data!AL113+Data!T114+Data!U114+Data!V114+Data!W114+Data!X114+Data!Y114+Data!Z114+Data!AA114+Data!AB114+Data!AC114+Data!AD114+Data!AE114+Data!AF114+Data!AG114+Data!AH114+Data!AI114+Data!AJ114+Data!AK114+Data!AL114+Data!T115+Data!U115+Data!V115+Data!W115+Data!X115+Data!Y115+Data!Z115+Data!AA115+Data!AB115+Data!AC115+Data!AD115+Data!AE115+Data!AF115+Data!AG115+Data!AH115+Data!AI115+Data!AJ115+Data!AK115+Data!AL115+Data!T116+Data!U116+Data!V116+Data!W116+Data!X116+Data!Y116+Data!Z116+Data!AA116+Data!AB116+Data!AC116+Data!AD116+Data!AE116+Data!AF116+Data!AG116+Data!AH116+Data!AI116+Data!AJ116+Data!AK116+Data!AL116+Data!T117+Data!U117+Data!V117+Data!W117+Data!X117+Data!Y117+Data!Z117+Data!AA117+Data!AB117+Data!AC117+Data!AD117+Data!AE117+Data!AF117+Data!AG117+Data!AH117+Data!AI117+Data!AJ117+Data!AK117+Data!AL117+Data!T118+Data!U118+Data!V118+Data!W118+Data!X118+Data!Y118+Data!Z118+Data!AA118+Data!AB118+Data!AC118+Data!AD118+Data!AE118+Data!AF118+Data!AG118+Data!AH118+Data!AI118+Data!AJ118+Data!AK118+Data!AL118+Data!T119+Data!U119+Data!V119+Data!W119+Data!X119+Data!Y119+Data!Z119+Data!AA119+Data!AB119+Data!AC119+Data!AD119+Data!AE119+Data!AF119+Data!AG119+Data!AH119+Data!AI119+Data!AJ119+Data!AK119+Data!AL119+Data!T120+Data!U120+Data!V120+Data!W120+Data!X120+Data!Y120+Data!Z120+Data!AA120+Data!AB120+Data!AC120+Data!AD120+Data!AE120+Data!AF120+Data!AG120+Data!AH120+Data!AI120+Data!AJ120+Data!AK120+Data!AL120+Data!T121+Data!U121+Data!V121+Data!W121+Data!X121+Data!Y121+Data!Z121+Data!AA121+Data!AB121+Data!AC121+Data!AD121+Data!AE121+Data!AF121+Data!AG121+Data!AH121+Data!AI121+Data!AJ121+Data!AK121+Data!AL121+Data!T122+Data!U122+Data!V122+Data!W122+Data!X122+Data!Y122+Data!Z122+Data!AA122+Data!AB122+Data!AC122+Data!AD122+Data!AE122+Data!AF122+Data!AG122+Data!AH122+Data!AI122+Data!AJ122+Data!AK122+Data!AL122+Data!T123+Data!U123+Data!V123+Data!W123+Data!X123+Data!Y123+Data!Z123+Data!AA123+Data!AB123+Data!AC123+Data!AD123+Data!AE123+Data!AF123+Data!AG123+Data!AH123+Data!AI123+Data!AJ123+Data!AK123+Data!AL123</f>
        <v>116037900</v>
      </c>
      <c r="N123" s="16" t="n">
        <f aca="false">Data!T112+Data!U112+Data!V112+Data!W112+Data!T113+Data!U113+Data!V113+Data!W113+Data!T114+Data!U114+Data!V114+Data!W114+Data!T115+Data!U115+Data!V115+Data!W115+Data!T116+Data!U116+Data!V116+Data!W116+Data!T117+Data!U117+Data!V117+Data!W117+Data!T118+Data!U118+Data!V118+Data!W118+Data!T119+Data!U119+Data!V119+Data!W119+Data!T120+Data!U120+Data!V120+Data!W120+Data!T121+Data!U121+Data!V121+Data!W121+Data!T122+Data!U122+Data!V122+Data!W122+Data!T123+Data!U123+Data!V123+Data!W123</f>
        <v>67757085</v>
      </c>
      <c r="O123" s="16" t="n">
        <f aca="false">Data!T112+Data!T113+Data!T114+Data!T115+Data!T116+Data!T117+Data!T118+Data!T119+Data!T120+Data!T121+Data!T122+Data!T123</f>
        <v>47917666</v>
      </c>
      <c r="P123" s="16" t="n">
        <f aca="false">Data!U112+Data!U113+Data!U114+Data!U115+Data!U116+Data!U117+Data!U118+Data!U119+Data!U120+Data!U121+Data!U122+Data!U123</f>
        <v>8253752</v>
      </c>
      <c r="Q123" s="16" t="n">
        <f aca="false">Data!V112+Data!V113+Data!V114+Data!V115+Data!V116+Data!V117+Data!V118+Data!V119+Data!V120+Data!V121+Data!V122+Data!V123</f>
        <v>4070413</v>
      </c>
      <c r="R123" s="16" t="n">
        <f aca="false">Data!W112+Data!W113+Data!W114+Data!W115+Data!W116+Data!W117+Data!W118+Data!W119+Data!W120+Data!W121+Data!W122+Data!W123</f>
        <v>7515254</v>
      </c>
      <c r="S123" s="16" t="n">
        <f aca="false">Data!X112+Data!X113+Data!X114+Data!X115+Data!X116+Data!X117+Data!X118+Data!X119+Data!X120+Data!X121+Data!X122+Data!X123</f>
        <v>8867500</v>
      </c>
      <c r="T123" s="16" t="n">
        <f aca="false">Data!Y112+Data!Z112+Data!AA112+Data!Y113+Data!Z113+Data!AA113+Data!Y114+Data!Z114+Data!AA114+Data!Y115+Data!Z115+Data!AA115+Data!Y116+Data!Z116+Data!AA116+Data!Y117+Data!Z117+Data!AA117+Data!Y118+Data!Z118+Data!AA118+Data!Y119+Data!Z119+Data!AA119+Data!Y120+Data!Z120+Data!AA120+Data!Y121+Data!Z121+Data!AA121+Data!Y122+Data!Z122+Data!AA122+Data!Y123+Data!Z123+Data!AA123</f>
        <v>8053759</v>
      </c>
      <c r="U123" s="16" t="n">
        <f aca="false">Data!Y112+Data!Y113+Data!Y114+Data!Y115+Data!Y116+Data!Y117+Data!Y118+Data!Y119+Data!Y120+Data!Y121+Data!Y122+Data!Y123</f>
        <v>5318924</v>
      </c>
      <c r="V123" s="16" t="n">
        <f aca="false">Data!Z112+Data!Z113+Data!Z114+Data!Z115+Data!Z116+Data!Z117+Data!Z118+Data!Z119+Data!Z120+Data!Z121+Data!Z122+Data!Z123</f>
        <v>2649982</v>
      </c>
      <c r="W123" s="16" t="n">
        <f aca="false">Data!AB112+Data!AB113+Data!AB114+Data!AB115+Data!AB116+Data!AB117+Data!AB118+Data!AB119+Data!AB120+Data!AB121+Data!AB122+Data!AB123</f>
        <v>15757100</v>
      </c>
      <c r="X123" s="16" t="n">
        <f aca="false">Data!AC112+Data!AC113+Data!AC114+Data!AC115+Data!AC116+Data!AC117+Data!AC118+Data!AC119+Data!AC120+Data!AC121+Data!AC122+Data!AC123</f>
        <v>4683527</v>
      </c>
      <c r="Y123" s="16" t="n">
        <f aca="false">Data!AD112+Data!AE112+Data!AF112+Data!AG112+Data!AH112+Data!AD113+Data!AE113+Data!AF113+Data!AG113+Data!AH113+Data!AD114+Data!AE114+Data!AF114+Data!AG114+Data!AH114+Data!AD115+Data!AE115+Data!AF115+Data!AG115+Data!AH115+Data!AD116+Data!AE116+Data!AF116+Data!AG116+Data!AH116+Data!AD117+Data!AE117+Data!AF117+Data!AG117+Data!AH117+Data!AD118+Data!AE118+Data!AF118+Data!AG118+Data!AH118+Data!AD119+Data!AE119+Data!AF119+Data!AG119+Data!AH119+Data!AD120+Data!AE120+Data!AF120+Data!AG120+Data!AH120+Data!AD121+Data!AE121+Data!AF121+Data!AG121+Data!AH121+Data!AD122+Data!AE122+Data!AF122+Data!AG122+Data!AH122+Data!AD123+Data!AE123+Data!AF123+Data!AG123+Data!AH123</f>
        <v>2415946</v>
      </c>
      <c r="Z123" s="16" t="n">
        <f aca="false">Data!AI112+Data!AI113+Data!AI114+Data!AI115+Data!AI116+Data!AI117+Data!AI118+Data!AI119+Data!AI120+Data!AI121+Data!AI122+Data!AI123</f>
        <v>4221210</v>
      </c>
      <c r="AA123" s="16" t="n">
        <f aca="false">Data!AJ112+Data!AJ113+Data!AJ114+Data!AJ115+Data!AJ116+Data!AJ117+Data!AJ118+Data!AJ119+Data!AJ120+Data!AJ121+Data!AJ122+Data!AJ123</f>
        <v>0</v>
      </c>
      <c r="AB123" s="16" t="n">
        <f aca="false">Data!AK112+Data!AK113+Data!AK114+Data!AK115+Data!AK116+Data!AK117+Data!AK118+Data!AK119+Data!AK120+Data!AK121+Data!AK122+Data!AK123</f>
        <v>1439569</v>
      </c>
      <c r="AC123" s="16" t="n">
        <f aca="false">Data!AL112+Data!AL113+Data!AL114+Data!AL115+Data!AL116+Data!AL117+Data!AL118+Data!AL119+Data!AL120+Data!AL121+Data!AL122+Data!AL123</f>
        <v>2842204</v>
      </c>
      <c r="AD123" s="15" t="n">
        <f aca="false">Data!AM112+Data!AM113+Data!AM114+Data!AM115+Data!AM116+Data!AM117+Data!AM118+Data!AM119+Data!AM120+Data!AM121+Data!AM122+Data!AM123</f>
        <v>12521153</v>
      </c>
      <c r="AE123" s="16" t="n">
        <f aca="false">Data!AN112+Data!AN113+Data!AN114+Data!AN115+Data!AN116+Data!AN117+Data!AN118+Data!AN119+Data!AN120+Data!AN121+Data!AN122+Data!AN123</f>
        <v>9571406</v>
      </c>
      <c r="AF123" s="15" t="n">
        <f aca="false">Data!AO112+Data!AO113+Data!AO114+Data!AO115+Data!AO116+Data!AO117+Data!AO118+Data!AO119+Data!AO120+Data!AO121+Data!AO122+Data!AO123</f>
        <v>2949750</v>
      </c>
    </row>
    <row r="124" customFormat="false" ht="15" hidden="false" customHeight="false" outlineLevel="0" collapsed="false">
      <c r="B124" s="14" t="str">
        <f aca="false">Data!B124</f>
        <v>2025-10</v>
      </c>
      <c r="C124" s="15" t="n">
        <f aca="false">Data!D113+Data!E113+Data!F113+Data!G113+Data!H113+Data!I113+Data!J113+Data!K113+Data!L113+Data!M113+Data!N113+Data!O113+Data!P113+Data!Q113+Data!R113+Data!S113+Data!D114+Data!E114+Data!F114+Data!G114+Data!H114+Data!I114+Data!J114+Data!K114+Data!L114+Data!M114+Data!N114+Data!O114+Data!P114+Data!Q114+Data!R114+Data!S114+Data!D115+Data!E115+Data!F115+Data!G115+Data!H115+Data!I115+Data!J115+Data!K115+Data!L115+Data!M115+Data!N115+Data!O115+Data!P115+Data!Q115+Data!R115+Data!S115+Data!D116+Data!E116+Data!F116+Data!G116+Data!H116+Data!I116+Data!J116+Data!K116+Data!L116+Data!M116+Data!N116+Data!O116+Data!P116+Data!Q116+Data!R116+Data!S116+Data!D117+Data!E117+Data!F117+Data!G117+Data!H117+Data!I117+Data!J117+Data!K117+Data!L117+Data!M117+Data!N117+Data!O117+Data!P117+Data!Q117+Data!R117+Data!S117+Data!D118+Data!E118+Data!F118+Data!G118+Data!H118+Data!I118+Data!J118+Data!K118+Data!L118+Data!M118+Data!N118+Data!O118+Data!P118+Data!Q118+Data!R118+Data!S118+Data!D119+Data!E119+Data!F119+Data!G119+Data!H119+Data!I119+Data!J119+Data!K119+Data!L119+Data!M119+Data!N119+Data!O119+Data!P119+Data!Q119+Data!R119+Data!S119+Data!D120+Data!E120+Data!F120+Data!G120+Data!H120+Data!I120+Data!J120+Data!K120+Data!L120+Data!M120+Data!N120+Data!O120+Data!P120+Data!Q120+Data!R120+Data!S120+Data!D121+Data!E121+Data!F121+Data!G121+Data!H121+Data!I121+Data!J121+Data!K121+Data!L121+Data!M121+Data!N121+Data!O121+Data!P121+Data!Q121+Data!R121+Data!S121+Data!D122+Data!E122+Data!F122+Data!G122+Data!H122+Data!I122+Data!J122+Data!K122+Data!L122+Data!M122+Data!N122+Data!O122+Data!P122+Data!Q122+Data!R122+Data!S122+Data!D123+Data!E123+Data!F123+Data!G123+Data!H123+Data!I123+Data!J123+Data!K123+Data!L123+Data!M123+Data!N123+Data!O123+Data!P123+Data!Q123+Data!R123+Data!S123+Data!D124+Data!E124+Data!F124+Data!G124+Data!H124+Data!I124+Data!J124+Data!K124+Data!L124+Data!M124+Data!N124+Data!O124+Data!P124+Data!Q124+Data!R124+Data!S124</f>
        <v>131187933</v>
      </c>
      <c r="D124" s="16" t="n">
        <f aca="false">Data!D113+Data!E113+Data!G113+Data!H113+Data!I113+Data!J113+Data!K113+Data!L113+Data!M113+Data!D114+Data!E114+Data!G114+Data!H114+Data!I114+Data!J114+Data!K114+Data!L114+Data!M114+Data!D115+Data!E115+Data!G115+Data!H115+Data!I115+Data!J115+Data!K115+Data!L115+Data!M115+Data!D116+Data!E116+Data!G116+Data!H116+Data!I116+Data!J116+Data!K116+Data!L116+Data!M116+Data!D117+Data!E117+Data!G117+Data!H117+Data!I117+Data!J117+Data!K117+Data!L117+Data!M117+Data!D118+Data!E118+Data!G118+Data!H118+Data!I118+Data!J118+Data!K118+Data!L118+Data!M118+Data!D119+Data!E119+Data!G119+Data!H119+Data!I119+Data!J119+Data!K119+Data!L119+Data!M119+Data!D120+Data!E120+Data!G120+Data!H120+Data!I120+Data!J120+Data!K120+Data!L120+Data!M120+Data!D121+Data!E121+Data!G121+Data!H121+Data!I121+Data!J121+Data!K121+Data!L121+Data!M121+Data!D122+Data!E122+Data!G122+Data!H122+Data!I122+Data!J122+Data!K122+Data!L122+Data!M122+Data!D123+Data!E123+Data!G123+Data!H123+Data!I123+Data!J123+Data!K123+Data!L123+Data!M123+Data!D124+Data!E124+Data!G124+Data!H124+Data!I124+Data!J124+Data!K124+Data!L124+Data!M124</f>
        <v>75383201</v>
      </c>
      <c r="E124" s="16" t="n">
        <f aca="false">Data!D113+Data!D114+Data!D115+Data!D116+Data!D117+Data!D118+Data!D119+Data!D120+Data!D121+Data!D122+Data!D123+Data!D124</f>
        <v>26993949</v>
      </c>
      <c r="F124" s="16" t="n">
        <f aca="false">Data!E113+Data!E114+Data!E115+Data!E116+Data!E117+Data!E118+Data!E119+Data!E120+Data!E121+Data!E122+Data!E123+Data!E124</f>
        <v>11989496</v>
      </c>
      <c r="G124" s="16" t="n">
        <f aca="false">Data!K113+Data!K114+Data!K115+Data!K116+Data!K117+Data!K118+Data!K119+Data!K120+Data!K121+Data!K122+Data!K123+Data!K124</f>
        <v>7640669</v>
      </c>
      <c r="H124" s="16" t="n">
        <f aca="false">Data!L113+Data!L114+Data!L115+Data!L116+Data!L117+Data!L118+Data!L119+Data!L120+Data!L121+Data!L122+Data!L123+Data!L124</f>
        <v>5228782</v>
      </c>
      <c r="I124" s="16" t="n">
        <f aca="false">Data!G113+Data!G114+Data!G115+Data!G116+Data!G117+Data!G118+Data!G119+Data!G120+Data!G121+Data!G122+Data!G123+Data!G124</f>
        <v>13131691</v>
      </c>
      <c r="J124" s="16" t="n">
        <f aca="false">Data!H113+Data!I113+Data!J113+Data!M113+Data!H114+Data!I114+Data!J114+Data!M114+Data!H115+Data!I115+Data!J115+Data!M115+Data!H116+Data!I116+Data!J116+Data!M116+Data!H117+Data!I117+Data!J117+Data!M117+Data!H118+Data!I118+Data!J118+Data!M118+Data!H119+Data!I119+Data!J119+Data!M119+Data!H120+Data!I120+Data!J120+Data!M120+Data!H121+Data!I121+Data!J121+Data!M121+Data!H122+Data!I122+Data!J122+Data!M122+Data!H123+Data!I123+Data!J123+Data!M123+Data!H124+Data!I124+Data!J124+Data!M124</f>
        <v>10398614</v>
      </c>
      <c r="K124" s="16" t="n">
        <f aca="false">Data!F113+Data!F114+Data!F115+Data!F116+Data!F117+Data!F118+Data!F119+Data!F120+Data!F121+Data!F122+Data!F123+Data!F124</f>
        <v>45093334</v>
      </c>
      <c r="L124" s="16" t="n">
        <f aca="false">Data!N113+Data!O113+Data!P113+Data!Q113+Data!R113+Data!S113+Data!N114+Data!O114+Data!P114+Data!Q114+Data!R114+Data!S114+Data!N115+Data!O115+Data!P115+Data!Q115+Data!R115+Data!S115+Data!N116+Data!O116+Data!P116+Data!Q116+Data!R116+Data!S116+Data!N117+Data!O117+Data!P117+Data!Q117+Data!R117+Data!S117+Data!N118+Data!O118+Data!P118+Data!Q118+Data!R118+Data!S118+Data!N119+Data!O119+Data!P119+Data!Q119+Data!R119+Data!S119+Data!N120+Data!O120+Data!P120+Data!Q120+Data!R120+Data!S120+Data!N121+Data!O121+Data!P121+Data!Q121+Data!R121+Data!S121+Data!N122+Data!O122+Data!P122+Data!Q122+Data!R122+Data!S122+Data!N123+Data!O123+Data!P123+Data!Q123+Data!R123+Data!S123+Data!N124+Data!O124+Data!P124+Data!Q124+Data!R124+Data!S124</f>
        <v>10711398</v>
      </c>
      <c r="M124" s="15" t="n">
        <f aca="false">Data!T113+Data!U113+Data!V113+Data!W113+Data!X113+Data!Y113+Data!Z113+Data!AA113+Data!AB113+Data!AC113+Data!AD113+Data!AE113+Data!AF113+Data!AG113+Data!AH113+Data!AI113+Data!AJ113+Data!AK113+Data!AL113+Data!T114+Data!U114+Data!V114+Data!W114+Data!X114+Data!Y114+Data!Z114+Data!AA114+Data!AB114+Data!AC114+Data!AD114+Data!AE114+Data!AF114+Data!AG114+Data!AH114+Data!AI114+Data!AJ114+Data!AK114+Data!AL114+Data!T115+Data!U115+Data!V115+Data!W115+Data!X115+Data!Y115+Data!Z115+Data!AA115+Data!AB115+Data!AC115+Data!AD115+Data!AE115+Data!AF115+Data!AG115+Data!AH115+Data!AI115+Data!AJ115+Data!AK115+Data!AL115+Data!T116+Data!U116+Data!V116+Data!W116+Data!X116+Data!Y116+Data!Z116+Data!AA116+Data!AB116+Data!AC116+Data!AD116+Data!AE116+Data!AF116+Data!AG116+Data!AH116+Data!AI116+Data!AJ116+Data!AK116+Data!AL116+Data!T117+Data!U117+Data!V117+Data!W117+Data!X117+Data!Y117+Data!Z117+Data!AA117+Data!AB117+Data!AC117+Data!AD117+Data!AE117+Data!AF117+Data!AG117+Data!AH117+Data!AI117+Data!AJ117+Data!AK117+Data!AL117+Data!T118+Data!U118+Data!V118+Data!W118+Data!X118+Data!Y118+Data!Z118+Data!AA118+Data!AB118+Data!AC118+Data!AD118+Data!AE118+Data!AF118+Data!AG118+Data!AH118+Data!AI118+Data!AJ118+Data!AK118+Data!AL118+Data!T119+Data!U119+Data!V119+Data!W119+Data!X119+Data!Y119+Data!Z119+Data!AA119+Data!AB119+Data!AC119+Data!AD119+Data!AE119+Data!AF119+Data!AG119+Data!AH119+Data!AI119+Data!AJ119+Data!AK119+Data!AL119+Data!T120+Data!U120+Data!V120+Data!W120+Data!X120+Data!Y120+Data!Z120+Data!AA120+Data!AB120+Data!AC120+Data!AD120+Data!AE120+Data!AF120+Data!AG120+Data!AH120+Data!AI120+Data!AJ120+Data!AK120+Data!AL120+Data!T121+Data!U121+Data!V121+Data!W121+Data!X121+Data!Y121+Data!Z121+Data!AA121+Data!AB121+Data!AC121+Data!AD121+Data!AE121+Data!AF121+Data!AG121+Data!AH121+Data!AI121+Data!AJ121+Data!AK121+Data!AL121+Data!T122+Data!U122+Data!V122+Data!W122+Data!X122+Data!Y122+Data!Z122+Data!AA122+Data!AB122+Data!AC122+Data!AD122+Data!AE122+Data!AF122+Data!AG122+Data!AH122+Data!AI122+Data!AJ122+Data!AK122+Data!AL122+Data!T123+Data!U123+Data!V123+Data!W123+Data!X123+Data!Y123+Data!Z123+Data!AA123+Data!AB123+Data!AC123+Data!AD123+Data!AE123+Data!AF123+Data!AG123+Data!AH123+Data!AI123+Data!AJ123+Data!AK123+Data!AL123+Data!T124+Data!U124+Data!V124+Data!W124+Data!X124+Data!Y124+Data!Z124+Data!AA124+Data!AB124+Data!AC124+Data!AD124+Data!AE124+Data!AF124+Data!AG124+Data!AH124+Data!AI124+Data!AJ124+Data!AK124+Data!AL124</f>
        <v>118589776</v>
      </c>
      <c r="N124" s="16" t="n">
        <f aca="false">Data!T113+Data!U113+Data!V113+Data!W113+Data!T114+Data!U114+Data!V114+Data!W114+Data!T115+Data!U115+Data!V115+Data!W115+Data!T116+Data!U116+Data!V116+Data!W116+Data!T117+Data!U117+Data!V117+Data!W117+Data!T118+Data!U118+Data!V118+Data!W118+Data!T119+Data!U119+Data!V119+Data!W119+Data!T120+Data!U120+Data!V120+Data!W120+Data!T121+Data!U121+Data!V121+Data!W121+Data!T122+Data!U122+Data!V122+Data!W122+Data!T123+Data!U123+Data!V123+Data!W123+Data!T124+Data!U124+Data!V124+Data!W124</f>
        <v>69430499</v>
      </c>
      <c r="O124" s="16" t="n">
        <f aca="false">Data!T113+Data!T114+Data!T115+Data!T116+Data!T117+Data!T118+Data!T119+Data!T120+Data!T121+Data!T122+Data!T123+Data!T124</f>
        <v>49201227</v>
      </c>
      <c r="P124" s="16" t="n">
        <f aca="false">Data!U113+Data!U114+Data!U115+Data!U116+Data!U117+Data!U118+Data!U119+Data!U120+Data!U121+Data!U122+Data!U123+Data!U124</f>
        <v>8433619</v>
      </c>
      <c r="Q124" s="16" t="n">
        <f aca="false">Data!V113+Data!V114+Data!V115+Data!V116+Data!V117+Data!V118+Data!V119+Data!V120+Data!V121+Data!V122+Data!V123+Data!V124</f>
        <v>4136693</v>
      </c>
      <c r="R124" s="16" t="n">
        <f aca="false">Data!W113+Data!W114+Data!W115+Data!W116+Data!W117+Data!W118+Data!W119+Data!W120+Data!W121+Data!W122+Data!W123+Data!W124</f>
        <v>7658960</v>
      </c>
      <c r="S124" s="16" t="n">
        <f aca="false">Data!X113+Data!X114+Data!X115+Data!X116+Data!X117+Data!X118+Data!X119+Data!X120+Data!X121+Data!X122+Data!X123+Data!X124</f>
        <v>8843587</v>
      </c>
      <c r="T124" s="16" t="n">
        <f aca="false">Data!Y113+Data!Z113+Data!AA113+Data!Y114+Data!Z114+Data!AA114+Data!Y115+Data!Z115+Data!AA115+Data!Y116+Data!Z116+Data!AA116+Data!Y117+Data!Z117+Data!AA117+Data!Y118+Data!Z118+Data!AA118+Data!Y119+Data!Z119+Data!AA119+Data!Y120+Data!Z120+Data!AA120+Data!Y121+Data!Z121+Data!AA121+Data!Y122+Data!Z122+Data!AA122+Data!Y123+Data!Z123+Data!AA123+Data!Y124+Data!Z124+Data!AA124</f>
        <v>8276023</v>
      </c>
      <c r="U124" s="16" t="n">
        <f aca="false">Data!Y113+Data!Y114+Data!Y115+Data!Y116+Data!Y117+Data!Y118+Data!Y119+Data!Y120+Data!Y121+Data!Y122+Data!Y123+Data!Y124</f>
        <v>5490490</v>
      </c>
      <c r="V124" s="16" t="n">
        <f aca="false">Data!Z113+Data!Z114+Data!Z115+Data!Z116+Data!Z117+Data!Z118+Data!Z119+Data!Z120+Data!Z121+Data!Z122+Data!Z123+Data!Z124</f>
        <v>2705238</v>
      </c>
      <c r="W124" s="16" t="n">
        <f aca="false">Data!AB113+Data!AB114+Data!AB115+Data!AB116+Data!AB117+Data!AB118+Data!AB119+Data!AB120+Data!AB121+Data!AB122+Data!AB123+Data!AB124</f>
        <v>16011600</v>
      </c>
      <c r="X124" s="16" t="n">
        <f aca="false">Data!AC113+Data!AC114+Data!AC115+Data!AC116+Data!AC117+Data!AC118+Data!AC119+Data!AC120+Data!AC121+Data!AC122+Data!AC123+Data!AC124</f>
        <v>4924326</v>
      </c>
      <c r="Y124" s="16" t="n">
        <f aca="false">Data!AD113+Data!AE113+Data!AF113+Data!AG113+Data!AH113+Data!AD114+Data!AE114+Data!AF114+Data!AG114+Data!AH114+Data!AD115+Data!AE115+Data!AF115+Data!AG115+Data!AH115+Data!AD116+Data!AE116+Data!AF116+Data!AG116+Data!AH116+Data!AD117+Data!AE117+Data!AF117+Data!AG117+Data!AH117+Data!AD118+Data!AE118+Data!AF118+Data!AG118+Data!AH118+Data!AD119+Data!AE119+Data!AF119+Data!AG119+Data!AH119+Data!AD120+Data!AE120+Data!AF120+Data!AG120+Data!AH120+Data!AD121+Data!AE121+Data!AF121+Data!AG121+Data!AH121+Data!AD122+Data!AE122+Data!AF122+Data!AG122+Data!AH122+Data!AD123+Data!AE123+Data!AF123+Data!AG123+Data!AH123+Data!AD124+Data!AE124+Data!AF124+Data!AG124+Data!AH124</f>
        <v>2398673</v>
      </c>
      <c r="Z124" s="16" t="n">
        <f aca="false">Data!AI113+Data!AI114+Data!AI115+Data!AI116+Data!AI117+Data!AI118+Data!AI119+Data!AI120+Data!AI121+Data!AI122+Data!AI123+Data!AI124</f>
        <v>4310243</v>
      </c>
      <c r="AA124" s="16" t="n">
        <f aca="false">Data!AJ113+Data!AJ114+Data!AJ115+Data!AJ116+Data!AJ117+Data!AJ118+Data!AJ119+Data!AJ120+Data!AJ121+Data!AJ122+Data!AJ123+Data!AJ124</f>
        <v>0</v>
      </c>
      <c r="AB124" s="16" t="n">
        <f aca="false">Data!AK113+Data!AK114+Data!AK115+Data!AK116+Data!AK117+Data!AK118+Data!AK119+Data!AK120+Data!AK121+Data!AK122+Data!AK123+Data!AK124</f>
        <v>1513364</v>
      </c>
      <c r="AC124" s="16" t="n">
        <f aca="false">Data!AL113+Data!AL114+Data!AL115+Data!AL116+Data!AL117+Data!AL118+Data!AL119+Data!AL120+Data!AL121+Data!AL122+Data!AL123+Data!AL124</f>
        <v>2881461</v>
      </c>
      <c r="AD124" s="15" t="n">
        <f aca="false">Data!AM113+Data!AM114+Data!AM115+Data!AM116+Data!AM117+Data!AM118+Data!AM119+Data!AM120+Data!AM121+Data!AM122+Data!AM123+Data!AM124</f>
        <v>12598157</v>
      </c>
      <c r="AE124" s="16" t="n">
        <f aca="false">Data!AN113+Data!AN114+Data!AN115+Data!AN116+Data!AN117+Data!AN118+Data!AN119+Data!AN120+Data!AN121+Data!AN122+Data!AN123+Data!AN124</f>
        <v>9654136</v>
      </c>
      <c r="AF124" s="15" t="n">
        <f aca="false">Data!AO113+Data!AO114+Data!AO115+Data!AO116+Data!AO117+Data!AO118+Data!AO119+Data!AO120+Data!AO121+Data!AO122+Data!AO123+Data!AO124</f>
        <v>2944024</v>
      </c>
    </row>
    <row r="125" customFormat="false" ht="15" hidden="false" customHeight="false" outlineLevel="0" collapsed="false">
      <c r="B125" s="14" t="str">
        <f aca="false">Data!B125</f>
        <v>2025-11</v>
      </c>
      <c r="C125" s="15" t="n">
        <f aca="false">Data!D114+Data!E114+Data!F114+Data!G114+Data!H114+Data!I114+Data!J114+Data!K114+Data!L114+Data!M114+Data!N114+Data!O114+Data!P114+Data!Q114+Data!R114+Data!S114+Data!D115+Data!E115+Data!F115+Data!G115+Data!H115+Data!I115+Data!J115+Data!K115+Data!L115+Data!M115+Data!N115+Data!O115+Data!P115+Data!Q115+Data!R115+Data!S115+Data!D116+Data!E116+Data!F116+Data!G116+Data!H116+Data!I116+Data!J116+Data!K116+Data!L116+Data!M116+Data!N116+Data!O116+Data!P116+Data!Q116+Data!R116+Data!S116+Data!D117+Data!E117+Data!F117+Data!G117+Data!H117+Data!I117+Data!J117+Data!K117+Data!L117+Data!M117+Data!N117+Data!O117+Data!P117+Data!Q117+Data!R117+Data!S117+Data!D118+Data!E118+Data!F118+Data!G118+Data!H118+Data!I118+Data!J118+Data!K118+Data!L118+Data!M118+Data!N118+Data!O118+Data!P118+Data!Q118+Data!R118+Data!S118+Data!D119+Data!E119+Data!F119+Data!G119+Data!H119+Data!I119+Data!J119+Data!K119+Data!L119+Data!M119+Data!N119+Data!O119+Data!P119+Data!Q119+Data!R119+Data!S119+Data!D120+Data!E120+Data!F120+Data!G120+Data!H120+Data!I120+Data!J120+Data!K120+Data!L120+Data!M120+Data!N120+Data!O120+Data!P120+Data!Q120+Data!R120+Data!S120+Data!D121+Data!E121+Data!F121+Data!G121+Data!H121+Data!I121+Data!J121+Data!K121+Data!L121+Data!M121+Data!N121+Data!O121+Data!P121+Data!Q121+Data!R121+Data!S121+Data!D122+Data!E122+Data!F122+Data!G122+Data!H122+Data!I122+Data!J122+Data!K122+Data!L122+Data!M122+Data!N122+Data!O122+Data!P122+Data!Q122+Data!R122+Data!S122+Data!D123+Data!E123+Data!F123+Data!G123+Data!H123+Data!I123+Data!J123+Data!K123+Data!L123+Data!M123+Data!N123+Data!O123+Data!P123+Data!Q123+Data!R123+Data!S123+Data!D124+Data!E124+Data!F124+Data!G124+Data!H124+Data!I124+Data!J124+Data!K124+Data!L124+Data!M124+Data!N124+Data!O124+Data!P124+Data!Q124+Data!R124+Data!S124+Data!D125+Data!E125+Data!F125+Data!G125+Data!H125+Data!I125+Data!J125+Data!K125+Data!L125+Data!M125+Data!N125+Data!O125+Data!P125+Data!Q125+Data!R125+Data!S125</f>
        <v>132981285</v>
      </c>
      <c r="D125" s="16" t="n">
        <f aca="false">Data!D114+Data!E114+Data!G114+Data!H114+Data!I114+Data!J114+Data!K114+Data!L114+Data!M114+Data!D115+Data!E115+Data!G115+Data!H115+Data!I115+Data!J115+Data!K115+Data!L115+Data!M115+Data!D116+Data!E116+Data!G116+Data!H116+Data!I116+Data!J116+Data!K116+Data!L116+Data!M116+Data!D117+Data!E117+Data!G117+Data!H117+Data!I117+Data!J117+Data!K117+Data!L117+Data!M117+Data!D118+Data!E118+Data!G118+Data!H118+Data!I118+Data!J118+Data!K118+Data!L118+Data!M118+Data!D119+Data!E119+Data!G119+Data!H119+Data!I119+Data!J119+Data!K119+Data!L119+Data!M119+Data!D120+Data!E120+Data!G120+Data!H120+Data!I120+Data!J120+Data!K120+Data!L120+Data!M120+Data!D121+Data!E121+Data!G121+Data!H121+Data!I121+Data!J121+Data!K121+Data!L121+Data!M121+Data!D122+Data!E122+Data!G122+Data!H122+Data!I122+Data!J122+Data!K122+Data!L122+Data!M122+Data!D123+Data!E123+Data!G123+Data!H123+Data!I123+Data!J123+Data!K123+Data!L123+Data!M123+Data!D124+Data!E124+Data!G124+Data!H124+Data!I124+Data!J124+Data!K124+Data!L124+Data!M124+Data!D125+Data!E125+Data!G125+Data!H125+Data!I125+Data!J125+Data!K125+Data!L125+Data!M125</f>
        <v>75913267</v>
      </c>
      <c r="E125" s="16" t="n">
        <f aca="false">Data!D114+Data!D115+Data!D116+Data!D117+Data!D118+Data!D119+Data!D120+Data!D121+Data!D122+Data!D123+Data!D124+Data!D125</f>
        <v>27510272</v>
      </c>
      <c r="F125" s="16" t="n">
        <f aca="false">Data!E114+Data!E115+Data!E116+Data!E117+Data!E118+Data!E119+Data!E120+Data!E121+Data!E122+Data!E123+Data!E124+Data!E125</f>
        <v>12191065</v>
      </c>
      <c r="G125" s="16" t="n">
        <f aca="false">Data!K114+Data!K115+Data!K116+Data!K117+Data!K118+Data!K119+Data!K120+Data!K121+Data!K122+Data!K123+Data!K124+Data!K125</f>
        <v>7322552</v>
      </c>
      <c r="H125" s="16" t="n">
        <f aca="false">Data!L114+Data!L115+Data!L116+Data!L117+Data!L118+Data!L119+Data!L120+Data!L121+Data!L122+Data!L123+Data!L124+Data!L125</f>
        <v>5369750</v>
      </c>
      <c r="I125" s="16" t="n">
        <f aca="false">Data!G114+Data!G115+Data!G116+Data!G117+Data!G118+Data!G119+Data!G120+Data!G121+Data!G122+Data!G123+Data!G124+Data!G125</f>
        <v>13354419</v>
      </c>
      <c r="J125" s="16" t="n">
        <f aca="false">Data!H114+Data!I114+Data!J114+Data!M114+Data!H115+Data!I115+Data!J115+Data!M115+Data!H116+Data!I116+Data!J116+Data!M116+Data!H117+Data!I117+Data!J117+Data!M117+Data!H118+Data!I118+Data!J118+Data!M118+Data!H119+Data!I119+Data!J119+Data!M119+Data!H120+Data!I120+Data!J120+Data!M120+Data!H121+Data!I121+Data!J121+Data!M121+Data!H122+Data!I122+Data!J122+Data!M122+Data!H123+Data!I123+Data!J123+Data!M123+Data!H124+Data!I124+Data!J124+Data!M124+Data!H125+Data!I125+Data!J125+Data!M125</f>
        <v>10165209</v>
      </c>
      <c r="K125" s="16" t="n">
        <f aca="false">Data!F114+Data!F115+Data!F116+Data!F117+Data!F118+Data!F119+Data!F120+Data!F121+Data!F122+Data!F123+Data!F124+Data!F125</f>
        <v>46017845</v>
      </c>
      <c r="L125" s="16" t="n">
        <f aca="false">Data!N114+Data!O114+Data!P114+Data!Q114+Data!R114+Data!S114+Data!N115+Data!O115+Data!P115+Data!Q115+Data!R115+Data!S115+Data!N116+Data!O116+Data!P116+Data!Q116+Data!R116+Data!S116+Data!N117+Data!O117+Data!P117+Data!Q117+Data!R117+Data!S117+Data!N118+Data!O118+Data!P118+Data!Q118+Data!R118+Data!S118+Data!N119+Data!O119+Data!P119+Data!Q119+Data!R119+Data!S119+Data!N120+Data!O120+Data!P120+Data!Q120+Data!R120+Data!S120+Data!N121+Data!O121+Data!P121+Data!Q121+Data!R121+Data!S121+Data!N122+Data!O122+Data!P122+Data!Q122+Data!R122+Data!S122+Data!N123+Data!O123+Data!P123+Data!Q123+Data!R123+Data!S123+Data!N124+Data!O124+Data!P124+Data!Q124+Data!R124+Data!S124+Data!N125+Data!O125+Data!P125+Data!Q125+Data!R125+Data!S125</f>
        <v>11050173</v>
      </c>
      <c r="M125" s="15" t="n">
        <f aca="false">Data!T114+Data!U114+Data!V114+Data!W114+Data!X114+Data!Y114+Data!Z114+Data!AA114+Data!AB114+Data!AC114+Data!AD114+Data!AE114+Data!AF114+Data!AG114+Data!AH114+Data!AI114+Data!AJ114+Data!AK114+Data!AL114+Data!T115+Data!U115+Data!V115+Data!W115+Data!X115+Data!Y115+Data!Z115+Data!AA115+Data!AB115+Data!AC115+Data!AD115+Data!AE115+Data!AF115+Data!AG115+Data!AH115+Data!AI115+Data!AJ115+Data!AK115+Data!AL115+Data!T116+Data!U116+Data!V116+Data!W116+Data!X116+Data!Y116+Data!Z116+Data!AA116+Data!AB116+Data!AC116+Data!AD116+Data!AE116+Data!AF116+Data!AG116+Data!AH116+Data!AI116+Data!AJ116+Data!AK116+Data!AL116+Data!T117+Data!U117+Data!V117+Data!W117+Data!X117+Data!Y117+Data!Z117+Data!AA117+Data!AB117+Data!AC117+Data!AD117+Data!AE117+Data!AF117+Data!AG117+Data!AH117+Data!AI117+Data!AJ117+Data!AK117+Data!AL117+Data!T118+Data!U118+Data!V118+Data!W118+Data!X118+Data!Y118+Data!Z118+Data!AA118+Data!AB118+Data!AC118+Data!AD118+Data!AE118+Data!AF118+Data!AG118+Data!AH118+Data!AI118+Data!AJ118+Data!AK118+Data!AL118+Data!T119+Data!U119+Data!V119+Data!W119+Data!X119+Data!Y119+Data!Z119+Data!AA119+Data!AB119+Data!AC119+Data!AD119+Data!AE119+Data!AF119+Data!AG119+Data!AH119+Data!AI119+Data!AJ119+Data!AK119+Data!AL119+Data!T120+Data!U120+Data!V120+Data!W120+Data!X120+Data!Y120+Data!Z120+Data!AA120+Data!AB120+Data!AC120+Data!AD120+Data!AE120+Data!AF120+Data!AG120+Data!AH120+Data!AI120+Data!AJ120+Data!AK120+Data!AL120+Data!T121+Data!U121+Data!V121+Data!W121+Data!X121+Data!Y121+Data!Z121+Data!AA121+Data!AB121+Data!AC121+Data!AD121+Data!AE121+Data!AF121+Data!AG121+Data!AH121+Data!AI121+Data!AJ121+Data!AK121+Data!AL121+Data!T122+Data!U122+Data!V122+Data!W122+Data!X122+Data!Y122+Data!Z122+Data!AA122+Data!AB122+Data!AC122+Data!AD122+Data!AE122+Data!AF122+Data!AG122+Data!AH122+Data!AI122+Data!AJ122+Data!AK122+Data!AL122+Data!T123+Data!U123+Data!V123+Data!W123+Data!X123+Data!Y123+Data!Z123+Data!AA123+Data!AB123+Data!AC123+Data!AD123+Data!AE123+Data!AF123+Data!AG123+Data!AH123+Data!AI123+Data!AJ123+Data!AK123+Data!AL123+Data!T124+Data!U124+Data!V124+Data!W124+Data!X124+Data!Y124+Data!Z124+Data!AA124+Data!AB124+Data!AC124+Data!AD124+Data!AE124+Data!AF124+Data!AG124+Data!AH124+Data!AI124+Data!AJ124+Data!AK124+Data!AL124+Data!T125+Data!U125+Data!V125+Data!W125+Data!X125+Data!Y125+Data!Z125+Data!AA125+Data!AB125+Data!AC125+Data!AD125+Data!AE125+Data!AF125+Data!AG125+Data!AH125+Data!AI125+Data!AJ125+Data!AK125+Data!AL125</f>
        <v>119636664</v>
      </c>
      <c r="N125" s="16" t="n">
        <f aca="false">Data!T114+Data!U114+Data!V114+Data!W114+Data!T115+Data!U115+Data!V115+Data!W115+Data!T116+Data!U116+Data!V116+Data!W116+Data!T117+Data!U117+Data!V117+Data!W117+Data!T118+Data!U118+Data!V118+Data!W118+Data!T119+Data!U119+Data!V119+Data!W119+Data!T120+Data!U120+Data!V120+Data!W120+Data!T121+Data!U121+Data!V121+Data!W121+Data!T122+Data!U122+Data!V122+Data!W122+Data!T123+Data!U123+Data!V123+Data!W123+Data!T124+Data!U124+Data!V124+Data!W124+Data!T125+Data!U125+Data!V125+Data!W125</f>
        <v>70699968</v>
      </c>
      <c r="O125" s="16" t="n">
        <f aca="false">Data!T114+Data!T115+Data!T116+Data!T117+Data!T118+Data!T119+Data!T120+Data!T121+Data!T122+Data!T123+Data!T124+Data!T125</f>
        <v>50439674</v>
      </c>
      <c r="P125" s="16" t="n">
        <f aca="false">Data!U114+Data!U115+Data!U116+Data!U117+Data!U118+Data!U119+Data!U120+Data!U121+Data!U122+Data!U123+Data!U124+Data!U125</f>
        <v>8615915</v>
      </c>
      <c r="Q125" s="16" t="n">
        <f aca="false">Data!V114+Data!V115+Data!V116+Data!V117+Data!V118+Data!V119+Data!V120+Data!V121+Data!V122+Data!V123+Data!V124+Data!V125</f>
        <v>4182370</v>
      </c>
      <c r="R125" s="16" t="n">
        <f aca="false">Data!W114+Data!W115+Data!W116+Data!W117+Data!W118+Data!W119+Data!W120+Data!W121+Data!W122+Data!W123+Data!W124+Data!W125</f>
        <v>7462009</v>
      </c>
      <c r="S125" s="16" t="n">
        <f aca="false">Data!X114+Data!X115+Data!X116+Data!X117+Data!X118+Data!X119+Data!X120+Data!X121+Data!X122+Data!X123+Data!X124+Data!X125</f>
        <v>8539934</v>
      </c>
      <c r="T125" s="16" t="n">
        <f aca="false">Data!Y114+Data!Z114+Data!AA114+Data!Y115+Data!Z115+Data!AA115+Data!Y116+Data!Z116+Data!AA116+Data!Y117+Data!Z117+Data!AA117+Data!Y118+Data!Z118+Data!AA118+Data!Y119+Data!Z119+Data!AA119+Data!Y120+Data!Z120+Data!AA120+Data!Y121+Data!Z121+Data!AA121+Data!Y122+Data!Z122+Data!AA122+Data!Y123+Data!Z123+Data!AA123+Data!Y124+Data!Z124+Data!AA124+Data!Y125+Data!Z125+Data!AA125</f>
        <v>8415259</v>
      </c>
      <c r="U125" s="16" t="n">
        <f aca="false">Data!Y114+Data!Y115+Data!Y116+Data!Y117+Data!Y118+Data!Y119+Data!Y120+Data!Y121+Data!Y122+Data!Y123+Data!Y124+Data!Y125</f>
        <v>5632763</v>
      </c>
      <c r="V125" s="16" t="n">
        <f aca="false">Data!Z114+Data!Z115+Data!Z116+Data!Z117+Data!Z118+Data!Z119+Data!Z120+Data!Z121+Data!Z122+Data!Z123+Data!Z124+Data!Z125</f>
        <v>2708145</v>
      </c>
      <c r="W125" s="16" t="n">
        <f aca="false">Data!AB114+Data!AB115+Data!AB116+Data!AB117+Data!AB118+Data!AB119+Data!AB120+Data!AB121+Data!AB122+Data!AB123+Data!AB124+Data!AB125</f>
        <v>16125746</v>
      </c>
      <c r="X125" s="16" t="n">
        <f aca="false">Data!AC114+Data!AC115+Data!AC116+Data!AC117+Data!AC118+Data!AC119+Data!AC120+Data!AC121+Data!AC122+Data!AC123+Data!AC124+Data!AC125</f>
        <v>4971071</v>
      </c>
      <c r="Y125" s="16" t="n">
        <f aca="false">Data!AD114+Data!AE114+Data!AF114+Data!AG114+Data!AH114+Data!AD115+Data!AE115+Data!AF115+Data!AG115+Data!AH115+Data!AD116+Data!AE116+Data!AF116+Data!AG116+Data!AH116+Data!AD117+Data!AE117+Data!AF117+Data!AG117+Data!AH117+Data!AD118+Data!AE118+Data!AF118+Data!AG118+Data!AH118+Data!AD119+Data!AE119+Data!AF119+Data!AG119+Data!AH119+Data!AD120+Data!AE120+Data!AF120+Data!AG120+Data!AH120+Data!AD121+Data!AE121+Data!AF121+Data!AG121+Data!AH121+Data!AD122+Data!AE122+Data!AF122+Data!AG122+Data!AH122+Data!AD123+Data!AE123+Data!AF123+Data!AG123+Data!AH123+Data!AD124+Data!AE124+Data!AF124+Data!AG124+Data!AH124+Data!AD125+Data!AE125+Data!AF125+Data!AG125+Data!AH125</f>
        <v>2368514</v>
      </c>
      <c r="Z125" s="16" t="n">
        <f aca="false">Data!AI114+Data!AI115+Data!AI116+Data!AI117+Data!AI118+Data!AI119+Data!AI120+Data!AI121+Data!AI122+Data!AI123+Data!AI124+Data!AI125</f>
        <v>4020185</v>
      </c>
      <c r="AA125" s="16" t="n">
        <f aca="false">Data!AJ114+Data!AJ115+Data!AJ116+Data!AJ117+Data!AJ118+Data!AJ119+Data!AJ120+Data!AJ121+Data!AJ122+Data!AJ123+Data!AJ124+Data!AJ125</f>
        <v>0</v>
      </c>
      <c r="AB125" s="16" t="n">
        <f aca="false">Data!AK114+Data!AK115+Data!AK116+Data!AK117+Data!AK118+Data!AK119+Data!AK120+Data!AK121+Data!AK122+Data!AK123+Data!AK124+Data!AK125</f>
        <v>1642705</v>
      </c>
      <c r="AC125" s="16" t="n">
        <f aca="false">Data!AL114+Data!AL115+Data!AL116+Data!AL117+Data!AL118+Data!AL119+Data!AL120+Data!AL121+Data!AL122+Data!AL123+Data!AL124+Data!AL125</f>
        <v>2853282</v>
      </c>
      <c r="AD125" s="15" t="n">
        <f aca="false">Data!AM114+Data!AM115+Data!AM116+Data!AM117+Data!AM118+Data!AM119+Data!AM120+Data!AM121+Data!AM122+Data!AM123+Data!AM124+Data!AM125</f>
        <v>13344621</v>
      </c>
      <c r="AE125" s="16" t="n">
        <f aca="false">Data!AN114+Data!AN115+Data!AN116+Data!AN117+Data!AN118+Data!AN119+Data!AN120+Data!AN121+Data!AN122+Data!AN123+Data!AN124+Data!AN125</f>
        <v>10157809</v>
      </c>
      <c r="AF125" s="15" t="n">
        <f aca="false">Data!AO114+Data!AO115+Data!AO116+Data!AO117+Data!AO118+Data!AO119+Data!AO120+Data!AO121+Data!AO122+Data!AO123+Data!AO124+Data!AO125</f>
        <v>3186816</v>
      </c>
    </row>
    <row r="126" customFormat="false" ht="15" hidden="false" customHeight="false" outlineLevel="0" collapsed="false">
      <c r="B126" s="14" t="str">
        <f aca="false">Data!B126</f>
        <v>2025-12</v>
      </c>
      <c r="C126" s="15" t="n">
        <f aca="false">Data!D115+Data!E115+Data!F115+Data!G115+Data!H115+Data!I115+Data!J115+Data!K115+Data!L115+Data!M115+Data!N115+Data!O115+Data!P115+Data!Q115+Data!R115+Data!S115+Data!D116+Data!E116+Data!F116+Data!G116+Data!H116+Data!I116+Data!J116+Data!K116+Data!L116+Data!M116+Data!N116+Data!O116+Data!P116+Data!Q116+Data!R116+Data!S116+Data!D117+Data!E117+Data!F117+Data!G117+Data!H117+Data!I117+Data!J117+Data!K117+Data!L117+Data!M117+Data!N117+Data!O117+Data!P117+Data!Q117+Data!R117+Data!S117+Data!D118+Data!E118+Data!F118+Data!G118+Data!H118+Data!I118+Data!J118+Data!K118+Data!L118+Data!M118+Data!N118+Data!O118+Data!P118+Data!Q118+Data!R118+Data!S118+Data!D119+Data!E119+Data!F119+Data!G119+Data!H119+Data!I119+Data!J119+Data!K119+Data!L119+Data!M119+Data!N119+Data!O119+Data!P119+Data!Q119+Data!R119+Data!S119+Data!D120+Data!E120+Data!F120+Data!G120+Data!H120+Data!I120+Data!J120+Data!K120+Data!L120+Data!M120+Data!N120+Data!O120+Data!P120+Data!Q120+Data!R120+Data!S120+Data!D121+Data!E121+Data!F121+Data!G121+Data!H121+Data!I121+Data!J121+Data!K121+Data!L121+Data!M121+Data!N121+Data!O121+Data!P121+Data!Q121+Data!R121+Data!S121+Data!D122+Data!E122+Data!F122+Data!G122+Data!H122+Data!I122+Data!J122+Data!K122+Data!L122+Data!M122+Data!N122+Data!O122+Data!P122+Data!Q122+Data!R122+Data!S122+Data!D123+Data!E123+Data!F123+Data!G123+Data!H123+Data!I123+Data!J123+Data!K123+Data!L123+Data!M123+Data!N123+Data!O123+Data!P123+Data!Q123+Data!R123+Data!S123+Data!D124+Data!E124+Data!F124+Data!G124+Data!H124+Data!I124+Data!J124+Data!K124+Data!L124+Data!M124+Data!N124+Data!O124+Data!P124+Data!Q124+Data!R124+Data!S124+Data!D125+Data!E125+Data!F125+Data!G125+Data!H125+Data!I125+Data!J125+Data!K125+Data!L125+Data!M125+Data!N125+Data!O125+Data!P125+Data!Q125+Data!R125+Data!S125+Data!D126+Data!E126+Data!F126+Data!G126+Data!H126+Data!I126+Data!J126+Data!K126+Data!L126+Data!M126+Data!N126+Data!O126+Data!P126+Data!Q126+Data!R126+Data!S126</f>
        <v>135179037</v>
      </c>
      <c r="D126" s="16" t="n">
        <f aca="false">Data!D115+Data!E115+Data!G115+Data!H115+Data!I115+Data!J115+Data!K115+Data!L115+Data!M115+Data!D116+Data!E116+Data!G116+Data!H116+Data!I116+Data!J116+Data!K116+Data!L116+Data!M116+Data!D117+Data!E117+Data!G117+Data!H117+Data!I117+Data!J117+Data!K117+Data!L117+Data!M117+Data!D118+Data!E118+Data!G118+Data!H118+Data!I118+Data!J118+Data!K118+Data!L118+Data!M118+Data!D119+Data!E119+Data!G119+Data!H119+Data!I119+Data!J119+Data!K119+Data!L119+Data!M119+Data!D120+Data!E120+Data!G120+Data!H120+Data!I120+Data!J120+Data!K120+Data!L120+Data!M120+Data!D121+Data!E121+Data!G121+Data!H121+Data!I121+Data!J121+Data!K121+Data!L121+Data!M121+Data!D122+Data!E122+Data!G122+Data!H122+Data!I122+Data!J122+Data!K122+Data!L122+Data!M122+Data!D123+Data!E123+Data!G123+Data!H123+Data!I123+Data!J123+Data!K123+Data!L123+Data!M123+Data!D124+Data!E124+Data!G124+Data!H124+Data!I124+Data!J124+Data!K124+Data!L124+Data!M124+Data!D125+Data!E125+Data!G125+Data!H125+Data!I125+Data!J125+Data!K125+Data!L125+Data!M125+Data!D126+Data!E126+Data!G126+Data!H126+Data!I126+Data!J126+Data!K126+Data!L126+Data!M126</f>
        <v>77130568</v>
      </c>
      <c r="E126" s="16" t="n">
        <f aca="false">Data!D115+Data!D116+Data!D117+Data!D118+Data!D119+Data!D120+Data!D121+Data!D122+Data!D123+Data!D124+Data!D125+Data!D126</f>
        <v>28033392</v>
      </c>
      <c r="F126" s="16" t="n">
        <f aca="false">Data!E115+Data!E116+Data!E117+Data!E118+Data!E119+Data!E120+Data!E121+Data!E122+Data!E123+Data!E124+Data!E125+Data!E126</f>
        <v>12446791</v>
      </c>
      <c r="G126" s="16" t="n">
        <f aca="false">Data!K115+Data!K116+Data!K117+Data!K118+Data!K119+Data!K120+Data!K121+Data!K122+Data!K123+Data!K124+Data!K125+Data!K126</f>
        <v>7075419</v>
      </c>
      <c r="H126" s="16" t="n">
        <f aca="false">Data!L115+Data!L116+Data!L117+Data!L118+Data!L119+Data!L120+Data!L121+Data!L122+Data!L123+Data!L124+Data!L125+Data!L126</f>
        <v>5519368</v>
      </c>
      <c r="I126" s="16" t="n">
        <f aca="false">Data!G115+Data!G116+Data!G117+Data!G118+Data!G119+Data!G120+Data!G121+Data!G122+Data!G123+Data!G124+Data!G125+Data!G126</f>
        <v>13768776</v>
      </c>
      <c r="J126" s="16" t="n">
        <f aca="false">Data!H115+Data!I115+Data!J115+Data!M115+Data!H116+Data!I116+Data!J116+Data!M116+Data!H117+Data!I117+Data!J117+Data!M117+Data!H118+Data!I118+Data!J118+Data!M118+Data!H119+Data!I119+Data!J119+Data!M119+Data!H120+Data!I120+Data!J120+Data!M120+Data!H121+Data!I121+Data!J121+Data!M121+Data!H122+Data!I122+Data!J122+Data!M122+Data!H123+Data!I123+Data!J123+Data!M123+Data!H124+Data!I124+Data!J124+Data!M124+Data!H125+Data!I125+Data!J125+Data!M125+Data!H126+Data!I126+Data!J126+Data!M126</f>
        <v>10286822</v>
      </c>
      <c r="K126" s="16" t="n">
        <f aca="false">Data!F115+Data!F116+Data!F117+Data!F118+Data!F119+Data!F120+Data!F121+Data!F122+Data!F123+Data!F124+Data!F125+Data!F126</f>
        <v>46988475</v>
      </c>
      <c r="L126" s="16" t="n">
        <f aca="false">Data!N115+Data!O115+Data!P115+Data!Q115+Data!R115+Data!S115+Data!N116+Data!O116+Data!P116+Data!Q116+Data!R116+Data!S116+Data!N117+Data!O117+Data!P117+Data!Q117+Data!R117+Data!S117+Data!N118+Data!O118+Data!P118+Data!Q118+Data!R118+Data!S118+Data!N119+Data!O119+Data!P119+Data!Q119+Data!R119+Data!S119+Data!N120+Data!O120+Data!P120+Data!Q120+Data!R120+Data!S120+Data!N121+Data!O121+Data!P121+Data!Q121+Data!R121+Data!S121+Data!N122+Data!O122+Data!P122+Data!Q122+Data!R122+Data!S122+Data!N123+Data!O123+Data!P123+Data!Q123+Data!R123+Data!S123+Data!N124+Data!O124+Data!P124+Data!Q124+Data!R124+Data!S124+Data!N125+Data!O125+Data!P125+Data!Q125+Data!R125+Data!S125+Data!N126+Data!O126+Data!P126+Data!Q126+Data!R126+Data!S126</f>
        <v>11059994</v>
      </c>
      <c r="M126" s="15" t="n">
        <f aca="false">Data!T115+Data!U115+Data!V115+Data!W115+Data!X115+Data!Y115+Data!Z115+Data!AA115+Data!AB115+Data!AC115+Data!AD115+Data!AE115+Data!AF115+Data!AG115+Data!AH115+Data!AI115+Data!AJ115+Data!AK115+Data!AL115+Data!T116+Data!U116+Data!V116+Data!W116+Data!X116+Data!Y116+Data!Z116+Data!AA116+Data!AB116+Data!AC116+Data!AD116+Data!AE116+Data!AF116+Data!AG116+Data!AH116+Data!AI116+Data!AJ116+Data!AK116+Data!AL116+Data!T117+Data!U117+Data!V117+Data!W117+Data!X117+Data!Y117+Data!Z117+Data!AA117+Data!AB117+Data!AC117+Data!AD117+Data!AE117+Data!AF117+Data!AG117+Data!AH117+Data!AI117+Data!AJ117+Data!AK117+Data!AL117+Data!T118+Data!U118+Data!V118+Data!W118+Data!X118+Data!Y118+Data!Z118+Data!AA118+Data!AB118+Data!AC118+Data!AD118+Data!AE118+Data!AF118+Data!AG118+Data!AH118+Data!AI118+Data!AJ118+Data!AK118+Data!AL118+Data!T119+Data!U119+Data!V119+Data!W119+Data!X119+Data!Y119+Data!Z119+Data!AA119+Data!AB119+Data!AC119+Data!AD119+Data!AE119+Data!AF119+Data!AG119+Data!AH119+Data!AI119+Data!AJ119+Data!AK119+Data!AL119+Data!T120+Data!U120+Data!V120+Data!W120+Data!X120+Data!Y120+Data!Z120+Data!AA120+Data!AB120+Data!AC120+Data!AD120+Data!AE120+Data!AF120+Data!AG120+Data!AH120+Data!AI120+Data!AJ120+Data!AK120+Data!AL120+Data!T121+Data!U121+Data!V121+Data!W121+Data!X121+Data!Y121+Data!Z121+Data!AA121+Data!AB121+Data!AC121+Data!AD121+Data!AE121+Data!AF121+Data!AG121+Data!AH121+Data!AI121+Data!AJ121+Data!AK121+Data!AL121+Data!T122+Data!U122+Data!V122+Data!W122+Data!X122+Data!Y122+Data!Z122+Data!AA122+Data!AB122+Data!AC122+Data!AD122+Data!AE122+Data!AF122+Data!AG122+Data!AH122+Data!AI122+Data!AJ122+Data!AK122+Data!AL122+Data!T123+Data!U123+Data!V123+Data!W123+Data!X123+Data!Y123+Data!Z123+Data!AA123+Data!AB123+Data!AC123+Data!AD123+Data!AE123+Data!AF123+Data!AG123+Data!AH123+Data!AI123+Data!AJ123+Data!AK123+Data!AL123+Data!T124+Data!U124+Data!V124+Data!W124+Data!X124+Data!Y124+Data!Z124+Data!AA124+Data!AB124+Data!AC124+Data!AD124+Data!AE124+Data!AF124+Data!AG124+Data!AH124+Data!AI124+Data!AJ124+Data!AK124+Data!AL124+Data!T125+Data!U125+Data!V125+Data!W125+Data!X125+Data!Y125+Data!Z125+Data!AA125+Data!AB125+Data!AC125+Data!AD125+Data!AE125+Data!AF125+Data!AG125+Data!AH125+Data!AI125+Data!AJ125+Data!AK125+Data!AL125+Data!T126+Data!U126+Data!V126+Data!W126+Data!X126+Data!Y126+Data!Z126+Data!AA126+Data!AB126+Data!AC126+Data!AD126+Data!AE126+Data!AF126+Data!AG126+Data!AH126+Data!AI126+Data!AJ126+Data!AK126+Data!AL126</f>
        <v>123409820</v>
      </c>
      <c r="N126" s="16" t="n">
        <f aca="false">Data!T115+Data!U115+Data!V115+Data!W115+Data!T116+Data!U116+Data!V116+Data!W116+Data!T117+Data!U117+Data!V117+Data!W117+Data!T118+Data!U118+Data!V118+Data!W118+Data!T119+Data!U119+Data!V119+Data!W119+Data!T120+Data!U120+Data!V120+Data!W120+Data!T121+Data!U121+Data!V121+Data!W121+Data!T122+Data!U122+Data!V122+Data!W122+Data!T123+Data!U123+Data!V123+Data!W123+Data!T124+Data!U124+Data!V124+Data!W124+Data!T125+Data!U125+Data!V125+Data!W125+Data!T126+Data!U126+Data!V126+Data!W126</f>
        <v>73240756</v>
      </c>
      <c r="O126" s="16" t="n">
        <f aca="false">Data!T115+Data!T116+Data!T117+Data!T118+Data!T119+Data!T120+Data!T121+Data!T122+Data!T123+Data!T124+Data!T125+Data!T126</f>
        <v>52310314</v>
      </c>
      <c r="P126" s="16" t="n">
        <f aca="false">Data!U115+Data!U116+Data!U117+Data!U118+Data!U119+Data!U120+Data!U121+Data!U122+Data!U123+Data!U124+Data!U125+Data!U126</f>
        <v>8828096</v>
      </c>
      <c r="Q126" s="16" t="n">
        <f aca="false">Data!V115+Data!V116+Data!V117+Data!V118+Data!V119+Data!V120+Data!V121+Data!V122+Data!V123+Data!V124+Data!V125+Data!V126</f>
        <v>4362826</v>
      </c>
      <c r="R126" s="16" t="n">
        <f aca="false">Data!W115+Data!W116+Data!W117+Data!W118+Data!W119+Data!W120+Data!W121+Data!W122+Data!W123+Data!W124+Data!W125+Data!W126</f>
        <v>7739520</v>
      </c>
      <c r="S126" s="16" t="n">
        <f aca="false">Data!X115+Data!X116+Data!X117+Data!X118+Data!X119+Data!X120+Data!X121+Data!X122+Data!X123+Data!X124+Data!X125+Data!X126</f>
        <v>8843492</v>
      </c>
      <c r="T126" s="16" t="n">
        <f aca="false">Data!Y115+Data!Z115+Data!AA115+Data!Y116+Data!Z116+Data!AA116+Data!Y117+Data!Z117+Data!AA117+Data!Y118+Data!Z118+Data!AA118+Data!Y119+Data!Z119+Data!AA119+Data!Y120+Data!Z120+Data!AA120+Data!Y121+Data!Z121+Data!AA121+Data!Y122+Data!Z122+Data!AA122+Data!Y123+Data!Z123+Data!AA123+Data!Y124+Data!Z124+Data!AA124+Data!Y125+Data!Z125+Data!AA125+Data!Y126+Data!Z126+Data!AA126</f>
        <v>8528123</v>
      </c>
      <c r="U126" s="16" t="n">
        <f aca="false">Data!Y115+Data!Y116+Data!Y117+Data!Y118+Data!Y119+Data!Y120+Data!Y121+Data!Y122+Data!Y123+Data!Y124+Data!Y125+Data!Y126</f>
        <v>5711999</v>
      </c>
      <c r="V126" s="16" t="n">
        <f aca="false">Data!Z115+Data!Z116+Data!Z117+Data!Z118+Data!Z119+Data!Z120+Data!Z121+Data!Z122+Data!Z123+Data!Z124+Data!Z125+Data!Z126</f>
        <v>2744500</v>
      </c>
      <c r="W126" s="16" t="n">
        <f aca="false">Data!AB115+Data!AB116+Data!AB117+Data!AB118+Data!AB119+Data!AB120+Data!AB121+Data!AB122+Data!AB123+Data!AB124+Data!AB125+Data!AB126</f>
        <v>16357103</v>
      </c>
      <c r="X126" s="16" t="n">
        <f aca="false">Data!AC115+Data!AC116+Data!AC117+Data!AC118+Data!AC119+Data!AC120+Data!AC121+Data!AC122+Data!AC123+Data!AC124+Data!AC125+Data!AC126</f>
        <v>5049001</v>
      </c>
      <c r="Y126" s="16" t="n">
        <f aca="false">Data!AD115+Data!AE115+Data!AF115+Data!AG115+Data!AH115+Data!AD116+Data!AE116+Data!AF116+Data!AG116+Data!AH116+Data!AD117+Data!AE117+Data!AF117+Data!AG117+Data!AH117+Data!AD118+Data!AE118+Data!AF118+Data!AG118+Data!AH118+Data!AD119+Data!AE119+Data!AF119+Data!AG119+Data!AH119+Data!AD120+Data!AE120+Data!AF120+Data!AG120+Data!AH120+Data!AD121+Data!AE121+Data!AF121+Data!AG121+Data!AH121+Data!AD122+Data!AE122+Data!AF122+Data!AG122+Data!AH122+Data!AD123+Data!AE123+Data!AF123+Data!AG123+Data!AH123+Data!AD124+Data!AE124+Data!AF124+Data!AG124+Data!AH124+Data!AD125+Data!AE125+Data!AF125+Data!AG125+Data!AH125+Data!AD126+Data!AE126+Data!AF126+Data!AG126+Data!AH126</f>
        <v>2435968</v>
      </c>
      <c r="Z126" s="16" t="n">
        <f aca="false">Data!AI115+Data!AI116+Data!AI117+Data!AI118+Data!AI119+Data!AI120+Data!AI121+Data!AI122+Data!AI123+Data!AI124+Data!AI125+Data!AI126</f>
        <v>4046269</v>
      </c>
      <c r="AA126" s="16" t="n">
        <f aca="false">Data!AJ115+Data!AJ116+Data!AJ117+Data!AJ118+Data!AJ119+Data!AJ120+Data!AJ121+Data!AJ122+Data!AJ123+Data!AJ124+Data!AJ125+Data!AJ126</f>
        <v>0</v>
      </c>
      <c r="AB126" s="16" t="n">
        <f aca="false">Data!AK115+Data!AK116+Data!AK117+Data!AK118+Data!AK119+Data!AK120+Data!AK121+Data!AK122+Data!AK123+Data!AK124+Data!AK125+Data!AK126</f>
        <v>1850734</v>
      </c>
      <c r="AC126" s="16" t="n">
        <f aca="false">Data!AL115+Data!AL116+Data!AL117+Data!AL118+Data!AL119+Data!AL120+Data!AL121+Data!AL122+Data!AL123+Data!AL124+Data!AL125+Data!AL126</f>
        <v>3058374</v>
      </c>
      <c r="AD126" s="15" t="n">
        <f aca="false">Data!AM115+Data!AM116+Data!AM117+Data!AM118+Data!AM119+Data!AM120+Data!AM121+Data!AM122+Data!AM123+Data!AM124+Data!AM125+Data!AM126</f>
        <v>11769217</v>
      </c>
      <c r="AE126" s="16" t="n">
        <f aca="false">Data!AN115+Data!AN116+Data!AN117+Data!AN118+Data!AN119+Data!AN120+Data!AN121+Data!AN122+Data!AN123+Data!AN124+Data!AN125+Data!AN126</f>
        <v>10315401</v>
      </c>
      <c r="AF126" s="15" t="n">
        <f aca="false">Data!AO115+Data!AO116+Data!AO117+Data!AO118+Data!AO119+Data!AO120+Data!AO121+Data!AO122+Data!AO123+Data!AO124+Data!AO125+Data!AO126</f>
        <v>1453819</v>
      </c>
    </row>
    <row r="127" customFormat="false" ht="15" hidden="false" customHeight="false" outlineLevel="0" collapsed="false">
      <c r="B127" s="14" t="str">
        <f aca="false">Data!B127</f>
        <v>2026-01</v>
      </c>
      <c r="C127" s="15" t="n">
        <f aca="false">Data!D116+Data!E116+Data!F116+Data!G116+Data!H116+Data!I116+Data!J116+Data!K116+Data!L116+Data!M116+Data!N116+Data!O116+Data!P116+Data!Q116+Data!R116+Data!S116+Data!D117+Data!E117+Data!F117+Data!G117+Data!H117+Data!I117+Data!J117+Data!K117+Data!L117+Data!M117+Data!N117+Data!O117+Data!P117+Data!Q117+Data!R117+Data!S117+Data!D118+Data!E118+Data!F118+Data!G118+Data!H118+Data!I118+Data!J118+Data!K118+Data!L118+Data!M118+Data!N118+Data!O118+Data!P118+Data!Q118+Data!R118+Data!S118+Data!D119+Data!E119+Data!F119+Data!G119+Data!H119+Data!I119+Data!J119+Data!K119+Data!L119+Data!M119+Data!N119+Data!O119+Data!P119+Data!Q119+Data!R119+Data!S119+Data!D120+Data!E120+Data!F120+Data!G120+Data!H120+Data!I120+Data!J120+Data!K120+Data!L120+Data!M120+Data!N120+Data!O120+Data!P120+Data!Q120+Data!R120+Data!S120+Data!D121+Data!E121+Data!F121+Data!G121+Data!H121+Data!I121+Data!J121+Data!K121+Data!L121+Data!M121+Data!N121+Data!O121+Data!P121+Data!Q121+Data!R121+Data!S121+Data!D122+Data!E122+Data!F122+Data!G122+Data!H122+Data!I122+Data!J122+Data!K122+Data!L122+Data!M122+Data!N122+Data!O122+Data!P122+Data!Q122+Data!R122+Data!S122+Data!D123+Data!E123+Data!F123+Data!G123+Data!H123+Data!I123+Data!J123+Data!K123+Data!L123+Data!M123+Data!N123+Data!O123+Data!P123+Data!Q123+Data!R123+Data!S123+Data!D124+Data!E124+Data!F124+Data!G124+Data!H124+Data!I124+Data!J124+Data!K124+Data!L124+Data!M124+Data!N124+Data!O124+Data!P124+Data!Q124+Data!R124+Data!S124+Data!D125+Data!E125+Data!F125+Data!G125+Data!H125+Data!I125+Data!J125+Data!K125+Data!L125+Data!M125+Data!N125+Data!O125+Data!P125+Data!Q125+Data!R125+Data!S125+Data!D126+Data!E126+Data!F126+Data!G126+Data!H126+Data!I126+Data!J126+Data!K126+Data!L126+Data!M126+Data!N126+Data!O126+Data!P126+Data!Q126+Data!R126+Data!S126+Data!D127+Data!E127+Data!F127+Data!G127+Data!H127+Data!I127+Data!J127+Data!K127+Data!L127+Data!M127+Data!N127+Data!O127+Data!P127+Data!Q127+Data!R127+Data!S127</f>
        <v>138595804</v>
      </c>
      <c r="D127" s="16" t="n">
        <f aca="false">Data!D116+Data!E116+Data!G116+Data!H116+Data!I116+Data!J116+Data!K116+Data!L116+Data!M116+Data!D117+Data!E117+Data!G117+Data!H117+Data!I117+Data!J117+Data!K117+Data!L117+Data!M117+Data!D118+Data!E118+Data!G118+Data!H118+Data!I118+Data!J118+Data!K118+Data!L118+Data!M118+Data!D119+Data!E119+Data!G119+Data!H119+Data!I119+Data!J119+Data!K119+Data!L119+Data!M119+Data!D120+Data!E120+Data!G120+Data!H120+Data!I120+Data!J120+Data!K120+Data!L120+Data!M120+Data!D121+Data!E121+Data!G121+Data!H121+Data!I121+Data!J121+Data!K121+Data!L121+Data!M121+Data!D122+Data!E122+Data!G122+Data!H122+Data!I122+Data!J122+Data!K122+Data!L122+Data!M122+Data!D123+Data!E123+Data!G123+Data!H123+Data!I123+Data!J123+Data!K123+Data!L123+Data!M123+Data!D124+Data!E124+Data!G124+Data!H124+Data!I124+Data!J124+Data!K124+Data!L124+Data!M124+Data!D125+Data!E125+Data!G125+Data!H125+Data!I125+Data!J125+Data!K125+Data!L125+Data!M125+Data!D126+Data!E126+Data!G126+Data!H126+Data!I126+Data!J126+Data!K126+Data!L126+Data!M126+Data!D127+Data!E127+Data!G127+Data!H127+Data!I127+Data!J127+Data!K127+Data!L127+Data!M127</f>
        <v>78190552</v>
      </c>
      <c r="E127" s="16" t="n">
        <f aca="false">Data!D116+Data!D117+Data!D118+Data!D119+Data!D120+Data!D121+Data!D122+Data!D123+Data!D124+Data!D125+Data!D126+Data!D127</f>
        <v>28435411</v>
      </c>
      <c r="F127" s="16" t="n">
        <f aca="false">Data!E116+Data!E117+Data!E118+Data!E119+Data!E120+Data!E121+Data!E122+Data!E123+Data!E124+Data!E125+Data!E126+Data!E127</f>
        <v>12696066</v>
      </c>
      <c r="G127" s="16" t="n">
        <f aca="false">Data!K116+Data!K117+Data!K118+Data!K119+Data!K120+Data!K121+Data!K122+Data!K123+Data!K124+Data!K125+Data!K126+Data!K127</f>
        <v>6958741</v>
      </c>
      <c r="H127" s="16" t="n">
        <f aca="false">Data!L116+Data!L117+Data!L118+Data!L119+Data!L120+Data!L121+Data!L122+Data!L123+Data!L124+Data!L125+Data!L126+Data!L127</f>
        <v>5575396</v>
      </c>
      <c r="I127" s="16" t="n">
        <f aca="false">Data!G116+Data!G117+Data!G118+Data!G119+Data!G120+Data!G121+Data!G122+Data!G123+Data!G124+Data!G125+Data!G126+Data!G127</f>
        <v>14063254</v>
      </c>
      <c r="J127" s="16" t="n">
        <f aca="false">Data!H116+Data!I116+Data!J116+Data!M116+Data!H117+Data!I117+Data!J117+Data!M117+Data!H118+Data!I118+Data!J118+Data!M118+Data!H119+Data!I119+Data!J119+Data!M119+Data!H120+Data!I120+Data!J120+Data!M120+Data!H121+Data!I121+Data!J121+Data!M121+Data!H122+Data!I122+Data!J122+Data!M122+Data!H123+Data!I123+Data!J123+Data!M123+Data!H124+Data!I124+Data!J124+Data!M124+Data!H125+Data!I125+Data!J125+Data!M125+Data!H126+Data!I126+Data!J126+Data!M126+Data!H127+Data!I127+Data!J127+Data!M127</f>
        <v>10461684</v>
      </c>
      <c r="K127" s="16" t="n">
        <f aca="false">Data!F116+Data!F117+Data!F118+Data!F119+Data!F120+Data!F121+Data!F122+Data!F123+Data!F124+Data!F125+Data!F126+Data!F127</f>
        <v>48185522</v>
      </c>
      <c r="L127" s="16" t="n">
        <f aca="false">Data!N116+Data!O116+Data!P116+Data!Q116+Data!R116+Data!S116+Data!N117+Data!O117+Data!P117+Data!Q117+Data!R117+Data!S117+Data!N118+Data!O118+Data!P118+Data!Q118+Data!R118+Data!S118+Data!N119+Data!O119+Data!P119+Data!Q119+Data!R119+Data!S119+Data!N120+Data!O120+Data!P120+Data!Q120+Data!R120+Data!S120+Data!N121+Data!O121+Data!P121+Data!Q121+Data!R121+Data!S121+Data!N122+Data!O122+Data!P122+Data!Q122+Data!R122+Data!S122+Data!N123+Data!O123+Data!P123+Data!Q123+Data!R123+Data!S123+Data!N124+Data!O124+Data!P124+Data!Q124+Data!R124+Data!S124+Data!N125+Data!O125+Data!P125+Data!Q125+Data!R125+Data!S125+Data!N126+Data!O126+Data!P126+Data!Q126+Data!R126+Data!S126+Data!N127+Data!O127+Data!P127+Data!Q127+Data!R127+Data!S127</f>
        <v>12219730</v>
      </c>
      <c r="M127" s="15" t="n">
        <f aca="false">Data!T116+Data!U116+Data!V116+Data!W116+Data!X116+Data!Y116+Data!Z116+Data!AA116+Data!AB116+Data!AC116+Data!AD116+Data!AE116+Data!AF116+Data!AG116+Data!AH116+Data!AI116+Data!AJ116+Data!AK116+Data!AL116+Data!T117+Data!U117+Data!V117+Data!W117+Data!X117+Data!Y117+Data!Z117+Data!AA117+Data!AB117+Data!AC117+Data!AD117+Data!AE117+Data!AF117+Data!AG117+Data!AH117+Data!AI117+Data!AJ117+Data!AK117+Data!AL117+Data!T118+Data!U118+Data!V118+Data!W118+Data!X118+Data!Y118+Data!Z118+Data!AA118+Data!AB118+Data!AC118+Data!AD118+Data!AE118+Data!AF118+Data!AG118+Data!AH118+Data!AI118+Data!AJ118+Data!AK118+Data!AL118+Data!T119+Data!U119+Data!V119+Data!W119+Data!X119+Data!Y119+Data!Z119+Data!AA119+Data!AB119+Data!AC119+Data!AD119+Data!AE119+Data!AF119+Data!AG119+Data!AH119+Data!AI119+Data!AJ119+Data!AK119+Data!AL119+Data!T120+Data!U120+Data!V120+Data!W120+Data!X120+Data!Y120+Data!Z120+Data!AA120+Data!AB120+Data!AC120+Data!AD120+Data!AE120+Data!AF120+Data!AG120+Data!AH120+Data!AI120+Data!AJ120+Data!AK120+Data!AL120+Data!T121+Data!U121+Data!V121+Data!W121+Data!X121+Data!Y121+Data!Z121+Data!AA121+Data!AB121+Data!AC121+Data!AD121+Data!AE121+Data!AF121+Data!AG121+Data!AH121+Data!AI121+Data!AJ121+Data!AK121+Data!AL121+Data!T122+Data!U122+Data!V122+Data!W122+Data!X122+Data!Y122+Data!Z122+Data!AA122+Data!AB122+Data!AC122+Data!AD122+Data!AE122+Data!AF122+Data!AG122+Data!AH122+Data!AI122+Data!AJ122+Data!AK122+Data!AL122+Data!T123+Data!U123+Data!V123+Data!W123+Data!X123+Data!Y123+Data!Z123+Data!AA123+Data!AB123+Data!AC123+Data!AD123+Data!AE123+Data!AF123+Data!AG123+Data!AH123+Data!AI123+Data!AJ123+Data!AK123+Data!AL123+Data!T124+Data!U124+Data!V124+Data!W124+Data!X124+Data!Y124+Data!Z124+Data!AA124+Data!AB124+Data!AC124+Data!AD124+Data!AE124+Data!AF124+Data!AG124+Data!AH124+Data!AI124+Data!AJ124+Data!AK124+Data!AL124+Data!T125+Data!U125+Data!V125+Data!W125+Data!X125+Data!Y125+Data!Z125+Data!AA125+Data!AB125+Data!AC125+Data!AD125+Data!AE125+Data!AF125+Data!AG125+Data!AH125+Data!AI125+Data!AJ125+Data!AK125+Data!AL125+Data!T126+Data!U126+Data!V126+Data!W126+Data!X126+Data!Y126+Data!Z126+Data!AA126+Data!AB126+Data!AC126+Data!AD126+Data!AE126+Data!AF126+Data!AG126+Data!AH126+Data!AI126+Data!AJ126+Data!AK126+Data!AL126+Data!T127+Data!U127+Data!V127+Data!W127+Data!X127+Data!Y127+Data!Z127+Data!AA127+Data!AB127+Data!AC127+Data!AD127+Data!AE127+Data!AF127+Data!AG127+Data!AH127+Data!AI127+Data!AJ127+Data!AK127+Data!AL127</f>
        <v>126135715</v>
      </c>
      <c r="N127" s="16" t="n">
        <f aca="false">Data!T116+Data!U116+Data!V116+Data!W116+Data!T117+Data!U117+Data!V117+Data!W117+Data!T118+Data!U118+Data!V118+Data!W118+Data!T119+Data!U119+Data!V119+Data!W119+Data!T120+Data!U120+Data!V120+Data!W120+Data!T121+Data!U121+Data!V121+Data!W121+Data!T122+Data!U122+Data!V122+Data!W122+Data!T123+Data!U123+Data!V123+Data!W123+Data!T124+Data!U124+Data!V124+Data!W124+Data!T125+Data!U125+Data!V125+Data!W125+Data!T126+Data!U126+Data!V126+Data!W126+Data!T127+Data!U127+Data!V127+Data!W127</f>
        <v>74957393</v>
      </c>
      <c r="O127" s="16" t="n">
        <f aca="false">Data!T116+Data!T117+Data!T118+Data!T119+Data!T120+Data!T121+Data!T122+Data!T123+Data!T124+Data!T125+Data!T126+Data!T127</f>
        <v>53556994</v>
      </c>
      <c r="P127" s="16" t="n">
        <f aca="false">Data!U116+Data!U117+Data!U118+Data!U119+Data!U120+Data!U121+Data!U122+Data!U123+Data!U124+Data!U125+Data!U126+Data!U127</f>
        <v>9027890</v>
      </c>
      <c r="Q127" s="16" t="n">
        <f aca="false">Data!V116+Data!V117+Data!V118+Data!V119+Data!V120+Data!V121+Data!V122+Data!V123+Data!V124+Data!V125+Data!V126+Data!V127</f>
        <v>4430865</v>
      </c>
      <c r="R127" s="16" t="n">
        <f aca="false">Data!W116+Data!W117+Data!W118+Data!W119+Data!W120+Data!W121+Data!W122+Data!W123+Data!W124+Data!W125+Data!W126+Data!W127</f>
        <v>7941644</v>
      </c>
      <c r="S127" s="16" t="n">
        <f aca="false">Data!X116+Data!X117+Data!X118+Data!X119+Data!X120+Data!X121+Data!X122+Data!X123+Data!X124+Data!X125+Data!X126+Data!X127</f>
        <v>8852091</v>
      </c>
      <c r="T127" s="16" t="n">
        <f aca="false">Data!Y116+Data!Z116+Data!AA116+Data!Y117+Data!Z117+Data!AA117+Data!Y118+Data!Z118+Data!AA118+Data!Y119+Data!Z119+Data!AA119+Data!Y120+Data!Z120+Data!AA120+Data!Y121+Data!Z121+Data!AA121+Data!Y122+Data!Z122+Data!AA122+Data!Y123+Data!Z123+Data!AA123+Data!Y124+Data!Z124+Data!AA124+Data!Y125+Data!Z125+Data!AA125+Data!Y126+Data!Z126+Data!AA126+Data!Y127+Data!Z127+Data!AA127</f>
        <v>9176969</v>
      </c>
      <c r="U127" s="16" t="n">
        <f aca="false">Data!Y116+Data!Y117+Data!Y118+Data!Y119+Data!Y120+Data!Y121+Data!Y122+Data!Y123+Data!Y124+Data!Y125+Data!Y126+Data!Y127</f>
        <v>6321440</v>
      </c>
      <c r="V127" s="16" t="n">
        <f aca="false">Data!Z116+Data!Z117+Data!Z118+Data!Z119+Data!Z120+Data!Z121+Data!Z122+Data!Z123+Data!Z124+Data!Z125+Data!Z126+Data!Z127</f>
        <v>2789096</v>
      </c>
      <c r="W127" s="16" t="n">
        <f aca="false">Data!AB116+Data!AB117+Data!AB118+Data!AB119+Data!AB120+Data!AB121+Data!AB122+Data!AB123+Data!AB124+Data!AB125+Data!AB126+Data!AB127</f>
        <v>16597796</v>
      </c>
      <c r="X127" s="16" t="n">
        <f aca="false">Data!AC116+Data!AC117+Data!AC118+Data!AC119+Data!AC120+Data!AC121+Data!AC122+Data!AC123+Data!AC124+Data!AC125+Data!AC126+Data!AC127</f>
        <v>5013954</v>
      </c>
      <c r="Y127" s="16" t="n">
        <f aca="false">Data!AD116+Data!AE116+Data!AF116+Data!AG116+Data!AH116+Data!AD117+Data!AE117+Data!AF117+Data!AG117+Data!AH117+Data!AD118+Data!AE118+Data!AF118+Data!AG118+Data!AH118+Data!AD119+Data!AE119+Data!AF119+Data!AG119+Data!AH119+Data!AD120+Data!AE120+Data!AF120+Data!AG120+Data!AH120+Data!AD121+Data!AE121+Data!AF121+Data!AG121+Data!AH121+Data!AD122+Data!AE122+Data!AF122+Data!AG122+Data!AH122+Data!AD123+Data!AE123+Data!AF123+Data!AG123+Data!AH123+Data!AD124+Data!AE124+Data!AF124+Data!AG124+Data!AH124+Data!AD125+Data!AE125+Data!AF125+Data!AG125+Data!AH125+Data!AD126+Data!AE126+Data!AF126+Data!AG126+Data!AH126+Data!AD127+Data!AE127+Data!AF127+Data!AG127+Data!AH127</f>
        <v>2541306</v>
      </c>
      <c r="Z127" s="16" t="n">
        <f aca="false">Data!AI116+Data!AI117+Data!AI118+Data!AI119+Data!AI120+Data!AI121+Data!AI122+Data!AI123+Data!AI124+Data!AI125+Data!AI126+Data!AI127</f>
        <v>4112789</v>
      </c>
      <c r="AA127" s="16" t="n">
        <f aca="false">Data!AJ116+Data!AJ117+Data!AJ118+Data!AJ119+Data!AJ120+Data!AJ121+Data!AJ122+Data!AJ123+Data!AJ124+Data!AJ125+Data!AJ126+Data!AJ127</f>
        <v>0</v>
      </c>
      <c r="AB127" s="16" t="n">
        <f aca="false">Data!AK116+Data!AK117+Data!AK118+Data!AK119+Data!AK120+Data!AK121+Data!AK122+Data!AK123+Data!AK124+Data!AK125+Data!AK126+Data!AK127</f>
        <v>1850838</v>
      </c>
      <c r="AC127" s="16" t="n">
        <f aca="false">Data!AL116+Data!AL117+Data!AL118+Data!AL119+Data!AL120+Data!AL121+Data!AL122+Data!AL123+Data!AL124+Data!AL125+Data!AL126+Data!AL127</f>
        <v>3032579</v>
      </c>
      <c r="AD127" s="15" t="n">
        <f aca="false">Data!AM116+Data!AM117+Data!AM118+Data!AM119+Data!AM120+Data!AM121+Data!AM122+Data!AM123+Data!AM124+Data!AM125+Data!AM126+Data!AM127</f>
        <v>12460089</v>
      </c>
      <c r="AE127" s="16" t="n">
        <f aca="false">Data!AN116+Data!AN117+Data!AN118+Data!AN119+Data!AN120+Data!AN121+Data!AN122+Data!AN123+Data!AN124+Data!AN125+Data!AN126+Data!AN127</f>
        <v>10500867</v>
      </c>
      <c r="AF127" s="15" t="n">
        <f aca="false">Data!AO116+Data!AO117+Data!AO118+Data!AO119+Data!AO120+Data!AO121+Data!AO122+Data!AO123+Data!AO124+Data!AO125+Data!AO126+Data!AO127</f>
        <v>1959225</v>
      </c>
    </row>
    <row r="128" customFormat="false" ht="15" hidden="false" customHeight="false" outlineLevel="0" collapsed="false">
      <c r="B128" s="14" t="str">
        <f aca="false">Data!B128</f>
        <v>2026-02</v>
      </c>
      <c r="C128" s="15" t="n">
        <f aca="false">Data!D117+Data!E117+Data!F117+Data!G117+Data!H117+Data!I117+Data!J117+Data!K117+Data!L117+Data!M117+Data!N117+Data!O117+Data!P117+Data!Q117+Data!R117+Data!S117+Data!D118+Data!E118+Data!F118+Data!G118+Data!H118+Data!I118+Data!J118+Data!K118+Data!L118+Data!M118+Data!N118+Data!O118+Data!P118+Data!Q118+Data!R118+Data!S118+Data!D119+Data!E119+Data!F119+Data!G119+Data!H119+Data!I119+Data!J119+Data!K119+Data!L119+Data!M119+Data!N119+Data!O119+Data!P119+Data!Q119+Data!R119+Data!S119+Data!D120+Data!E120+Data!F120+Data!G120+Data!H120+Data!I120+Data!J120+Data!K120+Data!L120+Data!M120+Data!N120+Data!O120+Data!P120+Data!Q120+Data!R120+Data!S120+Data!D121+Data!E121+Data!F121+Data!G121+Data!H121+Data!I121+Data!J121+Data!K121+Data!L121+Data!M121+Data!N121+Data!O121+Data!P121+Data!Q121+Data!R121+Data!S121+Data!D122+Data!E122+Data!F122+Data!G122+Data!H122+Data!I122+Data!J122+Data!K122+Data!L122+Data!M122+Data!N122+Data!O122+Data!P122+Data!Q122+Data!R122+Data!S122+Data!D123+Data!E123+Data!F123+Data!G123+Data!H123+Data!I123+Data!J123+Data!K123+Data!L123+Data!M123+Data!N123+Data!O123+Data!P123+Data!Q123+Data!R123+Data!S123+Data!D124+Data!E124+Data!F124+Data!G124+Data!H124+Data!I124+Data!J124+Data!K124+Data!L124+Data!M124+Data!N124+Data!O124+Data!P124+Data!Q124+Data!R124+Data!S124+Data!D125+Data!E125+Data!F125+Data!G125+Data!H125+Data!I125+Data!J125+Data!K125+Data!L125+Data!M125+Data!N125+Data!O125+Data!P125+Data!Q125+Data!R125+Data!S125+Data!D126+Data!E126+Data!F126+Data!G126+Data!H126+Data!I126+Data!J126+Data!K126+Data!L126+Data!M126+Data!N126+Data!O126+Data!P126+Data!Q126+Data!R126+Data!S126+Data!D127+Data!E127+Data!F127+Data!G127+Data!H127+Data!I127+Data!J127+Data!K127+Data!L127+Data!M127+Data!N127+Data!O127+Data!P127+Data!Q127+Data!R127+Data!S127+Data!D128+Data!E128+Data!F128+Data!G128+Data!H128+Data!I128+Data!J128+Data!K128+Data!L128+Data!M128+Data!N128+Data!O128+Data!P128+Data!Q128+Data!R128+Data!S128</f>
        <v>140656046</v>
      </c>
      <c r="D128" s="16" t="n">
        <f aca="false">Data!D117+Data!E117+Data!G117+Data!H117+Data!I117+Data!J117+Data!K117+Data!L117+Data!M117+Data!D118+Data!E118+Data!G118+Data!H118+Data!I118+Data!J118+Data!K118+Data!L118+Data!M118+Data!D119+Data!E119+Data!G119+Data!H119+Data!I119+Data!J119+Data!K119+Data!L119+Data!M119+Data!D120+Data!E120+Data!G120+Data!H120+Data!I120+Data!J120+Data!K120+Data!L120+Data!M120+Data!D121+Data!E121+Data!G121+Data!H121+Data!I121+Data!J121+Data!K121+Data!L121+Data!M121+Data!D122+Data!E122+Data!G122+Data!H122+Data!I122+Data!J122+Data!K122+Data!L122+Data!M122+Data!D123+Data!E123+Data!G123+Data!H123+Data!I123+Data!J123+Data!K123+Data!L123+Data!M123+Data!D124+Data!E124+Data!G124+Data!H124+Data!I124+Data!J124+Data!K124+Data!L124+Data!M124+Data!D125+Data!E125+Data!G125+Data!H125+Data!I125+Data!J125+Data!K125+Data!L125+Data!M125+Data!D126+Data!E126+Data!G126+Data!H126+Data!I126+Data!J126+Data!K126+Data!L126+Data!M126+Data!D127+Data!E127+Data!G127+Data!H127+Data!I127+Data!J127+Data!K127+Data!L127+Data!M127+Data!D128+Data!E128+Data!G128+Data!H128+Data!I128+Data!J128+Data!K128+Data!L128+Data!M128</f>
        <v>79084050</v>
      </c>
      <c r="E128" s="16" t="n">
        <f aca="false">Data!D117+Data!D118+Data!D119+Data!D120+Data!D121+Data!D122+Data!D123+Data!D124+Data!D125+Data!D126+Data!D127+Data!D128</f>
        <v>28773254</v>
      </c>
      <c r="F128" s="16" t="n">
        <f aca="false">Data!E117+Data!E118+Data!E119+Data!E120+Data!E121+Data!E122+Data!E123+Data!E124+Data!E125+Data!E126+Data!E127+Data!E128</f>
        <v>12944208</v>
      </c>
      <c r="G128" s="16" t="n">
        <f aca="false">Data!K117+Data!K118+Data!K119+Data!K120+Data!K121+Data!K122+Data!K123+Data!K124+Data!K125+Data!K126+Data!K127+Data!K128</f>
        <v>6852056</v>
      </c>
      <c r="H128" s="16" t="n">
        <f aca="false">Data!L117+Data!L118+Data!L119+Data!L120+Data!L121+Data!L122+Data!L123+Data!L124+Data!L125+Data!L126+Data!L127+Data!L128</f>
        <v>5544924</v>
      </c>
      <c r="I128" s="16" t="n">
        <f aca="false">Data!G117+Data!G118+Data!G119+Data!G120+Data!G121+Data!G122+Data!G123+Data!G124+Data!G125+Data!G126+Data!G127+Data!G128</f>
        <v>14285017</v>
      </c>
      <c r="J128" s="16" t="n">
        <f aca="false">Data!H117+Data!I117+Data!J117+Data!M117+Data!H118+Data!I118+Data!J118+Data!M118+Data!H119+Data!I119+Data!J119+Data!M119+Data!H120+Data!I120+Data!J120+Data!M120+Data!H121+Data!I121+Data!J121+Data!M121+Data!H122+Data!I122+Data!J122+Data!M122+Data!H123+Data!I123+Data!J123+Data!M123+Data!H124+Data!I124+Data!J124+Data!M124+Data!H125+Data!I125+Data!J125+Data!M125+Data!H126+Data!I126+Data!J126+Data!M126+Data!H127+Data!I127+Data!J127+Data!M127+Data!H128+Data!I128+Data!J128+Data!M128</f>
        <v>10684591</v>
      </c>
      <c r="K128" s="16" t="n">
        <f aca="false">Data!F117+Data!F118+Data!F119+Data!F120+Data!F121+Data!F122+Data!F123+Data!F124+Data!F125+Data!F126+Data!F127+Data!F128</f>
        <v>49089860</v>
      </c>
      <c r="L128" s="16" t="n">
        <f aca="false">Data!N117+Data!O117+Data!P117+Data!Q117+Data!R117+Data!S117+Data!N118+Data!O118+Data!P118+Data!Q118+Data!R118+Data!S118+Data!N119+Data!O119+Data!P119+Data!Q119+Data!R119+Data!S119+Data!N120+Data!O120+Data!P120+Data!Q120+Data!R120+Data!S120+Data!N121+Data!O121+Data!P121+Data!Q121+Data!R121+Data!S121+Data!N122+Data!O122+Data!P122+Data!Q122+Data!R122+Data!S122+Data!N123+Data!O123+Data!P123+Data!Q123+Data!R123+Data!S123+Data!N124+Data!O124+Data!P124+Data!Q124+Data!R124+Data!S124+Data!N125+Data!O125+Data!P125+Data!Q125+Data!R125+Data!S125+Data!N126+Data!O126+Data!P126+Data!Q126+Data!R126+Data!S126+Data!N127+Data!O127+Data!P127+Data!Q127+Data!R127+Data!S127+Data!N128+Data!O128+Data!P128+Data!Q128+Data!R128+Data!S128</f>
        <v>12482136</v>
      </c>
      <c r="M128" s="15" t="n">
        <f aca="false">Data!T117+Data!U117+Data!V117+Data!W117+Data!X117+Data!Y117+Data!Z117+Data!AA117+Data!AB117+Data!AC117+Data!AD117+Data!AE117+Data!AF117+Data!AG117+Data!AH117+Data!AI117+Data!AJ117+Data!AK117+Data!AL117+Data!T118+Data!U118+Data!V118+Data!W118+Data!X118+Data!Y118+Data!Z118+Data!AA118+Data!AB118+Data!AC118+Data!AD118+Data!AE118+Data!AF118+Data!AG118+Data!AH118+Data!AI118+Data!AJ118+Data!AK118+Data!AL118+Data!T119+Data!U119+Data!V119+Data!W119+Data!X119+Data!Y119+Data!Z119+Data!AA119+Data!AB119+Data!AC119+Data!AD119+Data!AE119+Data!AF119+Data!AG119+Data!AH119+Data!AI119+Data!AJ119+Data!AK119+Data!AL119+Data!T120+Data!U120+Data!V120+Data!W120+Data!X120+Data!Y120+Data!Z120+Data!AA120+Data!AB120+Data!AC120+Data!AD120+Data!AE120+Data!AF120+Data!AG120+Data!AH120+Data!AI120+Data!AJ120+Data!AK120+Data!AL120+Data!T121+Data!U121+Data!V121+Data!W121+Data!X121+Data!Y121+Data!Z121+Data!AA121+Data!AB121+Data!AC121+Data!AD121+Data!AE121+Data!AF121+Data!AG121+Data!AH121+Data!AI121+Data!AJ121+Data!AK121+Data!AL121+Data!T122+Data!U122+Data!V122+Data!W122+Data!X122+Data!Y122+Data!Z122+Data!AA122+Data!AB122+Data!AC122+Data!AD122+Data!AE122+Data!AF122+Data!AG122+Data!AH122+Data!AI122+Data!AJ122+Data!AK122+Data!AL122+Data!T123+Data!U123+Data!V123+Data!W123+Data!X123+Data!Y123+Data!Z123+Data!AA123+Data!AB123+Data!AC123+Data!AD123+Data!AE123+Data!AF123+Data!AG123+Data!AH123+Data!AI123+Data!AJ123+Data!AK123+Data!AL123+Data!T124+Data!U124+Data!V124+Data!W124+Data!X124+Data!Y124+Data!Z124+Data!AA124+Data!AB124+Data!AC124+Data!AD124+Data!AE124+Data!AF124+Data!AG124+Data!AH124+Data!AI124+Data!AJ124+Data!AK124+Data!AL124+Data!T125+Data!U125+Data!V125+Data!W125+Data!X125+Data!Y125+Data!Z125+Data!AA125+Data!AB125+Data!AC125+Data!AD125+Data!AE125+Data!AF125+Data!AG125+Data!AH125+Data!AI125+Data!AJ125+Data!AK125+Data!AL125+Data!T126+Data!U126+Data!V126+Data!W126+Data!X126+Data!Y126+Data!Z126+Data!AA126+Data!AB126+Data!AC126+Data!AD126+Data!AE126+Data!AF126+Data!AG126+Data!AH126+Data!AI126+Data!AJ126+Data!AK126+Data!AL126+Data!T127+Data!U127+Data!V127+Data!W127+Data!X127+Data!Y127+Data!Z127+Data!AA127+Data!AB127+Data!AC127+Data!AD127+Data!AE127+Data!AF127+Data!AG127+Data!AH127+Data!AI127+Data!AJ127+Data!AK127+Data!AL127+Data!T128+Data!U128+Data!V128+Data!W128+Data!X128+Data!Y128+Data!Z128+Data!AA128+Data!AB128+Data!AC128+Data!AD128+Data!AE128+Data!AF128+Data!AG128+Data!AH128+Data!AI128+Data!AJ128+Data!AK128+Data!AL128</f>
        <v>127962232</v>
      </c>
      <c r="N128" s="16" t="n">
        <f aca="false">Data!T117+Data!U117+Data!V117+Data!W117+Data!T118+Data!U118+Data!V118+Data!W118+Data!T119+Data!U119+Data!V119+Data!W119+Data!T120+Data!U120+Data!V120+Data!W120+Data!T121+Data!U121+Data!V121+Data!W121+Data!T122+Data!U122+Data!V122+Data!W122+Data!T123+Data!U123+Data!V123+Data!W123+Data!T124+Data!U124+Data!V124+Data!W124+Data!T125+Data!U125+Data!V125+Data!W125+Data!T126+Data!U126+Data!V126+Data!W126+Data!T127+Data!U127+Data!V127+Data!W127+Data!T128+Data!U128+Data!V128+Data!W128</f>
        <v>76675439</v>
      </c>
      <c r="O128" s="16" t="n">
        <f aca="false">Data!T117+Data!T118+Data!T119+Data!T120+Data!T121+Data!T122+Data!T123+Data!T124+Data!T125+Data!T126+Data!T127+Data!T128</f>
        <v>54820316</v>
      </c>
      <c r="P128" s="16" t="n">
        <f aca="false">Data!U117+Data!U118+Data!U119+Data!U120+Data!U121+Data!U122+Data!U123+Data!U124+Data!U125+Data!U126+Data!U127+Data!U128</f>
        <v>9283068</v>
      </c>
      <c r="Q128" s="16" t="n">
        <f aca="false">Data!V117+Data!V118+Data!V119+Data!V120+Data!V121+Data!V122+Data!V123+Data!V124+Data!V125+Data!V126+Data!V127+Data!V128</f>
        <v>4524261</v>
      </c>
      <c r="R128" s="16" t="n">
        <f aca="false">Data!W117+Data!W118+Data!W119+Data!W120+Data!W121+Data!W122+Data!W123+Data!W124+Data!W125+Data!W126+Data!W127+Data!W128</f>
        <v>8047794</v>
      </c>
      <c r="S128" s="16" t="n">
        <f aca="false">Data!X117+Data!X118+Data!X119+Data!X120+Data!X121+Data!X122+Data!X123+Data!X124+Data!X125+Data!X126+Data!X127+Data!X128</f>
        <v>8487251</v>
      </c>
      <c r="T128" s="16" t="n">
        <f aca="false">Data!Y117+Data!Z117+Data!AA117+Data!Y118+Data!Z118+Data!AA118+Data!Y119+Data!Z119+Data!AA119+Data!Y120+Data!Z120+Data!AA120+Data!Y121+Data!Z121+Data!AA121+Data!Y122+Data!Z122+Data!AA122+Data!Y123+Data!Z123+Data!AA123+Data!Y124+Data!Z124+Data!AA124+Data!Y125+Data!Z125+Data!AA125+Data!Y126+Data!Z126+Data!AA126+Data!Y127+Data!Z127+Data!AA127+Data!Y128+Data!Z128+Data!AA128</f>
        <v>9305677</v>
      </c>
      <c r="U128" s="16" t="n">
        <f aca="false">Data!Y117+Data!Y118+Data!Y119+Data!Y120+Data!Y121+Data!Y122+Data!Y123+Data!Y124+Data!Y125+Data!Y126+Data!Y127+Data!Y128</f>
        <v>6513946</v>
      </c>
      <c r="V128" s="16" t="n">
        <f aca="false">Data!Z117+Data!Z118+Data!Z119+Data!Z120+Data!Z121+Data!Z122+Data!Z123+Data!Z124+Data!Z125+Data!Z126+Data!Z127+Data!Z128</f>
        <v>2730918</v>
      </c>
      <c r="W128" s="16" t="n">
        <f aca="false">Data!AB117+Data!AB118+Data!AB119+Data!AB120+Data!AB121+Data!AB122+Data!AB123+Data!AB124+Data!AB125+Data!AB126+Data!AB127+Data!AB128</f>
        <v>16870141</v>
      </c>
      <c r="X128" s="16" t="n">
        <f aca="false">Data!AC117+Data!AC118+Data!AC119+Data!AC120+Data!AC121+Data!AC122+Data!AC123+Data!AC124+Data!AC125+Data!AC126+Data!AC127+Data!AC128</f>
        <v>4996941</v>
      </c>
      <c r="Y128" s="16" t="n">
        <f aca="false">Data!AD117+Data!AE117+Data!AF117+Data!AG117+Data!AH117+Data!AD118+Data!AE118+Data!AF118+Data!AG118+Data!AH118+Data!AD119+Data!AE119+Data!AF119+Data!AG119+Data!AH119+Data!AD120+Data!AE120+Data!AF120+Data!AG120+Data!AH120+Data!AD121+Data!AE121+Data!AF121+Data!AG121+Data!AH121+Data!AD122+Data!AE122+Data!AF122+Data!AG122+Data!AH122+Data!AD123+Data!AE123+Data!AF123+Data!AG123+Data!AH123+Data!AD124+Data!AE124+Data!AF124+Data!AG124+Data!AH124+Data!AD125+Data!AE125+Data!AF125+Data!AG125+Data!AH125+Data!AD126+Data!AE126+Data!AF126+Data!AG126+Data!AH126+Data!AD127+Data!AE127+Data!AF127+Data!AG127+Data!AH127+Data!AD128+Data!AE128+Data!AF128+Data!AG128+Data!AH128</f>
        <v>2498049</v>
      </c>
      <c r="Z128" s="16" t="n">
        <f aca="false">Data!AI117+Data!AI118+Data!AI119+Data!AI120+Data!AI121+Data!AI122+Data!AI123+Data!AI124+Data!AI125+Data!AI126+Data!AI127+Data!AI128</f>
        <v>4208500</v>
      </c>
      <c r="AA128" s="16" t="n">
        <f aca="false">Data!AJ117+Data!AJ118+Data!AJ119+Data!AJ120+Data!AJ121+Data!AJ122+Data!AJ123+Data!AJ124+Data!AJ125+Data!AJ126+Data!AJ127+Data!AJ128</f>
        <v>0</v>
      </c>
      <c r="AB128" s="16" t="n">
        <f aca="false">Data!AK117+Data!AK118+Data!AK119+Data!AK120+Data!AK121+Data!AK122+Data!AK123+Data!AK124+Data!AK125+Data!AK126+Data!AK127+Data!AK128</f>
        <v>1872914</v>
      </c>
      <c r="AC128" s="16" t="n">
        <f aca="false">Data!AL117+Data!AL118+Data!AL119+Data!AL120+Data!AL121+Data!AL122+Data!AL123+Data!AL124+Data!AL125+Data!AL126+Data!AL127+Data!AL128</f>
        <v>3047320</v>
      </c>
      <c r="AD128" s="15" t="n">
        <f aca="false">Data!AM117+Data!AM118+Data!AM119+Data!AM120+Data!AM121+Data!AM122+Data!AM123+Data!AM124+Data!AM125+Data!AM126+Data!AM127+Data!AM128</f>
        <v>12693814</v>
      </c>
      <c r="AE128" s="16" t="n">
        <f aca="false">Data!AN117+Data!AN118+Data!AN119+Data!AN120+Data!AN121+Data!AN122+Data!AN123+Data!AN124+Data!AN125+Data!AN126+Data!AN127+Data!AN128</f>
        <v>10900896</v>
      </c>
      <c r="AF128" s="15" t="n">
        <f aca="false">Data!AO117+Data!AO118+Data!AO119+Data!AO120+Data!AO121+Data!AO122+Data!AO123+Data!AO124+Data!AO125+Data!AO126+Data!AO127+Data!AO128</f>
        <v>1792920</v>
      </c>
    </row>
    <row r="129" customFormat="false" ht="15" hidden="false" customHeight="false" outlineLevel="0" collapsed="false">
      <c r="B129" s="14" t="str">
        <f aca="false">Data!B129</f>
        <v>2026-03</v>
      </c>
      <c r="C129" s="15" t="n">
        <f aca="false">Data!D118+Data!E118+Data!F118+Data!G118+Data!H118+Data!I118+Data!J118+Data!K118+Data!L118+Data!M118+Data!N118+Data!O118+Data!P118+Data!Q118+Data!R118+Data!S118+Data!D119+Data!E119+Data!F119+Data!G119+Data!H119+Data!I119+Data!J119+Data!K119+Data!L119+Data!M119+Data!N119+Data!O119+Data!P119+Data!Q119+Data!R119+Data!S119+Data!D120+Data!E120+Data!F120+Data!G120+Data!H120+Data!I120+Data!J120+Data!K120+Data!L120+Data!M120+Data!N120+Data!O120+Data!P120+Data!Q120+Data!R120+Data!S120+Data!D121+Data!E121+Data!F121+Data!G121+Data!H121+Data!I121+Data!J121+Data!K121+Data!L121+Data!M121+Data!N121+Data!O121+Data!P121+Data!Q121+Data!R121+Data!S121+Data!D122+Data!E122+Data!F122+Data!G122+Data!H122+Data!I122+Data!J122+Data!K122+Data!L122+Data!M122+Data!N122+Data!O122+Data!P122+Data!Q122+Data!R122+Data!S122+Data!D123+Data!E123+Data!F123+Data!G123+Data!H123+Data!I123+Data!J123+Data!K123+Data!L123+Data!M123+Data!N123+Data!O123+Data!P123+Data!Q123+Data!R123+Data!S123+Data!D124+Data!E124+Data!F124+Data!G124+Data!H124+Data!I124+Data!J124+Data!K124+Data!L124+Data!M124+Data!N124+Data!O124+Data!P124+Data!Q124+Data!R124+Data!S124+Data!D125+Data!E125+Data!F125+Data!G125+Data!H125+Data!I125+Data!J125+Data!K125+Data!L125+Data!M125+Data!N125+Data!O125+Data!P125+Data!Q125+Data!R125+Data!S125+Data!D126+Data!E126+Data!F126+Data!G126+Data!H126+Data!I126+Data!J126+Data!K126+Data!L126+Data!M126+Data!N126+Data!O126+Data!P126+Data!Q126+Data!R126+Data!S126+Data!D127+Data!E127+Data!F127+Data!G127+Data!H127+Data!I127+Data!J127+Data!K127+Data!L127+Data!M127+Data!N127+Data!O127+Data!P127+Data!Q127+Data!R127+Data!S127+Data!D128+Data!E128+Data!F128+Data!G128+Data!H128+Data!I128+Data!J128+Data!K128+Data!L128+Data!M128+Data!N128+Data!O128+Data!P128+Data!Q128+Data!R128+Data!S128+Data!D129+Data!E129+Data!F129+Data!G129+Data!H129+Data!I129+Data!J129+Data!K129+Data!L129+Data!M129+Data!N129+Data!O129+Data!P129+Data!Q129+Data!R129+Data!S129</f>
        <v>143020792</v>
      </c>
      <c r="D129" s="16" t="n">
        <f aca="false">Data!D118+Data!E118+Data!G118+Data!H118+Data!I118+Data!J118+Data!K118+Data!L118+Data!M118+Data!D119+Data!E119+Data!G119+Data!H119+Data!I119+Data!J119+Data!K119+Data!L119+Data!M119+Data!D120+Data!E120+Data!G120+Data!H120+Data!I120+Data!J120+Data!K120+Data!L120+Data!M120+Data!D121+Data!E121+Data!G121+Data!H121+Data!I121+Data!J121+Data!K121+Data!L121+Data!M121+Data!D122+Data!E122+Data!G122+Data!H122+Data!I122+Data!J122+Data!K122+Data!L122+Data!M122+Data!D123+Data!E123+Data!G123+Data!H123+Data!I123+Data!J123+Data!K123+Data!L123+Data!M123+Data!D124+Data!E124+Data!G124+Data!H124+Data!I124+Data!J124+Data!K124+Data!L124+Data!M124+Data!D125+Data!E125+Data!G125+Data!H125+Data!I125+Data!J125+Data!K125+Data!L125+Data!M125+Data!D126+Data!E126+Data!G126+Data!H126+Data!I126+Data!J126+Data!K126+Data!L126+Data!M126+Data!D127+Data!E127+Data!G127+Data!H127+Data!I127+Data!J127+Data!K127+Data!L127+Data!M127+Data!D128+Data!E128+Data!G128+Data!H128+Data!I128+Data!J128+Data!K128+Data!L128+Data!M128+Data!D129+Data!E129+Data!G129+Data!H129+Data!I129+Data!J129+Data!K129+Data!L129+Data!M129</f>
        <v>80273247</v>
      </c>
      <c r="E129" s="16" t="n">
        <f aca="false">Data!D118+Data!D119+Data!D120+Data!D121+Data!D122+Data!D123+Data!D124+Data!D125+Data!D126+Data!D127+Data!D128+Data!D129</f>
        <v>29316657</v>
      </c>
      <c r="F129" s="16" t="n">
        <f aca="false">Data!E118+Data!E119+Data!E120+Data!E121+Data!E122+Data!E123+Data!E124+Data!E125+Data!E126+Data!E127+Data!E128+Data!E129</f>
        <v>12950688</v>
      </c>
      <c r="G129" s="16" t="n">
        <f aca="false">Data!K118+Data!K119+Data!K120+Data!K121+Data!K122+Data!K123+Data!K124+Data!K125+Data!K126+Data!K127+Data!K128+Data!K129</f>
        <v>6783132</v>
      </c>
      <c r="H129" s="16" t="n">
        <f aca="false">Data!L118+Data!L119+Data!L120+Data!L121+Data!L122+Data!L123+Data!L124+Data!L125+Data!L126+Data!L127+Data!L128+Data!L129</f>
        <v>5592718</v>
      </c>
      <c r="I129" s="16" t="n">
        <f aca="false">Data!G118+Data!G119+Data!G120+Data!G121+Data!G122+Data!G123+Data!G124+Data!G125+Data!G126+Data!G127+Data!G128+Data!G129</f>
        <v>14639880</v>
      </c>
      <c r="J129" s="16" t="n">
        <f aca="false">Data!H118+Data!I118+Data!J118+Data!M118+Data!H119+Data!I119+Data!J119+Data!M119+Data!H120+Data!I120+Data!J120+Data!M120+Data!H121+Data!I121+Data!J121+Data!M121+Data!H122+Data!I122+Data!J122+Data!M122+Data!H123+Data!I123+Data!J123+Data!M123+Data!H124+Data!I124+Data!J124+Data!M124+Data!H125+Data!I125+Data!J125+Data!M125+Data!H126+Data!I126+Data!J126+Data!M126+Data!H127+Data!I127+Data!J127+Data!M127+Data!H128+Data!I128+Data!J128+Data!M128+Data!H129+Data!I129+Data!J129+Data!M129</f>
        <v>10990172</v>
      </c>
      <c r="K129" s="16" t="n">
        <f aca="false">Data!F118+Data!F119+Data!F120+Data!F121+Data!F122+Data!F123+Data!F124+Data!F125+Data!F126+Data!F127+Data!F128+Data!F129</f>
        <v>50116933</v>
      </c>
      <c r="L129" s="16" t="n">
        <f aca="false">Data!N118+Data!O118+Data!P118+Data!Q118+Data!R118+Data!S118+Data!N119+Data!O119+Data!P119+Data!Q119+Data!R119+Data!S119+Data!N120+Data!O120+Data!P120+Data!Q120+Data!R120+Data!S120+Data!N121+Data!O121+Data!P121+Data!Q121+Data!R121+Data!S121+Data!N122+Data!O122+Data!P122+Data!Q122+Data!R122+Data!S122+Data!N123+Data!O123+Data!P123+Data!Q123+Data!R123+Data!S123+Data!N124+Data!O124+Data!P124+Data!Q124+Data!R124+Data!S124+Data!N125+Data!O125+Data!P125+Data!Q125+Data!R125+Data!S125+Data!N126+Data!O126+Data!P126+Data!Q126+Data!R126+Data!S126+Data!N127+Data!O127+Data!P127+Data!Q127+Data!R127+Data!S127+Data!N128+Data!O128+Data!P128+Data!Q128+Data!R128+Data!S128+Data!N129+Data!O129+Data!P129+Data!Q129+Data!R129+Data!S129</f>
        <v>12630612</v>
      </c>
      <c r="M129" s="15" t="n">
        <f aca="false">Data!T118+Data!U118+Data!V118+Data!W118+Data!X118+Data!Y118+Data!Z118+Data!AA118+Data!AB118+Data!AC118+Data!AD118+Data!AE118+Data!AF118+Data!AG118+Data!AH118+Data!AI118+Data!AJ118+Data!AK118+Data!AL118+Data!T119+Data!U119+Data!V119+Data!W119+Data!X119+Data!Y119+Data!Z119+Data!AA119+Data!AB119+Data!AC119+Data!AD119+Data!AE119+Data!AF119+Data!AG119+Data!AH119+Data!AI119+Data!AJ119+Data!AK119+Data!AL119+Data!T120+Data!U120+Data!V120+Data!W120+Data!X120+Data!Y120+Data!Z120+Data!AA120+Data!AB120+Data!AC120+Data!AD120+Data!AE120+Data!AF120+Data!AG120+Data!AH120+Data!AI120+Data!AJ120+Data!AK120+Data!AL120+Data!T121+Data!U121+Data!V121+Data!W121+Data!X121+Data!Y121+Data!Z121+Data!AA121+Data!AB121+Data!AC121+Data!AD121+Data!AE121+Data!AF121+Data!AG121+Data!AH121+Data!AI121+Data!AJ121+Data!AK121+Data!AL121+Data!T122+Data!U122+Data!V122+Data!W122+Data!X122+Data!Y122+Data!Z122+Data!AA122+Data!AB122+Data!AC122+Data!AD122+Data!AE122+Data!AF122+Data!AG122+Data!AH122+Data!AI122+Data!AJ122+Data!AK122+Data!AL122+Data!T123+Data!U123+Data!V123+Data!W123+Data!X123+Data!Y123+Data!Z123+Data!AA123+Data!AB123+Data!AC123+Data!AD123+Data!AE123+Data!AF123+Data!AG123+Data!AH123+Data!AI123+Data!AJ123+Data!AK123+Data!AL123+Data!T124+Data!U124+Data!V124+Data!W124+Data!X124+Data!Y124+Data!Z124+Data!AA124+Data!AB124+Data!AC124+Data!AD124+Data!AE124+Data!AF124+Data!AG124+Data!AH124+Data!AI124+Data!AJ124+Data!AK124+Data!AL124+Data!T125+Data!U125+Data!V125+Data!W125+Data!X125+Data!Y125+Data!Z125+Data!AA125+Data!AB125+Data!AC125+Data!AD125+Data!AE125+Data!AF125+Data!AG125+Data!AH125+Data!AI125+Data!AJ125+Data!AK125+Data!AL125+Data!T126+Data!U126+Data!V126+Data!W126+Data!X126+Data!Y126+Data!Z126+Data!AA126+Data!AB126+Data!AC126+Data!AD126+Data!AE126+Data!AF126+Data!AG126+Data!AH126+Data!AI126+Data!AJ126+Data!AK126+Data!AL126+Data!T127+Data!U127+Data!V127+Data!W127+Data!X127+Data!Y127+Data!Z127+Data!AA127+Data!AB127+Data!AC127+Data!AD127+Data!AE127+Data!AF127+Data!AG127+Data!AH127+Data!AI127+Data!AJ127+Data!AK127+Data!AL127+Data!T128+Data!U128+Data!V128+Data!W128+Data!X128+Data!Y128+Data!Z128+Data!AA128+Data!AB128+Data!AC128+Data!AD128+Data!AE128+Data!AF128+Data!AG128+Data!AH128+Data!AI128+Data!AJ128+Data!AK128+Data!AL128+Data!T129+Data!U129+Data!V129+Data!W129+Data!X129+Data!Y129+Data!Z129+Data!AA129+Data!AB129+Data!AC129+Data!AD129+Data!AE129+Data!AF129+Data!AG129+Data!AH129+Data!AI129+Data!AJ129+Data!AK129+Data!AL129</f>
        <v>130142033</v>
      </c>
      <c r="N129" s="16" t="n">
        <f aca="false">Data!T118+Data!U118+Data!V118+Data!W118+Data!T119+Data!U119+Data!V119+Data!W119+Data!T120+Data!U120+Data!V120+Data!W120+Data!T121+Data!U121+Data!V121+Data!W121+Data!T122+Data!U122+Data!V122+Data!W122+Data!T123+Data!U123+Data!V123+Data!W123+Data!T124+Data!U124+Data!V124+Data!W124+Data!T125+Data!U125+Data!V125+Data!W125+Data!T126+Data!U126+Data!V126+Data!W126+Data!T127+Data!U127+Data!V127+Data!W127+Data!T128+Data!U128+Data!V128+Data!W128+Data!T129+Data!U129+Data!V129+Data!W129</f>
        <v>78228630</v>
      </c>
      <c r="O129" s="16" t="n">
        <f aca="false">Data!T118+Data!T119+Data!T120+Data!T121+Data!T122+Data!T123+Data!T124+Data!T125+Data!T126+Data!T127+Data!T128+Data!T129</f>
        <v>56111948</v>
      </c>
      <c r="P129" s="16" t="n">
        <f aca="false">Data!U118+Data!U119+Data!U120+Data!U121+Data!U122+Data!U123+Data!U124+Data!U125+Data!U126+Data!U127+Data!U128+Data!U129</f>
        <v>9463852</v>
      </c>
      <c r="Q129" s="16" t="n">
        <f aca="false">Data!V118+Data!V119+Data!V120+Data!V121+Data!V122+Data!V123+Data!V124+Data!V125+Data!V126+Data!V127+Data!V128+Data!V129</f>
        <v>4622426</v>
      </c>
      <c r="R129" s="16" t="n">
        <f aca="false">Data!W118+Data!W119+Data!W120+Data!W121+Data!W122+Data!W123+Data!W124+Data!W125+Data!W126+Data!W127+Data!W128+Data!W129</f>
        <v>8030404</v>
      </c>
      <c r="S129" s="16" t="n">
        <f aca="false">Data!X118+Data!X119+Data!X120+Data!X121+Data!X122+Data!X123+Data!X124+Data!X125+Data!X126+Data!X127+Data!X128+Data!X129</f>
        <v>8682049</v>
      </c>
      <c r="T129" s="16" t="n">
        <f aca="false">Data!Y118+Data!Z118+Data!AA118+Data!Y119+Data!Z119+Data!AA119+Data!Y120+Data!Z120+Data!AA120+Data!Y121+Data!Z121+Data!AA121+Data!Y122+Data!Z122+Data!AA122+Data!Y123+Data!Z123+Data!AA123+Data!Y124+Data!Z124+Data!AA124+Data!Y125+Data!Z125+Data!AA125+Data!Y126+Data!Z126+Data!AA126+Data!Y127+Data!Z127+Data!AA127+Data!Y128+Data!Z128+Data!AA128+Data!Y129+Data!Z129+Data!AA129</f>
        <v>9175946</v>
      </c>
      <c r="U129" s="16" t="n">
        <f aca="false">Data!Y118+Data!Y119+Data!Y120+Data!Y121+Data!Y122+Data!Y123+Data!Y124+Data!Y125+Data!Y126+Data!Y127+Data!Y128+Data!Y129</f>
        <v>6452363</v>
      </c>
      <c r="V129" s="16" t="n">
        <f aca="false">Data!Z118+Data!Z119+Data!Z120+Data!Z121+Data!Z122+Data!Z123+Data!Z124+Data!Z125+Data!Z126+Data!Z127+Data!Z128+Data!Z129</f>
        <v>2682317</v>
      </c>
      <c r="W129" s="16" t="n">
        <f aca="false">Data!AB118+Data!AB119+Data!AB120+Data!AB121+Data!AB122+Data!AB123+Data!AB124+Data!AB125+Data!AB126+Data!AB127+Data!AB128+Data!AB129</f>
        <v>17164586</v>
      </c>
      <c r="X129" s="16" t="n">
        <f aca="false">Data!AC118+Data!AC119+Data!AC120+Data!AC121+Data!AC122+Data!AC123+Data!AC124+Data!AC125+Data!AC126+Data!AC127+Data!AC128+Data!AC129</f>
        <v>4995264</v>
      </c>
      <c r="Y129" s="16" t="n">
        <f aca="false">Data!AD118+Data!AE118+Data!AF118+Data!AG118+Data!AH118+Data!AD119+Data!AE119+Data!AF119+Data!AG119+Data!AH119+Data!AD120+Data!AE120+Data!AF120+Data!AG120+Data!AH120+Data!AD121+Data!AE121+Data!AF121+Data!AG121+Data!AH121+Data!AD122+Data!AE122+Data!AF122+Data!AG122+Data!AH122+Data!AD123+Data!AE123+Data!AF123+Data!AG123+Data!AH123+Data!AD124+Data!AE124+Data!AF124+Data!AG124+Data!AH124+Data!AD125+Data!AE125+Data!AF125+Data!AG125+Data!AH125+Data!AD126+Data!AE126+Data!AF126+Data!AG126+Data!AH126+Data!AD127+Data!AE127+Data!AF127+Data!AG127+Data!AH127+Data!AD128+Data!AE128+Data!AF128+Data!AG128+Data!AH128+Data!AD129+Data!AE129+Data!AF129+Data!AG129+Data!AH129</f>
        <v>2333646</v>
      </c>
      <c r="Z129" s="16" t="n">
        <f aca="false">Data!AI118+Data!AI119+Data!AI120+Data!AI121+Data!AI122+Data!AI123+Data!AI124+Data!AI125+Data!AI126+Data!AI127+Data!AI128+Data!AI129</f>
        <v>4545694</v>
      </c>
      <c r="AA129" s="16" t="n">
        <f aca="false">Data!AJ118+Data!AJ119+Data!AJ120+Data!AJ121+Data!AJ122+Data!AJ123+Data!AJ124+Data!AJ125+Data!AJ126+Data!AJ127+Data!AJ128+Data!AJ129</f>
        <v>0</v>
      </c>
      <c r="AB129" s="16" t="n">
        <f aca="false">Data!AK118+Data!AK119+Data!AK120+Data!AK121+Data!AK122+Data!AK123+Data!AK124+Data!AK125+Data!AK126+Data!AK127+Data!AK128+Data!AK129</f>
        <v>1967698</v>
      </c>
      <c r="AC129" s="16" t="n">
        <f aca="false">Data!AL118+Data!AL119+Data!AL120+Data!AL121+Data!AL122+Data!AL123+Data!AL124+Data!AL125+Data!AL126+Data!AL127+Data!AL128+Data!AL129</f>
        <v>3048520</v>
      </c>
      <c r="AD129" s="15" t="n">
        <f aca="false">Data!AM118+Data!AM119+Data!AM120+Data!AM121+Data!AM122+Data!AM123+Data!AM124+Data!AM125+Data!AM126+Data!AM127+Data!AM128+Data!AM129</f>
        <v>12878759</v>
      </c>
      <c r="AE129" s="16" t="n">
        <f aca="false">Data!AN118+Data!AN119+Data!AN120+Data!AN121+Data!AN122+Data!AN123+Data!AN124+Data!AN125+Data!AN126+Data!AN127+Data!AN128+Data!AN129</f>
        <v>10999961</v>
      </c>
      <c r="AF129" s="15" t="n">
        <f aca="false">Data!AO118+Data!AO119+Data!AO120+Data!AO121+Data!AO122+Data!AO123+Data!AO124+Data!AO125+Data!AO126+Data!AO127+Data!AO128+Data!AO129</f>
        <v>1878800</v>
      </c>
    </row>
    <row r="130" customFormat="false" ht="15" hidden="false" customHeight="false" outlineLevel="0" collapsed="false">
      <c r="B130" s="14" t="str">
        <f aca="false">Data!B130</f>
        <v>2026-04</v>
      </c>
      <c r="C130" s="15" t="n">
        <f aca="false">Data!D119+Data!E119+Data!F119+Data!G119+Data!H119+Data!I119+Data!J119+Data!K119+Data!L119+Data!M119+Data!N119+Data!O119+Data!P119+Data!Q119+Data!R119+Data!S119+Data!D120+Data!E120+Data!F120+Data!G120+Data!H120+Data!I120+Data!J120+Data!K120+Data!L120+Data!M120+Data!N120+Data!O120+Data!P120+Data!Q120+Data!R120+Data!S120+Data!D121+Data!E121+Data!F121+Data!G121+Data!H121+Data!I121+Data!J121+Data!K121+Data!L121+Data!M121+Data!N121+Data!O121+Data!P121+Data!Q121+Data!R121+Data!S121+Data!D122+Data!E122+Data!F122+Data!G122+Data!H122+Data!I122+Data!J122+Data!K122+Data!L122+Data!M122+Data!N122+Data!O122+Data!P122+Data!Q122+Data!R122+Data!S122+Data!D123+Data!E123+Data!F123+Data!G123+Data!H123+Data!I123+Data!J123+Data!K123+Data!L123+Data!M123+Data!N123+Data!O123+Data!P123+Data!Q123+Data!R123+Data!S123+Data!D124+Data!E124+Data!F124+Data!G124+Data!H124+Data!I124+Data!J124+Data!K124+Data!L124+Data!M124+Data!N124+Data!O124+Data!P124+Data!Q124+Data!R124+Data!S124+Data!D125+Data!E125+Data!F125+Data!G125+Data!H125+Data!I125+Data!J125+Data!K125+Data!L125+Data!M125+Data!N125+Data!O125+Data!P125+Data!Q125+Data!R125+Data!S125+Data!D126+Data!E126+Data!F126+Data!G126+Data!H126+Data!I126+Data!J126+Data!K126+Data!L126+Data!M126+Data!N126+Data!O126+Data!P126+Data!Q126+Data!R126+Data!S126+Data!D127+Data!E127+Data!F127+Data!G127+Data!H127+Data!I127+Data!J127+Data!K127+Data!L127+Data!M127+Data!N127+Data!O127+Data!P127+Data!Q127+Data!R127+Data!S127+Data!D128+Data!E128+Data!F128+Data!G128+Data!H128+Data!I128+Data!J128+Data!K128+Data!L128+Data!M128+Data!N128+Data!O128+Data!P128+Data!Q128+Data!R128+Data!S128+Data!D129+Data!E129+Data!F129+Data!G129+Data!H129+Data!I129+Data!J129+Data!K129+Data!L129+Data!M129+Data!N129+Data!O129+Data!P129+Data!Q129+Data!R129+Data!S129+Data!D130+Data!E130+Data!F130+Data!G130+Data!H130+Data!I130+Data!J130+Data!K130+Data!L130+Data!M130+Data!N130+Data!O130+Data!P130+Data!Q130+Data!R130+Data!S130</f>
        <v>146086061</v>
      </c>
      <c r="D130" s="16" t="n">
        <f aca="false">Data!D119+Data!E119+Data!G119+Data!H119+Data!I119+Data!J119+Data!K119+Data!L119+Data!M119+Data!D120+Data!E120+Data!G120+Data!H120+Data!I120+Data!J120+Data!K120+Data!L120+Data!M120+Data!D121+Data!E121+Data!G121+Data!H121+Data!I121+Data!J121+Data!K121+Data!L121+Data!M121+Data!D122+Data!E122+Data!G122+Data!H122+Data!I122+Data!J122+Data!K122+Data!L122+Data!M122+Data!D123+Data!E123+Data!G123+Data!H123+Data!I123+Data!J123+Data!K123+Data!L123+Data!M123+Data!D124+Data!E124+Data!G124+Data!H124+Data!I124+Data!J124+Data!K124+Data!L124+Data!M124+Data!D125+Data!E125+Data!G125+Data!H125+Data!I125+Data!J125+Data!K125+Data!L125+Data!M125+Data!D126+Data!E126+Data!G126+Data!H126+Data!I126+Data!J126+Data!K126+Data!L126+Data!M126+Data!D127+Data!E127+Data!G127+Data!H127+Data!I127+Data!J127+Data!K127+Data!L127+Data!M127+Data!D128+Data!E128+Data!G128+Data!H128+Data!I128+Data!J128+Data!K128+Data!L128+Data!M128+Data!D129+Data!E129+Data!G129+Data!H129+Data!I129+Data!J129+Data!K129+Data!L129+Data!M129+Data!D130+Data!E130+Data!G130+Data!H130+Data!I130+Data!J130+Data!K130+Data!L130+Data!M130</f>
        <v>81777973</v>
      </c>
      <c r="E130" s="16" t="n">
        <f aca="false">Data!D119+Data!D120+Data!D121+Data!D122+Data!D123+Data!D124+Data!D125+Data!D126+Data!D127+Data!D128+Data!D129+Data!D130</f>
        <v>29921085</v>
      </c>
      <c r="F130" s="16" t="n">
        <f aca="false">Data!E119+Data!E120+Data!E121+Data!E122+Data!E123+Data!E124+Data!E125+Data!E126+Data!E127+Data!E128+Data!E129+Data!E130</f>
        <v>13176533</v>
      </c>
      <c r="G130" s="16" t="n">
        <f aca="false">Data!K119+Data!K120+Data!K121+Data!K122+Data!K123+Data!K124+Data!K125+Data!K126+Data!K127+Data!K128+Data!K129+Data!K130</f>
        <v>6663074</v>
      </c>
      <c r="H130" s="16" t="n">
        <f aca="false">Data!L119+Data!L120+Data!L121+Data!L122+Data!L123+Data!L124+Data!L125+Data!L126+Data!L127+Data!L128+Data!L129+Data!L130</f>
        <v>5647117</v>
      </c>
      <c r="I130" s="16" t="n">
        <f aca="false">Data!G119+Data!G120+Data!G121+Data!G122+Data!G123+Data!G124+Data!G125+Data!G126+Data!G127+Data!G128+Data!G129+Data!G130</f>
        <v>15003617</v>
      </c>
      <c r="J130" s="16" t="n">
        <f aca="false">Data!H119+Data!I119+Data!J119+Data!M119+Data!H120+Data!I120+Data!J120+Data!M120+Data!H121+Data!I121+Data!J121+Data!M121+Data!H122+Data!I122+Data!J122+Data!M122+Data!H123+Data!I123+Data!J123+Data!M123+Data!H124+Data!I124+Data!J124+Data!M124+Data!H125+Data!I125+Data!J125+Data!M125+Data!H126+Data!I126+Data!J126+Data!M126+Data!H127+Data!I127+Data!J127+Data!M127+Data!H128+Data!I128+Data!J128+Data!M128+Data!H129+Data!I129+Data!J129+Data!M129+Data!H130+Data!I130+Data!J130+Data!M130</f>
        <v>11366547</v>
      </c>
      <c r="K130" s="16" t="n">
        <f aca="false">Data!F119+Data!F120+Data!F121+Data!F122+Data!F123+Data!F124+Data!F125+Data!F126+Data!F127+Data!F128+Data!F129+Data!F130</f>
        <v>51166927</v>
      </c>
      <c r="L130" s="16" t="n">
        <f aca="false">Data!N119+Data!O119+Data!P119+Data!Q119+Data!R119+Data!S119+Data!N120+Data!O120+Data!P120+Data!Q120+Data!R120+Data!S120+Data!N121+Data!O121+Data!P121+Data!Q121+Data!R121+Data!S121+Data!N122+Data!O122+Data!P122+Data!Q122+Data!R122+Data!S122+Data!N123+Data!O123+Data!P123+Data!Q123+Data!R123+Data!S123+Data!N124+Data!O124+Data!P124+Data!Q124+Data!R124+Data!S124+Data!N125+Data!O125+Data!P125+Data!Q125+Data!R125+Data!S125+Data!N126+Data!O126+Data!P126+Data!Q126+Data!R126+Data!S126+Data!N127+Data!O127+Data!P127+Data!Q127+Data!R127+Data!S127+Data!N128+Data!O128+Data!P128+Data!Q128+Data!R128+Data!S128+Data!N129+Data!O129+Data!P129+Data!Q129+Data!R129+Data!S129+Data!N130+Data!O130+Data!P130+Data!Q130+Data!R130+Data!S130</f>
        <v>13141161</v>
      </c>
      <c r="M130" s="15" t="n">
        <f aca="false">Data!T119+Data!U119+Data!V119+Data!W119+Data!X119+Data!Y119+Data!Z119+Data!AA119+Data!AB119+Data!AC119+Data!AD119+Data!AE119+Data!AF119+Data!AG119+Data!AH119+Data!AI119+Data!AJ119+Data!AK119+Data!AL119+Data!T120+Data!U120+Data!V120+Data!W120+Data!X120+Data!Y120+Data!Z120+Data!AA120+Data!AB120+Data!AC120+Data!AD120+Data!AE120+Data!AF120+Data!AG120+Data!AH120+Data!AI120+Data!AJ120+Data!AK120+Data!AL120+Data!T121+Data!U121+Data!V121+Data!W121+Data!X121+Data!Y121+Data!Z121+Data!AA121+Data!AB121+Data!AC121+Data!AD121+Data!AE121+Data!AF121+Data!AG121+Data!AH121+Data!AI121+Data!AJ121+Data!AK121+Data!AL121+Data!T122+Data!U122+Data!V122+Data!W122+Data!X122+Data!Y122+Data!Z122+Data!AA122+Data!AB122+Data!AC122+Data!AD122+Data!AE122+Data!AF122+Data!AG122+Data!AH122+Data!AI122+Data!AJ122+Data!AK122+Data!AL122+Data!T123+Data!U123+Data!V123+Data!W123+Data!X123+Data!Y123+Data!Z123+Data!AA123+Data!AB123+Data!AC123+Data!AD123+Data!AE123+Data!AF123+Data!AG123+Data!AH123+Data!AI123+Data!AJ123+Data!AK123+Data!AL123+Data!T124+Data!U124+Data!V124+Data!W124+Data!X124+Data!Y124+Data!Z124+Data!AA124+Data!AB124+Data!AC124+Data!AD124+Data!AE124+Data!AF124+Data!AG124+Data!AH124+Data!AI124+Data!AJ124+Data!AK124+Data!AL124+Data!T125+Data!U125+Data!V125+Data!W125+Data!X125+Data!Y125+Data!Z125+Data!AA125+Data!AB125+Data!AC125+Data!AD125+Data!AE125+Data!AF125+Data!AG125+Data!AH125+Data!AI125+Data!AJ125+Data!AK125+Data!AL125+Data!T126+Data!U126+Data!V126+Data!W126+Data!X126+Data!Y126+Data!Z126+Data!AA126+Data!AB126+Data!AC126+Data!AD126+Data!AE126+Data!AF126+Data!AG126+Data!AH126+Data!AI126+Data!AJ126+Data!AK126+Data!AL126+Data!T127+Data!U127+Data!V127+Data!W127+Data!X127+Data!Y127+Data!Z127+Data!AA127+Data!AB127+Data!AC127+Data!AD127+Data!AE127+Data!AF127+Data!AG127+Data!AH127+Data!AI127+Data!AJ127+Data!AK127+Data!AL127+Data!T128+Data!U128+Data!V128+Data!W128+Data!X128+Data!Y128+Data!Z128+Data!AA128+Data!AB128+Data!AC128+Data!AD128+Data!AE128+Data!AF128+Data!AG128+Data!AH128+Data!AI128+Data!AJ128+Data!AK128+Data!AL128+Data!T129+Data!U129+Data!V129+Data!W129+Data!X129+Data!Y129+Data!Z129+Data!AA129+Data!AB129+Data!AC129+Data!AD129+Data!AE129+Data!AF129+Data!AG129+Data!AH129+Data!AI129+Data!AJ129+Data!AK129+Data!AL129+Data!T130+Data!U130+Data!V130+Data!W130+Data!X130+Data!Y130+Data!Z130+Data!AA130+Data!AB130+Data!AC130+Data!AD130+Data!AE130+Data!AF130+Data!AG130+Data!AH130+Data!AI130+Data!AJ130+Data!AK130+Data!AL130</f>
        <v>133420407</v>
      </c>
      <c r="N130" s="16" t="n">
        <f aca="false">Data!T119+Data!U119+Data!V119+Data!W119+Data!T120+Data!U120+Data!V120+Data!W120+Data!T121+Data!U121+Data!V121+Data!W121+Data!T122+Data!U122+Data!V122+Data!W122+Data!T123+Data!U123+Data!V123+Data!W123+Data!T124+Data!U124+Data!V124+Data!W124+Data!T125+Data!U125+Data!V125+Data!W125+Data!T126+Data!U126+Data!V126+Data!W126+Data!T127+Data!U127+Data!V127+Data!W127+Data!T128+Data!U128+Data!V128+Data!W128+Data!T129+Data!U129+Data!V129+Data!W129+Data!T130+Data!U130+Data!V130+Data!W130</f>
        <v>80136974</v>
      </c>
      <c r="O130" s="16" t="n">
        <f aca="false">Data!T119+Data!T120+Data!T121+Data!T122+Data!T123+Data!T124+Data!T125+Data!T126+Data!T127+Data!T128+Data!T129+Data!T130</f>
        <v>57501159</v>
      </c>
      <c r="P130" s="16" t="n">
        <f aca="false">Data!U119+Data!U120+Data!U121+Data!U122+Data!U123+Data!U124+Data!U125+Data!U126+Data!U127+Data!U128+Data!U129+Data!U130</f>
        <v>9705072</v>
      </c>
      <c r="Q130" s="16" t="n">
        <f aca="false">Data!V119+Data!V120+Data!V121+Data!V122+Data!V123+Data!V124+Data!V125+Data!V126+Data!V127+Data!V128+Data!V129+Data!V130</f>
        <v>4725819</v>
      </c>
      <c r="R130" s="16" t="n">
        <f aca="false">Data!W119+Data!W120+Data!W121+Data!W122+Data!W123+Data!W124+Data!W125+Data!W126+Data!W127+Data!W128+Data!W129+Data!W130</f>
        <v>8204924</v>
      </c>
      <c r="S130" s="16" t="n">
        <f aca="false">Data!X119+Data!X120+Data!X121+Data!X122+Data!X123+Data!X124+Data!X125+Data!X126+Data!X127+Data!X128+Data!X129+Data!X130</f>
        <v>8747436</v>
      </c>
      <c r="T130" s="16" t="n">
        <f aca="false">Data!Y119+Data!Z119+Data!AA119+Data!Y120+Data!Z120+Data!AA120+Data!Y121+Data!Z121+Data!AA121+Data!Y122+Data!Z122+Data!AA122+Data!Y123+Data!Z123+Data!AA123+Data!Y124+Data!Z124+Data!AA124+Data!Y125+Data!Z125+Data!AA125+Data!Y126+Data!Z126+Data!AA126+Data!Y127+Data!Z127+Data!AA127+Data!Y128+Data!Z128+Data!AA128+Data!Y129+Data!Z129+Data!AA129+Data!Y130+Data!Z130+Data!AA130</f>
        <v>9877818</v>
      </c>
      <c r="U130" s="16" t="n">
        <f aca="false">Data!Y119+Data!Y120+Data!Y121+Data!Y122+Data!Y123+Data!Y124+Data!Y125+Data!Y126+Data!Y127+Data!Y128+Data!Y129+Data!Y130</f>
        <v>7033846</v>
      </c>
      <c r="V130" s="16" t="n">
        <f aca="false">Data!Z119+Data!Z120+Data!Z121+Data!Z122+Data!Z123+Data!Z124+Data!Z125+Data!Z126+Data!Z127+Data!Z128+Data!Z129+Data!Z130</f>
        <v>2805601</v>
      </c>
      <c r="W130" s="16" t="n">
        <f aca="false">Data!AB119+Data!AB120+Data!AB121+Data!AB122+Data!AB123+Data!AB124+Data!AB125+Data!AB126+Data!AB127+Data!AB128+Data!AB129+Data!AB130</f>
        <v>17520316</v>
      </c>
      <c r="X130" s="16" t="n">
        <f aca="false">Data!AC119+Data!AC120+Data!AC121+Data!AC122+Data!AC123+Data!AC124+Data!AC125+Data!AC126+Data!AC127+Data!AC128+Data!AC129+Data!AC130</f>
        <v>5139195</v>
      </c>
      <c r="Y130" s="16" t="n">
        <f aca="false">Data!AD119+Data!AE119+Data!AF119+Data!AG119+Data!AH119+Data!AD120+Data!AE120+Data!AF120+Data!AG120+Data!AH120+Data!AD121+Data!AE121+Data!AF121+Data!AG121+Data!AH121+Data!AD122+Data!AE122+Data!AF122+Data!AG122+Data!AH122+Data!AD123+Data!AE123+Data!AF123+Data!AG123+Data!AH123+Data!AD124+Data!AE124+Data!AF124+Data!AG124+Data!AH124+Data!AD125+Data!AE125+Data!AF125+Data!AG125+Data!AH125+Data!AD126+Data!AE126+Data!AF126+Data!AG126+Data!AH126+Data!AD127+Data!AE127+Data!AF127+Data!AG127+Data!AH127+Data!AD128+Data!AE128+Data!AF128+Data!AG128+Data!AH128+Data!AD129+Data!AE129+Data!AF129+Data!AG129+Data!AH129+Data!AD130+Data!AE130+Data!AF130+Data!AG130+Data!AH130</f>
        <v>2233306</v>
      </c>
      <c r="Z130" s="16" t="n">
        <f aca="false">Data!AI119+Data!AI120+Data!AI121+Data!AI122+Data!AI123+Data!AI124+Data!AI125+Data!AI126+Data!AI127+Data!AI128+Data!AI129+Data!AI130</f>
        <v>4347948</v>
      </c>
      <c r="AA130" s="16" t="n">
        <f aca="false">Data!AJ119+Data!AJ120+Data!AJ121+Data!AJ122+Data!AJ123+Data!AJ124+Data!AJ125+Data!AJ126+Data!AJ127+Data!AJ128+Data!AJ129+Data!AJ130</f>
        <v>0</v>
      </c>
      <c r="AB130" s="16" t="n">
        <f aca="false">Data!AK119+Data!AK120+Data!AK121+Data!AK122+Data!AK123+Data!AK124+Data!AK125+Data!AK126+Data!AK127+Data!AK128+Data!AK129+Data!AK130</f>
        <v>2136699</v>
      </c>
      <c r="AC130" s="16" t="n">
        <f aca="false">Data!AL119+Data!AL120+Data!AL121+Data!AL122+Data!AL123+Data!AL124+Data!AL125+Data!AL126+Data!AL127+Data!AL128+Data!AL129+Data!AL130</f>
        <v>3280715</v>
      </c>
      <c r="AD130" s="15" t="n">
        <f aca="false">Data!AM119+Data!AM120+Data!AM121+Data!AM122+Data!AM123+Data!AM124+Data!AM125+Data!AM126+Data!AM127+Data!AM128+Data!AM129+Data!AM130</f>
        <v>12665654</v>
      </c>
      <c r="AE130" s="16" t="n">
        <f aca="false">Data!AN119+Data!AN120+Data!AN121+Data!AN122+Data!AN123+Data!AN124+Data!AN125+Data!AN126+Data!AN127+Data!AN128+Data!AN129+Data!AN130</f>
        <v>11091094</v>
      </c>
      <c r="AF130" s="15" t="n">
        <f aca="false">Data!AO119+Data!AO120+Data!AO121+Data!AO122+Data!AO123+Data!AO124+Data!AO125+Data!AO126+Data!AO127+Data!AO128+Data!AO129+Data!AO130</f>
        <v>1574562</v>
      </c>
    </row>
    <row r="131" customFormat="false" ht="15" hidden="false" customHeight="false" outlineLevel="0" collapsed="false">
      <c r="B131" s="14" t="str">
        <f aca="false">Data!B131</f>
        <v>2026-05</v>
      </c>
      <c r="C131" s="15" t="n">
        <f aca="false">Data!D120+Data!E120+Data!F120+Data!G120+Data!H120+Data!I120+Data!J120+Data!K120+Data!L120+Data!M120+Data!N120+Data!O120+Data!P120+Data!Q120+Data!R120+Data!S120+Data!D121+Data!E121+Data!F121+Data!G121+Data!H121+Data!I121+Data!J121+Data!K121+Data!L121+Data!M121+Data!N121+Data!O121+Data!P121+Data!Q121+Data!R121+Data!S121+Data!D122+Data!E122+Data!F122+Data!G122+Data!H122+Data!I122+Data!J122+Data!K122+Data!L122+Data!M122+Data!N122+Data!O122+Data!P122+Data!Q122+Data!R122+Data!S122+Data!D123+Data!E123+Data!F123+Data!G123+Data!H123+Data!I123+Data!J123+Data!K123+Data!L123+Data!M123+Data!N123+Data!O123+Data!P123+Data!Q123+Data!R123+Data!S123+Data!D124+Data!E124+Data!F124+Data!G124+Data!H124+Data!I124+Data!J124+Data!K124+Data!L124+Data!M124+Data!N124+Data!O124+Data!P124+Data!Q124+Data!R124+Data!S124+Data!D125+Data!E125+Data!F125+Data!G125+Data!H125+Data!I125+Data!J125+Data!K125+Data!L125+Data!M125+Data!N125+Data!O125+Data!P125+Data!Q125+Data!R125+Data!S125+Data!D126+Data!E126+Data!F126+Data!G126+Data!H126+Data!I126+Data!J126+Data!K126+Data!L126+Data!M126+Data!N126+Data!O126+Data!P126+Data!Q126+Data!R126+Data!S126+Data!D127+Data!E127+Data!F127+Data!G127+Data!H127+Data!I127+Data!J127+Data!K127+Data!L127+Data!M127+Data!N127+Data!O127+Data!P127+Data!Q127+Data!R127+Data!S127+Data!D128+Data!E128+Data!F128+Data!G128+Data!H128+Data!I128+Data!J128+Data!K128+Data!L128+Data!M128+Data!N128+Data!O128+Data!P128+Data!Q128+Data!R128+Data!S128+Data!D129+Data!E129+Data!F129+Data!G129+Data!H129+Data!I129+Data!J129+Data!K129+Data!L129+Data!M129+Data!N129+Data!O129+Data!P129+Data!Q129+Data!R129+Data!S129+Data!D130+Data!E130+Data!F130+Data!G130+Data!H130+Data!I130+Data!J130+Data!K130+Data!L130+Data!M130+Data!N130+Data!O130+Data!P130+Data!Q130+Data!R130+Data!S130+Data!D131+Data!E131+Data!F131+Data!G131+Data!H131+Data!I131+Data!J131+Data!K131+Data!L131+Data!M131+Data!N131+Data!O131+Data!P131+Data!Q131+Data!R131+Data!S131</f>
        <v>149243585</v>
      </c>
      <c r="D131" s="16" t="n">
        <f aca="false">Data!D120+Data!E120+Data!G120+Data!H120+Data!I120+Data!J120+Data!K120+Data!L120+Data!M120+Data!D121+Data!E121+Data!G121+Data!H121+Data!I121+Data!J121+Data!K121+Data!L121+Data!M121+Data!D122+Data!E122+Data!G122+Data!H122+Data!I122+Data!J122+Data!K122+Data!L122+Data!M122+Data!D123+Data!E123+Data!G123+Data!H123+Data!I123+Data!J123+Data!K123+Data!L123+Data!M123+Data!D124+Data!E124+Data!G124+Data!H124+Data!I124+Data!J124+Data!K124+Data!L124+Data!M124+Data!D125+Data!E125+Data!G125+Data!H125+Data!I125+Data!J125+Data!K125+Data!L125+Data!M125+Data!D126+Data!E126+Data!G126+Data!H126+Data!I126+Data!J126+Data!K126+Data!L126+Data!M126+Data!D127+Data!E127+Data!G127+Data!H127+Data!I127+Data!J127+Data!K127+Data!L127+Data!M127+Data!D128+Data!E128+Data!G128+Data!H128+Data!I128+Data!J128+Data!K128+Data!L128+Data!M128+Data!D129+Data!E129+Data!G129+Data!H129+Data!I129+Data!J129+Data!K129+Data!L129+Data!M129+Data!D130+Data!E130+Data!G130+Data!H130+Data!I130+Data!J130+Data!K130+Data!L130+Data!M130+Data!D131+Data!E131+Data!G131+Data!H131+Data!I131+Data!J131+Data!K131+Data!L131+Data!M131</f>
        <v>83885327</v>
      </c>
      <c r="E131" s="16" t="n">
        <f aca="false">Data!D120+Data!D121+Data!D122+Data!D123+Data!D124+Data!D125+Data!D126+Data!D127+Data!D128+Data!D129+Data!D130+Data!D131</f>
        <v>30336733</v>
      </c>
      <c r="F131" s="16" t="n">
        <f aca="false">Data!E120+Data!E121+Data!E122+Data!E123+Data!E124+Data!E125+Data!E126+Data!E127+Data!E128+Data!E129+Data!E130+Data!E131</f>
        <v>14424986</v>
      </c>
      <c r="G131" s="16" t="n">
        <f aca="false">Data!K120+Data!K121+Data!K122+Data!K123+Data!K124+Data!K125+Data!K126+Data!K127+Data!K128+Data!K129+Data!K130+Data!K131</f>
        <v>6547802</v>
      </c>
      <c r="H131" s="16" t="n">
        <f aca="false">Data!L120+Data!L121+Data!L122+Data!L123+Data!L124+Data!L125+Data!L126+Data!L127+Data!L128+Data!L129+Data!L130+Data!L131</f>
        <v>5650073</v>
      </c>
      <c r="I131" s="16" t="n">
        <f aca="false">Data!G120+Data!G121+Data!G122+Data!G123+Data!G124+Data!G125+Data!G126+Data!G127+Data!G128+Data!G129+Data!G130+Data!G131</f>
        <v>15317925</v>
      </c>
      <c r="J131" s="16" t="n">
        <f aca="false">Data!H120+Data!I120+Data!J120+Data!M120+Data!H121+Data!I121+Data!J121+Data!M121+Data!H122+Data!I122+Data!J122+Data!M122+Data!H123+Data!I123+Data!J123+Data!M123+Data!H124+Data!I124+Data!J124+Data!M124+Data!H125+Data!I125+Data!J125+Data!M125+Data!H126+Data!I126+Data!J126+Data!M126+Data!H127+Data!I127+Data!J127+Data!M127+Data!H128+Data!I128+Data!J128+Data!M128+Data!H129+Data!I129+Data!J129+Data!M129+Data!H130+Data!I130+Data!J130+Data!M130+Data!H131+Data!I131+Data!J131+Data!M131</f>
        <v>11607808</v>
      </c>
      <c r="K131" s="16" t="n">
        <f aca="false">Data!F120+Data!F121+Data!F122+Data!F123+Data!F124+Data!F125+Data!F126+Data!F127+Data!F128+Data!F129+Data!F130+Data!F131</f>
        <v>52186514</v>
      </c>
      <c r="L131" s="16" t="n">
        <f aca="false">Data!N120+Data!O120+Data!P120+Data!Q120+Data!R120+Data!S120+Data!N121+Data!O121+Data!P121+Data!Q121+Data!R121+Data!S121+Data!N122+Data!O122+Data!P122+Data!Q122+Data!R122+Data!S122+Data!N123+Data!O123+Data!P123+Data!Q123+Data!R123+Data!S123+Data!N124+Data!O124+Data!P124+Data!Q124+Data!R124+Data!S124+Data!N125+Data!O125+Data!P125+Data!Q125+Data!R125+Data!S125+Data!N126+Data!O126+Data!P126+Data!Q126+Data!R126+Data!S126+Data!N127+Data!O127+Data!P127+Data!Q127+Data!R127+Data!S127+Data!N128+Data!O128+Data!P128+Data!Q128+Data!R128+Data!S128+Data!N129+Data!O129+Data!P129+Data!Q129+Data!R129+Data!S129+Data!N130+Data!O130+Data!P130+Data!Q130+Data!R130+Data!S130+Data!N131+Data!O131+Data!P131+Data!Q131+Data!R131+Data!S131</f>
        <v>13171744</v>
      </c>
      <c r="M131" s="15" t="n">
        <f aca="false">Data!T120+Data!U120+Data!V120+Data!W120+Data!X120+Data!Y120+Data!Z120+Data!AA120+Data!AB120+Data!AC120+Data!AD120+Data!AE120+Data!AF120+Data!AG120+Data!AH120+Data!AI120+Data!AJ120+Data!AK120+Data!AL120+Data!T121+Data!U121+Data!V121+Data!W121+Data!X121+Data!Y121+Data!Z121+Data!AA121+Data!AB121+Data!AC121+Data!AD121+Data!AE121+Data!AF121+Data!AG121+Data!AH121+Data!AI121+Data!AJ121+Data!AK121+Data!AL121+Data!T122+Data!U122+Data!V122+Data!W122+Data!X122+Data!Y122+Data!Z122+Data!AA122+Data!AB122+Data!AC122+Data!AD122+Data!AE122+Data!AF122+Data!AG122+Data!AH122+Data!AI122+Data!AJ122+Data!AK122+Data!AL122+Data!T123+Data!U123+Data!V123+Data!W123+Data!X123+Data!Y123+Data!Z123+Data!AA123+Data!AB123+Data!AC123+Data!AD123+Data!AE123+Data!AF123+Data!AG123+Data!AH123+Data!AI123+Data!AJ123+Data!AK123+Data!AL123+Data!T124+Data!U124+Data!V124+Data!W124+Data!X124+Data!Y124+Data!Z124+Data!AA124+Data!AB124+Data!AC124+Data!AD124+Data!AE124+Data!AF124+Data!AG124+Data!AH124+Data!AI124+Data!AJ124+Data!AK124+Data!AL124+Data!T125+Data!U125+Data!V125+Data!W125+Data!X125+Data!Y125+Data!Z125+Data!AA125+Data!AB125+Data!AC125+Data!AD125+Data!AE125+Data!AF125+Data!AG125+Data!AH125+Data!AI125+Data!AJ125+Data!AK125+Data!AL125+Data!T126+Data!U126+Data!V126+Data!W126+Data!X126+Data!Y126+Data!Z126+Data!AA126+Data!AB126+Data!AC126+Data!AD126+Data!AE126+Data!AF126+Data!AG126+Data!AH126+Data!AI126+Data!AJ126+Data!AK126+Data!AL126+Data!T127+Data!U127+Data!V127+Data!W127+Data!X127+Data!Y127+Data!Z127+Data!AA127+Data!AB127+Data!AC127+Data!AD127+Data!AE127+Data!AF127+Data!AG127+Data!AH127+Data!AI127+Data!AJ127+Data!AK127+Data!AL127+Data!T128+Data!U128+Data!V128+Data!W128+Data!X128+Data!Y128+Data!Z128+Data!AA128+Data!AB128+Data!AC128+Data!AD128+Data!AE128+Data!AF128+Data!AG128+Data!AH128+Data!AI128+Data!AJ128+Data!AK128+Data!AL128+Data!T129+Data!U129+Data!V129+Data!W129+Data!X129+Data!Y129+Data!Z129+Data!AA129+Data!AB129+Data!AC129+Data!AD129+Data!AE129+Data!AF129+Data!AG129+Data!AH129+Data!AI129+Data!AJ129+Data!AK129+Data!AL129+Data!T130+Data!U130+Data!V130+Data!W130+Data!X130+Data!Y130+Data!Z130+Data!AA130+Data!AB130+Data!AC130+Data!AD130+Data!AE130+Data!AF130+Data!AG130+Data!AH130+Data!AI130+Data!AJ130+Data!AK130+Data!AL130+Data!T131+Data!U131+Data!V131+Data!W131+Data!X131+Data!Y131+Data!Z131+Data!AA131+Data!AB131+Data!AC131+Data!AD131+Data!AE131+Data!AF131+Data!AG131+Data!AH131+Data!AI131+Data!AJ131+Data!AK131+Data!AL131</f>
        <v>136350481</v>
      </c>
      <c r="N131" s="16" t="n">
        <f aca="false">Data!T120+Data!U120+Data!V120+Data!W120+Data!T121+Data!U121+Data!V121+Data!W121+Data!T122+Data!U122+Data!V122+Data!W122+Data!T123+Data!U123+Data!V123+Data!W123+Data!T124+Data!U124+Data!V124+Data!W124+Data!T125+Data!U125+Data!V125+Data!W125+Data!T126+Data!U126+Data!V126+Data!W126+Data!T127+Data!U127+Data!V127+Data!W127+Data!T128+Data!U128+Data!V128+Data!W128+Data!T129+Data!U129+Data!V129+Data!W129+Data!T130+Data!U130+Data!V130+Data!W130+Data!T131+Data!U131+Data!V131+Data!W131</f>
        <v>82111141</v>
      </c>
      <c r="O131" s="16" t="n">
        <f aca="false">Data!T120+Data!T121+Data!T122+Data!T123+Data!T124+Data!T125+Data!T126+Data!T127+Data!T128+Data!T129+Data!T130+Data!T131</f>
        <v>58857409</v>
      </c>
      <c r="P131" s="16" t="n">
        <f aca="false">Data!U120+Data!U121+Data!U122+Data!U123+Data!U124+Data!U125+Data!U126+Data!U127+Data!U128+Data!U129+Data!U130+Data!U131</f>
        <v>9953400</v>
      </c>
      <c r="Q131" s="16" t="n">
        <f aca="false">Data!V120+Data!V121+Data!V122+Data!V123+Data!V124+Data!V125+Data!V126+Data!V127+Data!V128+Data!V129+Data!V130+Data!V131</f>
        <v>4822177</v>
      </c>
      <c r="R131" s="16" t="n">
        <f aca="false">Data!W120+Data!W121+Data!W122+Data!W123+Data!W124+Data!W125+Data!W126+Data!W127+Data!W128+Data!W129+Data!W130+Data!W131</f>
        <v>8478155</v>
      </c>
      <c r="S131" s="16" t="n">
        <f aca="false">Data!X120+Data!X121+Data!X122+Data!X123+Data!X124+Data!X125+Data!X126+Data!X127+Data!X128+Data!X129+Data!X130+Data!X131</f>
        <v>8863064</v>
      </c>
      <c r="T131" s="16" t="n">
        <f aca="false">Data!Y120+Data!Z120+Data!AA120+Data!Y121+Data!Z121+Data!AA121+Data!Y122+Data!Z122+Data!AA122+Data!Y123+Data!Z123+Data!AA123+Data!Y124+Data!Z124+Data!AA124+Data!Y125+Data!Z125+Data!AA125+Data!Y126+Data!Z126+Data!AA126+Data!Y127+Data!Z127+Data!AA127+Data!Y128+Data!Z128+Data!AA128+Data!Y129+Data!Z129+Data!AA129+Data!Y130+Data!Z130+Data!AA130+Data!Y131+Data!Z131+Data!AA131</f>
        <v>9927918</v>
      </c>
      <c r="U131" s="16" t="n">
        <f aca="false">Data!Y120+Data!Y121+Data!Y122+Data!Y123+Data!Y124+Data!Y125+Data!Y126+Data!Y127+Data!Y128+Data!Y129+Data!Y130+Data!Y131</f>
        <v>7074957</v>
      </c>
      <c r="V131" s="16" t="n">
        <f aca="false">Data!Z120+Data!Z121+Data!Z122+Data!Z123+Data!Z124+Data!Z125+Data!Z126+Data!Z127+Data!Z128+Data!Z129+Data!Z130+Data!Z131</f>
        <v>2816345</v>
      </c>
      <c r="W131" s="16" t="n">
        <f aca="false">Data!AB120+Data!AB121+Data!AB122+Data!AB123+Data!AB124+Data!AB125+Data!AB126+Data!AB127+Data!AB128+Data!AB129+Data!AB130+Data!AB131</f>
        <v>17863235</v>
      </c>
      <c r="X131" s="16" t="n">
        <f aca="false">Data!AC120+Data!AC121+Data!AC122+Data!AC123+Data!AC124+Data!AC125+Data!AC126+Data!AC127+Data!AC128+Data!AC129+Data!AC130+Data!AC131</f>
        <v>5199155</v>
      </c>
      <c r="Y131" s="16" t="n">
        <f aca="false">Data!AD120+Data!AE120+Data!AF120+Data!AG120+Data!AH120+Data!AD121+Data!AE121+Data!AF121+Data!AG121+Data!AH121+Data!AD122+Data!AE122+Data!AF122+Data!AG122+Data!AH122+Data!AD123+Data!AE123+Data!AF123+Data!AG123+Data!AH123+Data!AD124+Data!AE124+Data!AF124+Data!AG124+Data!AH124+Data!AD125+Data!AE125+Data!AF125+Data!AG125+Data!AH125+Data!AD126+Data!AE126+Data!AF126+Data!AG126+Data!AH126+Data!AD127+Data!AE127+Data!AF127+Data!AG127+Data!AH127+Data!AD128+Data!AE128+Data!AF128+Data!AG128+Data!AH128+Data!AD129+Data!AE129+Data!AF129+Data!AG129+Data!AH129+Data!AD130+Data!AE130+Data!AF130+Data!AG130+Data!AH130+Data!AD131+Data!AE131+Data!AF131+Data!AG131+Data!AH131</f>
        <v>2192725</v>
      </c>
      <c r="Z131" s="16" t="n">
        <f aca="false">Data!AI120+Data!AI121+Data!AI122+Data!AI123+Data!AI124+Data!AI125+Data!AI126+Data!AI127+Data!AI128+Data!AI129+Data!AI130+Data!AI131</f>
        <v>4799857</v>
      </c>
      <c r="AA131" s="16" t="n">
        <f aca="false">Data!AJ120+Data!AJ121+Data!AJ122+Data!AJ123+Data!AJ124+Data!AJ125+Data!AJ126+Data!AJ127+Data!AJ128+Data!AJ129+Data!AJ130+Data!AJ131</f>
        <v>0</v>
      </c>
      <c r="AB131" s="16" t="n">
        <f aca="false">Data!AK120+Data!AK121+Data!AK122+Data!AK123+Data!AK124+Data!AK125+Data!AK126+Data!AK127+Data!AK128+Data!AK129+Data!AK130+Data!AK131</f>
        <v>2120005</v>
      </c>
      <c r="AC131" s="16" t="n">
        <f aca="false">Data!AL120+Data!AL121+Data!AL122+Data!AL123+Data!AL124+Data!AL125+Data!AL126+Data!AL127+Data!AL128+Data!AL129+Data!AL130+Data!AL131</f>
        <v>3273381</v>
      </c>
      <c r="AD131" s="15" t="n">
        <f aca="false">Data!AM120+Data!AM121+Data!AM122+Data!AM123+Data!AM124+Data!AM125+Data!AM126+Data!AM127+Data!AM128+Data!AM129+Data!AM130+Data!AM131</f>
        <v>12893104</v>
      </c>
      <c r="AE131" s="16" t="n">
        <f aca="false">Data!AN120+Data!AN121+Data!AN122+Data!AN123+Data!AN124+Data!AN125+Data!AN126+Data!AN127+Data!AN128+Data!AN129+Data!AN130+Data!AN131</f>
        <v>11502053</v>
      </c>
      <c r="AF131" s="15" t="n">
        <f aca="false">Data!AO120+Data!AO121+Data!AO122+Data!AO123+Data!AO124+Data!AO125+Data!AO126+Data!AO127+Data!AO128+Data!AO129+Data!AO130+Data!AO131</f>
        <v>1391052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AF1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1"/>
    <col collapsed="false" customWidth="true" hidden="false" outlineLevel="0" max="32" min="3" style="0" width="13"/>
  </cols>
  <sheetData>
    <row r="2" customFormat="false" ht="25.5" hidden="false" customHeight="true" outlineLevel="0" collapsed="false">
      <c r="B2" s="1" t="s">
        <v>230</v>
      </c>
    </row>
    <row r="3" customFormat="false" ht="15" hidden="false" customHeight="false" outlineLevel="0" collapsed="false">
      <c r="B3" s="2" t="s">
        <v>231</v>
      </c>
    </row>
    <row r="6" customFormat="false" ht="42" hidden="false" customHeight="true" outlineLevel="0" collapsed="false">
      <c r="B6" s="6" t="s">
        <v>28</v>
      </c>
      <c r="C6" s="7" t="s">
        <v>198</v>
      </c>
      <c r="D6" s="7" t="s">
        <v>199</v>
      </c>
      <c r="E6" s="7" t="s">
        <v>200</v>
      </c>
      <c r="F6" s="7" t="s">
        <v>201</v>
      </c>
      <c r="G6" s="7" t="s">
        <v>202</v>
      </c>
      <c r="H6" s="7" t="s">
        <v>203</v>
      </c>
      <c r="I6" s="7" t="s">
        <v>204</v>
      </c>
      <c r="J6" s="7" t="s">
        <v>205</v>
      </c>
      <c r="K6" s="7" t="s">
        <v>206</v>
      </c>
      <c r="L6" s="7" t="s">
        <v>207</v>
      </c>
      <c r="M6" s="7" t="s">
        <v>208</v>
      </c>
      <c r="N6" s="7" t="s">
        <v>209</v>
      </c>
      <c r="O6" s="7" t="s">
        <v>210</v>
      </c>
      <c r="P6" s="7" t="s">
        <v>211</v>
      </c>
      <c r="Q6" s="7" t="s">
        <v>212</v>
      </c>
      <c r="R6" s="7" t="s">
        <v>213</v>
      </c>
      <c r="S6" s="7" t="s">
        <v>214</v>
      </c>
      <c r="T6" s="7" t="s">
        <v>215</v>
      </c>
      <c r="U6" s="7" t="s">
        <v>216</v>
      </c>
      <c r="V6" s="7" t="s">
        <v>217</v>
      </c>
      <c r="W6" s="7" t="s">
        <v>218</v>
      </c>
      <c r="X6" s="7" t="s">
        <v>219</v>
      </c>
      <c r="Y6" s="7" t="s">
        <v>220</v>
      </c>
      <c r="Z6" s="7" t="s">
        <v>221</v>
      </c>
      <c r="AA6" s="7" t="s">
        <v>222</v>
      </c>
      <c r="AB6" s="7" t="s">
        <v>223</v>
      </c>
      <c r="AC6" s="7" t="s">
        <v>224</v>
      </c>
      <c r="AD6" s="7" t="s">
        <v>225</v>
      </c>
      <c r="AE6" s="7" t="s">
        <v>226</v>
      </c>
      <c r="AF6" s="7" t="s">
        <v>227</v>
      </c>
    </row>
    <row r="7" customFormat="false" ht="15" hidden="false" customHeight="false" outlineLevel="0" collapsed="false">
      <c r="B7" s="14" t="str">
        <f aca="false">Data!B7</f>
        <v>2016-01</v>
      </c>
    </row>
    <row r="8" customFormat="false" ht="15" hidden="false" customHeight="false" outlineLevel="0" collapsed="false">
      <c r="B8" s="14" t="str">
        <f aca="false">Data!B8</f>
        <v>2016-02</v>
      </c>
    </row>
    <row r="9" customFormat="false" ht="15" hidden="false" customHeight="false" outlineLevel="0" collapsed="false">
      <c r="B9" s="14" t="str">
        <f aca="false">Data!B9</f>
        <v>2016-03</v>
      </c>
    </row>
    <row r="10" customFormat="false" ht="15" hidden="false" customHeight="false" outlineLevel="0" collapsed="false">
      <c r="B10" s="14" t="str">
        <f aca="false">Data!B10</f>
        <v>2016-04</v>
      </c>
    </row>
    <row r="11" customFormat="false" ht="15" hidden="false" customHeight="false" outlineLevel="0" collapsed="false">
      <c r="B11" s="14" t="str">
        <f aca="false">Data!B11</f>
        <v>2016-05</v>
      </c>
    </row>
    <row r="12" customFormat="false" ht="15" hidden="false" customHeight="false" outlineLevel="0" collapsed="false">
      <c r="B12" s="14" t="str">
        <f aca="false">Data!B12</f>
        <v>2016-06</v>
      </c>
    </row>
    <row r="13" customFormat="false" ht="15" hidden="false" customHeight="false" outlineLevel="0" collapsed="false">
      <c r="B13" s="14" t="str">
        <f aca="false">Data!B13</f>
        <v>2016-07</v>
      </c>
    </row>
    <row r="14" customFormat="false" ht="15" hidden="false" customHeight="false" outlineLevel="0" collapsed="false">
      <c r="B14" s="14" t="str">
        <f aca="false">Data!B14</f>
        <v>2016-08</v>
      </c>
    </row>
    <row r="15" customFormat="false" ht="15" hidden="false" customHeight="false" outlineLevel="0" collapsed="false">
      <c r="B15" s="14" t="str">
        <f aca="false">Data!B15</f>
        <v>2016-09</v>
      </c>
    </row>
    <row r="16" customFormat="false" ht="15" hidden="false" customHeight="false" outlineLevel="0" collapsed="false">
      <c r="B16" s="14" t="str">
        <f aca="false">Data!B16</f>
        <v>2016-10</v>
      </c>
    </row>
    <row r="17" customFormat="false" ht="15" hidden="false" customHeight="false" outlineLevel="0" collapsed="false">
      <c r="B17" s="14" t="str">
        <f aca="false">Data!B17</f>
        <v>2016-11</v>
      </c>
    </row>
    <row r="18" customFormat="false" ht="15" hidden="false" customHeight="false" outlineLevel="0" collapsed="false">
      <c r="B18" s="14" t="str">
        <f aca="false">Data!B18</f>
        <v>2016-12</v>
      </c>
      <c r="C18" s="17" t="n">
        <f aca="false">(Data!D7+Data!E7+Data!F7+Data!G7+Data!H7+Data!I7+Data!J7+Data!K7+Data!L7+Data!M7+Data!N7+Data!O7+Data!P7+Data!Q7+Data!R7+Data!S7+Data!D8+Data!E8+Data!F8+Data!G8+Data!H8+Data!I8+Data!J8+Data!K8+Data!L8+Data!M8+Data!N8+Data!O8+Data!P8+Data!Q8+Data!R8+Data!S8+Data!D9+Data!E9+Data!F9+Data!G9+Data!H9+Data!I9+Data!J9+Data!K9+Data!L9+Data!M9+Data!N9+Data!O9+Data!P9+Data!Q9+Data!R9+Data!S9+Data!D10+Data!E10+Data!F10+Data!G10+Data!H10+Data!I10+Data!J10+Data!K10+Data!L10+Data!M10+Data!N10+Data!O10+Data!P10+Data!Q10+Data!R10+Data!S10+Data!D11+Data!E11+Data!F11+Data!G11+Data!H11+Data!I11+Data!J11+Data!K11+Data!L11+Data!M11+Data!N11+Data!O11+Data!P11+Data!Q11+Data!R11+Data!S11+Data!D12+Data!E12+Data!F12+Data!G12+Data!H12+Data!I12+Data!J12+Data!K12+Data!L12+Data!M12+Data!N12+Data!O12+Data!P12+Data!Q12+Data!R12+Data!S12+Data!D13+Data!E13+Data!F13+Data!G13+Data!H13+Data!I13+Data!J13+Data!K13+Data!L13+Data!M13+Data!N13+Data!O13+Data!P13+Data!Q13+Data!R13+Data!S13+Data!D14+Data!E14+Data!F14+Data!G14+Data!H14+Data!I14+Data!J14+Data!K14+Data!L14+Data!M14+Data!N14+Data!O14+Data!P14+Data!Q14+Data!R14+Data!S14+Data!D15+Data!E15+Data!F15+Data!G15+Data!H15+Data!I15+Data!J15+Data!K15+Data!L15+Data!M15+Data!N15+Data!O15+Data!P15+Data!Q15+Data!R15+Data!S15+Data!D16+Data!E16+Data!F16+Data!G16+Data!H16+Data!I16+Data!J16+Data!K16+Data!L16+Data!M16+Data!N16+Data!O16+Data!P16+Data!Q16+Data!R16+Data!S16+Data!D17+Data!E17+Data!F17+Data!G17+Data!H17+Data!I17+Data!J17+Data!K17+Data!L17+Data!M17+Data!N17+Data!O17+Data!P17+Data!Q17+Data!R17+Data!S17+Data!D18+Data!E18+Data!F18+Data!G18+Data!H18+Data!I18+Data!J18+Data!K18+Data!L18+Data!M18+Data!N18+Data!O18+Data!P18+Data!Q18+Data!R18+Data!S18)/(Data!AP7+Data!AP8+Data!AP9+Data!AP10+Data!AP11+Data!AP12+Data!AP13+Data!AP14+Data!AP15+Data!AP16+Data!AP17+Data!AP18)</f>
        <v>0.198016821235033</v>
      </c>
      <c r="D18" s="18" t="n">
        <f aca="false">(Data!D7+Data!E7+Data!G7+Data!H7+Data!I7+Data!J7+Data!K7+Data!L7+Data!M7+Data!D8+Data!E8+Data!G8+Data!H8+Data!I8+Data!J8+Data!K8+Data!L8+Data!M8+Data!D9+Data!E9+Data!G9+Data!H9+Data!I9+Data!J9+Data!K9+Data!L9+Data!M9+Data!D10+Data!E10+Data!G10+Data!H10+Data!I10+Data!J10+Data!K10+Data!L10+Data!M10+Data!D11+Data!E11+Data!G11+Data!H11+Data!I11+Data!J11+Data!K11+Data!L11+Data!M11+Data!D12+Data!E12+Data!G12+Data!H12+Data!I12+Data!J12+Data!K12+Data!L12+Data!M12+Data!D13+Data!E13+Data!G13+Data!H13+Data!I13+Data!J13+Data!K13+Data!L13+Data!M13+Data!D14+Data!E14+Data!G14+Data!H14+Data!I14+Data!J14+Data!K14+Data!L14+Data!M14+Data!D15+Data!E15+Data!G15+Data!H15+Data!I15+Data!J15+Data!K15+Data!L15+Data!M15+Data!D16+Data!E16+Data!G16+Data!H16+Data!I16+Data!J16+Data!K16+Data!L16+Data!M16+Data!D17+Data!E17+Data!G17+Data!H17+Data!I17+Data!J17+Data!K17+Data!L17+Data!M17+Data!D18+Data!E18+Data!G18+Data!H18+Data!I18+Data!J18+Data!K18+Data!L18+Data!M18)/(Data!AP7+Data!AP8+Data!AP9+Data!AP10+Data!AP11+Data!AP12+Data!AP13+Data!AP14+Data!AP15+Data!AP16+Data!AP17+Data!AP18)</f>
        <v>0.118697625306031</v>
      </c>
      <c r="E18" s="18" t="n">
        <f aca="false">(Data!D7+Data!D8+Data!D9+Data!D10+Data!D11+Data!D12+Data!D13+Data!D14+Data!D15+Data!D16+Data!D17+Data!D18)/(Data!AP7+Data!AP8+Data!AP9+Data!AP10+Data!AP11+Data!AP12+Data!AP13+Data!AP14+Data!AP15+Data!AP16+Data!AP17+Data!AP18)</f>
        <v>0.0337672110137051</v>
      </c>
      <c r="F18" s="18" t="n">
        <f aca="false">(Data!E7+Data!E8+Data!E9+Data!E10+Data!E11+Data!E12+Data!E13+Data!E14+Data!E15+Data!E16+Data!E17+Data!E18)/(Data!AP7+Data!AP8+Data!AP9+Data!AP10+Data!AP11+Data!AP12+Data!AP13+Data!AP14+Data!AP15+Data!AP16+Data!AP17+Data!AP18)</f>
        <v>0.0271533382969602</v>
      </c>
      <c r="G18" s="18" t="n">
        <f aca="false">(Data!K7+Data!K8+Data!K9+Data!K10+Data!K11+Data!K12+Data!K13+Data!K14+Data!K15+Data!K16+Data!K17+Data!K18)/(Data!AP7+Data!AP8+Data!AP9+Data!AP10+Data!AP11+Data!AP12+Data!AP13+Data!AP14+Data!AP15+Data!AP16+Data!AP17+Data!AP18)</f>
        <v>0.00876477898908871</v>
      </c>
      <c r="H18" s="18" t="n">
        <f aca="false">(Data!L7+Data!L8+Data!L9+Data!L10+Data!L11+Data!L12+Data!L13+Data!L14+Data!L15+Data!L16+Data!L17+Data!L18)/(Data!AP7+Data!AP8+Data!AP9+Data!AP10+Data!AP11+Data!AP12+Data!AP13+Data!AP14+Data!AP15+Data!AP16+Data!AP17+Data!AP18)</f>
        <v>0.00673248976510106</v>
      </c>
      <c r="I18" s="18" t="n">
        <f aca="false">(Data!G7+Data!G8+Data!G9+Data!G10+Data!G11+Data!G12+Data!G13+Data!G14+Data!G15+Data!G16+Data!G17+Data!G18)/(Data!AP7+Data!AP8+Data!AP9+Data!AP10+Data!AP11+Data!AP12+Data!AP13+Data!AP14+Data!AP15+Data!AP16+Data!AP17+Data!AP18)</f>
        <v>0.0132883908301391</v>
      </c>
      <c r="J18" s="18" t="n">
        <f aca="false">(Data!H7+Data!I7+Data!J7+Data!M7+Data!H8+Data!I8+Data!J8+Data!M8+Data!H9+Data!I9+Data!J9+Data!M9+Data!H10+Data!I10+Data!J10+Data!M10+Data!H11+Data!I11+Data!J11+Data!M11+Data!H12+Data!I12+Data!J12+Data!M12+Data!H13+Data!I13+Data!J13+Data!M13+Data!H14+Data!I14+Data!J14+Data!M14+Data!H15+Data!I15+Data!J15+Data!M15+Data!H16+Data!I16+Data!J16+Data!M16+Data!H17+Data!I17+Data!J17+Data!M17+Data!H18+Data!I18+Data!J18+Data!M18)/(Data!AP7+Data!AP8+Data!AP9+Data!AP10+Data!AP11+Data!AP12+Data!AP13+Data!AP14+Data!AP15+Data!AP16+Data!AP17+Data!AP18)</f>
        <v>0.0289914164110369</v>
      </c>
      <c r="K18" s="18" t="n">
        <f aca="false">(Data!F7+Data!F8+Data!F9+Data!F10+Data!F11+Data!F12+Data!F13+Data!F14+Data!F15+Data!F16+Data!F17+Data!F18)/(Data!AP7+Data!AP8+Data!AP9+Data!AP10+Data!AP11+Data!AP12+Data!AP13+Data!AP14+Data!AP15+Data!AP16+Data!AP17+Data!AP18)</f>
        <v>0.067826589429304</v>
      </c>
      <c r="L18" s="18" t="n">
        <f aca="false">(Data!N7+Data!O7+Data!P7+Data!Q7+Data!R7+Data!S7+Data!N8+Data!O8+Data!P8+Data!Q8+Data!R8+Data!S8+Data!N9+Data!O9+Data!P9+Data!Q9+Data!R9+Data!S9+Data!N10+Data!O10+Data!P10+Data!Q10+Data!R10+Data!S10+Data!N11+Data!O11+Data!P11+Data!Q11+Data!R11+Data!S11+Data!N12+Data!O12+Data!P12+Data!Q12+Data!R12+Data!S12+Data!N13+Data!O13+Data!P13+Data!Q13+Data!R13+Data!S13+Data!N14+Data!O14+Data!P14+Data!Q14+Data!R14+Data!S14+Data!N15+Data!O15+Data!P15+Data!Q15+Data!R15+Data!S15+Data!N16+Data!O16+Data!P16+Data!Q16+Data!R16+Data!S16+Data!N17+Data!O17+Data!P17+Data!Q17+Data!R17+Data!S17+Data!N18+Data!O18+Data!P18+Data!Q18+Data!R18+Data!S18)/(Data!AP7+Data!AP8+Data!AP9+Data!AP10+Data!AP11+Data!AP12+Data!AP13+Data!AP14+Data!AP15+Data!AP16+Data!AP17+Data!AP18)</f>
        <v>0.0114926064996977</v>
      </c>
      <c r="M18" s="17" t="n">
        <f aca="false">(Data!T7+Data!U7+Data!V7+Data!W7+Data!X7+Data!Y7+Data!Z7+Data!AA7+Data!AB7+Data!AC7+Data!AD7+Data!AE7+Data!AF7+Data!AG7+Data!AH7+Data!AI7+Data!AJ7+Data!AK7+Data!AL7+Data!T8+Data!U8+Data!V8+Data!W8+Data!X8+Data!Y8+Data!Z8+Data!AA8+Data!AB8+Data!AC8+Data!AD8+Data!AE8+Data!AF8+Data!AG8+Data!AH8+Data!AI8+Data!AJ8+Data!AK8+Data!AL8+Data!T9+Data!U9+Data!V9+Data!W9+Data!X9+Data!Y9+Data!Z9+Data!AA9+Data!AB9+Data!AC9+Data!AD9+Data!AE9+Data!AF9+Data!AG9+Data!AH9+Data!AI9+Data!AJ9+Data!AK9+Data!AL9+Data!T10+Data!U10+Data!V10+Data!W10+Data!X10+Data!Y10+Data!Z10+Data!AA10+Data!AB10+Data!AC10+Data!AD10+Data!AE10+Data!AF10+Data!AG10+Data!AH10+Data!AI10+Data!AJ10+Data!AK10+Data!AL10+Data!T11+Data!U11+Data!V11+Data!W11+Data!X11+Data!Y11+Data!Z11+Data!AA11+Data!AB11+Data!AC11+Data!AD11+Data!AE11+Data!AF11+Data!AG11+Data!AH11+Data!AI11+Data!AJ11+Data!AK11+Data!AL11+Data!T12+Data!U12+Data!V12+Data!W12+Data!X12+Data!Y12+Data!Z12+Data!AA12+Data!AB12+Data!AC12+Data!AD12+Data!AE12+Data!AF12+Data!AG12+Data!AH12+Data!AI12+Data!AJ12+Data!AK12+Data!AL12+Data!T13+Data!U13+Data!V13+Data!W13+Data!X13+Data!Y13+Data!Z13+Data!AA13+Data!AB13+Data!AC13+Data!AD13+Data!AE13+Data!AF13+Data!AG13+Data!AH13+Data!AI13+Data!AJ13+Data!AK13+Data!AL13+Data!T14+Data!U14+Data!V14+Data!W14+Data!X14+Data!Y14+Data!Z14+Data!AA14+Data!AB14+Data!AC14+Data!AD14+Data!AE14+Data!AF14+Data!AG14+Data!AH14+Data!AI14+Data!AJ14+Data!AK14+Data!AL14+Data!T15+Data!U15+Data!V15+Data!W15+Data!X15+Data!Y15+Data!Z15+Data!AA15+Data!AB15+Data!AC15+Data!AD15+Data!AE15+Data!AF15+Data!AG15+Data!AH15+Data!AI15+Data!AJ15+Data!AK15+Data!AL15+Data!T16+Data!U16+Data!V16+Data!W16+Data!X16+Data!Y16+Data!Z16+Data!AA16+Data!AB16+Data!AC16+Data!AD16+Data!AE16+Data!AF16+Data!AG16+Data!AH16+Data!AI16+Data!AJ16+Data!AK16+Data!AL16+Data!T17+Data!U17+Data!V17+Data!W17+Data!X17+Data!Y17+Data!Z17+Data!AA17+Data!AB17+Data!AC17+Data!AD17+Data!AE17+Data!AF17+Data!AG17+Data!AH17+Data!AI17+Data!AJ17+Data!AK17+Data!AL17+Data!T18+Data!U18+Data!V18+Data!W18+Data!X18+Data!Y18+Data!Z18+Data!AA18+Data!AB18+Data!AC18+Data!AD18+Data!AE18+Data!AF18+Data!AG18+Data!AH18+Data!AI18+Data!AJ18+Data!AK18+Data!AL18)/(Data!AP7+Data!AP8+Data!AP9+Data!AP10+Data!AP11+Data!AP12+Data!AP13+Data!AP14+Data!AP15+Data!AP16+Data!AP17+Data!AP18)</f>
        <v>0.239766619308297</v>
      </c>
      <c r="N18" s="18" t="n">
        <f aca="false">(Data!T7+Data!U7+Data!V7+Data!W7+Data!T8+Data!U8+Data!V8+Data!W8+Data!T9+Data!U9+Data!V9+Data!W9+Data!T10+Data!U10+Data!V10+Data!W10+Data!T11+Data!U11+Data!V11+Data!W11+Data!T12+Data!U12+Data!V12+Data!W12+Data!T13+Data!U13+Data!V13+Data!W13+Data!T14+Data!U14+Data!V14+Data!W14+Data!T15+Data!U15+Data!V15+Data!W15+Data!T16+Data!U16+Data!V16+Data!W16+Data!T17+Data!U17+Data!V17+Data!W17+Data!T18+Data!U18+Data!V18+Data!W18)/(Data!AP7+Data!AP8+Data!AP9+Data!AP10+Data!AP11+Data!AP12+Data!AP13+Data!AP14+Data!AP15+Data!AP16+Data!AP17+Data!AP18)</f>
        <v>0.112332289335073</v>
      </c>
      <c r="O18" s="18" t="n">
        <f aca="false">(Data!T7+Data!T8+Data!T9+Data!T10+Data!T11+Data!T12+Data!T13+Data!T14+Data!T15+Data!T16+Data!T17+Data!T18)/(Data!AP7+Data!AP8+Data!AP9+Data!AP10+Data!AP11+Data!AP12+Data!AP13+Data!AP14+Data!AP15+Data!AP16+Data!AP17+Data!AP18)</f>
        <v>0.0795402660221982</v>
      </c>
      <c r="P18" s="18" t="n">
        <f aca="false">(Data!U7+Data!U8+Data!U9+Data!U10+Data!U11+Data!U12+Data!U13+Data!U14+Data!U15+Data!U16+Data!U17+Data!U18)/(Data!AP7+Data!AP8+Data!AP9+Data!AP10+Data!AP11+Data!AP12+Data!AP13+Data!AP14+Data!AP15+Data!AP16+Data!AP17+Data!AP18)</f>
        <v>0.0131451024079957</v>
      </c>
      <c r="Q18" s="18" t="n">
        <f aca="false">(Data!V7+Data!V8+Data!V9+Data!V10+Data!V11+Data!V12+Data!V13+Data!V14+Data!V15+Data!V16+Data!V17+Data!V18)/(Data!AP7+Data!AP8+Data!AP9+Data!AP10+Data!AP11+Data!AP12+Data!AP13+Data!AP14+Data!AP15+Data!AP16+Data!AP17+Data!AP18)</f>
        <v>0.00975297081304779</v>
      </c>
      <c r="R18" s="18" t="n">
        <f aca="false">(Data!W7+Data!W8+Data!W9+Data!W10+Data!W11+Data!W12+Data!W13+Data!W14+Data!W15+Data!W16+Data!W17+Data!W18)/(Data!AP7+Data!AP8+Data!AP9+Data!AP10+Data!AP11+Data!AP12+Data!AP13+Data!AP14+Data!AP15+Data!AP16+Data!AP17+Data!AP18)</f>
        <v>0.00989395009183176</v>
      </c>
      <c r="S18" s="18" t="n">
        <f aca="false">(Data!X7+Data!X8+Data!X9+Data!X10+Data!X11+Data!X12+Data!X13+Data!X14+Data!X15+Data!X16+Data!X17+Data!X18)/(Data!AP7+Data!AP8+Data!AP9+Data!AP10+Data!AP11+Data!AP12+Data!AP13+Data!AP14+Data!AP15+Data!AP16+Data!AP17+Data!AP18)</f>
        <v>0.00368271905664836</v>
      </c>
      <c r="T18" s="18" t="n">
        <f aca="false">(Data!Y7+Data!Z7+Data!AA7+Data!Y8+Data!Z8+Data!AA8+Data!Y9+Data!Z9+Data!AA9+Data!Y10+Data!Z10+Data!AA10+Data!Y11+Data!Z11+Data!AA11+Data!Y12+Data!Z12+Data!AA12+Data!Y13+Data!Z13+Data!AA13+Data!Y14+Data!Z14+Data!AA14+Data!Y15+Data!Z15+Data!AA15+Data!Y16+Data!Z16+Data!AA16+Data!Y17+Data!Z17+Data!AA17+Data!Y18+Data!Z18+Data!AA18)/(Data!AP7+Data!AP8+Data!AP9+Data!AP10+Data!AP11+Data!AP12+Data!AP13+Data!AP14+Data!AP15+Data!AP16+Data!AP17+Data!AP18)</f>
        <v>0.0353871358472496</v>
      </c>
      <c r="U18" s="18" t="n">
        <f aca="false">(Data!Y7+Data!Y8+Data!Y9+Data!Y10+Data!Y11+Data!Y12+Data!Y13+Data!Y14+Data!Y15+Data!Y16+Data!Y17+Data!Y18)/(Data!AP7+Data!AP8+Data!AP9+Data!AP10+Data!AP11+Data!AP12+Data!AP13+Data!AP14+Data!AP15+Data!AP16+Data!AP17+Data!AP18)</f>
        <v>0.0254252483271073</v>
      </c>
      <c r="V18" s="18" t="n">
        <f aca="false">(Data!Z7+Data!Z8+Data!Z9+Data!Z10+Data!Z11+Data!Z12+Data!Z13+Data!Z14+Data!Z15+Data!Z16+Data!Z17+Data!Z18)/(Data!AP7+Data!AP8+Data!AP9+Data!AP10+Data!AP11+Data!AP12+Data!AP13+Data!AP14+Data!AP15+Data!AP16+Data!AP17+Data!AP18)</f>
        <v>0.00975272774532574</v>
      </c>
      <c r="W18" s="18" t="n">
        <f aca="false">(Data!AB7+Data!AB8+Data!AB9+Data!AB10+Data!AB11+Data!AB12+Data!AB13+Data!AB14+Data!AB15+Data!AB16+Data!AB17+Data!AB18)/(Data!AP7+Data!AP8+Data!AP9+Data!AP10+Data!AP11+Data!AP12+Data!AP13+Data!AP14+Data!AP15+Data!AP16+Data!AP17+Data!AP18)</f>
        <v>0.0324288801361455</v>
      </c>
      <c r="X18" s="18" t="n">
        <f aca="false">(Data!AC7+Data!AC8+Data!AC9+Data!AC10+Data!AC11+Data!AC12+Data!AC13+Data!AC14+Data!AC15+Data!AC16+Data!AC17+Data!AC18)/(Data!AP7+Data!AP8+Data!AP9+Data!AP10+Data!AP11+Data!AP12+Data!AP13+Data!AP14+Data!AP15+Data!AP16+Data!AP17+Data!AP18)</f>
        <v>0.00964249653338</v>
      </c>
      <c r="Y18" s="18" t="n">
        <f aca="false">(Data!AD7+Data!AE7+Data!AF7+Data!AG7+Data!AH7+Data!AD8+Data!AE8+Data!AF8+Data!AG8+Data!AH8+Data!AD9+Data!AE9+Data!AF9+Data!AG9+Data!AH9+Data!AD10+Data!AE10+Data!AF10+Data!AG10+Data!AH10+Data!AD11+Data!AE11+Data!AF11+Data!AG11+Data!AH11+Data!AD12+Data!AE12+Data!AF12+Data!AG12+Data!AH12+Data!AD13+Data!AE13+Data!AF13+Data!AG13+Data!AH13+Data!AD14+Data!AE14+Data!AF14+Data!AG14+Data!AH14+Data!AD15+Data!AE15+Data!AF15+Data!AG15+Data!AH15+Data!AD16+Data!AE16+Data!AF16+Data!AG16+Data!AH16+Data!AD17+Data!AE17+Data!AF17+Data!AG17+Data!AH17+Data!AD18+Data!AE18+Data!AF18+Data!AG18+Data!AH18)/(Data!AP7+Data!AP8+Data!AP9+Data!AP10+Data!AP11+Data!AP12+Data!AP13+Data!AP14+Data!AP15+Data!AP16+Data!AP17+Data!AP18)</f>
        <v>0.0089440414340942</v>
      </c>
      <c r="Z18" s="18" t="n">
        <f aca="false">(Data!AI7+Data!AI8+Data!AI9+Data!AI10+Data!AI11+Data!AI12+Data!AI13+Data!AI14+Data!AI15+Data!AI16+Data!AI17+Data!AI18)/(Data!AP7+Data!AP8+Data!AP9+Data!AP10+Data!AP11+Data!AP12+Data!AP13+Data!AP14+Data!AP15+Data!AP16+Data!AP17+Data!AP18)</f>
        <v>0.00759610938151395</v>
      </c>
      <c r="AA18" s="18" t="n">
        <f aca="false">(Data!AJ7+Data!AJ8+Data!AJ9+Data!AJ10+Data!AJ11+Data!AJ12+Data!AJ13+Data!AJ14+Data!AJ15+Data!AJ16+Data!AJ17+Data!AJ18)/(Data!AP7+Data!AP8+Data!AP9+Data!AP10+Data!AP11+Data!AP12+Data!AP13+Data!AP14+Data!AP15+Data!AP16+Data!AP17+Data!AP18)</f>
        <v>0.000989164094847237</v>
      </c>
      <c r="AB18" s="18" t="n">
        <f aca="false">(Data!AK7+Data!AK8+Data!AK9+Data!AK10+Data!AK11+Data!AK12+Data!AK13+Data!AK14+Data!AK15+Data!AK16+Data!AK17+Data!AK18)/(Data!AP7+Data!AP8+Data!AP9+Data!AP10+Data!AP11+Data!AP12+Data!AP13+Data!AP14+Data!AP15+Data!AP16+Data!AP17+Data!AP18)</f>
        <v>0.00663939482755923</v>
      </c>
      <c r="AC18" s="18" t="n">
        <f aca="false">(Data!AL7+Data!AL8+Data!AL9+Data!AL10+Data!AL11+Data!AL12+Data!AL13+Data!AL14+Data!AL15+Data!AL16+Data!AL17+Data!AL18)/(Data!AP7+Data!AP8+Data!AP9+Data!AP10+Data!AP11+Data!AP12+Data!AP13+Data!AP14+Data!AP15+Data!AP16+Data!AP17+Data!AP18)</f>
        <v>0.0221243886617859</v>
      </c>
      <c r="AD18" s="17" t="n">
        <f aca="false">(Data!AM7+Data!AM8+Data!AM9+Data!AM10+Data!AM11+Data!AM12+Data!AM13+Data!AM14+Data!AM15+Data!AM16+Data!AM17+Data!AM18)/(Data!AP7+Data!AP8+Data!AP9+Data!AP10+Data!AP11+Data!AP12+Data!AP13+Data!AP14+Data!AP15+Data!AP16+Data!AP17+Data!AP18)</f>
        <v>-0.0417497980732648</v>
      </c>
      <c r="AE18" s="18" t="n">
        <f aca="false">(Data!AN7+Data!AN8+Data!AN9+Data!AN10+Data!AN11+Data!AN12+Data!AN13+Data!AN14+Data!AN15+Data!AN16+Data!AN17+Data!AN18)/(Data!AP7+Data!AP8+Data!AP9+Data!AP10+Data!AP11+Data!AP12+Data!AP13+Data!AP14+Data!AP15+Data!AP16+Data!AP17+Data!AP18)</f>
        <v>0.0159524130637122</v>
      </c>
      <c r="AF18" s="17" t="n">
        <f aca="false">(Data!AO7+Data!AO8+Data!AO9+Data!AO10+Data!AO11+Data!AO12+Data!AO13+Data!AO14+Data!AO15+Data!AO16+Data!AO17+Data!AO18)/(Data!AP7+Data!AP8+Data!AP9+Data!AP10+Data!AP11+Data!AP12+Data!AP13+Data!AP14+Data!AP15+Data!AP16+Data!AP17+Data!AP18)</f>
        <v>-0.057702454204699</v>
      </c>
    </row>
    <row r="19" customFormat="false" ht="15" hidden="false" customHeight="false" outlineLevel="0" collapsed="false">
      <c r="B19" s="14" t="str">
        <f aca="false">Data!B19</f>
        <v>2017-01</v>
      </c>
      <c r="C19" s="17" t="n">
        <f aca="false">(Data!D8+Data!E8+Data!F8+Data!G8+Data!H8+Data!I8+Data!J8+Data!K8+Data!L8+Data!M8+Data!N8+Data!O8+Data!P8+Data!Q8+Data!R8+Data!S8+Data!D9+Data!E9+Data!F9+Data!G9+Data!H9+Data!I9+Data!J9+Data!K9+Data!L9+Data!M9+Data!N9+Data!O9+Data!P9+Data!Q9+Data!R9+Data!S9+Data!D10+Data!E10+Data!F10+Data!G10+Data!H10+Data!I10+Data!J10+Data!K10+Data!L10+Data!M10+Data!N10+Data!O10+Data!P10+Data!Q10+Data!R10+Data!S10+Data!D11+Data!E11+Data!F11+Data!G11+Data!H11+Data!I11+Data!J11+Data!K11+Data!L11+Data!M11+Data!N11+Data!O11+Data!P11+Data!Q11+Data!R11+Data!S11+Data!D12+Data!E12+Data!F12+Data!G12+Data!H12+Data!I12+Data!J12+Data!K12+Data!L12+Data!M12+Data!N12+Data!O12+Data!P12+Data!Q12+Data!R12+Data!S12+Data!D13+Data!E13+Data!F13+Data!G13+Data!H13+Data!I13+Data!J13+Data!K13+Data!L13+Data!M13+Data!N13+Data!O13+Data!P13+Data!Q13+Data!R13+Data!S13+Data!D14+Data!E14+Data!F14+Data!G14+Data!H14+Data!I14+Data!J14+Data!K14+Data!L14+Data!M14+Data!N14+Data!O14+Data!P14+Data!Q14+Data!R14+Data!S14+Data!D15+Data!E15+Data!F15+Data!G15+Data!H15+Data!I15+Data!J15+Data!K15+Data!L15+Data!M15+Data!N15+Data!O15+Data!P15+Data!Q15+Data!R15+Data!S15+Data!D16+Data!E16+Data!F16+Data!G16+Data!H16+Data!I16+Data!J16+Data!K16+Data!L16+Data!M16+Data!N16+Data!O16+Data!P16+Data!Q16+Data!R16+Data!S16+Data!D17+Data!E17+Data!F17+Data!G17+Data!H17+Data!I17+Data!J17+Data!K17+Data!L17+Data!M17+Data!N17+Data!O17+Data!P17+Data!Q17+Data!R17+Data!S17+Data!D18+Data!E18+Data!F18+Data!G18+Data!H18+Data!I18+Data!J18+Data!K18+Data!L18+Data!M18+Data!N18+Data!O18+Data!P18+Data!Q18+Data!R18+Data!S18+Data!D19+Data!E19+Data!F19+Data!G19+Data!H19+Data!I19+Data!J19+Data!K19+Data!L19+Data!M19+Data!N19+Data!O19+Data!P19+Data!Q19+Data!R19+Data!S19)/(Data!AP8+Data!AP9+Data!AP10+Data!AP11+Data!AP12+Data!AP13+Data!AP14+Data!AP15+Data!AP16+Data!AP17+Data!AP18+Data!AP19)</f>
        <v>0.199315507785922</v>
      </c>
      <c r="D19" s="18" t="n">
        <f aca="false">(Data!D8+Data!E8+Data!G8+Data!H8+Data!I8+Data!J8+Data!K8+Data!L8+Data!M8+Data!D9+Data!E9+Data!G9+Data!H9+Data!I9+Data!J9+Data!K9+Data!L9+Data!M9+Data!D10+Data!E10+Data!G10+Data!H10+Data!I10+Data!J10+Data!K10+Data!L10+Data!M10+Data!D11+Data!E11+Data!G11+Data!H11+Data!I11+Data!J11+Data!K11+Data!L11+Data!M11+Data!D12+Data!E12+Data!G12+Data!H12+Data!I12+Data!J12+Data!K12+Data!L12+Data!M12+Data!D13+Data!E13+Data!G13+Data!H13+Data!I13+Data!J13+Data!K13+Data!L13+Data!M13+Data!D14+Data!E14+Data!G14+Data!H14+Data!I14+Data!J14+Data!K14+Data!L14+Data!M14+Data!D15+Data!E15+Data!G15+Data!H15+Data!I15+Data!J15+Data!K15+Data!L15+Data!M15+Data!D16+Data!E16+Data!G16+Data!H16+Data!I16+Data!J16+Data!K16+Data!L16+Data!M16+Data!D17+Data!E17+Data!G17+Data!H17+Data!I17+Data!J17+Data!K17+Data!L17+Data!M17+Data!D18+Data!E18+Data!G18+Data!H18+Data!I18+Data!J18+Data!K18+Data!L18+Data!M18+Data!D19+Data!E19+Data!G19+Data!H19+Data!I19+Data!J19+Data!K19+Data!L19+Data!M19)/(Data!AP8+Data!AP9+Data!AP10+Data!AP11+Data!AP12+Data!AP13+Data!AP14+Data!AP15+Data!AP16+Data!AP17+Data!AP18+Data!AP19)</f>
        <v>0.119300727906339</v>
      </c>
      <c r="E19" s="18" t="n">
        <f aca="false">(Data!D8+Data!D9+Data!D10+Data!D11+Data!D12+Data!D13+Data!D14+Data!D15+Data!D16+Data!D17+Data!D18+Data!D19)/(Data!AP8+Data!AP9+Data!AP10+Data!AP11+Data!AP12+Data!AP13+Data!AP14+Data!AP15+Data!AP16+Data!AP17+Data!AP18+Data!AP19)</f>
        <v>0.0337197923335008</v>
      </c>
      <c r="F19" s="18" t="n">
        <f aca="false">(Data!E8+Data!E9+Data!E10+Data!E11+Data!E12+Data!E13+Data!E14+Data!E15+Data!E16+Data!E17+Data!E18+Data!E19)/(Data!AP8+Data!AP9+Data!AP10+Data!AP11+Data!AP12+Data!AP13+Data!AP14+Data!AP15+Data!AP16+Data!AP17+Data!AP18+Data!AP19)</f>
        <v>0.0266917471821512</v>
      </c>
      <c r="G19" s="18" t="n">
        <f aca="false">(Data!K8+Data!K9+Data!K10+Data!K11+Data!K12+Data!K13+Data!K14+Data!K15+Data!K16+Data!K17+Data!K18+Data!K19)/(Data!AP8+Data!AP9+Data!AP10+Data!AP11+Data!AP12+Data!AP13+Data!AP14+Data!AP15+Data!AP16+Data!AP17+Data!AP18+Data!AP19)</f>
        <v>0.00867298260285701</v>
      </c>
      <c r="H19" s="18" t="n">
        <f aca="false">(Data!L8+Data!L9+Data!L10+Data!L11+Data!L12+Data!L13+Data!L14+Data!L15+Data!L16+Data!L17+Data!L18+Data!L19)/(Data!AP8+Data!AP9+Data!AP10+Data!AP11+Data!AP12+Data!AP13+Data!AP14+Data!AP15+Data!AP16+Data!AP17+Data!AP18+Data!AP19)</f>
        <v>0.00672098540899351</v>
      </c>
      <c r="I19" s="18" t="n">
        <f aca="false">(Data!G8+Data!G9+Data!G10+Data!G11+Data!G12+Data!G13+Data!G14+Data!G15+Data!G16+Data!G17+Data!G18+Data!G19)/(Data!AP8+Data!AP9+Data!AP10+Data!AP11+Data!AP12+Data!AP13+Data!AP14+Data!AP15+Data!AP16+Data!AP17+Data!AP18+Data!AP19)</f>
        <v>0.013356564259088</v>
      </c>
      <c r="J19" s="18" t="n">
        <f aca="false">(Data!H8+Data!I8+Data!J8+Data!M8+Data!H9+Data!I9+Data!J9+Data!M9+Data!H10+Data!I10+Data!J10+Data!M10+Data!H11+Data!I11+Data!J11+Data!M11+Data!H12+Data!I12+Data!J12+Data!M12+Data!H13+Data!I13+Data!J13+Data!M13+Data!H14+Data!I14+Data!J14+Data!M14+Data!H15+Data!I15+Data!J15+Data!M15+Data!H16+Data!I16+Data!J16+Data!M16+Data!H17+Data!I17+Data!J17+Data!M17+Data!H18+Data!I18+Data!J18+Data!M18+Data!H19+Data!I19+Data!J19+Data!M19)/(Data!AP8+Data!AP9+Data!AP10+Data!AP11+Data!AP12+Data!AP13+Data!AP14+Data!AP15+Data!AP16+Data!AP17+Data!AP18+Data!AP19)</f>
        <v>0.0301386561197482</v>
      </c>
      <c r="K19" s="18" t="n">
        <f aca="false">(Data!F8+Data!F9+Data!F10+Data!F11+Data!F12+Data!F13+Data!F14+Data!F15+Data!F16+Data!F17+Data!F18+Data!F19)/(Data!AP8+Data!AP9+Data!AP10+Data!AP11+Data!AP12+Data!AP13+Data!AP14+Data!AP15+Data!AP16+Data!AP17+Data!AP18+Data!AP19)</f>
        <v>0.068236870930326</v>
      </c>
      <c r="L19" s="18" t="n">
        <f aca="false">(Data!N8+Data!O8+Data!P8+Data!Q8+Data!R8+Data!S8+Data!N9+Data!O9+Data!P9+Data!Q9+Data!R9+Data!S9+Data!N10+Data!O10+Data!P10+Data!Q10+Data!R10+Data!S10+Data!N11+Data!O11+Data!P11+Data!Q11+Data!R11+Data!S11+Data!N12+Data!O12+Data!P12+Data!Q12+Data!R12+Data!S12+Data!N13+Data!O13+Data!P13+Data!Q13+Data!R13+Data!S13+Data!N14+Data!O14+Data!P14+Data!Q14+Data!R14+Data!S14+Data!N15+Data!O15+Data!P15+Data!Q15+Data!R15+Data!S15+Data!N16+Data!O16+Data!P16+Data!Q16+Data!R16+Data!S16+Data!N17+Data!O17+Data!P17+Data!Q17+Data!R17+Data!S17+Data!N18+Data!O18+Data!P18+Data!Q18+Data!R18+Data!S18+Data!N19+Data!O19+Data!P19+Data!Q19+Data!R19+Data!S19)/(Data!AP8+Data!AP9+Data!AP10+Data!AP11+Data!AP12+Data!AP13+Data!AP14+Data!AP15+Data!AP16+Data!AP17+Data!AP18+Data!AP19)</f>
        <v>0.0117779089492574</v>
      </c>
      <c r="M19" s="17" t="n">
        <f aca="false">(Data!T8+Data!U8+Data!V8+Data!W8+Data!X8+Data!Y8+Data!Z8+Data!AA8+Data!AB8+Data!AC8+Data!AD8+Data!AE8+Data!AF8+Data!AG8+Data!AH8+Data!AI8+Data!AJ8+Data!AK8+Data!AL8+Data!T9+Data!U9+Data!V9+Data!W9+Data!X9+Data!Y9+Data!Z9+Data!AA9+Data!AB9+Data!AC9+Data!AD9+Data!AE9+Data!AF9+Data!AG9+Data!AH9+Data!AI9+Data!AJ9+Data!AK9+Data!AL9+Data!T10+Data!U10+Data!V10+Data!W10+Data!X10+Data!Y10+Data!Z10+Data!AA10+Data!AB10+Data!AC10+Data!AD10+Data!AE10+Data!AF10+Data!AG10+Data!AH10+Data!AI10+Data!AJ10+Data!AK10+Data!AL10+Data!T11+Data!U11+Data!V11+Data!W11+Data!X11+Data!Y11+Data!Z11+Data!AA11+Data!AB11+Data!AC11+Data!AD11+Data!AE11+Data!AF11+Data!AG11+Data!AH11+Data!AI11+Data!AJ11+Data!AK11+Data!AL11+Data!T12+Data!U12+Data!V12+Data!W12+Data!X12+Data!Y12+Data!Z12+Data!AA12+Data!AB12+Data!AC12+Data!AD12+Data!AE12+Data!AF12+Data!AG12+Data!AH12+Data!AI12+Data!AJ12+Data!AK12+Data!AL12+Data!T13+Data!U13+Data!V13+Data!W13+Data!X13+Data!Y13+Data!Z13+Data!AA13+Data!AB13+Data!AC13+Data!AD13+Data!AE13+Data!AF13+Data!AG13+Data!AH13+Data!AI13+Data!AJ13+Data!AK13+Data!AL13+Data!T14+Data!U14+Data!V14+Data!W14+Data!X14+Data!Y14+Data!Z14+Data!AA14+Data!AB14+Data!AC14+Data!AD14+Data!AE14+Data!AF14+Data!AG14+Data!AH14+Data!AI14+Data!AJ14+Data!AK14+Data!AL14+Data!T15+Data!U15+Data!V15+Data!W15+Data!X15+Data!Y15+Data!Z15+Data!AA15+Data!AB15+Data!AC15+Data!AD15+Data!AE15+Data!AF15+Data!AG15+Data!AH15+Data!AI15+Data!AJ15+Data!AK15+Data!AL15+Data!T16+Data!U16+Data!V16+Data!W16+Data!X16+Data!Y16+Data!Z16+Data!AA16+Data!AB16+Data!AC16+Data!AD16+Data!AE16+Data!AF16+Data!AG16+Data!AH16+Data!AI16+Data!AJ16+Data!AK16+Data!AL16+Data!T17+Data!U17+Data!V17+Data!W17+Data!X17+Data!Y17+Data!Z17+Data!AA17+Data!AB17+Data!AC17+Data!AD17+Data!AE17+Data!AF17+Data!AG17+Data!AH17+Data!AI17+Data!AJ17+Data!AK17+Data!AL17+Data!T18+Data!U18+Data!V18+Data!W18+Data!X18+Data!Y18+Data!Z18+Data!AA18+Data!AB18+Data!AC18+Data!AD18+Data!AE18+Data!AF18+Data!AG18+Data!AH18+Data!AI18+Data!AJ18+Data!AK18+Data!AL18+Data!T19+Data!U19+Data!V19+Data!W19+Data!X19+Data!Y19+Data!Z19+Data!AA19+Data!AB19+Data!AC19+Data!AD19+Data!AE19+Data!AF19+Data!AG19+Data!AH19+Data!AI19+Data!AJ19+Data!AK19+Data!AL19)/(Data!AP8+Data!AP9+Data!AP10+Data!AP11+Data!AP12+Data!AP13+Data!AP14+Data!AP15+Data!AP16+Data!AP17+Data!AP18+Data!AP19)</f>
        <v>0.239783012198447</v>
      </c>
      <c r="N19" s="18" t="n">
        <f aca="false">(Data!T8+Data!U8+Data!V8+Data!W8+Data!T9+Data!U9+Data!V9+Data!W9+Data!T10+Data!U10+Data!V10+Data!W10+Data!T11+Data!U11+Data!V11+Data!W11+Data!T12+Data!U12+Data!V12+Data!W12+Data!T13+Data!U13+Data!V13+Data!W13+Data!T14+Data!U14+Data!V14+Data!W14+Data!T15+Data!U15+Data!V15+Data!W15+Data!T16+Data!U16+Data!V16+Data!W16+Data!T17+Data!U17+Data!V17+Data!W17+Data!T18+Data!U18+Data!V18+Data!W18+Data!T19+Data!U19+Data!V19+Data!W19)/(Data!AP8+Data!AP9+Data!AP10+Data!AP11+Data!AP12+Data!AP13+Data!AP14+Data!AP15+Data!AP16+Data!AP17+Data!AP18+Data!AP19)</f>
        <v>0.112854849020864</v>
      </c>
      <c r="O19" s="18" t="n">
        <f aca="false">(Data!T8+Data!T9+Data!T10+Data!T11+Data!T12+Data!T13+Data!T14+Data!T15+Data!T16+Data!T17+Data!T18+Data!T19)/(Data!AP8+Data!AP9+Data!AP10+Data!AP11+Data!AP12+Data!AP13+Data!AP14+Data!AP15+Data!AP16+Data!AP17+Data!AP18+Data!AP19)</f>
        <v>0.0798848288706328</v>
      </c>
      <c r="P19" s="18" t="n">
        <f aca="false">(Data!U8+Data!U9+Data!U10+Data!U11+Data!U12+Data!U13+Data!U14+Data!U15+Data!U16+Data!U17+Data!U18+Data!U19)/(Data!AP8+Data!AP9+Data!AP10+Data!AP11+Data!AP12+Data!AP13+Data!AP14+Data!AP15+Data!AP16+Data!AP17+Data!AP18+Data!AP19)</f>
        <v>0.0133805588695158</v>
      </c>
      <c r="Q19" s="18" t="n">
        <f aca="false">(Data!V8+Data!V9+Data!V10+Data!V11+Data!V12+Data!V13+Data!V14+Data!V15+Data!V16+Data!V17+Data!V18+Data!V19)/(Data!AP8+Data!AP9+Data!AP10+Data!AP11+Data!AP12+Data!AP13+Data!AP14+Data!AP15+Data!AP16+Data!AP17+Data!AP18+Data!AP19)</f>
        <v>0.00963834992437643</v>
      </c>
      <c r="R19" s="18" t="n">
        <f aca="false">(Data!W8+Data!W9+Data!W10+Data!W11+Data!W12+Data!W13+Data!W14+Data!W15+Data!W16+Data!W17+Data!W18+Data!W19)/(Data!AP8+Data!AP9+Data!AP10+Data!AP11+Data!AP12+Data!AP13+Data!AP14+Data!AP15+Data!AP16+Data!AP17+Data!AP18+Data!AP19)</f>
        <v>0.0099511113563391</v>
      </c>
      <c r="S19" s="18" t="n">
        <f aca="false">(Data!X8+Data!X9+Data!X10+Data!X11+Data!X12+Data!X13+Data!X14+Data!X15+Data!X16+Data!X17+Data!X18+Data!X19)/(Data!AP8+Data!AP9+Data!AP10+Data!AP11+Data!AP12+Data!AP13+Data!AP14+Data!AP15+Data!AP16+Data!AP17+Data!AP18+Data!AP19)</f>
        <v>0.00373615089993236</v>
      </c>
      <c r="T19" s="18" t="n">
        <f aca="false">(Data!Y8+Data!Z8+Data!AA8+Data!Y9+Data!Z9+Data!AA9+Data!Y10+Data!Z10+Data!AA10+Data!Y11+Data!Z11+Data!AA11+Data!Y12+Data!Z12+Data!AA12+Data!Y13+Data!Z13+Data!AA13+Data!Y14+Data!Z14+Data!AA14+Data!Y15+Data!Z15+Data!AA15+Data!Y16+Data!Z16+Data!AA16+Data!Y17+Data!Z17+Data!AA17+Data!Y18+Data!Z18+Data!AA18+Data!Y19+Data!Z19+Data!AA19)/(Data!AP8+Data!AP9+Data!AP10+Data!AP11+Data!AP12+Data!AP13+Data!AP14+Data!AP15+Data!AP16+Data!AP17+Data!AP18+Data!AP19)</f>
        <v>0.0345104266256176</v>
      </c>
      <c r="U19" s="18" t="n">
        <f aca="false">(Data!Y8+Data!Y9+Data!Y10+Data!Y11+Data!Y12+Data!Y13+Data!Y14+Data!Y15+Data!Y16+Data!Y17+Data!Y18+Data!Y19)/(Data!AP8+Data!AP9+Data!AP10+Data!AP11+Data!AP12+Data!AP13+Data!AP14+Data!AP15+Data!AP16+Data!AP17+Data!AP18+Data!AP19)</f>
        <v>0.0247477085966969</v>
      </c>
      <c r="V19" s="18" t="n">
        <f aca="false">(Data!Z8+Data!Z9+Data!Z10+Data!Z11+Data!Z12+Data!Z13+Data!Z14+Data!Z15+Data!Z16+Data!Z17+Data!Z18+Data!Z19)/(Data!AP8+Data!AP9+Data!AP10+Data!AP11+Data!AP12+Data!AP13+Data!AP14+Data!AP15+Data!AP16+Data!AP17+Data!AP18+Data!AP19)</f>
        <v>0.00954878588347257</v>
      </c>
      <c r="W19" s="18" t="n">
        <f aca="false">(Data!AB8+Data!AB9+Data!AB10+Data!AB11+Data!AB12+Data!AB13+Data!AB14+Data!AB15+Data!AB16+Data!AB17+Data!AB18+Data!AB19)/(Data!AP8+Data!AP9+Data!AP10+Data!AP11+Data!AP12+Data!AP13+Data!AP14+Data!AP15+Data!AP16+Data!AP17+Data!AP18+Data!AP19)</f>
        <v>0.0325276640649184</v>
      </c>
      <c r="X19" s="18" t="n">
        <f aca="false">(Data!AC8+Data!AC9+Data!AC10+Data!AC11+Data!AC12+Data!AC13+Data!AC14+Data!AC15+Data!AC16+Data!AC17+Data!AC18+Data!AC19)/(Data!AP8+Data!AP9+Data!AP10+Data!AP11+Data!AP12+Data!AP13+Data!AP14+Data!AP15+Data!AP16+Data!AP17+Data!AP18+Data!AP19)</f>
        <v>0.00984313560941389</v>
      </c>
      <c r="Y19" s="18" t="n">
        <f aca="false">(Data!AD8+Data!AE8+Data!AF8+Data!AG8+Data!AH8+Data!AD9+Data!AE9+Data!AF9+Data!AG9+Data!AH9+Data!AD10+Data!AE10+Data!AF10+Data!AG10+Data!AH10+Data!AD11+Data!AE11+Data!AF11+Data!AG11+Data!AH11+Data!AD12+Data!AE12+Data!AF12+Data!AG12+Data!AH12+Data!AD13+Data!AE13+Data!AF13+Data!AG13+Data!AH13+Data!AD14+Data!AE14+Data!AF14+Data!AG14+Data!AH14+Data!AD15+Data!AE15+Data!AF15+Data!AG15+Data!AH15+Data!AD16+Data!AE16+Data!AF16+Data!AG16+Data!AH16+Data!AD17+Data!AE17+Data!AF17+Data!AG17+Data!AH17+Data!AD18+Data!AE18+Data!AF18+Data!AG18+Data!AH18+Data!AD19+Data!AE19+Data!AF19+Data!AG19+Data!AH19)/(Data!AP8+Data!AP9+Data!AP10+Data!AP11+Data!AP12+Data!AP13+Data!AP14+Data!AP15+Data!AP16+Data!AP17+Data!AP18+Data!AP19)</f>
        <v>0.00913862058739695</v>
      </c>
      <c r="Z19" s="18" t="n">
        <f aca="false">(Data!AI8+Data!AI9+Data!AI10+Data!AI11+Data!AI12+Data!AI13+Data!AI14+Data!AI15+Data!AI16+Data!AI17+Data!AI18+Data!AI19)/(Data!AP8+Data!AP9+Data!AP10+Data!AP11+Data!AP12+Data!AP13+Data!AP14+Data!AP15+Data!AP16+Data!AP17+Data!AP18+Data!AP19)</f>
        <v>0.00759809532681059</v>
      </c>
      <c r="AA19" s="18" t="n">
        <f aca="false">(Data!AJ8+Data!AJ9+Data!AJ10+Data!AJ11+Data!AJ12+Data!AJ13+Data!AJ14+Data!AJ15+Data!AJ16+Data!AJ17+Data!AJ18+Data!AJ19)/(Data!AP8+Data!AP9+Data!AP10+Data!AP11+Data!AP12+Data!AP13+Data!AP14+Data!AP15+Data!AP16+Data!AP17+Data!AP18+Data!AP19)</f>
        <v>0.000967030314321348</v>
      </c>
      <c r="AB19" s="18" t="n">
        <f aca="false">(Data!AK8+Data!AK9+Data!AK10+Data!AK11+Data!AK12+Data!AK13+Data!AK14+Data!AK15+Data!AK16+Data!AK17+Data!AK18+Data!AK19)/(Data!AP8+Data!AP9+Data!AP10+Data!AP11+Data!AP12+Data!AP13+Data!AP14+Data!AP15+Data!AP16+Data!AP17+Data!AP18+Data!AP19)</f>
        <v>0.00673405178100866</v>
      </c>
      <c r="AC19" s="18" t="n">
        <f aca="false">(Data!AL8+Data!AL9+Data!AL10+Data!AL11+Data!AL12+Data!AL13+Data!AL14+Data!AL15+Data!AL16+Data!AL17+Data!AL18+Data!AL19)/(Data!AP8+Data!AP9+Data!AP10+Data!AP11+Data!AP12+Data!AP13+Data!AP14+Data!AP15+Data!AP16+Data!AP17+Data!AP18+Data!AP19)</f>
        <v>0.0218729879681635</v>
      </c>
      <c r="AD19" s="17" t="n">
        <f aca="false">(Data!AM8+Data!AM9+Data!AM10+Data!AM11+Data!AM12+Data!AM13+Data!AM14+Data!AM15+Data!AM16+Data!AM17+Data!AM18+Data!AM19)/(Data!AP8+Data!AP9+Data!AP10+Data!AP11+Data!AP12+Data!AP13+Data!AP14+Data!AP15+Data!AP16+Data!AP17+Data!AP18+Data!AP19)</f>
        <v>-0.0404675044125253</v>
      </c>
      <c r="AE19" s="18" t="n">
        <f aca="false">(Data!AN8+Data!AN9+Data!AN10+Data!AN11+Data!AN12+Data!AN13+Data!AN14+Data!AN15+Data!AN16+Data!AN17+Data!AN18+Data!AN19)/(Data!AP8+Data!AP9+Data!AP10+Data!AP11+Data!AP12+Data!AP13+Data!AP14+Data!AP15+Data!AP16+Data!AP17+Data!AP18+Data!AP19)</f>
        <v>0.0163286887517344</v>
      </c>
      <c r="AF19" s="17" t="n">
        <f aca="false">(Data!AO8+Data!AO9+Data!AO10+Data!AO11+Data!AO12+Data!AO13+Data!AO14+Data!AO15+Data!AO16+Data!AO17+Data!AO18+Data!AO19)/(Data!AP8+Data!AP9+Data!AP10+Data!AP11+Data!AP12+Data!AP13+Data!AP14+Data!AP15+Data!AP16+Data!AP17+Data!AP18+Data!AP19)</f>
        <v>-0.0567964307346599</v>
      </c>
    </row>
    <row r="20" customFormat="false" ht="15" hidden="false" customHeight="false" outlineLevel="0" collapsed="false">
      <c r="B20" s="14" t="str">
        <f aca="false">Data!B20</f>
        <v>2017-02</v>
      </c>
      <c r="C20" s="17" t="n">
        <f aca="false">(Data!D9+Data!E9+Data!F9+Data!G9+Data!H9+Data!I9+Data!J9+Data!K9+Data!L9+Data!M9+Data!N9+Data!O9+Data!P9+Data!Q9+Data!R9+Data!S9+Data!D10+Data!E10+Data!F10+Data!G10+Data!H10+Data!I10+Data!J10+Data!K10+Data!L10+Data!M10+Data!N10+Data!O10+Data!P10+Data!Q10+Data!R10+Data!S10+Data!D11+Data!E11+Data!F11+Data!G11+Data!H11+Data!I11+Data!J11+Data!K11+Data!L11+Data!M11+Data!N11+Data!O11+Data!P11+Data!Q11+Data!R11+Data!S11+Data!D12+Data!E12+Data!F12+Data!G12+Data!H12+Data!I12+Data!J12+Data!K12+Data!L12+Data!M12+Data!N12+Data!O12+Data!P12+Data!Q12+Data!R12+Data!S12+Data!D13+Data!E13+Data!F13+Data!G13+Data!H13+Data!I13+Data!J13+Data!K13+Data!L13+Data!M13+Data!N13+Data!O13+Data!P13+Data!Q13+Data!R13+Data!S13+Data!D14+Data!E14+Data!F14+Data!G14+Data!H14+Data!I14+Data!J14+Data!K14+Data!L14+Data!M14+Data!N14+Data!O14+Data!P14+Data!Q14+Data!R14+Data!S14+Data!D15+Data!E15+Data!F15+Data!G15+Data!H15+Data!I15+Data!J15+Data!K15+Data!L15+Data!M15+Data!N15+Data!O15+Data!P15+Data!Q15+Data!R15+Data!S15+Data!D16+Data!E16+Data!F16+Data!G16+Data!H16+Data!I16+Data!J16+Data!K16+Data!L16+Data!M16+Data!N16+Data!O16+Data!P16+Data!Q16+Data!R16+Data!S16+Data!D17+Data!E17+Data!F17+Data!G17+Data!H17+Data!I17+Data!J17+Data!K17+Data!L17+Data!M17+Data!N17+Data!O17+Data!P17+Data!Q17+Data!R17+Data!S17+Data!D18+Data!E18+Data!F18+Data!G18+Data!H18+Data!I18+Data!J18+Data!K18+Data!L18+Data!M18+Data!N18+Data!O18+Data!P18+Data!Q18+Data!R18+Data!S18+Data!D19+Data!E19+Data!F19+Data!G19+Data!H19+Data!I19+Data!J19+Data!K19+Data!L19+Data!M19+Data!N19+Data!O19+Data!P19+Data!Q19+Data!R19+Data!S19+Data!D20+Data!E20+Data!F20+Data!G20+Data!H20+Data!I20+Data!J20+Data!K20+Data!L20+Data!M20+Data!N20+Data!O20+Data!P20+Data!Q20+Data!R20+Data!S20)/(Data!AP9+Data!AP10+Data!AP11+Data!AP12+Data!AP13+Data!AP14+Data!AP15+Data!AP16+Data!AP17+Data!AP18+Data!AP19+Data!AP20)</f>
        <v>0.19918543712205</v>
      </c>
      <c r="D20" s="18" t="n">
        <f aca="false">(Data!D9+Data!E9+Data!G9+Data!H9+Data!I9+Data!J9+Data!K9+Data!L9+Data!M9+Data!D10+Data!E10+Data!G10+Data!H10+Data!I10+Data!J10+Data!K10+Data!L10+Data!M10+Data!D11+Data!E11+Data!G11+Data!H11+Data!I11+Data!J11+Data!K11+Data!L11+Data!M11+Data!D12+Data!E12+Data!G12+Data!H12+Data!I12+Data!J12+Data!K12+Data!L12+Data!M12+Data!D13+Data!E13+Data!G13+Data!H13+Data!I13+Data!J13+Data!K13+Data!L13+Data!M13+Data!D14+Data!E14+Data!G14+Data!H14+Data!I14+Data!J14+Data!K14+Data!L14+Data!M14+Data!D15+Data!E15+Data!G15+Data!H15+Data!I15+Data!J15+Data!K15+Data!L15+Data!M15+Data!D16+Data!E16+Data!G16+Data!H16+Data!I16+Data!J16+Data!K16+Data!L16+Data!M16+Data!D17+Data!E17+Data!G17+Data!H17+Data!I17+Data!J17+Data!K17+Data!L17+Data!M17+Data!D18+Data!E18+Data!G18+Data!H18+Data!I18+Data!J18+Data!K18+Data!L18+Data!M18+Data!D19+Data!E19+Data!G19+Data!H19+Data!I19+Data!J19+Data!K19+Data!L19+Data!M19+Data!D20+Data!E20+Data!G20+Data!H20+Data!I20+Data!J20+Data!K20+Data!L20+Data!M20)/(Data!AP9+Data!AP10+Data!AP11+Data!AP12+Data!AP13+Data!AP14+Data!AP15+Data!AP16+Data!AP17+Data!AP18+Data!AP19+Data!AP20)</f>
        <v>0.118081831905174</v>
      </c>
      <c r="E20" s="18" t="n">
        <f aca="false">(Data!D9+Data!D10+Data!D11+Data!D12+Data!D13+Data!D14+Data!D15+Data!D16+Data!D17+Data!D18+Data!D19+Data!D20)/(Data!AP9+Data!AP10+Data!AP11+Data!AP12+Data!AP13+Data!AP14+Data!AP15+Data!AP16+Data!AP17+Data!AP18+Data!AP19+Data!AP20)</f>
        <v>0.0334536404824474</v>
      </c>
      <c r="F20" s="18" t="n">
        <f aca="false">(Data!E9+Data!E10+Data!E11+Data!E12+Data!E13+Data!E14+Data!E15+Data!E16+Data!E17+Data!E18+Data!E19+Data!E20)/(Data!AP9+Data!AP10+Data!AP11+Data!AP12+Data!AP13+Data!AP14+Data!AP15+Data!AP16+Data!AP17+Data!AP18+Data!AP19+Data!AP20)</f>
        <v>0.0263313612373239</v>
      </c>
      <c r="G20" s="18" t="n">
        <f aca="false">(Data!K9+Data!K10+Data!K11+Data!K12+Data!K13+Data!K14+Data!K15+Data!K16+Data!K17+Data!K18+Data!K19+Data!K20)/(Data!AP9+Data!AP10+Data!AP11+Data!AP12+Data!AP13+Data!AP14+Data!AP15+Data!AP16+Data!AP17+Data!AP18+Data!AP19+Data!AP20)</f>
        <v>0.00820714281133676</v>
      </c>
      <c r="H20" s="18" t="n">
        <f aca="false">(Data!L9+Data!L10+Data!L11+Data!L12+Data!L13+Data!L14+Data!L15+Data!L16+Data!L17+Data!L18+Data!L19+Data!L20)/(Data!AP9+Data!AP10+Data!AP11+Data!AP12+Data!AP13+Data!AP14+Data!AP15+Data!AP16+Data!AP17+Data!AP18+Data!AP19+Data!AP20)</f>
        <v>0.00663470664385237</v>
      </c>
      <c r="I20" s="18" t="n">
        <f aca="false">(Data!G9+Data!G10+Data!G11+Data!G12+Data!G13+Data!G14+Data!G15+Data!G16+Data!G17+Data!G18+Data!G19+Data!G20)/(Data!AP9+Data!AP10+Data!AP11+Data!AP12+Data!AP13+Data!AP14+Data!AP15+Data!AP16+Data!AP17+Data!AP18+Data!AP19+Data!AP20)</f>
        <v>0.0133346166796745</v>
      </c>
      <c r="J20" s="18" t="n">
        <f aca="false">(Data!H9+Data!I9+Data!J9+Data!M9+Data!H10+Data!I10+Data!J10+Data!M10+Data!H11+Data!I11+Data!J11+Data!M11+Data!H12+Data!I12+Data!J12+Data!M12+Data!H13+Data!I13+Data!J13+Data!M13+Data!H14+Data!I14+Data!J14+Data!M14+Data!H15+Data!I15+Data!J15+Data!M15+Data!H16+Data!I16+Data!J16+Data!M16+Data!H17+Data!I17+Data!J17+Data!M17+Data!H18+Data!I18+Data!J18+Data!M18+Data!H19+Data!I19+Data!J19+Data!M19+Data!H20+Data!I20+Data!J20+Data!M20)/(Data!AP9+Data!AP10+Data!AP11+Data!AP12+Data!AP13+Data!AP14+Data!AP15+Data!AP16+Data!AP17+Data!AP18+Data!AP19+Data!AP20)</f>
        <v>0.0301203640505393</v>
      </c>
      <c r="K20" s="18" t="n">
        <f aca="false">(Data!F9+Data!F10+Data!F11+Data!F12+Data!F13+Data!F14+Data!F15+Data!F16+Data!F17+Data!F18+Data!F19+Data!F20)/(Data!AP9+Data!AP10+Data!AP11+Data!AP12+Data!AP13+Data!AP14+Data!AP15+Data!AP16+Data!AP17+Data!AP18+Data!AP19+Data!AP20)</f>
        <v>0.0684789035428181</v>
      </c>
      <c r="L20" s="18" t="n">
        <f aca="false">(Data!N9+Data!O9+Data!P9+Data!Q9+Data!R9+Data!S9+Data!N10+Data!O10+Data!P10+Data!Q10+Data!R10+Data!S10+Data!N11+Data!O11+Data!P11+Data!Q11+Data!R11+Data!S11+Data!N12+Data!O12+Data!P12+Data!Q12+Data!R12+Data!S12+Data!N13+Data!O13+Data!P13+Data!Q13+Data!R13+Data!S13+Data!N14+Data!O14+Data!P14+Data!Q14+Data!R14+Data!S14+Data!N15+Data!O15+Data!P15+Data!Q15+Data!R15+Data!S15+Data!N16+Data!O16+Data!P16+Data!Q16+Data!R16+Data!S16+Data!N17+Data!O17+Data!P17+Data!Q17+Data!R17+Data!S17+Data!N18+Data!O18+Data!P18+Data!Q18+Data!R18+Data!S18+Data!N19+Data!O19+Data!P19+Data!Q19+Data!R19+Data!S19+Data!N20+Data!O20+Data!P20+Data!Q20+Data!R20+Data!S20)/(Data!AP9+Data!AP10+Data!AP11+Data!AP12+Data!AP13+Data!AP14+Data!AP15+Data!AP16+Data!AP17+Data!AP18+Data!AP19+Data!AP20)</f>
        <v>0.0126247016740573</v>
      </c>
      <c r="M20" s="17" t="n">
        <f aca="false">(Data!T9+Data!U9+Data!V9+Data!W9+Data!X9+Data!Y9+Data!Z9+Data!AA9+Data!AB9+Data!AC9+Data!AD9+Data!AE9+Data!AF9+Data!AG9+Data!AH9+Data!AI9+Data!AJ9+Data!AK9+Data!AL9+Data!T10+Data!U10+Data!V10+Data!W10+Data!X10+Data!Y10+Data!Z10+Data!AA10+Data!AB10+Data!AC10+Data!AD10+Data!AE10+Data!AF10+Data!AG10+Data!AH10+Data!AI10+Data!AJ10+Data!AK10+Data!AL10+Data!T11+Data!U11+Data!V11+Data!W11+Data!X11+Data!Y11+Data!Z11+Data!AA11+Data!AB11+Data!AC11+Data!AD11+Data!AE11+Data!AF11+Data!AG11+Data!AH11+Data!AI11+Data!AJ11+Data!AK11+Data!AL11+Data!T12+Data!U12+Data!V12+Data!W12+Data!X12+Data!Y12+Data!Z12+Data!AA12+Data!AB12+Data!AC12+Data!AD12+Data!AE12+Data!AF12+Data!AG12+Data!AH12+Data!AI12+Data!AJ12+Data!AK12+Data!AL12+Data!T13+Data!U13+Data!V13+Data!W13+Data!X13+Data!Y13+Data!Z13+Data!AA13+Data!AB13+Data!AC13+Data!AD13+Data!AE13+Data!AF13+Data!AG13+Data!AH13+Data!AI13+Data!AJ13+Data!AK13+Data!AL13+Data!T14+Data!U14+Data!V14+Data!W14+Data!X14+Data!Y14+Data!Z14+Data!AA14+Data!AB14+Data!AC14+Data!AD14+Data!AE14+Data!AF14+Data!AG14+Data!AH14+Data!AI14+Data!AJ14+Data!AK14+Data!AL14+Data!T15+Data!U15+Data!V15+Data!W15+Data!X15+Data!Y15+Data!Z15+Data!AA15+Data!AB15+Data!AC15+Data!AD15+Data!AE15+Data!AF15+Data!AG15+Data!AH15+Data!AI15+Data!AJ15+Data!AK15+Data!AL15+Data!T16+Data!U16+Data!V16+Data!W16+Data!X16+Data!Y16+Data!Z16+Data!AA16+Data!AB16+Data!AC16+Data!AD16+Data!AE16+Data!AF16+Data!AG16+Data!AH16+Data!AI16+Data!AJ16+Data!AK16+Data!AL16+Data!T17+Data!U17+Data!V17+Data!W17+Data!X17+Data!Y17+Data!Z17+Data!AA17+Data!AB17+Data!AC17+Data!AD17+Data!AE17+Data!AF17+Data!AG17+Data!AH17+Data!AI17+Data!AJ17+Data!AK17+Data!AL17+Data!T18+Data!U18+Data!V18+Data!W18+Data!X18+Data!Y18+Data!Z18+Data!AA18+Data!AB18+Data!AC18+Data!AD18+Data!AE18+Data!AF18+Data!AG18+Data!AH18+Data!AI18+Data!AJ18+Data!AK18+Data!AL18+Data!T19+Data!U19+Data!V19+Data!W19+Data!X19+Data!Y19+Data!Z19+Data!AA19+Data!AB19+Data!AC19+Data!AD19+Data!AE19+Data!AF19+Data!AG19+Data!AH19+Data!AI19+Data!AJ19+Data!AK19+Data!AL19+Data!T20+Data!U20+Data!V20+Data!W20+Data!X20+Data!Y20+Data!Z20+Data!AA20+Data!AB20+Data!AC20+Data!AD20+Data!AE20+Data!AF20+Data!AG20+Data!AH20+Data!AI20+Data!AJ20+Data!AK20+Data!AL20)/(Data!AP9+Data!AP10+Data!AP11+Data!AP12+Data!AP13+Data!AP14+Data!AP15+Data!AP16+Data!AP17+Data!AP18+Data!AP19+Data!AP20)</f>
        <v>0.239955920981808</v>
      </c>
      <c r="N20" s="18" t="n">
        <f aca="false">(Data!T9+Data!U9+Data!V9+Data!W9+Data!T10+Data!U10+Data!V10+Data!W10+Data!T11+Data!U11+Data!V11+Data!W11+Data!T12+Data!U12+Data!V12+Data!W12+Data!T13+Data!U13+Data!V13+Data!W13+Data!T14+Data!U14+Data!V14+Data!W14+Data!T15+Data!U15+Data!V15+Data!W15+Data!T16+Data!U16+Data!V16+Data!W16+Data!T17+Data!U17+Data!V17+Data!W17+Data!T18+Data!U18+Data!V18+Data!W18+Data!T19+Data!U19+Data!V19+Data!W19+Data!T20+Data!U20+Data!V20+Data!W20)/(Data!AP9+Data!AP10+Data!AP11+Data!AP12+Data!AP13+Data!AP14+Data!AP15+Data!AP16+Data!AP17+Data!AP18+Data!AP19+Data!AP20)</f>
        <v>0.113676941794191</v>
      </c>
      <c r="O20" s="18" t="n">
        <f aca="false">(Data!T9+Data!T10+Data!T11+Data!T12+Data!T13+Data!T14+Data!T15+Data!T16+Data!T17+Data!T18+Data!T19+Data!T20)/(Data!AP9+Data!AP10+Data!AP11+Data!AP12+Data!AP13+Data!AP14+Data!AP15+Data!AP16+Data!AP17+Data!AP18+Data!AP19+Data!AP20)</f>
        <v>0.0804916696398332</v>
      </c>
      <c r="P20" s="18" t="n">
        <f aca="false">(Data!U9+Data!U10+Data!U11+Data!U12+Data!U13+Data!U14+Data!U15+Data!U16+Data!U17+Data!U18+Data!U19+Data!U20)/(Data!AP9+Data!AP10+Data!AP11+Data!AP12+Data!AP13+Data!AP14+Data!AP15+Data!AP16+Data!AP17+Data!AP18+Data!AP19+Data!AP20)</f>
        <v>0.0135373167074735</v>
      </c>
      <c r="Q20" s="18" t="n">
        <f aca="false">(Data!V9+Data!V10+Data!V11+Data!V12+Data!V13+Data!V14+Data!V15+Data!V16+Data!V17+Data!V18+Data!V19+Data!V20)/(Data!AP9+Data!AP10+Data!AP11+Data!AP12+Data!AP13+Data!AP14+Data!AP15+Data!AP16+Data!AP17+Data!AP18+Data!AP19+Data!AP20)</f>
        <v>0.0097277417010698</v>
      </c>
      <c r="R20" s="18" t="n">
        <f aca="false">(Data!W9+Data!W10+Data!W11+Data!W12+Data!W13+Data!W14+Data!W15+Data!W16+Data!W17+Data!W18+Data!W19+Data!W20)/(Data!AP9+Data!AP10+Data!AP11+Data!AP12+Data!AP13+Data!AP14+Data!AP15+Data!AP16+Data!AP17+Data!AP18+Data!AP19+Data!AP20)</f>
        <v>0.00992021374581473</v>
      </c>
      <c r="S20" s="18" t="n">
        <f aca="false">(Data!X9+Data!X10+Data!X11+Data!X12+Data!X13+Data!X14+Data!X15+Data!X16+Data!X17+Data!X18+Data!X19+Data!X20)/(Data!AP9+Data!AP10+Data!AP11+Data!AP12+Data!AP13+Data!AP14+Data!AP15+Data!AP16+Data!AP17+Data!AP18+Data!AP19+Data!AP20)</f>
        <v>0.00361873014078102</v>
      </c>
      <c r="T20" s="18" t="n">
        <f aca="false">(Data!Y9+Data!Z9+Data!AA9+Data!Y10+Data!Z10+Data!AA10+Data!Y11+Data!Z11+Data!AA11+Data!Y12+Data!Z12+Data!AA12+Data!Y13+Data!Z13+Data!AA13+Data!Y14+Data!Z14+Data!AA14+Data!Y15+Data!Z15+Data!AA15+Data!Y16+Data!Z16+Data!AA16+Data!Y17+Data!Z17+Data!AA17+Data!Y18+Data!Z18+Data!AA18+Data!Y19+Data!Z19+Data!AA19+Data!Y20+Data!Z20+Data!AA20)/(Data!AP9+Data!AP10+Data!AP11+Data!AP12+Data!AP13+Data!AP14+Data!AP15+Data!AP16+Data!AP17+Data!AP18+Data!AP19+Data!AP20)</f>
        <v>0.0341103234853513</v>
      </c>
      <c r="U20" s="18" t="n">
        <f aca="false">(Data!Y9+Data!Y10+Data!Y11+Data!Y12+Data!Y13+Data!Y14+Data!Y15+Data!Y16+Data!Y17+Data!Y18+Data!Y19+Data!Y20)/(Data!AP9+Data!AP10+Data!AP11+Data!AP12+Data!AP13+Data!AP14+Data!AP15+Data!AP16+Data!AP17+Data!AP18+Data!AP19+Data!AP20)</f>
        <v>0.0241700024546689</v>
      </c>
      <c r="V20" s="18" t="n">
        <f aca="false">(Data!Z9+Data!Z10+Data!Z11+Data!Z12+Data!Z13+Data!Z14+Data!Z15+Data!Z16+Data!Z17+Data!Z18+Data!Z19+Data!Z20)/(Data!AP9+Data!AP10+Data!AP11+Data!AP12+Data!AP13+Data!AP14+Data!AP15+Data!AP16+Data!AP17+Data!AP18+Data!AP19+Data!AP20)</f>
        <v>0.00967137156719221</v>
      </c>
      <c r="W20" s="18" t="n">
        <f aca="false">(Data!AB9+Data!AB10+Data!AB11+Data!AB12+Data!AB13+Data!AB14+Data!AB15+Data!AB16+Data!AB17+Data!AB18+Data!AB19+Data!AB20)/(Data!AP9+Data!AP10+Data!AP11+Data!AP12+Data!AP13+Data!AP14+Data!AP15+Data!AP16+Data!AP17+Data!AP18+Data!AP19+Data!AP20)</f>
        <v>0.0324757058299813</v>
      </c>
      <c r="X20" s="18" t="n">
        <f aca="false">(Data!AC9+Data!AC10+Data!AC11+Data!AC12+Data!AC13+Data!AC14+Data!AC15+Data!AC16+Data!AC17+Data!AC18+Data!AC19+Data!AC20)/(Data!AP9+Data!AP10+Data!AP11+Data!AP12+Data!AP13+Data!AP14+Data!AP15+Data!AP16+Data!AP17+Data!AP18+Data!AP19+Data!AP20)</f>
        <v>0.00963348153906005</v>
      </c>
      <c r="Y20" s="18" t="n">
        <f aca="false">(Data!AD9+Data!AE9+Data!AF9+Data!AG9+Data!AH9+Data!AD10+Data!AE10+Data!AF10+Data!AG10+Data!AH10+Data!AD11+Data!AE11+Data!AF11+Data!AG11+Data!AH11+Data!AD12+Data!AE12+Data!AF12+Data!AG12+Data!AH12+Data!AD13+Data!AE13+Data!AF13+Data!AG13+Data!AH13+Data!AD14+Data!AE14+Data!AF14+Data!AG14+Data!AH14+Data!AD15+Data!AE15+Data!AF15+Data!AG15+Data!AH15+Data!AD16+Data!AE16+Data!AF16+Data!AG16+Data!AH16+Data!AD17+Data!AE17+Data!AF17+Data!AG17+Data!AH17+Data!AD18+Data!AE18+Data!AF18+Data!AG18+Data!AH18+Data!AD19+Data!AE19+Data!AF19+Data!AG19+Data!AH19+Data!AD20+Data!AE20+Data!AF20+Data!AG20+Data!AH20)/(Data!AP9+Data!AP10+Data!AP11+Data!AP12+Data!AP13+Data!AP14+Data!AP15+Data!AP16+Data!AP17+Data!AP18+Data!AP19+Data!AP20)</f>
        <v>0.00943775513607064</v>
      </c>
      <c r="Z20" s="18" t="n">
        <f aca="false">(Data!AI9+Data!AI10+Data!AI11+Data!AI12+Data!AI13+Data!AI14+Data!AI15+Data!AI16+Data!AI17+Data!AI18+Data!AI19+Data!AI20)/(Data!AP9+Data!AP10+Data!AP11+Data!AP12+Data!AP13+Data!AP14+Data!AP15+Data!AP16+Data!AP17+Data!AP18+Data!AP19+Data!AP20)</f>
        <v>0.00773340123260468</v>
      </c>
      <c r="AA20" s="18" t="n">
        <f aca="false">(Data!AJ9+Data!AJ10+Data!AJ11+Data!AJ12+Data!AJ13+Data!AJ14+Data!AJ15+Data!AJ16+Data!AJ17+Data!AJ18+Data!AJ19+Data!AJ20)/(Data!AP9+Data!AP10+Data!AP11+Data!AP12+Data!AP13+Data!AP14+Data!AP15+Data!AP16+Data!AP17+Data!AP18+Data!AP19+Data!AP20)</f>
        <v>0.000721653940713324</v>
      </c>
      <c r="AB20" s="18" t="n">
        <f aca="false">(Data!AK9+Data!AK10+Data!AK11+Data!AK12+Data!AK13+Data!AK14+Data!AK15+Data!AK16+Data!AK17+Data!AK18+Data!AK19+Data!AK20)/(Data!AP9+Data!AP10+Data!AP11+Data!AP12+Data!AP13+Data!AP14+Data!AP15+Data!AP16+Data!AP17+Data!AP18+Data!AP19+Data!AP20)</f>
        <v>0.00642212731423977</v>
      </c>
      <c r="AC20" s="18" t="n">
        <f aca="false">(Data!AL9+Data!AL10+Data!AL11+Data!AL12+Data!AL13+Data!AL14+Data!AL15+Data!AL16+Data!AL17+Data!AL18+Data!AL19+Data!AL20)/(Data!AP9+Data!AP10+Data!AP11+Data!AP12+Data!AP13+Data!AP14+Data!AP15+Data!AP16+Data!AP17+Data!AP18+Data!AP19+Data!AP20)</f>
        <v>0.0221258005688152</v>
      </c>
      <c r="AD20" s="17" t="n">
        <f aca="false">(Data!AM9+Data!AM10+Data!AM11+Data!AM12+Data!AM13+Data!AM14+Data!AM15+Data!AM16+Data!AM17+Data!AM18+Data!AM19+Data!AM20)/(Data!AP9+Data!AP10+Data!AP11+Data!AP12+Data!AP13+Data!AP14+Data!AP15+Data!AP16+Data!AP17+Data!AP18+Data!AP19+Data!AP20)</f>
        <v>-0.0407704838597587</v>
      </c>
      <c r="AE20" s="18" t="n">
        <f aca="false">(Data!AN9+Data!AN10+Data!AN11+Data!AN12+Data!AN13+Data!AN14+Data!AN15+Data!AN16+Data!AN17+Data!AN18+Data!AN19+Data!AN20)/(Data!AP9+Data!AP10+Data!AP11+Data!AP12+Data!AP13+Data!AP14+Data!AP15+Data!AP16+Data!AP17+Data!AP18+Data!AP19+Data!AP20)</f>
        <v>0.0159025377887291</v>
      </c>
      <c r="AF20" s="17" t="n">
        <f aca="false">(Data!AO9+Data!AO10+Data!AO11+Data!AO12+Data!AO13+Data!AO14+Data!AO15+Data!AO16+Data!AO17+Data!AO18+Data!AO19+Data!AO20)/(Data!AP9+Data!AP10+Data!AP11+Data!AP12+Data!AP13+Data!AP14+Data!AP15+Data!AP16+Data!AP17+Data!AP18+Data!AP19+Data!AP20)</f>
        <v>-0.056673137875568</v>
      </c>
    </row>
    <row r="21" customFormat="false" ht="15" hidden="false" customHeight="false" outlineLevel="0" collapsed="false">
      <c r="B21" s="14" t="str">
        <f aca="false">Data!B21</f>
        <v>2017-03</v>
      </c>
      <c r="C21" s="17" t="n">
        <f aca="false">(Data!D10+Data!E10+Data!F10+Data!G10+Data!H10+Data!I10+Data!J10+Data!K10+Data!L10+Data!M10+Data!N10+Data!O10+Data!P10+Data!Q10+Data!R10+Data!S10+Data!D11+Data!E11+Data!F11+Data!G11+Data!H11+Data!I11+Data!J11+Data!K11+Data!L11+Data!M11+Data!N11+Data!O11+Data!P11+Data!Q11+Data!R11+Data!S11+Data!D12+Data!E12+Data!F12+Data!G12+Data!H12+Data!I12+Data!J12+Data!K12+Data!L12+Data!M12+Data!N12+Data!O12+Data!P12+Data!Q12+Data!R12+Data!S12+Data!D13+Data!E13+Data!F13+Data!G13+Data!H13+Data!I13+Data!J13+Data!K13+Data!L13+Data!M13+Data!N13+Data!O13+Data!P13+Data!Q13+Data!R13+Data!S13+Data!D14+Data!E14+Data!F14+Data!G14+Data!H14+Data!I14+Data!J14+Data!K14+Data!L14+Data!M14+Data!N14+Data!O14+Data!P14+Data!Q14+Data!R14+Data!S14+Data!D15+Data!E15+Data!F15+Data!G15+Data!H15+Data!I15+Data!J15+Data!K15+Data!L15+Data!M15+Data!N15+Data!O15+Data!P15+Data!Q15+Data!R15+Data!S15+Data!D16+Data!E16+Data!F16+Data!G16+Data!H16+Data!I16+Data!J16+Data!K16+Data!L16+Data!M16+Data!N16+Data!O16+Data!P16+Data!Q16+Data!R16+Data!S16+Data!D17+Data!E17+Data!F17+Data!G17+Data!H17+Data!I17+Data!J17+Data!K17+Data!L17+Data!M17+Data!N17+Data!O17+Data!P17+Data!Q17+Data!R17+Data!S17+Data!D18+Data!E18+Data!F18+Data!G18+Data!H18+Data!I18+Data!J18+Data!K18+Data!L18+Data!M18+Data!N18+Data!O18+Data!P18+Data!Q18+Data!R18+Data!S18+Data!D19+Data!E19+Data!F19+Data!G19+Data!H19+Data!I19+Data!J19+Data!K19+Data!L19+Data!M19+Data!N19+Data!O19+Data!P19+Data!Q19+Data!R19+Data!S19+Data!D20+Data!E20+Data!F20+Data!G20+Data!H20+Data!I20+Data!J20+Data!K20+Data!L20+Data!M20+Data!N20+Data!O20+Data!P20+Data!Q20+Data!R20+Data!S20+Data!D21+Data!E21+Data!F21+Data!G21+Data!H21+Data!I21+Data!J21+Data!K21+Data!L21+Data!M21+Data!N21+Data!O21+Data!P21+Data!Q21+Data!R21+Data!S21)/(Data!AP10+Data!AP11+Data!AP12+Data!AP13+Data!AP14+Data!AP15+Data!AP16+Data!AP17+Data!AP18+Data!AP19+Data!AP20+Data!AP21)</f>
        <v>0.200970266106412</v>
      </c>
      <c r="D21" s="18" t="n">
        <f aca="false">(Data!D10+Data!E10+Data!G10+Data!H10+Data!I10+Data!J10+Data!K10+Data!L10+Data!M10+Data!D11+Data!E11+Data!G11+Data!H11+Data!I11+Data!J11+Data!K11+Data!L11+Data!M11+Data!D12+Data!E12+Data!G12+Data!H12+Data!I12+Data!J12+Data!K12+Data!L12+Data!M12+Data!D13+Data!E13+Data!G13+Data!H13+Data!I13+Data!J13+Data!K13+Data!L13+Data!M13+Data!D14+Data!E14+Data!G14+Data!H14+Data!I14+Data!J14+Data!K14+Data!L14+Data!M14+Data!D15+Data!E15+Data!G15+Data!H15+Data!I15+Data!J15+Data!K15+Data!L15+Data!M15+Data!D16+Data!E16+Data!G16+Data!H16+Data!I16+Data!J16+Data!K16+Data!L16+Data!M16+Data!D17+Data!E17+Data!G17+Data!H17+Data!I17+Data!J17+Data!K17+Data!L17+Data!M17+Data!D18+Data!E18+Data!G18+Data!H18+Data!I18+Data!J18+Data!K18+Data!L18+Data!M18+Data!D19+Data!E19+Data!G19+Data!H19+Data!I19+Data!J19+Data!K19+Data!L19+Data!M19+Data!D20+Data!E20+Data!G20+Data!H20+Data!I20+Data!J20+Data!K20+Data!L20+Data!M20+Data!D21+Data!E21+Data!G21+Data!H21+Data!I21+Data!J21+Data!K21+Data!L21+Data!M21)/(Data!AP10+Data!AP11+Data!AP12+Data!AP13+Data!AP14+Data!AP15+Data!AP16+Data!AP17+Data!AP18+Data!AP19+Data!AP20+Data!AP21)</f>
        <v>0.11931258434058</v>
      </c>
      <c r="E21" s="18" t="n">
        <f aca="false">(Data!D10+Data!D11+Data!D12+Data!D13+Data!D14+Data!D15+Data!D16+Data!D17+Data!D18+Data!D19+Data!D20+Data!D21)/(Data!AP10+Data!AP11+Data!AP12+Data!AP13+Data!AP14+Data!AP15+Data!AP16+Data!AP17+Data!AP18+Data!AP19+Data!AP20+Data!AP21)</f>
        <v>0.0329737461664919</v>
      </c>
      <c r="F21" s="18" t="n">
        <f aca="false">(Data!E10+Data!E11+Data!E12+Data!E13+Data!E14+Data!E15+Data!E16+Data!E17+Data!E18+Data!E19+Data!E20+Data!E21)/(Data!AP10+Data!AP11+Data!AP12+Data!AP13+Data!AP14+Data!AP15+Data!AP16+Data!AP17+Data!AP18+Data!AP19+Data!AP20+Data!AP21)</f>
        <v>0.0261956747815253</v>
      </c>
      <c r="G21" s="18" t="n">
        <f aca="false">(Data!K10+Data!K11+Data!K12+Data!K13+Data!K14+Data!K15+Data!K16+Data!K17+Data!K18+Data!K19+Data!K20+Data!K21)/(Data!AP10+Data!AP11+Data!AP12+Data!AP13+Data!AP14+Data!AP15+Data!AP16+Data!AP17+Data!AP18+Data!AP19+Data!AP20+Data!AP21)</f>
        <v>0.0079367520567658</v>
      </c>
      <c r="H21" s="18" t="n">
        <f aca="false">(Data!L10+Data!L11+Data!L12+Data!L13+Data!L14+Data!L15+Data!L16+Data!L17+Data!L18+Data!L19+Data!L20+Data!L21)/(Data!AP10+Data!AP11+Data!AP12+Data!AP13+Data!AP14+Data!AP15+Data!AP16+Data!AP17+Data!AP18+Data!AP19+Data!AP20+Data!AP21)</f>
        <v>0.00656627443670825</v>
      </c>
      <c r="I21" s="18" t="n">
        <f aca="false">(Data!G10+Data!G11+Data!G12+Data!G13+Data!G14+Data!G15+Data!G16+Data!G17+Data!G18+Data!G19+Data!G20+Data!G21)/(Data!AP10+Data!AP11+Data!AP12+Data!AP13+Data!AP14+Data!AP15+Data!AP16+Data!AP17+Data!AP18+Data!AP19+Data!AP20+Data!AP21)</f>
        <v>0.0134042089032352</v>
      </c>
      <c r="J21" s="18" t="n">
        <f aca="false">(Data!H10+Data!I10+Data!J10+Data!M10+Data!H11+Data!I11+Data!J11+Data!M11+Data!H12+Data!I12+Data!J12+Data!M12+Data!H13+Data!I13+Data!J13+Data!M13+Data!H14+Data!I14+Data!J14+Data!M14+Data!H15+Data!I15+Data!J15+Data!M15+Data!H16+Data!I16+Data!J16+Data!M16+Data!H17+Data!I17+Data!J17+Data!M17+Data!H18+Data!I18+Data!J18+Data!M18+Data!H19+Data!I19+Data!J19+Data!M19+Data!H20+Data!I20+Data!J20+Data!M20+Data!H21+Data!I21+Data!J21+Data!M21)/(Data!AP10+Data!AP11+Data!AP12+Data!AP13+Data!AP14+Data!AP15+Data!AP16+Data!AP17+Data!AP18+Data!AP19+Data!AP20+Data!AP21)</f>
        <v>0.0322359279958531</v>
      </c>
      <c r="K21" s="18" t="n">
        <f aca="false">(Data!F10+Data!F11+Data!F12+Data!F13+Data!F14+Data!F15+Data!F16+Data!F17+Data!F18+Data!F19+Data!F20+Data!F21)/(Data!AP10+Data!AP11+Data!AP12+Data!AP13+Data!AP14+Data!AP15+Data!AP16+Data!AP17+Data!AP18+Data!AP19+Data!AP20+Data!AP21)</f>
        <v>0.0689207299865301</v>
      </c>
      <c r="L21" s="18" t="n">
        <f aca="false">(Data!N10+Data!O10+Data!P10+Data!Q10+Data!R10+Data!S10+Data!N11+Data!O11+Data!P11+Data!Q11+Data!R11+Data!S11+Data!N12+Data!O12+Data!P12+Data!Q12+Data!R12+Data!S12+Data!N13+Data!O13+Data!P13+Data!Q13+Data!R13+Data!S13+Data!N14+Data!O14+Data!P14+Data!Q14+Data!R14+Data!S14+Data!N15+Data!O15+Data!P15+Data!Q15+Data!R15+Data!S15+Data!N16+Data!O16+Data!P16+Data!Q16+Data!R16+Data!S16+Data!N17+Data!O17+Data!P17+Data!Q17+Data!R17+Data!S17+Data!N18+Data!O18+Data!P18+Data!Q18+Data!R18+Data!S18+Data!N19+Data!O19+Data!P19+Data!Q19+Data!R19+Data!S19+Data!N20+Data!O20+Data!P20+Data!Q20+Data!R20+Data!S20+Data!N21+Data!O21+Data!P21+Data!Q21+Data!R21+Data!S21)/(Data!AP10+Data!AP11+Data!AP12+Data!AP13+Data!AP14+Data!AP15+Data!AP16+Data!AP17+Data!AP18+Data!AP19+Data!AP20+Data!AP21)</f>
        <v>0.0127369517793026</v>
      </c>
      <c r="M21" s="17" t="n">
        <f aca="false">(Data!T10+Data!U10+Data!V10+Data!W10+Data!X10+Data!Y10+Data!Z10+Data!AA10+Data!AB10+Data!AC10+Data!AD10+Data!AE10+Data!AF10+Data!AG10+Data!AH10+Data!AI10+Data!AJ10+Data!AK10+Data!AL10+Data!T11+Data!U11+Data!V11+Data!W11+Data!X11+Data!Y11+Data!Z11+Data!AA11+Data!AB11+Data!AC11+Data!AD11+Data!AE11+Data!AF11+Data!AG11+Data!AH11+Data!AI11+Data!AJ11+Data!AK11+Data!AL11+Data!T12+Data!U12+Data!V12+Data!W12+Data!X12+Data!Y12+Data!Z12+Data!AA12+Data!AB12+Data!AC12+Data!AD12+Data!AE12+Data!AF12+Data!AG12+Data!AH12+Data!AI12+Data!AJ12+Data!AK12+Data!AL12+Data!T13+Data!U13+Data!V13+Data!W13+Data!X13+Data!Y13+Data!Z13+Data!AA13+Data!AB13+Data!AC13+Data!AD13+Data!AE13+Data!AF13+Data!AG13+Data!AH13+Data!AI13+Data!AJ13+Data!AK13+Data!AL13+Data!T14+Data!U14+Data!V14+Data!W14+Data!X14+Data!Y14+Data!Z14+Data!AA14+Data!AB14+Data!AC14+Data!AD14+Data!AE14+Data!AF14+Data!AG14+Data!AH14+Data!AI14+Data!AJ14+Data!AK14+Data!AL14+Data!T15+Data!U15+Data!V15+Data!W15+Data!X15+Data!Y15+Data!Z15+Data!AA15+Data!AB15+Data!AC15+Data!AD15+Data!AE15+Data!AF15+Data!AG15+Data!AH15+Data!AI15+Data!AJ15+Data!AK15+Data!AL15+Data!T16+Data!U16+Data!V16+Data!W16+Data!X16+Data!Y16+Data!Z16+Data!AA16+Data!AB16+Data!AC16+Data!AD16+Data!AE16+Data!AF16+Data!AG16+Data!AH16+Data!AI16+Data!AJ16+Data!AK16+Data!AL16+Data!T17+Data!U17+Data!V17+Data!W17+Data!X17+Data!Y17+Data!Z17+Data!AA17+Data!AB17+Data!AC17+Data!AD17+Data!AE17+Data!AF17+Data!AG17+Data!AH17+Data!AI17+Data!AJ17+Data!AK17+Data!AL17+Data!T18+Data!U18+Data!V18+Data!W18+Data!X18+Data!Y18+Data!Z18+Data!AA18+Data!AB18+Data!AC18+Data!AD18+Data!AE18+Data!AF18+Data!AG18+Data!AH18+Data!AI18+Data!AJ18+Data!AK18+Data!AL18+Data!T19+Data!U19+Data!V19+Data!W19+Data!X19+Data!Y19+Data!Z19+Data!AA19+Data!AB19+Data!AC19+Data!AD19+Data!AE19+Data!AF19+Data!AG19+Data!AH19+Data!AI19+Data!AJ19+Data!AK19+Data!AL19+Data!T20+Data!U20+Data!V20+Data!W20+Data!X20+Data!Y20+Data!Z20+Data!AA20+Data!AB20+Data!AC20+Data!AD20+Data!AE20+Data!AF20+Data!AG20+Data!AH20+Data!AI20+Data!AJ20+Data!AK20+Data!AL20+Data!T21+Data!U21+Data!V21+Data!W21+Data!X21+Data!Y21+Data!Z21+Data!AA21+Data!AB21+Data!AC21+Data!AD21+Data!AE21+Data!AF21+Data!AG21+Data!AH21+Data!AI21+Data!AJ21+Data!AK21+Data!AL21)/(Data!AP10+Data!AP11+Data!AP12+Data!AP13+Data!AP14+Data!AP15+Data!AP16+Data!AP17+Data!AP18+Data!AP19+Data!AP20+Data!AP21)</f>
        <v>0.239546104148815</v>
      </c>
      <c r="N21" s="18" t="n">
        <f aca="false">(Data!T10+Data!U10+Data!V10+Data!W10+Data!T11+Data!U11+Data!V11+Data!W11+Data!T12+Data!U12+Data!V12+Data!W12+Data!T13+Data!U13+Data!V13+Data!W13+Data!T14+Data!U14+Data!V14+Data!W14+Data!T15+Data!U15+Data!V15+Data!W15+Data!T16+Data!U16+Data!V16+Data!W16+Data!T17+Data!U17+Data!V17+Data!W17+Data!T18+Data!U18+Data!V18+Data!W18+Data!T19+Data!U19+Data!V19+Data!W19+Data!T20+Data!U20+Data!V20+Data!W20+Data!T21+Data!U21+Data!V21+Data!W21)/(Data!AP10+Data!AP11+Data!AP12+Data!AP13+Data!AP14+Data!AP15+Data!AP16+Data!AP17+Data!AP18+Data!AP19+Data!AP20+Data!AP21)</f>
        <v>0.114430442757352</v>
      </c>
      <c r="O21" s="18" t="n">
        <f aca="false">(Data!T10+Data!T11+Data!T12+Data!T13+Data!T14+Data!T15+Data!T16+Data!T17+Data!T18+Data!T19+Data!T20+Data!T21)/(Data!AP10+Data!AP11+Data!AP12+Data!AP13+Data!AP14+Data!AP15+Data!AP16+Data!AP17+Data!AP18+Data!AP19+Data!AP20+Data!AP21)</f>
        <v>0.0810262742059522</v>
      </c>
      <c r="P21" s="18" t="n">
        <f aca="false">(Data!U10+Data!U11+Data!U12+Data!U13+Data!U14+Data!U15+Data!U16+Data!U17+Data!U18+Data!U19+Data!U20+Data!U21)/(Data!AP10+Data!AP11+Data!AP12+Data!AP13+Data!AP14+Data!AP15+Data!AP16+Data!AP17+Data!AP18+Data!AP19+Data!AP20+Data!AP21)</f>
        <v>0.0137467714041797</v>
      </c>
      <c r="Q21" s="18" t="n">
        <f aca="false">(Data!V10+Data!V11+Data!V12+Data!V13+Data!V14+Data!V15+Data!V16+Data!V17+Data!V18+Data!V19+Data!V20+Data!V21)/(Data!AP10+Data!AP11+Data!AP12+Data!AP13+Data!AP14+Data!AP15+Data!AP16+Data!AP17+Data!AP18+Data!AP19+Data!AP20+Data!AP21)</f>
        <v>0.00971875991051611</v>
      </c>
      <c r="R21" s="18" t="n">
        <f aca="false">(Data!W10+Data!W11+Data!W12+Data!W13+Data!W14+Data!W15+Data!W16+Data!W17+Data!W18+Data!W19+Data!W20+Data!W21)/(Data!AP10+Data!AP11+Data!AP12+Data!AP13+Data!AP14+Data!AP15+Data!AP16+Data!AP17+Data!AP18+Data!AP19+Data!AP20+Data!AP21)</f>
        <v>0.00993863723670372</v>
      </c>
      <c r="S21" s="18" t="n">
        <f aca="false">(Data!X10+Data!X11+Data!X12+Data!X13+Data!X14+Data!X15+Data!X16+Data!X17+Data!X18+Data!X19+Data!X20+Data!X21)/(Data!AP10+Data!AP11+Data!AP12+Data!AP13+Data!AP14+Data!AP15+Data!AP16+Data!AP17+Data!AP18+Data!AP19+Data!AP20+Data!AP21)</f>
        <v>0.00366928823686063</v>
      </c>
      <c r="T21" s="18" t="n">
        <f aca="false">(Data!Y10+Data!Z10+Data!AA10+Data!Y11+Data!Z11+Data!AA11+Data!Y12+Data!Z12+Data!AA12+Data!Y13+Data!Z13+Data!AA13+Data!Y14+Data!Z14+Data!AA14+Data!Y15+Data!Z15+Data!AA15+Data!Y16+Data!Z16+Data!AA16+Data!Y17+Data!Z17+Data!AA17+Data!Y18+Data!Z18+Data!AA18+Data!Y19+Data!Z19+Data!AA19+Data!Y20+Data!Z20+Data!AA20+Data!Y21+Data!Z21+Data!AA21)/(Data!AP10+Data!AP11+Data!AP12+Data!AP13+Data!AP14+Data!AP15+Data!AP16+Data!AP17+Data!AP18+Data!AP19+Data!AP20+Data!AP21)</f>
        <v>0.0331335327948394</v>
      </c>
      <c r="U21" s="18" t="n">
        <f aca="false">(Data!Y10+Data!Y11+Data!Y12+Data!Y13+Data!Y14+Data!Y15+Data!Y16+Data!Y17+Data!Y18+Data!Y19+Data!Y20+Data!Y21)/(Data!AP10+Data!AP11+Data!AP12+Data!AP13+Data!AP14+Data!AP15+Data!AP16+Data!AP17+Data!AP18+Data!AP19+Data!AP20+Data!AP21)</f>
        <v>0.0233446670701765</v>
      </c>
      <c r="V21" s="18" t="n">
        <f aca="false">(Data!Z10+Data!Z11+Data!Z12+Data!Z13+Data!Z14+Data!Z15+Data!Z16+Data!Z17+Data!Z18+Data!Z19+Data!Z20+Data!Z21)/(Data!AP10+Data!AP11+Data!AP12+Data!AP13+Data!AP14+Data!AP15+Data!AP16+Data!AP17+Data!AP18+Data!AP19+Data!AP20+Data!AP21)</f>
        <v>0.00946565060749269</v>
      </c>
      <c r="W21" s="18" t="n">
        <f aca="false">(Data!AB10+Data!AB11+Data!AB12+Data!AB13+Data!AB14+Data!AB15+Data!AB16+Data!AB17+Data!AB18+Data!AB19+Data!AB20+Data!AB21)/(Data!AP10+Data!AP11+Data!AP12+Data!AP13+Data!AP14+Data!AP15+Data!AP16+Data!AP17+Data!AP18+Data!AP19+Data!AP20+Data!AP21)</f>
        <v>0.0324119891881989</v>
      </c>
      <c r="X21" s="18" t="n">
        <f aca="false">(Data!AC10+Data!AC11+Data!AC12+Data!AC13+Data!AC14+Data!AC15+Data!AC16+Data!AC17+Data!AC18+Data!AC19+Data!AC20+Data!AC21)/(Data!AP10+Data!AP11+Data!AP12+Data!AP13+Data!AP14+Data!AP15+Data!AP16+Data!AP17+Data!AP18+Data!AP19+Data!AP20+Data!AP21)</f>
        <v>0.00960165133461184</v>
      </c>
      <c r="Y21" s="18" t="n">
        <f aca="false">(Data!AD10+Data!AE10+Data!AF10+Data!AG10+Data!AH10+Data!AD11+Data!AE11+Data!AF11+Data!AG11+Data!AH11+Data!AD12+Data!AE12+Data!AF12+Data!AG12+Data!AH12+Data!AD13+Data!AE13+Data!AF13+Data!AG13+Data!AH13+Data!AD14+Data!AE14+Data!AF14+Data!AG14+Data!AH14+Data!AD15+Data!AE15+Data!AF15+Data!AG15+Data!AH15+Data!AD16+Data!AE16+Data!AF16+Data!AG16+Data!AH16+Data!AD17+Data!AE17+Data!AF17+Data!AG17+Data!AH17+Data!AD18+Data!AE18+Data!AF18+Data!AG18+Data!AH18+Data!AD19+Data!AE19+Data!AF19+Data!AG19+Data!AH19+Data!AD20+Data!AE20+Data!AF20+Data!AG20+Data!AH20+Data!AD21+Data!AE21+Data!AF21+Data!AG21+Data!AH21)/(Data!AP10+Data!AP11+Data!AP12+Data!AP13+Data!AP14+Data!AP15+Data!AP16+Data!AP17+Data!AP18+Data!AP19+Data!AP20+Data!AP21)</f>
        <v>0.00947327575286255</v>
      </c>
      <c r="Z21" s="18" t="n">
        <f aca="false">(Data!AI10+Data!AI11+Data!AI12+Data!AI13+Data!AI14+Data!AI15+Data!AI16+Data!AI17+Data!AI18+Data!AI19+Data!AI20+Data!AI21)/(Data!AP10+Data!AP11+Data!AP12+Data!AP13+Data!AP14+Data!AP15+Data!AP16+Data!AP17+Data!AP18+Data!AP19+Data!AP20+Data!AP21)</f>
        <v>0.0077971094691715</v>
      </c>
      <c r="AA21" s="18" t="n">
        <f aca="false">(Data!AJ10+Data!AJ11+Data!AJ12+Data!AJ13+Data!AJ14+Data!AJ15+Data!AJ16+Data!AJ17+Data!AJ18+Data!AJ19+Data!AJ20+Data!AJ21)/(Data!AP10+Data!AP11+Data!AP12+Data!AP13+Data!AP14+Data!AP15+Data!AP16+Data!AP17+Data!AP18+Data!AP19+Data!AP20+Data!AP21)</f>
        <v>0.000640398402928406</v>
      </c>
      <c r="AB21" s="18" t="n">
        <f aca="false">(Data!AK10+Data!AK11+Data!AK12+Data!AK13+Data!AK14+Data!AK15+Data!AK16+Data!AK17+Data!AK18+Data!AK19+Data!AK20+Data!AK21)/(Data!AP10+Data!AP11+Data!AP12+Data!AP13+Data!AP14+Data!AP15+Data!AP16+Data!AP17+Data!AP18+Data!AP19+Data!AP20+Data!AP21)</f>
        <v>0.00607985844699508</v>
      </c>
      <c r="AC21" s="18" t="n">
        <f aca="false">(Data!AL10+Data!AL11+Data!AL12+Data!AL13+Data!AL14+Data!AL15+Data!AL16+Data!AL17+Data!AL18+Data!AL19+Data!AL20+Data!AL21)/(Data!AP10+Data!AP11+Data!AP12+Data!AP13+Data!AP14+Data!AP15+Data!AP16+Data!AP17+Data!AP18+Data!AP19+Data!AP20+Data!AP21)</f>
        <v>0.0223085577649944</v>
      </c>
      <c r="AD21" s="17" t="n">
        <f aca="false">(Data!AM10+Data!AM11+Data!AM12+Data!AM13+Data!AM14+Data!AM15+Data!AM16+Data!AM17+Data!AM18+Data!AM19+Data!AM20+Data!AM21)/(Data!AP10+Data!AP11+Data!AP12+Data!AP13+Data!AP14+Data!AP15+Data!AP16+Data!AP17+Data!AP18+Data!AP19+Data!AP20+Data!AP21)</f>
        <v>-0.0385758380424023</v>
      </c>
      <c r="AE21" s="18" t="n">
        <f aca="false">(Data!AN10+Data!AN11+Data!AN12+Data!AN13+Data!AN14+Data!AN15+Data!AN16+Data!AN17+Data!AN18+Data!AN19+Data!AN20+Data!AN21)/(Data!AP10+Data!AP11+Data!AP12+Data!AP13+Data!AP14+Data!AP15+Data!AP16+Data!AP17+Data!AP18+Data!AP19+Data!AP20+Data!AP21)</f>
        <v>0.0161493750445248</v>
      </c>
      <c r="AF21" s="17" t="n">
        <f aca="false">(Data!AO10+Data!AO11+Data!AO12+Data!AO13+Data!AO14+Data!AO15+Data!AO16+Data!AO17+Data!AO18+Data!AO19+Data!AO20+Data!AO21)/(Data!AP10+Data!AP11+Data!AP12+Data!AP13+Data!AP14+Data!AP15+Data!AP16+Data!AP17+Data!AP18+Data!AP19+Data!AP20+Data!AP21)</f>
        <v>-0.0547253268950669</v>
      </c>
    </row>
    <row r="22" customFormat="false" ht="15" hidden="false" customHeight="false" outlineLevel="0" collapsed="false">
      <c r="B22" s="14" t="str">
        <f aca="false">Data!B22</f>
        <v>2017-04</v>
      </c>
      <c r="C22" s="17" t="n">
        <f aca="false">(Data!D11+Data!E11+Data!F11+Data!G11+Data!H11+Data!I11+Data!J11+Data!K11+Data!L11+Data!M11+Data!N11+Data!O11+Data!P11+Data!Q11+Data!R11+Data!S11+Data!D12+Data!E12+Data!F12+Data!G12+Data!H12+Data!I12+Data!J12+Data!K12+Data!L12+Data!M12+Data!N12+Data!O12+Data!P12+Data!Q12+Data!R12+Data!S12+Data!D13+Data!E13+Data!F13+Data!G13+Data!H13+Data!I13+Data!J13+Data!K13+Data!L13+Data!M13+Data!N13+Data!O13+Data!P13+Data!Q13+Data!R13+Data!S13+Data!D14+Data!E14+Data!F14+Data!G14+Data!H14+Data!I14+Data!J14+Data!K14+Data!L14+Data!M14+Data!N14+Data!O14+Data!P14+Data!Q14+Data!R14+Data!S14+Data!D15+Data!E15+Data!F15+Data!G15+Data!H15+Data!I15+Data!J15+Data!K15+Data!L15+Data!M15+Data!N15+Data!O15+Data!P15+Data!Q15+Data!R15+Data!S15+Data!D16+Data!E16+Data!F16+Data!G16+Data!H16+Data!I16+Data!J16+Data!K16+Data!L16+Data!M16+Data!N16+Data!O16+Data!P16+Data!Q16+Data!R16+Data!S16+Data!D17+Data!E17+Data!F17+Data!G17+Data!H17+Data!I17+Data!J17+Data!K17+Data!L17+Data!M17+Data!N17+Data!O17+Data!P17+Data!Q17+Data!R17+Data!S17+Data!D18+Data!E18+Data!F18+Data!G18+Data!H18+Data!I18+Data!J18+Data!K18+Data!L18+Data!M18+Data!N18+Data!O18+Data!P18+Data!Q18+Data!R18+Data!S18+Data!D19+Data!E19+Data!F19+Data!G19+Data!H19+Data!I19+Data!J19+Data!K19+Data!L19+Data!M19+Data!N19+Data!O19+Data!P19+Data!Q19+Data!R19+Data!S19+Data!D20+Data!E20+Data!F20+Data!G20+Data!H20+Data!I20+Data!J20+Data!K20+Data!L20+Data!M20+Data!N20+Data!O20+Data!P20+Data!Q20+Data!R20+Data!S20+Data!D21+Data!E21+Data!F21+Data!G21+Data!H21+Data!I21+Data!J21+Data!K21+Data!L21+Data!M21+Data!N21+Data!O21+Data!P21+Data!Q21+Data!R21+Data!S21+Data!D22+Data!E22+Data!F22+Data!G22+Data!H22+Data!I22+Data!J22+Data!K22+Data!L22+Data!M22+Data!N22+Data!O22+Data!P22+Data!Q22+Data!R22+Data!S22)/(Data!AP11+Data!AP12+Data!AP13+Data!AP14+Data!AP15+Data!AP16+Data!AP17+Data!AP18+Data!AP19+Data!AP20+Data!AP21+Data!AP22)</f>
        <v>0.201627835581475</v>
      </c>
      <c r="D22" s="18" t="n">
        <f aca="false">(Data!D11+Data!E11+Data!G11+Data!H11+Data!I11+Data!J11+Data!K11+Data!L11+Data!M11+Data!D12+Data!E12+Data!G12+Data!H12+Data!I12+Data!J12+Data!K12+Data!L12+Data!M12+Data!D13+Data!E13+Data!G13+Data!H13+Data!I13+Data!J13+Data!K13+Data!L13+Data!M13+Data!D14+Data!E14+Data!G14+Data!H14+Data!I14+Data!J14+Data!K14+Data!L14+Data!M14+Data!D15+Data!E15+Data!G15+Data!H15+Data!I15+Data!J15+Data!K15+Data!L15+Data!M15+Data!D16+Data!E16+Data!G16+Data!H16+Data!I16+Data!J16+Data!K16+Data!L16+Data!M16+Data!D17+Data!E17+Data!G17+Data!H17+Data!I17+Data!J17+Data!K17+Data!L17+Data!M17+Data!D18+Data!E18+Data!G18+Data!H18+Data!I18+Data!J18+Data!K18+Data!L18+Data!M18+Data!D19+Data!E19+Data!G19+Data!H19+Data!I19+Data!J19+Data!K19+Data!L19+Data!M19+Data!D20+Data!E20+Data!G20+Data!H20+Data!I20+Data!J20+Data!K20+Data!L20+Data!M20+Data!D21+Data!E21+Data!G21+Data!H21+Data!I21+Data!J21+Data!K21+Data!L21+Data!M21+Data!D22+Data!E22+Data!G22+Data!H22+Data!I22+Data!J22+Data!K22+Data!L22+Data!M22)/(Data!AP11+Data!AP12+Data!AP13+Data!AP14+Data!AP15+Data!AP16+Data!AP17+Data!AP18+Data!AP19+Data!AP20+Data!AP21+Data!AP22)</f>
        <v>0.11956764488647</v>
      </c>
      <c r="E22" s="18" t="n">
        <f aca="false">(Data!D11+Data!D12+Data!D13+Data!D14+Data!D15+Data!D16+Data!D17+Data!D18+Data!D19+Data!D20+Data!D21+Data!D22)/(Data!AP11+Data!AP12+Data!AP13+Data!AP14+Data!AP15+Data!AP16+Data!AP17+Data!AP18+Data!AP19+Data!AP20+Data!AP21+Data!AP22)</f>
        <v>0.0327715518296644</v>
      </c>
      <c r="F22" s="18" t="n">
        <f aca="false">(Data!E11+Data!E12+Data!E13+Data!E14+Data!E15+Data!E16+Data!E17+Data!E18+Data!E19+Data!E20+Data!E21+Data!E22)/(Data!AP11+Data!AP12+Data!AP13+Data!AP14+Data!AP15+Data!AP16+Data!AP17+Data!AP18+Data!AP19+Data!AP20+Data!AP21+Data!AP22)</f>
        <v>0.0259752809209219</v>
      </c>
      <c r="G22" s="18" t="n">
        <f aca="false">(Data!K11+Data!K12+Data!K13+Data!K14+Data!K15+Data!K16+Data!K17+Data!K18+Data!K19+Data!K20+Data!K21+Data!K22)/(Data!AP11+Data!AP12+Data!AP13+Data!AP14+Data!AP15+Data!AP16+Data!AP17+Data!AP18+Data!AP19+Data!AP20+Data!AP21+Data!AP22)</f>
        <v>0.00744657891503071</v>
      </c>
      <c r="H22" s="18" t="n">
        <f aca="false">(Data!L11+Data!L12+Data!L13+Data!L14+Data!L15+Data!L16+Data!L17+Data!L18+Data!L19+Data!L20+Data!L21+Data!L22)/(Data!AP11+Data!AP12+Data!AP13+Data!AP14+Data!AP15+Data!AP16+Data!AP17+Data!AP18+Data!AP19+Data!AP20+Data!AP21+Data!AP22)</f>
        <v>0.00644283536852628</v>
      </c>
      <c r="I22" s="18" t="n">
        <f aca="false">(Data!G11+Data!G12+Data!G13+Data!G14+Data!G15+Data!G16+Data!G17+Data!G18+Data!G19+Data!G20+Data!G21+Data!G22)/(Data!AP11+Data!AP12+Data!AP13+Data!AP14+Data!AP15+Data!AP16+Data!AP17+Data!AP18+Data!AP19+Data!AP20+Data!AP21+Data!AP22)</f>
        <v>0.0133633888504384</v>
      </c>
      <c r="J22" s="18" t="n">
        <f aca="false">(Data!H11+Data!I11+Data!J11+Data!M11+Data!H12+Data!I12+Data!J12+Data!M12+Data!H13+Data!I13+Data!J13+Data!M13+Data!H14+Data!I14+Data!J14+Data!M14+Data!H15+Data!I15+Data!J15+Data!M15+Data!H16+Data!I16+Data!J16+Data!M16+Data!H17+Data!I17+Data!J17+Data!M17+Data!H18+Data!I18+Data!J18+Data!M18+Data!H19+Data!I19+Data!J19+Data!M19+Data!H20+Data!I20+Data!J20+Data!M20+Data!H21+Data!I21+Data!J21+Data!M21+Data!H22+Data!I22+Data!J22+Data!M22)/(Data!AP11+Data!AP12+Data!AP13+Data!AP14+Data!AP15+Data!AP16+Data!AP17+Data!AP18+Data!AP19+Data!AP20+Data!AP21+Data!AP22)</f>
        <v>0.033568009001888</v>
      </c>
      <c r="K22" s="18" t="n">
        <f aca="false">(Data!F11+Data!F12+Data!F13+Data!F14+Data!F15+Data!F16+Data!F17+Data!F18+Data!F19+Data!F20+Data!F21+Data!F22)/(Data!AP11+Data!AP12+Data!AP13+Data!AP14+Data!AP15+Data!AP16+Data!AP17+Data!AP18+Data!AP19+Data!AP20+Data!AP21+Data!AP22)</f>
        <v>0.0690741121340277</v>
      </c>
      <c r="L22" s="18" t="n">
        <f aca="false">(Data!N11+Data!O11+Data!P11+Data!Q11+Data!R11+Data!S11+Data!N12+Data!O12+Data!P12+Data!Q12+Data!R12+Data!S12+Data!N13+Data!O13+Data!P13+Data!Q13+Data!R13+Data!S13+Data!N14+Data!O14+Data!P14+Data!Q14+Data!R14+Data!S14+Data!N15+Data!O15+Data!P15+Data!Q15+Data!R15+Data!S15+Data!N16+Data!O16+Data!P16+Data!Q16+Data!R16+Data!S16+Data!N17+Data!O17+Data!P17+Data!Q17+Data!R17+Data!S17+Data!N18+Data!O18+Data!P18+Data!Q18+Data!R18+Data!S18+Data!N19+Data!O19+Data!P19+Data!Q19+Data!R19+Data!S19+Data!N20+Data!O20+Data!P20+Data!Q20+Data!R20+Data!S20+Data!N21+Data!O21+Data!P21+Data!Q21+Data!R21+Data!S21+Data!N22+Data!O22+Data!P22+Data!Q22+Data!R22+Data!S22)/(Data!AP11+Data!AP12+Data!AP13+Data!AP14+Data!AP15+Data!AP16+Data!AP17+Data!AP18+Data!AP19+Data!AP20+Data!AP21+Data!AP22)</f>
        <v>0.0129860785609776</v>
      </c>
      <c r="M22" s="17" t="n">
        <f aca="false">(Data!T11+Data!U11+Data!V11+Data!W11+Data!X11+Data!Y11+Data!Z11+Data!AA11+Data!AB11+Data!AC11+Data!AD11+Data!AE11+Data!AF11+Data!AG11+Data!AH11+Data!AI11+Data!AJ11+Data!AK11+Data!AL11+Data!T12+Data!U12+Data!V12+Data!W12+Data!X12+Data!Y12+Data!Z12+Data!AA12+Data!AB12+Data!AC12+Data!AD12+Data!AE12+Data!AF12+Data!AG12+Data!AH12+Data!AI12+Data!AJ12+Data!AK12+Data!AL12+Data!T13+Data!U13+Data!V13+Data!W13+Data!X13+Data!Y13+Data!Z13+Data!AA13+Data!AB13+Data!AC13+Data!AD13+Data!AE13+Data!AF13+Data!AG13+Data!AH13+Data!AI13+Data!AJ13+Data!AK13+Data!AL13+Data!T14+Data!U14+Data!V14+Data!W14+Data!X14+Data!Y14+Data!Z14+Data!AA14+Data!AB14+Data!AC14+Data!AD14+Data!AE14+Data!AF14+Data!AG14+Data!AH14+Data!AI14+Data!AJ14+Data!AK14+Data!AL14+Data!T15+Data!U15+Data!V15+Data!W15+Data!X15+Data!Y15+Data!Z15+Data!AA15+Data!AB15+Data!AC15+Data!AD15+Data!AE15+Data!AF15+Data!AG15+Data!AH15+Data!AI15+Data!AJ15+Data!AK15+Data!AL15+Data!T16+Data!U16+Data!V16+Data!W16+Data!X16+Data!Y16+Data!Z16+Data!AA16+Data!AB16+Data!AC16+Data!AD16+Data!AE16+Data!AF16+Data!AG16+Data!AH16+Data!AI16+Data!AJ16+Data!AK16+Data!AL16+Data!T17+Data!U17+Data!V17+Data!W17+Data!X17+Data!Y17+Data!Z17+Data!AA17+Data!AB17+Data!AC17+Data!AD17+Data!AE17+Data!AF17+Data!AG17+Data!AH17+Data!AI17+Data!AJ17+Data!AK17+Data!AL17+Data!T18+Data!U18+Data!V18+Data!W18+Data!X18+Data!Y18+Data!Z18+Data!AA18+Data!AB18+Data!AC18+Data!AD18+Data!AE18+Data!AF18+Data!AG18+Data!AH18+Data!AI18+Data!AJ18+Data!AK18+Data!AL18+Data!T19+Data!U19+Data!V19+Data!W19+Data!X19+Data!Y19+Data!Z19+Data!AA19+Data!AB19+Data!AC19+Data!AD19+Data!AE19+Data!AF19+Data!AG19+Data!AH19+Data!AI19+Data!AJ19+Data!AK19+Data!AL19+Data!T20+Data!U20+Data!V20+Data!W20+Data!X20+Data!Y20+Data!Z20+Data!AA20+Data!AB20+Data!AC20+Data!AD20+Data!AE20+Data!AF20+Data!AG20+Data!AH20+Data!AI20+Data!AJ20+Data!AK20+Data!AL20+Data!T21+Data!U21+Data!V21+Data!W21+Data!X21+Data!Y21+Data!Z21+Data!AA21+Data!AB21+Data!AC21+Data!AD21+Data!AE21+Data!AF21+Data!AG21+Data!AH21+Data!AI21+Data!AJ21+Data!AK21+Data!AL21+Data!T22+Data!U22+Data!V22+Data!W22+Data!X22+Data!Y22+Data!Z22+Data!AA22+Data!AB22+Data!AC22+Data!AD22+Data!AE22+Data!AF22+Data!AG22+Data!AH22+Data!AI22+Data!AJ22+Data!AK22+Data!AL22)/(Data!AP11+Data!AP12+Data!AP13+Data!AP14+Data!AP15+Data!AP16+Data!AP17+Data!AP18+Data!AP19+Data!AP20+Data!AP21+Data!AP22)</f>
        <v>0.240310061312863</v>
      </c>
      <c r="N22" s="18" t="n">
        <f aca="false">(Data!T11+Data!U11+Data!V11+Data!W11+Data!T12+Data!U12+Data!V12+Data!W12+Data!T13+Data!U13+Data!V13+Data!W13+Data!T14+Data!U14+Data!V14+Data!W14+Data!T15+Data!U15+Data!V15+Data!W15+Data!T16+Data!U16+Data!V16+Data!W16+Data!T17+Data!U17+Data!V17+Data!W17+Data!T18+Data!U18+Data!V18+Data!W18+Data!T19+Data!U19+Data!V19+Data!W19+Data!T20+Data!U20+Data!V20+Data!W20+Data!T21+Data!U21+Data!V21+Data!W21+Data!T22+Data!U22+Data!V22+Data!W22)/(Data!AP11+Data!AP12+Data!AP13+Data!AP14+Data!AP15+Data!AP16+Data!AP17+Data!AP18+Data!AP19+Data!AP20+Data!AP21+Data!AP22)</f>
        <v>0.114749742801798</v>
      </c>
      <c r="O22" s="18" t="n">
        <f aca="false">(Data!T11+Data!T12+Data!T13+Data!T14+Data!T15+Data!T16+Data!T17+Data!T18+Data!T19+Data!T20+Data!T21+Data!T22)/(Data!AP11+Data!AP12+Data!AP13+Data!AP14+Data!AP15+Data!AP16+Data!AP17+Data!AP18+Data!AP19+Data!AP20+Data!AP21+Data!AP22)</f>
        <v>0.0813689386094055</v>
      </c>
      <c r="P22" s="18" t="n">
        <f aca="false">(Data!U11+Data!U12+Data!U13+Data!U14+Data!U15+Data!U16+Data!U17+Data!U18+Data!U19+Data!U20+Data!U21+Data!U22)/(Data!AP11+Data!AP12+Data!AP13+Data!AP14+Data!AP15+Data!AP16+Data!AP17+Data!AP18+Data!AP19+Data!AP20+Data!AP21+Data!AP22)</f>
        <v>0.0137543099782534</v>
      </c>
      <c r="Q22" s="18" t="n">
        <f aca="false">(Data!V11+Data!V12+Data!V13+Data!V14+Data!V15+Data!V16+Data!V17+Data!V18+Data!V19+Data!V20+Data!V21+Data!V22)/(Data!AP11+Data!AP12+Data!AP13+Data!AP14+Data!AP15+Data!AP16+Data!AP17+Data!AP18+Data!AP19+Data!AP20+Data!AP21+Data!AP22)</f>
        <v>0.00968199176834952</v>
      </c>
      <c r="R22" s="18" t="n">
        <f aca="false">(Data!W11+Data!W12+Data!W13+Data!W14+Data!W15+Data!W16+Data!W17+Data!W18+Data!W19+Data!W20+Data!W21+Data!W22)/(Data!AP11+Data!AP12+Data!AP13+Data!AP14+Data!AP15+Data!AP16+Data!AP17+Data!AP18+Data!AP19+Data!AP20+Data!AP21+Data!AP22)</f>
        <v>0.00994450244578921</v>
      </c>
      <c r="S22" s="18" t="n">
        <f aca="false">(Data!X11+Data!X12+Data!X13+Data!X14+Data!X15+Data!X16+Data!X17+Data!X18+Data!X19+Data!X20+Data!X21+Data!X22)/(Data!AP11+Data!AP12+Data!AP13+Data!AP14+Data!AP15+Data!AP16+Data!AP17+Data!AP18+Data!AP19+Data!AP20+Data!AP21+Data!AP22)</f>
        <v>0.00358322054313986</v>
      </c>
      <c r="T22" s="18" t="n">
        <f aca="false">(Data!Y11+Data!Z11+Data!AA11+Data!Y12+Data!Z12+Data!AA12+Data!Y13+Data!Z13+Data!AA13+Data!Y14+Data!Z14+Data!AA14+Data!Y15+Data!Z15+Data!AA15+Data!Y16+Data!Z16+Data!AA16+Data!Y17+Data!Z17+Data!AA17+Data!Y18+Data!Z18+Data!AA18+Data!Y19+Data!Z19+Data!AA19+Data!Y20+Data!Z20+Data!AA20+Data!Y21+Data!Z21+Data!AA21+Data!Y22+Data!Z22+Data!AA22)/(Data!AP11+Data!AP12+Data!AP13+Data!AP14+Data!AP15+Data!AP16+Data!AP17+Data!AP18+Data!AP19+Data!AP20+Data!AP21+Data!AP22)</f>
        <v>0.0328928221681162</v>
      </c>
      <c r="U22" s="18" t="n">
        <f aca="false">(Data!Y11+Data!Y12+Data!Y13+Data!Y14+Data!Y15+Data!Y16+Data!Y17+Data!Y18+Data!Y19+Data!Y20+Data!Y21+Data!Y22)/(Data!AP11+Data!AP12+Data!AP13+Data!AP14+Data!AP15+Data!AP16+Data!AP17+Data!AP18+Data!AP19+Data!AP20+Data!AP21+Data!AP22)</f>
        <v>0.0230220636907875</v>
      </c>
      <c r="V22" s="18" t="n">
        <f aca="false">(Data!Z11+Data!Z12+Data!Z13+Data!Z14+Data!Z15+Data!Z16+Data!Z17+Data!Z18+Data!Z19+Data!Z20+Data!Z21+Data!Z22)/(Data!AP11+Data!AP12+Data!AP13+Data!AP14+Data!AP15+Data!AP16+Data!AP17+Data!AP18+Data!AP19+Data!AP20+Data!AP21+Data!AP22)</f>
        <v>0.00948552712620277</v>
      </c>
      <c r="W22" s="18" t="n">
        <f aca="false">(Data!AB11+Data!AB12+Data!AB13+Data!AB14+Data!AB15+Data!AB16+Data!AB17+Data!AB18+Data!AB19+Data!AB20+Data!AB21+Data!AB22)/(Data!AP11+Data!AP12+Data!AP13+Data!AP14+Data!AP15+Data!AP16+Data!AP17+Data!AP18+Data!AP19+Data!AP20+Data!AP21+Data!AP22)</f>
        <v>0.0325319118232299</v>
      </c>
      <c r="X22" s="18" t="n">
        <f aca="false">(Data!AC11+Data!AC12+Data!AC13+Data!AC14+Data!AC15+Data!AC16+Data!AC17+Data!AC18+Data!AC19+Data!AC20+Data!AC21+Data!AC22)/(Data!AP11+Data!AP12+Data!AP13+Data!AP14+Data!AP15+Data!AP16+Data!AP17+Data!AP18+Data!AP19+Data!AP20+Data!AP21+Data!AP22)</f>
        <v>0.00967976048337341</v>
      </c>
      <c r="Y22" s="18" t="n">
        <f aca="false">(Data!AD11+Data!AE11+Data!AF11+Data!AG11+Data!AH11+Data!AD12+Data!AE12+Data!AF12+Data!AG12+Data!AH12+Data!AD13+Data!AE13+Data!AF13+Data!AG13+Data!AH13+Data!AD14+Data!AE14+Data!AF14+Data!AG14+Data!AH14+Data!AD15+Data!AE15+Data!AF15+Data!AG15+Data!AH15+Data!AD16+Data!AE16+Data!AF16+Data!AG16+Data!AH16+Data!AD17+Data!AE17+Data!AF17+Data!AG17+Data!AH17+Data!AD18+Data!AE18+Data!AF18+Data!AG18+Data!AH18+Data!AD19+Data!AE19+Data!AF19+Data!AG19+Data!AH19+Data!AD20+Data!AE20+Data!AF20+Data!AG20+Data!AH20+Data!AD21+Data!AE21+Data!AF21+Data!AG21+Data!AH21+Data!AD22+Data!AE22+Data!AF22+Data!AG22+Data!AH22)/(Data!AP11+Data!AP12+Data!AP13+Data!AP14+Data!AP15+Data!AP16+Data!AP17+Data!AP18+Data!AP19+Data!AP20+Data!AP21+Data!AP22)</f>
        <v>0.00949556790859528</v>
      </c>
      <c r="Z22" s="18" t="n">
        <f aca="false">(Data!AI11+Data!AI12+Data!AI13+Data!AI14+Data!AI15+Data!AI16+Data!AI17+Data!AI18+Data!AI19+Data!AI20+Data!AI21+Data!AI22)/(Data!AP11+Data!AP12+Data!AP13+Data!AP14+Data!AP15+Data!AP16+Data!AP17+Data!AP18+Data!AP19+Data!AP20+Data!AP21+Data!AP22)</f>
        <v>0.00785434624441536</v>
      </c>
      <c r="AA22" s="18" t="n">
        <f aca="false">(Data!AJ11+Data!AJ12+Data!AJ13+Data!AJ14+Data!AJ15+Data!AJ16+Data!AJ17+Data!AJ18+Data!AJ19+Data!AJ20+Data!AJ21+Data!AJ22)/(Data!AP11+Data!AP12+Data!AP13+Data!AP14+Data!AP15+Data!AP16+Data!AP17+Data!AP18+Data!AP19+Data!AP20+Data!AP21+Data!AP22)</f>
        <v>0.000711110521887212</v>
      </c>
      <c r="AB22" s="18" t="n">
        <f aca="false">(Data!AK11+Data!AK12+Data!AK13+Data!AK14+Data!AK15+Data!AK16+Data!AK17+Data!AK18+Data!AK19+Data!AK20+Data!AK21+Data!AK22)/(Data!AP11+Data!AP12+Data!AP13+Data!AP14+Data!AP15+Data!AP16+Data!AP17+Data!AP18+Data!AP19+Data!AP20+Data!AP21+Data!AP22)</f>
        <v>0.00604756323500786</v>
      </c>
      <c r="AC22" s="18" t="n">
        <f aca="false">(Data!AL11+Data!AL12+Data!AL13+Data!AL14+Data!AL15+Data!AL16+Data!AL17+Data!AL18+Data!AL19+Data!AL20+Data!AL21+Data!AL22)/(Data!AP11+Data!AP12+Data!AP13+Data!AP14+Data!AP15+Data!AP16+Data!AP17+Data!AP18+Data!AP19+Data!AP20+Data!AP21+Data!AP22)</f>
        <v>0.0227640155833</v>
      </c>
      <c r="AD22" s="17" t="n">
        <f aca="false">(Data!AM11+Data!AM12+Data!AM13+Data!AM14+Data!AM15+Data!AM16+Data!AM17+Data!AM18+Data!AM19+Data!AM20+Data!AM21+Data!AM22)/(Data!AP11+Data!AP12+Data!AP13+Data!AP14+Data!AP15+Data!AP16+Data!AP17+Data!AP18+Data!AP19+Data!AP20+Data!AP21+Data!AP22)</f>
        <v>-0.0386822257313878</v>
      </c>
      <c r="AE22" s="18" t="n">
        <f aca="false">(Data!AN11+Data!AN12+Data!AN13+Data!AN14+Data!AN15+Data!AN16+Data!AN17+Data!AN18+Data!AN19+Data!AN20+Data!AN21+Data!AN22)/(Data!AP11+Data!AP12+Data!AP13+Data!AP14+Data!AP15+Data!AP16+Data!AP17+Data!AP18+Data!AP19+Data!AP20+Data!AP21+Data!AP22)</f>
        <v>0.0185271401064079</v>
      </c>
      <c r="AF22" s="17" t="n">
        <f aca="false">(Data!AO11+Data!AO12+Data!AO13+Data!AO14+Data!AO15+Data!AO16+Data!AO17+Data!AO18+Data!AO19+Data!AO20+Data!AO21+Data!AO22)/(Data!AP11+Data!AP12+Data!AP13+Data!AP14+Data!AP15+Data!AP16+Data!AP17+Data!AP18+Data!AP19+Data!AP20+Data!AP21+Data!AP22)</f>
        <v>-0.0572093658377956</v>
      </c>
    </row>
    <row r="23" customFormat="false" ht="15" hidden="false" customHeight="false" outlineLevel="0" collapsed="false">
      <c r="B23" s="14" t="str">
        <f aca="false">Data!B23</f>
        <v>2017-05</v>
      </c>
      <c r="C23" s="17" t="n">
        <f aca="false">(Data!D12+Data!E12+Data!F12+Data!G12+Data!H12+Data!I12+Data!J12+Data!K12+Data!L12+Data!M12+Data!N12+Data!O12+Data!P12+Data!Q12+Data!R12+Data!S12+Data!D13+Data!E13+Data!F13+Data!G13+Data!H13+Data!I13+Data!J13+Data!K13+Data!L13+Data!M13+Data!N13+Data!O13+Data!P13+Data!Q13+Data!R13+Data!S13+Data!D14+Data!E14+Data!F14+Data!G14+Data!H14+Data!I14+Data!J14+Data!K14+Data!L14+Data!M14+Data!N14+Data!O14+Data!P14+Data!Q14+Data!R14+Data!S14+Data!D15+Data!E15+Data!F15+Data!G15+Data!H15+Data!I15+Data!J15+Data!K15+Data!L15+Data!M15+Data!N15+Data!O15+Data!P15+Data!Q15+Data!R15+Data!S15+Data!D16+Data!E16+Data!F16+Data!G16+Data!H16+Data!I16+Data!J16+Data!K16+Data!L16+Data!M16+Data!N16+Data!O16+Data!P16+Data!Q16+Data!R16+Data!S16+Data!D17+Data!E17+Data!F17+Data!G17+Data!H17+Data!I17+Data!J17+Data!K17+Data!L17+Data!M17+Data!N17+Data!O17+Data!P17+Data!Q17+Data!R17+Data!S17+Data!D18+Data!E18+Data!F18+Data!G18+Data!H18+Data!I18+Data!J18+Data!K18+Data!L18+Data!M18+Data!N18+Data!O18+Data!P18+Data!Q18+Data!R18+Data!S18+Data!D19+Data!E19+Data!F19+Data!G19+Data!H19+Data!I19+Data!J19+Data!K19+Data!L19+Data!M19+Data!N19+Data!O19+Data!P19+Data!Q19+Data!R19+Data!S19+Data!D20+Data!E20+Data!F20+Data!G20+Data!H20+Data!I20+Data!J20+Data!K20+Data!L20+Data!M20+Data!N20+Data!O20+Data!P20+Data!Q20+Data!R20+Data!S20+Data!D21+Data!E21+Data!F21+Data!G21+Data!H21+Data!I21+Data!J21+Data!K21+Data!L21+Data!M21+Data!N21+Data!O21+Data!P21+Data!Q21+Data!R21+Data!S21+Data!D22+Data!E22+Data!F22+Data!G22+Data!H22+Data!I22+Data!J22+Data!K22+Data!L22+Data!M22+Data!N22+Data!O22+Data!P22+Data!Q22+Data!R22+Data!S22+Data!D23+Data!E23+Data!F23+Data!G23+Data!H23+Data!I23+Data!J23+Data!K23+Data!L23+Data!M23+Data!N23+Data!O23+Data!P23+Data!Q23+Data!R23+Data!S23)/(Data!AP12+Data!AP13+Data!AP14+Data!AP15+Data!AP16+Data!AP17+Data!AP18+Data!AP19+Data!AP20+Data!AP21+Data!AP22+Data!AP23)</f>
        <v>0.199979961273287</v>
      </c>
      <c r="D23" s="18" t="n">
        <f aca="false">(Data!D12+Data!E12+Data!G12+Data!H12+Data!I12+Data!J12+Data!K12+Data!L12+Data!M12+Data!D13+Data!E13+Data!G13+Data!H13+Data!I13+Data!J13+Data!K13+Data!L13+Data!M13+Data!D14+Data!E14+Data!G14+Data!H14+Data!I14+Data!J14+Data!K14+Data!L14+Data!M14+Data!D15+Data!E15+Data!G15+Data!H15+Data!I15+Data!J15+Data!K15+Data!L15+Data!M15+Data!D16+Data!E16+Data!G16+Data!H16+Data!I16+Data!J16+Data!K16+Data!L16+Data!M16+Data!D17+Data!E17+Data!G17+Data!H17+Data!I17+Data!J17+Data!K17+Data!L17+Data!M17+Data!D18+Data!E18+Data!G18+Data!H18+Data!I18+Data!J18+Data!K18+Data!L18+Data!M18+Data!D19+Data!E19+Data!G19+Data!H19+Data!I19+Data!J19+Data!K19+Data!L19+Data!M19+Data!D20+Data!E20+Data!G20+Data!H20+Data!I20+Data!J20+Data!K20+Data!L20+Data!M20+Data!D21+Data!E21+Data!G21+Data!H21+Data!I21+Data!J21+Data!K21+Data!L21+Data!M21+Data!D22+Data!E22+Data!G22+Data!H22+Data!I22+Data!J22+Data!K22+Data!L22+Data!M22+Data!D23+Data!E23+Data!G23+Data!H23+Data!I23+Data!J23+Data!K23+Data!L23+Data!M23)/(Data!AP12+Data!AP13+Data!AP14+Data!AP15+Data!AP16+Data!AP17+Data!AP18+Data!AP19+Data!AP20+Data!AP21+Data!AP22+Data!AP23)</f>
        <v>0.117641966894246</v>
      </c>
      <c r="E23" s="18" t="n">
        <f aca="false">(Data!D12+Data!D13+Data!D14+Data!D15+Data!D16+Data!D17+Data!D18+Data!D19+Data!D20+Data!D21+Data!D22+Data!D23)/(Data!AP12+Data!AP13+Data!AP14+Data!AP15+Data!AP16+Data!AP17+Data!AP18+Data!AP19+Data!AP20+Data!AP21+Data!AP22+Data!AP23)</f>
        <v>0.0321488457832648</v>
      </c>
      <c r="F23" s="18" t="n">
        <f aca="false">(Data!E12+Data!E13+Data!E14+Data!E15+Data!E16+Data!E17+Data!E18+Data!E19+Data!E20+Data!E21+Data!E22+Data!E23)/(Data!AP12+Data!AP13+Data!AP14+Data!AP15+Data!AP16+Data!AP17+Data!AP18+Data!AP19+Data!AP20+Data!AP21+Data!AP22+Data!AP23)</f>
        <v>0.0254518080169478</v>
      </c>
      <c r="G23" s="18" t="n">
        <f aca="false">(Data!K12+Data!K13+Data!K14+Data!K15+Data!K16+Data!K17+Data!K18+Data!K19+Data!K20+Data!K21+Data!K22+Data!K23)/(Data!AP12+Data!AP13+Data!AP14+Data!AP15+Data!AP16+Data!AP17+Data!AP18+Data!AP19+Data!AP20+Data!AP21+Data!AP22+Data!AP23)</f>
        <v>0.00708228981628334</v>
      </c>
      <c r="H23" s="18" t="n">
        <f aca="false">(Data!L12+Data!L13+Data!L14+Data!L15+Data!L16+Data!L17+Data!L18+Data!L19+Data!L20+Data!L21+Data!L22+Data!L23)/(Data!AP12+Data!AP13+Data!AP14+Data!AP15+Data!AP16+Data!AP17+Data!AP18+Data!AP19+Data!AP20+Data!AP21+Data!AP22+Data!AP23)</f>
        <v>0.00636464842661606</v>
      </c>
      <c r="I23" s="18" t="n">
        <f aca="false">(Data!G12+Data!G13+Data!G14+Data!G15+Data!G16+Data!G17+Data!G18+Data!G19+Data!G20+Data!G21+Data!G22+Data!G23)/(Data!AP12+Data!AP13+Data!AP14+Data!AP15+Data!AP16+Data!AP17+Data!AP18+Data!AP19+Data!AP20+Data!AP21+Data!AP22+Data!AP23)</f>
        <v>0.0133110055593602</v>
      </c>
      <c r="J23" s="18" t="n">
        <f aca="false">(Data!H12+Data!I12+Data!J12+Data!M12+Data!H13+Data!I13+Data!J13+Data!M13+Data!H14+Data!I14+Data!J14+Data!M14+Data!H15+Data!I15+Data!J15+Data!M15+Data!H16+Data!I16+Data!J16+Data!M16+Data!H17+Data!I17+Data!J17+Data!M17+Data!H18+Data!I18+Data!J18+Data!M18+Data!H19+Data!I19+Data!J19+Data!M19+Data!H20+Data!I20+Data!J20+Data!M20+Data!H21+Data!I21+Data!J21+Data!M21+Data!H22+Data!I22+Data!J22+Data!M22+Data!H23+Data!I23+Data!J23+Data!M23)/(Data!AP12+Data!AP13+Data!AP14+Data!AP15+Data!AP16+Data!AP17+Data!AP18+Data!AP19+Data!AP20+Data!AP21+Data!AP22+Data!AP23)</f>
        <v>0.0332833692917735</v>
      </c>
      <c r="K23" s="18" t="n">
        <f aca="false">(Data!F12+Data!F13+Data!F14+Data!F15+Data!F16+Data!F17+Data!F18+Data!F19+Data!F20+Data!F21+Data!F22+Data!F23)/(Data!AP12+Data!AP13+Data!AP14+Data!AP15+Data!AP16+Data!AP17+Data!AP18+Data!AP19+Data!AP20+Data!AP21+Data!AP22+Data!AP23)</f>
        <v>0.0693611293050636</v>
      </c>
      <c r="L23" s="18" t="n">
        <f aca="false">(Data!N12+Data!O12+Data!P12+Data!Q12+Data!R12+Data!S12+Data!N13+Data!O13+Data!P13+Data!Q13+Data!R13+Data!S13+Data!N14+Data!O14+Data!P14+Data!Q14+Data!R14+Data!S14+Data!N15+Data!O15+Data!P15+Data!Q15+Data!R15+Data!S15+Data!N16+Data!O16+Data!P16+Data!Q16+Data!R16+Data!S16+Data!N17+Data!O17+Data!P17+Data!Q17+Data!R17+Data!S17+Data!N18+Data!O18+Data!P18+Data!Q18+Data!R18+Data!S18+Data!N19+Data!O19+Data!P19+Data!Q19+Data!R19+Data!S19+Data!N20+Data!O20+Data!P20+Data!Q20+Data!R20+Data!S20+Data!N21+Data!O21+Data!P21+Data!Q21+Data!R21+Data!S21+Data!N22+Data!O22+Data!P22+Data!Q22+Data!R22+Data!S22+Data!N23+Data!O23+Data!P23+Data!Q23+Data!R23+Data!S23)/(Data!AP12+Data!AP13+Data!AP14+Data!AP15+Data!AP16+Data!AP17+Data!AP18+Data!AP19+Data!AP20+Data!AP21+Data!AP22+Data!AP23)</f>
        <v>0.0129768650739775</v>
      </c>
      <c r="M23" s="17" t="n">
        <f aca="false">(Data!T12+Data!U12+Data!V12+Data!W12+Data!X12+Data!Y12+Data!Z12+Data!AA12+Data!AB12+Data!AC12+Data!AD12+Data!AE12+Data!AF12+Data!AG12+Data!AH12+Data!AI12+Data!AJ12+Data!AK12+Data!AL12+Data!T13+Data!U13+Data!V13+Data!W13+Data!X13+Data!Y13+Data!Z13+Data!AA13+Data!AB13+Data!AC13+Data!AD13+Data!AE13+Data!AF13+Data!AG13+Data!AH13+Data!AI13+Data!AJ13+Data!AK13+Data!AL13+Data!T14+Data!U14+Data!V14+Data!W14+Data!X14+Data!Y14+Data!Z14+Data!AA14+Data!AB14+Data!AC14+Data!AD14+Data!AE14+Data!AF14+Data!AG14+Data!AH14+Data!AI14+Data!AJ14+Data!AK14+Data!AL14+Data!T15+Data!U15+Data!V15+Data!W15+Data!X15+Data!Y15+Data!Z15+Data!AA15+Data!AB15+Data!AC15+Data!AD15+Data!AE15+Data!AF15+Data!AG15+Data!AH15+Data!AI15+Data!AJ15+Data!AK15+Data!AL15+Data!T16+Data!U16+Data!V16+Data!W16+Data!X16+Data!Y16+Data!Z16+Data!AA16+Data!AB16+Data!AC16+Data!AD16+Data!AE16+Data!AF16+Data!AG16+Data!AH16+Data!AI16+Data!AJ16+Data!AK16+Data!AL16+Data!T17+Data!U17+Data!V17+Data!W17+Data!X17+Data!Y17+Data!Z17+Data!AA17+Data!AB17+Data!AC17+Data!AD17+Data!AE17+Data!AF17+Data!AG17+Data!AH17+Data!AI17+Data!AJ17+Data!AK17+Data!AL17+Data!T18+Data!U18+Data!V18+Data!W18+Data!X18+Data!Y18+Data!Z18+Data!AA18+Data!AB18+Data!AC18+Data!AD18+Data!AE18+Data!AF18+Data!AG18+Data!AH18+Data!AI18+Data!AJ18+Data!AK18+Data!AL18+Data!T19+Data!U19+Data!V19+Data!W19+Data!X19+Data!Y19+Data!Z19+Data!AA19+Data!AB19+Data!AC19+Data!AD19+Data!AE19+Data!AF19+Data!AG19+Data!AH19+Data!AI19+Data!AJ19+Data!AK19+Data!AL19+Data!T20+Data!U20+Data!V20+Data!W20+Data!X20+Data!Y20+Data!Z20+Data!AA20+Data!AB20+Data!AC20+Data!AD20+Data!AE20+Data!AF20+Data!AG20+Data!AH20+Data!AI20+Data!AJ20+Data!AK20+Data!AL20+Data!T21+Data!U21+Data!V21+Data!W21+Data!X21+Data!Y21+Data!Z21+Data!AA21+Data!AB21+Data!AC21+Data!AD21+Data!AE21+Data!AF21+Data!AG21+Data!AH21+Data!AI21+Data!AJ21+Data!AK21+Data!AL21+Data!T22+Data!U22+Data!V22+Data!W22+Data!X22+Data!Y22+Data!Z22+Data!AA22+Data!AB22+Data!AC22+Data!AD22+Data!AE22+Data!AF22+Data!AG22+Data!AH22+Data!AI22+Data!AJ22+Data!AK22+Data!AL22+Data!T23+Data!U23+Data!V23+Data!W23+Data!X23+Data!Y23+Data!Z23+Data!AA23+Data!AB23+Data!AC23+Data!AD23+Data!AE23+Data!AF23+Data!AG23+Data!AH23+Data!AI23+Data!AJ23+Data!AK23+Data!AL23)/(Data!AP12+Data!AP13+Data!AP14+Data!AP15+Data!AP16+Data!AP17+Data!AP18+Data!AP19+Data!AP20+Data!AP21+Data!AP22+Data!AP23)</f>
        <v>0.239598647301508</v>
      </c>
      <c r="N23" s="18" t="n">
        <f aca="false">(Data!T12+Data!U12+Data!V12+Data!W12+Data!T13+Data!U13+Data!V13+Data!W13+Data!T14+Data!U14+Data!V14+Data!W14+Data!T15+Data!U15+Data!V15+Data!W15+Data!T16+Data!U16+Data!V16+Data!W16+Data!T17+Data!U17+Data!V17+Data!W17+Data!T18+Data!U18+Data!V18+Data!W18+Data!T19+Data!U19+Data!V19+Data!W19+Data!T20+Data!U20+Data!V20+Data!W20+Data!T21+Data!U21+Data!V21+Data!W21+Data!T22+Data!U22+Data!V22+Data!W22+Data!T23+Data!U23+Data!V23+Data!W23)/(Data!AP12+Data!AP13+Data!AP14+Data!AP15+Data!AP16+Data!AP17+Data!AP18+Data!AP19+Data!AP20+Data!AP21+Data!AP22+Data!AP23)</f>
        <v>0.115377297741433</v>
      </c>
      <c r="O23" s="18" t="n">
        <f aca="false">(Data!T12+Data!T13+Data!T14+Data!T15+Data!T16+Data!T17+Data!T18+Data!T19+Data!T20+Data!T21+Data!T22+Data!T23)/(Data!AP12+Data!AP13+Data!AP14+Data!AP15+Data!AP16+Data!AP17+Data!AP18+Data!AP19+Data!AP20+Data!AP21+Data!AP22+Data!AP23)</f>
        <v>0.0821265435379801</v>
      </c>
      <c r="P23" s="18" t="n">
        <f aca="false">(Data!U12+Data!U13+Data!U14+Data!U15+Data!U16+Data!U17+Data!U18+Data!U19+Data!U20+Data!U21+Data!U22+Data!U23)/(Data!AP12+Data!AP13+Data!AP14+Data!AP15+Data!AP16+Data!AP17+Data!AP18+Data!AP19+Data!AP20+Data!AP21+Data!AP22+Data!AP23)</f>
        <v>0.0136514939478389</v>
      </c>
      <c r="Q23" s="18" t="n">
        <f aca="false">(Data!V12+Data!V13+Data!V14+Data!V15+Data!V16+Data!V17+Data!V18+Data!V19+Data!V20+Data!V21+Data!V22+Data!V23)/(Data!AP12+Data!AP13+Data!AP14+Data!AP15+Data!AP16+Data!AP17+Data!AP18+Data!AP19+Data!AP20+Data!AP21+Data!AP22+Data!AP23)</f>
        <v>0.00962670449174239</v>
      </c>
      <c r="R23" s="18" t="n">
        <f aca="false">(Data!W12+Data!W13+Data!W14+Data!W15+Data!W16+Data!W17+Data!W18+Data!W19+Data!W20+Data!W21+Data!W22+Data!W23)/(Data!AP12+Data!AP13+Data!AP14+Data!AP15+Data!AP16+Data!AP17+Data!AP18+Data!AP19+Data!AP20+Data!AP21+Data!AP22+Data!AP23)</f>
        <v>0.0099725557638712</v>
      </c>
      <c r="S23" s="18" t="n">
        <f aca="false">(Data!X12+Data!X13+Data!X14+Data!X15+Data!X16+Data!X17+Data!X18+Data!X19+Data!X20+Data!X21+Data!X22+Data!X23)/(Data!AP12+Data!AP13+Data!AP14+Data!AP15+Data!AP16+Data!AP17+Data!AP18+Data!AP19+Data!AP20+Data!AP21+Data!AP22+Data!AP23)</f>
        <v>0.00354760225784281</v>
      </c>
      <c r="T23" s="18" t="n">
        <f aca="false">(Data!Y12+Data!Z12+Data!AA12+Data!Y13+Data!Z13+Data!AA13+Data!Y14+Data!Z14+Data!AA14+Data!Y15+Data!Z15+Data!AA15+Data!Y16+Data!Z16+Data!AA16+Data!Y17+Data!Z17+Data!AA17+Data!Y18+Data!Z18+Data!AA18+Data!Y19+Data!Z19+Data!AA19+Data!Y20+Data!Z20+Data!AA20+Data!Y21+Data!Z21+Data!AA21+Data!Y22+Data!Z22+Data!AA22+Data!Y23+Data!Z23+Data!AA23)/(Data!AP12+Data!AP13+Data!AP14+Data!AP15+Data!AP16+Data!AP17+Data!AP18+Data!AP19+Data!AP20+Data!AP21+Data!AP22+Data!AP23)</f>
        <v>0.0319087199316665</v>
      </c>
      <c r="U23" s="18" t="n">
        <f aca="false">(Data!Y12+Data!Y13+Data!Y14+Data!Y15+Data!Y16+Data!Y17+Data!Y18+Data!Y19+Data!Y20+Data!Y21+Data!Y22+Data!Y23)/(Data!AP12+Data!AP13+Data!AP14+Data!AP15+Data!AP16+Data!AP17+Data!AP18+Data!AP19+Data!AP20+Data!AP21+Data!AP22+Data!AP23)</f>
        <v>0.0219965786938128</v>
      </c>
      <c r="V23" s="18" t="n">
        <f aca="false">(Data!Z12+Data!Z13+Data!Z14+Data!Z15+Data!Z16+Data!Z17+Data!Z18+Data!Z19+Data!Z20+Data!Z21+Data!Z22+Data!Z23)/(Data!AP12+Data!AP13+Data!AP14+Data!AP15+Data!AP16+Data!AP17+Data!AP18+Data!AP19+Data!AP20+Data!AP21+Data!AP22+Data!AP23)</f>
        <v>0.00942521329174582</v>
      </c>
      <c r="W23" s="18" t="n">
        <f aca="false">(Data!AB12+Data!AB13+Data!AB14+Data!AB15+Data!AB16+Data!AB17+Data!AB18+Data!AB19+Data!AB20+Data!AB21+Data!AB22+Data!AB23)/(Data!AP12+Data!AP13+Data!AP14+Data!AP15+Data!AP16+Data!AP17+Data!AP18+Data!AP19+Data!AP20+Data!AP21+Data!AP22+Data!AP23)</f>
        <v>0.032613884408352</v>
      </c>
      <c r="X23" s="18" t="n">
        <f aca="false">(Data!AC12+Data!AC13+Data!AC14+Data!AC15+Data!AC16+Data!AC17+Data!AC18+Data!AC19+Data!AC20+Data!AC21+Data!AC22+Data!AC23)/(Data!AP12+Data!AP13+Data!AP14+Data!AP15+Data!AP16+Data!AP17+Data!AP18+Data!AP19+Data!AP20+Data!AP21+Data!AP22+Data!AP23)</f>
        <v>0.00975355310705799</v>
      </c>
      <c r="Y23" s="18" t="n">
        <f aca="false">(Data!AD12+Data!AE12+Data!AF12+Data!AG12+Data!AH12+Data!AD13+Data!AE13+Data!AF13+Data!AG13+Data!AH13+Data!AD14+Data!AE14+Data!AF14+Data!AG14+Data!AH14+Data!AD15+Data!AE15+Data!AF15+Data!AG15+Data!AH15+Data!AD16+Data!AE16+Data!AF16+Data!AG16+Data!AH16+Data!AD17+Data!AE17+Data!AF17+Data!AG17+Data!AH17+Data!AD18+Data!AE18+Data!AF18+Data!AG18+Data!AH18+Data!AD19+Data!AE19+Data!AF19+Data!AG19+Data!AH19+Data!AD20+Data!AE20+Data!AF20+Data!AG20+Data!AH20+Data!AD21+Data!AE21+Data!AF21+Data!AG21+Data!AH21+Data!AD22+Data!AE22+Data!AF22+Data!AG22+Data!AH22+Data!AD23+Data!AE23+Data!AF23+Data!AG23+Data!AH23)/(Data!AP12+Data!AP13+Data!AP14+Data!AP15+Data!AP16+Data!AP17+Data!AP18+Data!AP19+Data!AP20+Data!AP21+Data!AP22+Data!AP23)</f>
        <v>0.00951846179929448</v>
      </c>
      <c r="Z23" s="18" t="n">
        <f aca="false">(Data!AI12+Data!AI13+Data!AI14+Data!AI15+Data!AI16+Data!AI17+Data!AI18+Data!AI19+Data!AI20+Data!AI21+Data!AI22+Data!AI23)/(Data!AP12+Data!AP13+Data!AP14+Data!AP15+Data!AP16+Data!AP17+Data!AP18+Data!AP19+Data!AP20+Data!AP21+Data!AP22+Data!AP23)</f>
        <v>0.00788092169372762</v>
      </c>
      <c r="AA23" s="18" t="n">
        <f aca="false">(Data!AJ12+Data!AJ13+Data!AJ14+Data!AJ15+Data!AJ16+Data!AJ17+Data!AJ18+Data!AJ19+Data!AJ20+Data!AJ21+Data!AJ22+Data!AJ23)/(Data!AP12+Data!AP13+Data!AP14+Data!AP15+Data!AP16+Data!AP17+Data!AP18+Data!AP19+Data!AP20+Data!AP21+Data!AP22+Data!AP23)</f>
        <v>0.000597359570657927</v>
      </c>
      <c r="AB23" s="18" t="n">
        <f aca="false">(Data!AK12+Data!AK13+Data!AK14+Data!AK15+Data!AK16+Data!AK17+Data!AK18+Data!AK19+Data!AK20+Data!AK21+Data!AK22+Data!AK23)/(Data!AP12+Data!AP13+Data!AP14+Data!AP15+Data!AP16+Data!AP17+Data!AP18+Data!AP19+Data!AP20+Data!AP21+Data!AP22+Data!AP23)</f>
        <v>0.00579651109952091</v>
      </c>
      <c r="AC23" s="18" t="n">
        <f aca="false">(Data!AL12+Data!AL13+Data!AL14+Data!AL15+Data!AL16+Data!AL17+Data!AL18+Data!AL19+Data!AL20+Data!AL21+Data!AL22+Data!AL23)/(Data!AP12+Data!AP13+Data!AP14+Data!AP15+Data!AP16+Data!AP17+Data!AP18+Data!AP19+Data!AP20+Data!AP21+Data!AP22+Data!AP23)</f>
        <v>0.0226043356919556</v>
      </c>
      <c r="AD23" s="17" t="n">
        <f aca="false">(Data!AM12+Data!AM13+Data!AM14+Data!AM15+Data!AM16+Data!AM17+Data!AM18+Data!AM19+Data!AM20+Data!AM21+Data!AM22+Data!AM23)/(Data!AP12+Data!AP13+Data!AP14+Data!AP15+Data!AP16+Data!AP17+Data!AP18+Data!AP19+Data!AP20+Data!AP21+Data!AP22+Data!AP23)</f>
        <v>-0.0396186860282216</v>
      </c>
      <c r="AE23" s="18" t="n">
        <f aca="false">(Data!AN12+Data!AN13+Data!AN14+Data!AN15+Data!AN16+Data!AN17+Data!AN18+Data!AN19+Data!AN20+Data!AN21+Data!AN22+Data!AN23)/(Data!AP12+Data!AP13+Data!AP14+Data!AP15+Data!AP16+Data!AP17+Data!AP18+Data!AP19+Data!AP20+Data!AP21+Data!AP22+Data!AP23)</f>
        <v>0.0186993902684481</v>
      </c>
      <c r="AF23" s="17" t="n">
        <f aca="false">(Data!AO12+Data!AO13+Data!AO14+Data!AO15+Data!AO16+Data!AO17+Data!AO18+Data!AO19+Data!AO20+Data!AO21+Data!AO22+Data!AO23)/(Data!AP12+Data!AP13+Data!AP14+Data!AP15+Data!AP16+Data!AP17+Data!AP18+Data!AP19+Data!AP20+Data!AP21+Data!AP22+Data!AP23)</f>
        <v>-0.0583179668500646</v>
      </c>
    </row>
    <row r="24" customFormat="false" ht="15" hidden="false" customHeight="false" outlineLevel="0" collapsed="false">
      <c r="B24" s="14" t="str">
        <f aca="false">Data!B24</f>
        <v>2017-06</v>
      </c>
      <c r="C24" s="17" t="n">
        <f aca="false">(Data!D13+Data!E13+Data!F13+Data!G13+Data!H13+Data!I13+Data!J13+Data!K13+Data!L13+Data!M13+Data!N13+Data!O13+Data!P13+Data!Q13+Data!R13+Data!S13+Data!D14+Data!E14+Data!F14+Data!G14+Data!H14+Data!I14+Data!J14+Data!K14+Data!L14+Data!M14+Data!N14+Data!O14+Data!P14+Data!Q14+Data!R14+Data!S14+Data!D15+Data!E15+Data!F15+Data!G15+Data!H15+Data!I15+Data!J15+Data!K15+Data!L15+Data!M15+Data!N15+Data!O15+Data!P15+Data!Q15+Data!R15+Data!S15+Data!D16+Data!E16+Data!F16+Data!G16+Data!H16+Data!I16+Data!J16+Data!K16+Data!L16+Data!M16+Data!N16+Data!O16+Data!P16+Data!Q16+Data!R16+Data!S16+Data!D17+Data!E17+Data!F17+Data!G17+Data!H17+Data!I17+Data!J17+Data!K17+Data!L17+Data!M17+Data!N17+Data!O17+Data!P17+Data!Q17+Data!R17+Data!S17+Data!D18+Data!E18+Data!F18+Data!G18+Data!H18+Data!I18+Data!J18+Data!K18+Data!L18+Data!M18+Data!N18+Data!O18+Data!P18+Data!Q18+Data!R18+Data!S18+Data!D19+Data!E19+Data!F19+Data!G19+Data!H19+Data!I19+Data!J19+Data!K19+Data!L19+Data!M19+Data!N19+Data!O19+Data!P19+Data!Q19+Data!R19+Data!S19+Data!D20+Data!E20+Data!F20+Data!G20+Data!H20+Data!I20+Data!J20+Data!K20+Data!L20+Data!M20+Data!N20+Data!O20+Data!P20+Data!Q20+Data!R20+Data!S20+Data!D21+Data!E21+Data!F21+Data!G21+Data!H21+Data!I21+Data!J21+Data!K21+Data!L21+Data!M21+Data!N21+Data!O21+Data!P21+Data!Q21+Data!R21+Data!S21+Data!D22+Data!E22+Data!F22+Data!G22+Data!H22+Data!I22+Data!J22+Data!K22+Data!L22+Data!M22+Data!N22+Data!O22+Data!P22+Data!Q22+Data!R22+Data!S22+Data!D23+Data!E23+Data!F23+Data!G23+Data!H23+Data!I23+Data!J23+Data!K23+Data!L23+Data!M23+Data!N23+Data!O23+Data!P23+Data!Q23+Data!R23+Data!S23+Data!D24+Data!E24+Data!F24+Data!G24+Data!H24+Data!I24+Data!J24+Data!K24+Data!L24+Data!M24+Data!N24+Data!O24+Data!P24+Data!Q24+Data!R24+Data!S24)/(Data!AP13+Data!AP14+Data!AP15+Data!AP16+Data!AP17+Data!AP18+Data!AP19+Data!AP20+Data!AP21+Data!AP22+Data!AP23+Data!AP24)</f>
        <v>0.199384708359715</v>
      </c>
      <c r="D24" s="18" t="n">
        <f aca="false">(Data!D13+Data!E13+Data!G13+Data!H13+Data!I13+Data!J13+Data!K13+Data!L13+Data!M13+Data!D14+Data!E14+Data!G14+Data!H14+Data!I14+Data!J14+Data!K14+Data!L14+Data!M14+Data!D15+Data!E15+Data!G15+Data!H15+Data!I15+Data!J15+Data!K15+Data!L15+Data!M15+Data!D16+Data!E16+Data!G16+Data!H16+Data!I16+Data!J16+Data!K16+Data!L16+Data!M16+Data!D17+Data!E17+Data!G17+Data!H17+Data!I17+Data!J17+Data!K17+Data!L17+Data!M17+Data!D18+Data!E18+Data!G18+Data!H18+Data!I18+Data!J18+Data!K18+Data!L18+Data!M18+Data!D19+Data!E19+Data!G19+Data!H19+Data!I19+Data!J19+Data!K19+Data!L19+Data!M19+Data!D20+Data!E20+Data!G20+Data!H20+Data!I20+Data!J20+Data!K20+Data!L20+Data!M20+Data!D21+Data!E21+Data!G21+Data!H21+Data!I21+Data!J21+Data!K21+Data!L21+Data!M21+Data!D22+Data!E22+Data!G22+Data!H22+Data!I22+Data!J22+Data!K22+Data!L22+Data!M22+Data!D23+Data!E23+Data!G23+Data!H23+Data!I23+Data!J23+Data!K23+Data!L23+Data!M23+Data!D24+Data!E24+Data!G24+Data!H24+Data!I24+Data!J24+Data!K24+Data!L24+Data!M24)/(Data!AP13+Data!AP14+Data!AP15+Data!AP16+Data!AP17+Data!AP18+Data!AP19+Data!AP20+Data!AP21+Data!AP22+Data!AP23+Data!AP24)</f>
        <v>0.117238260003125</v>
      </c>
      <c r="E24" s="18" t="n">
        <f aca="false">(Data!D13+Data!D14+Data!D15+Data!D16+Data!D17+Data!D18+Data!D19+Data!D20+Data!D21+Data!D22+Data!D23+Data!D24)/(Data!AP13+Data!AP14+Data!AP15+Data!AP16+Data!AP17+Data!AP18+Data!AP19+Data!AP20+Data!AP21+Data!AP22+Data!AP23+Data!AP24)</f>
        <v>0.0321486509732085</v>
      </c>
      <c r="F24" s="18" t="n">
        <f aca="false">(Data!E13+Data!E14+Data!E15+Data!E16+Data!E17+Data!E18+Data!E19+Data!E20+Data!E21+Data!E22+Data!E23+Data!E24)/(Data!AP13+Data!AP14+Data!AP15+Data!AP16+Data!AP17+Data!AP18+Data!AP19+Data!AP20+Data!AP21+Data!AP22+Data!AP23+Data!AP24)</f>
        <v>0.0254472163545731</v>
      </c>
      <c r="G24" s="18" t="n">
        <f aca="false">(Data!K13+Data!K14+Data!K15+Data!K16+Data!K17+Data!K18+Data!K19+Data!K20+Data!K21+Data!K22+Data!K23+Data!K24)/(Data!AP13+Data!AP14+Data!AP15+Data!AP16+Data!AP17+Data!AP18+Data!AP19+Data!AP20+Data!AP21+Data!AP22+Data!AP23+Data!AP24)</f>
        <v>0.00698568914827734</v>
      </c>
      <c r="H24" s="18" t="n">
        <f aca="false">(Data!L13+Data!L14+Data!L15+Data!L16+Data!L17+Data!L18+Data!L19+Data!L20+Data!L21+Data!L22+Data!L23+Data!L24)/(Data!AP13+Data!AP14+Data!AP15+Data!AP16+Data!AP17+Data!AP18+Data!AP19+Data!AP20+Data!AP21+Data!AP22+Data!AP23+Data!AP24)</f>
        <v>0.00633512170590802</v>
      </c>
      <c r="I24" s="18" t="n">
        <f aca="false">(Data!G13+Data!G14+Data!G15+Data!G16+Data!G17+Data!G18+Data!G19+Data!G20+Data!G21+Data!G22+Data!G23+Data!G24)/(Data!AP13+Data!AP14+Data!AP15+Data!AP16+Data!AP17+Data!AP18+Data!AP19+Data!AP20+Data!AP21+Data!AP22+Data!AP23+Data!AP24)</f>
        <v>0.0133558867904846</v>
      </c>
      <c r="J24" s="18" t="n">
        <f aca="false">(Data!H13+Data!I13+Data!J13+Data!M13+Data!H14+Data!I14+Data!J14+Data!M14+Data!H15+Data!I15+Data!J15+Data!M15+Data!H16+Data!I16+Data!J16+Data!M16+Data!H17+Data!I17+Data!J17+Data!M17+Data!H18+Data!I18+Data!J18+Data!M18+Data!H19+Data!I19+Data!J19+Data!M19+Data!H20+Data!I20+Data!J20+Data!M20+Data!H21+Data!I21+Data!J21+Data!M21+Data!H22+Data!I22+Data!J22+Data!M22+Data!H23+Data!I23+Data!J23+Data!M23+Data!H24+Data!I24+Data!J24+Data!M24)/(Data!AP13+Data!AP14+Data!AP15+Data!AP16+Data!AP17+Data!AP18+Data!AP19+Data!AP20+Data!AP21+Data!AP22+Data!AP23+Data!AP24)</f>
        <v>0.0329656950306738</v>
      </c>
      <c r="K24" s="18" t="n">
        <f aca="false">(Data!F13+Data!F14+Data!F15+Data!F16+Data!F17+Data!F18+Data!F19+Data!F20+Data!F21+Data!F22+Data!F23+Data!F24)/(Data!AP13+Data!AP14+Data!AP15+Data!AP16+Data!AP17+Data!AP18+Data!AP19+Data!AP20+Data!AP21+Data!AP22+Data!AP23+Data!AP24)</f>
        <v>0.0691466842221094</v>
      </c>
      <c r="L24" s="18" t="n">
        <f aca="false">(Data!N13+Data!O13+Data!P13+Data!Q13+Data!R13+Data!S13+Data!N14+Data!O14+Data!P14+Data!Q14+Data!R14+Data!S14+Data!N15+Data!O15+Data!P15+Data!Q15+Data!R15+Data!S15+Data!N16+Data!O16+Data!P16+Data!Q16+Data!R16+Data!S16+Data!N17+Data!O17+Data!P17+Data!Q17+Data!R17+Data!S17+Data!N18+Data!O18+Data!P18+Data!Q18+Data!R18+Data!S18+Data!N19+Data!O19+Data!P19+Data!Q19+Data!R19+Data!S19+Data!N20+Data!O20+Data!P20+Data!Q20+Data!R20+Data!S20+Data!N21+Data!O21+Data!P21+Data!Q21+Data!R21+Data!S21+Data!N22+Data!O22+Data!P22+Data!Q22+Data!R22+Data!S22+Data!N23+Data!O23+Data!P23+Data!Q23+Data!R23+Data!S23+Data!N24+Data!O24+Data!P24+Data!Q24+Data!R24+Data!S24)/(Data!AP13+Data!AP14+Data!AP15+Data!AP16+Data!AP17+Data!AP18+Data!AP19+Data!AP20+Data!AP21+Data!AP22+Data!AP23+Data!AP24)</f>
        <v>0.0129997641344803</v>
      </c>
      <c r="M24" s="17" t="n">
        <f aca="false">(Data!T13+Data!U13+Data!V13+Data!W13+Data!X13+Data!Y13+Data!Z13+Data!AA13+Data!AB13+Data!AC13+Data!AD13+Data!AE13+Data!AF13+Data!AG13+Data!AH13+Data!AI13+Data!AJ13+Data!AK13+Data!AL13+Data!T14+Data!U14+Data!V14+Data!W14+Data!X14+Data!Y14+Data!Z14+Data!AA14+Data!AB14+Data!AC14+Data!AD14+Data!AE14+Data!AF14+Data!AG14+Data!AH14+Data!AI14+Data!AJ14+Data!AK14+Data!AL14+Data!T15+Data!U15+Data!V15+Data!W15+Data!X15+Data!Y15+Data!Z15+Data!AA15+Data!AB15+Data!AC15+Data!AD15+Data!AE15+Data!AF15+Data!AG15+Data!AH15+Data!AI15+Data!AJ15+Data!AK15+Data!AL15+Data!T16+Data!U16+Data!V16+Data!W16+Data!X16+Data!Y16+Data!Z16+Data!AA16+Data!AB16+Data!AC16+Data!AD16+Data!AE16+Data!AF16+Data!AG16+Data!AH16+Data!AI16+Data!AJ16+Data!AK16+Data!AL16+Data!T17+Data!U17+Data!V17+Data!W17+Data!X17+Data!Y17+Data!Z17+Data!AA17+Data!AB17+Data!AC17+Data!AD17+Data!AE17+Data!AF17+Data!AG17+Data!AH17+Data!AI17+Data!AJ17+Data!AK17+Data!AL17+Data!T18+Data!U18+Data!V18+Data!W18+Data!X18+Data!Y18+Data!Z18+Data!AA18+Data!AB18+Data!AC18+Data!AD18+Data!AE18+Data!AF18+Data!AG18+Data!AH18+Data!AI18+Data!AJ18+Data!AK18+Data!AL18+Data!T19+Data!U19+Data!V19+Data!W19+Data!X19+Data!Y19+Data!Z19+Data!AA19+Data!AB19+Data!AC19+Data!AD19+Data!AE19+Data!AF19+Data!AG19+Data!AH19+Data!AI19+Data!AJ19+Data!AK19+Data!AL19+Data!T20+Data!U20+Data!V20+Data!W20+Data!X20+Data!Y20+Data!Z20+Data!AA20+Data!AB20+Data!AC20+Data!AD20+Data!AE20+Data!AF20+Data!AG20+Data!AH20+Data!AI20+Data!AJ20+Data!AK20+Data!AL20+Data!T21+Data!U21+Data!V21+Data!W21+Data!X21+Data!Y21+Data!Z21+Data!AA21+Data!AB21+Data!AC21+Data!AD21+Data!AE21+Data!AF21+Data!AG21+Data!AH21+Data!AI21+Data!AJ21+Data!AK21+Data!AL21+Data!T22+Data!U22+Data!V22+Data!W22+Data!X22+Data!Y22+Data!Z22+Data!AA22+Data!AB22+Data!AC22+Data!AD22+Data!AE22+Data!AF22+Data!AG22+Data!AH22+Data!AI22+Data!AJ22+Data!AK22+Data!AL22+Data!T23+Data!U23+Data!V23+Data!W23+Data!X23+Data!Y23+Data!Z23+Data!AA23+Data!AB23+Data!AC23+Data!AD23+Data!AE23+Data!AF23+Data!AG23+Data!AH23+Data!AI23+Data!AJ23+Data!AK23+Data!AL23+Data!T24+Data!U24+Data!V24+Data!W24+Data!X24+Data!Y24+Data!Z24+Data!AA24+Data!AB24+Data!AC24+Data!AD24+Data!AE24+Data!AF24+Data!AG24+Data!AH24+Data!AI24+Data!AJ24+Data!AK24+Data!AL24)/(Data!AP13+Data!AP14+Data!AP15+Data!AP16+Data!AP17+Data!AP18+Data!AP19+Data!AP20+Data!AP21+Data!AP22+Data!AP23+Data!AP24)</f>
        <v>0.239611765799489</v>
      </c>
      <c r="N24" s="18" t="n">
        <f aca="false">(Data!T13+Data!U13+Data!V13+Data!W13+Data!T14+Data!U14+Data!V14+Data!W14+Data!T15+Data!U15+Data!V15+Data!W15+Data!T16+Data!U16+Data!V16+Data!W16+Data!T17+Data!U17+Data!V17+Data!W17+Data!T18+Data!U18+Data!V18+Data!W18+Data!T19+Data!U19+Data!V19+Data!W19+Data!T20+Data!U20+Data!V20+Data!W20+Data!T21+Data!U21+Data!V21+Data!W21+Data!T22+Data!U22+Data!V22+Data!W22+Data!T23+Data!U23+Data!V23+Data!W23+Data!T24+Data!U24+Data!V24+Data!W24)/(Data!AP13+Data!AP14+Data!AP15+Data!AP16+Data!AP17+Data!AP18+Data!AP19+Data!AP20+Data!AP21+Data!AP22+Data!AP23+Data!AP24)</f>
        <v>0.116829040746301</v>
      </c>
      <c r="O24" s="18" t="n">
        <f aca="false">(Data!T13+Data!T14+Data!T15+Data!T16+Data!T17+Data!T18+Data!T19+Data!T20+Data!T21+Data!T22+Data!T23+Data!T24)/(Data!AP13+Data!AP14+Data!AP15+Data!AP16+Data!AP17+Data!AP18+Data!AP19+Data!AP20+Data!AP21+Data!AP22+Data!AP23+Data!AP24)</f>
        <v>0.0834875934071987</v>
      </c>
      <c r="P24" s="18" t="n">
        <f aca="false">(Data!U13+Data!U14+Data!U15+Data!U16+Data!U17+Data!U18+Data!U19+Data!U20+Data!U21+Data!U22+Data!U23+Data!U24)/(Data!AP13+Data!AP14+Data!AP15+Data!AP16+Data!AP17+Data!AP18+Data!AP19+Data!AP20+Data!AP21+Data!AP22+Data!AP23+Data!AP24)</f>
        <v>0.0137088987365419</v>
      </c>
      <c r="Q24" s="18" t="n">
        <f aca="false">(Data!V13+Data!V14+Data!V15+Data!V16+Data!V17+Data!V18+Data!V19+Data!V20+Data!V21+Data!V22+Data!V23+Data!V24)/(Data!AP13+Data!AP14+Data!AP15+Data!AP16+Data!AP17+Data!AP18+Data!AP19+Data!AP20+Data!AP21+Data!AP22+Data!AP23+Data!AP24)</f>
        <v>0.0096480277994903</v>
      </c>
      <c r="R24" s="18" t="n">
        <f aca="false">(Data!W13+Data!W14+Data!W15+Data!W16+Data!W17+Data!W18+Data!W19+Data!W20+Data!W21+Data!W22+Data!W23+Data!W24)/(Data!AP13+Data!AP14+Data!AP15+Data!AP16+Data!AP17+Data!AP18+Data!AP19+Data!AP20+Data!AP21+Data!AP22+Data!AP23+Data!AP24)</f>
        <v>0.00998452080307028</v>
      </c>
      <c r="S24" s="18" t="n">
        <f aca="false">(Data!X13+Data!X14+Data!X15+Data!X16+Data!X17+Data!X18+Data!X19+Data!X20+Data!X21+Data!X22+Data!X23+Data!X24)/(Data!AP13+Data!AP14+Data!AP15+Data!AP16+Data!AP17+Data!AP18+Data!AP19+Data!AP20+Data!AP21+Data!AP22+Data!AP23+Data!AP24)</f>
        <v>0.00373145748024758</v>
      </c>
      <c r="T24" s="18" t="n">
        <f aca="false">(Data!Y13+Data!Z13+Data!AA13+Data!Y14+Data!Z14+Data!AA14+Data!Y15+Data!Z15+Data!AA15+Data!Y16+Data!Z16+Data!AA16+Data!Y17+Data!Z17+Data!AA17+Data!Y18+Data!Z18+Data!AA18+Data!Y19+Data!Z19+Data!AA19+Data!Y20+Data!Z20+Data!AA20+Data!Y21+Data!Z21+Data!AA21+Data!Y22+Data!Z22+Data!AA22+Data!Y23+Data!Z23+Data!AA23+Data!Y24+Data!Z24+Data!AA24)/(Data!AP13+Data!AP14+Data!AP15+Data!AP16+Data!AP17+Data!AP18+Data!AP19+Data!AP20+Data!AP21+Data!AP22+Data!AP23+Data!AP24)</f>
        <v>0.0307004545940777</v>
      </c>
      <c r="U24" s="18" t="n">
        <f aca="false">(Data!Y13+Data!Y14+Data!Y15+Data!Y16+Data!Y17+Data!Y18+Data!Y19+Data!Y20+Data!Y21+Data!Y22+Data!Y23+Data!Y24)/(Data!AP13+Data!AP14+Data!AP15+Data!AP16+Data!AP17+Data!AP18+Data!AP19+Data!AP20+Data!AP21+Data!AP22+Data!AP23+Data!AP24)</f>
        <v>0.0208761889862094</v>
      </c>
      <c r="V24" s="18" t="n">
        <f aca="false">(Data!Z13+Data!Z14+Data!Z15+Data!Z16+Data!Z17+Data!Z18+Data!Z19+Data!Z20+Data!Z21+Data!Z22+Data!Z23+Data!Z24)/(Data!AP13+Data!AP14+Data!AP15+Data!AP16+Data!AP17+Data!AP18+Data!AP19+Data!AP20+Data!AP21+Data!AP22+Data!AP23+Data!AP24)</f>
        <v>0.00921134848244405</v>
      </c>
      <c r="W24" s="18" t="n">
        <f aca="false">(Data!AB13+Data!AB14+Data!AB15+Data!AB16+Data!AB17+Data!AB18+Data!AB19+Data!AB20+Data!AB21+Data!AB22+Data!AB23+Data!AB24)/(Data!AP13+Data!AP14+Data!AP15+Data!AP16+Data!AP17+Data!AP18+Data!AP19+Data!AP20+Data!AP21+Data!AP22+Data!AP23+Data!AP24)</f>
        <v>0.0325691331453582</v>
      </c>
      <c r="X24" s="18" t="n">
        <f aca="false">(Data!AC13+Data!AC14+Data!AC15+Data!AC16+Data!AC17+Data!AC18+Data!AC19+Data!AC20+Data!AC21+Data!AC22+Data!AC23+Data!AC24)/(Data!AP13+Data!AP14+Data!AP15+Data!AP16+Data!AP17+Data!AP18+Data!AP19+Data!AP20+Data!AP21+Data!AP22+Data!AP23+Data!AP24)</f>
        <v>0.0101221429017611</v>
      </c>
      <c r="Y24" s="18" t="n">
        <f aca="false">(Data!AD13+Data!AE13+Data!AF13+Data!AG13+Data!AH13+Data!AD14+Data!AE14+Data!AF14+Data!AG14+Data!AH14+Data!AD15+Data!AE15+Data!AF15+Data!AG15+Data!AH15+Data!AD16+Data!AE16+Data!AF16+Data!AG16+Data!AH16+Data!AD17+Data!AE17+Data!AF17+Data!AG17+Data!AH17+Data!AD18+Data!AE18+Data!AF18+Data!AG18+Data!AH18+Data!AD19+Data!AE19+Data!AF19+Data!AG19+Data!AH19+Data!AD20+Data!AE20+Data!AF20+Data!AG20+Data!AH20+Data!AD21+Data!AE21+Data!AF21+Data!AG21+Data!AH21+Data!AD22+Data!AE22+Data!AF22+Data!AG22+Data!AH22+Data!AD23+Data!AE23+Data!AF23+Data!AG23+Data!AH23+Data!AD24+Data!AE24+Data!AF24+Data!AG24+Data!AH24)/(Data!AP13+Data!AP14+Data!AP15+Data!AP16+Data!AP17+Data!AP18+Data!AP19+Data!AP20+Data!AP21+Data!AP22+Data!AP23+Data!AP24)</f>
        <v>0.00954086920510828</v>
      </c>
      <c r="Z24" s="18" t="n">
        <f aca="false">(Data!AI13+Data!AI14+Data!AI15+Data!AI16+Data!AI17+Data!AI18+Data!AI19+Data!AI20+Data!AI21+Data!AI22+Data!AI23+Data!AI24)/(Data!AP13+Data!AP14+Data!AP15+Data!AP16+Data!AP17+Data!AP18+Data!AP19+Data!AP20+Data!AP21+Data!AP22+Data!AP23+Data!AP24)</f>
        <v>0.00784907205736731</v>
      </c>
      <c r="AA24" s="18" t="n">
        <f aca="false">(Data!AJ13+Data!AJ14+Data!AJ15+Data!AJ16+Data!AJ17+Data!AJ18+Data!AJ19+Data!AJ20+Data!AJ21+Data!AJ22+Data!AJ23+Data!AJ24)/(Data!AP13+Data!AP14+Data!AP15+Data!AP16+Data!AP17+Data!AP18+Data!AP19+Data!AP20+Data!AP21+Data!AP22+Data!AP23+Data!AP24)</f>
        <v>0.000629543333761839</v>
      </c>
      <c r="AB24" s="18" t="n">
        <f aca="false">(Data!AK13+Data!AK14+Data!AK15+Data!AK16+Data!AK17+Data!AK18+Data!AK19+Data!AK20+Data!AK21+Data!AK22+Data!AK23+Data!AK24)/(Data!AP13+Data!AP14+Data!AP15+Data!AP16+Data!AP17+Data!AP18+Data!AP19+Data!AP20+Data!AP21+Data!AP22+Data!AP23+Data!AP24)</f>
        <v>0.00548032006563743</v>
      </c>
      <c r="AC24" s="18" t="n">
        <f aca="false">(Data!AL13+Data!AL14+Data!AL15+Data!AL16+Data!AL17+Data!AL18+Data!AL19+Data!AL20+Data!AL21+Data!AL22+Data!AL23+Data!AL24)/(Data!AP13+Data!AP14+Data!AP15+Data!AP16+Data!AP17+Data!AP18+Data!AP19+Data!AP20+Data!AP21+Data!AP22+Data!AP23+Data!AP24)</f>
        <v>0.0221597322698683</v>
      </c>
      <c r="AD24" s="17" t="n">
        <f aca="false">(Data!AM13+Data!AM14+Data!AM15+Data!AM16+Data!AM17+Data!AM18+Data!AM19+Data!AM20+Data!AM21+Data!AM22+Data!AM23+Data!AM24)/(Data!AP13+Data!AP14+Data!AP15+Data!AP16+Data!AP17+Data!AP18+Data!AP19+Data!AP20+Data!AP21+Data!AP22+Data!AP23+Data!AP24)</f>
        <v>-0.0402270574397738</v>
      </c>
      <c r="AE24" s="18" t="n">
        <f aca="false">(Data!AN13+Data!AN14+Data!AN15+Data!AN16+Data!AN17+Data!AN18+Data!AN19+Data!AN20+Data!AN21+Data!AN22+Data!AN23+Data!AN24)/(Data!AP13+Data!AP14+Data!AP15+Data!AP16+Data!AP17+Data!AP18+Data!AP19+Data!AP20+Data!AP21+Data!AP22+Data!AP23+Data!AP24)</f>
        <v>0.0189954966585818</v>
      </c>
      <c r="AF24" s="17" t="n">
        <f aca="false">(Data!AO13+Data!AO14+Data!AO15+Data!AO16+Data!AO17+Data!AO18+Data!AO19+Data!AO20+Data!AO21+Data!AO22+Data!AO23+Data!AO24)/(Data!AP13+Data!AP14+Data!AP15+Data!AP16+Data!AP17+Data!AP18+Data!AP19+Data!AP20+Data!AP21+Data!AP22+Data!AP23+Data!AP24)</f>
        <v>-0.0592224468324953</v>
      </c>
    </row>
    <row r="25" customFormat="false" ht="15" hidden="false" customHeight="false" outlineLevel="0" collapsed="false">
      <c r="B25" s="14" t="str">
        <f aca="false">Data!B25</f>
        <v>2017-07</v>
      </c>
      <c r="C25" s="17" t="n">
        <f aca="false">(Data!D14+Data!E14+Data!F14+Data!G14+Data!H14+Data!I14+Data!J14+Data!K14+Data!L14+Data!M14+Data!N14+Data!O14+Data!P14+Data!Q14+Data!R14+Data!S14+Data!D15+Data!E15+Data!F15+Data!G15+Data!H15+Data!I15+Data!J15+Data!K15+Data!L15+Data!M15+Data!N15+Data!O15+Data!P15+Data!Q15+Data!R15+Data!S15+Data!D16+Data!E16+Data!F16+Data!G16+Data!H16+Data!I16+Data!J16+Data!K16+Data!L16+Data!M16+Data!N16+Data!O16+Data!P16+Data!Q16+Data!R16+Data!S16+Data!D17+Data!E17+Data!F17+Data!G17+Data!H17+Data!I17+Data!J17+Data!K17+Data!L17+Data!M17+Data!N17+Data!O17+Data!P17+Data!Q17+Data!R17+Data!S17+Data!D18+Data!E18+Data!F18+Data!G18+Data!H18+Data!I18+Data!J18+Data!K18+Data!L18+Data!M18+Data!N18+Data!O18+Data!P18+Data!Q18+Data!R18+Data!S18+Data!D19+Data!E19+Data!F19+Data!G19+Data!H19+Data!I19+Data!J19+Data!K19+Data!L19+Data!M19+Data!N19+Data!O19+Data!P19+Data!Q19+Data!R19+Data!S19+Data!D20+Data!E20+Data!F20+Data!G20+Data!H20+Data!I20+Data!J20+Data!K20+Data!L20+Data!M20+Data!N20+Data!O20+Data!P20+Data!Q20+Data!R20+Data!S20+Data!D21+Data!E21+Data!F21+Data!G21+Data!H21+Data!I21+Data!J21+Data!K21+Data!L21+Data!M21+Data!N21+Data!O21+Data!P21+Data!Q21+Data!R21+Data!S21+Data!D22+Data!E22+Data!F22+Data!G22+Data!H22+Data!I22+Data!J22+Data!K22+Data!L22+Data!M22+Data!N22+Data!O22+Data!P22+Data!Q22+Data!R22+Data!S22+Data!D23+Data!E23+Data!F23+Data!G23+Data!H23+Data!I23+Data!J23+Data!K23+Data!L23+Data!M23+Data!N23+Data!O23+Data!P23+Data!Q23+Data!R23+Data!S23+Data!D24+Data!E24+Data!F24+Data!G24+Data!H24+Data!I24+Data!J24+Data!K24+Data!L24+Data!M24+Data!N24+Data!O24+Data!P24+Data!Q24+Data!R24+Data!S24+Data!D25+Data!E25+Data!F25+Data!G25+Data!H25+Data!I25+Data!J25+Data!K25+Data!L25+Data!M25+Data!N25+Data!O25+Data!P25+Data!Q25+Data!R25+Data!S25)/(Data!AP14+Data!AP15+Data!AP16+Data!AP17+Data!AP18+Data!AP19+Data!AP20+Data!AP21+Data!AP22+Data!AP23+Data!AP24+Data!AP25)</f>
        <v>0.19937068809682</v>
      </c>
      <c r="D25" s="18" t="n">
        <f aca="false">(Data!D14+Data!E14+Data!G14+Data!H14+Data!I14+Data!J14+Data!K14+Data!L14+Data!M14+Data!D15+Data!E15+Data!G15+Data!H15+Data!I15+Data!J15+Data!K15+Data!L15+Data!M15+Data!D16+Data!E16+Data!G16+Data!H16+Data!I16+Data!J16+Data!K16+Data!L16+Data!M16+Data!D17+Data!E17+Data!G17+Data!H17+Data!I17+Data!J17+Data!K17+Data!L17+Data!M17+Data!D18+Data!E18+Data!G18+Data!H18+Data!I18+Data!J18+Data!K18+Data!L18+Data!M18+Data!D19+Data!E19+Data!G19+Data!H19+Data!I19+Data!J19+Data!K19+Data!L19+Data!M19+Data!D20+Data!E20+Data!G20+Data!H20+Data!I20+Data!J20+Data!K20+Data!L20+Data!M20+Data!D21+Data!E21+Data!G21+Data!H21+Data!I21+Data!J21+Data!K21+Data!L21+Data!M21+Data!D22+Data!E22+Data!G22+Data!H22+Data!I22+Data!J22+Data!K22+Data!L22+Data!M22+Data!D23+Data!E23+Data!G23+Data!H23+Data!I23+Data!J23+Data!K23+Data!L23+Data!M23+Data!D24+Data!E24+Data!G24+Data!H24+Data!I24+Data!J24+Data!K24+Data!L24+Data!M24+Data!D25+Data!E25+Data!G25+Data!H25+Data!I25+Data!J25+Data!K25+Data!L25+Data!M25)/(Data!AP14+Data!AP15+Data!AP16+Data!AP17+Data!AP18+Data!AP19+Data!AP20+Data!AP21+Data!AP22+Data!AP23+Data!AP24+Data!AP25)</f>
        <v>0.11674675551302</v>
      </c>
      <c r="E25" s="18" t="n">
        <f aca="false">(Data!D14+Data!D15+Data!D16+Data!D17+Data!D18+Data!D19+Data!D20+Data!D21+Data!D22+Data!D23+Data!D24+Data!D25)/(Data!AP14+Data!AP15+Data!AP16+Data!AP17+Data!AP18+Data!AP19+Data!AP20+Data!AP21+Data!AP22+Data!AP23+Data!AP24+Data!AP25)</f>
        <v>0.0321599244137132</v>
      </c>
      <c r="F25" s="18" t="n">
        <f aca="false">(Data!E14+Data!E15+Data!E16+Data!E17+Data!E18+Data!E19+Data!E20+Data!E21+Data!E22+Data!E23+Data!E24+Data!E25)/(Data!AP14+Data!AP15+Data!AP16+Data!AP17+Data!AP18+Data!AP19+Data!AP20+Data!AP21+Data!AP22+Data!AP23+Data!AP24+Data!AP25)</f>
        <v>0.0256074138048727</v>
      </c>
      <c r="G25" s="18" t="n">
        <f aca="false">(Data!K14+Data!K15+Data!K16+Data!K17+Data!K18+Data!K19+Data!K20+Data!K21+Data!K22+Data!K23+Data!K24+Data!K25)/(Data!AP14+Data!AP15+Data!AP16+Data!AP17+Data!AP18+Data!AP19+Data!AP20+Data!AP21+Data!AP22+Data!AP23+Data!AP24+Data!AP25)</f>
        <v>0.00682685251760026</v>
      </c>
      <c r="H25" s="18" t="n">
        <f aca="false">(Data!L14+Data!L15+Data!L16+Data!L17+Data!L18+Data!L19+Data!L20+Data!L21+Data!L22+Data!L23+Data!L24+Data!L25)/(Data!AP14+Data!AP15+Data!AP16+Data!AP17+Data!AP18+Data!AP19+Data!AP20+Data!AP21+Data!AP22+Data!AP23+Data!AP24+Data!AP25)</f>
        <v>0.00628488556395238</v>
      </c>
      <c r="I25" s="18" t="n">
        <f aca="false">(Data!G14+Data!G15+Data!G16+Data!G17+Data!G18+Data!G19+Data!G20+Data!G21+Data!G22+Data!G23+Data!G24+Data!G25)/(Data!AP14+Data!AP15+Data!AP16+Data!AP17+Data!AP18+Data!AP19+Data!AP20+Data!AP21+Data!AP22+Data!AP23+Data!AP24+Data!AP25)</f>
        <v>0.0132937231120765</v>
      </c>
      <c r="J25" s="18" t="n">
        <f aca="false">(Data!H14+Data!I14+Data!J14+Data!M14+Data!H15+Data!I15+Data!J15+Data!M15+Data!H16+Data!I16+Data!J16+Data!M16+Data!H17+Data!I17+Data!J17+Data!M17+Data!H18+Data!I18+Data!J18+Data!M18+Data!H19+Data!I19+Data!J19+Data!M19+Data!H20+Data!I20+Data!J20+Data!M20+Data!H21+Data!I21+Data!J21+Data!M21+Data!H22+Data!I22+Data!J22+Data!M22+Data!H23+Data!I23+Data!J23+Data!M23+Data!H24+Data!I24+Data!J24+Data!M24+Data!H25+Data!I25+Data!J25+Data!M25)/(Data!AP14+Data!AP15+Data!AP16+Data!AP17+Data!AP18+Data!AP19+Data!AP20+Data!AP21+Data!AP22+Data!AP23+Data!AP24+Data!AP25)</f>
        <v>0.0325739561008047</v>
      </c>
      <c r="K25" s="18" t="n">
        <f aca="false">(Data!F14+Data!F15+Data!F16+Data!F17+Data!F18+Data!F19+Data!F20+Data!F21+Data!F22+Data!F23+Data!F24+Data!F25)/(Data!AP14+Data!AP15+Data!AP16+Data!AP17+Data!AP18+Data!AP19+Data!AP20+Data!AP21+Data!AP22+Data!AP23+Data!AP24+Data!AP25)</f>
        <v>0.0695973097616215</v>
      </c>
      <c r="L25" s="18" t="n">
        <f aca="false">(Data!N14+Data!O14+Data!P14+Data!Q14+Data!R14+Data!S14+Data!N15+Data!O15+Data!P15+Data!Q15+Data!R15+Data!S15+Data!N16+Data!O16+Data!P16+Data!Q16+Data!R16+Data!S16+Data!N17+Data!O17+Data!P17+Data!Q17+Data!R17+Data!S17+Data!N18+Data!O18+Data!P18+Data!Q18+Data!R18+Data!S18+Data!N19+Data!O19+Data!P19+Data!Q19+Data!R19+Data!S19+Data!N20+Data!O20+Data!P20+Data!Q20+Data!R20+Data!S20+Data!N21+Data!O21+Data!P21+Data!Q21+Data!R21+Data!S21+Data!N22+Data!O22+Data!P22+Data!Q22+Data!R22+Data!S22+Data!N23+Data!O23+Data!P23+Data!Q23+Data!R23+Data!S23+Data!N24+Data!O24+Data!P24+Data!Q24+Data!R24+Data!S24+Data!N25+Data!O25+Data!P25+Data!Q25+Data!R25+Data!S25)/(Data!AP14+Data!AP15+Data!AP16+Data!AP17+Data!AP18+Data!AP19+Data!AP20+Data!AP21+Data!AP22+Data!AP23+Data!AP24+Data!AP25)</f>
        <v>0.0130266228221784</v>
      </c>
      <c r="M25" s="17" t="n">
        <f aca="false">(Data!T14+Data!U14+Data!V14+Data!W14+Data!X14+Data!Y14+Data!Z14+Data!AA14+Data!AB14+Data!AC14+Data!AD14+Data!AE14+Data!AF14+Data!AG14+Data!AH14+Data!AI14+Data!AJ14+Data!AK14+Data!AL14+Data!T15+Data!U15+Data!V15+Data!W15+Data!X15+Data!Y15+Data!Z15+Data!AA15+Data!AB15+Data!AC15+Data!AD15+Data!AE15+Data!AF15+Data!AG15+Data!AH15+Data!AI15+Data!AJ15+Data!AK15+Data!AL15+Data!T16+Data!U16+Data!V16+Data!W16+Data!X16+Data!Y16+Data!Z16+Data!AA16+Data!AB16+Data!AC16+Data!AD16+Data!AE16+Data!AF16+Data!AG16+Data!AH16+Data!AI16+Data!AJ16+Data!AK16+Data!AL16+Data!T17+Data!U17+Data!V17+Data!W17+Data!X17+Data!Y17+Data!Z17+Data!AA17+Data!AB17+Data!AC17+Data!AD17+Data!AE17+Data!AF17+Data!AG17+Data!AH17+Data!AI17+Data!AJ17+Data!AK17+Data!AL17+Data!T18+Data!U18+Data!V18+Data!W18+Data!X18+Data!Y18+Data!Z18+Data!AA18+Data!AB18+Data!AC18+Data!AD18+Data!AE18+Data!AF18+Data!AG18+Data!AH18+Data!AI18+Data!AJ18+Data!AK18+Data!AL18+Data!T19+Data!U19+Data!V19+Data!W19+Data!X19+Data!Y19+Data!Z19+Data!AA19+Data!AB19+Data!AC19+Data!AD19+Data!AE19+Data!AF19+Data!AG19+Data!AH19+Data!AI19+Data!AJ19+Data!AK19+Data!AL19+Data!T20+Data!U20+Data!V20+Data!W20+Data!X20+Data!Y20+Data!Z20+Data!AA20+Data!AB20+Data!AC20+Data!AD20+Data!AE20+Data!AF20+Data!AG20+Data!AH20+Data!AI20+Data!AJ20+Data!AK20+Data!AL20+Data!T21+Data!U21+Data!V21+Data!W21+Data!X21+Data!Y21+Data!Z21+Data!AA21+Data!AB21+Data!AC21+Data!AD21+Data!AE21+Data!AF21+Data!AG21+Data!AH21+Data!AI21+Data!AJ21+Data!AK21+Data!AL21+Data!T22+Data!U22+Data!V22+Data!W22+Data!X22+Data!Y22+Data!Z22+Data!AA22+Data!AB22+Data!AC22+Data!AD22+Data!AE22+Data!AF22+Data!AG22+Data!AH22+Data!AI22+Data!AJ22+Data!AK22+Data!AL22+Data!T23+Data!U23+Data!V23+Data!W23+Data!X23+Data!Y23+Data!Z23+Data!AA23+Data!AB23+Data!AC23+Data!AD23+Data!AE23+Data!AF23+Data!AG23+Data!AH23+Data!AI23+Data!AJ23+Data!AK23+Data!AL23+Data!T24+Data!U24+Data!V24+Data!W24+Data!X24+Data!Y24+Data!Z24+Data!AA24+Data!AB24+Data!AC24+Data!AD24+Data!AE24+Data!AF24+Data!AG24+Data!AH24+Data!AI24+Data!AJ24+Data!AK24+Data!AL24+Data!T25+Data!U25+Data!V25+Data!W25+Data!X25+Data!Y25+Data!Z25+Data!AA25+Data!AB25+Data!AC25+Data!AD25+Data!AE25+Data!AF25+Data!AG25+Data!AH25+Data!AI25+Data!AJ25+Data!AK25+Data!AL25)/(Data!AP14+Data!AP15+Data!AP16+Data!AP17+Data!AP18+Data!AP19+Data!AP20+Data!AP21+Data!AP22+Data!AP23+Data!AP24+Data!AP25)</f>
        <v>0.238490752795587</v>
      </c>
      <c r="N25" s="18" t="n">
        <f aca="false">(Data!T14+Data!U14+Data!V14+Data!W14+Data!T15+Data!U15+Data!V15+Data!W15+Data!T16+Data!U16+Data!V16+Data!W16+Data!T17+Data!U17+Data!V17+Data!W17+Data!T18+Data!U18+Data!V18+Data!W18+Data!T19+Data!U19+Data!V19+Data!W19+Data!T20+Data!U20+Data!V20+Data!W20+Data!T21+Data!U21+Data!V21+Data!W21+Data!T22+Data!U22+Data!V22+Data!W22+Data!T23+Data!U23+Data!V23+Data!W23+Data!T24+Data!U24+Data!V24+Data!W24+Data!T25+Data!U25+Data!V25+Data!W25)/(Data!AP14+Data!AP15+Data!AP16+Data!AP17+Data!AP18+Data!AP19+Data!AP20+Data!AP21+Data!AP22+Data!AP23+Data!AP24+Data!AP25)</f>
        <v>0.11768333821913</v>
      </c>
      <c r="O25" s="18" t="n">
        <f aca="false">(Data!T14+Data!T15+Data!T16+Data!T17+Data!T18+Data!T19+Data!T20+Data!T21+Data!T22+Data!T23+Data!T24+Data!T25)/(Data!AP14+Data!AP15+Data!AP16+Data!AP17+Data!AP18+Data!AP19+Data!AP20+Data!AP21+Data!AP22+Data!AP23+Data!AP24+Data!AP25)</f>
        <v>0.0841401596518385</v>
      </c>
      <c r="P25" s="18" t="n">
        <f aca="false">(Data!U14+Data!U15+Data!U16+Data!U17+Data!U18+Data!U19+Data!U20+Data!U21+Data!U22+Data!U23+Data!U24+Data!U25)/(Data!AP14+Data!AP15+Data!AP16+Data!AP17+Data!AP18+Data!AP19+Data!AP20+Data!AP21+Data!AP22+Data!AP23+Data!AP24+Data!AP25)</f>
        <v>0.0137225528898855</v>
      </c>
      <c r="Q25" s="18" t="n">
        <f aca="false">(Data!V14+Data!V15+Data!V16+Data!V17+Data!V18+Data!V19+Data!V20+Data!V21+Data!V22+Data!V23+Data!V24+Data!V25)/(Data!AP14+Data!AP15+Data!AP16+Data!AP17+Data!AP18+Data!AP19+Data!AP20+Data!AP21+Data!AP22+Data!AP23+Data!AP24+Data!AP25)</f>
        <v>0.00962830950708962</v>
      </c>
      <c r="R25" s="18" t="n">
        <f aca="false">(Data!W14+Data!W15+Data!W16+Data!W17+Data!W18+Data!W19+Data!W20+Data!W21+Data!W22+Data!W23+Data!W24+Data!W25)/(Data!AP14+Data!AP15+Data!AP16+Data!AP17+Data!AP18+Data!AP19+Data!AP20+Data!AP21+Data!AP22+Data!AP23+Data!AP24+Data!AP25)</f>
        <v>0.0101923161703165</v>
      </c>
      <c r="S25" s="18" t="n">
        <f aca="false">(Data!X14+Data!X15+Data!X16+Data!X17+Data!X18+Data!X19+Data!X20+Data!X21+Data!X22+Data!X23+Data!X24+Data!X25)/(Data!AP14+Data!AP15+Data!AP16+Data!AP17+Data!AP18+Data!AP19+Data!AP20+Data!AP21+Data!AP22+Data!AP23+Data!AP24+Data!AP25)</f>
        <v>0.00371946336895451</v>
      </c>
      <c r="T25" s="18" t="n">
        <f aca="false">(Data!Y14+Data!Z14+Data!AA14+Data!Y15+Data!Z15+Data!AA15+Data!Y16+Data!Z16+Data!AA16+Data!Y17+Data!Z17+Data!AA17+Data!Y18+Data!Z18+Data!AA18+Data!Y19+Data!Z19+Data!AA19+Data!Y20+Data!Z20+Data!AA20+Data!Y21+Data!Z21+Data!AA21+Data!Y22+Data!Z22+Data!AA22+Data!Y23+Data!Z23+Data!AA23+Data!Y24+Data!Z24+Data!AA24+Data!Y25+Data!Z25+Data!AA25)/(Data!AP14+Data!AP15+Data!AP16+Data!AP17+Data!AP18+Data!AP19+Data!AP20+Data!AP21+Data!AP22+Data!AP23+Data!AP24+Data!AP25)</f>
        <v>0.0291626288619645</v>
      </c>
      <c r="U25" s="18" t="n">
        <f aca="false">(Data!Y14+Data!Y15+Data!Y16+Data!Y17+Data!Y18+Data!Y19+Data!Y20+Data!Y21+Data!Y22+Data!Y23+Data!Y24+Data!Y25)/(Data!AP14+Data!AP15+Data!AP16+Data!AP17+Data!AP18+Data!AP19+Data!AP20+Data!AP21+Data!AP22+Data!AP23+Data!AP24+Data!AP25)</f>
        <v>0.019306260836231</v>
      </c>
      <c r="V25" s="18" t="n">
        <f aca="false">(Data!Z14+Data!Z15+Data!Z16+Data!Z17+Data!Z18+Data!Z19+Data!Z20+Data!Z21+Data!Z22+Data!Z23+Data!Z24+Data!Z25)/(Data!AP14+Data!AP15+Data!AP16+Data!AP17+Data!AP18+Data!AP19+Data!AP20+Data!AP21+Data!AP22+Data!AP23+Data!AP24+Data!AP25)</f>
        <v>0.0091679944298821</v>
      </c>
      <c r="W25" s="18" t="n">
        <f aca="false">(Data!AB14+Data!AB15+Data!AB16+Data!AB17+Data!AB18+Data!AB19+Data!AB20+Data!AB21+Data!AB22+Data!AB23+Data!AB24+Data!AB25)/(Data!AP14+Data!AP15+Data!AP16+Data!AP17+Data!AP18+Data!AP19+Data!AP20+Data!AP21+Data!AP22+Data!AP23+Data!AP24+Data!AP25)</f>
        <v>0.0327012616613731</v>
      </c>
      <c r="X25" s="18" t="n">
        <f aca="false">(Data!AC14+Data!AC15+Data!AC16+Data!AC17+Data!AC18+Data!AC19+Data!AC20+Data!AC21+Data!AC22+Data!AC23+Data!AC24+Data!AC25)/(Data!AP14+Data!AP15+Data!AP16+Data!AP17+Data!AP18+Data!AP19+Data!AP20+Data!AP21+Data!AP22+Data!AP23+Data!AP24+Data!AP25)</f>
        <v>0.0101517001340923</v>
      </c>
      <c r="Y25" s="18" t="n">
        <f aca="false">(Data!AD14+Data!AE14+Data!AF14+Data!AG14+Data!AH14+Data!AD15+Data!AE15+Data!AF15+Data!AG15+Data!AH15+Data!AD16+Data!AE16+Data!AF16+Data!AG16+Data!AH16+Data!AD17+Data!AE17+Data!AF17+Data!AG17+Data!AH17+Data!AD18+Data!AE18+Data!AF18+Data!AG18+Data!AH18+Data!AD19+Data!AE19+Data!AF19+Data!AG19+Data!AH19+Data!AD20+Data!AE20+Data!AF20+Data!AG20+Data!AH20+Data!AD21+Data!AE21+Data!AF21+Data!AG21+Data!AH21+Data!AD22+Data!AE22+Data!AF22+Data!AG22+Data!AH22+Data!AD23+Data!AE23+Data!AF23+Data!AG23+Data!AH23+Data!AD24+Data!AE24+Data!AF24+Data!AG24+Data!AH24+Data!AD25+Data!AE25+Data!AF25+Data!AG25+Data!AH25)/(Data!AP14+Data!AP15+Data!AP16+Data!AP17+Data!AP18+Data!AP19+Data!AP20+Data!AP21+Data!AP22+Data!AP23+Data!AP24+Data!AP25)</f>
        <v>0.00892356355555098</v>
      </c>
      <c r="Z25" s="18" t="n">
        <f aca="false">(Data!AI14+Data!AI15+Data!AI16+Data!AI17+Data!AI18+Data!AI19+Data!AI20+Data!AI21+Data!AI22+Data!AI23+Data!AI24+Data!AI25)/(Data!AP14+Data!AP15+Data!AP16+Data!AP17+Data!AP18+Data!AP19+Data!AP20+Data!AP21+Data!AP22+Data!AP23+Data!AP24+Data!AP25)</f>
        <v>0.00783207317639954</v>
      </c>
      <c r="AA25" s="18" t="n">
        <f aca="false">(Data!AJ14+Data!AJ15+Data!AJ16+Data!AJ17+Data!AJ18+Data!AJ19+Data!AJ20+Data!AJ21+Data!AJ22+Data!AJ23+Data!AJ24+Data!AJ25)/(Data!AP14+Data!AP15+Data!AP16+Data!AP17+Data!AP18+Data!AP19+Data!AP20+Data!AP21+Data!AP22+Data!AP23+Data!AP24+Data!AP25)</f>
        <v>0.000594547403643548</v>
      </c>
      <c r="AB25" s="18" t="n">
        <f aca="false">(Data!AK14+Data!AK15+Data!AK16+Data!AK17+Data!AK18+Data!AK19+Data!AK20+Data!AK21+Data!AK22+Data!AK23+Data!AK24+Data!AK25)/(Data!AP14+Data!AP15+Data!AP16+Data!AP17+Data!AP18+Data!AP19+Data!AP20+Data!AP21+Data!AP22+Data!AP23+Data!AP24+Data!AP25)</f>
        <v>0.00517387429917381</v>
      </c>
      <c r="AC25" s="18" t="n">
        <f aca="false">(Data!AL14+Data!AL15+Data!AL16+Data!AL17+Data!AL18+Data!AL19+Data!AL20+Data!AL21+Data!AL22+Data!AL23+Data!AL24+Data!AL25)/(Data!AP14+Data!AP15+Data!AP16+Data!AP17+Data!AP18+Data!AP19+Data!AP20+Data!AP21+Data!AP22+Data!AP23+Data!AP24+Data!AP25)</f>
        <v>0.0225483021153048</v>
      </c>
      <c r="AD25" s="17" t="n">
        <f aca="false">(Data!AM14+Data!AM15+Data!AM16+Data!AM17+Data!AM18+Data!AM19+Data!AM20+Data!AM21+Data!AM22+Data!AM23+Data!AM24+Data!AM25)/(Data!AP14+Data!AP15+Data!AP16+Data!AP17+Data!AP18+Data!AP19+Data!AP20+Data!AP21+Data!AP22+Data!AP23+Data!AP24+Data!AP25)</f>
        <v>-0.0391200646987675</v>
      </c>
      <c r="AE25" s="18" t="n">
        <f aca="false">(Data!AN14+Data!AN15+Data!AN16+Data!AN17+Data!AN18+Data!AN19+Data!AN20+Data!AN21+Data!AN22+Data!AN23+Data!AN24+Data!AN25)/(Data!AP14+Data!AP15+Data!AP16+Data!AP17+Data!AP18+Data!AP19+Data!AP20+Data!AP21+Data!AP22+Data!AP23+Data!AP24+Data!AP25)</f>
        <v>0.0193635640811365</v>
      </c>
      <c r="AF25" s="17" t="n">
        <f aca="false">(Data!AO14+Data!AO15+Data!AO16+Data!AO17+Data!AO18+Data!AO19+Data!AO20+Data!AO21+Data!AO22+Data!AO23+Data!AO24+Data!AO25)/(Data!AP14+Data!AP15+Data!AP16+Data!AP17+Data!AP18+Data!AP19+Data!AP20+Data!AP21+Data!AP22+Data!AP23+Data!AP24+Data!AP25)</f>
        <v>-0.058483523828906</v>
      </c>
    </row>
    <row r="26" customFormat="false" ht="15" hidden="false" customHeight="false" outlineLevel="0" collapsed="false">
      <c r="B26" s="14" t="str">
        <f aca="false">Data!B26</f>
        <v>2017-08</v>
      </c>
      <c r="C26" s="17" t="n">
        <f aca="false">(Data!D15+Data!E15+Data!F15+Data!G15+Data!H15+Data!I15+Data!J15+Data!K15+Data!L15+Data!M15+Data!N15+Data!O15+Data!P15+Data!Q15+Data!R15+Data!S15+Data!D16+Data!E16+Data!F16+Data!G16+Data!H16+Data!I16+Data!J16+Data!K16+Data!L16+Data!M16+Data!N16+Data!O16+Data!P16+Data!Q16+Data!R16+Data!S16+Data!D17+Data!E17+Data!F17+Data!G17+Data!H17+Data!I17+Data!J17+Data!K17+Data!L17+Data!M17+Data!N17+Data!O17+Data!P17+Data!Q17+Data!R17+Data!S17+Data!D18+Data!E18+Data!F18+Data!G18+Data!H18+Data!I18+Data!J18+Data!K18+Data!L18+Data!M18+Data!N18+Data!O18+Data!P18+Data!Q18+Data!R18+Data!S18+Data!D19+Data!E19+Data!F19+Data!G19+Data!H19+Data!I19+Data!J19+Data!K19+Data!L19+Data!M19+Data!N19+Data!O19+Data!P19+Data!Q19+Data!R19+Data!S19+Data!D20+Data!E20+Data!F20+Data!G20+Data!H20+Data!I20+Data!J20+Data!K20+Data!L20+Data!M20+Data!N20+Data!O20+Data!P20+Data!Q20+Data!R20+Data!S20+Data!D21+Data!E21+Data!F21+Data!G21+Data!H21+Data!I21+Data!J21+Data!K21+Data!L21+Data!M21+Data!N21+Data!O21+Data!P21+Data!Q21+Data!R21+Data!S21+Data!D22+Data!E22+Data!F22+Data!G22+Data!H22+Data!I22+Data!J22+Data!K22+Data!L22+Data!M22+Data!N22+Data!O22+Data!P22+Data!Q22+Data!R22+Data!S22+Data!D23+Data!E23+Data!F23+Data!G23+Data!H23+Data!I23+Data!J23+Data!K23+Data!L23+Data!M23+Data!N23+Data!O23+Data!P23+Data!Q23+Data!R23+Data!S23+Data!D24+Data!E24+Data!F24+Data!G24+Data!H24+Data!I24+Data!J24+Data!K24+Data!L24+Data!M24+Data!N24+Data!O24+Data!P24+Data!Q24+Data!R24+Data!S24+Data!D25+Data!E25+Data!F25+Data!G25+Data!H25+Data!I25+Data!J25+Data!K25+Data!L25+Data!M25+Data!N25+Data!O25+Data!P25+Data!Q25+Data!R25+Data!S25+Data!D26+Data!E26+Data!F26+Data!G26+Data!H26+Data!I26+Data!J26+Data!K26+Data!L26+Data!M26+Data!N26+Data!O26+Data!P26+Data!Q26+Data!R26+Data!S26)/(Data!AP15+Data!AP16+Data!AP17+Data!AP18+Data!AP19+Data!AP20+Data!AP21+Data!AP22+Data!AP23+Data!AP24+Data!AP25+Data!AP26)</f>
        <v>0.198943761588624</v>
      </c>
      <c r="D26" s="18" t="n">
        <f aca="false">(Data!D15+Data!E15+Data!G15+Data!H15+Data!I15+Data!J15+Data!K15+Data!L15+Data!M15+Data!D16+Data!E16+Data!G16+Data!H16+Data!I16+Data!J16+Data!K16+Data!L16+Data!M16+Data!D17+Data!E17+Data!G17+Data!H17+Data!I17+Data!J17+Data!K17+Data!L17+Data!M17+Data!D18+Data!E18+Data!G18+Data!H18+Data!I18+Data!J18+Data!K18+Data!L18+Data!M18+Data!D19+Data!E19+Data!G19+Data!H19+Data!I19+Data!J19+Data!K19+Data!L19+Data!M19+Data!D20+Data!E20+Data!G20+Data!H20+Data!I20+Data!J20+Data!K20+Data!L20+Data!M20+Data!D21+Data!E21+Data!G21+Data!H21+Data!I21+Data!J21+Data!K21+Data!L21+Data!M21+Data!D22+Data!E22+Data!G22+Data!H22+Data!I22+Data!J22+Data!K22+Data!L22+Data!M22+Data!D23+Data!E23+Data!G23+Data!H23+Data!I23+Data!J23+Data!K23+Data!L23+Data!M23+Data!D24+Data!E24+Data!G24+Data!H24+Data!I24+Data!J24+Data!K24+Data!L24+Data!M24+Data!D25+Data!E25+Data!G25+Data!H25+Data!I25+Data!J25+Data!K25+Data!L25+Data!M25+Data!D26+Data!E26+Data!G26+Data!H26+Data!I26+Data!J26+Data!K26+Data!L26+Data!M26)/(Data!AP15+Data!AP16+Data!AP17+Data!AP18+Data!AP19+Data!AP20+Data!AP21+Data!AP22+Data!AP23+Data!AP24+Data!AP25+Data!AP26)</f>
        <v>0.116532214765103</v>
      </c>
      <c r="E26" s="18" t="n">
        <f aca="false">(Data!D15+Data!D16+Data!D17+Data!D18+Data!D19+Data!D20+Data!D21+Data!D22+Data!D23+Data!D24+Data!D25+Data!D26)/(Data!AP15+Data!AP16+Data!AP17+Data!AP18+Data!AP19+Data!AP20+Data!AP21+Data!AP22+Data!AP23+Data!AP24+Data!AP25+Data!AP26)</f>
        <v>0.032233454230702</v>
      </c>
      <c r="F26" s="18" t="n">
        <f aca="false">(Data!E15+Data!E16+Data!E17+Data!E18+Data!E19+Data!E20+Data!E21+Data!E22+Data!E23+Data!E24+Data!E25+Data!E26)/(Data!AP15+Data!AP16+Data!AP17+Data!AP18+Data!AP19+Data!AP20+Data!AP21+Data!AP22+Data!AP23+Data!AP24+Data!AP25+Data!AP26)</f>
        <v>0.0256779669607812</v>
      </c>
      <c r="G26" s="18" t="n">
        <f aca="false">(Data!K15+Data!K16+Data!K17+Data!K18+Data!K19+Data!K20+Data!K21+Data!K22+Data!K23+Data!K24+Data!K25+Data!K26)/(Data!AP15+Data!AP16+Data!AP17+Data!AP18+Data!AP19+Data!AP20+Data!AP21+Data!AP22+Data!AP23+Data!AP24+Data!AP25+Data!AP26)</f>
        <v>0.0068775468457852</v>
      </c>
      <c r="H26" s="18" t="n">
        <f aca="false">(Data!L15+Data!L16+Data!L17+Data!L18+Data!L19+Data!L20+Data!L21+Data!L22+Data!L23+Data!L24+Data!L25+Data!L26)/(Data!AP15+Data!AP16+Data!AP17+Data!AP18+Data!AP19+Data!AP20+Data!AP21+Data!AP22+Data!AP23+Data!AP24+Data!AP25+Data!AP26)</f>
        <v>0.00632689576465607</v>
      </c>
      <c r="I26" s="18" t="n">
        <f aca="false">(Data!G15+Data!G16+Data!G17+Data!G18+Data!G19+Data!G20+Data!G21+Data!G22+Data!G23+Data!G24+Data!G25+Data!G26)/(Data!AP15+Data!AP16+Data!AP17+Data!AP18+Data!AP19+Data!AP20+Data!AP21+Data!AP22+Data!AP23+Data!AP24+Data!AP25+Data!AP26)</f>
        <v>0.0133046822426871</v>
      </c>
      <c r="J26" s="18" t="n">
        <f aca="false">(Data!H15+Data!I15+Data!J15+Data!M15+Data!H16+Data!I16+Data!J16+Data!M16+Data!H17+Data!I17+Data!J17+Data!M17+Data!H18+Data!I18+Data!J18+Data!M18+Data!H19+Data!I19+Data!J19+Data!M19+Data!H20+Data!I20+Data!J20+Data!M20+Data!H21+Data!I21+Data!J21+Data!M21+Data!H22+Data!I22+Data!J22+Data!M22+Data!H23+Data!I23+Data!J23+Data!M23+Data!H24+Data!I24+Data!J24+Data!M24+Data!H25+Data!I25+Data!J25+Data!M25+Data!H26+Data!I26+Data!J26+Data!M26)/(Data!AP15+Data!AP16+Data!AP17+Data!AP18+Data!AP19+Data!AP20+Data!AP21+Data!AP22+Data!AP23+Data!AP24+Data!AP25+Data!AP26)</f>
        <v>0.0321116687204914</v>
      </c>
      <c r="K26" s="18" t="n">
        <f aca="false">(Data!F15+Data!F16+Data!F17+Data!F18+Data!F19+Data!F20+Data!F21+Data!F22+Data!F23+Data!F24+Data!F25+Data!F26)/(Data!AP15+Data!AP16+Data!AP17+Data!AP18+Data!AP19+Data!AP20+Data!AP21+Data!AP22+Data!AP23+Data!AP24+Data!AP25+Data!AP26)</f>
        <v>0.069269792458016</v>
      </c>
      <c r="L26" s="18" t="n">
        <f aca="false">(Data!N15+Data!O15+Data!P15+Data!Q15+Data!R15+Data!S15+Data!N16+Data!O16+Data!P16+Data!Q16+Data!R16+Data!S16+Data!N17+Data!O17+Data!P17+Data!Q17+Data!R17+Data!S17+Data!N18+Data!O18+Data!P18+Data!Q18+Data!R18+Data!S18+Data!N19+Data!O19+Data!P19+Data!Q19+Data!R19+Data!S19+Data!N20+Data!O20+Data!P20+Data!Q20+Data!R20+Data!S20+Data!N21+Data!O21+Data!P21+Data!Q21+Data!R21+Data!S21+Data!N22+Data!O22+Data!P22+Data!Q22+Data!R22+Data!S22+Data!N23+Data!O23+Data!P23+Data!Q23+Data!R23+Data!S23+Data!N24+Data!O24+Data!P24+Data!Q24+Data!R24+Data!S24+Data!N25+Data!O25+Data!P25+Data!Q25+Data!R25+Data!S25+Data!N26+Data!O26+Data!P26+Data!Q26+Data!R26+Data!S26)/(Data!AP15+Data!AP16+Data!AP17+Data!AP18+Data!AP19+Data!AP20+Data!AP21+Data!AP22+Data!AP23+Data!AP24+Data!AP25+Data!AP26)</f>
        <v>0.0131417543655056</v>
      </c>
      <c r="M26" s="17" t="n">
        <f aca="false">(Data!T15+Data!U15+Data!V15+Data!W15+Data!X15+Data!Y15+Data!Z15+Data!AA15+Data!AB15+Data!AC15+Data!AD15+Data!AE15+Data!AF15+Data!AG15+Data!AH15+Data!AI15+Data!AJ15+Data!AK15+Data!AL15+Data!T16+Data!U16+Data!V16+Data!W16+Data!X16+Data!Y16+Data!Z16+Data!AA16+Data!AB16+Data!AC16+Data!AD16+Data!AE16+Data!AF16+Data!AG16+Data!AH16+Data!AI16+Data!AJ16+Data!AK16+Data!AL16+Data!T17+Data!U17+Data!V17+Data!W17+Data!X17+Data!Y17+Data!Z17+Data!AA17+Data!AB17+Data!AC17+Data!AD17+Data!AE17+Data!AF17+Data!AG17+Data!AH17+Data!AI17+Data!AJ17+Data!AK17+Data!AL17+Data!T18+Data!U18+Data!V18+Data!W18+Data!X18+Data!Y18+Data!Z18+Data!AA18+Data!AB18+Data!AC18+Data!AD18+Data!AE18+Data!AF18+Data!AG18+Data!AH18+Data!AI18+Data!AJ18+Data!AK18+Data!AL18+Data!T19+Data!U19+Data!V19+Data!W19+Data!X19+Data!Y19+Data!Z19+Data!AA19+Data!AB19+Data!AC19+Data!AD19+Data!AE19+Data!AF19+Data!AG19+Data!AH19+Data!AI19+Data!AJ19+Data!AK19+Data!AL19+Data!T20+Data!U20+Data!V20+Data!W20+Data!X20+Data!Y20+Data!Z20+Data!AA20+Data!AB20+Data!AC20+Data!AD20+Data!AE20+Data!AF20+Data!AG20+Data!AH20+Data!AI20+Data!AJ20+Data!AK20+Data!AL20+Data!T21+Data!U21+Data!V21+Data!W21+Data!X21+Data!Y21+Data!Z21+Data!AA21+Data!AB21+Data!AC21+Data!AD21+Data!AE21+Data!AF21+Data!AG21+Data!AH21+Data!AI21+Data!AJ21+Data!AK21+Data!AL21+Data!T22+Data!U22+Data!V22+Data!W22+Data!X22+Data!Y22+Data!Z22+Data!AA22+Data!AB22+Data!AC22+Data!AD22+Data!AE22+Data!AF22+Data!AG22+Data!AH22+Data!AI22+Data!AJ22+Data!AK22+Data!AL22+Data!T23+Data!U23+Data!V23+Data!W23+Data!X23+Data!Y23+Data!Z23+Data!AA23+Data!AB23+Data!AC23+Data!AD23+Data!AE23+Data!AF23+Data!AG23+Data!AH23+Data!AI23+Data!AJ23+Data!AK23+Data!AL23+Data!T24+Data!U24+Data!V24+Data!W24+Data!X24+Data!Y24+Data!Z24+Data!AA24+Data!AB24+Data!AC24+Data!AD24+Data!AE24+Data!AF24+Data!AG24+Data!AH24+Data!AI24+Data!AJ24+Data!AK24+Data!AL24+Data!T25+Data!U25+Data!V25+Data!W25+Data!X25+Data!Y25+Data!Z25+Data!AA25+Data!AB25+Data!AC25+Data!AD25+Data!AE25+Data!AF25+Data!AG25+Data!AH25+Data!AI25+Data!AJ25+Data!AK25+Data!AL25+Data!T26+Data!U26+Data!V26+Data!W26+Data!X26+Data!Y26+Data!Z26+Data!AA26+Data!AB26+Data!AC26+Data!AD26+Data!AE26+Data!AF26+Data!AG26+Data!AH26+Data!AI26+Data!AJ26+Data!AK26+Data!AL26)/(Data!AP15+Data!AP16+Data!AP17+Data!AP18+Data!AP19+Data!AP20+Data!AP21+Data!AP22+Data!AP23+Data!AP24+Data!AP25+Data!AP26)</f>
        <v>0.236082801834237</v>
      </c>
      <c r="N26" s="18" t="n">
        <f aca="false">(Data!T15+Data!U15+Data!V15+Data!W15+Data!T16+Data!U16+Data!V16+Data!W16+Data!T17+Data!U17+Data!V17+Data!W17+Data!T18+Data!U18+Data!V18+Data!W18+Data!T19+Data!U19+Data!V19+Data!W19+Data!T20+Data!U20+Data!V20+Data!W20+Data!T21+Data!U21+Data!V21+Data!W21+Data!T22+Data!U22+Data!V22+Data!W22+Data!T23+Data!U23+Data!V23+Data!W23+Data!T24+Data!U24+Data!V24+Data!W24+Data!T25+Data!U25+Data!V25+Data!W25+Data!T26+Data!U26+Data!V26+Data!W26)/(Data!AP15+Data!AP16+Data!AP17+Data!AP18+Data!AP19+Data!AP20+Data!AP21+Data!AP22+Data!AP23+Data!AP24+Data!AP25+Data!AP26)</f>
        <v>0.117466485073424</v>
      </c>
      <c r="O26" s="18" t="n">
        <f aca="false">(Data!T15+Data!T16+Data!T17+Data!T18+Data!T19+Data!T20+Data!T21+Data!T22+Data!T23+Data!T24+Data!T25+Data!T26)/(Data!AP15+Data!AP16+Data!AP17+Data!AP18+Data!AP19+Data!AP20+Data!AP21+Data!AP22+Data!AP23+Data!AP24+Data!AP25+Data!AP26)</f>
        <v>0.0843431860827759</v>
      </c>
      <c r="P26" s="18" t="n">
        <f aca="false">(Data!U15+Data!U16+Data!U17+Data!U18+Data!U19+Data!U20+Data!U21+Data!U22+Data!U23+Data!U24+Data!U25+Data!U26)/(Data!AP15+Data!AP16+Data!AP17+Data!AP18+Data!AP19+Data!AP20+Data!AP21+Data!AP22+Data!AP23+Data!AP24+Data!AP25+Data!AP26)</f>
        <v>0.013698971809443</v>
      </c>
      <c r="Q26" s="18" t="n">
        <f aca="false">(Data!V15+Data!V16+Data!V17+Data!V18+Data!V19+Data!V20+Data!V21+Data!V22+Data!V23+Data!V24+Data!V25+Data!V26)/(Data!AP15+Data!AP16+Data!AP17+Data!AP18+Data!AP19+Data!AP20+Data!AP21+Data!AP22+Data!AP23+Data!AP24+Data!AP25+Data!AP26)</f>
        <v>0.0095957132501739</v>
      </c>
      <c r="R26" s="18" t="n">
        <f aca="false">(Data!W15+Data!W16+Data!W17+Data!W18+Data!W19+Data!W20+Data!W21+Data!W22+Data!W23+Data!W24+Data!W25+Data!W26)/(Data!AP15+Data!AP16+Data!AP17+Data!AP18+Data!AP19+Data!AP20+Data!AP21+Data!AP22+Data!AP23+Data!AP24+Data!AP25+Data!AP26)</f>
        <v>0.00982861393103157</v>
      </c>
      <c r="S26" s="18" t="n">
        <f aca="false">(Data!X15+Data!X16+Data!X17+Data!X18+Data!X19+Data!X20+Data!X21+Data!X22+Data!X23+Data!X24+Data!X25+Data!X26)/(Data!AP15+Data!AP16+Data!AP17+Data!AP18+Data!AP19+Data!AP20+Data!AP21+Data!AP22+Data!AP23+Data!AP24+Data!AP25+Data!AP26)</f>
        <v>0.00376139729556086</v>
      </c>
      <c r="T26" s="18" t="n">
        <f aca="false">(Data!Y15+Data!Z15+Data!AA15+Data!Y16+Data!Z16+Data!AA16+Data!Y17+Data!Z17+Data!AA17+Data!Y18+Data!Z18+Data!AA18+Data!Y19+Data!Z19+Data!AA19+Data!Y20+Data!Z20+Data!AA20+Data!Y21+Data!Z21+Data!AA21+Data!Y22+Data!Z22+Data!AA22+Data!Y23+Data!Z23+Data!AA23+Data!Y24+Data!Z24+Data!AA24+Data!Y25+Data!Z25+Data!AA25+Data!Y26+Data!Z26+Data!AA26)/(Data!AP15+Data!AP16+Data!AP17+Data!AP18+Data!AP19+Data!AP20+Data!AP21+Data!AP22+Data!AP23+Data!AP24+Data!AP25+Data!AP26)</f>
        <v>0.02780249312753</v>
      </c>
      <c r="U26" s="18" t="n">
        <f aca="false">(Data!Y15+Data!Y16+Data!Y17+Data!Y18+Data!Y19+Data!Y20+Data!Y21+Data!Y22+Data!Y23+Data!Y24+Data!Y25+Data!Y26)/(Data!AP15+Data!AP16+Data!AP17+Data!AP18+Data!AP19+Data!AP20+Data!AP21+Data!AP22+Data!AP23+Data!AP24+Data!AP25+Data!AP26)</f>
        <v>0.0182832164444217</v>
      </c>
      <c r="V26" s="18" t="n">
        <f aca="false">(Data!Z15+Data!Z16+Data!Z17+Data!Z18+Data!Z19+Data!Z20+Data!Z21+Data!Z22+Data!Z23+Data!Z24+Data!Z25+Data!Z26)/(Data!AP15+Data!AP16+Data!AP17+Data!AP18+Data!AP19+Data!AP20+Data!AP21+Data!AP22+Data!AP23+Data!AP24+Data!AP25+Data!AP26)</f>
        <v>0.00877440490203924</v>
      </c>
      <c r="W26" s="18" t="n">
        <f aca="false">(Data!AB15+Data!AB16+Data!AB17+Data!AB18+Data!AB19+Data!AB20+Data!AB21+Data!AB22+Data!AB23+Data!AB24+Data!AB25+Data!AB26)/(Data!AP15+Data!AP16+Data!AP17+Data!AP18+Data!AP19+Data!AP20+Data!AP21+Data!AP22+Data!AP23+Data!AP24+Data!AP25+Data!AP26)</f>
        <v>0.0323855065694822</v>
      </c>
      <c r="X26" s="18" t="n">
        <f aca="false">(Data!AC15+Data!AC16+Data!AC17+Data!AC18+Data!AC19+Data!AC20+Data!AC21+Data!AC22+Data!AC23+Data!AC24+Data!AC25+Data!AC26)/(Data!AP15+Data!AP16+Data!AP17+Data!AP18+Data!AP19+Data!AP20+Data!AP21+Data!AP22+Data!AP23+Data!AP24+Data!AP25+Data!AP26)</f>
        <v>0.0101859677069907</v>
      </c>
      <c r="Y26" s="18" t="n">
        <f aca="false">(Data!AD15+Data!AE15+Data!AF15+Data!AG15+Data!AH15+Data!AD16+Data!AE16+Data!AF16+Data!AG16+Data!AH16+Data!AD17+Data!AE17+Data!AF17+Data!AG17+Data!AH17+Data!AD18+Data!AE18+Data!AF18+Data!AG18+Data!AH18+Data!AD19+Data!AE19+Data!AF19+Data!AG19+Data!AH19+Data!AD20+Data!AE20+Data!AF20+Data!AG20+Data!AH20+Data!AD21+Data!AE21+Data!AF21+Data!AG21+Data!AH21+Data!AD22+Data!AE22+Data!AF22+Data!AG22+Data!AH22+Data!AD23+Data!AE23+Data!AF23+Data!AG23+Data!AH23+Data!AD24+Data!AE24+Data!AF24+Data!AG24+Data!AH24+Data!AD25+Data!AE25+Data!AF25+Data!AG25+Data!AH25+Data!AD26+Data!AE26+Data!AF26+Data!AG26+Data!AH26)/(Data!AP15+Data!AP16+Data!AP17+Data!AP18+Data!AP19+Data!AP20+Data!AP21+Data!AP22+Data!AP23+Data!AP24+Data!AP25+Data!AP26)</f>
        <v>0.00876876193400084</v>
      </c>
      <c r="Z26" s="18" t="n">
        <f aca="false">(Data!AI15+Data!AI16+Data!AI17+Data!AI18+Data!AI19+Data!AI20+Data!AI21+Data!AI22+Data!AI23+Data!AI24+Data!AI25+Data!AI26)/(Data!AP15+Data!AP16+Data!AP17+Data!AP18+Data!AP19+Data!AP20+Data!AP21+Data!AP22+Data!AP23+Data!AP24+Data!AP25+Data!AP26)</f>
        <v>0.00785901288679159</v>
      </c>
      <c r="AA26" s="18" t="n">
        <f aca="false">(Data!AJ15+Data!AJ16+Data!AJ17+Data!AJ18+Data!AJ19+Data!AJ20+Data!AJ21+Data!AJ22+Data!AJ23+Data!AJ24+Data!AJ25+Data!AJ26)/(Data!AP15+Data!AP16+Data!AP17+Data!AP18+Data!AP19+Data!AP20+Data!AP21+Data!AP22+Data!AP23+Data!AP24+Data!AP25+Data!AP26)</f>
        <v>0.000788476534093048</v>
      </c>
      <c r="AB26" s="18" t="n">
        <f aca="false">(Data!AK15+Data!AK16+Data!AK17+Data!AK18+Data!AK19+Data!AK20+Data!AK21+Data!AK22+Data!AK23+Data!AK24+Data!AK25+Data!AK26)/(Data!AP15+Data!AP16+Data!AP17+Data!AP18+Data!AP19+Data!AP20+Data!AP21+Data!AP22+Data!AP23+Data!AP24+Data!AP25+Data!AP26)</f>
        <v>0.00498284337732765</v>
      </c>
      <c r="AC26" s="18" t="n">
        <f aca="false">(Data!AL15+Data!AL16+Data!AL17+Data!AL18+Data!AL19+Data!AL20+Data!AL21+Data!AL22+Data!AL23+Data!AL24+Data!AL25+Data!AL26)/(Data!AP15+Data!AP16+Data!AP17+Data!AP18+Data!AP19+Data!AP20+Data!AP21+Data!AP22+Data!AP23+Data!AP24+Data!AP25+Data!AP26)</f>
        <v>0.0220818573290361</v>
      </c>
      <c r="AD26" s="17" t="n">
        <f aca="false">(Data!AM15+Data!AM16+Data!AM17+Data!AM18+Data!AM19+Data!AM20+Data!AM21+Data!AM22+Data!AM23+Data!AM24+Data!AM25+Data!AM26)/(Data!AP15+Data!AP16+Data!AP17+Data!AP18+Data!AP19+Data!AP20+Data!AP21+Data!AP22+Data!AP23+Data!AP24+Data!AP25+Data!AP26)</f>
        <v>-0.037139040245613</v>
      </c>
      <c r="AE26" s="18" t="n">
        <f aca="false">(Data!AN15+Data!AN16+Data!AN17+Data!AN18+Data!AN19+Data!AN20+Data!AN21+Data!AN22+Data!AN23+Data!AN24+Data!AN25+Data!AN26)/(Data!AP15+Data!AP16+Data!AP17+Data!AP18+Data!AP19+Data!AP20+Data!AP21+Data!AP22+Data!AP23+Data!AP24+Data!AP25+Data!AP26)</f>
        <v>0.0192923843285257</v>
      </c>
      <c r="AF26" s="17" t="n">
        <f aca="false">(Data!AO15+Data!AO16+Data!AO17+Data!AO18+Data!AO19+Data!AO20+Data!AO21+Data!AO22+Data!AO23+Data!AO24+Data!AO25+Data!AO26)/(Data!AP15+Data!AP16+Data!AP17+Data!AP18+Data!AP19+Data!AP20+Data!AP21+Data!AP22+Data!AP23+Data!AP24+Data!AP25+Data!AP26)</f>
        <v>-0.0564313219747198</v>
      </c>
    </row>
    <row r="27" customFormat="false" ht="15" hidden="false" customHeight="false" outlineLevel="0" collapsed="false">
      <c r="B27" s="14" t="str">
        <f aca="false">Data!B27</f>
        <v>2017-09</v>
      </c>
      <c r="C27" s="17" t="n">
        <f aca="false">(Data!D16+Data!E16+Data!F16+Data!G16+Data!H16+Data!I16+Data!J16+Data!K16+Data!L16+Data!M16+Data!N16+Data!O16+Data!P16+Data!Q16+Data!R16+Data!S16+Data!D17+Data!E17+Data!F17+Data!G17+Data!H17+Data!I17+Data!J17+Data!K17+Data!L17+Data!M17+Data!N17+Data!O17+Data!P17+Data!Q17+Data!R17+Data!S17+Data!D18+Data!E18+Data!F18+Data!G18+Data!H18+Data!I18+Data!J18+Data!K18+Data!L18+Data!M18+Data!N18+Data!O18+Data!P18+Data!Q18+Data!R18+Data!S18+Data!D19+Data!E19+Data!F19+Data!G19+Data!H19+Data!I19+Data!J19+Data!K19+Data!L19+Data!M19+Data!N19+Data!O19+Data!P19+Data!Q19+Data!R19+Data!S19+Data!D20+Data!E20+Data!F20+Data!G20+Data!H20+Data!I20+Data!J20+Data!K20+Data!L20+Data!M20+Data!N20+Data!O20+Data!P20+Data!Q20+Data!R20+Data!S20+Data!D21+Data!E21+Data!F21+Data!G21+Data!H21+Data!I21+Data!J21+Data!K21+Data!L21+Data!M21+Data!N21+Data!O21+Data!P21+Data!Q21+Data!R21+Data!S21+Data!D22+Data!E22+Data!F22+Data!G22+Data!H22+Data!I22+Data!J22+Data!K22+Data!L22+Data!M22+Data!N22+Data!O22+Data!P22+Data!Q22+Data!R22+Data!S22+Data!D23+Data!E23+Data!F23+Data!G23+Data!H23+Data!I23+Data!J23+Data!K23+Data!L23+Data!M23+Data!N23+Data!O23+Data!P23+Data!Q23+Data!R23+Data!S23+Data!D24+Data!E24+Data!F24+Data!G24+Data!H24+Data!I24+Data!J24+Data!K24+Data!L24+Data!M24+Data!N24+Data!O24+Data!P24+Data!Q24+Data!R24+Data!S24+Data!D25+Data!E25+Data!F25+Data!G25+Data!H25+Data!I25+Data!J25+Data!K25+Data!L25+Data!M25+Data!N25+Data!O25+Data!P25+Data!Q25+Data!R25+Data!S25+Data!D26+Data!E26+Data!F26+Data!G26+Data!H26+Data!I26+Data!J26+Data!K26+Data!L26+Data!M26+Data!N26+Data!O26+Data!P26+Data!Q26+Data!R26+Data!S26+Data!D27+Data!E27+Data!F27+Data!G27+Data!H27+Data!I27+Data!J27+Data!K27+Data!L27+Data!M27+Data!N27+Data!O27+Data!P27+Data!Q27+Data!R27+Data!S27)/(Data!AP16+Data!AP17+Data!AP18+Data!AP19+Data!AP20+Data!AP21+Data!AP22+Data!AP23+Data!AP24+Data!AP25+Data!AP26+Data!AP27)</f>
        <v>0.197994668590523</v>
      </c>
      <c r="D27" s="18" t="n">
        <f aca="false">(Data!D16+Data!E16+Data!G16+Data!H16+Data!I16+Data!J16+Data!K16+Data!L16+Data!M16+Data!D17+Data!E17+Data!G17+Data!H17+Data!I17+Data!J17+Data!K17+Data!L17+Data!M17+Data!D18+Data!E18+Data!G18+Data!H18+Data!I18+Data!J18+Data!K18+Data!L18+Data!M18+Data!D19+Data!E19+Data!G19+Data!H19+Data!I19+Data!J19+Data!K19+Data!L19+Data!M19+Data!D20+Data!E20+Data!G20+Data!H20+Data!I20+Data!J20+Data!K20+Data!L20+Data!M20+Data!D21+Data!E21+Data!G21+Data!H21+Data!I21+Data!J21+Data!K21+Data!L21+Data!M21+Data!D22+Data!E22+Data!G22+Data!H22+Data!I22+Data!J22+Data!K22+Data!L22+Data!M22+Data!D23+Data!E23+Data!G23+Data!H23+Data!I23+Data!J23+Data!K23+Data!L23+Data!M23+Data!D24+Data!E24+Data!G24+Data!H24+Data!I24+Data!J24+Data!K24+Data!L24+Data!M24+Data!D25+Data!E25+Data!G25+Data!H25+Data!I25+Data!J25+Data!K25+Data!L25+Data!M25+Data!D26+Data!E26+Data!G26+Data!H26+Data!I26+Data!J26+Data!K26+Data!L26+Data!M26+Data!D27+Data!E27+Data!G27+Data!H27+Data!I27+Data!J27+Data!K27+Data!L27+Data!M27)/(Data!AP16+Data!AP17+Data!AP18+Data!AP19+Data!AP20+Data!AP21+Data!AP22+Data!AP23+Data!AP24+Data!AP25+Data!AP26+Data!AP27)</f>
        <v>0.11611573211614</v>
      </c>
      <c r="E27" s="18" t="n">
        <f aca="false">(Data!D16+Data!D17+Data!D18+Data!D19+Data!D20+Data!D21+Data!D22+Data!D23+Data!D24+Data!D25+Data!D26+Data!D27)/(Data!AP16+Data!AP17+Data!AP18+Data!AP19+Data!AP20+Data!AP21+Data!AP22+Data!AP23+Data!AP24+Data!AP25+Data!AP26+Data!AP27)</f>
        <v>0.0321271305832865</v>
      </c>
      <c r="F27" s="18" t="n">
        <f aca="false">(Data!E16+Data!E17+Data!E18+Data!E19+Data!E20+Data!E21+Data!E22+Data!E23+Data!E24+Data!E25+Data!E26+Data!E27)/(Data!AP16+Data!AP17+Data!AP18+Data!AP19+Data!AP20+Data!AP21+Data!AP22+Data!AP23+Data!AP24+Data!AP25+Data!AP26+Data!AP27)</f>
        <v>0.0259035534640935</v>
      </c>
      <c r="G27" s="18" t="n">
        <f aca="false">(Data!K16+Data!K17+Data!K18+Data!K19+Data!K20+Data!K21+Data!K22+Data!K23+Data!K24+Data!K25+Data!K26+Data!K27)/(Data!AP16+Data!AP17+Data!AP18+Data!AP19+Data!AP20+Data!AP21+Data!AP22+Data!AP23+Data!AP24+Data!AP25+Data!AP26+Data!AP27)</f>
        <v>0.00667975344619936</v>
      </c>
      <c r="H27" s="18" t="n">
        <f aca="false">(Data!L16+Data!L17+Data!L18+Data!L19+Data!L20+Data!L21+Data!L22+Data!L23+Data!L24+Data!L25+Data!L26+Data!L27)/(Data!AP16+Data!AP17+Data!AP18+Data!AP19+Data!AP20+Data!AP21+Data!AP22+Data!AP23+Data!AP24+Data!AP25+Data!AP26+Data!AP27)</f>
        <v>0.00630572496699824</v>
      </c>
      <c r="I27" s="18" t="n">
        <f aca="false">(Data!G16+Data!G17+Data!G18+Data!G19+Data!G20+Data!G21+Data!G22+Data!G23+Data!G24+Data!G25+Data!G26+Data!G27)/(Data!AP16+Data!AP17+Data!AP18+Data!AP19+Data!AP20+Data!AP21+Data!AP22+Data!AP23+Data!AP24+Data!AP25+Data!AP26+Data!AP27)</f>
        <v>0.0133155743437556</v>
      </c>
      <c r="J27" s="18" t="n">
        <f aca="false">(Data!H16+Data!I16+Data!J16+Data!M16+Data!H17+Data!I17+Data!J17+Data!M17+Data!H18+Data!I18+Data!J18+Data!M18+Data!H19+Data!I19+Data!J19+Data!M19+Data!H20+Data!I20+Data!J20+Data!M20+Data!H21+Data!I21+Data!J21+Data!M21+Data!H22+Data!I22+Data!J22+Data!M22+Data!H23+Data!I23+Data!J23+Data!M23+Data!H24+Data!I24+Data!J24+Data!M24+Data!H25+Data!I25+Data!J25+Data!M25+Data!H26+Data!I26+Data!J26+Data!M26+Data!H27+Data!I27+Data!J27+Data!M27)/(Data!AP16+Data!AP17+Data!AP18+Data!AP19+Data!AP20+Data!AP21+Data!AP22+Data!AP23+Data!AP24+Data!AP25+Data!AP26+Data!AP27)</f>
        <v>0.031783995311807</v>
      </c>
      <c r="K27" s="18" t="n">
        <f aca="false">(Data!F16+Data!F17+Data!F18+Data!F19+Data!F20+Data!F21+Data!F22+Data!F23+Data!F24+Data!F25+Data!F26+Data!F27)/(Data!AP16+Data!AP17+Data!AP18+Data!AP19+Data!AP20+Data!AP21+Data!AP22+Data!AP23+Data!AP24+Data!AP25+Data!AP26+Data!AP27)</f>
        <v>0.0691377952495292</v>
      </c>
      <c r="L27" s="18" t="n">
        <f aca="false">(Data!N16+Data!O16+Data!P16+Data!Q16+Data!R16+Data!S16+Data!N17+Data!O17+Data!P17+Data!Q17+Data!R17+Data!S17+Data!N18+Data!O18+Data!P18+Data!Q18+Data!R18+Data!S18+Data!N19+Data!O19+Data!P19+Data!Q19+Data!R19+Data!S19+Data!N20+Data!O20+Data!P20+Data!Q20+Data!R20+Data!S20+Data!N21+Data!O21+Data!P21+Data!Q21+Data!R21+Data!S21+Data!N22+Data!O22+Data!P22+Data!Q22+Data!R22+Data!S22+Data!N23+Data!O23+Data!P23+Data!Q23+Data!R23+Data!S23+Data!N24+Data!O24+Data!P24+Data!Q24+Data!R24+Data!S24+Data!N25+Data!O25+Data!P25+Data!Q25+Data!R25+Data!S25+Data!N26+Data!O26+Data!P26+Data!Q26+Data!R26+Data!S26+Data!N27+Data!O27+Data!P27+Data!Q27+Data!R27+Data!S27)/(Data!AP16+Data!AP17+Data!AP18+Data!AP19+Data!AP20+Data!AP21+Data!AP22+Data!AP23+Data!AP24+Data!AP25+Data!AP26+Data!AP27)</f>
        <v>0.0127411412248538</v>
      </c>
      <c r="M27" s="17" t="n">
        <f aca="false">(Data!T16+Data!U16+Data!V16+Data!W16+Data!X16+Data!Y16+Data!Z16+Data!AA16+Data!AB16+Data!AC16+Data!AD16+Data!AE16+Data!AF16+Data!AG16+Data!AH16+Data!AI16+Data!AJ16+Data!AK16+Data!AL16+Data!T17+Data!U17+Data!V17+Data!W17+Data!X17+Data!Y17+Data!Z17+Data!AA17+Data!AB17+Data!AC17+Data!AD17+Data!AE17+Data!AF17+Data!AG17+Data!AH17+Data!AI17+Data!AJ17+Data!AK17+Data!AL17+Data!T18+Data!U18+Data!V18+Data!W18+Data!X18+Data!Y18+Data!Z18+Data!AA18+Data!AB18+Data!AC18+Data!AD18+Data!AE18+Data!AF18+Data!AG18+Data!AH18+Data!AI18+Data!AJ18+Data!AK18+Data!AL18+Data!T19+Data!U19+Data!V19+Data!W19+Data!X19+Data!Y19+Data!Z19+Data!AA19+Data!AB19+Data!AC19+Data!AD19+Data!AE19+Data!AF19+Data!AG19+Data!AH19+Data!AI19+Data!AJ19+Data!AK19+Data!AL19+Data!T20+Data!U20+Data!V20+Data!W20+Data!X20+Data!Y20+Data!Z20+Data!AA20+Data!AB20+Data!AC20+Data!AD20+Data!AE20+Data!AF20+Data!AG20+Data!AH20+Data!AI20+Data!AJ20+Data!AK20+Data!AL20+Data!T21+Data!U21+Data!V21+Data!W21+Data!X21+Data!Y21+Data!Z21+Data!AA21+Data!AB21+Data!AC21+Data!AD21+Data!AE21+Data!AF21+Data!AG21+Data!AH21+Data!AI21+Data!AJ21+Data!AK21+Data!AL21+Data!T22+Data!U22+Data!V22+Data!W22+Data!X22+Data!Y22+Data!Z22+Data!AA22+Data!AB22+Data!AC22+Data!AD22+Data!AE22+Data!AF22+Data!AG22+Data!AH22+Data!AI22+Data!AJ22+Data!AK22+Data!AL22+Data!T23+Data!U23+Data!V23+Data!W23+Data!X23+Data!Y23+Data!Z23+Data!AA23+Data!AB23+Data!AC23+Data!AD23+Data!AE23+Data!AF23+Data!AG23+Data!AH23+Data!AI23+Data!AJ23+Data!AK23+Data!AL23+Data!T24+Data!U24+Data!V24+Data!W24+Data!X24+Data!Y24+Data!Z24+Data!AA24+Data!AB24+Data!AC24+Data!AD24+Data!AE24+Data!AF24+Data!AG24+Data!AH24+Data!AI24+Data!AJ24+Data!AK24+Data!AL24+Data!T25+Data!U25+Data!V25+Data!W25+Data!X25+Data!Y25+Data!Z25+Data!AA25+Data!AB25+Data!AC25+Data!AD25+Data!AE25+Data!AF25+Data!AG25+Data!AH25+Data!AI25+Data!AJ25+Data!AK25+Data!AL25+Data!T26+Data!U26+Data!V26+Data!W26+Data!X26+Data!Y26+Data!Z26+Data!AA26+Data!AB26+Data!AC26+Data!AD26+Data!AE26+Data!AF26+Data!AG26+Data!AH26+Data!AI26+Data!AJ26+Data!AK26+Data!AL26+Data!T27+Data!U27+Data!V27+Data!W27+Data!X27+Data!Y27+Data!Z27+Data!AA27+Data!AB27+Data!AC27+Data!AD27+Data!AE27+Data!AF27+Data!AG27+Data!AH27+Data!AI27+Data!AJ27+Data!AK27+Data!AL27)/(Data!AP16+Data!AP17+Data!AP18+Data!AP19+Data!AP20+Data!AP21+Data!AP22+Data!AP23+Data!AP24+Data!AP25+Data!AP26+Data!AP27)</f>
        <v>0.233734198122168</v>
      </c>
      <c r="N27" s="18" t="n">
        <f aca="false">(Data!T16+Data!U16+Data!V16+Data!W16+Data!T17+Data!U17+Data!V17+Data!W17+Data!T18+Data!U18+Data!V18+Data!W18+Data!T19+Data!U19+Data!V19+Data!W19+Data!T20+Data!U20+Data!V20+Data!W20+Data!T21+Data!U21+Data!V21+Data!W21+Data!T22+Data!U22+Data!V22+Data!W22+Data!T23+Data!U23+Data!V23+Data!W23+Data!T24+Data!U24+Data!V24+Data!W24+Data!T25+Data!U25+Data!V25+Data!W25+Data!T26+Data!U26+Data!V26+Data!W26+Data!T27+Data!U27+Data!V27+Data!W27)/(Data!AP16+Data!AP17+Data!AP18+Data!AP19+Data!AP20+Data!AP21+Data!AP22+Data!AP23+Data!AP24+Data!AP25+Data!AP26+Data!AP27)</f>
        <v>0.117670924277581</v>
      </c>
      <c r="O27" s="18" t="n">
        <f aca="false">(Data!T16+Data!T17+Data!T18+Data!T19+Data!T20+Data!T21+Data!T22+Data!T23+Data!T24+Data!T25+Data!T26+Data!T27)/(Data!AP16+Data!AP17+Data!AP18+Data!AP19+Data!AP20+Data!AP21+Data!AP22+Data!AP23+Data!AP24+Data!AP25+Data!AP26+Data!AP27)</f>
        <v>0.0846380610133651</v>
      </c>
      <c r="P27" s="18" t="n">
        <f aca="false">(Data!U16+Data!U17+Data!U18+Data!U19+Data!U20+Data!U21+Data!U22+Data!U23+Data!U24+Data!U25+Data!U26+Data!U27)/(Data!AP16+Data!AP17+Data!AP18+Data!AP19+Data!AP20+Data!AP21+Data!AP22+Data!AP23+Data!AP24+Data!AP25+Data!AP26+Data!AP27)</f>
        <v>0.0136394515117203</v>
      </c>
      <c r="Q27" s="18" t="n">
        <f aca="false">(Data!V16+Data!V17+Data!V18+Data!V19+Data!V20+Data!V21+Data!V22+Data!V23+Data!V24+Data!V25+Data!V26+Data!V27)/(Data!AP16+Data!AP17+Data!AP18+Data!AP19+Data!AP20+Data!AP21+Data!AP22+Data!AP23+Data!AP24+Data!AP25+Data!AP26+Data!AP27)</f>
        <v>0.00956004355312862</v>
      </c>
      <c r="R27" s="18" t="n">
        <f aca="false">(Data!W16+Data!W17+Data!W18+Data!W19+Data!W20+Data!W21+Data!W22+Data!W23+Data!W24+Data!W25+Data!W26+Data!W27)/(Data!AP16+Data!AP17+Data!AP18+Data!AP19+Data!AP20+Data!AP21+Data!AP22+Data!AP23+Data!AP24+Data!AP25+Data!AP26+Data!AP27)</f>
        <v>0.00983336819936703</v>
      </c>
      <c r="S27" s="18" t="n">
        <f aca="false">(Data!X16+Data!X17+Data!X18+Data!X19+Data!X20+Data!X21+Data!X22+Data!X23+Data!X24+Data!X25+Data!X26+Data!X27)/(Data!AP16+Data!AP17+Data!AP18+Data!AP19+Data!AP20+Data!AP21+Data!AP22+Data!AP23+Data!AP24+Data!AP25+Data!AP26+Data!AP27)</f>
        <v>0.0038271468630726</v>
      </c>
      <c r="T27" s="18" t="n">
        <f aca="false">(Data!Y16+Data!Z16+Data!AA16+Data!Y17+Data!Z17+Data!AA17+Data!Y18+Data!Z18+Data!AA18+Data!Y19+Data!Z19+Data!AA19+Data!Y20+Data!Z20+Data!AA20+Data!Y21+Data!Z21+Data!AA21+Data!Y22+Data!Z22+Data!AA22+Data!Y23+Data!Z23+Data!AA23+Data!Y24+Data!Z24+Data!AA24+Data!Y25+Data!Z25+Data!AA25+Data!Y26+Data!Z26+Data!AA26+Data!Y27+Data!Z27+Data!AA27)/(Data!AP16+Data!AP17+Data!AP18+Data!AP19+Data!AP20+Data!AP21+Data!AP22+Data!AP23+Data!AP24+Data!AP25+Data!AP26+Data!AP27)</f>
        <v>0.0260445789512902</v>
      </c>
      <c r="U27" s="18" t="n">
        <f aca="false">(Data!Y16+Data!Y17+Data!Y18+Data!Y19+Data!Y20+Data!Y21+Data!Y22+Data!Y23+Data!Y24+Data!Y25+Data!Y26+Data!Y27)/(Data!AP16+Data!AP17+Data!AP18+Data!AP19+Data!AP20+Data!AP21+Data!AP22+Data!AP23+Data!AP24+Data!AP25+Data!AP26+Data!AP27)</f>
        <v>0.0166794233936263</v>
      </c>
      <c r="V27" s="18" t="n">
        <f aca="false">(Data!Z16+Data!Z17+Data!Z18+Data!Z19+Data!Z20+Data!Z21+Data!Z22+Data!Z23+Data!Z24+Data!Z25+Data!Z26+Data!Z27)/(Data!AP16+Data!AP17+Data!AP18+Data!AP19+Data!AP20+Data!AP21+Data!AP22+Data!AP23+Data!AP24+Data!AP25+Data!AP26+Data!AP27)</f>
        <v>0.00854387768485656</v>
      </c>
      <c r="W27" s="18" t="n">
        <f aca="false">(Data!AB16+Data!AB17+Data!AB18+Data!AB19+Data!AB20+Data!AB21+Data!AB22+Data!AB23+Data!AB24+Data!AB25+Data!AB26+Data!AB27)/(Data!AP16+Data!AP17+Data!AP18+Data!AP19+Data!AP20+Data!AP21+Data!AP22+Data!AP23+Data!AP24+Data!AP25+Data!AP26+Data!AP27)</f>
        <v>0.031996135358337</v>
      </c>
      <c r="X27" s="18" t="n">
        <f aca="false">(Data!AC16+Data!AC17+Data!AC18+Data!AC19+Data!AC20+Data!AC21+Data!AC22+Data!AC23+Data!AC24+Data!AC25+Data!AC26+Data!AC27)/(Data!AP16+Data!AP17+Data!AP18+Data!AP19+Data!AP20+Data!AP21+Data!AP22+Data!AP23+Data!AP24+Data!AP25+Data!AP26+Data!AP27)</f>
        <v>0.0102590525291416</v>
      </c>
      <c r="Y27" s="18" t="n">
        <f aca="false">(Data!AD16+Data!AE16+Data!AF16+Data!AG16+Data!AH16+Data!AD17+Data!AE17+Data!AF17+Data!AG17+Data!AH17+Data!AD18+Data!AE18+Data!AF18+Data!AG18+Data!AH18+Data!AD19+Data!AE19+Data!AF19+Data!AG19+Data!AH19+Data!AD20+Data!AE20+Data!AF20+Data!AG20+Data!AH20+Data!AD21+Data!AE21+Data!AF21+Data!AG21+Data!AH21+Data!AD22+Data!AE22+Data!AF22+Data!AG22+Data!AH22+Data!AD23+Data!AE23+Data!AF23+Data!AG23+Data!AH23+Data!AD24+Data!AE24+Data!AF24+Data!AG24+Data!AH24+Data!AD25+Data!AE25+Data!AF25+Data!AG25+Data!AH25+Data!AD26+Data!AE26+Data!AF26+Data!AG26+Data!AH26+Data!AD27+Data!AE27+Data!AF27+Data!AG27+Data!AH27)/(Data!AP16+Data!AP17+Data!AP18+Data!AP19+Data!AP20+Data!AP21+Data!AP22+Data!AP23+Data!AP24+Data!AP25+Data!AP26+Data!AP27)</f>
        <v>0.00861920495433364</v>
      </c>
      <c r="Z27" s="18" t="n">
        <f aca="false">(Data!AI16+Data!AI17+Data!AI18+Data!AI19+Data!AI20+Data!AI21+Data!AI22+Data!AI23+Data!AI24+Data!AI25+Data!AI26+Data!AI27)/(Data!AP16+Data!AP17+Data!AP18+Data!AP19+Data!AP20+Data!AP21+Data!AP22+Data!AP23+Data!AP24+Data!AP25+Data!AP26+Data!AP27)</f>
        <v>0.00791608357079923</v>
      </c>
      <c r="AA27" s="18" t="n">
        <f aca="false">(Data!AJ16+Data!AJ17+Data!AJ18+Data!AJ19+Data!AJ20+Data!AJ21+Data!AJ22+Data!AJ23+Data!AJ24+Data!AJ25+Data!AJ26+Data!AJ27)/(Data!AP16+Data!AP17+Data!AP18+Data!AP19+Data!AP20+Data!AP21+Data!AP22+Data!AP23+Data!AP24+Data!AP25+Data!AP26+Data!AP27)</f>
        <v>0.000781056521195784</v>
      </c>
      <c r="AB27" s="18" t="n">
        <f aca="false">(Data!AK16+Data!AK17+Data!AK18+Data!AK19+Data!AK20+Data!AK21+Data!AK22+Data!AK23+Data!AK24+Data!AK25+Data!AK26+Data!AK27)/(Data!AP16+Data!AP17+Data!AP18+Data!AP19+Data!AP20+Data!AP21+Data!AP22+Data!AP23+Data!AP24+Data!AP25+Data!AP26+Data!AP27)</f>
        <v>0.00467801400950946</v>
      </c>
      <c r="AC27" s="18" t="n">
        <f aca="false">(Data!AL16+Data!AL17+Data!AL18+Data!AL19+Data!AL20+Data!AL21+Data!AL22+Data!AL23+Data!AL24+Data!AL25+Data!AL26+Data!AL27)/(Data!AP16+Data!AP17+Data!AP18+Data!AP19+Data!AP20+Data!AP21+Data!AP22+Data!AP23+Data!AP24+Data!AP25+Data!AP26+Data!AP27)</f>
        <v>0.0219420010869073</v>
      </c>
      <c r="AD27" s="17" t="n">
        <f aca="false">(Data!AM16+Data!AM17+Data!AM18+Data!AM19+Data!AM20+Data!AM21+Data!AM22+Data!AM23+Data!AM24+Data!AM25+Data!AM26+Data!AM27)/(Data!AP16+Data!AP17+Data!AP18+Data!AP19+Data!AP20+Data!AP21+Data!AP22+Data!AP23+Data!AP24+Data!AP25+Data!AP26+Data!AP27)</f>
        <v>-0.0357395295316448</v>
      </c>
      <c r="AE27" s="18" t="n">
        <f aca="false">(Data!AN16+Data!AN17+Data!AN18+Data!AN19+Data!AN20+Data!AN21+Data!AN22+Data!AN23+Data!AN24+Data!AN25+Data!AN26+Data!AN27)/(Data!AP16+Data!AP17+Data!AP18+Data!AP19+Data!AP20+Data!AP21+Data!AP22+Data!AP23+Data!AP24+Data!AP25+Data!AP26+Data!AP27)</f>
        <v>0.0196473779925968</v>
      </c>
      <c r="AF27" s="17" t="n">
        <f aca="false">(Data!AO16+Data!AO17+Data!AO18+Data!AO19+Data!AO20+Data!AO21+Data!AO22+Data!AO23+Data!AO24+Data!AO25+Data!AO26+Data!AO27)/(Data!AP16+Data!AP17+Data!AP18+Data!AP19+Data!AP20+Data!AP21+Data!AP22+Data!AP23+Data!AP24+Data!AP25+Data!AP26+Data!AP27)</f>
        <v>-0.0553868072216191</v>
      </c>
    </row>
    <row r="28" customFormat="false" ht="15" hidden="false" customHeight="false" outlineLevel="0" collapsed="false">
      <c r="B28" s="14" t="str">
        <f aca="false">Data!B28</f>
        <v>2017-10</v>
      </c>
      <c r="C28" s="17" t="n">
        <f aca="false">(Data!D17+Data!E17+Data!F17+Data!G17+Data!H17+Data!I17+Data!J17+Data!K17+Data!L17+Data!M17+Data!N17+Data!O17+Data!P17+Data!Q17+Data!R17+Data!S17+Data!D18+Data!E18+Data!F18+Data!G18+Data!H18+Data!I18+Data!J18+Data!K18+Data!L18+Data!M18+Data!N18+Data!O18+Data!P18+Data!Q18+Data!R18+Data!S18+Data!D19+Data!E19+Data!F19+Data!G19+Data!H19+Data!I19+Data!J19+Data!K19+Data!L19+Data!M19+Data!N19+Data!O19+Data!P19+Data!Q19+Data!R19+Data!S19+Data!D20+Data!E20+Data!F20+Data!G20+Data!H20+Data!I20+Data!J20+Data!K20+Data!L20+Data!M20+Data!N20+Data!O20+Data!P20+Data!Q20+Data!R20+Data!S20+Data!D21+Data!E21+Data!F21+Data!G21+Data!H21+Data!I21+Data!J21+Data!K21+Data!L21+Data!M21+Data!N21+Data!O21+Data!P21+Data!Q21+Data!R21+Data!S21+Data!D22+Data!E22+Data!F22+Data!G22+Data!H22+Data!I22+Data!J22+Data!K22+Data!L22+Data!M22+Data!N22+Data!O22+Data!P22+Data!Q22+Data!R22+Data!S22+Data!D23+Data!E23+Data!F23+Data!G23+Data!H23+Data!I23+Data!J23+Data!K23+Data!L23+Data!M23+Data!N23+Data!O23+Data!P23+Data!Q23+Data!R23+Data!S23+Data!D24+Data!E24+Data!F24+Data!G24+Data!H24+Data!I24+Data!J24+Data!K24+Data!L24+Data!M24+Data!N24+Data!O24+Data!P24+Data!Q24+Data!R24+Data!S24+Data!D25+Data!E25+Data!F25+Data!G25+Data!H25+Data!I25+Data!J25+Data!K25+Data!L25+Data!M25+Data!N25+Data!O25+Data!P25+Data!Q25+Data!R25+Data!S25+Data!D26+Data!E26+Data!F26+Data!G26+Data!H26+Data!I26+Data!J26+Data!K26+Data!L26+Data!M26+Data!N26+Data!O26+Data!P26+Data!Q26+Data!R26+Data!S26+Data!D27+Data!E27+Data!F27+Data!G27+Data!H27+Data!I27+Data!J27+Data!K27+Data!L27+Data!M27+Data!N27+Data!O27+Data!P27+Data!Q27+Data!R27+Data!S27+Data!D28+Data!E28+Data!F28+Data!G28+Data!H28+Data!I28+Data!J28+Data!K28+Data!L28+Data!M28+Data!N28+Data!O28+Data!P28+Data!Q28+Data!R28+Data!S28)/(Data!AP17+Data!AP18+Data!AP19+Data!AP20+Data!AP21+Data!AP22+Data!AP23+Data!AP24+Data!AP25+Data!AP26+Data!AP27+Data!AP28)</f>
        <v>0.19765709092914</v>
      </c>
      <c r="D28" s="18" t="n">
        <f aca="false">(Data!D17+Data!E17+Data!G17+Data!H17+Data!I17+Data!J17+Data!K17+Data!L17+Data!M17+Data!D18+Data!E18+Data!G18+Data!H18+Data!I18+Data!J18+Data!K18+Data!L18+Data!M18+Data!D19+Data!E19+Data!G19+Data!H19+Data!I19+Data!J19+Data!K19+Data!L19+Data!M19+Data!D20+Data!E20+Data!G20+Data!H20+Data!I20+Data!J20+Data!K20+Data!L20+Data!M20+Data!D21+Data!E21+Data!G21+Data!H21+Data!I21+Data!J21+Data!K21+Data!L21+Data!M21+Data!D22+Data!E22+Data!G22+Data!H22+Data!I22+Data!J22+Data!K22+Data!L22+Data!M22+Data!D23+Data!E23+Data!G23+Data!H23+Data!I23+Data!J23+Data!K23+Data!L23+Data!M23+Data!D24+Data!E24+Data!G24+Data!H24+Data!I24+Data!J24+Data!K24+Data!L24+Data!M24+Data!D25+Data!E25+Data!G25+Data!H25+Data!I25+Data!J25+Data!K25+Data!L25+Data!M25+Data!D26+Data!E26+Data!G26+Data!H26+Data!I26+Data!J26+Data!K26+Data!L26+Data!M26+Data!D27+Data!E27+Data!G27+Data!H27+Data!I27+Data!J27+Data!K27+Data!L27+Data!M27+Data!D28+Data!E28+Data!G28+Data!H28+Data!I28+Data!J28+Data!K28+Data!L28+Data!M28)/(Data!AP17+Data!AP18+Data!AP19+Data!AP20+Data!AP21+Data!AP22+Data!AP23+Data!AP24+Data!AP25+Data!AP26+Data!AP27+Data!AP28)</f>
        <v>0.115482944109547</v>
      </c>
      <c r="E28" s="18" t="n">
        <f aca="false">(Data!D17+Data!D18+Data!D19+Data!D20+Data!D21+Data!D22+Data!D23+Data!D24+Data!D25+Data!D26+Data!D27+Data!D28)/(Data!AP17+Data!AP18+Data!AP19+Data!AP20+Data!AP21+Data!AP22+Data!AP23+Data!AP24+Data!AP25+Data!AP26+Data!AP27+Data!AP28)</f>
        <v>0.0322921856320786</v>
      </c>
      <c r="F28" s="18" t="n">
        <f aca="false">(Data!E17+Data!E18+Data!E19+Data!E20+Data!E21+Data!E22+Data!E23+Data!E24+Data!E25+Data!E26+Data!E27+Data!E28)/(Data!AP17+Data!AP18+Data!AP19+Data!AP20+Data!AP21+Data!AP22+Data!AP23+Data!AP24+Data!AP25+Data!AP26+Data!AP27+Data!AP28)</f>
        <v>0.0259450832778455</v>
      </c>
      <c r="G28" s="18" t="n">
        <f aca="false">(Data!K17+Data!K18+Data!K19+Data!K20+Data!K21+Data!K22+Data!K23+Data!K24+Data!K25+Data!K26+Data!K27+Data!K28)/(Data!AP17+Data!AP18+Data!AP19+Data!AP20+Data!AP21+Data!AP22+Data!AP23+Data!AP24+Data!AP25+Data!AP26+Data!AP27+Data!AP28)</f>
        <v>0.00645855485793371</v>
      </c>
      <c r="H28" s="18" t="n">
        <f aca="false">(Data!L17+Data!L18+Data!L19+Data!L20+Data!L21+Data!L22+Data!L23+Data!L24+Data!L25+Data!L26+Data!L27+Data!L28)/(Data!AP17+Data!AP18+Data!AP19+Data!AP20+Data!AP21+Data!AP22+Data!AP23+Data!AP24+Data!AP25+Data!AP26+Data!AP27+Data!AP28)</f>
        <v>0.00633797816158857</v>
      </c>
      <c r="I28" s="18" t="n">
        <f aca="false">(Data!G17+Data!G18+Data!G19+Data!G20+Data!G21+Data!G22+Data!G23+Data!G24+Data!G25+Data!G26+Data!G27+Data!G28)/(Data!AP17+Data!AP18+Data!AP19+Data!AP20+Data!AP21+Data!AP22+Data!AP23+Data!AP24+Data!AP25+Data!AP26+Data!AP27+Data!AP28)</f>
        <v>0.0132801152296811</v>
      </c>
      <c r="J28" s="18" t="n">
        <f aca="false">(Data!H17+Data!I17+Data!J17+Data!M17+Data!H18+Data!I18+Data!J18+Data!M18+Data!H19+Data!I19+Data!J19+Data!M19+Data!H20+Data!I20+Data!J20+Data!M20+Data!H21+Data!I21+Data!J21+Data!M21+Data!H22+Data!I22+Data!J22+Data!M22+Data!H23+Data!I23+Data!J23+Data!M23+Data!H24+Data!I24+Data!J24+Data!M24+Data!H25+Data!I25+Data!J25+Data!M25+Data!H26+Data!I26+Data!J26+Data!M26+Data!H27+Data!I27+Data!J27+Data!M27+Data!H28+Data!I28+Data!J28+Data!M28)/(Data!AP17+Data!AP18+Data!AP19+Data!AP20+Data!AP21+Data!AP22+Data!AP23+Data!AP24+Data!AP25+Data!AP26+Data!AP27+Data!AP28)</f>
        <v>0.0311690269504194</v>
      </c>
      <c r="K28" s="18" t="n">
        <f aca="false">(Data!F17+Data!F18+Data!F19+Data!F20+Data!F21+Data!F22+Data!F23+Data!F24+Data!F25+Data!F26+Data!F27+Data!F28)/(Data!AP17+Data!AP18+Data!AP19+Data!AP20+Data!AP21+Data!AP22+Data!AP23+Data!AP24+Data!AP25+Data!AP26+Data!AP27+Data!AP28)</f>
        <v>0.069194835618386</v>
      </c>
      <c r="L28" s="18" t="n">
        <f aca="false">(Data!N17+Data!O17+Data!P17+Data!Q17+Data!R17+Data!S17+Data!N18+Data!O18+Data!P18+Data!Q18+Data!R18+Data!S18+Data!N19+Data!O19+Data!P19+Data!Q19+Data!R19+Data!S19+Data!N20+Data!O20+Data!P20+Data!Q20+Data!R20+Data!S20+Data!N21+Data!O21+Data!P21+Data!Q21+Data!R21+Data!S21+Data!N22+Data!O22+Data!P22+Data!Q22+Data!R22+Data!S22+Data!N23+Data!O23+Data!P23+Data!Q23+Data!R23+Data!S23+Data!N24+Data!O24+Data!P24+Data!Q24+Data!R24+Data!S24+Data!N25+Data!O25+Data!P25+Data!Q25+Data!R25+Data!S25+Data!N26+Data!O26+Data!P26+Data!Q26+Data!R26+Data!S26+Data!N27+Data!O27+Data!P27+Data!Q27+Data!R27+Data!S27+Data!N28+Data!O28+Data!P28+Data!Q28+Data!R28+Data!S28)/(Data!AP17+Data!AP18+Data!AP19+Data!AP20+Data!AP21+Data!AP22+Data!AP23+Data!AP24+Data!AP25+Data!AP26+Data!AP27+Data!AP28)</f>
        <v>0.0129793112012074</v>
      </c>
      <c r="M28" s="17" t="n">
        <f aca="false">(Data!T17+Data!U17+Data!V17+Data!W17+Data!X17+Data!Y17+Data!Z17+Data!AA17+Data!AB17+Data!AC17+Data!AD17+Data!AE17+Data!AF17+Data!AG17+Data!AH17+Data!AI17+Data!AJ17+Data!AK17+Data!AL17+Data!T18+Data!U18+Data!V18+Data!W18+Data!X18+Data!Y18+Data!Z18+Data!AA18+Data!AB18+Data!AC18+Data!AD18+Data!AE18+Data!AF18+Data!AG18+Data!AH18+Data!AI18+Data!AJ18+Data!AK18+Data!AL18+Data!T19+Data!U19+Data!V19+Data!W19+Data!X19+Data!Y19+Data!Z19+Data!AA19+Data!AB19+Data!AC19+Data!AD19+Data!AE19+Data!AF19+Data!AG19+Data!AH19+Data!AI19+Data!AJ19+Data!AK19+Data!AL19+Data!T20+Data!U20+Data!V20+Data!W20+Data!X20+Data!Y20+Data!Z20+Data!AA20+Data!AB20+Data!AC20+Data!AD20+Data!AE20+Data!AF20+Data!AG20+Data!AH20+Data!AI20+Data!AJ20+Data!AK20+Data!AL20+Data!T21+Data!U21+Data!V21+Data!W21+Data!X21+Data!Y21+Data!Z21+Data!AA21+Data!AB21+Data!AC21+Data!AD21+Data!AE21+Data!AF21+Data!AG21+Data!AH21+Data!AI21+Data!AJ21+Data!AK21+Data!AL21+Data!T22+Data!U22+Data!V22+Data!W22+Data!X22+Data!Y22+Data!Z22+Data!AA22+Data!AB22+Data!AC22+Data!AD22+Data!AE22+Data!AF22+Data!AG22+Data!AH22+Data!AI22+Data!AJ22+Data!AK22+Data!AL22+Data!T23+Data!U23+Data!V23+Data!W23+Data!X23+Data!Y23+Data!Z23+Data!AA23+Data!AB23+Data!AC23+Data!AD23+Data!AE23+Data!AF23+Data!AG23+Data!AH23+Data!AI23+Data!AJ23+Data!AK23+Data!AL23+Data!T24+Data!U24+Data!V24+Data!W24+Data!X24+Data!Y24+Data!Z24+Data!AA24+Data!AB24+Data!AC24+Data!AD24+Data!AE24+Data!AF24+Data!AG24+Data!AH24+Data!AI24+Data!AJ24+Data!AK24+Data!AL24+Data!T25+Data!U25+Data!V25+Data!W25+Data!X25+Data!Y25+Data!Z25+Data!AA25+Data!AB25+Data!AC25+Data!AD25+Data!AE25+Data!AF25+Data!AG25+Data!AH25+Data!AI25+Data!AJ25+Data!AK25+Data!AL25+Data!T26+Data!U26+Data!V26+Data!W26+Data!X26+Data!Y26+Data!Z26+Data!AA26+Data!AB26+Data!AC26+Data!AD26+Data!AE26+Data!AF26+Data!AG26+Data!AH26+Data!AI26+Data!AJ26+Data!AK26+Data!AL26+Data!T27+Data!U27+Data!V27+Data!W27+Data!X27+Data!Y27+Data!Z27+Data!AA27+Data!AB27+Data!AC27+Data!AD27+Data!AE27+Data!AF27+Data!AG27+Data!AH27+Data!AI27+Data!AJ27+Data!AK27+Data!AL27+Data!T28+Data!U28+Data!V28+Data!W28+Data!X28+Data!Y28+Data!Z28+Data!AA28+Data!AB28+Data!AC28+Data!AD28+Data!AE28+Data!AF28+Data!AG28+Data!AH28+Data!AI28+Data!AJ28+Data!AK28+Data!AL28)/(Data!AP17+Data!AP18+Data!AP19+Data!AP20+Data!AP21+Data!AP22+Data!AP23+Data!AP24+Data!AP25+Data!AP26+Data!AP27+Data!AP28)</f>
        <v>0.229733435444897</v>
      </c>
      <c r="N28" s="18" t="n">
        <f aca="false">(Data!T17+Data!U17+Data!V17+Data!W17+Data!T18+Data!U18+Data!V18+Data!W18+Data!T19+Data!U19+Data!V19+Data!W19+Data!T20+Data!U20+Data!V20+Data!W20+Data!T21+Data!U21+Data!V21+Data!W21+Data!T22+Data!U22+Data!V22+Data!W22+Data!T23+Data!U23+Data!V23+Data!W23+Data!T24+Data!U24+Data!V24+Data!W24+Data!T25+Data!U25+Data!V25+Data!W25+Data!T26+Data!U26+Data!V26+Data!W26+Data!T27+Data!U27+Data!V27+Data!W27+Data!T28+Data!U28+Data!V28+Data!W28)/(Data!AP17+Data!AP18+Data!AP19+Data!AP20+Data!AP21+Data!AP22+Data!AP23+Data!AP24+Data!AP25+Data!AP26+Data!AP27+Data!AP28)</f>
        <v>0.117934408642969</v>
      </c>
      <c r="O28" s="18" t="n">
        <f aca="false">(Data!T17+Data!T18+Data!T19+Data!T20+Data!T21+Data!T22+Data!T23+Data!T24+Data!T25+Data!T26+Data!T27+Data!T28)/(Data!AP17+Data!AP18+Data!AP19+Data!AP20+Data!AP21+Data!AP22+Data!AP23+Data!AP24+Data!AP25+Data!AP26+Data!AP27+Data!AP28)</f>
        <v>0.0851569729375602</v>
      </c>
      <c r="P28" s="18" t="n">
        <f aca="false">(Data!U17+Data!U18+Data!U19+Data!U20+Data!U21+Data!U22+Data!U23+Data!U24+Data!U25+Data!U26+Data!U27+Data!U28)/(Data!AP17+Data!AP18+Data!AP19+Data!AP20+Data!AP21+Data!AP22+Data!AP23+Data!AP24+Data!AP25+Data!AP26+Data!AP27+Data!AP28)</f>
        <v>0.013583960655703</v>
      </c>
      <c r="Q28" s="18" t="n">
        <f aca="false">(Data!V17+Data!V18+Data!V19+Data!V20+Data!V21+Data!V22+Data!V23+Data!V24+Data!V25+Data!V26+Data!V27+Data!V28)/(Data!AP17+Data!AP18+Data!AP19+Data!AP20+Data!AP21+Data!AP22+Data!AP23+Data!AP24+Data!AP25+Data!AP26+Data!AP27+Data!AP28)</f>
        <v>0.0095223213945212</v>
      </c>
      <c r="R28" s="18" t="n">
        <f aca="false">(Data!W17+Data!W18+Data!W19+Data!W20+Data!W21+Data!W22+Data!W23+Data!W24+Data!W25+Data!W26+Data!W27+Data!W28)/(Data!AP17+Data!AP18+Data!AP19+Data!AP20+Data!AP21+Data!AP22+Data!AP23+Data!AP24+Data!AP25+Data!AP26+Data!AP27+Data!AP28)</f>
        <v>0.00967115365518481</v>
      </c>
      <c r="S28" s="18" t="n">
        <f aca="false">(Data!X17+Data!X18+Data!X19+Data!X20+Data!X21+Data!X22+Data!X23+Data!X24+Data!X25+Data!X26+Data!X27+Data!X28)/(Data!AP17+Data!AP18+Data!AP19+Data!AP20+Data!AP21+Data!AP22+Data!AP23+Data!AP24+Data!AP25+Data!AP26+Data!AP27+Data!AP28)</f>
        <v>0.00380086394882592</v>
      </c>
      <c r="T28" s="18" t="n">
        <f aca="false">(Data!Y17+Data!Z17+Data!AA17+Data!Y18+Data!Z18+Data!AA18+Data!Y19+Data!Z19+Data!AA19+Data!Y20+Data!Z20+Data!AA20+Data!Y21+Data!Z21+Data!AA21+Data!Y22+Data!Z22+Data!AA22+Data!Y23+Data!Z23+Data!AA23+Data!Y24+Data!Z24+Data!AA24+Data!Y25+Data!Z25+Data!AA25+Data!Y26+Data!Z26+Data!AA26+Data!Y27+Data!Z27+Data!AA27+Data!Y28+Data!Z28+Data!AA28)/(Data!AP17+Data!AP18+Data!AP19+Data!AP20+Data!AP21+Data!AP22+Data!AP23+Data!AP24+Data!AP25+Data!AP26+Data!AP27+Data!AP28)</f>
        <v>0.0238978302895347</v>
      </c>
      <c r="U28" s="18" t="n">
        <f aca="false">(Data!Y17+Data!Y18+Data!Y19+Data!Y20+Data!Y21+Data!Y22+Data!Y23+Data!Y24+Data!Y25+Data!Y26+Data!Y27+Data!Y28)/(Data!AP17+Data!AP18+Data!AP19+Data!AP20+Data!AP21+Data!AP22+Data!AP23+Data!AP24+Data!AP25+Data!AP26+Data!AP27+Data!AP28)</f>
        <v>0.0146791581018387</v>
      </c>
      <c r="V28" s="18" t="n">
        <f aca="false">(Data!Z17+Data!Z18+Data!Z19+Data!Z20+Data!Z21+Data!Z22+Data!Z23+Data!Z24+Data!Z25+Data!Z26+Data!Z27+Data!Z28)/(Data!AP17+Data!AP18+Data!AP19+Data!AP20+Data!AP21+Data!AP22+Data!AP23+Data!AP24+Data!AP25+Data!AP26+Data!AP27+Data!AP28)</f>
        <v>0.00834696840655149</v>
      </c>
      <c r="W28" s="18" t="n">
        <f aca="false">(Data!AB17+Data!AB18+Data!AB19+Data!AB20+Data!AB21+Data!AB22+Data!AB23+Data!AB24+Data!AB25+Data!AB26+Data!AB27+Data!AB28)/(Data!AP17+Data!AP18+Data!AP19+Data!AP20+Data!AP21+Data!AP22+Data!AP23+Data!AP24+Data!AP25+Data!AP26+Data!AP27+Data!AP28)</f>
        <v>0.0316952868358509</v>
      </c>
      <c r="X28" s="18" t="n">
        <f aca="false">(Data!AC17+Data!AC18+Data!AC19+Data!AC20+Data!AC21+Data!AC22+Data!AC23+Data!AC24+Data!AC25+Data!AC26+Data!AC27+Data!AC28)/(Data!AP17+Data!AP18+Data!AP19+Data!AP20+Data!AP21+Data!AP22+Data!AP23+Data!AP24+Data!AP25+Data!AP26+Data!AP27+Data!AP28)</f>
        <v>0.00977053867829109</v>
      </c>
      <c r="Y28" s="18" t="n">
        <f aca="false">(Data!AD17+Data!AE17+Data!AF17+Data!AG17+Data!AH17+Data!AD18+Data!AE18+Data!AF18+Data!AG18+Data!AH18+Data!AD19+Data!AE19+Data!AF19+Data!AG19+Data!AH19+Data!AD20+Data!AE20+Data!AF20+Data!AG20+Data!AH20+Data!AD21+Data!AE21+Data!AF21+Data!AG21+Data!AH21+Data!AD22+Data!AE22+Data!AF22+Data!AG22+Data!AH22+Data!AD23+Data!AE23+Data!AF23+Data!AG23+Data!AH23+Data!AD24+Data!AE24+Data!AF24+Data!AG24+Data!AH24+Data!AD25+Data!AE25+Data!AF25+Data!AG25+Data!AH25+Data!AD26+Data!AE26+Data!AF26+Data!AG26+Data!AH26+Data!AD27+Data!AE27+Data!AF27+Data!AG27+Data!AH27+Data!AD28+Data!AE28+Data!AF28+Data!AG28+Data!AH28)/(Data!AP17+Data!AP18+Data!AP19+Data!AP20+Data!AP21+Data!AP22+Data!AP23+Data!AP24+Data!AP25+Data!AP26+Data!AP27+Data!AP28)</f>
        <v>0.00843085211312195</v>
      </c>
      <c r="Z28" s="18" t="n">
        <f aca="false">(Data!AI17+Data!AI18+Data!AI19+Data!AI20+Data!AI21+Data!AI22+Data!AI23+Data!AI24+Data!AI25+Data!AI26+Data!AI27+Data!AI28)/(Data!AP17+Data!AP18+Data!AP19+Data!AP20+Data!AP21+Data!AP22+Data!AP23+Data!AP24+Data!AP25+Data!AP26+Data!AP27+Data!AP28)</f>
        <v>0.00789919619978239</v>
      </c>
      <c r="AA28" s="18" t="n">
        <f aca="false">(Data!AJ17+Data!AJ18+Data!AJ19+Data!AJ20+Data!AJ21+Data!AJ22+Data!AJ23+Data!AJ24+Data!AJ25+Data!AJ26+Data!AJ27+Data!AJ28)/(Data!AP17+Data!AP18+Data!AP19+Data!AP20+Data!AP21+Data!AP22+Data!AP23+Data!AP24+Data!AP25+Data!AP26+Data!AP27+Data!AP28)</f>
        <v>0.000837365421729671</v>
      </c>
      <c r="AB28" s="18" t="n">
        <f aca="false">(Data!AK17+Data!AK18+Data!AK19+Data!AK20+Data!AK21+Data!AK22+Data!AK23+Data!AK24+Data!AK25+Data!AK26+Data!AK27+Data!AK28)/(Data!AP17+Data!AP18+Data!AP19+Data!AP20+Data!AP21+Data!AP22+Data!AP23+Data!AP24+Data!AP25+Data!AP26+Data!AP27+Data!AP28)</f>
        <v>0.00463430498662247</v>
      </c>
      <c r="AC28" s="18" t="n">
        <f aca="false">(Data!AL17+Data!AL18+Data!AL19+Data!AL20+Data!AL21+Data!AL22+Data!AL23+Data!AL24+Data!AL25+Data!AL26+Data!AL27+Data!AL28)/(Data!AP17+Data!AP18+Data!AP19+Data!AP20+Data!AP21+Data!AP22+Data!AP23+Data!AP24+Data!AP25+Data!AP26+Data!AP27+Data!AP28)</f>
        <v>0.0208327883281689</v>
      </c>
      <c r="AD28" s="17" t="n">
        <f aca="false">(Data!AM17+Data!AM18+Data!AM19+Data!AM20+Data!AM21+Data!AM22+Data!AM23+Data!AM24+Data!AM25+Data!AM26+Data!AM27+Data!AM28)/(Data!AP17+Data!AP18+Data!AP19+Data!AP20+Data!AP21+Data!AP22+Data!AP23+Data!AP24+Data!AP25+Data!AP26+Data!AP27+Data!AP28)</f>
        <v>-0.032076344515757</v>
      </c>
      <c r="AE28" s="18" t="n">
        <f aca="false">(Data!AN17+Data!AN18+Data!AN19+Data!AN20+Data!AN21+Data!AN22+Data!AN23+Data!AN24+Data!AN25+Data!AN26+Data!AN27+Data!AN28)/(Data!AP17+Data!AP18+Data!AP19+Data!AP20+Data!AP21+Data!AP22+Data!AP23+Data!AP24+Data!AP25+Data!AP26+Data!AP27+Data!AP28)</f>
        <v>0.0205722092350097</v>
      </c>
      <c r="AF28" s="17" t="n">
        <f aca="false">(Data!AO17+Data!AO18+Data!AO19+Data!AO20+Data!AO21+Data!AO22+Data!AO23+Data!AO24+Data!AO25+Data!AO26+Data!AO27+Data!AO28)/(Data!AP17+Data!AP18+Data!AP19+Data!AP20+Data!AP21+Data!AP22+Data!AP23+Data!AP24+Data!AP25+Data!AP26+Data!AP27+Data!AP28)</f>
        <v>-0.0526484556411683</v>
      </c>
    </row>
    <row r="29" customFormat="false" ht="15" hidden="false" customHeight="false" outlineLevel="0" collapsed="false">
      <c r="B29" s="14" t="str">
        <f aca="false">Data!B29</f>
        <v>2017-11</v>
      </c>
      <c r="C29" s="17" t="n">
        <f aca="false">(Data!D18+Data!E18+Data!F18+Data!G18+Data!H18+Data!I18+Data!J18+Data!K18+Data!L18+Data!M18+Data!N18+Data!O18+Data!P18+Data!Q18+Data!R18+Data!S18+Data!D19+Data!E19+Data!F19+Data!G19+Data!H19+Data!I19+Data!J19+Data!K19+Data!L19+Data!M19+Data!N19+Data!O19+Data!P19+Data!Q19+Data!R19+Data!S19+Data!D20+Data!E20+Data!F20+Data!G20+Data!H20+Data!I20+Data!J20+Data!K20+Data!L20+Data!M20+Data!N20+Data!O20+Data!P20+Data!Q20+Data!R20+Data!S20+Data!D21+Data!E21+Data!F21+Data!G21+Data!H21+Data!I21+Data!J21+Data!K21+Data!L21+Data!M21+Data!N21+Data!O21+Data!P21+Data!Q21+Data!R21+Data!S21+Data!D22+Data!E22+Data!F22+Data!G22+Data!H22+Data!I22+Data!J22+Data!K22+Data!L22+Data!M22+Data!N22+Data!O22+Data!P22+Data!Q22+Data!R22+Data!S22+Data!D23+Data!E23+Data!F23+Data!G23+Data!H23+Data!I23+Data!J23+Data!K23+Data!L23+Data!M23+Data!N23+Data!O23+Data!P23+Data!Q23+Data!R23+Data!S23+Data!D24+Data!E24+Data!F24+Data!G24+Data!H24+Data!I24+Data!J24+Data!K24+Data!L24+Data!M24+Data!N24+Data!O24+Data!P24+Data!Q24+Data!R24+Data!S24+Data!D25+Data!E25+Data!F25+Data!G25+Data!H25+Data!I25+Data!J25+Data!K25+Data!L25+Data!M25+Data!N25+Data!O25+Data!P25+Data!Q25+Data!R25+Data!S25+Data!D26+Data!E26+Data!F26+Data!G26+Data!H26+Data!I26+Data!J26+Data!K26+Data!L26+Data!M26+Data!N26+Data!O26+Data!P26+Data!Q26+Data!R26+Data!S26+Data!D27+Data!E27+Data!F27+Data!G27+Data!H27+Data!I27+Data!J27+Data!K27+Data!L27+Data!M27+Data!N27+Data!O27+Data!P27+Data!Q27+Data!R27+Data!S27+Data!D28+Data!E28+Data!F28+Data!G28+Data!H28+Data!I28+Data!J28+Data!K28+Data!L28+Data!M28+Data!N28+Data!O28+Data!P28+Data!Q28+Data!R28+Data!S28+Data!D29+Data!E29+Data!F29+Data!G29+Data!H29+Data!I29+Data!J29+Data!K29+Data!L29+Data!M29+Data!N29+Data!O29+Data!P29+Data!Q29+Data!R29+Data!S29)/(Data!AP18+Data!AP19+Data!AP20+Data!AP21+Data!AP22+Data!AP23+Data!AP24+Data!AP25+Data!AP26+Data!AP27+Data!AP28+Data!AP29)</f>
        <v>0.195917193093266</v>
      </c>
      <c r="D29" s="18" t="n">
        <f aca="false">(Data!D18+Data!E18+Data!G18+Data!H18+Data!I18+Data!J18+Data!K18+Data!L18+Data!M18+Data!D19+Data!E19+Data!G19+Data!H19+Data!I19+Data!J19+Data!K19+Data!L19+Data!M19+Data!D20+Data!E20+Data!G20+Data!H20+Data!I20+Data!J20+Data!K20+Data!L20+Data!M20+Data!D21+Data!E21+Data!G21+Data!H21+Data!I21+Data!J21+Data!K21+Data!L21+Data!M21+Data!D22+Data!E22+Data!G22+Data!H22+Data!I22+Data!J22+Data!K22+Data!L22+Data!M22+Data!D23+Data!E23+Data!G23+Data!H23+Data!I23+Data!J23+Data!K23+Data!L23+Data!M23+Data!D24+Data!E24+Data!G24+Data!H24+Data!I24+Data!J24+Data!K24+Data!L24+Data!M24+Data!D25+Data!E25+Data!G25+Data!H25+Data!I25+Data!J25+Data!K25+Data!L25+Data!M25+Data!D26+Data!E26+Data!G26+Data!H26+Data!I26+Data!J26+Data!K26+Data!L26+Data!M26+Data!D27+Data!E27+Data!G27+Data!H27+Data!I27+Data!J27+Data!K27+Data!L27+Data!M27+Data!D28+Data!E28+Data!G28+Data!H28+Data!I28+Data!J28+Data!K28+Data!L28+Data!M28+Data!D29+Data!E29+Data!G29+Data!H29+Data!I29+Data!J29+Data!K29+Data!L29+Data!M29)/(Data!AP18+Data!AP19+Data!AP20+Data!AP21+Data!AP22+Data!AP23+Data!AP24+Data!AP25+Data!AP26+Data!AP27+Data!AP28+Data!AP29)</f>
        <v>0.113957668151485</v>
      </c>
      <c r="E29" s="18" t="n">
        <f aca="false">(Data!D18+Data!D19+Data!D20+Data!D21+Data!D22+Data!D23+Data!D24+Data!D25+Data!D26+Data!D27+Data!D28+Data!D29)/(Data!AP18+Data!AP19+Data!AP20+Data!AP21+Data!AP22+Data!AP23+Data!AP24+Data!AP25+Data!AP26+Data!AP27+Data!AP28+Data!AP29)</f>
        <v>0.0325393867135425</v>
      </c>
      <c r="F29" s="18" t="n">
        <f aca="false">(Data!E18+Data!E19+Data!E20+Data!E21+Data!E22+Data!E23+Data!E24+Data!E25+Data!E26+Data!E27+Data!E28+Data!E29)/(Data!AP18+Data!AP19+Data!AP20+Data!AP21+Data!AP22+Data!AP23+Data!AP24+Data!AP25+Data!AP26+Data!AP27+Data!AP28+Data!AP29)</f>
        <v>0.0257753783581128</v>
      </c>
      <c r="G29" s="18" t="n">
        <f aca="false">(Data!K18+Data!K19+Data!K20+Data!K21+Data!K22+Data!K23+Data!K24+Data!K25+Data!K26+Data!K27+Data!K28+Data!K29)/(Data!AP18+Data!AP19+Data!AP20+Data!AP21+Data!AP22+Data!AP23+Data!AP24+Data!AP25+Data!AP26+Data!AP27+Data!AP28+Data!AP29)</f>
        <v>0.00629445082630087</v>
      </c>
      <c r="H29" s="18" t="n">
        <f aca="false">(Data!L18+Data!L19+Data!L20+Data!L21+Data!L22+Data!L23+Data!L24+Data!L25+Data!L26+Data!L27+Data!L28+Data!L29)/(Data!AP18+Data!AP19+Data!AP20+Data!AP21+Data!AP22+Data!AP23+Data!AP24+Data!AP25+Data!AP26+Data!AP27+Data!AP28+Data!AP29)</f>
        <v>0.00640912919280588</v>
      </c>
      <c r="I29" s="18" t="n">
        <f aca="false">(Data!G18+Data!G19+Data!G20+Data!G21+Data!G22+Data!G23+Data!G24+Data!G25+Data!G26+Data!G27+Data!G28+Data!G29)/(Data!AP18+Data!AP19+Data!AP20+Data!AP21+Data!AP22+Data!AP23+Data!AP24+Data!AP25+Data!AP26+Data!AP27+Data!AP28+Data!AP29)</f>
        <v>0.0132547079344525</v>
      </c>
      <c r="J29" s="18" t="n">
        <f aca="false">(Data!H18+Data!I18+Data!J18+Data!M18+Data!H19+Data!I19+Data!J19+Data!M19+Data!H20+Data!I20+Data!J20+Data!M20+Data!H21+Data!I21+Data!J21+Data!M21+Data!H22+Data!I22+Data!J22+Data!M22+Data!H23+Data!I23+Data!J23+Data!M23+Data!H24+Data!I24+Data!J24+Data!M24+Data!H25+Data!I25+Data!J25+Data!M25+Data!H26+Data!I26+Data!J26+Data!M26+Data!H27+Data!I27+Data!J27+Data!M27+Data!H28+Data!I28+Data!J28+Data!M28+Data!H29+Data!I29+Data!J29+Data!M29)/(Data!AP18+Data!AP19+Data!AP20+Data!AP21+Data!AP22+Data!AP23+Data!AP24+Data!AP25+Data!AP26+Data!AP27+Data!AP28+Data!AP29)</f>
        <v>0.0296846151262699</v>
      </c>
      <c r="K29" s="18" t="n">
        <f aca="false">(Data!F18+Data!F19+Data!F20+Data!F21+Data!F22+Data!F23+Data!F24+Data!F25+Data!F26+Data!F27+Data!F28+Data!F29)/(Data!AP18+Data!AP19+Data!AP20+Data!AP21+Data!AP22+Data!AP23+Data!AP24+Data!AP25+Data!AP26+Data!AP27+Data!AP28+Data!AP29)</f>
        <v>0.0686874473133228</v>
      </c>
      <c r="L29" s="18" t="n">
        <f aca="false">(Data!N18+Data!O18+Data!P18+Data!Q18+Data!R18+Data!S18+Data!N19+Data!O19+Data!P19+Data!Q19+Data!R19+Data!S19+Data!N20+Data!O20+Data!P20+Data!Q20+Data!R20+Data!S20+Data!N21+Data!O21+Data!P21+Data!Q21+Data!R21+Data!S21+Data!N22+Data!O22+Data!P22+Data!Q22+Data!R22+Data!S22+Data!N23+Data!O23+Data!P23+Data!Q23+Data!R23+Data!S23+Data!N24+Data!O24+Data!P24+Data!Q24+Data!R24+Data!S24+Data!N25+Data!O25+Data!P25+Data!Q25+Data!R25+Data!S25+Data!N26+Data!O26+Data!P26+Data!Q26+Data!R26+Data!S26+Data!N27+Data!O27+Data!P27+Data!Q27+Data!R27+Data!S27+Data!N28+Data!O28+Data!P28+Data!Q28+Data!R28+Data!S28+Data!N29+Data!O29+Data!P29+Data!Q29+Data!R29+Data!S29)/(Data!AP18+Data!AP19+Data!AP20+Data!AP21+Data!AP22+Data!AP23+Data!AP24+Data!AP25+Data!AP26+Data!AP27+Data!AP28+Data!AP29)</f>
        <v>0.0132720776284587</v>
      </c>
      <c r="M29" s="17" t="n">
        <f aca="false">(Data!T18+Data!U18+Data!V18+Data!W18+Data!X18+Data!Y18+Data!Z18+Data!AA18+Data!AB18+Data!AC18+Data!AD18+Data!AE18+Data!AF18+Data!AG18+Data!AH18+Data!AI18+Data!AJ18+Data!AK18+Data!AL18+Data!T19+Data!U19+Data!V19+Data!W19+Data!X19+Data!Y19+Data!Z19+Data!AA19+Data!AB19+Data!AC19+Data!AD19+Data!AE19+Data!AF19+Data!AG19+Data!AH19+Data!AI19+Data!AJ19+Data!AK19+Data!AL19+Data!T20+Data!U20+Data!V20+Data!W20+Data!X20+Data!Y20+Data!Z20+Data!AA20+Data!AB20+Data!AC20+Data!AD20+Data!AE20+Data!AF20+Data!AG20+Data!AH20+Data!AI20+Data!AJ20+Data!AK20+Data!AL20+Data!T21+Data!U21+Data!V21+Data!W21+Data!X21+Data!Y21+Data!Z21+Data!AA21+Data!AB21+Data!AC21+Data!AD21+Data!AE21+Data!AF21+Data!AG21+Data!AH21+Data!AI21+Data!AJ21+Data!AK21+Data!AL21+Data!T22+Data!U22+Data!V22+Data!W22+Data!X22+Data!Y22+Data!Z22+Data!AA22+Data!AB22+Data!AC22+Data!AD22+Data!AE22+Data!AF22+Data!AG22+Data!AH22+Data!AI22+Data!AJ22+Data!AK22+Data!AL22+Data!T23+Data!U23+Data!V23+Data!W23+Data!X23+Data!Y23+Data!Z23+Data!AA23+Data!AB23+Data!AC23+Data!AD23+Data!AE23+Data!AF23+Data!AG23+Data!AH23+Data!AI23+Data!AJ23+Data!AK23+Data!AL23+Data!T24+Data!U24+Data!V24+Data!W24+Data!X24+Data!Y24+Data!Z24+Data!AA24+Data!AB24+Data!AC24+Data!AD24+Data!AE24+Data!AF24+Data!AG24+Data!AH24+Data!AI24+Data!AJ24+Data!AK24+Data!AL24+Data!T25+Data!U25+Data!V25+Data!W25+Data!X25+Data!Y25+Data!Z25+Data!AA25+Data!AB25+Data!AC25+Data!AD25+Data!AE25+Data!AF25+Data!AG25+Data!AH25+Data!AI25+Data!AJ25+Data!AK25+Data!AL25+Data!T26+Data!U26+Data!V26+Data!W26+Data!X26+Data!Y26+Data!Z26+Data!AA26+Data!AB26+Data!AC26+Data!AD26+Data!AE26+Data!AF26+Data!AG26+Data!AH26+Data!AI26+Data!AJ26+Data!AK26+Data!AL26+Data!T27+Data!U27+Data!V27+Data!W27+Data!X27+Data!Y27+Data!Z27+Data!AA27+Data!AB27+Data!AC27+Data!AD27+Data!AE27+Data!AF27+Data!AG27+Data!AH27+Data!AI27+Data!AJ27+Data!AK27+Data!AL27+Data!T28+Data!U28+Data!V28+Data!W28+Data!X28+Data!Y28+Data!Z28+Data!AA28+Data!AB28+Data!AC28+Data!AD28+Data!AE28+Data!AF28+Data!AG28+Data!AH28+Data!AI28+Data!AJ28+Data!AK28+Data!AL28+Data!T29+Data!U29+Data!V29+Data!W29+Data!X29+Data!Y29+Data!Z29+Data!AA29+Data!AB29+Data!AC29+Data!AD29+Data!AE29+Data!AF29+Data!AG29+Data!AH29+Data!AI29+Data!AJ29+Data!AK29+Data!AL29)/(Data!AP18+Data!AP19+Data!AP20+Data!AP21+Data!AP22+Data!AP23+Data!AP24+Data!AP25+Data!AP26+Data!AP27+Data!AP28+Data!AP29)</f>
        <v>0.228862512434688</v>
      </c>
      <c r="N29" s="18" t="n">
        <f aca="false">(Data!T18+Data!U18+Data!V18+Data!W18+Data!T19+Data!U19+Data!V19+Data!W19+Data!T20+Data!U20+Data!V20+Data!W20+Data!T21+Data!U21+Data!V21+Data!W21+Data!T22+Data!U22+Data!V22+Data!W22+Data!T23+Data!U23+Data!V23+Data!W23+Data!T24+Data!U24+Data!V24+Data!W24+Data!T25+Data!U25+Data!V25+Data!W25+Data!T26+Data!U26+Data!V26+Data!W26+Data!T27+Data!U27+Data!V27+Data!W27+Data!T28+Data!U28+Data!V28+Data!W28+Data!T29+Data!U29+Data!V29+Data!W29)/(Data!AP18+Data!AP19+Data!AP20+Data!AP21+Data!AP22+Data!AP23+Data!AP24+Data!AP25+Data!AP26+Data!AP27+Data!AP28+Data!AP29)</f>
        <v>0.118008645461339</v>
      </c>
      <c r="O29" s="18" t="n">
        <f aca="false">(Data!T18+Data!T19+Data!T20+Data!T21+Data!T22+Data!T23+Data!T24+Data!T25+Data!T26+Data!T27+Data!T28+Data!T29)/(Data!AP18+Data!AP19+Data!AP20+Data!AP21+Data!AP22+Data!AP23+Data!AP24+Data!AP25+Data!AP26+Data!AP27+Data!AP28+Data!AP29)</f>
        <v>0.0855434398166734</v>
      </c>
      <c r="P29" s="18" t="n">
        <f aca="false">(Data!U18+Data!U19+Data!U20+Data!U21+Data!U22+Data!U23+Data!U24+Data!U25+Data!U26+Data!U27+Data!U28+Data!U29)/(Data!AP18+Data!AP19+Data!AP20+Data!AP21+Data!AP22+Data!AP23+Data!AP24+Data!AP25+Data!AP26+Data!AP27+Data!AP28+Data!AP29)</f>
        <v>0.0135445227184233</v>
      </c>
      <c r="Q29" s="18" t="n">
        <f aca="false">(Data!V18+Data!V19+Data!V20+Data!V21+Data!V22+Data!V23+Data!V24+Data!V25+Data!V26+Data!V27+Data!V28+Data!V29)/(Data!AP18+Data!AP19+Data!AP20+Data!AP21+Data!AP22+Data!AP23+Data!AP24+Data!AP25+Data!AP26+Data!AP27+Data!AP28+Data!AP29)</f>
        <v>0.0092951854223217</v>
      </c>
      <c r="R29" s="18" t="n">
        <f aca="false">(Data!W18+Data!W19+Data!W20+Data!W21+Data!W22+Data!W23+Data!W24+Data!W25+Data!W26+Data!W27+Data!W28+Data!W29)/(Data!AP18+Data!AP19+Data!AP20+Data!AP21+Data!AP22+Data!AP23+Data!AP24+Data!AP25+Data!AP26+Data!AP27+Data!AP28+Data!AP29)</f>
        <v>0.00962549750392021</v>
      </c>
      <c r="S29" s="18" t="n">
        <f aca="false">(Data!X18+Data!X19+Data!X20+Data!X21+Data!X22+Data!X23+Data!X24+Data!X25+Data!X26+Data!X27+Data!X28+Data!X29)/(Data!AP18+Data!AP19+Data!AP20+Data!AP21+Data!AP22+Data!AP23+Data!AP24+Data!AP25+Data!AP26+Data!AP27+Data!AP28+Data!AP29)</f>
        <v>0.00388879618902274</v>
      </c>
      <c r="T29" s="18" t="n">
        <f aca="false">(Data!Y18+Data!Z18+Data!AA18+Data!Y19+Data!Z19+Data!AA19+Data!Y20+Data!Z20+Data!AA20+Data!Y21+Data!Z21+Data!AA21+Data!Y22+Data!Z22+Data!AA22+Data!Y23+Data!Z23+Data!AA23+Data!Y24+Data!Z24+Data!AA24+Data!Y25+Data!Z25+Data!AA25+Data!Y26+Data!Z26+Data!AA26+Data!Y27+Data!Z27+Data!AA27+Data!Y28+Data!Z28+Data!AA28+Data!Y29+Data!Z29+Data!AA29)/(Data!AP18+Data!AP19+Data!AP20+Data!AP21+Data!AP22+Data!AP23+Data!AP24+Data!AP25+Data!AP26+Data!AP27+Data!AP28+Data!AP29)</f>
        <v>0.0233400704863158</v>
      </c>
      <c r="U29" s="18" t="n">
        <f aca="false">(Data!Y18+Data!Y19+Data!Y20+Data!Y21+Data!Y22+Data!Y23+Data!Y24+Data!Y25+Data!Y26+Data!Y27+Data!Y28+Data!Y29)/(Data!AP18+Data!AP19+Data!AP20+Data!AP21+Data!AP22+Data!AP23+Data!AP24+Data!AP25+Data!AP26+Data!AP27+Data!AP28+Data!AP29)</f>
        <v>0.0141345165236725</v>
      </c>
      <c r="V29" s="18" t="n">
        <f aca="false">(Data!Z18+Data!Z19+Data!Z20+Data!Z21+Data!Z22+Data!Z23+Data!Z24+Data!Z25+Data!Z26+Data!Z27+Data!Z28+Data!Z29)/(Data!AP18+Data!AP19+Data!AP20+Data!AP21+Data!AP22+Data!AP23+Data!AP24+Data!AP25+Data!AP26+Data!AP27+Data!AP28+Data!AP29)</f>
        <v>0.00833169521335918</v>
      </c>
      <c r="W29" s="18" t="n">
        <f aca="false">(Data!AB18+Data!AB19+Data!AB20+Data!AB21+Data!AB22+Data!AB23+Data!AB24+Data!AB25+Data!AB26+Data!AB27+Data!AB28+Data!AB29)/(Data!AP18+Data!AP19+Data!AP20+Data!AP21+Data!AP22+Data!AP23+Data!AP24+Data!AP25+Data!AP26+Data!AP27+Data!AP28+Data!AP29)</f>
        <v>0.031538662022401</v>
      </c>
      <c r="X29" s="18" t="n">
        <f aca="false">(Data!AC18+Data!AC19+Data!AC20+Data!AC21+Data!AC22+Data!AC23+Data!AC24+Data!AC25+Data!AC26+Data!AC27+Data!AC28+Data!AC29)/(Data!AP18+Data!AP19+Data!AP20+Data!AP21+Data!AP22+Data!AP23+Data!AP24+Data!AP25+Data!AP26+Data!AP27+Data!AP28+Data!AP29)</f>
        <v>0.00989141696298745</v>
      </c>
      <c r="Y29" s="18" t="n">
        <f aca="false">(Data!AD18+Data!AE18+Data!AF18+Data!AG18+Data!AH18+Data!AD19+Data!AE19+Data!AF19+Data!AG19+Data!AH19+Data!AD20+Data!AE20+Data!AF20+Data!AG20+Data!AH20+Data!AD21+Data!AE21+Data!AF21+Data!AG21+Data!AH21+Data!AD22+Data!AE22+Data!AF22+Data!AG22+Data!AH22+Data!AD23+Data!AE23+Data!AF23+Data!AG23+Data!AH23+Data!AD24+Data!AE24+Data!AF24+Data!AG24+Data!AH24+Data!AD25+Data!AE25+Data!AF25+Data!AG25+Data!AH25+Data!AD26+Data!AE26+Data!AF26+Data!AG26+Data!AH26+Data!AD27+Data!AE27+Data!AF27+Data!AG27+Data!AH27+Data!AD28+Data!AE28+Data!AF28+Data!AG28+Data!AH28+Data!AD29+Data!AE29+Data!AF29+Data!AG29+Data!AH29)/(Data!AP18+Data!AP19+Data!AP20+Data!AP21+Data!AP22+Data!AP23+Data!AP24+Data!AP25+Data!AP26+Data!AP27+Data!AP28+Data!AP29)</f>
        <v>0.0082651913573023</v>
      </c>
      <c r="Z29" s="18" t="n">
        <f aca="false">(Data!AI18+Data!AI19+Data!AI20+Data!AI21+Data!AI22+Data!AI23+Data!AI24+Data!AI25+Data!AI26+Data!AI27+Data!AI28+Data!AI29)/(Data!AP18+Data!AP19+Data!AP20+Data!AP21+Data!AP22+Data!AP23+Data!AP24+Data!AP25+Data!AP26+Data!AP27+Data!AP28+Data!AP29)</f>
        <v>0.00790244305153753</v>
      </c>
      <c r="AA29" s="18" t="n">
        <f aca="false">(Data!AJ18+Data!AJ19+Data!AJ20+Data!AJ21+Data!AJ22+Data!AJ23+Data!AJ24+Data!AJ25+Data!AJ26+Data!AJ27+Data!AJ28+Data!AJ29)/(Data!AP18+Data!AP19+Data!AP20+Data!AP21+Data!AP22+Data!AP23+Data!AP24+Data!AP25+Data!AP26+Data!AP27+Data!AP28+Data!AP29)</f>
        <v>0.000796606795278675</v>
      </c>
      <c r="AB29" s="18" t="n">
        <f aca="false">(Data!AK18+Data!AK19+Data!AK20+Data!AK21+Data!AK22+Data!AK23+Data!AK24+Data!AK25+Data!AK26+Data!AK27+Data!AK28+Data!AK29)/(Data!AP18+Data!AP19+Data!AP20+Data!AP21+Data!AP22+Data!AP23+Data!AP24+Data!AP25+Data!AP26+Data!AP27+Data!AP28+Data!AP29)</f>
        <v>0.00474442155785838</v>
      </c>
      <c r="AC29" s="18" t="n">
        <f aca="false">(Data!AL18+Data!AL19+Data!AL20+Data!AL21+Data!AL22+Data!AL23+Data!AL24+Data!AL25+Data!AL26+Data!AL27+Data!AL28+Data!AL29)/(Data!AP18+Data!AP19+Data!AP20+Data!AP21+Data!AP22+Data!AP23+Data!AP24+Data!AP25+Data!AP26+Data!AP27+Data!AP28+Data!AP29)</f>
        <v>0.0204862585506458</v>
      </c>
      <c r="AD29" s="17" t="n">
        <f aca="false">(Data!AM18+Data!AM19+Data!AM20+Data!AM21+Data!AM22+Data!AM23+Data!AM24+Data!AM25+Data!AM26+Data!AM27+Data!AM28+Data!AM29)/(Data!AP18+Data!AP19+Data!AP20+Data!AP21+Data!AP22+Data!AP23+Data!AP24+Data!AP25+Data!AP26+Data!AP27+Data!AP28+Data!AP29)</f>
        <v>-0.0329453193414222</v>
      </c>
      <c r="AE29" s="18" t="n">
        <f aca="false">(Data!AN18+Data!AN19+Data!AN20+Data!AN21+Data!AN22+Data!AN23+Data!AN24+Data!AN25+Data!AN26+Data!AN27+Data!AN28+Data!AN29)/(Data!AP18+Data!AP19+Data!AP20+Data!AP21+Data!AP22+Data!AP23+Data!AP24+Data!AP25+Data!AP26+Data!AP27+Data!AP28+Data!AP29)</f>
        <v>0.0210632010941002</v>
      </c>
      <c r="AF29" s="17" t="n">
        <f aca="false">(Data!AO18+Data!AO19+Data!AO20+Data!AO21+Data!AO22+Data!AO23+Data!AO24+Data!AO25+Data!AO26+Data!AO27+Data!AO28+Data!AO29)/(Data!AP18+Data!AP19+Data!AP20+Data!AP21+Data!AP22+Data!AP23+Data!AP24+Data!AP25+Data!AP26+Data!AP27+Data!AP28+Data!AP29)</f>
        <v>-0.0540084244703621</v>
      </c>
    </row>
    <row r="30" customFormat="false" ht="15" hidden="false" customHeight="false" outlineLevel="0" collapsed="false">
      <c r="B30" s="14" t="str">
        <f aca="false">Data!B30</f>
        <v>2017-12</v>
      </c>
      <c r="C30" s="17" t="n">
        <f aca="false">(Data!D19+Data!E19+Data!F19+Data!G19+Data!H19+Data!I19+Data!J19+Data!K19+Data!L19+Data!M19+Data!N19+Data!O19+Data!P19+Data!Q19+Data!R19+Data!S19+Data!D20+Data!E20+Data!F20+Data!G20+Data!H20+Data!I20+Data!J20+Data!K20+Data!L20+Data!M20+Data!N20+Data!O20+Data!P20+Data!Q20+Data!R20+Data!S20+Data!D21+Data!E21+Data!F21+Data!G21+Data!H21+Data!I21+Data!J21+Data!K21+Data!L21+Data!M21+Data!N21+Data!O21+Data!P21+Data!Q21+Data!R21+Data!S21+Data!D22+Data!E22+Data!F22+Data!G22+Data!H22+Data!I22+Data!J22+Data!K22+Data!L22+Data!M22+Data!N22+Data!O22+Data!P22+Data!Q22+Data!R22+Data!S22+Data!D23+Data!E23+Data!F23+Data!G23+Data!H23+Data!I23+Data!J23+Data!K23+Data!L23+Data!M23+Data!N23+Data!O23+Data!P23+Data!Q23+Data!R23+Data!S23+Data!D24+Data!E24+Data!F24+Data!G24+Data!H24+Data!I24+Data!J24+Data!K24+Data!L24+Data!M24+Data!N24+Data!O24+Data!P24+Data!Q24+Data!R24+Data!S24+Data!D25+Data!E25+Data!F25+Data!G25+Data!H25+Data!I25+Data!J25+Data!K25+Data!L25+Data!M25+Data!N25+Data!O25+Data!P25+Data!Q25+Data!R25+Data!S25+Data!D26+Data!E26+Data!F26+Data!G26+Data!H26+Data!I26+Data!J26+Data!K26+Data!L26+Data!M26+Data!N26+Data!O26+Data!P26+Data!Q26+Data!R26+Data!S26+Data!D27+Data!E27+Data!F27+Data!G27+Data!H27+Data!I27+Data!J27+Data!K27+Data!L27+Data!M27+Data!N27+Data!O27+Data!P27+Data!Q27+Data!R27+Data!S27+Data!D28+Data!E28+Data!F28+Data!G28+Data!H28+Data!I28+Data!J28+Data!K28+Data!L28+Data!M28+Data!N28+Data!O28+Data!P28+Data!Q28+Data!R28+Data!S28+Data!D29+Data!E29+Data!F29+Data!G29+Data!H29+Data!I29+Data!J29+Data!K29+Data!L29+Data!M29+Data!N29+Data!O29+Data!P29+Data!Q29+Data!R29+Data!S29+Data!D30+Data!E30+Data!F30+Data!G30+Data!H30+Data!I30+Data!J30+Data!K30+Data!L30+Data!M30+Data!N30+Data!O30+Data!P30+Data!Q30+Data!R30+Data!S30)/(Data!AP19+Data!AP20+Data!AP21+Data!AP22+Data!AP23+Data!AP24+Data!AP25+Data!AP26+Data!AP27+Data!AP28+Data!AP29+Data!AP30)</f>
        <v>0.187434725341307</v>
      </c>
      <c r="D30" s="18" t="n">
        <f aca="false">(Data!D19+Data!E19+Data!G19+Data!H19+Data!I19+Data!J19+Data!K19+Data!L19+Data!M19+Data!D20+Data!E20+Data!G20+Data!H20+Data!I20+Data!J20+Data!K20+Data!L20+Data!M20+Data!D21+Data!E21+Data!G21+Data!H21+Data!I21+Data!J21+Data!K21+Data!L21+Data!M21+Data!D22+Data!E22+Data!G22+Data!H22+Data!I22+Data!J22+Data!K22+Data!L22+Data!M22+Data!D23+Data!E23+Data!G23+Data!H23+Data!I23+Data!J23+Data!K23+Data!L23+Data!M23+Data!D24+Data!E24+Data!G24+Data!H24+Data!I24+Data!J24+Data!K24+Data!L24+Data!M24+Data!D25+Data!E25+Data!G25+Data!H25+Data!I25+Data!J25+Data!K25+Data!L25+Data!M25+Data!D26+Data!E26+Data!G26+Data!H26+Data!I26+Data!J26+Data!K26+Data!L26+Data!M26+Data!D27+Data!E27+Data!G27+Data!H27+Data!I27+Data!J27+Data!K27+Data!L27+Data!M27+Data!D28+Data!E28+Data!G28+Data!H28+Data!I28+Data!J28+Data!K28+Data!L28+Data!M28+Data!D29+Data!E29+Data!G29+Data!H29+Data!I29+Data!J29+Data!K29+Data!L29+Data!M29+Data!D30+Data!E30+Data!G30+Data!H30+Data!I30+Data!J30+Data!K30+Data!L30+Data!M30)/(Data!AP19+Data!AP20+Data!AP21+Data!AP22+Data!AP23+Data!AP24+Data!AP25+Data!AP26+Data!AP27+Data!AP28+Data!AP29+Data!AP30)</f>
        <v>0.104839872854909</v>
      </c>
      <c r="E30" s="18" t="n">
        <f aca="false">(Data!D19+Data!D20+Data!D21+Data!D22+Data!D23+Data!D24+Data!D25+Data!D26+Data!D27+Data!D28+Data!D29+Data!D30)/(Data!AP19+Data!AP20+Data!AP21+Data!AP22+Data!AP23+Data!AP24+Data!AP25+Data!AP26+Data!AP27+Data!AP28+Data!AP29+Data!AP30)</f>
        <v>0.0326968601254417</v>
      </c>
      <c r="F30" s="18" t="n">
        <f aca="false">(Data!E19+Data!E20+Data!E21+Data!E22+Data!E23+Data!E24+Data!E25+Data!E26+Data!E27+Data!E28+Data!E29+Data!E30)/(Data!AP19+Data!AP20+Data!AP21+Data!AP22+Data!AP23+Data!AP24+Data!AP25+Data!AP26+Data!AP27+Data!AP28+Data!AP29+Data!AP30)</f>
        <v>0.0257192423345825</v>
      </c>
      <c r="G30" s="18" t="n">
        <f aca="false">(Data!K19+Data!K20+Data!K21+Data!K22+Data!K23+Data!K24+Data!K25+Data!K26+Data!K27+Data!K28+Data!K29+Data!K30)/(Data!AP19+Data!AP20+Data!AP21+Data!AP22+Data!AP23+Data!AP24+Data!AP25+Data!AP26+Data!AP27+Data!AP28+Data!AP29+Data!AP30)</f>
        <v>0.00615605941579577</v>
      </c>
      <c r="H30" s="18" t="n">
        <f aca="false">(Data!L19+Data!L20+Data!L21+Data!L22+Data!L23+Data!L24+Data!L25+Data!L26+Data!L27+Data!L28+Data!L29+Data!L30)/(Data!AP19+Data!AP20+Data!AP21+Data!AP22+Data!AP23+Data!AP24+Data!AP25+Data!AP26+Data!AP27+Data!AP28+Data!AP29+Data!AP30)</f>
        <v>0.0062075592499942</v>
      </c>
      <c r="I30" s="18" t="n">
        <f aca="false">(Data!G19+Data!G20+Data!G21+Data!G22+Data!G23+Data!G24+Data!G25+Data!G26+Data!G27+Data!G28+Data!G29+Data!G30)/(Data!AP19+Data!AP20+Data!AP21+Data!AP22+Data!AP23+Data!AP24+Data!AP25+Data!AP26+Data!AP27+Data!AP28+Data!AP29+Data!AP30)</f>
        <v>0.0130396829737464</v>
      </c>
      <c r="J30" s="18" t="n">
        <f aca="false">(Data!H19+Data!I19+Data!J19+Data!M19+Data!H20+Data!I20+Data!J20+Data!M20+Data!H21+Data!I21+Data!J21+Data!M21+Data!H22+Data!I22+Data!J22+Data!M22+Data!H23+Data!I23+Data!J23+Data!M23+Data!H24+Data!I24+Data!J24+Data!M24+Data!H25+Data!I25+Data!J25+Data!M25+Data!H26+Data!I26+Data!J26+Data!M26+Data!H27+Data!I27+Data!J27+Data!M27+Data!H28+Data!I28+Data!J28+Data!M28+Data!H29+Data!I29+Data!J29+Data!M29+Data!H30+Data!I30+Data!J30+Data!M30)/(Data!AP19+Data!AP20+Data!AP21+Data!AP22+Data!AP23+Data!AP24+Data!AP25+Data!AP26+Data!AP27+Data!AP28+Data!AP29+Data!AP30)</f>
        <v>0.0210204687553488</v>
      </c>
      <c r="K30" s="18" t="n">
        <f aca="false">(Data!F19+Data!F20+Data!F21+Data!F22+Data!F23+Data!F24+Data!F25+Data!F26+Data!F27+Data!F28+Data!F29+Data!F30)/(Data!AP19+Data!AP20+Data!AP21+Data!AP22+Data!AP23+Data!AP24+Data!AP25+Data!AP26+Data!AP27+Data!AP28+Data!AP29+Data!AP30)</f>
        <v>0.0682213331875742</v>
      </c>
      <c r="L30" s="18" t="n">
        <f aca="false">(Data!N19+Data!O19+Data!P19+Data!Q19+Data!R19+Data!S19+Data!N20+Data!O20+Data!P20+Data!Q20+Data!R20+Data!S20+Data!N21+Data!O21+Data!P21+Data!Q21+Data!R21+Data!S21+Data!N22+Data!O22+Data!P22+Data!Q22+Data!R22+Data!S22+Data!N23+Data!O23+Data!P23+Data!Q23+Data!R23+Data!S23+Data!N24+Data!O24+Data!P24+Data!Q24+Data!R24+Data!S24+Data!N25+Data!O25+Data!P25+Data!Q25+Data!R25+Data!S25+Data!N26+Data!O26+Data!P26+Data!Q26+Data!R26+Data!S26+Data!N27+Data!O27+Data!P27+Data!Q27+Data!R27+Data!S27+Data!N28+Data!O28+Data!P28+Data!Q28+Data!R28+Data!S28+Data!N29+Data!O29+Data!P29+Data!Q29+Data!R29+Data!S29+Data!N30+Data!O30+Data!P30+Data!Q30+Data!R30+Data!S30)/(Data!AP19+Data!AP20+Data!AP21+Data!AP22+Data!AP23+Data!AP24+Data!AP25+Data!AP26+Data!AP27+Data!AP28+Data!AP29+Data!AP30)</f>
        <v>0.0143735192988237</v>
      </c>
      <c r="M30" s="17" t="n">
        <f aca="false">(Data!T19+Data!U19+Data!V19+Data!W19+Data!X19+Data!Y19+Data!Z19+Data!AA19+Data!AB19+Data!AC19+Data!AD19+Data!AE19+Data!AF19+Data!AG19+Data!AH19+Data!AI19+Data!AJ19+Data!AK19+Data!AL19+Data!T20+Data!U20+Data!V20+Data!W20+Data!X20+Data!Y20+Data!Z20+Data!AA20+Data!AB20+Data!AC20+Data!AD20+Data!AE20+Data!AF20+Data!AG20+Data!AH20+Data!AI20+Data!AJ20+Data!AK20+Data!AL20+Data!T21+Data!U21+Data!V21+Data!W21+Data!X21+Data!Y21+Data!Z21+Data!AA21+Data!AB21+Data!AC21+Data!AD21+Data!AE21+Data!AF21+Data!AG21+Data!AH21+Data!AI21+Data!AJ21+Data!AK21+Data!AL21+Data!T22+Data!U22+Data!V22+Data!W22+Data!X22+Data!Y22+Data!Z22+Data!AA22+Data!AB22+Data!AC22+Data!AD22+Data!AE22+Data!AF22+Data!AG22+Data!AH22+Data!AI22+Data!AJ22+Data!AK22+Data!AL22+Data!T23+Data!U23+Data!V23+Data!W23+Data!X23+Data!Y23+Data!Z23+Data!AA23+Data!AB23+Data!AC23+Data!AD23+Data!AE23+Data!AF23+Data!AG23+Data!AH23+Data!AI23+Data!AJ23+Data!AK23+Data!AL23+Data!T24+Data!U24+Data!V24+Data!W24+Data!X24+Data!Y24+Data!Z24+Data!AA24+Data!AB24+Data!AC24+Data!AD24+Data!AE24+Data!AF24+Data!AG24+Data!AH24+Data!AI24+Data!AJ24+Data!AK24+Data!AL24+Data!T25+Data!U25+Data!V25+Data!W25+Data!X25+Data!Y25+Data!Z25+Data!AA25+Data!AB25+Data!AC25+Data!AD25+Data!AE25+Data!AF25+Data!AG25+Data!AH25+Data!AI25+Data!AJ25+Data!AK25+Data!AL25+Data!T26+Data!U26+Data!V26+Data!W26+Data!X26+Data!Y26+Data!Z26+Data!AA26+Data!AB26+Data!AC26+Data!AD26+Data!AE26+Data!AF26+Data!AG26+Data!AH26+Data!AI26+Data!AJ26+Data!AK26+Data!AL26+Data!T27+Data!U27+Data!V27+Data!W27+Data!X27+Data!Y27+Data!Z27+Data!AA27+Data!AB27+Data!AC27+Data!AD27+Data!AE27+Data!AF27+Data!AG27+Data!AH27+Data!AI27+Data!AJ27+Data!AK27+Data!AL27+Data!T28+Data!U28+Data!V28+Data!W28+Data!X28+Data!Y28+Data!Z28+Data!AA28+Data!AB28+Data!AC28+Data!AD28+Data!AE28+Data!AF28+Data!AG28+Data!AH28+Data!AI28+Data!AJ28+Data!AK28+Data!AL28+Data!T29+Data!U29+Data!V29+Data!W29+Data!X29+Data!Y29+Data!Z29+Data!AA29+Data!AB29+Data!AC29+Data!AD29+Data!AE29+Data!AF29+Data!AG29+Data!AH29+Data!AI29+Data!AJ29+Data!AK29+Data!AL29+Data!T30+Data!U30+Data!V30+Data!W30+Data!X30+Data!Y30+Data!Z30+Data!AA30+Data!AB30+Data!AC30+Data!AD30+Data!AE30+Data!AF30+Data!AG30+Data!AH30+Data!AI30+Data!AJ30+Data!AK30+Data!AL30)/(Data!AP19+Data!AP20+Data!AP21+Data!AP22+Data!AP23+Data!AP24+Data!AP25+Data!AP26+Data!AP27+Data!AP28+Data!AP29+Data!AP30)</f>
        <v>0.225346014034305</v>
      </c>
      <c r="N30" s="18" t="n">
        <f aca="false">(Data!T19+Data!U19+Data!V19+Data!W19+Data!T20+Data!U20+Data!V20+Data!W20+Data!T21+Data!U21+Data!V21+Data!W21+Data!T22+Data!U22+Data!V22+Data!W22+Data!T23+Data!U23+Data!V23+Data!W23+Data!T24+Data!U24+Data!V24+Data!W24+Data!T25+Data!U25+Data!V25+Data!W25+Data!T26+Data!U26+Data!V26+Data!W26+Data!T27+Data!U27+Data!V27+Data!W27+Data!T28+Data!U28+Data!V28+Data!W28+Data!T29+Data!U29+Data!V29+Data!W29+Data!T30+Data!U30+Data!V30+Data!W30)/(Data!AP19+Data!AP20+Data!AP21+Data!AP22+Data!AP23+Data!AP24+Data!AP25+Data!AP26+Data!AP27+Data!AP28+Data!AP29+Data!AP30)</f>
        <v>0.11869248399471</v>
      </c>
      <c r="O30" s="18" t="n">
        <f aca="false">(Data!T19+Data!T20+Data!T21+Data!T22+Data!T23+Data!T24+Data!T25+Data!T26+Data!T27+Data!T28+Data!T29+Data!T30)/(Data!AP19+Data!AP20+Data!AP21+Data!AP22+Data!AP23+Data!AP24+Data!AP25+Data!AP26+Data!AP27+Data!AP28+Data!AP29+Data!AP30)</f>
        <v>0.0865031176816787</v>
      </c>
      <c r="P30" s="18" t="n">
        <f aca="false">(Data!U19+Data!U20+Data!U21+Data!U22+Data!U23+Data!U24+Data!U25+Data!U26+Data!U27+Data!U28+Data!U29+Data!U30)/(Data!AP19+Data!AP20+Data!AP21+Data!AP22+Data!AP23+Data!AP24+Data!AP25+Data!AP26+Data!AP27+Data!AP28+Data!AP29+Data!AP30)</f>
        <v>0.013278889853903</v>
      </c>
      <c r="Q30" s="18" t="n">
        <f aca="false">(Data!V19+Data!V20+Data!V21+Data!V22+Data!V23+Data!V24+Data!V25+Data!V26+Data!V27+Data!V28+Data!V29+Data!V30)/(Data!AP19+Data!AP20+Data!AP21+Data!AP22+Data!AP23+Data!AP24+Data!AP25+Data!AP26+Data!AP27+Data!AP28+Data!AP29+Data!AP30)</f>
        <v>0.0094181846147946</v>
      </c>
      <c r="R30" s="18" t="n">
        <f aca="false">(Data!W19+Data!W20+Data!W21+Data!W22+Data!W23+Data!W24+Data!W25+Data!W26+Data!W27+Data!W28+Data!W29+Data!W30)/(Data!AP19+Data!AP20+Data!AP21+Data!AP22+Data!AP23+Data!AP24+Data!AP25+Data!AP26+Data!AP27+Data!AP28+Data!AP29+Data!AP30)</f>
        <v>0.00949229184433332</v>
      </c>
      <c r="S30" s="18" t="n">
        <f aca="false">(Data!X19+Data!X20+Data!X21+Data!X22+Data!X23+Data!X24+Data!X25+Data!X26+Data!X27+Data!X28+Data!X29+Data!X30)/(Data!AP19+Data!AP20+Data!AP21+Data!AP22+Data!AP23+Data!AP24+Data!AP25+Data!AP26+Data!AP27+Data!AP28+Data!AP29+Data!AP30)</f>
        <v>0.00368078414258277</v>
      </c>
      <c r="T30" s="18" t="n">
        <f aca="false">(Data!Y19+Data!Z19+Data!AA19+Data!Y20+Data!Z20+Data!AA20+Data!Y21+Data!Z21+Data!AA21+Data!Y22+Data!Z22+Data!AA22+Data!Y23+Data!Z23+Data!AA23+Data!Y24+Data!Z24+Data!AA24+Data!Y25+Data!Z25+Data!AA25+Data!Y26+Data!Z26+Data!AA26+Data!Y27+Data!Z27+Data!AA27+Data!Y28+Data!Z28+Data!AA28+Data!Y29+Data!Z29+Data!AA29+Data!Y30+Data!Z30+Data!AA30)/(Data!AP19+Data!AP20+Data!AP21+Data!AP22+Data!AP23+Data!AP24+Data!AP25+Data!AP26+Data!AP27+Data!AP28+Data!AP29+Data!AP30)</f>
        <v>0.0211729045123114</v>
      </c>
      <c r="U30" s="18" t="n">
        <f aca="false">(Data!Y19+Data!Y20+Data!Y21+Data!Y22+Data!Y23+Data!Y24+Data!Y25+Data!Y26+Data!Y27+Data!Y28+Data!Y29+Data!Y30)/(Data!AP19+Data!AP20+Data!AP21+Data!AP22+Data!AP23+Data!AP24+Data!AP25+Data!AP26+Data!AP27+Data!AP28+Data!AP29+Data!AP30)</f>
        <v>0.0117871769879223</v>
      </c>
      <c r="V30" s="18" t="n">
        <f aca="false">(Data!Z19+Data!Z20+Data!Z21+Data!Z22+Data!Z23+Data!Z24+Data!Z25+Data!Z26+Data!Z27+Data!Z28+Data!Z29+Data!Z30)/(Data!AP19+Data!AP20+Data!AP21+Data!AP22+Data!AP23+Data!AP24+Data!AP25+Data!AP26+Data!AP27+Data!AP28+Data!AP29+Data!AP30)</f>
        <v>0.00848912385359016</v>
      </c>
      <c r="W30" s="18" t="n">
        <f aca="false">(Data!AB19+Data!AB20+Data!AB21+Data!AB22+Data!AB23+Data!AB24+Data!AB25+Data!AB26+Data!AB27+Data!AB28+Data!AB29+Data!AB30)/(Data!AP19+Data!AP20+Data!AP21+Data!AP22+Data!AP23+Data!AP24+Data!AP25+Data!AP26+Data!AP27+Data!AP28+Data!AP29+Data!AP30)</f>
        <v>0.0312558966407021</v>
      </c>
      <c r="X30" s="18" t="n">
        <f aca="false">(Data!AC19+Data!AC20+Data!AC21+Data!AC22+Data!AC23+Data!AC24+Data!AC25+Data!AC26+Data!AC27+Data!AC28+Data!AC29+Data!AC30)/(Data!AP19+Data!AP20+Data!AP21+Data!AP22+Data!AP23+Data!AP24+Data!AP25+Data!AP26+Data!AP27+Data!AP28+Data!AP29+Data!AP30)</f>
        <v>0.00980598118050736</v>
      </c>
      <c r="Y30" s="18" t="n">
        <f aca="false">(Data!AD19+Data!AE19+Data!AF19+Data!AG19+Data!AH19+Data!AD20+Data!AE20+Data!AF20+Data!AG20+Data!AH20+Data!AD21+Data!AE21+Data!AF21+Data!AG21+Data!AH21+Data!AD22+Data!AE22+Data!AF22+Data!AG22+Data!AH22+Data!AD23+Data!AE23+Data!AF23+Data!AG23+Data!AH23+Data!AD24+Data!AE24+Data!AF24+Data!AG24+Data!AH24+Data!AD25+Data!AE25+Data!AF25+Data!AG25+Data!AH25+Data!AD26+Data!AE26+Data!AF26+Data!AG26+Data!AH26+Data!AD27+Data!AE27+Data!AF27+Data!AG27+Data!AH27+Data!AD28+Data!AE28+Data!AF28+Data!AG28+Data!AH28+Data!AD29+Data!AE29+Data!AF29+Data!AG29+Data!AH29+Data!AD30+Data!AE30+Data!AF30+Data!AG30+Data!AH30)/(Data!AP19+Data!AP20+Data!AP21+Data!AP22+Data!AP23+Data!AP24+Data!AP25+Data!AP26+Data!AP27+Data!AP28+Data!AP29+Data!AP30)</f>
        <v>0.00775414898848144</v>
      </c>
      <c r="Z30" s="18" t="n">
        <f aca="false">(Data!AI19+Data!AI20+Data!AI21+Data!AI22+Data!AI23+Data!AI24+Data!AI25+Data!AI26+Data!AI27+Data!AI28+Data!AI29+Data!AI30)/(Data!AP19+Data!AP20+Data!AP21+Data!AP22+Data!AP23+Data!AP24+Data!AP25+Data!AP26+Data!AP27+Data!AP28+Data!AP29+Data!AP30)</f>
        <v>0.00795245618246227</v>
      </c>
      <c r="AA30" s="18" t="n">
        <f aca="false">(Data!AJ19+Data!AJ20+Data!AJ21+Data!AJ22+Data!AJ23+Data!AJ24+Data!AJ25+Data!AJ26+Data!AJ27+Data!AJ28+Data!AJ29+Data!AJ30)/(Data!AP19+Data!AP20+Data!AP21+Data!AP22+Data!AP23+Data!AP24+Data!AP25+Data!AP26+Data!AP27+Data!AP28+Data!AP29+Data!AP30)</f>
        <v>0.000801389951834564</v>
      </c>
      <c r="AB30" s="18" t="n">
        <f aca="false">(Data!AK19+Data!AK20+Data!AK21+Data!AK22+Data!AK23+Data!AK24+Data!AK25+Data!AK26+Data!AK27+Data!AK28+Data!AK29+Data!AK30)/(Data!AP19+Data!AP20+Data!AP21+Data!AP22+Data!AP23+Data!AP24+Data!AP25+Data!AP26+Data!AP27+Data!AP28+Data!AP29+Data!AP30)</f>
        <v>0.00472363233344604</v>
      </c>
      <c r="AC30" s="18" t="n">
        <f aca="false">(Data!AL19+Data!AL20+Data!AL21+Data!AL22+Data!AL23+Data!AL24+Data!AL25+Data!AL26+Data!AL27+Data!AL28+Data!AL29+Data!AL30)/(Data!AP19+Data!AP20+Data!AP21+Data!AP22+Data!AP23+Data!AP24+Data!AP25+Data!AP26+Data!AP27+Data!AP28+Data!AP29+Data!AP30)</f>
        <v>0.0195063361072671</v>
      </c>
      <c r="AD30" s="17" t="n">
        <f aca="false">(Data!AM19+Data!AM20+Data!AM21+Data!AM22+Data!AM23+Data!AM24+Data!AM25+Data!AM26+Data!AM27+Data!AM28+Data!AM29+Data!AM30)/(Data!AP19+Data!AP20+Data!AP21+Data!AP22+Data!AP23+Data!AP24+Data!AP25+Data!AP26+Data!AP27+Data!AP28+Data!AP29+Data!AP30)</f>
        <v>-0.0379112886929974</v>
      </c>
      <c r="AE30" s="18" t="n">
        <f aca="false">(Data!AN19+Data!AN20+Data!AN21+Data!AN22+Data!AN23+Data!AN24+Data!AN25+Data!AN26+Data!AN27+Data!AN28+Data!AN29+Data!AN30)/(Data!AP19+Data!AP20+Data!AP21+Data!AP22+Data!AP23+Data!AP24+Data!AP25+Data!AP26+Data!AP27+Data!AP28+Data!AP29+Data!AP30)</f>
        <v>0.0210978592165759</v>
      </c>
      <c r="AF30" s="17" t="n">
        <f aca="false">(Data!AO19+Data!AO20+Data!AO21+Data!AO22+Data!AO23+Data!AO24+Data!AO25+Data!AO26+Data!AO27+Data!AO28+Data!AO29+Data!AO30)/(Data!AP19+Data!AP20+Data!AP21+Data!AP22+Data!AP23+Data!AP24+Data!AP25+Data!AP26+Data!AP27+Data!AP28+Data!AP29+Data!AP30)</f>
        <v>-0.0590090541029536</v>
      </c>
    </row>
    <row r="31" customFormat="false" ht="15" hidden="false" customHeight="false" outlineLevel="0" collapsed="false">
      <c r="B31" s="14" t="str">
        <f aca="false">Data!B31</f>
        <v>2018-01</v>
      </c>
      <c r="C31" s="17" t="n">
        <f aca="false">(Data!D20+Data!E20+Data!F20+Data!G20+Data!H20+Data!I20+Data!J20+Data!K20+Data!L20+Data!M20+Data!N20+Data!O20+Data!P20+Data!Q20+Data!R20+Data!S20+Data!D21+Data!E21+Data!F21+Data!G21+Data!H21+Data!I21+Data!J21+Data!K21+Data!L21+Data!M21+Data!N21+Data!O21+Data!P21+Data!Q21+Data!R21+Data!S21+Data!D22+Data!E22+Data!F22+Data!G22+Data!H22+Data!I22+Data!J22+Data!K22+Data!L22+Data!M22+Data!N22+Data!O22+Data!P22+Data!Q22+Data!R22+Data!S22+Data!D23+Data!E23+Data!F23+Data!G23+Data!H23+Data!I23+Data!J23+Data!K23+Data!L23+Data!M23+Data!N23+Data!O23+Data!P23+Data!Q23+Data!R23+Data!S23+Data!D24+Data!E24+Data!F24+Data!G24+Data!H24+Data!I24+Data!J24+Data!K24+Data!L24+Data!M24+Data!N24+Data!O24+Data!P24+Data!Q24+Data!R24+Data!S24+Data!D25+Data!E25+Data!F25+Data!G25+Data!H25+Data!I25+Data!J25+Data!K25+Data!L25+Data!M25+Data!N25+Data!O25+Data!P25+Data!Q25+Data!R25+Data!S25+Data!D26+Data!E26+Data!F26+Data!G26+Data!H26+Data!I26+Data!J26+Data!K26+Data!L26+Data!M26+Data!N26+Data!O26+Data!P26+Data!Q26+Data!R26+Data!S26+Data!D27+Data!E27+Data!F27+Data!G27+Data!H27+Data!I27+Data!J27+Data!K27+Data!L27+Data!M27+Data!N27+Data!O27+Data!P27+Data!Q27+Data!R27+Data!S27+Data!D28+Data!E28+Data!F28+Data!G28+Data!H28+Data!I28+Data!J28+Data!K28+Data!L28+Data!M28+Data!N28+Data!O28+Data!P28+Data!Q28+Data!R28+Data!S28+Data!D29+Data!E29+Data!F29+Data!G29+Data!H29+Data!I29+Data!J29+Data!K29+Data!L29+Data!M29+Data!N29+Data!O29+Data!P29+Data!Q29+Data!R29+Data!S29+Data!D30+Data!E30+Data!F30+Data!G30+Data!H30+Data!I30+Data!J30+Data!K30+Data!L30+Data!M30+Data!N30+Data!O30+Data!P30+Data!Q30+Data!R30+Data!S30+Data!D31+Data!E31+Data!F31+Data!G31+Data!H31+Data!I31+Data!J31+Data!K31+Data!L31+Data!M31+Data!N31+Data!O31+Data!P31+Data!Q31+Data!R31+Data!S31)/(Data!AP20+Data!AP21+Data!AP22+Data!AP23+Data!AP24+Data!AP25+Data!AP26+Data!AP27+Data!AP28+Data!AP29+Data!AP30+Data!AP31)</f>
        <v>0.186084267101264</v>
      </c>
      <c r="D31" s="18" t="n">
        <f aca="false">(Data!D20+Data!E20+Data!G20+Data!H20+Data!I20+Data!J20+Data!K20+Data!L20+Data!M20+Data!D21+Data!E21+Data!G21+Data!H21+Data!I21+Data!J21+Data!K21+Data!L21+Data!M21+Data!D22+Data!E22+Data!G22+Data!H22+Data!I22+Data!J22+Data!K22+Data!L22+Data!M22+Data!D23+Data!E23+Data!G23+Data!H23+Data!I23+Data!J23+Data!K23+Data!L23+Data!M23+Data!D24+Data!E24+Data!G24+Data!H24+Data!I24+Data!J24+Data!K24+Data!L24+Data!M24+Data!D25+Data!E25+Data!G25+Data!H25+Data!I25+Data!J25+Data!K25+Data!L25+Data!M25+Data!D26+Data!E26+Data!G26+Data!H26+Data!I26+Data!J26+Data!K26+Data!L26+Data!M26+Data!D27+Data!E27+Data!G27+Data!H27+Data!I27+Data!J27+Data!K27+Data!L27+Data!M27+Data!D28+Data!E28+Data!G28+Data!H28+Data!I28+Data!J28+Data!K28+Data!L28+Data!M28+Data!D29+Data!E29+Data!G29+Data!H29+Data!I29+Data!J29+Data!K29+Data!L29+Data!M29+Data!D30+Data!E30+Data!G30+Data!H30+Data!I30+Data!J30+Data!K30+Data!L30+Data!M30+Data!D31+Data!E31+Data!G31+Data!H31+Data!I31+Data!J31+Data!K31+Data!L31+Data!M31)/(Data!AP20+Data!AP21+Data!AP22+Data!AP23+Data!AP24+Data!AP25+Data!AP26+Data!AP27+Data!AP28+Data!AP29+Data!AP30+Data!AP31)</f>
        <v>0.103103283271253</v>
      </c>
      <c r="E31" s="18" t="n">
        <f aca="false">(Data!D20+Data!D21+Data!D22+Data!D23+Data!D24+Data!D25+Data!D26+Data!D27+Data!D28+Data!D29+Data!D30+Data!D31)/(Data!AP20+Data!AP21+Data!AP22+Data!AP23+Data!AP24+Data!AP25+Data!AP26+Data!AP27+Data!AP28+Data!AP29+Data!AP30+Data!AP31)</f>
        <v>0.0330294507338697</v>
      </c>
      <c r="F31" s="18" t="n">
        <f aca="false">(Data!E20+Data!E21+Data!E22+Data!E23+Data!E24+Data!E25+Data!E26+Data!E27+Data!E28+Data!E29+Data!E30+Data!E31)/(Data!AP20+Data!AP21+Data!AP22+Data!AP23+Data!AP24+Data!AP25+Data!AP26+Data!AP27+Data!AP28+Data!AP29+Data!AP30+Data!AP31)</f>
        <v>0.0249068658597005</v>
      </c>
      <c r="G31" s="18" t="n">
        <f aca="false">(Data!K20+Data!K21+Data!K22+Data!K23+Data!K24+Data!K25+Data!K26+Data!K27+Data!K28+Data!K29+Data!K30+Data!K31)/(Data!AP20+Data!AP21+Data!AP22+Data!AP23+Data!AP24+Data!AP25+Data!AP26+Data!AP27+Data!AP28+Data!AP29+Data!AP30+Data!AP31)</f>
        <v>0.00571124402773165</v>
      </c>
      <c r="H31" s="18" t="n">
        <f aca="false">(Data!L20+Data!L21+Data!L22+Data!L23+Data!L24+Data!L25+Data!L26+Data!L27+Data!L28+Data!L29+Data!L30+Data!L31)/(Data!AP20+Data!AP21+Data!AP22+Data!AP23+Data!AP24+Data!AP25+Data!AP26+Data!AP27+Data!AP28+Data!AP29+Data!AP30+Data!AP31)</f>
        <v>0.00631504128352706</v>
      </c>
      <c r="I31" s="18" t="n">
        <f aca="false">(Data!G20+Data!G21+Data!G22+Data!G23+Data!G24+Data!G25+Data!G26+Data!G27+Data!G28+Data!G29+Data!G30+Data!G31)/(Data!AP20+Data!AP21+Data!AP22+Data!AP23+Data!AP24+Data!AP25+Data!AP26+Data!AP27+Data!AP28+Data!AP29+Data!AP30+Data!AP31)</f>
        <v>0.0134930820135393</v>
      </c>
      <c r="J31" s="18" t="n">
        <f aca="false">(Data!H20+Data!I20+Data!J20+Data!M20+Data!H21+Data!I21+Data!J21+Data!M21+Data!H22+Data!I22+Data!J22+Data!M22+Data!H23+Data!I23+Data!J23+Data!M23+Data!H24+Data!I24+Data!J24+Data!M24+Data!H25+Data!I25+Data!J25+Data!M25+Data!H26+Data!I26+Data!J26+Data!M26+Data!H27+Data!I27+Data!J27+Data!M27+Data!H28+Data!I28+Data!J28+Data!M28+Data!H29+Data!I29+Data!J29+Data!M29+Data!H30+Data!I30+Data!J30+Data!M30+Data!H31+Data!I31+Data!J31+Data!M31)/(Data!AP20+Data!AP21+Data!AP22+Data!AP23+Data!AP24+Data!AP25+Data!AP26+Data!AP27+Data!AP28+Data!AP29+Data!AP30+Data!AP31)</f>
        <v>0.0196475993528852</v>
      </c>
      <c r="K31" s="18" t="n">
        <f aca="false">(Data!F20+Data!F21+Data!F22+Data!F23+Data!F24+Data!F25+Data!F26+Data!F27+Data!F28+Data!F29+Data!F30+Data!F31)/(Data!AP20+Data!AP21+Data!AP22+Data!AP23+Data!AP24+Data!AP25+Data!AP26+Data!AP27+Data!AP28+Data!AP29+Data!AP30+Data!AP31)</f>
        <v>0.0684155432304578</v>
      </c>
      <c r="L31" s="18" t="n">
        <f aca="false">(Data!N20+Data!O20+Data!P20+Data!Q20+Data!R20+Data!S20+Data!N21+Data!O21+Data!P21+Data!Q21+Data!R21+Data!S21+Data!N22+Data!O22+Data!P22+Data!Q22+Data!R22+Data!S22+Data!N23+Data!O23+Data!P23+Data!Q23+Data!R23+Data!S23+Data!N24+Data!O24+Data!P24+Data!Q24+Data!R24+Data!S24+Data!N25+Data!O25+Data!P25+Data!Q25+Data!R25+Data!S25+Data!N26+Data!O26+Data!P26+Data!Q26+Data!R26+Data!S26+Data!N27+Data!O27+Data!P27+Data!Q27+Data!R27+Data!S27+Data!N28+Data!O28+Data!P28+Data!Q28+Data!R28+Data!S28+Data!N29+Data!O29+Data!P29+Data!Q29+Data!R29+Data!S29+Data!N30+Data!O30+Data!P30+Data!Q30+Data!R30+Data!S30+Data!N31+Data!O31+Data!P31+Data!Q31+Data!R31+Data!S31)/(Data!AP20+Data!AP21+Data!AP22+Data!AP23+Data!AP24+Data!AP25+Data!AP26+Data!AP27+Data!AP28+Data!AP29+Data!AP30+Data!AP31)</f>
        <v>0.0145654405995529</v>
      </c>
      <c r="M31" s="17" t="n">
        <f aca="false">(Data!T20+Data!U20+Data!V20+Data!W20+Data!X20+Data!Y20+Data!Z20+Data!AA20+Data!AB20+Data!AC20+Data!AD20+Data!AE20+Data!AF20+Data!AG20+Data!AH20+Data!AI20+Data!AJ20+Data!AK20+Data!AL20+Data!T21+Data!U21+Data!V21+Data!W21+Data!X21+Data!Y21+Data!Z21+Data!AA21+Data!AB21+Data!AC21+Data!AD21+Data!AE21+Data!AF21+Data!AG21+Data!AH21+Data!AI21+Data!AJ21+Data!AK21+Data!AL21+Data!T22+Data!U22+Data!V22+Data!W22+Data!X22+Data!Y22+Data!Z22+Data!AA22+Data!AB22+Data!AC22+Data!AD22+Data!AE22+Data!AF22+Data!AG22+Data!AH22+Data!AI22+Data!AJ22+Data!AK22+Data!AL22+Data!T23+Data!U23+Data!V23+Data!W23+Data!X23+Data!Y23+Data!Z23+Data!AA23+Data!AB23+Data!AC23+Data!AD23+Data!AE23+Data!AF23+Data!AG23+Data!AH23+Data!AI23+Data!AJ23+Data!AK23+Data!AL23+Data!T24+Data!U24+Data!V24+Data!W24+Data!X24+Data!Y24+Data!Z24+Data!AA24+Data!AB24+Data!AC24+Data!AD24+Data!AE24+Data!AF24+Data!AG24+Data!AH24+Data!AI24+Data!AJ24+Data!AK24+Data!AL24+Data!T25+Data!U25+Data!V25+Data!W25+Data!X25+Data!Y25+Data!Z25+Data!AA25+Data!AB25+Data!AC25+Data!AD25+Data!AE25+Data!AF25+Data!AG25+Data!AH25+Data!AI25+Data!AJ25+Data!AK25+Data!AL25+Data!T26+Data!U26+Data!V26+Data!W26+Data!X26+Data!Y26+Data!Z26+Data!AA26+Data!AB26+Data!AC26+Data!AD26+Data!AE26+Data!AF26+Data!AG26+Data!AH26+Data!AI26+Data!AJ26+Data!AK26+Data!AL26+Data!T27+Data!U27+Data!V27+Data!W27+Data!X27+Data!Y27+Data!Z27+Data!AA27+Data!AB27+Data!AC27+Data!AD27+Data!AE27+Data!AF27+Data!AG27+Data!AH27+Data!AI27+Data!AJ27+Data!AK27+Data!AL27+Data!T28+Data!U28+Data!V28+Data!W28+Data!X28+Data!Y28+Data!Z28+Data!AA28+Data!AB28+Data!AC28+Data!AD28+Data!AE28+Data!AF28+Data!AG28+Data!AH28+Data!AI28+Data!AJ28+Data!AK28+Data!AL28+Data!T29+Data!U29+Data!V29+Data!W29+Data!X29+Data!Y29+Data!Z29+Data!AA29+Data!AB29+Data!AC29+Data!AD29+Data!AE29+Data!AF29+Data!AG29+Data!AH29+Data!AI29+Data!AJ29+Data!AK29+Data!AL29+Data!T30+Data!U30+Data!V30+Data!W30+Data!X30+Data!Y30+Data!Z30+Data!AA30+Data!AB30+Data!AC30+Data!AD30+Data!AE30+Data!AF30+Data!AG30+Data!AH30+Data!AI30+Data!AJ30+Data!AK30+Data!AL30+Data!T31+Data!U31+Data!V31+Data!W31+Data!X31+Data!Y31+Data!Z31+Data!AA31+Data!AB31+Data!AC31+Data!AD31+Data!AE31+Data!AF31+Data!AG31+Data!AH31+Data!AI31+Data!AJ31+Data!AK31+Data!AL31)/(Data!AP20+Data!AP21+Data!AP22+Data!AP23+Data!AP24+Data!AP25+Data!AP26+Data!AP27+Data!AP28+Data!AP29+Data!AP30+Data!AP31)</f>
        <v>0.223081829421059</v>
      </c>
      <c r="N31" s="18" t="n">
        <f aca="false">(Data!T20+Data!U20+Data!V20+Data!W20+Data!T21+Data!U21+Data!V21+Data!W21+Data!T22+Data!U22+Data!V22+Data!W22+Data!T23+Data!U23+Data!V23+Data!W23+Data!T24+Data!U24+Data!V24+Data!W24+Data!T25+Data!U25+Data!V25+Data!W25+Data!T26+Data!U26+Data!V26+Data!W26+Data!T27+Data!U27+Data!V27+Data!W27+Data!T28+Data!U28+Data!V28+Data!W28+Data!T29+Data!U29+Data!V29+Data!W29+Data!T30+Data!U30+Data!V30+Data!W30+Data!T31+Data!U31+Data!V31+Data!W31)/(Data!AP20+Data!AP21+Data!AP22+Data!AP23+Data!AP24+Data!AP25+Data!AP26+Data!AP27+Data!AP28+Data!AP29+Data!AP30+Data!AP31)</f>
        <v>0.118429013647527</v>
      </c>
      <c r="O31" s="18" t="n">
        <f aca="false">(Data!T20+Data!T21+Data!T22+Data!T23+Data!T24+Data!T25+Data!T26+Data!T27+Data!T28+Data!T29+Data!T30+Data!T31)/(Data!AP20+Data!AP21+Data!AP22+Data!AP23+Data!AP24+Data!AP25+Data!AP26+Data!AP27+Data!AP28+Data!AP29+Data!AP30+Data!AP31)</f>
        <v>0.086516542025251</v>
      </c>
      <c r="P31" s="18" t="n">
        <f aca="false">(Data!U20+Data!U21+Data!U22+Data!U23+Data!U24+Data!U25+Data!U26+Data!U27+Data!U28+Data!U29+Data!U30+Data!U31)/(Data!AP20+Data!AP21+Data!AP22+Data!AP23+Data!AP24+Data!AP25+Data!AP26+Data!AP27+Data!AP28+Data!AP29+Data!AP30+Data!AP31)</f>
        <v>0.0132200447112221</v>
      </c>
      <c r="Q31" s="18" t="n">
        <f aca="false">(Data!V20+Data!V21+Data!V22+Data!V23+Data!V24+Data!V25+Data!V26+Data!V27+Data!V28+Data!V29+Data!V30+Data!V31)/(Data!AP20+Data!AP21+Data!AP22+Data!AP23+Data!AP24+Data!AP25+Data!AP26+Data!AP27+Data!AP28+Data!AP29+Data!AP30+Data!AP31)</f>
        <v>0.0091049694229763</v>
      </c>
      <c r="R31" s="18" t="n">
        <f aca="false">(Data!W20+Data!W21+Data!W22+Data!W23+Data!W24+Data!W25+Data!W26+Data!W27+Data!W28+Data!W29+Data!W30+Data!W31)/(Data!AP20+Data!AP21+Data!AP22+Data!AP23+Data!AP24+Data!AP25+Data!AP26+Data!AP27+Data!AP28+Data!AP29+Data!AP30+Data!AP31)</f>
        <v>0.00958745748807777</v>
      </c>
      <c r="S31" s="18" t="n">
        <f aca="false">(Data!X20+Data!X21+Data!X22+Data!X23+Data!X24+Data!X25+Data!X26+Data!X27+Data!X28+Data!X29+Data!X30+Data!X31)/(Data!AP20+Data!AP21+Data!AP22+Data!AP23+Data!AP24+Data!AP25+Data!AP26+Data!AP27+Data!AP28+Data!AP29+Data!AP30+Data!AP31)</f>
        <v>0.00353519170221705</v>
      </c>
      <c r="T31" s="18" t="n">
        <f aca="false">(Data!Y20+Data!Z20+Data!AA20+Data!Y21+Data!Z21+Data!AA21+Data!Y22+Data!Z22+Data!AA22+Data!Y23+Data!Z23+Data!AA23+Data!Y24+Data!Z24+Data!AA24+Data!Y25+Data!Z25+Data!AA25+Data!Y26+Data!Z26+Data!AA26+Data!Y27+Data!Z27+Data!AA27+Data!Y28+Data!Z28+Data!AA28+Data!Y29+Data!Z29+Data!AA29+Data!Y30+Data!Z30+Data!AA30+Data!Y31+Data!Z31+Data!AA31)/(Data!AP20+Data!AP21+Data!AP22+Data!AP23+Data!AP24+Data!AP25+Data!AP26+Data!AP27+Data!AP28+Data!AP29+Data!AP30+Data!AP31)</f>
        <v>0.0206954945295972</v>
      </c>
      <c r="U31" s="18" t="n">
        <f aca="false">(Data!Y20+Data!Y21+Data!Y22+Data!Y23+Data!Y24+Data!Y25+Data!Y26+Data!Y27+Data!Y28+Data!Y29+Data!Y30+Data!Y31)/(Data!AP20+Data!AP21+Data!AP22+Data!AP23+Data!AP24+Data!AP25+Data!AP26+Data!AP27+Data!AP28+Data!AP29+Data!AP30+Data!AP31)</f>
        <v>0.0114853416089497</v>
      </c>
      <c r="V31" s="18" t="n">
        <f aca="false">(Data!Z20+Data!Z21+Data!Z22+Data!Z23+Data!Z24+Data!Z25+Data!Z26+Data!Z27+Data!Z28+Data!Z29+Data!Z30+Data!Z31)/(Data!AP20+Data!AP21+Data!AP22+Data!AP23+Data!AP24+Data!AP25+Data!AP26+Data!AP27+Data!AP28+Data!AP29+Data!AP30+Data!AP31)</f>
        <v>0.00832149896253523</v>
      </c>
      <c r="W31" s="18" t="n">
        <f aca="false">(Data!AB20+Data!AB21+Data!AB22+Data!AB23+Data!AB24+Data!AB25+Data!AB26+Data!AB27+Data!AB28+Data!AB29+Data!AB30+Data!AB31)/(Data!AP20+Data!AP21+Data!AP22+Data!AP23+Data!AP24+Data!AP25+Data!AP26+Data!AP27+Data!AP28+Data!AP29+Data!AP30+Data!AP31)</f>
        <v>0.0310174040362571</v>
      </c>
      <c r="X31" s="18" t="n">
        <f aca="false">(Data!AC20+Data!AC21+Data!AC22+Data!AC23+Data!AC24+Data!AC25+Data!AC26+Data!AC27+Data!AC28+Data!AC29+Data!AC30+Data!AC31)/(Data!AP20+Data!AP21+Data!AP22+Data!AP23+Data!AP24+Data!AP25+Data!AP26+Data!AP27+Data!AP28+Data!AP29+Data!AP30+Data!AP31)</f>
        <v>0.00979223546481567</v>
      </c>
      <c r="Y31" s="18" t="n">
        <f aca="false">(Data!AD20+Data!AE20+Data!AF20+Data!AG20+Data!AH20+Data!AD21+Data!AE21+Data!AF21+Data!AG21+Data!AH21+Data!AD22+Data!AE22+Data!AF22+Data!AG22+Data!AH22+Data!AD23+Data!AE23+Data!AF23+Data!AG23+Data!AH23+Data!AD24+Data!AE24+Data!AF24+Data!AG24+Data!AH24+Data!AD25+Data!AE25+Data!AF25+Data!AG25+Data!AH25+Data!AD26+Data!AE26+Data!AF26+Data!AG26+Data!AH26+Data!AD27+Data!AE27+Data!AF27+Data!AG27+Data!AH27+Data!AD28+Data!AE28+Data!AF28+Data!AG28+Data!AH28+Data!AD29+Data!AE29+Data!AF29+Data!AG29+Data!AH29+Data!AD30+Data!AE30+Data!AF30+Data!AG30+Data!AH30+Data!AD31+Data!AE31+Data!AF31+Data!AG31+Data!AH31)/(Data!AP20+Data!AP21+Data!AP22+Data!AP23+Data!AP24+Data!AP25+Data!AP26+Data!AP27+Data!AP28+Data!AP29+Data!AP30+Data!AP31)</f>
        <v>0.00775764944627347</v>
      </c>
      <c r="Z31" s="18" t="n">
        <f aca="false">(Data!AI20+Data!AI21+Data!AI22+Data!AI23+Data!AI24+Data!AI25+Data!AI26+Data!AI27+Data!AI28+Data!AI29+Data!AI30+Data!AI31)/(Data!AP20+Data!AP21+Data!AP22+Data!AP23+Data!AP24+Data!AP25+Data!AP26+Data!AP27+Data!AP28+Data!AP29+Data!AP30+Data!AP31)</f>
        <v>0.00790333042301319</v>
      </c>
      <c r="AA31" s="18" t="n">
        <f aca="false">(Data!AJ20+Data!AJ21+Data!AJ22+Data!AJ23+Data!AJ24+Data!AJ25+Data!AJ26+Data!AJ27+Data!AJ28+Data!AJ29+Data!AJ30+Data!AJ31)/(Data!AP20+Data!AP21+Data!AP22+Data!AP23+Data!AP24+Data!AP25+Data!AP26+Data!AP27+Data!AP28+Data!AP29+Data!AP30+Data!AP31)</f>
        <v>0.000888104218577387</v>
      </c>
      <c r="AB31" s="18" t="n">
        <f aca="false">(Data!AK20+Data!AK21+Data!AK22+Data!AK23+Data!AK24+Data!AK25+Data!AK26+Data!AK27+Data!AK28+Data!AK29+Data!AK30+Data!AK31)/(Data!AP20+Data!AP21+Data!AP22+Data!AP23+Data!AP24+Data!AP25+Data!AP26+Data!AP27+Data!AP28+Data!AP29+Data!AP30+Data!AP31)</f>
        <v>0.00463402940916007</v>
      </c>
      <c r="AC31" s="18" t="n">
        <f aca="false">(Data!AL20+Data!AL21+Data!AL22+Data!AL23+Data!AL24+Data!AL25+Data!AL26+Data!AL27+Data!AL28+Data!AL29+Data!AL30+Data!AL31)/(Data!AP20+Data!AP21+Data!AP22+Data!AP23+Data!AP24+Data!AP25+Data!AP26+Data!AP27+Data!AP28+Data!AP29+Data!AP30+Data!AP31)</f>
        <v>0.0184293765436203</v>
      </c>
      <c r="AD31" s="17" t="n">
        <f aca="false">(Data!AM20+Data!AM21+Data!AM22+Data!AM23+Data!AM24+Data!AM25+Data!AM26+Data!AM27+Data!AM28+Data!AM29+Data!AM30+Data!AM31)/(Data!AP20+Data!AP21+Data!AP22+Data!AP23+Data!AP24+Data!AP25+Data!AP26+Data!AP27+Data!AP28+Data!AP29+Data!AP30+Data!AP31)</f>
        <v>-0.0369975623197944</v>
      </c>
      <c r="AE31" s="18" t="n">
        <f aca="false">(Data!AN20+Data!AN21+Data!AN22+Data!AN23+Data!AN24+Data!AN25+Data!AN26+Data!AN27+Data!AN28+Data!AN29+Data!AN30+Data!AN31)/(Data!AP20+Data!AP21+Data!AP22+Data!AP23+Data!AP24+Data!AP25+Data!AP26+Data!AP27+Data!AP28+Data!AP29+Data!AP30+Data!AP31)</f>
        <v>0.0225011140318674</v>
      </c>
      <c r="AF31" s="17" t="n">
        <f aca="false">(Data!AO20+Data!AO21+Data!AO22+Data!AO23+Data!AO24+Data!AO25+Data!AO26+Data!AO27+Data!AO28+Data!AO29+Data!AO30+Data!AO31)/(Data!AP20+Data!AP21+Data!AP22+Data!AP23+Data!AP24+Data!AP25+Data!AP26+Data!AP27+Data!AP28+Data!AP29+Data!AP30+Data!AP31)</f>
        <v>-0.059498584728406</v>
      </c>
    </row>
    <row r="32" customFormat="false" ht="15" hidden="false" customHeight="false" outlineLevel="0" collapsed="false">
      <c r="B32" s="14" t="str">
        <f aca="false">Data!B32</f>
        <v>2018-02</v>
      </c>
      <c r="C32" s="17" t="n">
        <f aca="false">(Data!D21+Data!E21+Data!F21+Data!G21+Data!H21+Data!I21+Data!J21+Data!K21+Data!L21+Data!M21+Data!N21+Data!O21+Data!P21+Data!Q21+Data!R21+Data!S21+Data!D22+Data!E22+Data!F22+Data!G22+Data!H22+Data!I22+Data!J22+Data!K22+Data!L22+Data!M22+Data!N22+Data!O22+Data!P22+Data!Q22+Data!R22+Data!S22+Data!D23+Data!E23+Data!F23+Data!G23+Data!H23+Data!I23+Data!J23+Data!K23+Data!L23+Data!M23+Data!N23+Data!O23+Data!P23+Data!Q23+Data!R23+Data!S23+Data!D24+Data!E24+Data!F24+Data!G24+Data!H24+Data!I24+Data!J24+Data!K24+Data!L24+Data!M24+Data!N24+Data!O24+Data!P24+Data!Q24+Data!R24+Data!S24+Data!D25+Data!E25+Data!F25+Data!G25+Data!H25+Data!I25+Data!J25+Data!K25+Data!L25+Data!M25+Data!N25+Data!O25+Data!P25+Data!Q25+Data!R25+Data!S25+Data!D26+Data!E26+Data!F26+Data!G26+Data!H26+Data!I26+Data!J26+Data!K26+Data!L26+Data!M26+Data!N26+Data!O26+Data!P26+Data!Q26+Data!R26+Data!S26+Data!D27+Data!E27+Data!F27+Data!G27+Data!H27+Data!I27+Data!J27+Data!K27+Data!L27+Data!M27+Data!N27+Data!O27+Data!P27+Data!Q27+Data!R27+Data!S27+Data!D28+Data!E28+Data!F28+Data!G28+Data!H28+Data!I28+Data!J28+Data!K28+Data!L28+Data!M28+Data!N28+Data!O28+Data!P28+Data!Q28+Data!R28+Data!S28+Data!D29+Data!E29+Data!F29+Data!G29+Data!H29+Data!I29+Data!J29+Data!K29+Data!L29+Data!M29+Data!N29+Data!O29+Data!P29+Data!Q29+Data!R29+Data!S29+Data!D30+Data!E30+Data!F30+Data!G30+Data!H30+Data!I30+Data!J30+Data!K30+Data!L30+Data!M30+Data!N30+Data!O30+Data!P30+Data!Q30+Data!R30+Data!S30+Data!D31+Data!E31+Data!F31+Data!G31+Data!H31+Data!I31+Data!J31+Data!K31+Data!L31+Data!M31+Data!N31+Data!O31+Data!P31+Data!Q31+Data!R31+Data!S31+Data!D32+Data!E32+Data!F32+Data!G32+Data!H32+Data!I32+Data!J32+Data!K32+Data!L32+Data!M32+Data!N32+Data!O32+Data!P32+Data!Q32+Data!R32+Data!S32)/(Data!AP21+Data!AP22+Data!AP23+Data!AP24+Data!AP25+Data!AP26+Data!AP27+Data!AP28+Data!AP29+Data!AP30+Data!AP31+Data!AP32)</f>
        <v>0.184902249639688</v>
      </c>
      <c r="D32" s="18" t="n">
        <f aca="false">(Data!D21+Data!E21+Data!G21+Data!H21+Data!I21+Data!J21+Data!K21+Data!L21+Data!M21+Data!D22+Data!E22+Data!G22+Data!H22+Data!I22+Data!J22+Data!K22+Data!L22+Data!M22+Data!D23+Data!E23+Data!G23+Data!H23+Data!I23+Data!J23+Data!K23+Data!L23+Data!M23+Data!D24+Data!E24+Data!G24+Data!H24+Data!I24+Data!J24+Data!K24+Data!L24+Data!M24+Data!D25+Data!E25+Data!G25+Data!H25+Data!I25+Data!J25+Data!K25+Data!L25+Data!M25+Data!D26+Data!E26+Data!G26+Data!H26+Data!I26+Data!J26+Data!K26+Data!L26+Data!M26+Data!D27+Data!E27+Data!G27+Data!H27+Data!I27+Data!J27+Data!K27+Data!L27+Data!M27+Data!D28+Data!E28+Data!G28+Data!H28+Data!I28+Data!J28+Data!K28+Data!L28+Data!M28+Data!D29+Data!E29+Data!G29+Data!H29+Data!I29+Data!J29+Data!K29+Data!L29+Data!M29+Data!D30+Data!E30+Data!G30+Data!H30+Data!I30+Data!J30+Data!K30+Data!L30+Data!M30+Data!D31+Data!E31+Data!G31+Data!H31+Data!I31+Data!J31+Data!K31+Data!L31+Data!M31+Data!D32+Data!E32+Data!G32+Data!H32+Data!I32+Data!J32+Data!K32+Data!L32+Data!M32)/(Data!AP21+Data!AP22+Data!AP23+Data!AP24+Data!AP25+Data!AP26+Data!AP27+Data!AP28+Data!AP29+Data!AP30+Data!AP31+Data!AP32)</f>
        <v>0.102513677445125</v>
      </c>
      <c r="E32" s="18" t="n">
        <f aca="false">(Data!D21+Data!D22+Data!D23+Data!D24+Data!D25+Data!D26+Data!D27+Data!D28+Data!D29+Data!D30+Data!D31+Data!D32)/(Data!AP21+Data!AP22+Data!AP23+Data!AP24+Data!AP25+Data!AP26+Data!AP27+Data!AP28+Data!AP29+Data!AP30+Data!AP31+Data!AP32)</f>
        <v>0.0332371669360866</v>
      </c>
      <c r="F32" s="18" t="n">
        <f aca="false">(Data!E21+Data!E22+Data!E23+Data!E24+Data!E25+Data!E26+Data!E27+Data!E28+Data!E29+Data!E30+Data!E31+Data!E32)/(Data!AP21+Data!AP22+Data!AP23+Data!AP24+Data!AP25+Data!AP26+Data!AP27+Data!AP28+Data!AP29+Data!AP30+Data!AP31+Data!AP32)</f>
        <v>0.0243327525196361</v>
      </c>
      <c r="G32" s="18" t="n">
        <f aca="false">(Data!K21+Data!K22+Data!K23+Data!K24+Data!K25+Data!K26+Data!K27+Data!K28+Data!K29+Data!K30+Data!K31+Data!K32)/(Data!AP21+Data!AP22+Data!AP23+Data!AP24+Data!AP25+Data!AP26+Data!AP27+Data!AP28+Data!AP29+Data!AP30+Data!AP31+Data!AP32)</f>
        <v>0.00582668862159388</v>
      </c>
      <c r="H32" s="18" t="n">
        <f aca="false">(Data!L21+Data!L22+Data!L23+Data!L24+Data!L25+Data!L26+Data!L27+Data!L28+Data!L29+Data!L30+Data!L31+Data!L32)/(Data!AP21+Data!AP22+Data!AP23+Data!AP24+Data!AP25+Data!AP26+Data!AP27+Data!AP28+Data!AP29+Data!AP30+Data!AP31+Data!AP32)</f>
        <v>0.00635122474999984</v>
      </c>
      <c r="I32" s="18" t="n">
        <f aca="false">(Data!G21+Data!G22+Data!G23+Data!G24+Data!G25+Data!G26+Data!G27+Data!G28+Data!G29+Data!G30+Data!G31+Data!G32)/(Data!AP21+Data!AP22+Data!AP23+Data!AP24+Data!AP25+Data!AP26+Data!AP27+Data!AP28+Data!AP29+Data!AP30+Data!AP31+Data!AP32)</f>
        <v>0.0135477888837496</v>
      </c>
      <c r="J32" s="18" t="n">
        <f aca="false">(Data!H21+Data!I21+Data!J21+Data!M21+Data!H22+Data!I22+Data!J22+Data!M22+Data!H23+Data!I23+Data!J23+Data!M23+Data!H24+Data!I24+Data!J24+Data!M24+Data!H25+Data!I25+Data!J25+Data!M25+Data!H26+Data!I26+Data!J26+Data!M26+Data!H27+Data!I27+Data!J27+Data!M27+Data!H28+Data!I28+Data!J28+Data!M28+Data!H29+Data!I29+Data!J29+Data!M29+Data!H30+Data!I30+Data!J30+Data!M30+Data!H31+Data!I31+Data!J31+Data!M31+Data!H32+Data!I32+Data!J32+Data!M32)/(Data!AP21+Data!AP22+Data!AP23+Data!AP24+Data!AP25+Data!AP26+Data!AP27+Data!AP28+Data!AP29+Data!AP30+Data!AP31+Data!AP32)</f>
        <v>0.0192180557340592</v>
      </c>
      <c r="K32" s="18" t="n">
        <f aca="false">(Data!F21+Data!F22+Data!F23+Data!F24+Data!F25+Data!F26+Data!F27+Data!F28+Data!F29+Data!F30+Data!F31+Data!F32)/(Data!AP21+Data!AP22+Data!AP23+Data!AP24+Data!AP25+Data!AP26+Data!AP27+Data!AP28+Data!AP29+Data!AP30+Data!AP31+Data!AP32)</f>
        <v>0.0681425644609466</v>
      </c>
      <c r="L32" s="18" t="n">
        <f aca="false">(Data!N21+Data!O21+Data!P21+Data!Q21+Data!R21+Data!S21+Data!N22+Data!O22+Data!P22+Data!Q22+Data!R22+Data!S22+Data!N23+Data!O23+Data!P23+Data!Q23+Data!R23+Data!S23+Data!N24+Data!O24+Data!P24+Data!Q24+Data!R24+Data!S24+Data!N25+Data!O25+Data!P25+Data!Q25+Data!R25+Data!S25+Data!N26+Data!O26+Data!P26+Data!Q26+Data!R26+Data!S26+Data!N27+Data!O27+Data!P27+Data!Q27+Data!R27+Data!S27+Data!N28+Data!O28+Data!P28+Data!Q28+Data!R28+Data!S28+Data!N29+Data!O29+Data!P29+Data!Q29+Data!R29+Data!S29+Data!N30+Data!O30+Data!P30+Data!Q30+Data!R30+Data!S30+Data!N31+Data!O31+Data!P31+Data!Q31+Data!R31+Data!S31+Data!N32+Data!O32+Data!P32+Data!Q32+Data!R32+Data!S32)/(Data!AP21+Data!AP22+Data!AP23+Data!AP24+Data!AP25+Data!AP26+Data!AP27+Data!AP28+Data!AP29+Data!AP30+Data!AP31+Data!AP32)</f>
        <v>0.0142460077336158</v>
      </c>
      <c r="M32" s="17" t="n">
        <f aca="false">(Data!T21+Data!U21+Data!V21+Data!W21+Data!X21+Data!Y21+Data!Z21+Data!AA21+Data!AB21+Data!AC21+Data!AD21+Data!AE21+Data!AF21+Data!AG21+Data!AH21+Data!AI21+Data!AJ21+Data!AK21+Data!AL21+Data!T22+Data!U22+Data!V22+Data!W22+Data!X22+Data!Y22+Data!Z22+Data!AA22+Data!AB22+Data!AC22+Data!AD22+Data!AE22+Data!AF22+Data!AG22+Data!AH22+Data!AI22+Data!AJ22+Data!AK22+Data!AL22+Data!T23+Data!U23+Data!V23+Data!W23+Data!X23+Data!Y23+Data!Z23+Data!AA23+Data!AB23+Data!AC23+Data!AD23+Data!AE23+Data!AF23+Data!AG23+Data!AH23+Data!AI23+Data!AJ23+Data!AK23+Data!AL23+Data!T24+Data!U24+Data!V24+Data!W24+Data!X24+Data!Y24+Data!Z24+Data!AA24+Data!AB24+Data!AC24+Data!AD24+Data!AE24+Data!AF24+Data!AG24+Data!AH24+Data!AI24+Data!AJ24+Data!AK24+Data!AL24+Data!T25+Data!U25+Data!V25+Data!W25+Data!X25+Data!Y25+Data!Z25+Data!AA25+Data!AB25+Data!AC25+Data!AD25+Data!AE25+Data!AF25+Data!AG25+Data!AH25+Data!AI25+Data!AJ25+Data!AK25+Data!AL25+Data!T26+Data!U26+Data!V26+Data!W26+Data!X26+Data!Y26+Data!Z26+Data!AA26+Data!AB26+Data!AC26+Data!AD26+Data!AE26+Data!AF26+Data!AG26+Data!AH26+Data!AI26+Data!AJ26+Data!AK26+Data!AL26+Data!T27+Data!U27+Data!V27+Data!W27+Data!X27+Data!Y27+Data!Z27+Data!AA27+Data!AB27+Data!AC27+Data!AD27+Data!AE27+Data!AF27+Data!AG27+Data!AH27+Data!AI27+Data!AJ27+Data!AK27+Data!AL27+Data!T28+Data!U28+Data!V28+Data!W28+Data!X28+Data!Y28+Data!Z28+Data!AA28+Data!AB28+Data!AC28+Data!AD28+Data!AE28+Data!AF28+Data!AG28+Data!AH28+Data!AI28+Data!AJ28+Data!AK28+Data!AL28+Data!T29+Data!U29+Data!V29+Data!W29+Data!X29+Data!Y29+Data!Z29+Data!AA29+Data!AB29+Data!AC29+Data!AD29+Data!AE29+Data!AF29+Data!AG29+Data!AH29+Data!AI29+Data!AJ29+Data!AK29+Data!AL29+Data!T30+Data!U30+Data!V30+Data!W30+Data!X30+Data!Y30+Data!Z30+Data!AA30+Data!AB30+Data!AC30+Data!AD30+Data!AE30+Data!AF30+Data!AG30+Data!AH30+Data!AI30+Data!AJ30+Data!AK30+Data!AL30+Data!T31+Data!U31+Data!V31+Data!W31+Data!X31+Data!Y31+Data!Z31+Data!AA31+Data!AB31+Data!AC31+Data!AD31+Data!AE31+Data!AF31+Data!AG31+Data!AH31+Data!AI31+Data!AJ31+Data!AK31+Data!AL31+Data!T32+Data!U32+Data!V32+Data!W32+Data!X32+Data!Y32+Data!Z32+Data!AA32+Data!AB32+Data!AC32+Data!AD32+Data!AE32+Data!AF32+Data!AG32+Data!AH32+Data!AI32+Data!AJ32+Data!AK32+Data!AL32)/(Data!AP21+Data!AP22+Data!AP23+Data!AP24+Data!AP25+Data!AP26+Data!AP27+Data!AP28+Data!AP29+Data!AP30+Data!AP31+Data!AP32)</f>
        <v>0.220433155379735</v>
      </c>
      <c r="N32" s="18" t="n">
        <f aca="false">(Data!T21+Data!U21+Data!V21+Data!W21+Data!T22+Data!U22+Data!V22+Data!W22+Data!T23+Data!U23+Data!V23+Data!W23+Data!T24+Data!U24+Data!V24+Data!W24+Data!T25+Data!U25+Data!V25+Data!W25+Data!T26+Data!U26+Data!V26+Data!W26+Data!T27+Data!U27+Data!V27+Data!W27+Data!T28+Data!U28+Data!V28+Data!W28+Data!T29+Data!U29+Data!V29+Data!W29+Data!T30+Data!U30+Data!V30+Data!W30+Data!T31+Data!U31+Data!V31+Data!W31+Data!T32+Data!U32+Data!V32+Data!W32)/(Data!AP21+Data!AP22+Data!AP23+Data!AP24+Data!AP25+Data!AP26+Data!AP27+Data!AP28+Data!AP29+Data!AP30+Data!AP31+Data!AP32)</f>
        <v>0.117998806757439</v>
      </c>
      <c r="O32" s="18" t="n">
        <f aca="false">(Data!T21+Data!T22+Data!T23+Data!T24+Data!T25+Data!T26+Data!T27+Data!T28+Data!T29+Data!T30+Data!T31+Data!T32)/(Data!AP21+Data!AP22+Data!AP23+Data!AP24+Data!AP25+Data!AP26+Data!AP27+Data!AP28+Data!AP29+Data!AP30+Data!AP31+Data!AP32)</f>
        <v>0.0863060029697436</v>
      </c>
      <c r="P32" s="18" t="n">
        <f aca="false">(Data!U21+Data!U22+Data!U23+Data!U24+Data!U25+Data!U26+Data!U27+Data!U28+Data!U29+Data!U30+Data!U31+Data!U32)/(Data!AP21+Data!AP22+Data!AP23+Data!AP24+Data!AP25+Data!AP26+Data!AP27+Data!AP28+Data!AP29+Data!AP30+Data!AP31+Data!AP32)</f>
        <v>0.0131681374148522</v>
      </c>
      <c r="Q32" s="18" t="n">
        <f aca="false">(Data!V21+Data!V22+Data!V23+Data!V24+Data!V25+Data!V26+Data!V27+Data!V28+Data!V29+Data!V30+Data!V31+Data!V32)/(Data!AP21+Data!AP22+Data!AP23+Data!AP24+Data!AP25+Data!AP26+Data!AP27+Data!AP28+Data!AP29+Data!AP30+Data!AP31+Data!AP32)</f>
        <v>0.00899438600130583</v>
      </c>
      <c r="R32" s="18" t="n">
        <f aca="false">(Data!W21+Data!W22+Data!W23+Data!W24+Data!W25+Data!W26+Data!W27+Data!W28+Data!W29+Data!W30+Data!W31+Data!W32)/(Data!AP21+Data!AP22+Data!AP23+Data!AP24+Data!AP25+Data!AP26+Data!AP27+Data!AP28+Data!AP29+Data!AP30+Data!AP31+Data!AP32)</f>
        <v>0.00953028037153746</v>
      </c>
      <c r="S32" s="18" t="n">
        <f aca="false">(Data!X21+Data!X22+Data!X23+Data!X24+Data!X25+Data!X26+Data!X27+Data!X28+Data!X29+Data!X30+Data!X31+Data!X32)/(Data!AP21+Data!AP22+Data!AP23+Data!AP24+Data!AP25+Data!AP26+Data!AP27+Data!AP28+Data!AP29+Data!AP30+Data!AP31+Data!AP32)</f>
        <v>0.00358383831841151</v>
      </c>
      <c r="T32" s="18" t="n">
        <f aca="false">(Data!Y21+Data!Z21+Data!AA21+Data!Y22+Data!Z22+Data!AA22+Data!Y23+Data!Z23+Data!AA23+Data!Y24+Data!Z24+Data!AA24+Data!Y25+Data!Z25+Data!AA25+Data!Y26+Data!Z26+Data!AA26+Data!Y27+Data!Z27+Data!AA27+Data!Y28+Data!Z28+Data!AA28+Data!Y29+Data!Z29+Data!AA29+Data!Y30+Data!Z30+Data!AA30+Data!Y31+Data!Z31+Data!AA31+Data!Y32+Data!Z32+Data!AA32)/(Data!AP21+Data!AP22+Data!AP23+Data!AP24+Data!AP25+Data!AP26+Data!AP27+Data!AP28+Data!AP29+Data!AP30+Data!AP31+Data!AP32)</f>
        <v>0.0197984887218435</v>
      </c>
      <c r="U32" s="18" t="n">
        <f aca="false">(Data!Y21+Data!Y22+Data!Y23+Data!Y24+Data!Y25+Data!Y26+Data!Y27+Data!Y28+Data!Y29+Data!Y30+Data!Y31+Data!Y32)/(Data!AP21+Data!AP22+Data!AP23+Data!AP24+Data!AP25+Data!AP26+Data!AP27+Data!AP28+Data!AP29+Data!AP30+Data!AP31+Data!AP32)</f>
        <v>0.0109268075062449</v>
      </c>
      <c r="V32" s="18" t="n">
        <f aca="false">(Data!Z21+Data!Z22+Data!Z23+Data!Z24+Data!Z25+Data!Z26+Data!Z27+Data!Z28+Data!Z29+Data!Z30+Data!Z31+Data!Z32)/(Data!AP21+Data!AP22+Data!AP23+Data!AP24+Data!AP25+Data!AP26+Data!AP27+Data!AP28+Data!AP29+Data!AP30+Data!AP31+Data!AP32)</f>
        <v>0.00804995266525009</v>
      </c>
      <c r="W32" s="18" t="n">
        <f aca="false">(Data!AB21+Data!AB22+Data!AB23+Data!AB24+Data!AB25+Data!AB26+Data!AB27+Data!AB28+Data!AB29+Data!AB30+Data!AB31+Data!AB32)/(Data!AP21+Data!AP22+Data!AP23+Data!AP24+Data!AP25+Data!AP26+Data!AP27+Data!AP28+Data!AP29+Data!AP30+Data!AP31+Data!AP32)</f>
        <v>0.0306360401230331</v>
      </c>
      <c r="X32" s="18" t="n">
        <f aca="false">(Data!AC21+Data!AC22+Data!AC23+Data!AC24+Data!AC25+Data!AC26+Data!AC27+Data!AC28+Data!AC29+Data!AC30+Data!AC31+Data!AC32)/(Data!AP21+Data!AP22+Data!AP23+Data!AP24+Data!AP25+Data!AP26+Data!AP27+Data!AP28+Data!AP29+Data!AP30+Data!AP31+Data!AP32)</f>
        <v>0.00986843401203242</v>
      </c>
      <c r="Y32" s="18" t="n">
        <f aca="false">(Data!AD21+Data!AE21+Data!AF21+Data!AG21+Data!AH21+Data!AD22+Data!AE22+Data!AF22+Data!AG22+Data!AH22+Data!AD23+Data!AE23+Data!AF23+Data!AG23+Data!AH23+Data!AD24+Data!AE24+Data!AF24+Data!AG24+Data!AH24+Data!AD25+Data!AE25+Data!AF25+Data!AG25+Data!AH25+Data!AD26+Data!AE26+Data!AF26+Data!AG26+Data!AH26+Data!AD27+Data!AE27+Data!AF27+Data!AG27+Data!AH27+Data!AD28+Data!AE28+Data!AF28+Data!AG28+Data!AH28+Data!AD29+Data!AE29+Data!AF29+Data!AG29+Data!AH29+Data!AD30+Data!AE30+Data!AF30+Data!AG30+Data!AH30+Data!AD31+Data!AE31+Data!AF31+Data!AG31+Data!AH31+Data!AD32+Data!AE32+Data!AF32+Data!AG32+Data!AH32)/(Data!AP21+Data!AP22+Data!AP23+Data!AP24+Data!AP25+Data!AP26+Data!AP27+Data!AP28+Data!AP29+Data!AP30+Data!AP31+Data!AP32)</f>
        <v>0.00754965341507057</v>
      </c>
      <c r="Z32" s="18" t="n">
        <f aca="false">(Data!AI21+Data!AI22+Data!AI23+Data!AI24+Data!AI25+Data!AI26+Data!AI27+Data!AI28+Data!AI29+Data!AI30+Data!AI31+Data!AI32)/(Data!AP21+Data!AP22+Data!AP23+Data!AP24+Data!AP25+Data!AP26+Data!AP27+Data!AP28+Data!AP29+Data!AP30+Data!AP31+Data!AP32)</f>
        <v>0.00784935001631325</v>
      </c>
      <c r="AA32" s="18" t="n">
        <f aca="false">(Data!AJ21+Data!AJ22+Data!AJ23+Data!AJ24+Data!AJ25+Data!AJ26+Data!AJ27+Data!AJ28+Data!AJ29+Data!AJ30+Data!AJ31+Data!AJ32)/(Data!AP21+Data!AP22+Data!AP23+Data!AP24+Data!AP25+Data!AP26+Data!AP27+Data!AP28+Data!AP29+Data!AP30+Data!AP31+Data!AP32)</f>
        <v>0.000893813140202751</v>
      </c>
      <c r="AB32" s="18" t="n">
        <f aca="false">(Data!AK21+Data!AK22+Data!AK23+Data!AK24+Data!AK25+Data!AK26+Data!AK27+Data!AK28+Data!AK29+Data!AK30+Data!AK31+Data!AK32)/(Data!AP21+Data!AP22+Data!AP23+Data!AP24+Data!AP25+Data!AP26+Data!AP27+Data!AP28+Data!AP29+Data!AP30+Data!AP31+Data!AP32)</f>
        <v>0.00447988733298939</v>
      </c>
      <c r="AC32" s="18" t="n">
        <f aca="false">(Data!AL21+Data!AL22+Data!AL23+Data!AL24+Data!AL25+Data!AL26+Data!AL27+Data!AL28+Data!AL29+Data!AL30+Data!AL31+Data!AL32)/(Data!AP21+Data!AP22+Data!AP23+Data!AP24+Data!AP25+Data!AP26+Data!AP27+Data!AP28+Data!AP29+Data!AP30+Data!AP31+Data!AP32)</f>
        <v>0.017774843542399</v>
      </c>
      <c r="AD32" s="17" t="n">
        <f aca="false">(Data!AM21+Data!AM22+Data!AM23+Data!AM24+Data!AM25+Data!AM26+Data!AM27+Data!AM28+Data!AM29+Data!AM30+Data!AM31+Data!AM32)/(Data!AP21+Data!AP22+Data!AP23+Data!AP24+Data!AP25+Data!AP26+Data!AP27+Data!AP28+Data!AP29+Data!AP30+Data!AP31+Data!AP32)</f>
        <v>-0.035530905740047</v>
      </c>
      <c r="AE32" s="18" t="n">
        <f aca="false">(Data!AN21+Data!AN22+Data!AN23+Data!AN24+Data!AN25+Data!AN26+Data!AN27+Data!AN28+Data!AN29+Data!AN30+Data!AN31+Data!AN32)/(Data!AP21+Data!AP22+Data!AP23+Data!AP24+Data!AP25+Data!AP26+Data!AP27+Data!AP28+Data!AP29+Data!AP30+Data!AP31+Data!AP32)</f>
        <v>0.0223444341553187</v>
      </c>
      <c r="AF32" s="17" t="n">
        <f aca="false">(Data!AO21+Data!AO22+Data!AO23+Data!AO24+Data!AO25+Data!AO26+Data!AO27+Data!AO28+Data!AO29+Data!AO30+Data!AO31+Data!AO32)/(Data!AP21+Data!AP22+Data!AP23+Data!AP24+Data!AP25+Data!AP26+Data!AP27+Data!AP28+Data!AP29+Data!AP30+Data!AP31+Data!AP32)</f>
        <v>-0.0578752504603907</v>
      </c>
    </row>
    <row r="33" customFormat="false" ht="15" hidden="false" customHeight="false" outlineLevel="0" collapsed="false">
      <c r="B33" s="14" t="str">
        <f aca="false">Data!B33</f>
        <v>2018-03</v>
      </c>
      <c r="C33" s="17" t="n">
        <f aca="false">(Data!D22+Data!E22+Data!F22+Data!G22+Data!H22+Data!I22+Data!J22+Data!K22+Data!L22+Data!M22+Data!N22+Data!O22+Data!P22+Data!Q22+Data!R22+Data!S22+Data!D23+Data!E23+Data!F23+Data!G23+Data!H23+Data!I23+Data!J23+Data!K23+Data!L23+Data!M23+Data!N23+Data!O23+Data!P23+Data!Q23+Data!R23+Data!S23+Data!D24+Data!E24+Data!F24+Data!G24+Data!H24+Data!I24+Data!J24+Data!K24+Data!L24+Data!M24+Data!N24+Data!O24+Data!P24+Data!Q24+Data!R24+Data!S24+Data!D25+Data!E25+Data!F25+Data!G25+Data!H25+Data!I25+Data!J25+Data!K25+Data!L25+Data!M25+Data!N25+Data!O25+Data!P25+Data!Q25+Data!R25+Data!S25+Data!D26+Data!E26+Data!F26+Data!G26+Data!H26+Data!I26+Data!J26+Data!K26+Data!L26+Data!M26+Data!N26+Data!O26+Data!P26+Data!Q26+Data!R26+Data!S26+Data!D27+Data!E27+Data!F27+Data!G27+Data!H27+Data!I27+Data!J27+Data!K27+Data!L27+Data!M27+Data!N27+Data!O27+Data!P27+Data!Q27+Data!R27+Data!S27+Data!D28+Data!E28+Data!F28+Data!G28+Data!H28+Data!I28+Data!J28+Data!K28+Data!L28+Data!M28+Data!N28+Data!O28+Data!P28+Data!Q28+Data!R28+Data!S28+Data!D29+Data!E29+Data!F29+Data!G29+Data!H29+Data!I29+Data!J29+Data!K29+Data!L29+Data!M29+Data!N29+Data!O29+Data!P29+Data!Q29+Data!R29+Data!S29+Data!D30+Data!E30+Data!F30+Data!G30+Data!H30+Data!I30+Data!J30+Data!K30+Data!L30+Data!M30+Data!N30+Data!O30+Data!P30+Data!Q30+Data!R30+Data!S30+Data!D31+Data!E31+Data!F31+Data!G31+Data!H31+Data!I31+Data!J31+Data!K31+Data!L31+Data!M31+Data!N31+Data!O31+Data!P31+Data!Q31+Data!R31+Data!S31+Data!D32+Data!E32+Data!F32+Data!G32+Data!H32+Data!I32+Data!J32+Data!K32+Data!L32+Data!M32+Data!N32+Data!O32+Data!P32+Data!Q32+Data!R32+Data!S32+Data!D33+Data!E33+Data!F33+Data!G33+Data!H33+Data!I33+Data!J33+Data!K33+Data!L33+Data!M33+Data!N33+Data!O33+Data!P33+Data!Q33+Data!R33+Data!S33)/(Data!AP22+Data!AP23+Data!AP24+Data!AP25+Data!AP26+Data!AP27+Data!AP28+Data!AP29+Data!AP30+Data!AP31+Data!AP32+Data!AP33)</f>
        <v>0.183388717354541</v>
      </c>
      <c r="D33" s="18" t="n">
        <f aca="false">(Data!D22+Data!E22+Data!G22+Data!H22+Data!I22+Data!J22+Data!K22+Data!L22+Data!M22+Data!D23+Data!E23+Data!G23+Data!H23+Data!I23+Data!J23+Data!K23+Data!L23+Data!M23+Data!D24+Data!E24+Data!G24+Data!H24+Data!I24+Data!J24+Data!K24+Data!L24+Data!M24+Data!D25+Data!E25+Data!G25+Data!H25+Data!I25+Data!J25+Data!K25+Data!L25+Data!M25+Data!D26+Data!E26+Data!G26+Data!H26+Data!I26+Data!J26+Data!K26+Data!L26+Data!M26+Data!D27+Data!E27+Data!G27+Data!H27+Data!I27+Data!J27+Data!K27+Data!L27+Data!M27+Data!D28+Data!E28+Data!G28+Data!H28+Data!I28+Data!J28+Data!K28+Data!L28+Data!M28+Data!D29+Data!E29+Data!G29+Data!H29+Data!I29+Data!J29+Data!K29+Data!L29+Data!M29+Data!D30+Data!E30+Data!G30+Data!H30+Data!I30+Data!J30+Data!K30+Data!L30+Data!M30+Data!D31+Data!E31+Data!G31+Data!H31+Data!I31+Data!J31+Data!K31+Data!L31+Data!M31+Data!D32+Data!E32+Data!G32+Data!H32+Data!I32+Data!J32+Data!K32+Data!L32+Data!M32+Data!D33+Data!E33+Data!G33+Data!H33+Data!I33+Data!J33+Data!K33+Data!L33+Data!M33)/(Data!AP22+Data!AP23+Data!AP24+Data!AP25+Data!AP26+Data!AP27+Data!AP28+Data!AP29+Data!AP30+Data!AP31+Data!AP32+Data!AP33)</f>
        <v>0.0999919172021666</v>
      </c>
      <c r="E33" s="18" t="n">
        <f aca="false">(Data!D22+Data!D23+Data!D24+Data!D25+Data!D26+Data!D27+Data!D28+Data!D29+Data!D30+Data!D31+Data!D32+Data!D33)/(Data!AP22+Data!AP23+Data!AP24+Data!AP25+Data!AP26+Data!AP27+Data!AP28+Data!AP29+Data!AP30+Data!AP31+Data!AP32+Data!AP33)</f>
        <v>0.0335112261982705</v>
      </c>
      <c r="F33" s="18" t="n">
        <f aca="false">(Data!E22+Data!E23+Data!E24+Data!E25+Data!E26+Data!E27+Data!E28+Data!E29+Data!E30+Data!E31+Data!E32+Data!E33)/(Data!AP22+Data!AP23+Data!AP24+Data!AP25+Data!AP26+Data!AP27+Data!AP28+Data!AP29+Data!AP30+Data!AP31+Data!AP32+Data!AP33)</f>
        <v>0.0238980361993341</v>
      </c>
      <c r="G33" s="18" t="n">
        <f aca="false">(Data!K22+Data!K23+Data!K24+Data!K25+Data!K26+Data!K27+Data!K28+Data!K29+Data!K30+Data!K31+Data!K32+Data!K33)/(Data!AP22+Data!AP23+Data!AP24+Data!AP25+Data!AP26+Data!AP27+Data!AP28+Data!AP29+Data!AP30+Data!AP31+Data!AP32+Data!AP33)</f>
        <v>0.00535611951623893</v>
      </c>
      <c r="H33" s="18" t="n">
        <f aca="false">(Data!L22+Data!L23+Data!L24+Data!L25+Data!L26+Data!L27+Data!L28+Data!L29+Data!L30+Data!L31+Data!L32+Data!L33)/(Data!AP22+Data!AP23+Data!AP24+Data!AP25+Data!AP26+Data!AP27+Data!AP28+Data!AP29+Data!AP30+Data!AP31+Data!AP32+Data!AP33)</f>
        <v>0.00635023553491127</v>
      </c>
      <c r="I33" s="18" t="n">
        <f aca="false">(Data!G22+Data!G23+Data!G24+Data!G25+Data!G26+Data!G27+Data!G28+Data!G29+Data!G30+Data!G31+Data!G32+Data!G33)/(Data!AP22+Data!AP23+Data!AP24+Data!AP25+Data!AP26+Data!AP27+Data!AP28+Data!AP29+Data!AP30+Data!AP31+Data!AP32+Data!AP33)</f>
        <v>0.0136730422383929</v>
      </c>
      <c r="J33" s="18" t="n">
        <f aca="false">(Data!H22+Data!I22+Data!J22+Data!M22+Data!H23+Data!I23+Data!J23+Data!M23+Data!H24+Data!I24+Data!J24+Data!M24+Data!H25+Data!I25+Data!J25+Data!M25+Data!H26+Data!I26+Data!J26+Data!M26+Data!H27+Data!I27+Data!J27+Data!M27+Data!H28+Data!I28+Data!J28+Data!M28+Data!H29+Data!I29+Data!J29+Data!M29+Data!H30+Data!I30+Data!J30+Data!M30+Data!H31+Data!I31+Data!J31+Data!M31+Data!H32+Data!I32+Data!J32+Data!M32+Data!H33+Data!I33+Data!J33+Data!M33)/(Data!AP22+Data!AP23+Data!AP24+Data!AP25+Data!AP26+Data!AP27+Data!AP28+Data!AP29+Data!AP30+Data!AP31+Data!AP32+Data!AP33)</f>
        <v>0.0172032575150189</v>
      </c>
      <c r="K33" s="18" t="n">
        <f aca="false">(Data!F22+Data!F23+Data!F24+Data!F25+Data!F26+Data!F27+Data!F28+Data!F29+Data!F30+Data!F31+Data!F32+Data!F33)/(Data!AP22+Data!AP23+Data!AP24+Data!AP25+Data!AP26+Data!AP27+Data!AP28+Data!AP29+Data!AP30+Data!AP31+Data!AP32+Data!AP33)</f>
        <v>0.0677603853190617</v>
      </c>
      <c r="L33" s="18" t="n">
        <f aca="false">(Data!N22+Data!O22+Data!P22+Data!Q22+Data!R22+Data!S22+Data!N23+Data!O23+Data!P23+Data!Q23+Data!R23+Data!S23+Data!N24+Data!O24+Data!P24+Data!Q24+Data!R24+Data!S24+Data!N25+Data!O25+Data!P25+Data!Q25+Data!R25+Data!S25+Data!N26+Data!O26+Data!P26+Data!Q26+Data!R26+Data!S26+Data!N27+Data!O27+Data!P27+Data!Q27+Data!R27+Data!S27+Data!N28+Data!O28+Data!P28+Data!Q28+Data!R28+Data!S28+Data!N29+Data!O29+Data!P29+Data!Q29+Data!R29+Data!S29+Data!N30+Data!O30+Data!P30+Data!Q30+Data!R30+Data!S30+Data!N31+Data!O31+Data!P31+Data!Q31+Data!R31+Data!S31+Data!N32+Data!O32+Data!P32+Data!Q32+Data!R32+Data!S32+Data!N33+Data!O33+Data!P33+Data!Q33+Data!R33+Data!S33)/(Data!AP22+Data!AP23+Data!AP24+Data!AP25+Data!AP26+Data!AP27+Data!AP28+Data!AP29+Data!AP30+Data!AP31+Data!AP32+Data!AP33)</f>
        <v>0.0156364148333122</v>
      </c>
      <c r="M33" s="17" t="n">
        <f aca="false">(Data!T22+Data!U22+Data!V22+Data!W22+Data!X22+Data!Y22+Data!Z22+Data!AA22+Data!AB22+Data!AC22+Data!AD22+Data!AE22+Data!AF22+Data!AG22+Data!AH22+Data!AI22+Data!AJ22+Data!AK22+Data!AL22+Data!T23+Data!U23+Data!V23+Data!W23+Data!X23+Data!Y23+Data!Z23+Data!AA23+Data!AB23+Data!AC23+Data!AD23+Data!AE23+Data!AF23+Data!AG23+Data!AH23+Data!AI23+Data!AJ23+Data!AK23+Data!AL23+Data!T24+Data!U24+Data!V24+Data!W24+Data!X24+Data!Y24+Data!Z24+Data!AA24+Data!AB24+Data!AC24+Data!AD24+Data!AE24+Data!AF24+Data!AG24+Data!AH24+Data!AI24+Data!AJ24+Data!AK24+Data!AL24+Data!T25+Data!U25+Data!V25+Data!W25+Data!X25+Data!Y25+Data!Z25+Data!AA25+Data!AB25+Data!AC25+Data!AD25+Data!AE25+Data!AF25+Data!AG25+Data!AH25+Data!AI25+Data!AJ25+Data!AK25+Data!AL25+Data!T26+Data!U26+Data!V26+Data!W26+Data!X26+Data!Y26+Data!Z26+Data!AA26+Data!AB26+Data!AC26+Data!AD26+Data!AE26+Data!AF26+Data!AG26+Data!AH26+Data!AI26+Data!AJ26+Data!AK26+Data!AL26+Data!T27+Data!U27+Data!V27+Data!W27+Data!X27+Data!Y27+Data!Z27+Data!AA27+Data!AB27+Data!AC27+Data!AD27+Data!AE27+Data!AF27+Data!AG27+Data!AH27+Data!AI27+Data!AJ27+Data!AK27+Data!AL27+Data!T28+Data!U28+Data!V28+Data!W28+Data!X28+Data!Y28+Data!Z28+Data!AA28+Data!AB28+Data!AC28+Data!AD28+Data!AE28+Data!AF28+Data!AG28+Data!AH28+Data!AI28+Data!AJ28+Data!AK28+Data!AL28+Data!T29+Data!U29+Data!V29+Data!W29+Data!X29+Data!Y29+Data!Z29+Data!AA29+Data!AB29+Data!AC29+Data!AD29+Data!AE29+Data!AF29+Data!AG29+Data!AH29+Data!AI29+Data!AJ29+Data!AK29+Data!AL29+Data!T30+Data!U30+Data!V30+Data!W30+Data!X30+Data!Y30+Data!Z30+Data!AA30+Data!AB30+Data!AC30+Data!AD30+Data!AE30+Data!AF30+Data!AG30+Data!AH30+Data!AI30+Data!AJ30+Data!AK30+Data!AL30+Data!T31+Data!U31+Data!V31+Data!W31+Data!X31+Data!Y31+Data!Z31+Data!AA31+Data!AB31+Data!AC31+Data!AD31+Data!AE31+Data!AF31+Data!AG31+Data!AH31+Data!AI31+Data!AJ31+Data!AK31+Data!AL31+Data!T32+Data!U32+Data!V32+Data!W32+Data!X32+Data!Y32+Data!Z32+Data!AA32+Data!AB32+Data!AC32+Data!AD32+Data!AE32+Data!AF32+Data!AG32+Data!AH32+Data!AI32+Data!AJ32+Data!AK32+Data!AL32+Data!T33+Data!U33+Data!V33+Data!W33+Data!X33+Data!Y33+Data!Z33+Data!AA33+Data!AB33+Data!AC33+Data!AD33+Data!AE33+Data!AF33+Data!AG33+Data!AH33+Data!AI33+Data!AJ33+Data!AK33+Data!AL33)/(Data!AP22+Data!AP23+Data!AP24+Data!AP25+Data!AP26+Data!AP27+Data!AP28+Data!AP29+Data!AP30+Data!AP31+Data!AP32+Data!AP33)</f>
        <v>0.217738360958398</v>
      </c>
      <c r="N33" s="18" t="n">
        <f aca="false">(Data!T22+Data!U22+Data!V22+Data!W22+Data!T23+Data!U23+Data!V23+Data!W23+Data!T24+Data!U24+Data!V24+Data!W24+Data!T25+Data!U25+Data!V25+Data!W25+Data!T26+Data!U26+Data!V26+Data!W26+Data!T27+Data!U27+Data!V27+Data!W27+Data!T28+Data!U28+Data!V28+Data!W28+Data!T29+Data!U29+Data!V29+Data!W29+Data!T30+Data!U30+Data!V30+Data!W30+Data!T31+Data!U31+Data!V31+Data!W31+Data!T32+Data!U32+Data!V32+Data!W32+Data!T33+Data!U33+Data!V33+Data!W33)/(Data!AP22+Data!AP23+Data!AP24+Data!AP25+Data!AP26+Data!AP27+Data!AP28+Data!AP29+Data!AP30+Data!AP31+Data!AP32+Data!AP33)</f>
        <v>0.117395620326636</v>
      </c>
      <c r="O33" s="18" t="n">
        <f aca="false">(Data!T22+Data!T23+Data!T24+Data!T25+Data!T26+Data!T27+Data!T28+Data!T29+Data!T30+Data!T31+Data!T32+Data!T33)/(Data!AP22+Data!AP23+Data!AP24+Data!AP25+Data!AP26+Data!AP27+Data!AP28+Data!AP29+Data!AP30+Data!AP31+Data!AP32+Data!AP33)</f>
        <v>0.0858656480766085</v>
      </c>
      <c r="P33" s="18" t="n">
        <f aca="false">(Data!U22+Data!U23+Data!U24+Data!U25+Data!U26+Data!U27+Data!U28+Data!U29+Data!U30+Data!U31+Data!U32+Data!U33)/(Data!AP22+Data!AP23+Data!AP24+Data!AP25+Data!AP26+Data!AP27+Data!AP28+Data!AP29+Data!AP30+Data!AP31+Data!AP32+Data!AP33)</f>
        <v>0.0131859716190838</v>
      </c>
      <c r="Q33" s="18" t="n">
        <f aca="false">(Data!V22+Data!V23+Data!V24+Data!V25+Data!V26+Data!V27+Data!V28+Data!V29+Data!V30+Data!V31+Data!V32+Data!V33)/(Data!AP22+Data!AP23+Data!AP24+Data!AP25+Data!AP26+Data!AP27+Data!AP28+Data!AP29+Data!AP30+Data!AP31+Data!AP32+Data!AP33)</f>
        <v>0.00888066509546971</v>
      </c>
      <c r="R33" s="18" t="n">
        <f aca="false">(Data!W22+Data!W23+Data!W24+Data!W25+Data!W26+Data!W27+Data!W28+Data!W29+Data!W30+Data!W31+Data!W32+Data!W33)/(Data!AP22+Data!AP23+Data!AP24+Data!AP25+Data!AP26+Data!AP27+Data!AP28+Data!AP29+Data!AP30+Data!AP31+Data!AP32+Data!AP33)</f>
        <v>0.00946333553547421</v>
      </c>
      <c r="S33" s="18" t="n">
        <f aca="false">(Data!X22+Data!X23+Data!X24+Data!X25+Data!X26+Data!X27+Data!X28+Data!X29+Data!X30+Data!X31+Data!X32+Data!X33)/(Data!AP22+Data!AP23+Data!AP24+Data!AP25+Data!AP26+Data!AP27+Data!AP28+Data!AP29+Data!AP30+Data!AP31+Data!AP32+Data!AP33)</f>
        <v>0.00379686550643049</v>
      </c>
      <c r="T33" s="18" t="n">
        <f aca="false">(Data!Y22+Data!Z22+Data!AA22+Data!Y23+Data!Z23+Data!AA23+Data!Y24+Data!Z24+Data!AA24+Data!Y25+Data!Z25+Data!AA25+Data!Y26+Data!Z26+Data!AA26+Data!Y27+Data!Z27+Data!AA27+Data!Y28+Data!Z28+Data!AA28+Data!Y29+Data!Z29+Data!AA29+Data!Y30+Data!Z30+Data!AA30+Data!Y31+Data!Z31+Data!AA31+Data!Y32+Data!Z32+Data!AA32+Data!Y33+Data!Z33+Data!AA33)/(Data!AP22+Data!AP23+Data!AP24+Data!AP25+Data!AP26+Data!AP27+Data!AP28+Data!AP29+Data!AP30+Data!AP31+Data!AP32+Data!AP33)</f>
        <v>0.0190504449263925</v>
      </c>
      <c r="U33" s="18" t="n">
        <f aca="false">(Data!Y22+Data!Y23+Data!Y24+Data!Y25+Data!Y26+Data!Y27+Data!Y28+Data!Y29+Data!Y30+Data!Y31+Data!Y32+Data!Y33)/(Data!AP22+Data!AP23+Data!AP24+Data!AP25+Data!AP26+Data!AP27+Data!AP28+Data!AP29+Data!AP30+Data!AP31+Data!AP32+Data!AP33)</f>
        <v>0.0103370795171396</v>
      </c>
      <c r="V33" s="18" t="n">
        <f aca="false">(Data!Z22+Data!Z23+Data!Z24+Data!Z25+Data!Z26+Data!Z27+Data!Z28+Data!Z29+Data!Z30+Data!Z31+Data!Z32+Data!Z33)/(Data!AP22+Data!AP23+Data!AP24+Data!AP25+Data!AP26+Data!AP27+Data!AP28+Data!AP29+Data!AP30+Data!AP31+Data!AP32+Data!AP33)</f>
        <v>0.00796069127350453</v>
      </c>
      <c r="W33" s="18" t="n">
        <f aca="false">(Data!AB22+Data!AB23+Data!AB24+Data!AB25+Data!AB26+Data!AB27+Data!AB28+Data!AB29+Data!AB30+Data!AB31+Data!AB32+Data!AB33)/(Data!AP22+Data!AP23+Data!AP24+Data!AP25+Data!AP26+Data!AP27+Data!AP28+Data!AP29+Data!AP30+Data!AP31+Data!AP32+Data!AP33)</f>
        <v>0.0302812432052516</v>
      </c>
      <c r="X33" s="18" t="n">
        <f aca="false">(Data!AC22+Data!AC23+Data!AC24+Data!AC25+Data!AC26+Data!AC27+Data!AC28+Data!AC29+Data!AC30+Data!AC31+Data!AC32+Data!AC33)/(Data!AP22+Data!AP23+Data!AP24+Data!AP25+Data!AP26+Data!AP27+Data!AP28+Data!AP29+Data!AP30+Data!AP31+Data!AP32+Data!AP33)</f>
        <v>0.00980883817212956</v>
      </c>
      <c r="Y33" s="18" t="n">
        <f aca="false">(Data!AD22+Data!AE22+Data!AF22+Data!AG22+Data!AH22+Data!AD23+Data!AE23+Data!AF23+Data!AG23+Data!AH23+Data!AD24+Data!AE24+Data!AF24+Data!AG24+Data!AH24+Data!AD25+Data!AE25+Data!AF25+Data!AG25+Data!AH25+Data!AD26+Data!AE26+Data!AF26+Data!AG26+Data!AH26+Data!AD27+Data!AE27+Data!AF27+Data!AG27+Data!AH27+Data!AD28+Data!AE28+Data!AF28+Data!AG28+Data!AH28+Data!AD29+Data!AE29+Data!AF29+Data!AG29+Data!AH29+Data!AD30+Data!AE30+Data!AF30+Data!AG30+Data!AH30+Data!AD31+Data!AE31+Data!AF31+Data!AG31+Data!AH31+Data!AD32+Data!AE32+Data!AF32+Data!AG32+Data!AH32+Data!AD33+Data!AE33+Data!AF33+Data!AG33+Data!AH33)/(Data!AP22+Data!AP23+Data!AP24+Data!AP25+Data!AP26+Data!AP27+Data!AP28+Data!AP29+Data!AP30+Data!AP31+Data!AP32+Data!AP33)</f>
        <v>0.00715899606181571</v>
      </c>
      <c r="Z33" s="18" t="n">
        <f aca="false">(Data!AI22+Data!AI23+Data!AI24+Data!AI25+Data!AI26+Data!AI27+Data!AI28+Data!AI29+Data!AI30+Data!AI31+Data!AI32+Data!AI33)/(Data!AP22+Data!AP23+Data!AP24+Data!AP25+Data!AP26+Data!AP27+Data!AP28+Data!AP29+Data!AP30+Data!AP31+Data!AP32+Data!AP33)</f>
        <v>0.00782165284815016</v>
      </c>
      <c r="AA33" s="18" t="n">
        <f aca="false">(Data!AJ22+Data!AJ23+Data!AJ24+Data!AJ25+Data!AJ26+Data!AJ27+Data!AJ28+Data!AJ29+Data!AJ30+Data!AJ31+Data!AJ32+Data!AJ33)/(Data!AP22+Data!AP23+Data!AP24+Data!AP25+Data!AP26+Data!AP27+Data!AP28+Data!AP29+Data!AP30+Data!AP31+Data!AP32+Data!AP33)</f>
        <v>0.000918752656372357</v>
      </c>
      <c r="AB33" s="18" t="n">
        <f aca="false">(Data!AK22+Data!AK23+Data!AK24+Data!AK25+Data!AK26+Data!AK27+Data!AK28+Data!AK29+Data!AK30+Data!AK31+Data!AK32+Data!AK33)/(Data!AP22+Data!AP23+Data!AP24+Data!AP25+Data!AP26+Data!AP27+Data!AP28+Data!AP29+Data!AP30+Data!AP31+Data!AP32+Data!AP33)</f>
        <v>0.00440518042388428</v>
      </c>
      <c r="AC33" s="18" t="n">
        <f aca="false">(Data!AL22+Data!AL23+Data!AL24+Data!AL25+Data!AL26+Data!AL27+Data!AL28+Data!AL29+Data!AL30+Data!AL31+Data!AL32+Data!AL33)/(Data!AP22+Data!AP23+Data!AP24+Data!AP25+Data!AP26+Data!AP27+Data!AP28+Data!AP29+Data!AP30+Data!AP31+Data!AP32+Data!AP33)</f>
        <v>0.0171007668313355</v>
      </c>
      <c r="AD33" s="17" t="n">
        <f aca="false">(Data!AM22+Data!AM23+Data!AM24+Data!AM25+Data!AM26+Data!AM27+Data!AM28+Data!AM29+Data!AM30+Data!AM31+Data!AM32+Data!AM33)/(Data!AP22+Data!AP23+Data!AP24+Data!AP25+Data!AP26+Data!AP27+Data!AP28+Data!AP29+Data!AP30+Data!AP31+Data!AP32+Data!AP33)</f>
        <v>-0.0343496436038578</v>
      </c>
      <c r="AE33" s="18" t="n">
        <f aca="false">(Data!AN22+Data!AN23+Data!AN24+Data!AN25+Data!AN26+Data!AN27+Data!AN28+Data!AN29+Data!AN30+Data!AN31+Data!AN32+Data!AN33)/(Data!AP22+Data!AP23+Data!AP24+Data!AP25+Data!AP26+Data!AP27+Data!AP28+Data!AP29+Data!AP30+Data!AP31+Data!AP32+Data!AP33)</f>
        <v>0.0223418351035077</v>
      </c>
      <c r="AF33" s="17" t="n">
        <f aca="false">(Data!AO22+Data!AO23+Data!AO24+Data!AO25+Data!AO26+Data!AO27+Data!AO28+Data!AO29+Data!AO30+Data!AO31+Data!AO32+Data!AO33)/(Data!AP22+Data!AP23+Data!AP24+Data!AP25+Data!AP26+Data!AP27+Data!AP28+Data!AP29+Data!AP30+Data!AP31+Data!AP32+Data!AP33)</f>
        <v>-0.0566913914812517</v>
      </c>
    </row>
    <row r="34" customFormat="false" ht="15" hidden="false" customHeight="false" outlineLevel="0" collapsed="false">
      <c r="B34" s="14" t="str">
        <f aca="false">Data!B34</f>
        <v>2018-04</v>
      </c>
      <c r="C34" s="17" t="n">
        <f aca="false">(Data!D23+Data!E23+Data!F23+Data!G23+Data!H23+Data!I23+Data!J23+Data!K23+Data!L23+Data!M23+Data!N23+Data!O23+Data!P23+Data!Q23+Data!R23+Data!S23+Data!D24+Data!E24+Data!F24+Data!G24+Data!H24+Data!I24+Data!J24+Data!K24+Data!L24+Data!M24+Data!N24+Data!O24+Data!P24+Data!Q24+Data!R24+Data!S24+Data!D25+Data!E25+Data!F25+Data!G25+Data!H25+Data!I25+Data!J25+Data!K25+Data!L25+Data!M25+Data!N25+Data!O25+Data!P25+Data!Q25+Data!R25+Data!S25+Data!D26+Data!E26+Data!F26+Data!G26+Data!H26+Data!I26+Data!J26+Data!K26+Data!L26+Data!M26+Data!N26+Data!O26+Data!P26+Data!Q26+Data!R26+Data!S26+Data!D27+Data!E27+Data!F27+Data!G27+Data!H27+Data!I27+Data!J27+Data!K27+Data!L27+Data!M27+Data!N27+Data!O27+Data!P27+Data!Q27+Data!R27+Data!S27+Data!D28+Data!E28+Data!F28+Data!G28+Data!H28+Data!I28+Data!J28+Data!K28+Data!L28+Data!M28+Data!N28+Data!O28+Data!P28+Data!Q28+Data!R28+Data!S28+Data!D29+Data!E29+Data!F29+Data!G29+Data!H29+Data!I29+Data!J29+Data!K29+Data!L29+Data!M29+Data!N29+Data!O29+Data!P29+Data!Q29+Data!R29+Data!S29+Data!D30+Data!E30+Data!F30+Data!G30+Data!H30+Data!I30+Data!J30+Data!K30+Data!L30+Data!M30+Data!N30+Data!O30+Data!P30+Data!Q30+Data!R30+Data!S30+Data!D31+Data!E31+Data!F31+Data!G31+Data!H31+Data!I31+Data!J31+Data!K31+Data!L31+Data!M31+Data!N31+Data!O31+Data!P31+Data!Q31+Data!R31+Data!S31+Data!D32+Data!E32+Data!F32+Data!G32+Data!H32+Data!I32+Data!J32+Data!K32+Data!L32+Data!M32+Data!N32+Data!O32+Data!P32+Data!Q32+Data!R32+Data!S32+Data!D33+Data!E33+Data!F33+Data!G33+Data!H33+Data!I33+Data!J33+Data!K33+Data!L33+Data!M33+Data!N33+Data!O33+Data!P33+Data!Q33+Data!R33+Data!S33+Data!D34+Data!E34+Data!F34+Data!G34+Data!H34+Data!I34+Data!J34+Data!K34+Data!L34+Data!M34+Data!N34+Data!O34+Data!P34+Data!Q34+Data!R34+Data!S34)/(Data!AP23+Data!AP24+Data!AP25+Data!AP26+Data!AP27+Data!AP28+Data!AP29+Data!AP30+Data!AP31+Data!AP32+Data!AP33+Data!AP34)</f>
        <v>0.181444516484094</v>
      </c>
      <c r="D34" s="18" t="n">
        <f aca="false">(Data!D23+Data!E23+Data!G23+Data!H23+Data!I23+Data!J23+Data!K23+Data!L23+Data!M23+Data!D24+Data!E24+Data!G24+Data!H24+Data!I24+Data!J24+Data!K24+Data!L24+Data!M24+Data!D25+Data!E25+Data!G25+Data!H25+Data!I25+Data!J25+Data!K25+Data!L25+Data!M25+Data!D26+Data!E26+Data!G26+Data!H26+Data!I26+Data!J26+Data!K26+Data!L26+Data!M26+Data!D27+Data!E27+Data!G27+Data!H27+Data!I27+Data!J27+Data!K27+Data!L27+Data!M27+Data!D28+Data!E28+Data!G28+Data!H28+Data!I28+Data!J28+Data!K28+Data!L28+Data!M28+Data!D29+Data!E29+Data!G29+Data!H29+Data!I29+Data!J29+Data!K29+Data!L29+Data!M29+Data!D30+Data!E30+Data!G30+Data!H30+Data!I30+Data!J30+Data!K30+Data!L30+Data!M30+Data!D31+Data!E31+Data!G31+Data!H31+Data!I31+Data!J31+Data!K31+Data!L31+Data!M31+Data!D32+Data!E32+Data!G32+Data!H32+Data!I32+Data!J32+Data!K32+Data!L32+Data!M32+Data!D33+Data!E33+Data!G33+Data!H33+Data!I33+Data!J33+Data!K33+Data!L33+Data!M33+Data!D34+Data!E34+Data!G34+Data!H34+Data!I34+Data!J34+Data!K34+Data!L34+Data!M34)/(Data!AP23+Data!AP24+Data!AP25+Data!AP26+Data!AP27+Data!AP28+Data!AP29+Data!AP30+Data!AP31+Data!AP32+Data!AP33+Data!AP34)</f>
        <v>0.097868215434711</v>
      </c>
      <c r="E34" s="18" t="n">
        <f aca="false">(Data!D23+Data!D24+Data!D25+Data!D26+Data!D27+Data!D28+Data!D29+Data!D30+Data!D31+Data!D32+Data!D33+Data!D34)/(Data!AP23+Data!AP24+Data!AP25+Data!AP26+Data!AP27+Data!AP28+Data!AP29+Data!AP30+Data!AP31+Data!AP32+Data!AP33+Data!AP34)</f>
        <v>0.0334123917521087</v>
      </c>
      <c r="F34" s="18" t="n">
        <f aca="false">(Data!E23+Data!E24+Data!E25+Data!E26+Data!E27+Data!E28+Data!E29+Data!E30+Data!E31+Data!E32+Data!E33+Data!E34)/(Data!AP23+Data!AP24+Data!AP25+Data!AP26+Data!AP27+Data!AP28+Data!AP29+Data!AP30+Data!AP31+Data!AP32+Data!AP33+Data!AP34)</f>
        <v>0.0233670370584862</v>
      </c>
      <c r="G34" s="18" t="n">
        <f aca="false">(Data!K23+Data!K24+Data!K25+Data!K26+Data!K27+Data!K28+Data!K29+Data!K30+Data!K31+Data!K32+Data!K33+Data!K34)/(Data!AP23+Data!AP24+Data!AP25+Data!AP26+Data!AP27+Data!AP28+Data!AP29+Data!AP30+Data!AP31+Data!AP32+Data!AP33+Data!AP34)</f>
        <v>0.00488437617096711</v>
      </c>
      <c r="H34" s="18" t="n">
        <f aca="false">(Data!L23+Data!L24+Data!L25+Data!L26+Data!L27+Data!L28+Data!L29+Data!L30+Data!L31+Data!L32+Data!L33+Data!L34)/(Data!AP23+Data!AP24+Data!AP25+Data!AP26+Data!AP27+Data!AP28+Data!AP29+Data!AP30+Data!AP31+Data!AP32+Data!AP33+Data!AP34)</f>
        <v>0.00643822556124051</v>
      </c>
      <c r="I34" s="18" t="n">
        <f aca="false">(Data!G23+Data!G24+Data!G25+Data!G26+Data!G27+Data!G28+Data!G29+Data!G30+Data!G31+Data!G32+Data!G33+Data!G34)/(Data!AP23+Data!AP24+Data!AP25+Data!AP26+Data!AP27+Data!AP28+Data!AP29+Data!AP30+Data!AP31+Data!AP32+Data!AP33+Data!AP34)</f>
        <v>0.0139213555837113</v>
      </c>
      <c r="J34" s="18" t="n">
        <f aca="false">(Data!H23+Data!I23+Data!J23+Data!M23+Data!H24+Data!I24+Data!J24+Data!M24+Data!H25+Data!I25+Data!J25+Data!M25+Data!H26+Data!I26+Data!J26+Data!M26+Data!H27+Data!I27+Data!J27+Data!M27+Data!H28+Data!I28+Data!J28+Data!M28+Data!H29+Data!I29+Data!J29+Data!M29+Data!H30+Data!I30+Data!J30+Data!M30+Data!H31+Data!I31+Data!J31+Data!M31+Data!H32+Data!I32+Data!J32+Data!M32+Data!H33+Data!I33+Data!J33+Data!M33+Data!H34+Data!I34+Data!J34+Data!M34)/(Data!AP23+Data!AP24+Data!AP25+Data!AP26+Data!AP27+Data!AP28+Data!AP29+Data!AP30+Data!AP31+Data!AP32+Data!AP33+Data!AP34)</f>
        <v>0.0158448293081971</v>
      </c>
      <c r="K34" s="18" t="n">
        <f aca="false">(Data!F23+Data!F24+Data!F25+Data!F26+Data!F27+Data!F28+Data!F29+Data!F30+Data!F31+Data!F32+Data!F33+Data!F34)/(Data!AP23+Data!AP24+Data!AP25+Data!AP26+Data!AP27+Data!AP28+Data!AP29+Data!AP30+Data!AP31+Data!AP32+Data!AP33+Data!AP34)</f>
        <v>0.0672328059535906</v>
      </c>
      <c r="L34" s="18" t="n">
        <f aca="false">(Data!N23+Data!O23+Data!P23+Data!Q23+Data!R23+Data!S23+Data!N24+Data!O24+Data!P24+Data!Q24+Data!R24+Data!S24+Data!N25+Data!O25+Data!P25+Data!Q25+Data!R25+Data!S25+Data!N26+Data!O26+Data!P26+Data!Q26+Data!R26+Data!S26+Data!N27+Data!O27+Data!P27+Data!Q27+Data!R27+Data!S27+Data!N28+Data!O28+Data!P28+Data!Q28+Data!R28+Data!S28+Data!N29+Data!O29+Data!P29+Data!Q29+Data!R29+Data!S29+Data!N30+Data!O30+Data!P30+Data!Q30+Data!R30+Data!S30+Data!N31+Data!O31+Data!P31+Data!Q31+Data!R31+Data!S31+Data!N32+Data!O32+Data!P32+Data!Q32+Data!R32+Data!S32+Data!N33+Data!O33+Data!P33+Data!Q33+Data!R33+Data!S33+Data!N34+Data!O34+Data!P34+Data!Q34+Data!R34+Data!S34)/(Data!AP23+Data!AP24+Data!AP25+Data!AP26+Data!AP27+Data!AP28+Data!AP29+Data!AP30+Data!AP31+Data!AP32+Data!AP33+Data!AP34)</f>
        <v>0.0163434950957924</v>
      </c>
      <c r="M34" s="17" t="n">
        <f aca="false">(Data!T23+Data!U23+Data!V23+Data!W23+Data!X23+Data!Y23+Data!Z23+Data!AA23+Data!AB23+Data!AC23+Data!AD23+Data!AE23+Data!AF23+Data!AG23+Data!AH23+Data!AI23+Data!AJ23+Data!AK23+Data!AL23+Data!T24+Data!U24+Data!V24+Data!W24+Data!X24+Data!Y24+Data!Z24+Data!AA24+Data!AB24+Data!AC24+Data!AD24+Data!AE24+Data!AF24+Data!AG24+Data!AH24+Data!AI24+Data!AJ24+Data!AK24+Data!AL24+Data!T25+Data!U25+Data!V25+Data!W25+Data!X25+Data!Y25+Data!Z25+Data!AA25+Data!AB25+Data!AC25+Data!AD25+Data!AE25+Data!AF25+Data!AG25+Data!AH25+Data!AI25+Data!AJ25+Data!AK25+Data!AL25+Data!T26+Data!U26+Data!V26+Data!W26+Data!X26+Data!Y26+Data!Z26+Data!AA26+Data!AB26+Data!AC26+Data!AD26+Data!AE26+Data!AF26+Data!AG26+Data!AH26+Data!AI26+Data!AJ26+Data!AK26+Data!AL26+Data!T27+Data!U27+Data!V27+Data!W27+Data!X27+Data!Y27+Data!Z27+Data!AA27+Data!AB27+Data!AC27+Data!AD27+Data!AE27+Data!AF27+Data!AG27+Data!AH27+Data!AI27+Data!AJ27+Data!AK27+Data!AL27+Data!T28+Data!U28+Data!V28+Data!W28+Data!X28+Data!Y28+Data!Z28+Data!AA28+Data!AB28+Data!AC28+Data!AD28+Data!AE28+Data!AF28+Data!AG28+Data!AH28+Data!AI28+Data!AJ28+Data!AK28+Data!AL28+Data!T29+Data!U29+Data!V29+Data!W29+Data!X29+Data!Y29+Data!Z29+Data!AA29+Data!AB29+Data!AC29+Data!AD29+Data!AE29+Data!AF29+Data!AG29+Data!AH29+Data!AI29+Data!AJ29+Data!AK29+Data!AL29+Data!T30+Data!U30+Data!V30+Data!W30+Data!X30+Data!Y30+Data!Z30+Data!AA30+Data!AB30+Data!AC30+Data!AD30+Data!AE30+Data!AF30+Data!AG30+Data!AH30+Data!AI30+Data!AJ30+Data!AK30+Data!AL30+Data!T31+Data!U31+Data!V31+Data!W31+Data!X31+Data!Y31+Data!Z31+Data!AA31+Data!AB31+Data!AC31+Data!AD31+Data!AE31+Data!AF31+Data!AG31+Data!AH31+Data!AI31+Data!AJ31+Data!AK31+Data!AL31+Data!T32+Data!U32+Data!V32+Data!W32+Data!X32+Data!Y32+Data!Z32+Data!AA32+Data!AB32+Data!AC32+Data!AD32+Data!AE32+Data!AF32+Data!AG32+Data!AH32+Data!AI32+Data!AJ32+Data!AK32+Data!AL32+Data!T33+Data!U33+Data!V33+Data!W33+Data!X33+Data!Y33+Data!Z33+Data!AA33+Data!AB33+Data!AC33+Data!AD33+Data!AE33+Data!AF33+Data!AG33+Data!AH33+Data!AI33+Data!AJ33+Data!AK33+Data!AL33+Data!T34+Data!U34+Data!V34+Data!W34+Data!X34+Data!Y34+Data!Z34+Data!AA34+Data!AB34+Data!AC34+Data!AD34+Data!AE34+Data!AF34+Data!AG34+Data!AH34+Data!AI34+Data!AJ34+Data!AK34+Data!AL34)/(Data!AP23+Data!AP24+Data!AP25+Data!AP26+Data!AP27+Data!AP28+Data!AP29+Data!AP30+Data!AP31+Data!AP32+Data!AP33+Data!AP34)</f>
        <v>0.214191482492722</v>
      </c>
      <c r="N34" s="18" t="n">
        <f aca="false">(Data!T23+Data!U23+Data!V23+Data!W23+Data!T24+Data!U24+Data!V24+Data!W24+Data!T25+Data!U25+Data!V25+Data!W25+Data!T26+Data!U26+Data!V26+Data!W26+Data!T27+Data!U27+Data!V27+Data!W27+Data!T28+Data!U28+Data!V28+Data!W28+Data!T29+Data!U29+Data!V29+Data!W29+Data!T30+Data!U30+Data!V30+Data!W30+Data!T31+Data!U31+Data!V31+Data!W31+Data!T32+Data!U32+Data!V32+Data!W32+Data!T33+Data!U33+Data!V33+Data!W33+Data!T34+Data!U34+Data!V34+Data!W34)/(Data!AP23+Data!AP24+Data!AP25+Data!AP26+Data!AP27+Data!AP28+Data!AP29+Data!AP30+Data!AP31+Data!AP32+Data!AP33+Data!AP34)</f>
        <v>0.116590439784073</v>
      </c>
      <c r="O34" s="18" t="n">
        <f aca="false">(Data!T23+Data!T24+Data!T25+Data!T26+Data!T27+Data!T28+Data!T29+Data!T30+Data!T31+Data!T32+Data!T33+Data!T34)/(Data!AP23+Data!AP24+Data!AP25+Data!AP26+Data!AP27+Data!AP28+Data!AP29+Data!AP30+Data!AP31+Data!AP32+Data!AP33+Data!AP34)</f>
        <v>0.0853577357284072</v>
      </c>
      <c r="P34" s="18" t="n">
        <f aca="false">(Data!U23+Data!U24+Data!U25+Data!U26+Data!U27+Data!U28+Data!U29+Data!U30+Data!U31+Data!U32+Data!U33+Data!U34)/(Data!AP23+Data!AP24+Data!AP25+Data!AP26+Data!AP27+Data!AP28+Data!AP29+Data!AP30+Data!AP31+Data!AP32+Data!AP33+Data!AP34)</f>
        <v>0.0130553591546234</v>
      </c>
      <c r="Q34" s="18" t="n">
        <f aca="false">(Data!V23+Data!V24+Data!V25+Data!V26+Data!V27+Data!V28+Data!V29+Data!V30+Data!V31+Data!V32+Data!V33+Data!V34)/(Data!AP23+Data!AP24+Data!AP25+Data!AP26+Data!AP27+Data!AP28+Data!AP29+Data!AP30+Data!AP31+Data!AP32+Data!AP33+Data!AP34)</f>
        <v>0.00872146923640196</v>
      </c>
      <c r="R34" s="18" t="n">
        <f aca="false">(Data!W23+Data!W24+Data!W25+Data!W26+Data!W27+Data!W28+Data!W29+Data!W30+Data!W31+Data!W32+Data!W33+Data!W34)/(Data!AP23+Data!AP24+Data!AP25+Data!AP26+Data!AP27+Data!AP28+Data!AP29+Data!AP30+Data!AP31+Data!AP32+Data!AP33+Data!AP34)</f>
        <v>0.00945587566464063</v>
      </c>
      <c r="S34" s="18" t="n">
        <f aca="false">(Data!X23+Data!X24+Data!X25+Data!X26+Data!X27+Data!X28+Data!X29+Data!X30+Data!X31+Data!X32+Data!X33+Data!X34)/(Data!AP23+Data!AP24+Data!AP25+Data!AP26+Data!AP27+Data!AP28+Data!AP29+Data!AP30+Data!AP31+Data!AP32+Data!AP33+Data!AP34)</f>
        <v>0.0038042168031181</v>
      </c>
      <c r="T34" s="18" t="n">
        <f aca="false">(Data!Y23+Data!Z23+Data!AA23+Data!Y24+Data!Z24+Data!AA24+Data!Y25+Data!Z25+Data!AA25+Data!Y26+Data!Z26+Data!AA26+Data!Y27+Data!Z27+Data!AA27+Data!Y28+Data!Z28+Data!AA28+Data!Y29+Data!Z29+Data!AA29+Data!Y30+Data!Z30+Data!AA30+Data!Y31+Data!Z31+Data!AA31+Data!Y32+Data!Z32+Data!AA32+Data!Y33+Data!Z33+Data!AA33+Data!Y34+Data!Z34+Data!AA34)/(Data!AP23+Data!AP24+Data!AP25+Data!AP26+Data!AP27+Data!AP28+Data!AP29+Data!AP30+Data!AP31+Data!AP32+Data!AP33+Data!AP34)</f>
        <v>0.0182718960120466</v>
      </c>
      <c r="U34" s="18" t="n">
        <f aca="false">(Data!Y23+Data!Y24+Data!Y25+Data!Y26+Data!Y27+Data!Y28+Data!Y29+Data!Y30+Data!Y31+Data!Y32+Data!Y33+Data!Y34)/(Data!AP23+Data!AP24+Data!AP25+Data!AP26+Data!AP27+Data!AP28+Data!AP29+Data!AP30+Data!AP31+Data!AP32+Data!AP33+Data!AP34)</f>
        <v>0.00984452915326896</v>
      </c>
      <c r="V34" s="18" t="n">
        <f aca="false">(Data!Z23+Data!Z24+Data!Z25+Data!Z26+Data!Z27+Data!Z28+Data!Z29+Data!Z30+Data!Z31+Data!Z32+Data!Z33+Data!Z34)/(Data!AP23+Data!AP24+Data!AP25+Data!AP26+Data!AP27+Data!AP28+Data!AP29+Data!AP30+Data!AP31+Data!AP32+Data!AP33+Data!AP34)</f>
        <v>0.00775378576340408</v>
      </c>
      <c r="W34" s="18" t="n">
        <f aca="false">(Data!AB23+Data!AB24+Data!AB25+Data!AB26+Data!AB27+Data!AB28+Data!AB29+Data!AB30+Data!AB31+Data!AB32+Data!AB33+Data!AB34)/(Data!AP23+Data!AP24+Data!AP25+Data!AP26+Data!AP27+Data!AP28+Data!AP29+Data!AP30+Data!AP31+Data!AP32+Data!AP33+Data!AP34)</f>
        <v>0.0298773015614441</v>
      </c>
      <c r="X34" s="18" t="n">
        <f aca="false">(Data!AC23+Data!AC24+Data!AC25+Data!AC26+Data!AC27+Data!AC28+Data!AC29+Data!AC30+Data!AC31+Data!AC32+Data!AC33+Data!AC34)/(Data!AP23+Data!AP24+Data!AP25+Data!AP26+Data!AP27+Data!AP28+Data!AP29+Data!AP30+Data!AP31+Data!AP32+Data!AP33+Data!AP34)</f>
        <v>0.0096060700619947</v>
      </c>
      <c r="Y34" s="18" t="n">
        <f aca="false">(Data!AD23+Data!AE23+Data!AF23+Data!AG23+Data!AH23+Data!AD24+Data!AE24+Data!AF24+Data!AG24+Data!AH24+Data!AD25+Data!AE25+Data!AF25+Data!AG25+Data!AH25+Data!AD26+Data!AE26+Data!AF26+Data!AG26+Data!AH26+Data!AD27+Data!AE27+Data!AF27+Data!AG27+Data!AH27+Data!AD28+Data!AE28+Data!AF28+Data!AG28+Data!AH28+Data!AD29+Data!AE29+Data!AF29+Data!AG29+Data!AH29+Data!AD30+Data!AE30+Data!AF30+Data!AG30+Data!AH30+Data!AD31+Data!AE31+Data!AF31+Data!AG31+Data!AH31+Data!AD32+Data!AE32+Data!AF32+Data!AG32+Data!AH32+Data!AD33+Data!AE33+Data!AF33+Data!AG33+Data!AH33+Data!AD34+Data!AE34+Data!AF34+Data!AG34+Data!AH34)/(Data!AP23+Data!AP24+Data!AP25+Data!AP26+Data!AP27+Data!AP28+Data!AP29+Data!AP30+Data!AP31+Data!AP32+Data!AP33+Data!AP34)</f>
        <v>0.00701326282124601</v>
      </c>
      <c r="Z34" s="18" t="n">
        <f aca="false">(Data!AI23+Data!AI24+Data!AI25+Data!AI26+Data!AI27+Data!AI28+Data!AI29+Data!AI30+Data!AI31+Data!AI32+Data!AI33+Data!AI34)/(Data!AP23+Data!AP24+Data!AP25+Data!AP26+Data!AP27+Data!AP28+Data!AP29+Data!AP30+Data!AP31+Data!AP32+Data!AP33+Data!AP34)</f>
        <v>0.00774248720296963</v>
      </c>
      <c r="AA34" s="18" t="n">
        <f aca="false">(Data!AJ23+Data!AJ24+Data!AJ25+Data!AJ26+Data!AJ27+Data!AJ28+Data!AJ29+Data!AJ30+Data!AJ31+Data!AJ32+Data!AJ33+Data!AJ34)/(Data!AP23+Data!AP24+Data!AP25+Data!AP26+Data!AP27+Data!AP28+Data!AP29+Data!AP30+Data!AP31+Data!AP32+Data!AP33+Data!AP34)</f>
        <v>0.000821566751590074</v>
      </c>
      <c r="AB34" s="18" t="n">
        <f aca="false">(Data!AK23+Data!AK24+Data!AK25+Data!AK26+Data!AK27+Data!AK28+Data!AK29+Data!AK30+Data!AK31+Data!AK32+Data!AK33+Data!AK34)/(Data!AP23+Data!AP24+Data!AP25+Data!AP26+Data!AP27+Data!AP28+Data!AP29+Data!AP30+Data!AP31+Data!AP32+Data!AP33+Data!AP34)</f>
        <v>0.00422727568254303</v>
      </c>
      <c r="AC34" s="18" t="n">
        <f aca="false">(Data!AL23+Data!AL24+Data!AL25+Data!AL26+Data!AL27+Data!AL28+Data!AL29+Data!AL30+Data!AL31+Data!AL32+Data!AL33+Data!AL34)/(Data!AP23+Data!AP24+Data!AP25+Data!AP26+Data!AP27+Data!AP28+Data!AP29+Data!AP30+Data!AP31+Data!AP32+Data!AP33+Data!AP34)</f>
        <v>0.0162369658116962</v>
      </c>
      <c r="AD34" s="17" t="n">
        <f aca="false">(Data!AM23+Data!AM24+Data!AM25+Data!AM26+Data!AM27+Data!AM28+Data!AM29+Data!AM30+Data!AM31+Data!AM32+Data!AM33+Data!AM34)/(Data!AP23+Data!AP24+Data!AP25+Data!AP26+Data!AP27+Data!AP28+Data!AP29+Data!AP30+Data!AP31+Data!AP32+Data!AP33+Data!AP34)</f>
        <v>-0.0327469660086277</v>
      </c>
      <c r="AE34" s="18" t="n">
        <f aca="false">(Data!AN23+Data!AN24+Data!AN25+Data!AN26+Data!AN27+Data!AN28+Data!AN29+Data!AN30+Data!AN31+Data!AN32+Data!AN33+Data!AN34)/(Data!AP23+Data!AP24+Data!AP25+Data!AP26+Data!AP27+Data!AP28+Data!AP29+Data!AP30+Data!AP31+Data!AP32+Data!AP33+Data!AP34)</f>
        <v>0.0219944743446572</v>
      </c>
      <c r="AF34" s="17" t="n">
        <f aca="false">(Data!AO23+Data!AO24+Data!AO25+Data!AO26+Data!AO27+Data!AO28+Data!AO29+Data!AO30+Data!AO31+Data!AO32+Data!AO33+Data!AO34)/(Data!AP23+Data!AP24+Data!AP25+Data!AP26+Data!AP27+Data!AP28+Data!AP29+Data!AP30+Data!AP31+Data!AP32+Data!AP33+Data!AP34)</f>
        <v>-0.0547413554017027</v>
      </c>
    </row>
    <row r="35" customFormat="false" ht="15" hidden="false" customHeight="false" outlineLevel="0" collapsed="false">
      <c r="B35" s="14" t="str">
        <f aca="false">Data!B35</f>
        <v>2018-05</v>
      </c>
      <c r="C35" s="17" t="n">
        <f aca="false">(Data!D24+Data!E24+Data!F24+Data!G24+Data!H24+Data!I24+Data!J24+Data!K24+Data!L24+Data!M24+Data!N24+Data!O24+Data!P24+Data!Q24+Data!R24+Data!S24+Data!D25+Data!E25+Data!F25+Data!G25+Data!H25+Data!I25+Data!J25+Data!K25+Data!L25+Data!M25+Data!N25+Data!O25+Data!P25+Data!Q25+Data!R25+Data!S25+Data!D26+Data!E26+Data!F26+Data!G26+Data!H26+Data!I26+Data!J26+Data!K26+Data!L26+Data!M26+Data!N26+Data!O26+Data!P26+Data!Q26+Data!R26+Data!S26+Data!D27+Data!E27+Data!F27+Data!G27+Data!H27+Data!I27+Data!J27+Data!K27+Data!L27+Data!M27+Data!N27+Data!O27+Data!P27+Data!Q27+Data!R27+Data!S27+Data!D28+Data!E28+Data!F28+Data!G28+Data!H28+Data!I28+Data!J28+Data!K28+Data!L28+Data!M28+Data!N28+Data!O28+Data!P28+Data!Q28+Data!R28+Data!S28+Data!D29+Data!E29+Data!F29+Data!G29+Data!H29+Data!I29+Data!J29+Data!K29+Data!L29+Data!M29+Data!N29+Data!O29+Data!P29+Data!Q29+Data!R29+Data!S29+Data!D30+Data!E30+Data!F30+Data!G30+Data!H30+Data!I30+Data!J30+Data!K30+Data!L30+Data!M30+Data!N30+Data!O30+Data!P30+Data!Q30+Data!R30+Data!S30+Data!D31+Data!E31+Data!F31+Data!G31+Data!H31+Data!I31+Data!J31+Data!K31+Data!L31+Data!M31+Data!N31+Data!O31+Data!P31+Data!Q31+Data!R31+Data!S31+Data!D32+Data!E32+Data!F32+Data!G32+Data!H32+Data!I32+Data!J32+Data!K32+Data!L32+Data!M32+Data!N32+Data!O32+Data!P32+Data!Q32+Data!R32+Data!S32+Data!D33+Data!E33+Data!F33+Data!G33+Data!H33+Data!I33+Data!J33+Data!K33+Data!L33+Data!M33+Data!N33+Data!O33+Data!P33+Data!Q33+Data!R33+Data!S33+Data!D34+Data!E34+Data!F34+Data!G34+Data!H34+Data!I34+Data!J34+Data!K34+Data!L34+Data!M34+Data!N34+Data!O34+Data!P34+Data!Q34+Data!R34+Data!S34+Data!D35+Data!E35+Data!F35+Data!G35+Data!H35+Data!I35+Data!J35+Data!K35+Data!L35+Data!M35+Data!N35+Data!O35+Data!P35+Data!Q35+Data!R35+Data!S35)/(Data!AP24+Data!AP25+Data!AP26+Data!AP27+Data!AP28+Data!AP29+Data!AP30+Data!AP31+Data!AP32+Data!AP33+Data!AP34+Data!AP35)</f>
        <v>0.180882427352976</v>
      </c>
      <c r="D35" s="18" t="n">
        <f aca="false">(Data!D24+Data!E24+Data!G24+Data!H24+Data!I24+Data!J24+Data!K24+Data!L24+Data!M24+Data!D25+Data!E25+Data!G25+Data!H25+Data!I25+Data!J25+Data!K25+Data!L25+Data!M25+Data!D26+Data!E26+Data!G26+Data!H26+Data!I26+Data!J26+Data!K26+Data!L26+Data!M26+Data!D27+Data!E27+Data!G27+Data!H27+Data!I27+Data!J27+Data!K27+Data!L27+Data!M27+Data!D28+Data!E28+Data!G28+Data!H28+Data!I28+Data!J28+Data!K28+Data!L28+Data!M28+Data!D29+Data!E29+Data!G29+Data!H29+Data!I29+Data!J29+Data!K29+Data!L29+Data!M29+Data!D30+Data!E30+Data!G30+Data!H30+Data!I30+Data!J30+Data!K30+Data!L30+Data!M30+Data!D31+Data!E31+Data!G31+Data!H31+Data!I31+Data!J31+Data!K31+Data!L31+Data!M31+Data!D32+Data!E32+Data!G32+Data!H32+Data!I32+Data!J32+Data!K32+Data!L32+Data!M32+Data!D33+Data!E33+Data!G33+Data!H33+Data!I33+Data!J33+Data!K33+Data!L33+Data!M33+Data!D34+Data!E34+Data!G34+Data!H34+Data!I34+Data!J34+Data!K34+Data!L34+Data!M34+Data!D35+Data!E35+Data!G35+Data!H35+Data!I35+Data!J35+Data!K35+Data!L35+Data!M35)/(Data!AP24+Data!AP25+Data!AP26+Data!AP27+Data!AP28+Data!AP29+Data!AP30+Data!AP31+Data!AP32+Data!AP33+Data!AP34+Data!AP35)</f>
        <v>0.0978616340285725</v>
      </c>
      <c r="E35" s="18" t="n">
        <f aca="false">(Data!D24+Data!D25+Data!D26+Data!D27+Data!D28+Data!D29+Data!D30+Data!D31+Data!D32+Data!D33+Data!D34+Data!D35)/(Data!AP24+Data!AP25+Data!AP26+Data!AP27+Data!AP28+Data!AP29+Data!AP30+Data!AP31+Data!AP32+Data!AP33+Data!AP34+Data!AP35)</f>
        <v>0.0336023791522083</v>
      </c>
      <c r="F35" s="18" t="n">
        <f aca="false">(Data!E24+Data!E25+Data!E26+Data!E27+Data!E28+Data!E29+Data!E30+Data!E31+Data!E32+Data!E33+Data!E34+Data!E35)/(Data!AP24+Data!AP25+Data!AP26+Data!AP27+Data!AP28+Data!AP29+Data!AP30+Data!AP31+Data!AP32+Data!AP33+Data!AP34+Data!AP35)</f>
        <v>0.0230489879446876</v>
      </c>
      <c r="G35" s="18" t="n">
        <f aca="false">(Data!K24+Data!K25+Data!K26+Data!K27+Data!K28+Data!K29+Data!K30+Data!K31+Data!K32+Data!K33+Data!K34+Data!K35)/(Data!AP24+Data!AP25+Data!AP26+Data!AP27+Data!AP28+Data!AP29+Data!AP30+Data!AP31+Data!AP32+Data!AP33+Data!AP34+Data!AP35)</f>
        <v>0.00492110262642118</v>
      </c>
      <c r="H35" s="18" t="n">
        <f aca="false">(Data!L24+Data!L25+Data!L26+Data!L27+Data!L28+Data!L29+Data!L30+Data!L31+Data!L32+Data!L33+Data!L34+Data!L35)/(Data!AP24+Data!AP25+Data!AP26+Data!AP27+Data!AP28+Data!AP29+Data!AP30+Data!AP31+Data!AP32+Data!AP33+Data!AP34+Data!AP35)</f>
        <v>0.00656317842554244</v>
      </c>
      <c r="I35" s="18" t="n">
        <f aca="false">(Data!G24+Data!G25+Data!G26+Data!G27+Data!G28+Data!G29+Data!G30+Data!G31+Data!G32+Data!G33+Data!G34+Data!G35)/(Data!AP24+Data!AP25+Data!AP26+Data!AP27+Data!AP28+Data!AP29+Data!AP30+Data!AP31+Data!AP32+Data!AP33+Data!AP34+Data!AP35)</f>
        <v>0.014201484200283</v>
      </c>
      <c r="J35" s="18" t="n">
        <f aca="false">(Data!H24+Data!I24+Data!J24+Data!M24+Data!H25+Data!I25+Data!J25+Data!M25+Data!H26+Data!I26+Data!J26+Data!M26+Data!H27+Data!I27+Data!J27+Data!M27+Data!H28+Data!I28+Data!J28+Data!M28+Data!H29+Data!I29+Data!J29+Data!M29+Data!H30+Data!I30+Data!J30+Data!M30+Data!H31+Data!I31+Data!J31+Data!M31+Data!H32+Data!I32+Data!J32+Data!M32+Data!H33+Data!I33+Data!J33+Data!M33+Data!H34+Data!I34+Data!J34+Data!M34+Data!H35+Data!I35+Data!J35+Data!M35)/(Data!AP24+Data!AP25+Data!AP26+Data!AP27+Data!AP28+Data!AP29+Data!AP30+Data!AP31+Data!AP32+Data!AP33+Data!AP34+Data!AP35)</f>
        <v>0.01552450167943</v>
      </c>
      <c r="K35" s="18" t="n">
        <f aca="false">(Data!F24+Data!F25+Data!F26+Data!F27+Data!F28+Data!F29+Data!F30+Data!F31+Data!F32+Data!F33+Data!F34+Data!F35)/(Data!AP24+Data!AP25+Data!AP26+Data!AP27+Data!AP28+Data!AP29+Data!AP30+Data!AP31+Data!AP32+Data!AP33+Data!AP34+Data!AP35)</f>
        <v>0.0664477800416383</v>
      </c>
      <c r="L35" s="18" t="n">
        <f aca="false">(Data!N24+Data!O24+Data!P24+Data!Q24+Data!R24+Data!S24+Data!N25+Data!O25+Data!P25+Data!Q25+Data!R25+Data!S25+Data!N26+Data!O26+Data!P26+Data!Q26+Data!R26+Data!S26+Data!N27+Data!O27+Data!P27+Data!Q27+Data!R27+Data!S27+Data!N28+Data!O28+Data!P28+Data!Q28+Data!R28+Data!S28+Data!N29+Data!O29+Data!P29+Data!Q29+Data!R29+Data!S29+Data!N30+Data!O30+Data!P30+Data!Q30+Data!R30+Data!S30+Data!N31+Data!O31+Data!P31+Data!Q31+Data!R31+Data!S31+Data!N32+Data!O32+Data!P32+Data!Q32+Data!R32+Data!S32+Data!N33+Data!O33+Data!P33+Data!Q33+Data!R33+Data!S33+Data!N34+Data!O34+Data!P34+Data!Q34+Data!R34+Data!S34+Data!N35+Data!O35+Data!P35+Data!Q35+Data!R35+Data!S35)/(Data!AP24+Data!AP25+Data!AP26+Data!AP27+Data!AP28+Data!AP29+Data!AP30+Data!AP31+Data!AP32+Data!AP33+Data!AP34+Data!AP35)</f>
        <v>0.016573013282765</v>
      </c>
      <c r="M35" s="17" t="n">
        <f aca="false">(Data!T24+Data!U24+Data!V24+Data!W24+Data!X24+Data!Y24+Data!Z24+Data!AA24+Data!AB24+Data!AC24+Data!AD24+Data!AE24+Data!AF24+Data!AG24+Data!AH24+Data!AI24+Data!AJ24+Data!AK24+Data!AL24+Data!T25+Data!U25+Data!V25+Data!W25+Data!X25+Data!Y25+Data!Z25+Data!AA25+Data!AB25+Data!AC25+Data!AD25+Data!AE25+Data!AF25+Data!AG25+Data!AH25+Data!AI25+Data!AJ25+Data!AK25+Data!AL25+Data!T26+Data!U26+Data!V26+Data!W26+Data!X26+Data!Y26+Data!Z26+Data!AA26+Data!AB26+Data!AC26+Data!AD26+Data!AE26+Data!AF26+Data!AG26+Data!AH26+Data!AI26+Data!AJ26+Data!AK26+Data!AL26+Data!T27+Data!U27+Data!V27+Data!W27+Data!X27+Data!Y27+Data!Z27+Data!AA27+Data!AB27+Data!AC27+Data!AD27+Data!AE27+Data!AF27+Data!AG27+Data!AH27+Data!AI27+Data!AJ27+Data!AK27+Data!AL27+Data!T28+Data!U28+Data!V28+Data!W28+Data!X28+Data!Y28+Data!Z28+Data!AA28+Data!AB28+Data!AC28+Data!AD28+Data!AE28+Data!AF28+Data!AG28+Data!AH28+Data!AI28+Data!AJ28+Data!AK28+Data!AL28+Data!T29+Data!U29+Data!V29+Data!W29+Data!X29+Data!Y29+Data!Z29+Data!AA29+Data!AB29+Data!AC29+Data!AD29+Data!AE29+Data!AF29+Data!AG29+Data!AH29+Data!AI29+Data!AJ29+Data!AK29+Data!AL29+Data!T30+Data!U30+Data!V30+Data!W30+Data!X30+Data!Y30+Data!Z30+Data!AA30+Data!AB30+Data!AC30+Data!AD30+Data!AE30+Data!AF30+Data!AG30+Data!AH30+Data!AI30+Data!AJ30+Data!AK30+Data!AL30+Data!T31+Data!U31+Data!V31+Data!W31+Data!X31+Data!Y31+Data!Z31+Data!AA31+Data!AB31+Data!AC31+Data!AD31+Data!AE31+Data!AF31+Data!AG31+Data!AH31+Data!AI31+Data!AJ31+Data!AK31+Data!AL31+Data!T32+Data!U32+Data!V32+Data!W32+Data!X32+Data!Y32+Data!Z32+Data!AA32+Data!AB32+Data!AC32+Data!AD32+Data!AE32+Data!AF32+Data!AG32+Data!AH32+Data!AI32+Data!AJ32+Data!AK32+Data!AL32+Data!T33+Data!U33+Data!V33+Data!W33+Data!X33+Data!Y33+Data!Z33+Data!AA33+Data!AB33+Data!AC33+Data!AD33+Data!AE33+Data!AF33+Data!AG33+Data!AH33+Data!AI33+Data!AJ33+Data!AK33+Data!AL33+Data!T34+Data!U34+Data!V34+Data!W34+Data!X34+Data!Y34+Data!Z34+Data!AA34+Data!AB34+Data!AC34+Data!AD34+Data!AE34+Data!AF34+Data!AG34+Data!AH34+Data!AI34+Data!AJ34+Data!AK34+Data!AL34+Data!T35+Data!U35+Data!V35+Data!W35+Data!X35+Data!Y35+Data!Z35+Data!AA35+Data!AB35+Data!AC35+Data!AD35+Data!AE35+Data!AF35+Data!AG35+Data!AH35+Data!AI35+Data!AJ35+Data!AK35+Data!AL35)/(Data!AP24+Data!AP25+Data!AP26+Data!AP27+Data!AP28+Data!AP29+Data!AP30+Data!AP31+Data!AP32+Data!AP33+Data!AP34+Data!AP35)</f>
        <v>0.211139818916397</v>
      </c>
      <c r="N35" s="18" t="n">
        <f aca="false">(Data!T24+Data!U24+Data!V24+Data!W24+Data!T25+Data!U25+Data!V25+Data!W25+Data!T26+Data!U26+Data!V26+Data!W26+Data!T27+Data!U27+Data!V27+Data!W27+Data!T28+Data!U28+Data!V28+Data!W28+Data!T29+Data!U29+Data!V29+Data!W29+Data!T30+Data!U30+Data!V30+Data!W30+Data!T31+Data!U31+Data!V31+Data!W31+Data!T32+Data!U32+Data!V32+Data!W32+Data!T33+Data!U33+Data!V33+Data!W33+Data!T34+Data!U34+Data!V34+Data!W34+Data!T35+Data!U35+Data!V35+Data!W35)/(Data!AP24+Data!AP25+Data!AP26+Data!AP27+Data!AP28+Data!AP29+Data!AP30+Data!AP31+Data!AP32+Data!AP33+Data!AP34+Data!AP35)</f>
        <v>0.115328423895245</v>
      </c>
      <c r="O35" s="18" t="n">
        <f aca="false">(Data!T24+Data!T25+Data!T26+Data!T27+Data!T28+Data!T29+Data!T30+Data!T31+Data!T32+Data!T33+Data!T34+Data!T35)/(Data!AP24+Data!AP25+Data!AP26+Data!AP27+Data!AP28+Data!AP29+Data!AP30+Data!AP31+Data!AP32+Data!AP33+Data!AP34+Data!AP35)</f>
        <v>0.0845488842988498</v>
      </c>
      <c r="P35" s="18" t="n">
        <f aca="false">(Data!U24+Data!U25+Data!U26+Data!U27+Data!U28+Data!U29+Data!U30+Data!U31+Data!U32+Data!U33+Data!U34+Data!U35)/(Data!AP24+Data!AP25+Data!AP26+Data!AP27+Data!AP28+Data!AP29+Data!AP30+Data!AP31+Data!AP32+Data!AP33+Data!AP34+Data!AP35)</f>
        <v>0.0128230034743218</v>
      </c>
      <c r="Q35" s="18" t="n">
        <f aca="false">(Data!V24+Data!V25+Data!V26+Data!V27+Data!V28+Data!V29+Data!V30+Data!V31+Data!V32+Data!V33+Data!V34+Data!V35)/(Data!AP24+Data!AP25+Data!AP26+Data!AP27+Data!AP28+Data!AP29+Data!AP30+Data!AP31+Data!AP32+Data!AP33+Data!AP34+Data!AP35)</f>
        <v>0.00857316318378424</v>
      </c>
      <c r="R35" s="18" t="n">
        <f aca="false">(Data!W24+Data!W25+Data!W26+Data!W27+Data!W28+Data!W29+Data!W30+Data!W31+Data!W32+Data!W33+Data!W34+Data!W35)/(Data!AP24+Data!AP25+Data!AP26+Data!AP27+Data!AP28+Data!AP29+Data!AP30+Data!AP31+Data!AP32+Data!AP33+Data!AP34+Data!AP35)</f>
        <v>0.00938337293828875</v>
      </c>
      <c r="S35" s="18" t="n">
        <f aca="false">(Data!X24+Data!X25+Data!X26+Data!X27+Data!X28+Data!X29+Data!X30+Data!X31+Data!X32+Data!X33+Data!X34+Data!X35)/(Data!AP24+Data!AP25+Data!AP26+Data!AP27+Data!AP28+Data!AP29+Data!AP30+Data!AP31+Data!AP32+Data!AP33+Data!AP34+Data!AP35)</f>
        <v>0.00384862032029019</v>
      </c>
      <c r="T35" s="18" t="n">
        <f aca="false">(Data!Y24+Data!Z24+Data!AA24+Data!Y25+Data!Z25+Data!AA25+Data!Y26+Data!Z26+Data!AA26+Data!Y27+Data!Z27+Data!AA27+Data!Y28+Data!Z28+Data!AA28+Data!Y29+Data!Z29+Data!AA29+Data!Y30+Data!Z30+Data!AA30+Data!Y31+Data!Z31+Data!AA31+Data!Y32+Data!Z32+Data!AA32+Data!Y33+Data!Z33+Data!AA33+Data!Y34+Data!Z34+Data!AA34+Data!Y35+Data!Z35+Data!AA35)/(Data!AP24+Data!AP25+Data!AP26+Data!AP27+Data!AP28+Data!AP29+Data!AP30+Data!AP31+Data!AP32+Data!AP33+Data!AP34+Data!AP35)</f>
        <v>0.0180930864704143</v>
      </c>
      <c r="U35" s="18" t="n">
        <f aca="false">(Data!Y24+Data!Y25+Data!Y26+Data!Y27+Data!Y28+Data!Y29+Data!Y30+Data!Y31+Data!Y32+Data!Y33+Data!Y34+Data!Y35)/(Data!AP24+Data!AP25+Data!AP26+Data!AP27+Data!AP28+Data!AP29+Data!AP30+Data!AP31+Data!AP32+Data!AP33+Data!AP34+Data!AP35)</f>
        <v>0.00993891463998481</v>
      </c>
      <c r="V35" s="18" t="n">
        <f aca="false">(Data!Z24+Data!Z25+Data!Z26+Data!Z27+Data!Z28+Data!Z29+Data!Z30+Data!Z31+Data!Z32+Data!Z33+Data!Z34+Data!Z35)/(Data!AP24+Data!AP25+Data!AP26+Data!AP27+Data!AP28+Data!AP29+Data!AP30+Data!AP31+Data!AP32+Data!AP33+Data!AP34+Data!AP35)</f>
        <v>0.00758755401088975</v>
      </c>
      <c r="W35" s="18" t="n">
        <f aca="false">(Data!AB24+Data!AB25+Data!AB26+Data!AB27+Data!AB28+Data!AB29+Data!AB30+Data!AB31+Data!AB32+Data!AB33+Data!AB34+Data!AB35)/(Data!AP24+Data!AP25+Data!AP26+Data!AP27+Data!AP28+Data!AP29+Data!AP30+Data!AP31+Data!AP32+Data!AP33+Data!AP34+Data!AP35)</f>
        <v>0.0294696646749876</v>
      </c>
      <c r="X35" s="18" t="n">
        <f aca="false">(Data!AC24+Data!AC25+Data!AC26+Data!AC27+Data!AC28+Data!AC29+Data!AC30+Data!AC31+Data!AC32+Data!AC33+Data!AC34+Data!AC35)/(Data!AP24+Data!AP25+Data!AP26+Data!AP27+Data!AP28+Data!AP29+Data!AP30+Data!AP31+Data!AP32+Data!AP33+Data!AP34+Data!AP35)</f>
        <v>0.00943883618510292</v>
      </c>
      <c r="Y35" s="18" t="n">
        <f aca="false">(Data!AD24+Data!AE24+Data!AF24+Data!AG24+Data!AH24+Data!AD25+Data!AE25+Data!AF25+Data!AG25+Data!AH25+Data!AD26+Data!AE26+Data!AF26+Data!AG26+Data!AH26+Data!AD27+Data!AE27+Data!AF27+Data!AG27+Data!AH27+Data!AD28+Data!AE28+Data!AF28+Data!AG28+Data!AH28+Data!AD29+Data!AE29+Data!AF29+Data!AG29+Data!AH29+Data!AD30+Data!AE30+Data!AF30+Data!AG30+Data!AH30+Data!AD31+Data!AE31+Data!AF31+Data!AG31+Data!AH31+Data!AD32+Data!AE32+Data!AF32+Data!AG32+Data!AH32+Data!AD33+Data!AE33+Data!AF33+Data!AG33+Data!AH33+Data!AD34+Data!AE34+Data!AF34+Data!AG34+Data!AH34+Data!AD35+Data!AE35+Data!AF35+Data!AG35+Data!AH35)/(Data!AP24+Data!AP25+Data!AP26+Data!AP27+Data!AP28+Data!AP29+Data!AP30+Data!AP31+Data!AP32+Data!AP33+Data!AP34+Data!AP35)</f>
        <v>0.00671063957653571</v>
      </c>
      <c r="Z35" s="18" t="n">
        <f aca="false">(Data!AI24+Data!AI25+Data!AI26+Data!AI27+Data!AI28+Data!AI29+Data!AI30+Data!AI31+Data!AI32+Data!AI33+Data!AI34+Data!AI35)/(Data!AP24+Data!AP25+Data!AP26+Data!AP27+Data!AP28+Data!AP29+Data!AP30+Data!AP31+Data!AP32+Data!AP33+Data!AP34+Data!AP35)</f>
        <v>0.00764566230077107</v>
      </c>
      <c r="AA35" s="18" t="n">
        <f aca="false">(Data!AJ24+Data!AJ25+Data!AJ26+Data!AJ27+Data!AJ28+Data!AJ29+Data!AJ30+Data!AJ31+Data!AJ32+Data!AJ33+Data!AJ34+Data!AJ35)/(Data!AP24+Data!AP25+Data!AP26+Data!AP27+Data!AP28+Data!AP29+Data!AP30+Data!AP31+Data!AP32+Data!AP33+Data!AP34+Data!AP35)</f>
        <v>0.000796240620806155</v>
      </c>
      <c r="AB35" s="18" t="n">
        <f aca="false">(Data!AK24+Data!AK25+Data!AK26+Data!AK27+Data!AK28+Data!AK29+Data!AK30+Data!AK31+Data!AK32+Data!AK33+Data!AK34+Data!AK35)/(Data!AP24+Data!AP25+Data!AP26+Data!AP27+Data!AP28+Data!AP29+Data!AP30+Data!AP31+Data!AP32+Data!AP33+Data!AP34+Data!AP35)</f>
        <v>0.00416941444977723</v>
      </c>
      <c r="AC35" s="18" t="n">
        <f aca="false">(Data!AL24+Data!AL25+Data!AL26+Data!AL27+Data!AL28+Data!AL29+Data!AL30+Data!AL31+Data!AL32+Data!AL33+Data!AL34+Data!AL35)/(Data!AP24+Data!AP25+Data!AP26+Data!AP27+Data!AP28+Data!AP29+Data!AP30+Data!AP31+Data!AP32+Data!AP33+Data!AP34+Data!AP35)</f>
        <v>0.0156392304224674</v>
      </c>
      <c r="AD35" s="17" t="n">
        <f aca="false">(Data!AM24+Data!AM25+Data!AM26+Data!AM27+Data!AM28+Data!AM29+Data!AM30+Data!AM31+Data!AM32+Data!AM33+Data!AM34+Data!AM35)/(Data!AP24+Data!AP25+Data!AP26+Data!AP27+Data!AP28+Data!AP29+Data!AP30+Data!AP31+Data!AP32+Data!AP33+Data!AP34+Data!AP35)</f>
        <v>-0.0302573915634214</v>
      </c>
      <c r="AE35" s="18" t="n">
        <f aca="false">(Data!AN24+Data!AN25+Data!AN26+Data!AN27+Data!AN28+Data!AN29+Data!AN30+Data!AN31+Data!AN32+Data!AN33+Data!AN34+Data!AN35)/(Data!AP24+Data!AP25+Data!AP26+Data!AP27+Data!AP28+Data!AP29+Data!AP30+Data!AP31+Data!AP32+Data!AP33+Data!AP34+Data!AP35)</f>
        <v>0.021624962883414</v>
      </c>
      <c r="AF35" s="17" t="n">
        <f aca="false">(Data!AO24+Data!AO25+Data!AO26+Data!AO27+Data!AO28+Data!AO29+Data!AO30+Data!AO31+Data!AO32+Data!AO33+Data!AO34+Data!AO35)/(Data!AP24+Data!AP25+Data!AP26+Data!AP27+Data!AP28+Data!AP29+Data!AP30+Data!AP31+Data!AP32+Data!AP33+Data!AP34+Data!AP35)</f>
        <v>-0.0518822717892396</v>
      </c>
    </row>
    <row r="36" customFormat="false" ht="15" hidden="false" customHeight="false" outlineLevel="0" collapsed="false">
      <c r="B36" s="14" t="str">
        <f aca="false">Data!B36</f>
        <v>2018-06</v>
      </c>
      <c r="C36" s="17" t="n">
        <f aca="false">(Data!D25+Data!E25+Data!F25+Data!G25+Data!H25+Data!I25+Data!J25+Data!K25+Data!L25+Data!M25+Data!N25+Data!O25+Data!P25+Data!Q25+Data!R25+Data!S25+Data!D26+Data!E26+Data!F26+Data!G26+Data!H26+Data!I26+Data!J26+Data!K26+Data!L26+Data!M26+Data!N26+Data!O26+Data!P26+Data!Q26+Data!R26+Data!S26+Data!D27+Data!E27+Data!F27+Data!G27+Data!H27+Data!I27+Data!J27+Data!K27+Data!L27+Data!M27+Data!N27+Data!O27+Data!P27+Data!Q27+Data!R27+Data!S27+Data!D28+Data!E28+Data!F28+Data!G28+Data!H28+Data!I28+Data!J28+Data!K28+Data!L28+Data!M28+Data!N28+Data!O28+Data!P28+Data!Q28+Data!R28+Data!S28+Data!D29+Data!E29+Data!F29+Data!G29+Data!H29+Data!I29+Data!J29+Data!K29+Data!L29+Data!M29+Data!N29+Data!O29+Data!P29+Data!Q29+Data!R29+Data!S29+Data!D30+Data!E30+Data!F30+Data!G30+Data!H30+Data!I30+Data!J30+Data!K30+Data!L30+Data!M30+Data!N30+Data!O30+Data!P30+Data!Q30+Data!R30+Data!S30+Data!D31+Data!E31+Data!F31+Data!G31+Data!H31+Data!I31+Data!J31+Data!K31+Data!L31+Data!M31+Data!N31+Data!O31+Data!P31+Data!Q31+Data!R31+Data!S31+Data!D32+Data!E32+Data!F32+Data!G32+Data!H32+Data!I32+Data!J32+Data!K32+Data!L32+Data!M32+Data!N32+Data!O32+Data!P32+Data!Q32+Data!R32+Data!S32+Data!D33+Data!E33+Data!F33+Data!G33+Data!H33+Data!I33+Data!J33+Data!K33+Data!L33+Data!M33+Data!N33+Data!O33+Data!P33+Data!Q33+Data!R33+Data!S33+Data!D34+Data!E34+Data!F34+Data!G34+Data!H34+Data!I34+Data!J34+Data!K34+Data!L34+Data!M34+Data!N34+Data!O34+Data!P34+Data!Q34+Data!R34+Data!S34+Data!D35+Data!E35+Data!F35+Data!G35+Data!H35+Data!I35+Data!J35+Data!K35+Data!L35+Data!M35+Data!N35+Data!O35+Data!P35+Data!Q35+Data!R35+Data!S35+Data!D36+Data!E36+Data!F36+Data!G36+Data!H36+Data!I36+Data!J36+Data!K36+Data!L36+Data!M36+Data!N36+Data!O36+Data!P36+Data!Q36+Data!R36+Data!S36)/(Data!AP25+Data!AP26+Data!AP27+Data!AP28+Data!AP29+Data!AP30+Data!AP31+Data!AP32+Data!AP33+Data!AP34+Data!AP35+Data!AP36)</f>
        <v>0.180753851241693</v>
      </c>
      <c r="D36" s="18" t="n">
        <f aca="false">(Data!D25+Data!E25+Data!G25+Data!H25+Data!I25+Data!J25+Data!K25+Data!L25+Data!M25+Data!D26+Data!E26+Data!G26+Data!H26+Data!I26+Data!J26+Data!K26+Data!L26+Data!M26+Data!D27+Data!E27+Data!G27+Data!H27+Data!I27+Data!J27+Data!K27+Data!L27+Data!M27+Data!D28+Data!E28+Data!G28+Data!H28+Data!I28+Data!J28+Data!K28+Data!L28+Data!M28+Data!D29+Data!E29+Data!G29+Data!H29+Data!I29+Data!J29+Data!K29+Data!L29+Data!M29+Data!D30+Data!E30+Data!G30+Data!H30+Data!I30+Data!J30+Data!K30+Data!L30+Data!M30+Data!D31+Data!E31+Data!G31+Data!H31+Data!I31+Data!J31+Data!K31+Data!L31+Data!M31+Data!D32+Data!E32+Data!G32+Data!H32+Data!I32+Data!J32+Data!K32+Data!L32+Data!M32+Data!D33+Data!E33+Data!G33+Data!H33+Data!I33+Data!J33+Data!K33+Data!L33+Data!M33+Data!D34+Data!E34+Data!G34+Data!H34+Data!I34+Data!J34+Data!K34+Data!L34+Data!M34+Data!D35+Data!E35+Data!G35+Data!H35+Data!I35+Data!J35+Data!K35+Data!L35+Data!M35+Data!D36+Data!E36+Data!G36+Data!H36+Data!I36+Data!J36+Data!K36+Data!L36+Data!M36)/(Data!AP25+Data!AP26+Data!AP27+Data!AP28+Data!AP29+Data!AP30+Data!AP31+Data!AP32+Data!AP33+Data!AP34+Data!AP35+Data!AP36)</f>
        <v>0.0980723249757736</v>
      </c>
      <c r="E36" s="18" t="n">
        <f aca="false">(Data!D25+Data!D26+Data!D27+Data!D28+Data!D29+Data!D30+Data!D31+Data!D32+Data!D33+Data!D34+Data!D35+Data!D36)/(Data!AP25+Data!AP26+Data!AP27+Data!AP28+Data!AP29+Data!AP30+Data!AP31+Data!AP32+Data!AP33+Data!AP34+Data!AP35+Data!AP36)</f>
        <v>0.0337952501297217</v>
      </c>
      <c r="F36" s="18" t="n">
        <f aca="false">(Data!E25+Data!E26+Data!E27+Data!E28+Data!E29+Data!E30+Data!E31+Data!E32+Data!E33+Data!E34+Data!E35+Data!E36)/(Data!AP25+Data!AP26+Data!AP27+Data!AP28+Data!AP29+Data!AP30+Data!AP31+Data!AP32+Data!AP33+Data!AP34+Data!AP35+Data!AP36)</f>
        <v>0.0229422235171436</v>
      </c>
      <c r="G36" s="18" t="n">
        <f aca="false">(Data!K25+Data!K26+Data!K27+Data!K28+Data!K29+Data!K30+Data!K31+Data!K32+Data!K33+Data!K34+Data!K35+Data!K36)/(Data!AP25+Data!AP26+Data!AP27+Data!AP28+Data!AP29+Data!AP30+Data!AP31+Data!AP32+Data!AP33+Data!AP34+Data!AP35+Data!AP36)</f>
        <v>0.00501996618280353</v>
      </c>
      <c r="H36" s="18" t="n">
        <f aca="false">(Data!L25+Data!L26+Data!L27+Data!L28+Data!L29+Data!L30+Data!L31+Data!L32+Data!L33+Data!L34+Data!L35+Data!L36)/(Data!AP25+Data!AP26+Data!AP27+Data!AP28+Data!AP29+Data!AP30+Data!AP31+Data!AP32+Data!AP33+Data!AP34+Data!AP35+Data!AP36)</f>
        <v>0.00663618102093168</v>
      </c>
      <c r="I36" s="18" t="n">
        <f aca="false">(Data!G25+Data!G26+Data!G27+Data!G28+Data!G29+Data!G30+Data!G31+Data!G32+Data!G33+Data!G34+Data!G35+Data!G36)/(Data!AP25+Data!AP26+Data!AP27+Data!AP28+Data!AP29+Data!AP30+Data!AP31+Data!AP32+Data!AP33+Data!AP34+Data!AP35+Data!AP36)</f>
        <v>0.0144337299152451</v>
      </c>
      <c r="J36" s="18" t="n">
        <f aca="false">(Data!H25+Data!I25+Data!J25+Data!M25+Data!H26+Data!I26+Data!J26+Data!M26+Data!H27+Data!I27+Data!J27+Data!M27+Data!H28+Data!I28+Data!J28+Data!M28+Data!H29+Data!I29+Data!J29+Data!M29+Data!H30+Data!I30+Data!J30+Data!M30+Data!H31+Data!I31+Data!J31+Data!M31+Data!H32+Data!I32+Data!J32+Data!M32+Data!H33+Data!I33+Data!J33+Data!M33+Data!H34+Data!I34+Data!J34+Data!M34+Data!H35+Data!I35+Data!J35+Data!M35+Data!H36+Data!I36+Data!J36+Data!M36)/(Data!AP25+Data!AP26+Data!AP27+Data!AP28+Data!AP29+Data!AP30+Data!AP31+Data!AP32+Data!AP33+Data!AP34+Data!AP35+Data!AP36)</f>
        <v>0.0152449742099281</v>
      </c>
      <c r="K36" s="18" t="n">
        <f aca="false">(Data!F25+Data!F26+Data!F27+Data!F28+Data!F29+Data!F30+Data!F31+Data!F32+Data!F33+Data!F34+Data!F35+Data!F36)/(Data!AP25+Data!AP26+Data!AP27+Data!AP28+Data!AP29+Data!AP30+Data!AP31+Data!AP32+Data!AP33+Data!AP34+Data!AP35+Data!AP36)</f>
        <v>0.0660196494687277</v>
      </c>
      <c r="L36" s="18" t="n">
        <f aca="false">(Data!N25+Data!O25+Data!P25+Data!Q25+Data!R25+Data!S25+Data!N26+Data!O26+Data!P26+Data!Q26+Data!R26+Data!S26+Data!N27+Data!O27+Data!P27+Data!Q27+Data!R27+Data!S27+Data!N28+Data!O28+Data!P28+Data!Q28+Data!R28+Data!S28+Data!N29+Data!O29+Data!P29+Data!Q29+Data!R29+Data!S29+Data!N30+Data!O30+Data!P30+Data!Q30+Data!R30+Data!S30+Data!N31+Data!O31+Data!P31+Data!Q31+Data!R31+Data!S31+Data!N32+Data!O32+Data!P32+Data!Q32+Data!R32+Data!S32+Data!N33+Data!O33+Data!P33+Data!Q33+Data!R33+Data!S33+Data!N34+Data!O34+Data!P34+Data!Q34+Data!R34+Data!S34+Data!N35+Data!O35+Data!P35+Data!Q35+Data!R35+Data!S35+Data!N36+Data!O36+Data!P36+Data!Q36+Data!R36+Data!S36)/(Data!AP25+Data!AP26+Data!AP27+Data!AP28+Data!AP29+Data!AP30+Data!AP31+Data!AP32+Data!AP33+Data!AP34+Data!AP35+Data!AP36)</f>
        <v>0.0166618767971912</v>
      </c>
      <c r="M36" s="17" t="n">
        <f aca="false">(Data!T25+Data!U25+Data!V25+Data!W25+Data!X25+Data!Y25+Data!Z25+Data!AA25+Data!AB25+Data!AC25+Data!AD25+Data!AE25+Data!AF25+Data!AG25+Data!AH25+Data!AI25+Data!AJ25+Data!AK25+Data!AL25+Data!T26+Data!U26+Data!V26+Data!W26+Data!X26+Data!Y26+Data!Z26+Data!AA26+Data!AB26+Data!AC26+Data!AD26+Data!AE26+Data!AF26+Data!AG26+Data!AH26+Data!AI26+Data!AJ26+Data!AK26+Data!AL26+Data!T27+Data!U27+Data!V27+Data!W27+Data!X27+Data!Y27+Data!Z27+Data!AA27+Data!AB27+Data!AC27+Data!AD27+Data!AE27+Data!AF27+Data!AG27+Data!AH27+Data!AI27+Data!AJ27+Data!AK27+Data!AL27+Data!T28+Data!U28+Data!V28+Data!W28+Data!X28+Data!Y28+Data!Z28+Data!AA28+Data!AB28+Data!AC28+Data!AD28+Data!AE28+Data!AF28+Data!AG28+Data!AH28+Data!AI28+Data!AJ28+Data!AK28+Data!AL28+Data!T29+Data!U29+Data!V29+Data!W29+Data!X29+Data!Y29+Data!Z29+Data!AA29+Data!AB29+Data!AC29+Data!AD29+Data!AE29+Data!AF29+Data!AG29+Data!AH29+Data!AI29+Data!AJ29+Data!AK29+Data!AL29+Data!T30+Data!U30+Data!V30+Data!W30+Data!X30+Data!Y30+Data!Z30+Data!AA30+Data!AB30+Data!AC30+Data!AD30+Data!AE30+Data!AF30+Data!AG30+Data!AH30+Data!AI30+Data!AJ30+Data!AK30+Data!AL30+Data!T31+Data!U31+Data!V31+Data!W31+Data!X31+Data!Y31+Data!Z31+Data!AA31+Data!AB31+Data!AC31+Data!AD31+Data!AE31+Data!AF31+Data!AG31+Data!AH31+Data!AI31+Data!AJ31+Data!AK31+Data!AL31+Data!T32+Data!U32+Data!V32+Data!W32+Data!X32+Data!Y32+Data!Z32+Data!AA32+Data!AB32+Data!AC32+Data!AD32+Data!AE32+Data!AF32+Data!AG32+Data!AH32+Data!AI32+Data!AJ32+Data!AK32+Data!AL32+Data!T33+Data!U33+Data!V33+Data!W33+Data!X33+Data!Y33+Data!Z33+Data!AA33+Data!AB33+Data!AC33+Data!AD33+Data!AE33+Data!AF33+Data!AG33+Data!AH33+Data!AI33+Data!AJ33+Data!AK33+Data!AL33+Data!T34+Data!U34+Data!V34+Data!W34+Data!X34+Data!Y34+Data!Z34+Data!AA34+Data!AB34+Data!AC34+Data!AD34+Data!AE34+Data!AF34+Data!AG34+Data!AH34+Data!AI34+Data!AJ34+Data!AK34+Data!AL34+Data!T35+Data!U35+Data!V35+Data!W35+Data!X35+Data!Y35+Data!Z35+Data!AA35+Data!AB35+Data!AC35+Data!AD35+Data!AE35+Data!AF35+Data!AG35+Data!AH35+Data!AI35+Data!AJ35+Data!AK35+Data!AL35+Data!T36+Data!U36+Data!V36+Data!W36+Data!X36+Data!Y36+Data!Z36+Data!AA36+Data!AB36+Data!AC36+Data!AD36+Data!AE36+Data!AF36+Data!AG36+Data!AH36+Data!AI36+Data!AJ36+Data!AK36+Data!AL36)/(Data!AP25+Data!AP26+Data!AP27+Data!AP28+Data!AP29+Data!AP30+Data!AP31+Data!AP32+Data!AP33+Data!AP34+Data!AP35+Data!AP36)</f>
        <v>0.210166644833629</v>
      </c>
      <c r="N36" s="18" t="n">
        <f aca="false">(Data!T25+Data!U25+Data!V25+Data!W25+Data!T26+Data!U26+Data!V26+Data!W26+Data!T27+Data!U27+Data!V27+Data!W27+Data!T28+Data!U28+Data!V28+Data!W28+Data!T29+Data!U29+Data!V29+Data!W29+Data!T30+Data!U30+Data!V30+Data!W30+Data!T31+Data!U31+Data!V31+Data!W31+Data!T32+Data!U32+Data!V32+Data!W32+Data!T33+Data!U33+Data!V33+Data!W33+Data!T34+Data!U34+Data!V34+Data!W34+Data!T35+Data!U35+Data!V35+Data!W35+Data!T36+Data!U36+Data!V36+Data!W36)/(Data!AP25+Data!AP26+Data!AP27+Data!AP28+Data!AP29+Data!AP30+Data!AP31+Data!AP32+Data!AP33+Data!AP34+Data!AP35+Data!AP36)</f>
        <v>0.115345007758868</v>
      </c>
      <c r="O36" s="18" t="n">
        <f aca="false">(Data!T25+Data!T26+Data!T27+Data!T28+Data!T29+Data!T30+Data!T31+Data!T32+Data!T33+Data!T34+Data!T35+Data!T36)/(Data!AP25+Data!AP26+Data!AP27+Data!AP28+Data!AP29+Data!AP30+Data!AP31+Data!AP32+Data!AP33+Data!AP34+Data!AP35+Data!AP36)</f>
        <v>0.0848082475028526</v>
      </c>
      <c r="P36" s="18" t="n">
        <f aca="false">(Data!U25+Data!U26+Data!U27+Data!U28+Data!U29+Data!U30+Data!U31+Data!U32+Data!U33+Data!U34+Data!U35+Data!U36)/(Data!AP25+Data!AP26+Data!AP27+Data!AP28+Data!AP29+Data!AP30+Data!AP31+Data!AP32+Data!AP33+Data!AP34+Data!AP35+Data!AP36)</f>
        <v>0.0126403218210009</v>
      </c>
      <c r="Q36" s="18" t="n">
        <f aca="false">(Data!V25+Data!V26+Data!V27+Data!V28+Data!V29+Data!V30+Data!V31+Data!V32+Data!V33+Data!V34+Data!V35+Data!V36)/(Data!AP25+Data!AP26+Data!AP27+Data!AP28+Data!AP29+Data!AP30+Data!AP31+Data!AP32+Data!AP33+Data!AP34+Data!AP35+Data!AP36)</f>
        <v>0.0085197541810434</v>
      </c>
      <c r="R36" s="18" t="n">
        <f aca="false">(Data!W25+Data!W26+Data!W27+Data!W28+Data!W29+Data!W30+Data!W31+Data!W32+Data!W33+Data!W34+Data!W35+Data!W36)/(Data!AP25+Data!AP26+Data!AP27+Data!AP28+Data!AP29+Data!AP30+Data!AP31+Data!AP32+Data!AP33+Data!AP34+Data!AP35+Data!AP36)</f>
        <v>0.0093766842539715</v>
      </c>
      <c r="S36" s="18" t="n">
        <f aca="false">(Data!X25+Data!X26+Data!X27+Data!X28+Data!X29+Data!X30+Data!X31+Data!X32+Data!X33+Data!X34+Data!X35+Data!X36)/(Data!AP25+Data!AP26+Data!AP27+Data!AP28+Data!AP29+Data!AP30+Data!AP31+Data!AP32+Data!AP33+Data!AP34+Data!AP35+Data!AP36)</f>
        <v>0.00374414256568455</v>
      </c>
      <c r="T36" s="18" t="n">
        <f aca="false">(Data!Y25+Data!Z25+Data!AA25+Data!Y26+Data!Z26+Data!AA26+Data!Y27+Data!Z27+Data!AA27+Data!Y28+Data!Z28+Data!AA28+Data!Y29+Data!Z29+Data!AA29+Data!Y30+Data!Z30+Data!AA30+Data!Y31+Data!Z31+Data!AA31+Data!Y32+Data!Z32+Data!AA32+Data!Y33+Data!Z33+Data!AA33+Data!Y34+Data!Z34+Data!AA34+Data!Y35+Data!Z35+Data!AA35+Data!Y36+Data!Z36+Data!AA36)/(Data!AP25+Data!AP26+Data!AP27+Data!AP28+Data!AP29+Data!AP30+Data!AP31+Data!AP32+Data!AP33+Data!AP34+Data!AP35+Data!AP36)</f>
        <v>0.0187591596629318</v>
      </c>
      <c r="U36" s="18" t="n">
        <f aca="false">(Data!Y25+Data!Y26+Data!Y27+Data!Y28+Data!Y29+Data!Y30+Data!Y31+Data!Y32+Data!Y33+Data!Y34+Data!Y35+Data!Y36)/(Data!AP25+Data!AP26+Data!AP27+Data!AP28+Data!AP29+Data!AP30+Data!AP31+Data!AP32+Data!AP33+Data!AP34+Data!AP35+Data!AP36)</f>
        <v>0.010667227056687</v>
      </c>
      <c r="V36" s="18" t="n">
        <f aca="false">(Data!Z25+Data!Z26+Data!Z27+Data!Z28+Data!Z29+Data!Z30+Data!Z31+Data!Z32+Data!Z33+Data!Z34+Data!Z35+Data!Z36)/(Data!AP25+Data!AP26+Data!AP27+Data!AP28+Data!AP29+Data!AP30+Data!AP31+Data!AP32+Data!AP33+Data!AP34+Data!AP35+Data!AP36)</f>
        <v>0.00767151084059852</v>
      </c>
      <c r="W36" s="18" t="n">
        <f aca="false">(Data!AB25+Data!AB26+Data!AB27+Data!AB28+Data!AB29+Data!AB30+Data!AB31+Data!AB32+Data!AB33+Data!AB34+Data!AB35+Data!AB36)/(Data!AP25+Data!AP26+Data!AP27+Data!AP28+Data!AP29+Data!AP30+Data!AP31+Data!AP32+Data!AP33+Data!AP34+Data!AP35+Data!AP36)</f>
        <v>0.029074815352173</v>
      </c>
      <c r="X36" s="18" t="n">
        <f aca="false">(Data!AC25+Data!AC26+Data!AC27+Data!AC28+Data!AC29+Data!AC30+Data!AC31+Data!AC32+Data!AC33+Data!AC34+Data!AC35+Data!AC36)/(Data!AP25+Data!AP26+Data!AP27+Data!AP28+Data!AP29+Data!AP30+Data!AP31+Data!AP32+Data!AP33+Data!AP34+Data!AP35+Data!AP36)</f>
        <v>0.00917174171353403</v>
      </c>
      <c r="Y36" s="18" t="n">
        <f aca="false">(Data!AD25+Data!AE25+Data!AF25+Data!AG25+Data!AH25+Data!AD26+Data!AE26+Data!AF26+Data!AG26+Data!AH26+Data!AD27+Data!AE27+Data!AF27+Data!AG27+Data!AH27+Data!AD28+Data!AE28+Data!AF28+Data!AG28+Data!AH28+Data!AD29+Data!AE29+Data!AF29+Data!AG29+Data!AH29+Data!AD30+Data!AE30+Data!AF30+Data!AG30+Data!AH30+Data!AD31+Data!AE31+Data!AF31+Data!AG31+Data!AH31+Data!AD32+Data!AE32+Data!AF32+Data!AG32+Data!AH32+Data!AD33+Data!AE33+Data!AF33+Data!AG33+Data!AH33+Data!AD34+Data!AE34+Data!AF34+Data!AG34+Data!AH34+Data!AD35+Data!AE35+Data!AF35+Data!AG35+Data!AH35+Data!AD36+Data!AE36+Data!AF36+Data!AG36+Data!AH36)/(Data!AP25+Data!AP26+Data!AP27+Data!AP28+Data!AP29+Data!AP30+Data!AP31+Data!AP32+Data!AP33+Data!AP34+Data!AP35+Data!AP36)</f>
        <v>0.00651030383263315</v>
      </c>
      <c r="Z36" s="18" t="n">
        <f aca="false">(Data!AI25+Data!AI26+Data!AI27+Data!AI28+Data!AI29+Data!AI30+Data!AI31+Data!AI32+Data!AI33+Data!AI34+Data!AI35+Data!AI36)/(Data!AP25+Data!AP26+Data!AP27+Data!AP28+Data!AP29+Data!AP30+Data!AP31+Data!AP32+Data!AP33+Data!AP34+Data!AP35+Data!AP36)</f>
        <v>0.00758279356347822</v>
      </c>
      <c r="AA36" s="18" t="n">
        <f aca="false">(Data!AJ25+Data!AJ26+Data!AJ27+Data!AJ28+Data!AJ29+Data!AJ30+Data!AJ31+Data!AJ32+Data!AJ33+Data!AJ34+Data!AJ35+Data!AJ36)/(Data!AP25+Data!AP26+Data!AP27+Data!AP28+Data!AP29+Data!AP30+Data!AP31+Data!AP32+Data!AP33+Data!AP34+Data!AP35+Data!AP36)</f>
        <v>0.000748506782304198</v>
      </c>
      <c r="AB36" s="18" t="n">
        <f aca="false">(Data!AK25+Data!AK26+Data!AK27+Data!AK28+Data!AK29+Data!AK30+Data!AK31+Data!AK32+Data!AK33+Data!AK34+Data!AK35+Data!AK36)/(Data!AP25+Data!AP26+Data!AP27+Data!AP28+Data!AP29+Data!AP30+Data!AP31+Data!AP32+Data!AP33+Data!AP34+Data!AP35+Data!AP36)</f>
        <v>0.00418266169067085</v>
      </c>
      <c r="AC36" s="18" t="n">
        <f aca="false">(Data!AL25+Data!AL26+Data!AL27+Data!AL28+Data!AL29+Data!AL30+Data!AL31+Data!AL32+Data!AL33+Data!AL34+Data!AL35+Data!AL36)/(Data!AP25+Data!AP26+Data!AP27+Data!AP28+Data!AP29+Data!AP30+Data!AP31+Data!AP32+Data!AP33+Data!AP34+Data!AP35+Data!AP36)</f>
        <v>0.0150475119113512</v>
      </c>
      <c r="AD36" s="17" t="n">
        <f aca="false">(Data!AM25+Data!AM26+Data!AM27+Data!AM28+Data!AM29+Data!AM30+Data!AM31+Data!AM32+Data!AM33+Data!AM34+Data!AM35+Data!AM36)/(Data!AP25+Data!AP26+Data!AP27+Data!AP28+Data!AP29+Data!AP30+Data!AP31+Data!AP32+Data!AP33+Data!AP34+Data!AP35+Data!AP36)</f>
        <v>-0.0294127935919368</v>
      </c>
      <c r="AE36" s="18" t="n">
        <f aca="false">(Data!AN25+Data!AN26+Data!AN27+Data!AN28+Data!AN29+Data!AN30+Data!AN31+Data!AN32+Data!AN33+Data!AN34+Data!AN35+Data!AN36)/(Data!AP25+Data!AP26+Data!AP27+Data!AP28+Data!AP29+Data!AP30+Data!AP31+Data!AP32+Data!AP33+Data!AP34+Data!AP35+Data!AP36)</f>
        <v>0.0208328757451763</v>
      </c>
      <c r="AF36" s="17" t="n">
        <f aca="false">(Data!AO25+Data!AO26+Data!AO27+Data!AO28+Data!AO29+Data!AO30+Data!AO31+Data!AO32+Data!AO33+Data!AO34+Data!AO35+Data!AO36)/(Data!AP25+Data!AP26+Data!AP27+Data!AP28+Data!AP29+Data!AP30+Data!AP31+Data!AP32+Data!AP33+Data!AP34+Data!AP35+Data!AP36)</f>
        <v>-0.0502455889044049</v>
      </c>
    </row>
    <row r="37" customFormat="false" ht="15" hidden="false" customHeight="false" outlineLevel="0" collapsed="false">
      <c r="B37" s="14" t="str">
        <f aca="false">Data!B37</f>
        <v>2018-07</v>
      </c>
      <c r="C37" s="17" t="n">
        <f aca="false">(Data!D26+Data!E26+Data!F26+Data!G26+Data!H26+Data!I26+Data!J26+Data!K26+Data!L26+Data!M26+Data!N26+Data!O26+Data!P26+Data!Q26+Data!R26+Data!S26+Data!D27+Data!E27+Data!F27+Data!G27+Data!H27+Data!I27+Data!J27+Data!K27+Data!L27+Data!M27+Data!N27+Data!O27+Data!P27+Data!Q27+Data!R27+Data!S27+Data!D28+Data!E28+Data!F28+Data!G28+Data!H28+Data!I28+Data!J28+Data!K28+Data!L28+Data!M28+Data!N28+Data!O28+Data!P28+Data!Q28+Data!R28+Data!S28+Data!D29+Data!E29+Data!F29+Data!G29+Data!H29+Data!I29+Data!J29+Data!K29+Data!L29+Data!M29+Data!N29+Data!O29+Data!P29+Data!Q29+Data!R29+Data!S29+Data!D30+Data!E30+Data!F30+Data!G30+Data!H30+Data!I30+Data!J30+Data!K30+Data!L30+Data!M30+Data!N30+Data!O30+Data!P30+Data!Q30+Data!R30+Data!S30+Data!D31+Data!E31+Data!F31+Data!G31+Data!H31+Data!I31+Data!J31+Data!K31+Data!L31+Data!M31+Data!N31+Data!O31+Data!P31+Data!Q31+Data!R31+Data!S31+Data!D32+Data!E32+Data!F32+Data!G32+Data!H32+Data!I32+Data!J32+Data!K32+Data!L32+Data!M32+Data!N32+Data!O32+Data!P32+Data!Q32+Data!R32+Data!S32+Data!D33+Data!E33+Data!F33+Data!G33+Data!H33+Data!I33+Data!J33+Data!K33+Data!L33+Data!M33+Data!N33+Data!O33+Data!P33+Data!Q33+Data!R33+Data!S33+Data!D34+Data!E34+Data!F34+Data!G34+Data!H34+Data!I34+Data!J34+Data!K34+Data!L34+Data!M34+Data!N34+Data!O34+Data!P34+Data!Q34+Data!R34+Data!S34+Data!D35+Data!E35+Data!F35+Data!G35+Data!H35+Data!I35+Data!J35+Data!K35+Data!L35+Data!M35+Data!N35+Data!O35+Data!P35+Data!Q35+Data!R35+Data!S35+Data!D36+Data!E36+Data!F36+Data!G36+Data!H36+Data!I36+Data!J36+Data!K36+Data!L36+Data!M36+Data!N36+Data!O36+Data!P36+Data!Q36+Data!R36+Data!S36+Data!D37+Data!E37+Data!F37+Data!G37+Data!H37+Data!I37+Data!J37+Data!K37+Data!L37+Data!M37+Data!N37+Data!O37+Data!P37+Data!Q37+Data!R37+Data!S37)/(Data!AP26+Data!AP27+Data!AP28+Data!AP29+Data!AP30+Data!AP31+Data!AP32+Data!AP33+Data!AP34+Data!AP35+Data!AP36+Data!AP37)</f>
        <v>0.17975894909346</v>
      </c>
      <c r="D37" s="18" t="n">
        <f aca="false">(Data!D26+Data!E26+Data!G26+Data!H26+Data!I26+Data!J26+Data!K26+Data!L26+Data!M26+Data!D27+Data!E27+Data!G27+Data!H27+Data!I27+Data!J27+Data!K27+Data!L27+Data!M27+Data!D28+Data!E28+Data!G28+Data!H28+Data!I28+Data!J28+Data!K28+Data!L28+Data!M28+Data!D29+Data!E29+Data!G29+Data!H29+Data!I29+Data!J29+Data!K29+Data!L29+Data!M29+Data!D30+Data!E30+Data!G30+Data!H30+Data!I30+Data!J30+Data!K30+Data!L30+Data!M30+Data!D31+Data!E31+Data!G31+Data!H31+Data!I31+Data!J31+Data!K31+Data!L31+Data!M31+Data!D32+Data!E32+Data!G32+Data!H32+Data!I32+Data!J32+Data!K32+Data!L32+Data!M32+Data!D33+Data!E33+Data!G33+Data!H33+Data!I33+Data!J33+Data!K33+Data!L33+Data!M33+Data!D34+Data!E34+Data!G34+Data!H34+Data!I34+Data!J34+Data!K34+Data!L34+Data!M34+Data!D35+Data!E35+Data!G35+Data!H35+Data!I35+Data!J35+Data!K35+Data!L35+Data!M35+Data!D36+Data!E36+Data!G36+Data!H36+Data!I36+Data!J36+Data!K36+Data!L36+Data!M36+Data!D37+Data!E37+Data!G37+Data!H37+Data!I37+Data!J37+Data!K37+Data!L37+Data!M37)/(Data!AP26+Data!AP27+Data!AP28+Data!AP29+Data!AP30+Data!AP31+Data!AP32+Data!AP33+Data!AP34+Data!AP35+Data!AP36+Data!AP37)</f>
        <v>0.0968482954168078</v>
      </c>
      <c r="E37" s="18" t="n">
        <f aca="false">(Data!D26+Data!D27+Data!D28+Data!D29+Data!D30+Data!D31+Data!D32+Data!D33+Data!D34+Data!D35+Data!D36+Data!D37)/(Data!AP26+Data!AP27+Data!AP28+Data!AP29+Data!AP30+Data!AP31+Data!AP32+Data!AP33+Data!AP34+Data!AP35+Data!AP36+Data!AP37)</f>
        <v>0.0338061681919326</v>
      </c>
      <c r="F37" s="18" t="n">
        <f aca="false">(Data!E26+Data!E27+Data!E28+Data!E29+Data!E30+Data!E31+Data!E32+Data!E33+Data!E34+Data!E35+Data!E36+Data!E37)/(Data!AP26+Data!AP27+Data!AP28+Data!AP29+Data!AP30+Data!AP31+Data!AP32+Data!AP33+Data!AP34+Data!AP35+Data!AP36+Data!AP37)</f>
        <v>0.0221696113313723</v>
      </c>
      <c r="G37" s="18" t="n">
        <f aca="false">(Data!K26+Data!K27+Data!K28+Data!K29+Data!K30+Data!K31+Data!K32+Data!K33+Data!K34+Data!K35+Data!K36+Data!K37)/(Data!AP26+Data!AP27+Data!AP28+Data!AP29+Data!AP30+Data!AP31+Data!AP32+Data!AP33+Data!AP34+Data!AP35+Data!AP36+Data!AP37)</f>
        <v>0.004656769117865</v>
      </c>
      <c r="H37" s="18" t="n">
        <f aca="false">(Data!L26+Data!L27+Data!L28+Data!L29+Data!L30+Data!L31+Data!L32+Data!L33+Data!L34+Data!L35+Data!L36+Data!L37)/(Data!AP26+Data!AP27+Data!AP28+Data!AP29+Data!AP30+Data!AP31+Data!AP32+Data!AP33+Data!AP34+Data!AP35+Data!AP36+Data!AP37)</f>
        <v>0.00678019066105417</v>
      </c>
      <c r="I37" s="18" t="n">
        <f aca="false">(Data!G26+Data!G27+Data!G28+Data!G29+Data!G30+Data!G31+Data!G32+Data!G33+Data!G34+Data!G35+Data!G36+Data!G37)/(Data!AP26+Data!AP27+Data!AP28+Data!AP29+Data!AP30+Data!AP31+Data!AP32+Data!AP33+Data!AP34+Data!AP35+Data!AP36+Data!AP37)</f>
        <v>0.0145376080071448</v>
      </c>
      <c r="J37" s="18" t="n">
        <f aca="false">(Data!H26+Data!I26+Data!J26+Data!M26+Data!H27+Data!I27+Data!J27+Data!M27+Data!H28+Data!I28+Data!J28+Data!M28+Data!H29+Data!I29+Data!J29+Data!M29+Data!H30+Data!I30+Data!J30+Data!M30+Data!H31+Data!I31+Data!J31+Data!M31+Data!H32+Data!I32+Data!J32+Data!M32+Data!H33+Data!I33+Data!J33+Data!M33+Data!H34+Data!I34+Data!J34+Data!M34+Data!H35+Data!I35+Data!J35+Data!M35+Data!H36+Data!I36+Data!J36+Data!M36+Data!H37+Data!I37+Data!J37+Data!M37)/(Data!AP26+Data!AP27+Data!AP28+Data!AP29+Data!AP30+Data!AP31+Data!AP32+Data!AP33+Data!AP34+Data!AP35+Data!AP36+Data!AP37)</f>
        <v>0.0148979481074389</v>
      </c>
      <c r="K37" s="18" t="n">
        <f aca="false">(Data!F26+Data!F27+Data!F28+Data!F29+Data!F30+Data!F31+Data!F32+Data!F33+Data!F34+Data!F35+Data!F36+Data!F37)/(Data!AP26+Data!AP27+Data!AP28+Data!AP29+Data!AP30+Data!AP31+Data!AP32+Data!AP33+Data!AP34+Data!AP35+Data!AP36+Data!AP37)</f>
        <v>0.0654460657026628</v>
      </c>
      <c r="L37" s="18" t="n">
        <f aca="false">(Data!N26+Data!O26+Data!P26+Data!Q26+Data!R26+Data!S26+Data!N27+Data!O27+Data!P27+Data!Q27+Data!R27+Data!S27+Data!N28+Data!O28+Data!P28+Data!Q28+Data!R28+Data!S28+Data!N29+Data!O29+Data!P29+Data!Q29+Data!R29+Data!S29+Data!N30+Data!O30+Data!P30+Data!Q30+Data!R30+Data!S30+Data!N31+Data!O31+Data!P31+Data!Q31+Data!R31+Data!S31+Data!N32+Data!O32+Data!P32+Data!Q32+Data!R32+Data!S32+Data!N33+Data!O33+Data!P33+Data!Q33+Data!R33+Data!S33+Data!N34+Data!O34+Data!P34+Data!Q34+Data!R34+Data!S34+Data!N35+Data!O35+Data!P35+Data!Q35+Data!R35+Data!S35+Data!N36+Data!O36+Data!P36+Data!Q36+Data!R36+Data!S36+Data!N37+Data!O37+Data!P37+Data!Q37+Data!R37+Data!S37)/(Data!AP26+Data!AP27+Data!AP28+Data!AP29+Data!AP30+Data!AP31+Data!AP32+Data!AP33+Data!AP34+Data!AP35+Data!AP36+Data!AP37)</f>
        <v>0.0174645879739897</v>
      </c>
      <c r="M37" s="17" t="n">
        <f aca="false">(Data!T26+Data!U26+Data!V26+Data!W26+Data!X26+Data!Y26+Data!Z26+Data!AA26+Data!AB26+Data!AC26+Data!AD26+Data!AE26+Data!AF26+Data!AG26+Data!AH26+Data!AI26+Data!AJ26+Data!AK26+Data!AL26+Data!T27+Data!U27+Data!V27+Data!W27+Data!X27+Data!Y27+Data!Z27+Data!AA27+Data!AB27+Data!AC27+Data!AD27+Data!AE27+Data!AF27+Data!AG27+Data!AH27+Data!AI27+Data!AJ27+Data!AK27+Data!AL27+Data!T28+Data!U28+Data!V28+Data!W28+Data!X28+Data!Y28+Data!Z28+Data!AA28+Data!AB28+Data!AC28+Data!AD28+Data!AE28+Data!AF28+Data!AG28+Data!AH28+Data!AI28+Data!AJ28+Data!AK28+Data!AL28+Data!T29+Data!U29+Data!V29+Data!W29+Data!X29+Data!Y29+Data!Z29+Data!AA29+Data!AB29+Data!AC29+Data!AD29+Data!AE29+Data!AF29+Data!AG29+Data!AH29+Data!AI29+Data!AJ29+Data!AK29+Data!AL29+Data!T30+Data!U30+Data!V30+Data!W30+Data!X30+Data!Y30+Data!Z30+Data!AA30+Data!AB30+Data!AC30+Data!AD30+Data!AE30+Data!AF30+Data!AG30+Data!AH30+Data!AI30+Data!AJ30+Data!AK30+Data!AL30+Data!T31+Data!U31+Data!V31+Data!W31+Data!X31+Data!Y31+Data!Z31+Data!AA31+Data!AB31+Data!AC31+Data!AD31+Data!AE31+Data!AF31+Data!AG31+Data!AH31+Data!AI31+Data!AJ31+Data!AK31+Data!AL31+Data!T32+Data!U32+Data!V32+Data!W32+Data!X32+Data!Y32+Data!Z32+Data!AA32+Data!AB32+Data!AC32+Data!AD32+Data!AE32+Data!AF32+Data!AG32+Data!AH32+Data!AI32+Data!AJ32+Data!AK32+Data!AL32+Data!T33+Data!U33+Data!V33+Data!W33+Data!X33+Data!Y33+Data!Z33+Data!AA33+Data!AB33+Data!AC33+Data!AD33+Data!AE33+Data!AF33+Data!AG33+Data!AH33+Data!AI33+Data!AJ33+Data!AK33+Data!AL33+Data!T34+Data!U34+Data!V34+Data!W34+Data!X34+Data!Y34+Data!Z34+Data!AA34+Data!AB34+Data!AC34+Data!AD34+Data!AE34+Data!AF34+Data!AG34+Data!AH34+Data!AI34+Data!AJ34+Data!AK34+Data!AL34+Data!T35+Data!U35+Data!V35+Data!W35+Data!X35+Data!Y35+Data!Z35+Data!AA35+Data!AB35+Data!AC35+Data!AD35+Data!AE35+Data!AF35+Data!AG35+Data!AH35+Data!AI35+Data!AJ35+Data!AK35+Data!AL35+Data!T36+Data!U36+Data!V36+Data!W36+Data!X36+Data!Y36+Data!Z36+Data!AA36+Data!AB36+Data!AC36+Data!AD36+Data!AE36+Data!AF36+Data!AG36+Data!AH36+Data!AI36+Data!AJ36+Data!AK36+Data!AL36+Data!T37+Data!U37+Data!V37+Data!W37+Data!X37+Data!Y37+Data!Z37+Data!AA37+Data!AB37+Data!AC37+Data!AD37+Data!AE37+Data!AF37+Data!AG37+Data!AH37+Data!AI37+Data!AJ37+Data!AK37+Data!AL37)/(Data!AP26+Data!AP27+Data!AP28+Data!AP29+Data!AP30+Data!AP31+Data!AP32+Data!AP33+Data!AP34+Data!AP35+Data!AP36+Data!AP37)</f>
        <v>0.2077927822179</v>
      </c>
      <c r="N37" s="18" t="n">
        <f aca="false">(Data!T26+Data!U26+Data!V26+Data!W26+Data!T27+Data!U27+Data!V27+Data!W27+Data!T28+Data!U28+Data!V28+Data!W28+Data!T29+Data!U29+Data!V29+Data!W29+Data!T30+Data!U30+Data!V30+Data!W30+Data!T31+Data!U31+Data!V31+Data!W31+Data!T32+Data!U32+Data!V32+Data!W32+Data!T33+Data!U33+Data!V33+Data!W33+Data!T34+Data!U34+Data!V34+Data!W34+Data!T35+Data!U35+Data!V35+Data!W35+Data!T36+Data!U36+Data!V36+Data!W36+Data!T37+Data!U37+Data!V37+Data!W37)/(Data!AP26+Data!AP27+Data!AP28+Data!AP29+Data!AP30+Data!AP31+Data!AP32+Data!AP33+Data!AP34+Data!AP35+Data!AP36+Data!AP37)</f>
        <v>0.11449031172279</v>
      </c>
      <c r="O37" s="18" t="n">
        <f aca="false">(Data!T26+Data!T27+Data!T28+Data!T29+Data!T30+Data!T31+Data!T32+Data!T33+Data!T34+Data!T35+Data!T36+Data!T37)/(Data!AP26+Data!AP27+Data!AP28+Data!AP29+Data!AP30+Data!AP31+Data!AP32+Data!AP33+Data!AP34+Data!AP35+Data!AP36+Data!AP37)</f>
        <v>0.0840546551602816</v>
      </c>
      <c r="P37" s="18" t="n">
        <f aca="false">(Data!U26+Data!U27+Data!U28+Data!U29+Data!U30+Data!U31+Data!U32+Data!U33+Data!U34+Data!U35+Data!U36+Data!U37)/(Data!AP26+Data!AP27+Data!AP28+Data!AP29+Data!AP30+Data!AP31+Data!AP32+Data!AP33+Data!AP34+Data!AP35+Data!AP36+Data!AP37)</f>
        <v>0.0126473891766894</v>
      </c>
      <c r="Q37" s="18" t="n">
        <f aca="false">(Data!V26+Data!V27+Data!V28+Data!V29+Data!V30+Data!V31+Data!V32+Data!V33+Data!V34+Data!V35+Data!V36+Data!V37)/(Data!AP26+Data!AP27+Data!AP28+Data!AP29+Data!AP30+Data!AP31+Data!AP32+Data!AP33+Data!AP34+Data!AP35+Data!AP36+Data!AP37)</f>
        <v>0.00857625105660665</v>
      </c>
      <c r="R37" s="18" t="n">
        <f aca="false">(Data!W26+Data!W27+Data!W28+Data!W29+Data!W30+Data!W31+Data!W32+Data!W33+Data!W34+Data!W35+Data!W36+Data!W37)/(Data!AP26+Data!AP27+Data!AP28+Data!AP29+Data!AP30+Data!AP31+Data!AP32+Data!AP33+Data!AP34+Data!AP35+Data!AP36+Data!AP37)</f>
        <v>0.00921201632921237</v>
      </c>
      <c r="S37" s="18" t="n">
        <f aca="false">(Data!X26+Data!X27+Data!X28+Data!X29+Data!X30+Data!X31+Data!X32+Data!X33+Data!X34+Data!X35+Data!X36+Data!X37)/(Data!AP26+Data!AP27+Data!AP28+Data!AP29+Data!AP30+Data!AP31+Data!AP32+Data!AP33+Data!AP34+Data!AP35+Data!AP36+Data!AP37)</f>
        <v>0.00372748333312847</v>
      </c>
      <c r="T37" s="18" t="n">
        <f aca="false">(Data!Y26+Data!Z26+Data!AA26+Data!Y27+Data!Z27+Data!AA27+Data!Y28+Data!Z28+Data!AA28+Data!Y29+Data!Z29+Data!AA29+Data!Y30+Data!Z30+Data!AA30+Data!Y31+Data!Z31+Data!AA31+Data!Y32+Data!Z32+Data!AA32+Data!Y33+Data!Z33+Data!AA33+Data!Y34+Data!Z34+Data!AA34+Data!Y35+Data!Z35+Data!AA35+Data!Y36+Data!Z36+Data!AA36+Data!Y37+Data!Z37+Data!AA37)/(Data!AP26+Data!AP27+Data!AP28+Data!AP29+Data!AP30+Data!AP31+Data!AP32+Data!AP33+Data!AP34+Data!AP35+Data!AP36+Data!AP37)</f>
        <v>0.0185526584072688</v>
      </c>
      <c r="U37" s="18" t="n">
        <f aca="false">(Data!Y26+Data!Y27+Data!Y28+Data!Y29+Data!Y30+Data!Y31+Data!Y32+Data!Y33+Data!Y34+Data!Y35+Data!Y36+Data!Y37)/(Data!AP26+Data!AP27+Data!AP28+Data!AP29+Data!AP30+Data!AP31+Data!AP32+Data!AP33+Data!AP34+Data!AP35+Data!AP36+Data!AP37)</f>
        <v>0.0107233297107282</v>
      </c>
      <c r="V37" s="18" t="n">
        <f aca="false">(Data!Z26+Data!Z27+Data!Z28+Data!Z29+Data!Z30+Data!Z31+Data!Z32+Data!Z33+Data!Z34+Data!Z35+Data!Z36+Data!Z37)/(Data!AP26+Data!AP27+Data!AP28+Data!AP29+Data!AP30+Data!AP31+Data!AP32+Data!AP33+Data!AP34+Data!AP35+Data!AP36+Data!AP37)</f>
        <v>0.0074873972752834</v>
      </c>
      <c r="W37" s="18" t="n">
        <f aca="false">(Data!AB26+Data!AB27+Data!AB28+Data!AB29+Data!AB30+Data!AB31+Data!AB32+Data!AB33+Data!AB34+Data!AB35+Data!AB36+Data!AB37)/(Data!AP26+Data!AP27+Data!AP28+Data!AP29+Data!AP30+Data!AP31+Data!AP32+Data!AP33+Data!AP34+Data!AP35+Data!AP36+Data!AP37)</f>
        <v>0.0288148311244251</v>
      </c>
      <c r="X37" s="18" t="n">
        <f aca="false">(Data!AC26+Data!AC27+Data!AC28+Data!AC29+Data!AC30+Data!AC31+Data!AC32+Data!AC33+Data!AC34+Data!AC35+Data!AC36+Data!AC37)/(Data!AP26+Data!AP27+Data!AP28+Data!AP29+Data!AP30+Data!AP31+Data!AP32+Data!AP33+Data!AP34+Data!AP35+Data!AP36+Data!AP37)</f>
        <v>0.00900928585539478</v>
      </c>
      <c r="Y37" s="18" t="n">
        <f aca="false">(Data!AD26+Data!AE26+Data!AF26+Data!AG26+Data!AH26+Data!AD27+Data!AE27+Data!AF27+Data!AG27+Data!AH27+Data!AD28+Data!AE28+Data!AF28+Data!AG28+Data!AH28+Data!AD29+Data!AE29+Data!AF29+Data!AG29+Data!AH29+Data!AD30+Data!AE30+Data!AF30+Data!AG30+Data!AH30+Data!AD31+Data!AE31+Data!AF31+Data!AG31+Data!AH31+Data!AD32+Data!AE32+Data!AF32+Data!AG32+Data!AH32+Data!AD33+Data!AE33+Data!AF33+Data!AG33+Data!AH33+Data!AD34+Data!AE34+Data!AF34+Data!AG34+Data!AH34+Data!AD35+Data!AE35+Data!AF35+Data!AG35+Data!AH35+Data!AD36+Data!AE36+Data!AF36+Data!AG36+Data!AH36+Data!AD37+Data!AE37+Data!AF37+Data!AG37+Data!AH37)/(Data!AP26+Data!AP27+Data!AP28+Data!AP29+Data!AP30+Data!AP31+Data!AP32+Data!AP33+Data!AP34+Data!AP35+Data!AP36+Data!AP37)</f>
        <v>0.00634276911321898</v>
      </c>
      <c r="Z37" s="18" t="n">
        <f aca="false">(Data!AI26+Data!AI27+Data!AI28+Data!AI29+Data!AI30+Data!AI31+Data!AI32+Data!AI33+Data!AI34+Data!AI35+Data!AI36+Data!AI37)/(Data!AP26+Data!AP27+Data!AP28+Data!AP29+Data!AP30+Data!AP31+Data!AP32+Data!AP33+Data!AP34+Data!AP35+Data!AP36+Data!AP37)</f>
        <v>0.00763529338601277</v>
      </c>
      <c r="AA37" s="18" t="n">
        <f aca="false">(Data!AJ26+Data!AJ27+Data!AJ28+Data!AJ29+Data!AJ30+Data!AJ31+Data!AJ32+Data!AJ33+Data!AJ34+Data!AJ35+Data!AJ36+Data!AJ37)/(Data!AP26+Data!AP27+Data!AP28+Data!AP29+Data!AP30+Data!AP31+Data!AP32+Data!AP33+Data!AP34+Data!AP35+Data!AP36+Data!AP37)</f>
        <v>0.000728905355051286</v>
      </c>
      <c r="AB37" s="18" t="n">
        <f aca="false">(Data!AK26+Data!AK27+Data!AK28+Data!AK29+Data!AK30+Data!AK31+Data!AK32+Data!AK33+Data!AK34+Data!AK35+Data!AK36+Data!AK37)/(Data!AP26+Data!AP27+Data!AP28+Data!AP29+Data!AP30+Data!AP31+Data!AP32+Data!AP33+Data!AP34+Data!AP35+Data!AP36+Data!AP37)</f>
        <v>0.0041485329068416</v>
      </c>
      <c r="AC37" s="18" t="n">
        <f aca="false">(Data!AL26+Data!AL27+Data!AL28+Data!AL29+Data!AL30+Data!AL31+Data!AL32+Data!AL33+Data!AL34+Data!AL35+Data!AL36+Data!AL37)/(Data!AP26+Data!AP27+Data!AP28+Data!AP29+Data!AP30+Data!AP31+Data!AP32+Data!AP33+Data!AP34+Data!AP35+Data!AP36+Data!AP37)</f>
        <v>0.0143427110137684</v>
      </c>
      <c r="AD37" s="17" t="n">
        <f aca="false">(Data!AM26+Data!AM27+Data!AM28+Data!AM29+Data!AM30+Data!AM31+Data!AM32+Data!AM33+Data!AM34+Data!AM35+Data!AM36+Data!AM37)/(Data!AP26+Data!AP27+Data!AP28+Data!AP29+Data!AP30+Data!AP31+Data!AP32+Data!AP33+Data!AP34+Data!AP35+Data!AP36+Data!AP37)</f>
        <v>-0.02803383312444</v>
      </c>
      <c r="AE37" s="18" t="n">
        <f aca="false">(Data!AN26+Data!AN27+Data!AN28+Data!AN29+Data!AN30+Data!AN31+Data!AN32+Data!AN33+Data!AN34+Data!AN35+Data!AN36+Data!AN37)/(Data!AP26+Data!AP27+Data!AP28+Data!AP29+Data!AP30+Data!AP31+Data!AP32+Data!AP33+Data!AP34+Data!AP35+Data!AP36+Data!AP37)</f>
        <v>0.0232246244771897</v>
      </c>
      <c r="AF37" s="17" t="n">
        <f aca="false">(Data!AO26+Data!AO27+Data!AO28+Data!AO29+Data!AO30+Data!AO31+Data!AO32+Data!AO33+Data!AO34+Data!AO35+Data!AO36+Data!AO37)/(Data!AP26+Data!AP27+Data!AP28+Data!AP29+Data!AP30+Data!AP31+Data!AP32+Data!AP33+Data!AP34+Data!AP35+Data!AP36+Data!AP37)</f>
        <v>-0.0512583792668253</v>
      </c>
    </row>
    <row r="38" customFormat="false" ht="15" hidden="false" customHeight="false" outlineLevel="0" collapsed="false">
      <c r="B38" s="14" t="str">
        <f aca="false">Data!B38</f>
        <v>2018-08</v>
      </c>
      <c r="C38" s="17" t="n">
        <f aca="false">(Data!D27+Data!E27+Data!F27+Data!G27+Data!H27+Data!I27+Data!J27+Data!K27+Data!L27+Data!M27+Data!N27+Data!O27+Data!P27+Data!Q27+Data!R27+Data!S27+Data!D28+Data!E28+Data!F28+Data!G28+Data!H28+Data!I28+Data!J28+Data!K28+Data!L28+Data!M28+Data!N28+Data!O28+Data!P28+Data!Q28+Data!R28+Data!S28+Data!D29+Data!E29+Data!F29+Data!G29+Data!H29+Data!I29+Data!J29+Data!K29+Data!L29+Data!M29+Data!N29+Data!O29+Data!P29+Data!Q29+Data!R29+Data!S29+Data!D30+Data!E30+Data!F30+Data!G30+Data!H30+Data!I30+Data!J30+Data!K30+Data!L30+Data!M30+Data!N30+Data!O30+Data!P30+Data!Q30+Data!R30+Data!S30+Data!D31+Data!E31+Data!F31+Data!G31+Data!H31+Data!I31+Data!J31+Data!K31+Data!L31+Data!M31+Data!N31+Data!O31+Data!P31+Data!Q31+Data!R31+Data!S31+Data!D32+Data!E32+Data!F32+Data!G32+Data!H32+Data!I32+Data!J32+Data!K32+Data!L32+Data!M32+Data!N32+Data!O32+Data!P32+Data!Q32+Data!R32+Data!S32+Data!D33+Data!E33+Data!F33+Data!G33+Data!H33+Data!I33+Data!J33+Data!K33+Data!L33+Data!M33+Data!N33+Data!O33+Data!P33+Data!Q33+Data!R33+Data!S33+Data!D34+Data!E34+Data!F34+Data!G34+Data!H34+Data!I34+Data!J34+Data!K34+Data!L34+Data!M34+Data!N34+Data!O34+Data!P34+Data!Q34+Data!R34+Data!S34+Data!D35+Data!E35+Data!F35+Data!G35+Data!H35+Data!I35+Data!J35+Data!K35+Data!L35+Data!M35+Data!N35+Data!O35+Data!P35+Data!Q35+Data!R35+Data!S35+Data!D36+Data!E36+Data!F36+Data!G36+Data!H36+Data!I36+Data!J36+Data!K36+Data!L36+Data!M36+Data!N36+Data!O36+Data!P36+Data!Q36+Data!R36+Data!S36+Data!D37+Data!E37+Data!F37+Data!G37+Data!H37+Data!I37+Data!J37+Data!K37+Data!L37+Data!M37+Data!N37+Data!O37+Data!P37+Data!Q37+Data!R37+Data!S37+Data!D38+Data!E38+Data!F38+Data!G38+Data!H38+Data!I38+Data!J38+Data!K38+Data!L38+Data!M38+Data!N38+Data!O38+Data!P38+Data!Q38+Data!R38+Data!S38)/(Data!AP27+Data!AP28+Data!AP29+Data!AP30+Data!AP31+Data!AP32+Data!AP33+Data!AP34+Data!AP35+Data!AP36+Data!AP37+Data!AP38)</f>
        <v>0.179234970537385</v>
      </c>
      <c r="D38" s="18" t="n">
        <f aca="false">(Data!D27+Data!E27+Data!G27+Data!H27+Data!I27+Data!J27+Data!K27+Data!L27+Data!M27+Data!D28+Data!E28+Data!G28+Data!H28+Data!I28+Data!J28+Data!K28+Data!L28+Data!M28+Data!D29+Data!E29+Data!G29+Data!H29+Data!I29+Data!J29+Data!K29+Data!L29+Data!M29+Data!D30+Data!E30+Data!G30+Data!H30+Data!I30+Data!J30+Data!K30+Data!L30+Data!M30+Data!D31+Data!E31+Data!G31+Data!H31+Data!I31+Data!J31+Data!K31+Data!L31+Data!M31+Data!D32+Data!E32+Data!G32+Data!H32+Data!I32+Data!J32+Data!K32+Data!L32+Data!M32+Data!D33+Data!E33+Data!G33+Data!H33+Data!I33+Data!J33+Data!K33+Data!L33+Data!M33+Data!D34+Data!E34+Data!G34+Data!H34+Data!I34+Data!J34+Data!K34+Data!L34+Data!M34+Data!D35+Data!E35+Data!G35+Data!H35+Data!I35+Data!J35+Data!K35+Data!L35+Data!M35+Data!D36+Data!E36+Data!G36+Data!H36+Data!I36+Data!J36+Data!K36+Data!L36+Data!M36+Data!D37+Data!E37+Data!G37+Data!H37+Data!I37+Data!J37+Data!K37+Data!L37+Data!M37+Data!D38+Data!E38+Data!G38+Data!H38+Data!I38+Data!J38+Data!K38+Data!L38+Data!M38)/(Data!AP27+Data!AP28+Data!AP29+Data!AP30+Data!AP31+Data!AP32+Data!AP33+Data!AP34+Data!AP35+Data!AP36+Data!AP37+Data!AP38)</f>
        <v>0.0963821386494444</v>
      </c>
      <c r="E38" s="18" t="n">
        <f aca="false">(Data!D27+Data!D28+Data!D29+Data!D30+Data!D31+Data!D32+Data!D33+Data!D34+Data!D35+Data!D36+Data!D37+Data!D38)/(Data!AP27+Data!AP28+Data!AP29+Data!AP30+Data!AP31+Data!AP32+Data!AP33+Data!AP34+Data!AP35+Data!AP36+Data!AP37+Data!AP38)</f>
        <v>0.0338691972392468</v>
      </c>
      <c r="F38" s="18" t="n">
        <f aca="false">(Data!E27+Data!E28+Data!E29+Data!E30+Data!E31+Data!E32+Data!E33+Data!E34+Data!E35+Data!E36+Data!E37+Data!E38)/(Data!AP27+Data!AP28+Data!AP29+Data!AP30+Data!AP31+Data!AP32+Data!AP33+Data!AP34+Data!AP35+Data!AP36+Data!AP37+Data!AP38)</f>
        <v>0.0218109582493528</v>
      </c>
      <c r="G38" s="18" t="n">
        <f aca="false">(Data!K27+Data!K28+Data!K29+Data!K30+Data!K31+Data!K32+Data!K33+Data!K34+Data!K35+Data!K36+Data!K37+Data!K38)/(Data!AP27+Data!AP28+Data!AP29+Data!AP30+Data!AP31+Data!AP32+Data!AP33+Data!AP34+Data!AP35+Data!AP36+Data!AP37+Data!AP38)</f>
        <v>0.00436162705770678</v>
      </c>
      <c r="H38" s="18" t="n">
        <f aca="false">(Data!L27+Data!L28+Data!L29+Data!L30+Data!L31+Data!L32+Data!L33+Data!L34+Data!L35+Data!L36+Data!L37+Data!L38)/(Data!AP27+Data!AP28+Data!AP29+Data!AP30+Data!AP31+Data!AP32+Data!AP33+Data!AP34+Data!AP35+Data!AP36+Data!AP37+Data!AP38)</f>
        <v>0.00686505923041962</v>
      </c>
      <c r="I38" s="18" t="n">
        <f aca="false">(Data!G27+Data!G28+Data!G29+Data!G30+Data!G31+Data!G32+Data!G33+Data!G34+Data!G35+Data!G36+Data!G37+Data!G38)/(Data!AP27+Data!AP28+Data!AP29+Data!AP30+Data!AP31+Data!AP32+Data!AP33+Data!AP34+Data!AP35+Data!AP36+Data!AP37+Data!AP38)</f>
        <v>0.0147942220970951</v>
      </c>
      <c r="J38" s="18" t="n">
        <f aca="false">(Data!H27+Data!I27+Data!J27+Data!M27+Data!H28+Data!I28+Data!J28+Data!M28+Data!H29+Data!I29+Data!J29+Data!M29+Data!H30+Data!I30+Data!J30+Data!M30+Data!H31+Data!I31+Data!J31+Data!M31+Data!H32+Data!I32+Data!J32+Data!M32+Data!H33+Data!I33+Data!J33+Data!M33+Data!H34+Data!I34+Data!J34+Data!M34+Data!H35+Data!I35+Data!J35+Data!M35+Data!H36+Data!I36+Data!J36+Data!M36+Data!H37+Data!I37+Data!J37+Data!M37+Data!H38+Data!I38+Data!J38+Data!M38)/(Data!AP27+Data!AP28+Data!AP29+Data!AP30+Data!AP31+Data!AP32+Data!AP33+Data!AP34+Data!AP35+Data!AP36+Data!AP37+Data!AP38)</f>
        <v>0.0146810747756233</v>
      </c>
      <c r="K38" s="18" t="n">
        <f aca="false">(Data!F27+Data!F28+Data!F29+Data!F30+Data!F31+Data!F32+Data!F33+Data!F34+Data!F35+Data!F36+Data!F37+Data!F38)/(Data!AP27+Data!AP28+Data!AP29+Data!AP30+Data!AP31+Data!AP32+Data!AP33+Data!AP34+Data!AP35+Data!AP36+Data!AP37+Data!AP38)</f>
        <v>0.0647591789634354</v>
      </c>
      <c r="L38" s="18" t="n">
        <f aca="false">(Data!N27+Data!O27+Data!P27+Data!Q27+Data!R27+Data!S27+Data!N28+Data!O28+Data!P28+Data!Q28+Data!R28+Data!S28+Data!N29+Data!O29+Data!P29+Data!Q29+Data!R29+Data!S29+Data!N30+Data!O30+Data!P30+Data!Q30+Data!R30+Data!S30+Data!N31+Data!O31+Data!P31+Data!Q31+Data!R31+Data!S31+Data!N32+Data!O32+Data!P32+Data!Q32+Data!R32+Data!S32+Data!N33+Data!O33+Data!P33+Data!Q33+Data!R33+Data!S33+Data!N34+Data!O34+Data!P34+Data!Q34+Data!R34+Data!S34+Data!N35+Data!O35+Data!P35+Data!Q35+Data!R35+Data!S35+Data!N36+Data!O36+Data!P36+Data!Q36+Data!R36+Data!S36+Data!N37+Data!O37+Data!P37+Data!Q37+Data!R37+Data!S37+Data!N38+Data!O38+Data!P38+Data!Q38+Data!R38+Data!S38)/(Data!AP27+Data!AP28+Data!AP29+Data!AP30+Data!AP31+Data!AP32+Data!AP33+Data!AP34+Data!AP35+Data!AP36+Data!AP37+Data!AP38)</f>
        <v>0.0180936529245048</v>
      </c>
      <c r="M38" s="17" t="n">
        <f aca="false">(Data!T27+Data!U27+Data!V27+Data!W27+Data!X27+Data!Y27+Data!Z27+Data!AA27+Data!AB27+Data!AC27+Data!AD27+Data!AE27+Data!AF27+Data!AG27+Data!AH27+Data!AI27+Data!AJ27+Data!AK27+Data!AL27+Data!T28+Data!U28+Data!V28+Data!W28+Data!X28+Data!Y28+Data!Z28+Data!AA28+Data!AB28+Data!AC28+Data!AD28+Data!AE28+Data!AF28+Data!AG28+Data!AH28+Data!AI28+Data!AJ28+Data!AK28+Data!AL28+Data!T29+Data!U29+Data!V29+Data!W29+Data!X29+Data!Y29+Data!Z29+Data!AA29+Data!AB29+Data!AC29+Data!AD29+Data!AE29+Data!AF29+Data!AG29+Data!AH29+Data!AI29+Data!AJ29+Data!AK29+Data!AL29+Data!T30+Data!U30+Data!V30+Data!W30+Data!X30+Data!Y30+Data!Z30+Data!AA30+Data!AB30+Data!AC30+Data!AD30+Data!AE30+Data!AF30+Data!AG30+Data!AH30+Data!AI30+Data!AJ30+Data!AK30+Data!AL30+Data!T31+Data!U31+Data!V31+Data!W31+Data!X31+Data!Y31+Data!Z31+Data!AA31+Data!AB31+Data!AC31+Data!AD31+Data!AE31+Data!AF31+Data!AG31+Data!AH31+Data!AI31+Data!AJ31+Data!AK31+Data!AL31+Data!T32+Data!U32+Data!V32+Data!W32+Data!X32+Data!Y32+Data!Z32+Data!AA32+Data!AB32+Data!AC32+Data!AD32+Data!AE32+Data!AF32+Data!AG32+Data!AH32+Data!AI32+Data!AJ32+Data!AK32+Data!AL32+Data!T33+Data!U33+Data!V33+Data!W33+Data!X33+Data!Y33+Data!Z33+Data!AA33+Data!AB33+Data!AC33+Data!AD33+Data!AE33+Data!AF33+Data!AG33+Data!AH33+Data!AI33+Data!AJ33+Data!AK33+Data!AL33+Data!T34+Data!U34+Data!V34+Data!W34+Data!X34+Data!Y34+Data!Z34+Data!AA34+Data!AB34+Data!AC34+Data!AD34+Data!AE34+Data!AF34+Data!AG34+Data!AH34+Data!AI34+Data!AJ34+Data!AK34+Data!AL34+Data!T35+Data!U35+Data!V35+Data!W35+Data!X35+Data!Y35+Data!Z35+Data!AA35+Data!AB35+Data!AC35+Data!AD35+Data!AE35+Data!AF35+Data!AG35+Data!AH35+Data!AI35+Data!AJ35+Data!AK35+Data!AL35+Data!T36+Data!U36+Data!V36+Data!W36+Data!X36+Data!Y36+Data!Z36+Data!AA36+Data!AB36+Data!AC36+Data!AD36+Data!AE36+Data!AF36+Data!AG36+Data!AH36+Data!AI36+Data!AJ36+Data!AK36+Data!AL36+Data!T37+Data!U37+Data!V37+Data!W37+Data!X37+Data!Y37+Data!Z37+Data!AA37+Data!AB37+Data!AC37+Data!AD37+Data!AE37+Data!AF37+Data!AG37+Data!AH37+Data!AI37+Data!AJ37+Data!AK37+Data!AL37+Data!T38+Data!U38+Data!V38+Data!W38+Data!X38+Data!Y38+Data!Z38+Data!AA38+Data!AB38+Data!AC38+Data!AD38+Data!AE38+Data!AF38+Data!AG38+Data!AH38+Data!AI38+Data!AJ38+Data!AK38+Data!AL38)/(Data!AP27+Data!AP28+Data!AP29+Data!AP30+Data!AP31+Data!AP32+Data!AP33+Data!AP34+Data!AP35+Data!AP36+Data!AP37+Data!AP38)</f>
        <v>0.205448603220676</v>
      </c>
      <c r="N38" s="18" t="n">
        <f aca="false">(Data!T27+Data!U27+Data!V27+Data!W27+Data!T28+Data!U28+Data!V28+Data!W28+Data!T29+Data!U29+Data!V29+Data!W29+Data!T30+Data!U30+Data!V30+Data!W30+Data!T31+Data!U31+Data!V31+Data!W31+Data!T32+Data!U32+Data!V32+Data!W32+Data!T33+Data!U33+Data!V33+Data!W33+Data!T34+Data!U34+Data!V34+Data!W34+Data!T35+Data!U35+Data!V35+Data!W35+Data!T36+Data!U36+Data!V36+Data!W36+Data!T37+Data!U37+Data!V37+Data!W37+Data!T38+Data!U38+Data!V38+Data!W38)/(Data!AP27+Data!AP28+Data!AP29+Data!AP30+Data!AP31+Data!AP32+Data!AP33+Data!AP34+Data!AP35+Data!AP36+Data!AP37+Data!AP38)</f>
        <v>0.113505227125909</v>
      </c>
      <c r="O38" s="18" t="n">
        <f aca="false">(Data!T27+Data!T28+Data!T29+Data!T30+Data!T31+Data!T32+Data!T33+Data!T34+Data!T35+Data!T36+Data!T37+Data!T38)/(Data!AP27+Data!AP28+Data!AP29+Data!AP30+Data!AP31+Data!AP32+Data!AP33+Data!AP34+Data!AP35+Data!AP36+Data!AP37+Data!AP38)</f>
        <v>0.0832272175295195</v>
      </c>
      <c r="P38" s="18" t="n">
        <f aca="false">(Data!U27+Data!U28+Data!U29+Data!U30+Data!U31+Data!U32+Data!U33+Data!U34+Data!U35+Data!U36+Data!U37+Data!U38)/(Data!AP27+Data!AP28+Data!AP29+Data!AP30+Data!AP31+Data!AP32+Data!AP33+Data!AP34+Data!AP35+Data!AP36+Data!AP37+Data!AP38)</f>
        <v>0.0125344801096695</v>
      </c>
      <c r="Q38" s="18" t="n">
        <f aca="false">(Data!V27+Data!V28+Data!V29+Data!V30+Data!V31+Data!V32+Data!V33+Data!V34+Data!V35+Data!V36+Data!V37+Data!V38)/(Data!AP27+Data!AP28+Data!AP29+Data!AP30+Data!AP31+Data!AP32+Data!AP33+Data!AP34+Data!AP35+Data!AP36+Data!AP37+Data!AP38)</f>
        <v>0.00854693350858864</v>
      </c>
      <c r="R38" s="18" t="n">
        <f aca="false">(Data!W27+Data!W28+Data!W29+Data!W30+Data!W31+Data!W32+Data!W33+Data!W34+Data!W35+Data!W36+Data!W37+Data!W38)/(Data!AP27+Data!AP28+Data!AP29+Data!AP30+Data!AP31+Data!AP32+Data!AP33+Data!AP34+Data!AP35+Data!AP36+Data!AP37+Data!AP38)</f>
        <v>0.00919659597813179</v>
      </c>
      <c r="S38" s="18" t="n">
        <f aca="false">(Data!X27+Data!X28+Data!X29+Data!X30+Data!X31+Data!X32+Data!X33+Data!X34+Data!X35+Data!X36+Data!X37+Data!X38)/(Data!AP27+Data!AP28+Data!AP29+Data!AP30+Data!AP31+Data!AP32+Data!AP33+Data!AP34+Data!AP35+Data!AP36+Data!AP37+Data!AP38)</f>
        <v>0.003688007569322</v>
      </c>
      <c r="T38" s="18" t="n">
        <f aca="false">(Data!Y27+Data!Z27+Data!AA27+Data!Y28+Data!Z28+Data!AA28+Data!Y29+Data!Z29+Data!AA29+Data!Y30+Data!Z30+Data!AA30+Data!Y31+Data!Z31+Data!AA31+Data!Y32+Data!Z32+Data!AA32+Data!Y33+Data!Z33+Data!AA33+Data!Y34+Data!Z34+Data!AA34+Data!Y35+Data!Z35+Data!AA35+Data!Y36+Data!Z36+Data!AA36+Data!Y37+Data!Z37+Data!AA37+Data!Y38+Data!Z38+Data!AA38)/(Data!AP27+Data!AP28+Data!AP29+Data!AP30+Data!AP31+Data!AP32+Data!AP33+Data!AP34+Data!AP35+Data!AP36+Data!AP37+Data!AP38)</f>
        <v>0.0186439013954789</v>
      </c>
      <c r="U38" s="18" t="n">
        <f aca="false">(Data!Y27+Data!Y28+Data!Y29+Data!Y30+Data!Y31+Data!Y32+Data!Y33+Data!Y34+Data!Y35+Data!Y36+Data!Y37+Data!Y38)/(Data!AP27+Data!AP28+Data!AP29+Data!AP30+Data!AP31+Data!AP32+Data!AP33+Data!AP34+Data!AP35+Data!AP36+Data!AP37+Data!AP38)</f>
        <v>0.0110570034540379</v>
      </c>
      <c r="V38" s="18" t="n">
        <f aca="false">(Data!Z27+Data!Z28+Data!Z29+Data!Z30+Data!Z31+Data!Z32+Data!Z33+Data!Z34+Data!Z35+Data!Z36+Data!Z37+Data!Z38)/(Data!AP27+Data!AP28+Data!AP29+Data!AP30+Data!AP31+Data!AP32+Data!AP33+Data!AP34+Data!AP35+Data!AP36+Data!AP37+Data!AP38)</f>
        <v>0.00731276555705253</v>
      </c>
      <c r="W38" s="18" t="n">
        <f aca="false">(Data!AB27+Data!AB28+Data!AB29+Data!AB30+Data!AB31+Data!AB32+Data!AB33+Data!AB34+Data!AB35+Data!AB36+Data!AB37+Data!AB38)/(Data!AP27+Data!AP28+Data!AP29+Data!AP30+Data!AP31+Data!AP32+Data!AP33+Data!AP34+Data!AP35+Data!AP36+Data!AP37+Data!AP38)</f>
        <v>0.0283272673742784</v>
      </c>
      <c r="X38" s="18" t="n">
        <f aca="false">(Data!AC27+Data!AC28+Data!AC29+Data!AC30+Data!AC31+Data!AC32+Data!AC33+Data!AC34+Data!AC35+Data!AC36+Data!AC37+Data!AC38)/(Data!AP27+Data!AP28+Data!AP29+Data!AP30+Data!AP31+Data!AP32+Data!AP33+Data!AP34+Data!AP35+Data!AP36+Data!AP37+Data!AP38)</f>
        <v>0.00889698065013462</v>
      </c>
      <c r="Y38" s="18" t="n">
        <f aca="false">(Data!AD27+Data!AE27+Data!AF27+Data!AG27+Data!AH27+Data!AD28+Data!AE28+Data!AF28+Data!AG28+Data!AH28+Data!AD29+Data!AE29+Data!AF29+Data!AG29+Data!AH29+Data!AD30+Data!AE30+Data!AF30+Data!AG30+Data!AH30+Data!AD31+Data!AE31+Data!AF31+Data!AG31+Data!AH31+Data!AD32+Data!AE32+Data!AF32+Data!AG32+Data!AH32+Data!AD33+Data!AE33+Data!AF33+Data!AG33+Data!AH33+Data!AD34+Data!AE34+Data!AF34+Data!AG34+Data!AH34+Data!AD35+Data!AE35+Data!AF35+Data!AG35+Data!AH35+Data!AD36+Data!AE36+Data!AF36+Data!AG36+Data!AH36+Data!AD37+Data!AE37+Data!AF37+Data!AG37+Data!AH37+Data!AD38+Data!AE38+Data!AF38+Data!AG38+Data!AH38)/(Data!AP27+Data!AP28+Data!AP29+Data!AP30+Data!AP31+Data!AP32+Data!AP33+Data!AP34+Data!AP35+Data!AP36+Data!AP37+Data!AP38)</f>
        <v>0.00629711003214843</v>
      </c>
      <c r="Z38" s="18" t="n">
        <f aca="false">(Data!AI27+Data!AI28+Data!AI29+Data!AI30+Data!AI31+Data!AI32+Data!AI33+Data!AI34+Data!AI35+Data!AI36+Data!AI37+Data!AI38)/(Data!AP27+Data!AP28+Data!AP29+Data!AP30+Data!AP31+Data!AP32+Data!AP33+Data!AP34+Data!AP35+Data!AP36+Data!AP37+Data!AP38)</f>
        <v>0.00753722909027578</v>
      </c>
      <c r="AA38" s="18" t="n">
        <f aca="false">(Data!AJ27+Data!AJ28+Data!AJ29+Data!AJ30+Data!AJ31+Data!AJ32+Data!AJ33+Data!AJ34+Data!AJ35+Data!AJ36+Data!AJ37+Data!AJ38)/(Data!AP27+Data!AP28+Data!AP29+Data!AP30+Data!AP31+Data!AP32+Data!AP33+Data!AP34+Data!AP35+Data!AP36+Data!AP37+Data!AP38)</f>
        <v>0.000530258856526705</v>
      </c>
      <c r="AB38" s="18" t="n">
        <f aca="false">(Data!AK27+Data!AK28+Data!AK29+Data!AK30+Data!AK31+Data!AK32+Data!AK33+Data!AK34+Data!AK35+Data!AK36+Data!AK37+Data!AK38)/(Data!AP27+Data!AP28+Data!AP29+Data!AP30+Data!AP31+Data!AP32+Data!AP33+Data!AP34+Data!AP35+Data!AP36+Data!AP37+Data!AP38)</f>
        <v>0.00402287175943649</v>
      </c>
      <c r="AC38" s="18" t="n">
        <f aca="false">(Data!AL27+Data!AL28+Data!AL29+Data!AL30+Data!AL31+Data!AL32+Data!AL33+Data!AL34+Data!AL35+Data!AL36+Data!AL37+Data!AL38)/(Data!AP27+Data!AP28+Data!AP29+Data!AP30+Data!AP31+Data!AP32+Data!AP33+Data!AP34+Data!AP35+Data!AP36+Data!AP37+Data!AP38)</f>
        <v>0.0139997493671652</v>
      </c>
      <c r="AD38" s="17" t="n">
        <f aca="false">(Data!AM27+Data!AM28+Data!AM29+Data!AM30+Data!AM31+Data!AM32+Data!AM33+Data!AM34+Data!AM35+Data!AM36+Data!AM37+Data!AM38)/(Data!AP27+Data!AP28+Data!AP29+Data!AP30+Data!AP31+Data!AP32+Data!AP33+Data!AP34+Data!AP35+Data!AP36+Data!AP37+Data!AP38)</f>
        <v>-0.0262136326832915</v>
      </c>
      <c r="AE38" s="18" t="n">
        <f aca="false">(Data!AN27+Data!AN28+Data!AN29+Data!AN30+Data!AN31+Data!AN32+Data!AN33+Data!AN34+Data!AN35+Data!AN36+Data!AN37+Data!AN38)/(Data!AP27+Data!AP28+Data!AP29+Data!AP30+Data!AP31+Data!AP32+Data!AP33+Data!AP34+Data!AP35+Data!AP36+Data!AP37+Data!AP38)</f>
        <v>0.0224116385338758</v>
      </c>
      <c r="AF38" s="17" t="n">
        <f aca="false">(Data!AO27+Data!AO28+Data!AO29+Data!AO30+Data!AO31+Data!AO32+Data!AO33+Data!AO34+Data!AO35+Data!AO36+Data!AO37+Data!AO38)/(Data!AP27+Data!AP28+Data!AP29+Data!AP30+Data!AP31+Data!AP32+Data!AP33+Data!AP34+Data!AP35+Data!AP36+Data!AP37+Data!AP38)</f>
        <v>-0.0486252712171673</v>
      </c>
    </row>
    <row r="39" customFormat="false" ht="15" hidden="false" customHeight="false" outlineLevel="0" collapsed="false">
      <c r="B39" s="14" t="str">
        <f aca="false">Data!B39</f>
        <v>2018-09</v>
      </c>
      <c r="C39" s="17" t="n">
        <f aca="false">(Data!D28+Data!E28+Data!F28+Data!G28+Data!H28+Data!I28+Data!J28+Data!K28+Data!L28+Data!M28+Data!N28+Data!O28+Data!P28+Data!Q28+Data!R28+Data!S28+Data!D29+Data!E29+Data!F29+Data!G29+Data!H29+Data!I29+Data!J29+Data!K29+Data!L29+Data!M29+Data!N29+Data!O29+Data!P29+Data!Q29+Data!R29+Data!S29+Data!D30+Data!E30+Data!F30+Data!G30+Data!H30+Data!I30+Data!J30+Data!K30+Data!L30+Data!M30+Data!N30+Data!O30+Data!P30+Data!Q30+Data!R30+Data!S30+Data!D31+Data!E31+Data!F31+Data!G31+Data!H31+Data!I31+Data!J31+Data!K31+Data!L31+Data!M31+Data!N31+Data!O31+Data!P31+Data!Q31+Data!R31+Data!S31+Data!D32+Data!E32+Data!F32+Data!G32+Data!H32+Data!I32+Data!J32+Data!K32+Data!L32+Data!M32+Data!N32+Data!O32+Data!P32+Data!Q32+Data!R32+Data!S32+Data!D33+Data!E33+Data!F33+Data!G33+Data!H33+Data!I33+Data!J33+Data!K33+Data!L33+Data!M33+Data!N33+Data!O33+Data!P33+Data!Q33+Data!R33+Data!S33+Data!D34+Data!E34+Data!F34+Data!G34+Data!H34+Data!I34+Data!J34+Data!K34+Data!L34+Data!M34+Data!N34+Data!O34+Data!P34+Data!Q34+Data!R34+Data!S34+Data!D35+Data!E35+Data!F35+Data!G35+Data!H35+Data!I35+Data!J35+Data!K35+Data!L35+Data!M35+Data!N35+Data!O35+Data!P35+Data!Q35+Data!R35+Data!S35+Data!D36+Data!E36+Data!F36+Data!G36+Data!H36+Data!I36+Data!J36+Data!K36+Data!L36+Data!M36+Data!N36+Data!O36+Data!P36+Data!Q36+Data!R36+Data!S36+Data!D37+Data!E37+Data!F37+Data!G37+Data!H37+Data!I37+Data!J37+Data!K37+Data!L37+Data!M37+Data!N37+Data!O37+Data!P37+Data!Q37+Data!R37+Data!S37+Data!D38+Data!E38+Data!F38+Data!G38+Data!H38+Data!I38+Data!J38+Data!K38+Data!L38+Data!M38+Data!N38+Data!O38+Data!P38+Data!Q38+Data!R38+Data!S38+Data!D39+Data!E39+Data!F39+Data!G39+Data!H39+Data!I39+Data!J39+Data!K39+Data!L39+Data!M39+Data!N39+Data!O39+Data!P39+Data!Q39+Data!R39+Data!S39)/(Data!AP28+Data!AP29+Data!AP30+Data!AP31+Data!AP32+Data!AP33+Data!AP34+Data!AP35+Data!AP36+Data!AP37+Data!AP38+Data!AP39)</f>
        <v>0.178892877033784</v>
      </c>
      <c r="D39" s="18" t="n">
        <f aca="false">(Data!D28+Data!E28+Data!G28+Data!H28+Data!I28+Data!J28+Data!K28+Data!L28+Data!M28+Data!D29+Data!E29+Data!G29+Data!H29+Data!I29+Data!J29+Data!K29+Data!L29+Data!M29+Data!D30+Data!E30+Data!G30+Data!H30+Data!I30+Data!J30+Data!K30+Data!L30+Data!M30+Data!D31+Data!E31+Data!G31+Data!H31+Data!I31+Data!J31+Data!K31+Data!L31+Data!M31+Data!D32+Data!E32+Data!G32+Data!H32+Data!I32+Data!J32+Data!K32+Data!L32+Data!M32+Data!D33+Data!E33+Data!G33+Data!H33+Data!I33+Data!J33+Data!K33+Data!L33+Data!M33+Data!D34+Data!E34+Data!G34+Data!H34+Data!I34+Data!J34+Data!K34+Data!L34+Data!M34+Data!D35+Data!E35+Data!G35+Data!H35+Data!I35+Data!J35+Data!K35+Data!L35+Data!M35+Data!D36+Data!E36+Data!G36+Data!H36+Data!I36+Data!J36+Data!K36+Data!L36+Data!M36+Data!D37+Data!E37+Data!G37+Data!H37+Data!I37+Data!J37+Data!K37+Data!L37+Data!M37+Data!D38+Data!E38+Data!G38+Data!H38+Data!I38+Data!J38+Data!K38+Data!L38+Data!M38+Data!D39+Data!E39+Data!G39+Data!H39+Data!I39+Data!J39+Data!K39+Data!L39+Data!M39)/(Data!AP28+Data!AP29+Data!AP30+Data!AP31+Data!AP32+Data!AP33+Data!AP34+Data!AP35+Data!AP36+Data!AP37+Data!AP38+Data!AP39)</f>
        <v>0.0963044096334778</v>
      </c>
      <c r="E39" s="18" t="n">
        <f aca="false">(Data!D28+Data!D29+Data!D30+Data!D31+Data!D32+Data!D33+Data!D34+Data!D35+Data!D36+Data!D37+Data!D38+Data!D39)/(Data!AP28+Data!AP29+Data!AP30+Data!AP31+Data!AP32+Data!AP33+Data!AP34+Data!AP35+Data!AP36+Data!AP37+Data!AP38+Data!AP39)</f>
        <v>0.0340720450159467</v>
      </c>
      <c r="F39" s="18" t="n">
        <f aca="false">(Data!E28+Data!E29+Data!E30+Data!E31+Data!E32+Data!E33+Data!E34+Data!E35+Data!E36+Data!E37+Data!E38+Data!E39)/(Data!AP28+Data!AP29+Data!AP30+Data!AP31+Data!AP32+Data!AP33+Data!AP34+Data!AP35+Data!AP36+Data!AP37+Data!AP38+Data!AP39)</f>
        <v>0.0210321357165204</v>
      </c>
      <c r="G39" s="18" t="n">
        <f aca="false">(Data!K28+Data!K29+Data!K30+Data!K31+Data!K32+Data!K33+Data!K34+Data!K35+Data!K36+Data!K37+Data!K38+Data!K39)/(Data!AP28+Data!AP29+Data!AP30+Data!AP31+Data!AP32+Data!AP33+Data!AP34+Data!AP35+Data!AP36+Data!AP37+Data!AP38+Data!AP39)</f>
        <v>0.00482827649759899</v>
      </c>
      <c r="H39" s="18" t="n">
        <f aca="false">(Data!L28+Data!L29+Data!L30+Data!L31+Data!L32+Data!L33+Data!L34+Data!L35+Data!L36+Data!L37+Data!L38+Data!L39)/(Data!AP28+Data!AP29+Data!AP30+Data!AP31+Data!AP32+Data!AP33+Data!AP34+Data!AP35+Data!AP36+Data!AP37+Data!AP38+Data!AP39)</f>
        <v>0.00695999211652355</v>
      </c>
      <c r="I39" s="18" t="n">
        <f aca="false">(Data!G28+Data!G29+Data!G30+Data!G31+Data!G32+Data!G33+Data!G34+Data!G35+Data!G36+Data!G37+Data!G38+Data!G39)/(Data!AP28+Data!AP29+Data!AP30+Data!AP31+Data!AP32+Data!AP33+Data!AP34+Data!AP35+Data!AP36+Data!AP37+Data!AP38+Data!AP39)</f>
        <v>0.0150331227823859</v>
      </c>
      <c r="J39" s="18" t="n">
        <f aca="false">(Data!H28+Data!I28+Data!J28+Data!M28+Data!H29+Data!I29+Data!J29+Data!M29+Data!H30+Data!I30+Data!J30+Data!M30+Data!H31+Data!I31+Data!J31+Data!M31+Data!H32+Data!I32+Data!J32+Data!M32+Data!H33+Data!I33+Data!J33+Data!M33+Data!H34+Data!I34+Data!J34+Data!M34+Data!H35+Data!I35+Data!J35+Data!M35+Data!H36+Data!I36+Data!J36+Data!M36+Data!H37+Data!I37+Data!J37+Data!M37+Data!H38+Data!I38+Data!J38+Data!M38+Data!H39+Data!I39+Data!J39+Data!M39)/(Data!AP28+Data!AP29+Data!AP30+Data!AP31+Data!AP32+Data!AP33+Data!AP34+Data!AP35+Data!AP36+Data!AP37+Data!AP38+Data!AP39)</f>
        <v>0.0143788375045022</v>
      </c>
      <c r="K39" s="18" t="n">
        <f aca="false">(Data!F28+Data!F29+Data!F30+Data!F31+Data!F32+Data!F33+Data!F34+Data!F35+Data!F36+Data!F37+Data!F38+Data!F39)/(Data!AP28+Data!AP29+Data!AP30+Data!AP31+Data!AP32+Data!AP33+Data!AP34+Data!AP35+Data!AP36+Data!AP37+Data!AP38+Data!AP39)</f>
        <v>0.063930166256364</v>
      </c>
      <c r="L39" s="18" t="n">
        <f aca="false">(Data!N28+Data!O28+Data!P28+Data!Q28+Data!R28+Data!S28+Data!N29+Data!O29+Data!P29+Data!Q29+Data!R29+Data!S29+Data!N30+Data!O30+Data!P30+Data!Q30+Data!R30+Data!S30+Data!N31+Data!O31+Data!P31+Data!Q31+Data!R31+Data!S31+Data!N32+Data!O32+Data!P32+Data!Q32+Data!R32+Data!S32+Data!N33+Data!O33+Data!P33+Data!Q33+Data!R33+Data!S33+Data!N34+Data!O34+Data!P34+Data!Q34+Data!R34+Data!S34+Data!N35+Data!O35+Data!P35+Data!Q35+Data!R35+Data!S35+Data!N36+Data!O36+Data!P36+Data!Q36+Data!R36+Data!S36+Data!N37+Data!O37+Data!P37+Data!Q37+Data!R37+Data!S37+Data!N38+Data!O38+Data!P38+Data!Q38+Data!R38+Data!S38+Data!N39+Data!O39+Data!P39+Data!Q39+Data!R39+Data!S39)/(Data!AP28+Data!AP29+Data!AP30+Data!AP31+Data!AP32+Data!AP33+Data!AP34+Data!AP35+Data!AP36+Data!AP37+Data!AP38+Data!AP39)</f>
        <v>0.0186583011439422</v>
      </c>
      <c r="M39" s="17" t="n">
        <f aca="false">(Data!T28+Data!U28+Data!V28+Data!W28+Data!X28+Data!Y28+Data!Z28+Data!AA28+Data!AB28+Data!AC28+Data!AD28+Data!AE28+Data!AF28+Data!AG28+Data!AH28+Data!AI28+Data!AJ28+Data!AK28+Data!AL28+Data!T29+Data!U29+Data!V29+Data!W29+Data!X29+Data!Y29+Data!Z29+Data!AA29+Data!AB29+Data!AC29+Data!AD29+Data!AE29+Data!AF29+Data!AG29+Data!AH29+Data!AI29+Data!AJ29+Data!AK29+Data!AL29+Data!T30+Data!U30+Data!V30+Data!W30+Data!X30+Data!Y30+Data!Z30+Data!AA30+Data!AB30+Data!AC30+Data!AD30+Data!AE30+Data!AF30+Data!AG30+Data!AH30+Data!AI30+Data!AJ30+Data!AK30+Data!AL30+Data!T31+Data!U31+Data!V31+Data!W31+Data!X31+Data!Y31+Data!Z31+Data!AA31+Data!AB31+Data!AC31+Data!AD31+Data!AE31+Data!AF31+Data!AG31+Data!AH31+Data!AI31+Data!AJ31+Data!AK31+Data!AL31+Data!T32+Data!U32+Data!V32+Data!W32+Data!X32+Data!Y32+Data!Z32+Data!AA32+Data!AB32+Data!AC32+Data!AD32+Data!AE32+Data!AF32+Data!AG32+Data!AH32+Data!AI32+Data!AJ32+Data!AK32+Data!AL32+Data!T33+Data!U33+Data!V33+Data!W33+Data!X33+Data!Y33+Data!Z33+Data!AA33+Data!AB33+Data!AC33+Data!AD33+Data!AE33+Data!AF33+Data!AG33+Data!AH33+Data!AI33+Data!AJ33+Data!AK33+Data!AL33+Data!T34+Data!U34+Data!V34+Data!W34+Data!X34+Data!Y34+Data!Z34+Data!AA34+Data!AB34+Data!AC34+Data!AD34+Data!AE34+Data!AF34+Data!AG34+Data!AH34+Data!AI34+Data!AJ34+Data!AK34+Data!AL34+Data!T35+Data!U35+Data!V35+Data!W35+Data!X35+Data!Y35+Data!Z35+Data!AA35+Data!AB35+Data!AC35+Data!AD35+Data!AE35+Data!AF35+Data!AG35+Data!AH35+Data!AI35+Data!AJ35+Data!AK35+Data!AL35+Data!T36+Data!U36+Data!V36+Data!W36+Data!X36+Data!Y36+Data!Z36+Data!AA36+Data!AB36+Data!AC36+Data!AD36+Data!AE36+Data!AF36+Data!AG36+Data!AH36+Data!AI36+Data!AJ36+Data!AK36+Data!AL36+Data!T37+Data!U37+Data!V37+Data!W37+Data!X37+Data!Y37+Data!Z37+Data!AA37+Data!AB37+Data!AC37+Data!AD37+Data!AE37+Data!AF37+Data!AG37+Data!AH37+Data!AI37+Data!AJ37+Data!AK37+Data!AL37+Data!T38+Data!U38+Data!V38+Data!W38+Data!X38+Data!Y38+Data!Z38+Data!AA38+Data!AB38+Data!AC38+Data!AD38+Data!AE38+Data!AF38+Data!AG38+Data!AH38+Data!AI38+Data!AJ38+Data!AK38+Data!AL38+Data!T39+Data!U39+Data!V39+Data!W39+Data!X39+Data!Y39+Data!Z39+Data!AA39+Data!AB39+Data!AC39+Data!AD39+Data!AE39+Data!AF39+Data!AG39+Data!AH39+Data!AI39+Data!AJ39+Data!AK39+Data!AL39)/(Data!AP28+Data!AP29+Data!AP30+Data!AP31+Data!AP32+Data!AP33+Data!AP34+Data!AP35+Data!AP36+Data!AP37+Data!AP38+Data!AP39)</f>
        <v>0.20376373379416</v>
      </c>
      <c r="N39" s="18" t="n">
        <f aca="false">(Data!T28+Data!U28+Data!V28+Data!W28+Data!T29+Data!U29+Data!V29+Data!W29+Data!T30+Data!U30+Data!V30+Data!W30+Data!T31+Data!U31+Data!V31+Data!W31+Data!T32+Data!U32+Data!V32+Data!W32+Data!T33+Data!U33+Data!V33+Data!W33+Data!T34+Data!U34+Data!V34+Data!W34+Data!T35+Data!U35+Data!V35+Data!W35+Data!T36+Data!U36+Data!V36+Data!W36+Data!T37+Data!U37+Data!V37+Data!W37+Data!T38+Data!U38+Data!V38+Data!W38+Data!T39+Data!U39+Data!V39+Data!W39)/(Data!AP28+Data!AP29+Data!AP30+Data!AP31+Data!AP32+Data!AP33+Data!AP34+Data!AP35+Data!AP36+Data!AP37+Data!AP38+Data!AP39)</f>
        <v>0.112331615538575</v>
      </c>
      <c r="O39" s="18" t="n">
        <f aca="false">(Data!T28+Data!T29+Data!T30+Data!T31+Data!T32+Data!T33+Data!T34+Data!T35+Data!T36+Data!T37+Data!T38+Data!T39)/(Data!AP28+Data!AP29+Data!AP30+Data!AP31+Data!AP32+Data!AP33+Data!AP34+Data!AP35+Data!AP36+Data!AP37+Data!AP38+Data!AP39)</f>
        <v>0.0821021512187186</v>
      </c>
      <c r="P39" s="18" t="n">
        <f aca="false">(Data!U28+Data!U29+Data!U30+Data!U31+Data!U32+Data!U33+Data!U34+Data!U35+Data!U36+Data!U37+Data!U38+Data!U39)/(Data!AP28+Data!AP29+Data!AP30+Data!AP31+Data!AP32+Data!AP33+Data!AP34+Data!AP35+Data!AP36+Data!AP37+Data!AP38+Data!AP39)</f>
        <v>0.0127099832574305</v>
      </c>
      <c r="Q39" s="18" t="n">
        <f aca="false">(Data!V28+Data!V29+Data!V30+Data!V31+Data!V32+Data!V33+Data!V34+Data!V35+Data!V36+Data!V37+Data!V38+Data!V39)/(Data!AP28+Data!AP29+Data!AP30+Data!AP31+Data!AP32+Data!AP33+Data!AP34+Data!AP35+Data!AP36+Data!AP37+Data!AP38+Data!AP39)</f>
        <v>0.00843051961799059</v>
      </c>
      <c r="R39" s="18" t="n">
        <f aca="false">(Data!W28+Data!W29+Data!W30+Data!W31+Data!W32+Data!W33+Data!W34+Data!W35+Data!W36+Data!W37+Data!W38+Data!W39)/(Data!AP28+Data!AP29+Data!AP30+Data!AP31+Data!AP32+Data!AP33+Data!AP34+Data!AP35+Data!AP36+Data!AP37+Data!AP38+Data!AP39)</f>
        <v>0.00908896144443488</v>
      </c>
      <c r="S39" s="18" t="n">
        <f aca="false">(Data!X28+Data!X29+Data!X30+Data!X31+Data!X32+Data!X33+Data!X34+Data!X35+Data!X36+Data!X37+Data!X38+Data!X39)/(Data!AP28+Data!AP29+Data!AP30+Data!AP31+Data!AP32+Data!AP33+Data!AP34+Data!AP35+Data!AP36+Data!AP37+Data!AP38+Data!AP39)</f>
        <v>0.00366169660962415</v>
      </c>
      <c r="T39" s="18" t="n">
        <f aca="false">(Data!Y28+Data!Z28+Data!AA28+Data!Y29+Data!Z29+Data!AA29+Data!Y30+Data!Z30+Data!AA30+Data!Y31+Data!Z31+Data!AA31+Data!Y32+Data!Z32+Data!AA32+Data!Y33+Data!Z33+Data!AA33+Data!Y34+Data!Z34+Data!AA34+Data!Y35+Data!Z35+Data!AA35+Data!Y36+Data!Z36+Data!AA36+Data!Y37+Data!Z37+Data!AA37+Data!Y38+Data!Z38+Data!AA38+Data!Y39+Data!Z39+Data!AA39)/(Data!AP28+Data!AP29+Data!AP30+Data!AP31+Data!AP32+Data!AP33+Data!AP34+Data!AP35+Data!AP36+Data!AP37+Data!AP38+Data!AP39)</f>
        <v>0.0191800964364575</v>
      </c>
      <c r="U39" s="18" t="n">
        <f aca="false">(Data!Y28+Data!Y29+Data!Y30+Data!Y31+Data!Y32+Data!Y33+Data!Y34+Data!Y35+Data!Y36+Data!Y37+Data!Y38+Data!Y39)/(Data!AP28+Data!AP29+Data!AP30+Data!AP31+Data!AP32+Data!AP33+Data!AP34+Data!AP35+Data!AP36+Data!AP37+Data!AP38+Data!AP39)</f>
        <v>0.0116728501674851</v>
      </c>
      <c r="V39" s="18" t="n">
        <f aca="false">(Data!Z28+Data!Z29+Data!Z30+Data!Z31+Data!Z32+Data!Z33+Data!Z34+Data!Z35+Data!Z36+Data!Z37+Data!Z38+Data!Z39)/(Data!AP28+Data!AP29+Data!AP30+Data!AP31+Data!AP32+Data!AP33+Data!AP34+Data!AP35+Data!AP36+Data!AP37+Data!AP38+Data!AP39)</f>
        <v>0.0073113689180552</v>
      </c>
      <c r="W39" s="18" t="n">
        <f aca="false">(Data!AB28+Data!AB29+Data!AB30+Data!AB31+Data!AB32+Data!AB33+Data!AB34+Data!AB35+Data!AB36+Data!AB37+Data!AB38+Data!AB39)/(Data!AP28+Data!AP29+Data!AP30+Data!AP31+Data!AP32+Data!AP33+Data!AP34+Data!AP35+Data!AP36+Data!AP37+Data!AP38+Data!AP39)</f>
        <v>0.0278741115435561</v>
      </c>
      <c r="X39" s="18" t="n">
        <f aca="false">(Data!AC28+Data!AC29+Data!AC30+Data!AC31+Data!AC32+Data!AC33+Data!AC34+Data!AC35+Data!AC36+Data!AC37+Data!AC38+Data!AC39)/(Data!AP28+Data!AP29+Data!AP30+Data!AP31+Data!AP32+Data!AP33+Data!AP34+Data!AP35+Data!AP36+Data!AP37+Data!AP38+Data!AP39)</f>
        <v>0.00879926485457894</v>
      </c>
      <c r="Y39" s="18" t="n">
        <f aca="false">(Data!AD28+Data!AE28+Data!AF28+Data!AG28+Data!AH28+Data!AD29+Data!AE29+Data!AF29+Data!AG29+Data!AH29+Data!AD30+Data!AE30+Data!AF30+Data!AG30+Data!AH30+Data!AD31+Data!AE31+Data!AF31+Data!AG31+Data!AH31+Data!AD32+Data!AE32+Data!AF32+Data!AG32+Data!AH32+Data!AD33+Data!AE33+Data!AF33+Data!AG33+Data!AH33+Data!AD34+Data!AE34+Data!AF34+Data!AG34+Data!AH34+Data!AD35+Data!AE35+Data!AF35+Data!AG35+Data!AH35+Data!AD36+Data!AE36+Data!AF36+Data!AG36+Data!AH36+Data!AD37+Data!AE37+Data!AF37+Data!AG37+Data!AH37+Data!AD38+Data!AE38+Data!AF38+Data!AG38+Data!AH38+Data!AD39+Data!AE39+Data!AF39+Data!AG39+Data!AH39)/(Data!AP28+Data!AP29+Data!AP30+Data!AP31+Data!AP32+Data!AP33+Data!AP34+Data!AP35+Data!AP36+Data!AP37+Data!AP38+Data!AP39)</f>
        <v>0.00616475530798742</v>
      </c>
      <c r="Z39" s="18" t="n">
        <f aca="false">(Data!AI28+Data!AI29+Data!AI30+Data!AI31+Data!AI32+Data!AI33+Data!AI34+Data!AI35+Data!AI36+Data!AI37+Data!AI38+Data!AI39)/(Data!AP28+Data!AP29+Data!AP30+Data!AP31+Data!AP32+Data!AP33+Data!AP34+Data!AP35+Data!AP36+Data!AP37+Data!AP38+Data!AP39)</f>
        <v>0.00743784675282704</v>
      </c>
      <c r="AA39" s="18" t="n">
        <f aca="false">(Data!AJ28+Data!AJ29+Data!AJ30+Data!AJ31+Data!AJ32+Data!AJ33+Data!AJ34+Data!AJ35+Data!AJ36+Data!AJ37+Data!AJ38+Data!AJ39)/(Data!AP28+Data!AP29+Data!AP30+Data!AP31+Data!AP32+Data!AP33+Data!AP34+Data!AP35+Data!AP36+Data!AP37+Data!AP38+Data!AP39)</f>
        <v>0.000471026020811117</v>
      </c>
      <c r="AB39" s="18" t="n">
        <f aca="false">(Data!AK28+Data!AK29+Data!AK30+Data!AK31+Data!AK32+Data!AK33+Data!AK34+Data!AK35+Data!AK36+Data!AK37+Data!AK38+Data!AK39)/(Data!AP28+Data!AP29+Data!AP30+Data!AP31+Data!AP32+Data!AP33+Data!AP34+Data!AP35+Data!AP36+Data!AP37+Data!AP38+Data!AP39)</f>
        <v>0.00398805989571089</v>
      </c>
      <c r="AC39" s="18" t="n">
        <f aca="false">(Data!AL28+Data!AL29+Data!AL30+Data!AL31+Data!AL32+Data!AL33+Data!AL34+Data!AL35+Data!AL36+Data!AL37+Data!AL38+Data!AL39)/(Data!AP28+Data!AP29+Data!AP30+Data!AP31+Data!AP32+Data!AP33+Data!AP34+Data!AP35+Data!AP36+Data!AP37+Data!AP38+Data!AP39)</f>
        <v>0.0138552608340324</v>
      </c>
      <c r="AD39" s="17" t="n">
        <f aca="false">(Data!AM28+Data!AM29+Data!AM30+Data!AM31+Data!AM32+Data!AM33+Data!AM34+Data!AM35+Data!AM36+Data!AM37+Data!AM38+Data!AM39)/(Data!AP28+Data!AP29+Data!AP30+Data!AP31+Data!AP32+Data!AP33+Data!AP34+Data!AP35+Data!AP36+Data!AP37+Data!AP38+Data!AP39)</f>
        <v>-0.0248708567603762</v>
      </c>
      <c r="AE39" s="18" t="n">
        <f aca="false">(Data!AN28+Data!AN29+Data!AN30+Data!AN31+Data!AN32+Data!AN33+Data!AN34+Data!AN35+Data!AN36+Data!AN37+Data!AN38+Data!AN39)/(Data!AP28+Data!AP29+Data!AP30+Data!AP31+Data!AP32+Data!AP33+Data!AP34+Data!AP35+Data!AP36+Data!AP37+Data!AP38+Data!AP39)</f>
        <v>0.0227812261956275</v>
      </c>
      <c r="AF39" s="17" t="n">
        <f aca="false">(Data!AO28+Data!AO29+Data!AO30+Data!AO31+Data!AO32+Data!AO33+Data!AO34+Data!AO35+Data!AO36+Data!AO37+Data!AO38+Data!AO39)/(Data!AP28+Data!AP29+Data!AP30+Data!AP31+Data!AP32+Data!AP33+Data!AP34+Data!AP35+Data!AP36+Data!AP37+Data!AP38+Data!AP39)</f>
        <v>-0.0476520829560037</v>
      </c>
    </row>
    <row r="40" customFormat="false" ht="15" hidden="false" customHeight="false" outlineLevel="0" collapsed="false">
      <c r="B40" s="14" t="str">
        <f aca="false">Data!B40</f>
        <v>2018-10</v>
      </c>
      <c r="C40" s="17" t="n">
        <f aca="false">(Data!D29+Data!E29+Data!F29+Data!G29+Data!H29+Data!I29+Data!J29+Data!K29+Data!L29+Data!M29+Data!N29+Data!O29+Data!P29+Data!Q29+Data!R29+Data!S29+Data!D30+Data!E30+Data!F30+Data!G30+Data!H30+Data!I30+Data!J30+Data!K30+Data!L30+Data!M30+Data!N30+Data!O30+Data!P30+Data!Q30+Data!R30+Data!S30+Data!D31+Data!E31+Data!F31+Data!G31+Data!H31+Data!I31+Data!J31+Data!K31+Data!L31+Data!M31+Data!N31+Data!O31+Data!P31+Data!Q31+Data!R31+Data!S31+Data!D32+Data!E32+Data!F32+Data!G32+Data!H32+Data!I32+Data!J32+Data!K32+Data!L32+Data!M32+Data!N32+Data!O32+Data!P32+Data!Q32+Data!R32+Data!S32+Data!D33+Data!E33+Data!F33+Data!G33+Data!H33+Data!I33+Data!J33+Data!K33+Data!L33+Data!M33+Data!N33+Data!O33+Data!P33+Data!Q33+Data!R33+Data!S33+Data!D34+Data!E34+Data!F34+Data!G34+Data!H34+Data!I34+Data!J34+Data!K34+Data!L34+Data!M34+Data!N34+Data!O34+Data!P34+Data!Q34+Data!R34+Data!S34+Data!D35+Data!E35+Data!F35+Data!G35+Data!H35+Data!I35+Data!J35+Data!K35+Data!L35+Data!M35+Data!N35+Data!O35+Data!P35+Data!Q35+Data!R35+Data!S35+Data!D36+Data!E36+Data!F36+Data!G36+Data!H36+Data!I36+Data!J36+Data!K36+Data!L36+Data!M36+Data!N36+Data!O36+Data!P36+Data!Q36+Data!R36+Data!S36+Data!D37+Data!E37+Data!F37+Data!G37+Data!H37+Data!I37+Data!J37+Data!K37+Data!L37+Data!M37+Data!N37+Data!O37+Data!P37+Data!Q37+Data!R37+Data!S37+Data!D38+Data!E38+Data!F38+Data!G38+Data!H38+Data!I38+Data!J38+Data!K38+Data!L38+Data!M38+Data!N38+Data!O38+Data!P38+Data!Q38+Data!R38+Data!S38+Data!D39+Data!E39+Data!F39+Data!G39+Data!H39+Data!I39+Data!J39+Data!K39+Data!L39+Data!M39+Data!N39+Data!O39+Data!P39+Data!Q39+Data!R39+Data!S39+Data!D40+Data!E40+Data!F40+Data!G40+Data!H40+Data!I40+Data!J40+Data!K40+Data!L40+Data!M40+Data!N40+Data!O40+Data!P40+Data!Q40+Data!R40+Data!S40)/(Data!AP29+Data!AP30+Data!AP31+Data!AP32+Data!AP33+Data!AP34+Data!AP35+Data!AP36+Data!AP37+Data!AP38+Data!AP39+Data!AP40)</f>
        <v>0.179206797700766</v>
      </c>
      <c r="D40" s="18" t="n">
        <f aca="false">(Data!D29+Data!E29+Data!G29+Data!H29+Data!I29+Data!J29+Data!K29+Data!L29+Data!M29+Data!D30+Data!E30+Data!G30+Data!H30+Data!I30+Data!J30+Data!K30+Data!L30+Data!M30+Data!D31+Data!E31+Data!G31+Data!H31+Data!I31+Data!J31+Data!K31+Data!L31+Data!M31+Data!D32+Data!E32+Data!G32+Data!H32+Data!I32+Data!J32+Data!K32+Data!L32+Data!M32+Data!D33+Data!E33+Data!G33+Data!H33+Data!I33+Data!J33+Data!K33+Data!L33+Data!M33+Data!D34+Data!E34+Data!G34+Data!H34+Data!I34+Data!J34+Data!K34+Data!L34+Data!M34+Data!D35+Data!E35+Data!G35+Data!H35+Data!I35+Data!J35+Data!K35+Data!L35+Data!M35+Data!D36+Data!E36+Data!G36+Data!H36+Data!I36+Data!J36+Data!K36+Data!L36+Data!M36+Data!D37+Data!E37+Data!G37+Data!H37+Data!I37+Data!J37+Data!K37+Data!L37+Data!M37+Data!D38+Data!E38+Data!G38+Data!H38+Data!I38+Data!J38+Data!K38+Data!L38+Data!M38+Data!D39+Data!E39+Data!G39+Data!H39+Data!I39+Data!J39+Data!K39+Data!L39+Data!M39+Data!D40+Data!E40+Data!G40+Data!H40+Data!I40+Data!J40+Data!K40+Data!L40+Data!M40)/(Data!AP29+Data!AP30+Data!AP31+Data!AP32+Data!AP33+Data!AP34+Data!AP35+Data!AP36+Data!AP37+Data!AP38+Data!AP39+Data!AP40)</f>
        <v>0.0968448868537883</v>
      </c>
      <c r="E40" s="18" t="n">
        <f aca="false">(Data!D29+Data!D30+Data!D31+Data!D32+Data!D33+Data!D34+Data!D35+Data!D36+Data!D37+Data!D38+Data!D39+Data!D40)/(Data!AP29+Data!AP30+Data!AP31+Data!AP32+Data!AP33+Data!AP34+Data!AP35+Data!AP36+Data!AP37+Data!AP38+Data!AP39+Data!AP40)</f>
        <v>0.0344018954827064</v>
      </c>
      <c r="F40" s="18" t="n">
        <f aca="false">(Data!E29+Data!E30+Data!E31+Data!E32+Data!E33+Data!E34+Data!E35+Data!E36+Data!E37+Data!E38+Data!E39+Data!E40)/(Data!AP29+Data!AP30+Data!AP31+Data!AP32+Data!AP33+Data!AP34+Data!AP35+Data!AP36+Data!AP37+Data!AP38+Data!AP39+Data!AP40)</f>
        <v>0.0204410063786326</v>
      </c>
      <c r="G40" s="18" t="n">
        <f aca="false">(Data!K29+Data!K30+Data!K31+Data!K32+Data!K33+Data!K34+Data!K35+Data!K36+Data!K37+Data!K38+Data!K39+Data!K40)/(Data!AP29+Data!AP30+Data!AP31+Data!AP32+Data!AP33+Data!AP34+Data!AP35+Data!AP36+Data!AP37+Data!AP38+Data!AP39+Data!AP40)</f>
        <v>0.00548486660004805</v>
      </c>
      <c r="H40" s="18" t="n">
        <f aca="false">(Data!L29+Data!L30+Data!L31+Data!L32+Data!L33+Data!L34+Data!L35+Data!L36+Data!L37+Data!L38+Data!L39+Data!L40)/(Data!AP29+Data!AP30+Data!AP31+Data!AP32+Data!AP33+Data!AP34+Data!AP35+Data!AP36+Data!AP37+Data!AP38+Data!AP39+Data!AP40)</f>
        <v>0.00710631894053831</v>
      </c>
      <c r="I40" s="18" t="n">
        <f aca="false">(Data!G29+Data!G30+Data!G31+Data!G32+Data!G33+Data!G34+Data!G35+Data!G36+Data!G37+Data!G38+Data!G39+Data!G40)/(Data!AP29+Data!AP30+Data!AP31+Data!AP32+Data!AP33+Data!AP34+Data!AP35+Data!AP36+Data!AP37+Data!AP38+Data!AP39+Data!AP40)</f>
        <v>0.0152648814813486</v>
      </c>
      <c r="J40" s="18" t="n">
        <f aca="false">(Data!H29+Data!I29+Data!J29+Data!M29+Data!H30+Data!I30+Data!J30+Data!M30+Data!H31+Data!I31+Data!J31+Data!M31+Data!H32+Data!I32+Data!J32+Data!M32+Data!H33+Data!I33+Data!J33+Data!M33+Data!H34+Data!I34+Data!J34+Data!M34+Data!H35+Data!I35+Data!J35+Data!M35+Data!H36+Data!I36+Data!J36+Data!M36+Data!H37+Data!I37+Data!J37+Data!M37+Data!H38+Data!I38+Data!J38+Data!M38+Data!H39+Data!I39+Data!J39+Data!M39+Data!H40+Data!I40+Data!J40+Data!M40)/(Data!AP29+Data!AP30+Data!AP31+Data!AP32+Data!AP33+Data!AP34+Data!AP35+Data!AP36+Data!AP37+Data!AP38+Data!AP39+Data!AP40)</f>
        <v>0.0141459179705143</v>
      </c>
      <c r="K40" s="18" t="n">
        <f aca="false">(Data!F29+Data!F30+Data!F31+Data!F32+Data!F33+Data!F34+Data!F35+Data!F36+Data!F37+Data!F38+Data!F39+Data!F40)/(Data!AP29+Data!AP30+Data!AP31+Data!AP32+Data!AP33+Data!AP34+Data!AP35+Data!AP36+Data!AP37+Data!AP38+Data!AP39+Data!AP40)</f>
        <v>0.0630225755617548</v>
      </c>
      <c r="L40" s="18" t="n">
        <f aca="false">(Data!N29+Data!O29+Data!P29+Data!Q29+Data!R29+Data!S29+Data!N30+Data!O30+Data!P30+Data!Q30+Data!R30+Data!S30+Data!N31+Data!O31+Data!P31+Data!Q31+Data!R31+Data!S31+Data!N32+Data!O32+Data!P32+Data!Q32+Data!R32+Data!S32+Data!N33+Data!O33+Data!P33+Data!Q33+Data!R33+Data!S33+Data!N34+Data!O34+Data!P34+Data!Q34+Data!R34+Data!S34+Data!N35+Data!O35+Data!P35+Data!Q35+Data!R35+Data!S35+Data!N36+Data!O36+Data!P36+Data!Q36+Data!R36+Data!S36+Data!N37+Data!O37+Data!P37+Data!Q37+Data!R37+Data!S37+Data!N38+Data!O38+Data!P38+Data!Q38+Data!R38+Data!S38+Data!N39+Data!O39+Data!P39+Data!Q39+Data!R39+Data!S39+Data!N40+Data!O40+Data!P40+Data!Q40+Data!R40+Data!S40)/(Data!AP29+Data!AP30+Data!AP31+Data!AP32+Data!AP33+Data!AP34+Data!AP35+Data!AP36+Data!AP37+Data!AP38+Data!AP39+Data!AP40)</f>
        <v>0.0193393352852227</v>
      </c>
      <c r="M40" s="17" t="n">
        <f aca="false">(Data!T29+Data!U29+Data!V29+Data!W29+Data!X29+Data!Y29+Data!Z29+Data!AA29+Data!AB29+Data!AC29+Data!AD29+Data!AE29+Data!AF29+Data!AG29+Data!AH29+Data!AI29+Data!AJ29+Data!AK29+Data!AL29+Data!T30+Data!U30+Data!V30+Data!W30+Data!X30+Data!Y30+Data!Z30+Data!AA30+Data!AB30+Data!AC30+Data!AD30+Data!AE30+Data!AF30+Data!AG30+Data!AH30+Data!AI30+Data!AJ30+Data!AK30+Data!AL30+Data!T31+Data!U31+Data!V31+Data!W31+Data!X31+Data!Y31+Data!Z31+Data!AA31+Data!AB31+Data!AC31+Data!AD31+Data!AE31+Data!AF31+Data!AG31+Data!AH31+Data!AI31+Data!AJ31+Data!AK31+Data!AL31+Data!T32+Data!U32+Data!V32+Data!W32+Data!X32+Data!Y32+Data!Z32+Data!AA32+Data!AB32+Data!AC32+Data!AD32+Data!AE32+Data!AF32+Data!AG32+Data!AH32+Data!AI32+Data!AJ32+Data!AK32+Data!AL32+Data!T33+Data!U33+Data!V33+Data!W33+Data!X33+Data!Y33+Data!Z33+Data!AA33+Data!AB33+Data!AC33+Data!AD33+Data!AE33+Data!AF33+Data!AG33+Data!AH33+Data!AI33+Data!AJ33+Data!AK33+Data!AL33+Data!T34+Data!U34+Data!V34+Data!W34+Data!X34+Data!Y34+Data!Z34+Data!AA34+Data!AB34+Data!AC34+Data!AD34+Data!AE34+Data!AF34+Data!AG34+Data!AH34+Data!AI34+Data!AJ34+Data!AK34+Data!AL34+Data!T35+Data!U35+Data!V35+Data!W35+Data!X35+Data!Y35+Data!Z35+Data!AA35+Data!AB35+Data!AC35+Data!AD35+Data!AE35+Data!AF35+Data!AG35+Data!AH35+Data!AI35+Data!AJ35+Data!AK35+Data!AL35+Data!T36+Data!U36+Data!V36+Data!W36+Data!X36+Data!Y36+Data!Z36+Data!AA36+Data!AB36+Data!AC36+Data!AD36+Data!AE36+Data!AF36+Data!AG36+Data!AH36+Data!AI36+Data!AJ36+Data!AK36+Data!AL36+Data!T37+Data!U37+Data!V37+Data!W37+Data!X37+Data!Y37+Data!Z37+Data!AA37+Data!AB37+Data!AC37+Data!AD37+Data!AE37+Data!AF37+Data!AG37+Data!AH37+Data!AI37+Data!AJ37+Data!AK37+Data!AL37+Data!T38+Data!U38+Data!V38+Data!W38+Data!X38+Data!Y38+Data!Z38+Data!AA38+Data!AB38+Data!AC38+Data!AD38+Data!AE38+Data!AF38+Data!AG38+Data!AH38+Data!AI38+Data!AJ38+Data!AK38+Data!AL38+Data!T39+Data!U39+Data!V39+Data!W39+Data!X39+Data!Y39+Data!Z39+Data!AA39+Data!AB39+Data!AC39+Data!AD39+Data!AE39+Data!AF39+Data!AG39+Data!AH39+Data!AI39+Data!AJ39+Data!AK39+Data!AL39+Data!T40+Data!U40+Data!V40+Data!W40+Data!X40+Data!Y40+Data!Z40+Data!AA40+Data!AB40+Data!AC40+Data!AD40+Data!AE40+Data!AF40+Data!AG40+Data!AH40+Data!AI40+Data!AJ40+Data!AK40+Data!AL40)/(Data!AP29+Data!AP30+Data!AP31+Data!AP32+Data!AP33+Data!AP34+Data!AP35+Data!AP36+Data!AP37+Data!AP38+Data!AP39+Data!AP40)</f>
        <v>0.202203479271239</v>
      </c>
      <c r="N40" s="18" t="n">
        <f aca="false">(Data!T29+Data!U29+Data!V29+Data!W29+Data!T30+Data!U30+Data!V30+Data!W30+Data!T31+Data!U31+Data!V31+Data!W31+Data!T32+Data!U32+Data!V32+Data!W32+Data!T33+Data!U33+Data!V33+Data!W33+Data!T34+Data!U34+Data!V34+Data!W34+Data!T35+Data!U35+Data!V35+Data!W35+Data!T36+Data!U36+Data!V36+Data!W36+Data!T37+Data!U37+Data!V37+Data!W37+Data!T38+Data!U38+Data!V38+Data!W38+Data!T39+Data!U39+Data!V39+Data!W39+Data!T40+Data!U40+Data!V40+Data!W40)/(Data!AP29+Data!AP30+Data!AP31+Data!AP32+Data!AP33+Data!AP34+Data!AP35+Data!AP36+Data!AP37+Data!AP38+Data!AP39+Data!AP40)</f>
        <v>0.110742586582524</v>
      </c>
      <c r="O40" s="18" t="n">
        <f aca="false">(Data!T29+Data!T30+Data!T31+Data!T32+Data!T33+Data!T34+Data!T35+Data!T36+Data!T37+Data!T38+Data!T39+Data!T40)/(Data!AP29+Data!AP30+Data!AP31+Data!AP32+Data!AP33+Data!AP34+Data!AP35+Data!AP36+Data!AP37+Data!AP38+Data!AP39+Data!AP40)</f>
        <v>0.0808996928502699</v>
      </c>
      <c r="P40" s="18" t="n">
        <f aca="false">(Data!U29+Data!U30+Data!U31+Data!U32+Data!U33+Data!U34+Data!U35+Data!U36+Data!U37+Data!U38+Data!U39+Data!U40)/(Data!AP29+Data!AP30+Data!AP31+Data!AP32+Data!AP33+Data!AP34+Data!AP35+Data!AP36+Data!AP37+Data!AP38+Data!AP39+Data!AP40)</f>
        <v>0.0125364982704818</v>
      </c>
      <c r="Q40" s="18" t="n">
        <f aca="false">(Data!V29+Data!V30+Data!V31+Data!V32+Data!V33+Data!V34+Data!V35+Data!V36+Data!V37+Data!V38+Data!V39+Data!V40)/(Data!AP29+Data!AP30+Data!AP31+Data!AP32+Data!AP33+Data!AP34+Data!AP35+Data!AP36+Data!AP37+Data!AP38+Data!AP39+Data!AP40)</f>
        <v>0.0083118165902336</v>
      </c>
      <c r="R40" s="18" t="n">
        <f aca="false">(Data!W29+Data!W30+Data!W31+Data!W32+Data!W33+Data!W34+Data!W35+Data!W36+Data!W37+Data!W38+Data!W39+Data!W40)/(Data!AP29+Data!AP30+Data!AP31+Data!AP32+Data!AP33+Data!AP34+Data!AP35+Data!AP36+Data!AP37+Data!AP38+Data!AP39+Data!AP40)</f>
        <v>0.00899457887153851</v>
      </c>
      <c r="S40" s="18" t="n">
        <f aca="false">(Data!X29+Data!X30+Data!X31+Data!X32+Data!X33+Data!X34+Data!X35+Data!X36+Data!X37+Data!X38+Data!X39+Data!X40)/(Data!AP29+Data!AP30+Data!AP31+Data!AP32+Data!AP33+Data!AP34+Data!AP35+Data!AP36+Data!AP37+Data!AP38+Data!AP39+Data!AP40)</f>
        <v>0.00375259868456337</v>
      </c>
      <c r="T40" s="18" t="n">
        <f aca="false">(Data!Y29+Data!Z29+Data!AA29+Data!Y30+Data!Z30+Data!AA30+Data!Y31+Data!Z31+Data!AA31+Data!Y32+Data!Z32+Data!AA32+Data!Y33+Data!Z33+Data!AA33+Data!Y34+Data!Z34+Data!AA34+Data!Y35+Data!Z35+Data!AA35+Data!Y36+Data!Z36+Data!AA36+Data!Y37+Data!Z37+Data!AA37+Data!Y38+Data!Z38+Data!AA38+Data!Y39+Data!Z39+Data!AA39+Data!Y40+Data!Z40+Data!AA40)/(Data!AP29+Data!AP30+Data!AP31+Data!AP32+Data!AP33+Data!AP34+Data!AP35+Data!AP36+Data!AP37+Data!AP38+Data!AP39+Data!AP40)</f>
        <v>0.0195046219751039</v>
      </c>
      <c r="U40" s="18" t="n">
        <f aca="false">(Data!Y29+Data!Y30+Data!Y31+Data!Y32+Data!Y33+Data!Y34+Data!Y35+Data!Y36+Data!Y37+Data!Y38+Data!Y39+Data!Y40)/(Data!AP29+Data!AP30+Data!AP31+Data!AP32+Data!AP33+Data!AP34+Data!AP35+Data!AP36+Data!AP37+Data!AP38+Data!AP39+Data!AP40)</f>
        <v>0.0120740702078589</v>
      </c>
      <c r="V40" s="18" t="n">
        <f aca="false">(Data!Z29+Data!Z30+Data!Z31+Data!Z32+Data!Z33+Data!Z34+Data!Z35+Data!Z36+Data!Z37+Data!Z38+Data!Z39+Data!Z40)/(Data!AP29+Data!AP30+Data!AP31+Data!AP32+Data!AP33+Data!AP34+Data!AP35+Data!AP36+Data!AP37+Data!AP38+Data!AP39+Data!AP40)</f>
        <v>0.00729257268654646</v>
      </c>
      <c r="W40" s="18" t="n">
        <f aca="false">(Data!AB29+Data!AB30+Data!AB31+Data!AB32+Data!AB33+Data!AB34+Data!AB35+Data!AB36+Data!AB37+Data!AB38+Data!AB39+Data!AB40)/(Data!AP29+Data!AP30+Data!AP31+Data!AP32+Data!AP33+Data!AP34+Data!AP35+Data!AP36+Data!AP37+Data!AP38+Data!AP39+Data!AP40)</f>
        <v>0.0274764264077311</v>
      </c>
      <c r="X40" s="18" t="n">
        <f aca="false">(Data!AC29+Data!AC30+Data!AC31+Data!AC32+Data!AC33+Data!AC34+Data!AC35+Data!AC36+Data!AC37+Data!AC38+Data!AC39+Data!AC40)/(Data!AP29+Data!AP30+Data!AP31+Data!AP32+Data!AP33+Data!AP34+Data!AP35+Data!AP36+Data!AP37+Data!AP38+Data!AP39+Data!AP40)</f>
        <v>0.00897065769410149</v>
      </c>
      <c r="Y40" s="18" t="n">
        <f aca="false">(Data!AD29+Data!AE29+Data!AF29+Data!AG29+Data!AH29+Data!AD30+Data!AE30+Data!AF30+Data!AG30+Data!AH30+Data!AD31+Data!AE31+Data!AF31+Data!AG31+Data!AH31+Data!AD32+Data!AE32+Data!AF32+Data!AG32+Data!AH32+Data!AD33+Data!AE33+Data!AF33+Data!AG33+Data!AH33+Data!AD34+Data!AE34+Data!AF34+Data!AG34+Data!AH34+Data!AD35+Data!AE35+Data!AF35+Data!AG35+Data!AH35+Data!AD36+Data!AE36+Data!AF36+Data!AG36+Data!AH36+Data!AD37+Data!AE37+Data!AF37+Data!AG37+Data!AH37+Data!AD38+Data!AE38+Data!AF38+Data!AG38+Data!AH38+Data!AD39+Data!AE39+Data!AF39+Data!AG39+Data!AH39+Data!AD40+Data!AE40+Data!AF40+Data!AG40+Data!AH40)/(Data!AP29+Data!AP30+Data!AP31+Data!AP32+Data!AP33+Data!AP34+Data!AP35+Data!AP36+Data!AP37+Data!AP38+Data!AP39+Data!AP40)</f>
        <v>0.00610609669601797</v>
      </c>
      <c r="Z40" s="18" t="n">
        <f aca="false">(Data!AI29+Data!AI30+Data!AI31+Data!AI32+Data!AI33+Data!AI34+Data!AI35+Data!AI36+Data!AI37+Data!AI38+Data!AI39+Data!AI40)/(Data!AP29+Data!AP30+Data!AP31+Data!AP32+Data!AP33+Data!AP34+Data!AP35+Data!AP36+Data!AP37+Data!AP38+Data!AP39+Data!AP40)</f>
        <v>0.00734214428316294</v>
      </c>
      <c r="AA40" s="18" t="n">
        <f aca="false">(Data!AJ29+Data!AJ30+Data!AJ31+Data!AJ32+Data!AJ33+Data!AJ34+Data!AJ35+Data!AJ36+Data!AJ37+Data!AJ38+Data!AJ39+Data!AJ40)/(Data!AP29+Data!AP30+Data!AP31+Data!AP32+Data!AP33+Data!AP34+Data!AP35+Data!AP36+Data!AP37+Data!AP38+Data!AP39+Data!AP40)</f>
        <v>0.000396500721192586</v>
      </c>
      <c r="AB40" s="18" t="n">
        <f aca="false">(Data!AK29+Data!AK30+Data!AK31+Data!AK32+Data!AK33+Data!AK34+Data!AK35+Data!AK36+Data!AK37+Data!AK38+Data!AK39+Data!AK40)/(Data!AP29+Data!AP30+Data!AP31+Data!AP32+Data!AP33+Data!AP34+Data!AP35+Data!AP36+Data!AP37+Data!AP38+Data!AP39+Data!AP40)</f>
        <v>0.00395491996842832</v>
      </c>
      <c r="AC40" s="18" t="n">
        <f aca="false">(Data!AL29+Data!AL30+Data!AL31+Data!AL32+Data!AL33+Data!AL34+Data!AL35+Data!AL36+Data!AL37+Data!AL38+Data!AL39+Data!AL40)/(Data!AP29+Data!AP30+Data!AP31+Data!AP32+Data!AP33+Data!AP34+Data!AP35+Data!AP36+Data!AP37+Data!AP38+Data!AP39+Data!AP40)</f>
        <v>0.013956926258414</v>
      </c>
      <c r="AD40" s="17" t="n">
        <f aca="false">(Data!AM29+Data!AM30+Data!AM31+Data!AM32+Data!AM33+Data!AM34+Data!AM35+Data!AM36+Data!AM37+Data!AM38+Data!AM39+Data!AM40)/(Data!AP29+Data!AP30+Data!AP31+Data!AP32+Data!AP33+Data!AP34+Data!AP35+Data!AP36+Data!AP37+Data!AP38+Data!AP39+Data!AP40)</f>
        <v>-0.0229966815704736</v>
      </c>
      <c r="AE40" s="18" t="n">
        <f aca="false">(Data!AN29+Data!AN30+Data!AN31+Data!AN32+Data!AN33+Data!AN34+Data!AN35+Data!AN36+Data!AN37+Data!AN38+Data!AN39+Data!AN40)/(Data!AP29+Data!AP30+Data!AP31+Data!AP32+Data!AP33+Data!AP34+Data!AP35+Data!AP36+Data!AP37+Data!AP38+Data!AP39+Data!AP40)</f>
        <v>0.0244420394601926</v>
      </c>
      <c r="AF40" s="17" t="n">
        <f aca="false">(Data!AO29+Data!AO30+Data!AO31+Data!AO32+Data!AO33+Data!AO34+Data!AO35+Data!AO36+Data!AO37+Data!AO38+Data!AO39+Data!AO40)/(Data!AP29+Data!AP30+Data!AP31+Data!AP32+Data!AP33+Data!AP34+Data!AP35+Data!AP36+Data!AP37+Data!AP38+Data!AP39+Data!AP40)</f>
        <v>-0.0474387210306662</v>
      </c>
    </row>
    <row r="41" customFormat="false" ht="15" hidden="false" customHeight="false" outlineLevel="0" collapsed="false">
      <c r="B41" s="14" t="str">
        <f aca="false">Data!B41</f>
        <v>2018-11</v>
      </c>
      <c r="C41" s="17" t="n">
        <f aca="false">(Data!D30+Data!E30+Data!F30+Data!G30+Data!H30+Data!I30+Data!J30+Data!K30+Data!L30+Data!M30+Data!N30+Data!O30+Data!P30+Data!Q30+Data!R30+Data!S30+Data!D31+Data!E31+Data!F31+Data!G31+Data!H31+Data!I31+Data!J31+Data!K31+Data!L31+Data!M31+Data!N31+Data!O31+Data!P31+Data!Q31+Data!R31+Data!S31+Data!D32+Data!E32+Data!F32+Data!G32+Data!H32+Data!I32+Data!J32+Data!K32+Data!L32+Data!M32+Data!N32+Data!O32+Data!P32+Data!Q32+Data!R32+Data!S32+Data!D33+Data!E33+Data!F33+Data!G33+Data!H33+Data!I33+Data!J33+Data!K33+Data!L33+Data!M33+Data!N33+Data!O33+Data!P33+Data!Q33+Data!R33+Data!S33+Data!D34+Data!E34+Data!F34+Data!G34+Data!H34+Data!I34+Data!J34+Data!K34+Data!L34+Data!M34+Data!N34+Data!O34+Data!P34+Data!Q34+Data!R34+Data!S34+Data!D35+Data!E35+Data!F35+Data!G35+Data!H35+Data!I35+Data!J35+Data!K35+Data!L35+Data!M35+Data!N35+Data!O35+Data!P35+Data!Q35+Data!R35+Data!S35+Data!D36+Data!E36+Data!F36+Data!G36+Data!H36+Data!I36+Data!J36+Data!K36+Data!L36+Data!M36+Data!N36+Data!O36+Data!P36+Data!Q36+Data!R36+Data!S36+Data!D37+Data!E37+Data!F37+Data!G37+Data!H37+Data!I37+Data!J37+Data!K37+Data!L37+Data!M37+Data!N37+Data!O37+Data!P37+Data!Q37+Data!R37+Data!S37+Data!D38+Data!E38+Data!F38+Data!G38+Data!H38+Data!I38+Data!J38+Data!K38+Data!L38+Data!M38+Data!N38+Data!O38+Data!P38+Data!Q38+Data!R38+Data!S38+Data!D39+Data!E39+Data!F39+Data!G39+Data!H39+Data!I39+Data!J39+Data!K39+Data!L39+Data!M39+Data!N39+Data!O39+Data!P39+Data!Q39+Data!R39+Data!S39+Data!D40+Data!E40+Data!F40+Data!G40+Data!H40+Data!I40+Data!J40+Data!K40+Data!L40+Data!M40+Data!N40+Data!O40+Data!P40+Data!Q40+Data!R40+Data!S40+Data!D41+Data!E41+Data!F41+Data!G41+Data!H41+Data!I41+Data!J41+Data!K41+Data!L41+Data!M41+Data!N41+Data!O41+Data!P41+Data!Q41+Data!R41+Data!S41)/(Data!AP30+Data!AP31+Data!AP32+Data!AP33+Data!AP34+Data!AP35+Data!AP36+Data!AP37+Data!AP38+Data!AP39+Data!AP40+Data!AP41)</f>
        <v>0.178047330983903</v>
      </c>
      <c r="D41" s="18" t="n">
        <f aca="false">(Data!D30+Data!E30+Data!G30+Data!H30+Data!I30+Data!J30+Data!K30+Data!L30+Data!M30+Data!D31+Data!E31+Data!G31+Data!H31+Data!I31+Data!J31+Data!K31+Data!L31+Data!M31+Data!D32+Data!E32+Data!G32+Data!H32+Data!I32+Data!J32+Data!K32+Data!L32+Data!M32+Data!D33+Data!E33+Data!G33+Data!H33+Data!I33+Data!J33+Data!K33+Data!L33+Data!M33+Data!D34+Data!E34+Data!G34+Data!H34+Data!I34+Data!J34+Data!K34+Data!L34+Data!M34+Data!D35+Data!E35+Data!G35+Data!H35+Data!I35+Data!J35+Data!K35+Data!L35+Data!M35+Data!D36+Data!E36+Data!G36+Data!H36+Data!I36+Data!J36+Data!K36+Data!L36+Data!M36+Data!D37+Data!E37+Data!G37+Data!H37+Data!I37+Data!J37+Data!K37+Data!L37+Data!M37+Data!D38+Data!E38+Data!G38+Data!H38+Data!I38+Data!J38+Data!K38+Data!L38+Data!M38+Data!D39+Data!E39+Data!G39+Data!H39+Data!I39+Data!J39+Data!K39+Data!L39+Data!M39+Data!D40+Data!E40+Data!G40+Data!H40+Data!I40+Data!J40+Data!K40+Data!L40+Data!M40+Data!D41+Data!E41+Data!G41+Data!H41+Data!I41+Data!J41+Data!K41+Data!L41+Data!M41)/(Data!AP30+Data!AP31+Data!AP32+Data!AP33+Data!AP34+Data!AP35+Data!AP36+Data!AP37+Data!AP38+Data!AP39+Data!AP40+Data!AP41)</f>
        <v>0.0963573992495631</v>
      </c>
      <c r="E41" s="18" t="n">
        <f aca="false">(Data!D30+Data!D31+Data!D32+Data!D33+Data!D34+Data!D35+Data!D36+Data!D37+Data!D38+Data!D39+Data!D40+Data!D41)/(Data!AP30+Data!AP31+Data!AP32+Data!AP33+Data!AP34+Data!AP35+Data!AP36+Data!AP37+Data!AP38+Data!AP39+Data!AP40+Data!AP41)</f>
        <v>0.034034723386885</v>
      </c>
      <c r="F41" s="18" t="n">
        <f aca="false">(Data!E30+Data!E31+Data!E32+Data!E33+Data!E34+Data!E35+Data!E36+Data!E37+Data!E38+Data!E39+Data!E40+Data!E41)/(Data!AP30+Data!AP31+Data!AP32+Data!AP33+Data!AP34+Data!AP35+Data!AP36+Data!AP37+Data!AP38+Data!AP39+Data!AP40+Data!AP41)</f>
        <v>0.0199545722116293</v>
      </c>
      <c r="G41" s="18" t="n">
        <f aca="false">(Data!K30+Data!K31+Data!K32+Data!K33+Data!K34+Data!K35+Data!K36+Data!K37+Data!K38+Data!K39+Data!K40+Data!K41)/(Data!AP30+Data!AP31+Data!AP32+Data!AP33+Data!AP34+Data!AP35+Data!AP36+Data!AP37+Data!AP38+Data!AP39+Data!AP40+Data!AP41)</f>
        <v>0.0060087086886955</v>
      </c>
      <c r="H41" s="18" t="n">
        <f aca="false">(Data!L30+Data!L31+Data!L32+Data!L33+Data!L34+Data!L35+Data!L36+Data!L37+Data!L38+Data!L39+Data!L40+Data!L41)/(Data!AP30+Data!AP31+Data!AP32+Data!AP33+Data!AP34+Data!AP35+Data!AP36+Data!AP37+Data!AP38+Data!AP39+Data!AP40+Data!AP41)</f>
        <v>0.00701928964768726</v>
      </c>
      <c r="I41" s="18" t="n">
        <f aca="false">(Data!G30+Data!G31+Data!G32+Data!G33+Data!G34+Data!G35+Data!G36+Data!G37+Data!G38+Data!G39+Data!G40+Data!G41)/(Data!AP30+Data!AP31+Data!AP32+Data!AP33+Data!AP34+Data!AP35+Data!AP36+Data!AP37+Data!AP38+Data!AP39+Data!AP40+Data!AP41)</f>
        <v>0.015512669247864</v>
      </c>
      <c r="J41" s="18" t="n">
        <f aca="false">(Data!H30+Data!I30+Data!J30+Data!M30+Data!H31+Data!I31+Data!J31+Data!M31+Data!H32+Data!I32+Data!J32+Data!M32+Data!H33+Data!I33+Data!J33+Data!M33+Data!H34+Data!I34+Data!J34+Data!M34+Data!H35+Data!I35+Data!J35+Data!M35+Data!H36+Data!I36+Data!J36+Data!M36+Data!H37+Data!I37+Data!J37+Data!M37+Data!H38+Data!I38+Data!J38+Data!M38+Data!H39+Data!I39+Data!J39+Data!M39+Data!H40+Data!I40+Data!J40+Data!M40+Data!H41+Data!I41+Data!J41+Data!M41)/(Data!AP30+Data!AP31+Data!AP32+Data!AP33+Data!AP34+Data!AP35+Data!AP36+Data!AP37+Data!AP38+Data!AP39+Data!AP40+Data!AP41)</f>
        <v>0.013827436066802</v>
      </c>
      <c r="K41" s="18" t="n">
        <f aca="false">(Data!F30+Data!F31+Data!F32+Data!F33+Data!F34+Data!F35+Data!F36+Data!F37+Data!F38+Data!F39+Data!F40+Data!F41)/(Data!AP30+Data!AP31+Data!AP32+Data!AP33+Data!AP34+Data!AP35+Data!AP36+Data!AP37+Data!AP38+Data!AP39+Data!AP40+Data!AP41)</f>
        <v>0.062163375213722</v>
      </c>
      <c r="L41" s="18" t="n">
        <f aca="false">(Data!N30+Data!O30+Data!P30+Data!Q30+Data!R30+Data!S30+Data!N31+Data!O31+Data!P31+Data!Q31+Data!R31+Data!S31+Data!N32+Data!O32+Data!P32+Data!Q32+Data!R32+Data!S32+Data!N33+Data!O33+Data!P33+Data!Q33+Data!R33+Data!S33+Data!N34+Data!O34+Data!P34+Data!Q34+Data!R34+Data!S34+Data!N35+Data!O35+Data!P35+Data!Q35+Data!R35+Data!S35+Data!N36+Data!O36+Data!P36+Data!Q36+Data!R36+Data!S36+Data!N37+Data!O37+Data!P37+Data!Q37+Data!R37+Data!S37+Data!N38+Data!O38+Data!P38+Data!Q38+Data!R38+Data!S38+Data!N39+Data!O39+Data!P39+Data!Q39+Data!R39+Data!S39+Data!N40+Data!O40+Data!P40+Data!Q40+Data!R40+Data!S40+Data!N41+Data!O41+Data!P41+Data!Q41+Data!R41+Data!S41)/(Data!AP30+Data!AP31+Data!AP32+Data!AP33+Data!AP34+Data!AP35+Data!AP36+Data!AP37+Data!AP38+Data!AP39+Data!AP40+Data!AP41)</f>
        <v>0.0195265565206183</v>
      </c>
      <c r="M41" s="17" t="n">
        <f aca="false">(Data!T30+Data!U30+Data!V30+Data!W30+Data!X30+Data!Y30+Data!Z30+Data!AA30+Data!AB30+Data!AC30+Data!AD30+Data!AE30+Data!AF30+Data!AG30+Data!AH30+Data!AI30+Data!AJ30+Data!AK30+Data!AL30+Data!T31+Data!U31+Data!V31+Data!W31+Data!X31+Data!Y31+Data!Z31+Data!AA31+Data!AB31+Data!AC31+Data!AD31+Data!AE31+Data!AF31+Data!AG31+Data!AH31+Data!AI31+Data!AJ31+Data!AK31+Data!AL31+Data!T32+Data!U32+Data!V32+Data!W32+Data!X32+Data!Y32+Data!Z32+Data!AA32+Data!AB32+Data!AC32+Data!AD32+Data!AE32+Data!AF32+Data!AG32+Data!AH32+Data!AI32+Data!AJ32+Data!AK32+Data!AL32+Data!T33+Data!U33+Data!V33+Data!W33+Data!X33+Data!Y33+Data!Z33+Data!AA33+Data!AB33+Data!AC33+Data!AD33+Data!AE33+Data!AF33+Data!AG33+Data!AH33+Data!AI33+Data!AJ33+Data!AK33+Data!AL33+Data!T34+Data!U34+Data!V34+Data!W34+Data!X34+Data!Y34+Data!Z34+Data!AA34+Data!AB34+Data!AC34+Data!AD34+Data!AE34+Data!AF34+Data!AG34+Data!AH34+Data!AI34+Data!AJ34+Data!AK34+Data!AL34+Data!T35+Data!U35+Data!V35+Data!W35+Data!X35+Data!Y35+Data!Z35+Data!AA35+Data!AB35+Data!AC35+Data!AD35+Data!AE35+Data!AF35+Data!AG35+Data!AH35+Data!AI35+Data!AJ35+Data!AK35+Data!AL35+Data!T36+Data!U36+Data!V36+Data!W36+Data!X36+Data!Y36+Data!Z36+Data!AA36+Data!AB36+Data!AC36+Data!AD36+Data!AE36+Data!AF36+Data!AG36+Data!AH36+Data!AI36+Data!AJ36+Data!AK36+Data!AL36+Data!T37+Data!U37+Data!V37+Data!W37+Data!X37+Data!Y37+Data!Z37+Data!AA37+Data!AB37+Data!AC37+Data!AD37+Data!AE37+Data!AF37+Data!AG37+Data!AH37+Data!AI37+Data!AJ37+Data!AK37+Data!AL37+Data!T38+Data!U38+Data!V38+Data!W38+Data!X38+Data!Y38+Data!Z38+Data!AA38+Data!AB38+Data!AC38+Data!AD38+Data!AE38+Data!AF38+Data!AG38+Data!AH38+Data!AI38+Data!AJ38+Data!AK38+Data!AL38+Data!T39+Data!U39+Data!V39+Data!W39+Data!X39+Data!Y39+Data!Z39+Data!AA39+Data!AB39+Data!AC39+Data!AD39+Data!AE39+Data!AF39+Data!AG39+Data!AH39+Data!AI39+Data!AJ39+Data!AK39+Data!AL39+Data!T40+Data!U40+Data!V40+Data!W40+Data!X40+Data!Y40+Data!Z40+Data!AA40+Data!AB40+Data!AC40+Data!AD40+Data!AE40+Data!AF40+Data!AG40+Data!AH40+Data!AI40+Data!AJ40+Data!AK40+Data!AL40+Data!T41+Data!U41+Data!V41+Data!W41+Data!X41+Data!Y41+Data!Z41+Data!AA41+Data!AB41+Data!AC41+Data!AD41+Data!AE41+Data!AF41+Data!AG41+Data!AH41+Data!AI41+Data!AJ41+Data!AK41+Data!AL41)/(Data!AP30+Data!AP31+Data!AP32+Data!AP33+Data!AP34+Data!AP35+Data!AP36+Data!AP37+Data!AP38+Data!AP39+Data!AP40+Data!AP41)</f>
        <v>0.200634346419533</v>
      </c>
      <c r="N41" s="18" t="n">
        <f aca="false">(Data!T30+Data!U30+Data!V30+Data!W30+Data!T31+Data!U31+Data!V31+Data!W31+Data!T32+Data!U32+Data!V32+Data!W32+Data!T33+Data!U33+Data!V33+Data!W33+Data!T34+Data!U34+Data!V34+Data!W34+Data!T35+Data!U35+Data!V35+Data!W35+Data!T36+Data!U36+Data!V36+Data!W36+Data!T37+Data!U37+Data!V37+Data!W37+Data!T38+Data!U38+Data!V38+Data!W38+Data!T39+Data!U39+Data!V39+Data!W39+Data!T40+Data!U40+Data!V40+Data!W40+Data!T41+Data!U41+Data!V41+Data!W41)/(Data!AP30+Data!AP31+Data!AP32+Data!AP33+Data!AP34+Data!AP35+Data!AP36+Data!AP37+Data!AP38+Data!AP39+Data!AP40+Data!AP41)</f>
        <v>0.109002237603983</v>
      </c>
      <c r="O41" s="18" t="n">
        <f aca="false">(Data!T30+Data!T31+Data!T32+Data!T33+Data!T34+Data!T35+Data!T36+Data!T37+Data!T38+Data!T39+Data!T40+Data!T41)/(Data!AP30+Data!AP31+Data!AP32+Data!AP33+Data!AP34+Data!AP35+Data!AP36+Data!AP37+Data!AP38+Data!AP39+Data!AP40+Data!AP41)</f>
        <v>0.0796250320065996</v>
      </c>
      <c r="P41" s="18" t="n">
        <f aca="false">(Data!U30+Data!U31+Data!U32+Data!U33+Data!U34+Data!U35+Data!U36+Data!U37+Data!U38+Data!U39+Data!U40+Data!U41)/(Data!AP30+Data!AP31+Data!AP32+Data!AP33+Data!AP34+Data!AP35+Data!AP36+Data!AP37+Data!AP38+Data!AP39+Data!AP40+Data!AP41)</f>
        <v>0.0122956345634187</v>
      </c>
      <c r="Q41" s="18" t="n">
        <f aca="false">(Data!V30+Data!V31+Data!V32+Data!V33+Data!V34+Data!V35+Data!V36+Data!V37+Data!V38+Data!V39+Data!V40+Data!V41)/(Data!AP30+Data!AP31+Data!AP32+Data!AP33+Data!AP34+Data!AP35+Data!AP36+Data!AP37+Data!AP38+Data!AP39+Data!AP40+Data!AP41)</f>
        <v>0.00822152046636614</v>
      </c>
      <c r="R41" s="18" t="n">
        <f aca="false">(Data!W30+Data!W31+Data!W32+Data!W33+Data!W34+Data!W35+Data!W36+Data!W37+Data!W38+Data!W39+Data!W40+Data!W41)/(Data!AP30+Data!AP31+Data!AP32+Data!AP33+Data!AP34+Data!AP35+Data!AP36+Data!AP37+Data!AP38+Data!AP39+Data!AP40+Data!AP41)</f>
        <v>0.00886005056759856</v>
      </c>
      <c r="S41" s="18" t="n">
        <f aca="false">(Data!X30+Data!X31+Data!X32+Data!X33+Data!X34+Data!X35+Data!X36+Data!X37+Data!X38+Data!X39+Data!X40+Data!X41)/(Data!AP30+Data!AP31+Data!AP32+Data!AP33+Data!AP34+Data!AP35+Data!AP36+Data!AP37+Data!AP38+Data!AP39+Data!AP40+Data!AP41)</f>
        <v>0.00381944266483986</v>
      </c>
      <c r="T41" s="18" t="n">
        <f aca="false">(Data!Y30+Data!Z30+Data!AA30+Data!Y31+Data!Z31+Data!AA31+Data!Y32+Data!Z32+Data!AA32+Data!Y33+Data!Z33+Data!AA33+Data!Y34+Data!Z34+Data!AA34+Data!Y35+Data!Z35+Data!AA35+Data!Y36+Data!Z36+Data!AA36+Data!Y37+Data!Z37+Data!AA37+Data!Y38+Data!Z38+Data!AA38+Data!Y39+Data!Z39+Data!AA39+Data!Y40+Data!Z40+Data!AA40+Data!Y41+Data!Z41+Data!AA41)/(Data!AP30+Data!AP31+Data!AP32+Data!AP33+Data!AP34+Data!AP35+Data!AP36+Data!AP37+Data!AP38+Data!AP39+Data!AP40+Data!AP41)</f>
        <v>0.0201140824667025</v>
      </c>
      <c r="U41" s="18" t="n">
        <f aca="false">(Data!Y30+Data!Y31+Data!Y32+Data!Y33+Data!Y34+Data!Y35+Data!Y36+Data!Y37+Data!Y38+Data!Y39+Data!Y40+Data!Y41)/(Data!AP30+Data!AP31+Data!AP32+Data!AP33+Data!AP34+Data!AP35+Data!AP36+Data!AP37+Data!AP38+Data!AP39+Data!AP40+Data!AP41)</f>
        <v>0.012839562437157</v>
      </c>
      <c r="V41" s="18" t="n">
        <f aca="false">(Data!Z30+Data!Z31+Data!Z32+Data!Z33+Data!Z34+Data!Z35+Data!Z36+Data!Z37+Data!Z38+Data!Z39+Data!Z40+Data!Z41)/(Data!AP30+Data!AP31+Data!AP32+Data!AP33+Data!AP34+Data!AP35+Data!AP36+Data!AP37+Data!AP38+Data!AP39+Data!AP40+Data!AP41)</f>
        <v>0.00715714060399885</v>
      </c>
      <c r="W41" s="18" t="n">
        <f aca="false">(Data!AB30+Data!AB31+Data!AB32+Data!AB33+Data!AB34+Data!AB35+Data!AB36+Data!AB37+Data!AB38+Data!AB39+Data!AB40+Data!AB41)/(Data!AP30+Data!AP31+Data!AP32+Data!AP33+Data!AP34+Data!AP35+Data!AP36+Data!AP37+Data!AP38+Data!AP39+Data!AP40+Data!AP41)</f>
        <v>0.0271309965783966</v>
      </c>
      <c r="X41" s="18" t="n">
        <f aca="false">(Data!AC30+Data!AC31+Data!AC32+Data!AC33+Data!AC34+Data!AC35+Data!AC36+Data!AC37+Data!AC38+Data!AC39+Data!AC40+Data!AC41)/(Data!AP30+Data!AP31+Data!AP32+Data!AP33+Data!AP34+Data!AP35+Data!AP36+Data!AP37+Data!AP38+Data!AP39+Data!AP40+Data!AP41)</f>
        <v>0.00879164910473539</v>
      </c>
      <c r="Y41" s="18" t="n">
        <f aca="false">(Data!AD30+Data!AE30+Data!AF30+Data!AG30+Data!AH30+Data!AD31+Data!AE31+Data!AF31+Data!AG31+Data!AH31+Data!AD32+Data!AE32+Data!AF32+Data!AG32+Data!AH32+Data!AD33+Data!AE33+Data!AF33+Data!AG33+Data!AH33+Data!AD34+Data!AE34+Data!AF34+Data!AG34+Data!AH34+Data!AD35+Data!AE35+Data!AF35+Data!AG35+Data!AH35+Data!AD36+Data!AE36+Data!AF36+Data!AG36+Data!AH36+Data!AD37+Data!AE37+Data!AF37+Data!AG37+Data!AH37+Data!AD38+Data!AE38+Data!AF38+Data!AG38+Data!AH38+Data!AD39+Data!AE39+Data!AF39+Data!AG39+Data!AH39+Data!AD40+Data!AE40+Data!AF40+Data!AG40+Data!AH40+Data!AD41+Data!AE41+Data!AF41+Data!AG41+Data!AH41)/(Data!AP30+Data!AP31+Data!AP32+Data!AP33+Data!AP34+Data!AP35+Data!AP36+Data!AP37+Data!AP38+Data!AP39+Data!AP40+Data!AP41)</f>
        <v>0.00620944148012134</v>
      </c>
      <c r="Z41" s="18" t="n">
        <f aca="false">(Data!AI30+Data!AI31+Data!AI32+Data!AI33+Data!AI34+Data!AI35+Data!AI36+Data!AI37+Data!AI38+Data!AI39+Data!AI40+Data!AI41)/(Data!AP30+Data!AP31+Data!AP32+Data!AP33+Data!AP34+Data!AP35+Data!AP36+Data!AP37+Data!AP38+Data!AP39+Data!AP40+Data!AP41)</f>
        <v>0.00735375114178942</v>
      </c>
      <c r="AA41" s="18" t="n">
        <f aca="false">(Data!AJ30+Data!AJ31+Data!AJ32+Data!AJ33+Data!AJ34+Data!AJ35+Data!AJ36+Data!AJ37+Data!AJ38+Data!AJ39+Data!AJ40+Data!AJ41)/(Data!AP30+Data!AP31+Data!AP32+Data!AP33+Data!AP34+Data!AP35+Data!AP36+Data!AP37+Data!AP38+Data!AP39+Data!AP40+Data!AP41)</f>
        <v>0.000374286656341184</v>
      </c>
      <c r="AB41" s="18" t="n">
        <f aca="false">(Data!AK30+Data!AK31+Data!AK32+Data!AK33+Data!AK34+Data!AK35+Data!AK36+Data!AK37+Data!AK38+Data!AK39+Data!AK40+Data!AK41)/(Data!AP30+Data!AP31+Data!AP32+Data!AP33+Data!AP34+Data!AP35+Data!AP36+Data!AP37+Data!AP38+Data!AP39+Data!AP40+Data!AP41)</f>
        <v>0.00387659526608815</v>
      </c>
      <c r="AC41" s="18" t="n">
        <f aca="false">(Data!AL30+Data!AL31+Data!AL32+Data!AL33+Data!AL34+Data!AL35+Data!AL36+Data!AL37+Data!AL38+Data!AL39+Data!AL40+Data!AL41)/(Data!AP30+Data!AP31+Data!AP32+Data!AP33+Data!AP34+Data!AP35+Data!AP36+Data!AP37+Data!AP38+Data!AP39+Data!AP40+Data!AP41)</f>
        <v>0.0139618634565351</v>
      </c>
      <c r="AD41" s="17" t="n">
        <f aca="false">(Data!AM30+Data!AM31+Data!AM32+Data!AM33+Data!AM34+Data!AM35+Data!AM36+Data!AM37+Data!AM38+Data!AM39+Data!AM40+Data!AM41)/(Data!AP30+Data!AP31+Data!AP32+Data!AP33+Data!AP34+Data!AP35+Data!AP36+Data!AP37+Data!AP38+Data!AP39+Data!AP40+Data!AP41)</f>
        <v>-0.0225870154356291</v>
      </c>
      <c r="AE41" s="18" t="n">
        <f aca="false">(Data!AN30+Data!AN31+Data!AN32+Data!AN33+Data!AN34+Data!AN35+Data!AN36+Data!AN37+Data!AN38+Data!AN39+Data!AN40+Data!AN41)/(Data!AP30+Data!AP31+Data!AP32+Data!AP33+Data!AP34+Data!AP35+Data!AP36+Data!AP37+Data!AP38+Data!AP39+Data!AP40+Data!AP41)</f>
        <v>0.0252912836890705</v>
      </c>
      <c r="AF41" s="17" t="n">
        <f aca="false">(Data!AO30+Data!AO31+Data!AO32+Data!AO33+Data!AO34+Data!AO35+Data!AO36+Data!AO37+Data!AO38+Data!AO39+Data!AO40+Data!AO41)/(Data!AP30+Data!AP31+Data!AP32+Data!AP33+Data!AP34+Data!AP35+Data!AP36+Data!AP37+Data!AP38+Data!AP39+Data!AP40+Data!AP41)</f>
        <v>-0.0478782991246996</v>
      </c>
    </row>
    <row r="42" customFormat="false" ht="15" hidden="false" customHeight="false" outlineLevel="0" collapsed="false">
      <c r="B42" s="14" t="str">
        <f aca="false">Data!B42</f>
        <v>2018-12</v>
      </c>
      <c r="C42" s="17" t="n">
        <f aca="false">(Data!D31+Data!E31+Data!F31+Data!G31+Data!H31+Data!I31+Data!J31+Data!K31+Data!L31+Data!M31+Data!N31+Data!O31+Data!P31+Data!Q31+Data!R31+Data!S31+Data!D32+Data!E32+Data!F32+Data!G32+Data!H32+Data!I32+Data!J32+Data!K32+Data!L32+Data!M32+Data!N32+Data!O32+Data!P32+Data!Q32+Data!R32+Data!S32+Data!D33+Data!E33+Data!F33+Data!G33+Data!H33+Data!I33+Data!J33+Data!K33+Data!L33+Data!M33+Data!N33+Data!O33+Data!P33+Data!Q33+Data!R33+Data!S33+Data!D34+Data!E34+Data!F34+Data!G34+Data!H34+Data!I34+Data!J34+Data!K34+Data!L34+Data!M34+Data!N34+Data!O34+Data!P34+Data!Q34+Data!R34+Data!S34+Data!D35+Data!E35+Data!F35+Data!G35+Data!H35+Data!I35+Data!J35+Data!K35+Data!L35+Data!M35+Data!N35+Data!O35+Data!P35+Data!Q35+Data!R35+Data!S35+Data!D36+Data!E36+Data!F36+Data!G36+Data!H36+Data!I36+Data!J36+Data!K36+Data!L36+Data!M36+Data!N36+Data!O36+Data!P36+Data!Q36+Data!R36+Data!S36+Data!D37+Data!E37+Data!F37+Data!G37+Data!H37+Data!I37+Data!J37+Data!K37+Data!L37+Data!M37+Data!N37+Data!O37+Data!P37+Data!Q37+Data!R37+Data!S37+Data!D38+Data!E38+Data!F38+Data!G38+Data!H38+Data!I38+Data!J38+Data!K38+Data!L38+Data!M38+Data!N38+Data!O38+Data!P38+Data!Q38+Data!R38+Data!S38+Data!D39+Data!E39+Data!F39+Data!G39+Data!H39+Data!I39+Data!J39+Data!K39+Data!L39+Data!M39+Data!N39+Data!O39+Data!P39+Data!Q39+Data!R39+Data!S39+Data!D40+Data!E40+Data!F40+Data!G40+Data!H40+Data!I40+Data!J40+Data!K40+Data!L40+Data!M40+Data!N40+Data!O40+Data!P40+Data!Q40+Data!R40+Data!S40+Data!D41+Data!E41+Data!F41+Data!G41+Data!H41+Data!I41+Data!J41+Data!K41+Data!L41+Data!M41+Data!N41+Data!O41+Data!P41+Data!Q41+Data!R41+Data!S41+Data!D42+Data!E42+Data!F42+Data!G42+Data!H42+Data!I42+Data!J42+Data!K42+Data!L42+Data!M42+Data!N42+Data!O42+Data!P42+Data!Q42+Data!R42+Data!S42)/(Data!AP31+Data!AP32+Data!AP33+Data!AP34+Data!AP35+Data!AP36+Data!AP37+Data!AP38+Data!AP39+Data!AP40+Data!AP41+Data!AP42)</f>
        <v>0.176371881397546</v>
      </c>
      <c r="D42" s="18" t="n">
        <f aca="false">(Data!D31+Data!E31+Data!G31+Data!H31+Data!I31+Data!J31+Data!K31+Data!L31+Data!M31+Data!D32+Data!E32+Data!G32+Data!H32+Data!I32+Data!J32+Data!K32+Data!L32+Data!M32+Data!D33+Data!E33+Data!G33+Data!H33+Data!I33+Data!J33+Data!K33+Data!L33+Data!M33+Data!D34+Data!E34+Data!G34+Data!H34+Data!I34+Data!J34+Data!K34+Data!L34+Data!M34+Data!D35+Data!E35+Data!G35+Data!H35+Data!I35+Data!J35+Data!K35+Data!L35+Data!M35+Data!D36+Data!E36+Data!G36+Data!H36+Data!I36+Data!J36+Data!K36+Data!L36+Data!M36+Data!D37+Data!E37+Data!G37+Data!H37+Data!I37+Data!J37+Data!K37+Data!L37+Data!M37+Data!D38+Data!E38+Data!G38+Data!H38+Data!I38+Data!J38+Data!K38+Data!L38+Data!M38+Data!D39+Data!E39+Data!G39+Data!H39+Data!I39+Data!J39+Data!K39+Data!L39+Data!M39+Data!D40+Data!E40+Data!G40+Data!H40+Data!I40+Data!J40+Data!K40+Data!L40+Data!M40+Data!D41+Data!E41+Data!G41+Data!H41+Data!I41+Data!J41+Data!K41+Data!L41+Data!M41+Data!D42+Data!E42+Data!G42+Data!H42+Data!I42+Data!J42+Data!K42+Data!L42+Data!M42)/(Data!AP31+Data!AP32+Data!AP33+Data!AP34+Data!AP35+Data!AP36+Data!AP37+Data!AP38+Data!AP39+Data!AP40+Data!AP41+Data!AP42)</f>
        <v>0.0959395838280317</v>
      </c>
      <c r="E42" s="18" t="n">
        <f aca="false">(Data!D31+Data!D32+Data!D33+Data!D34+Data!D35+Data!D36+Data!D37+Data!D38+Data!D39+Data!D40+Data!D41+Data!D42)/(Data!AP31+Data!AP32+Data!AP33+Data!AP34+Data!AP35+Data!AP36+Data!AP37+Data!AP38+Data!AP39+Data!AP40+Data!AP41+Data!AP42)</f>
        <v>0.0336103332112703</v>
      </c>
      <c r="F42" s="18" t="n">
        <f aca="false">(Data!E31+Data!E32+Data!E33+Data!E34+Data!E35+Data!E36+Data!E37+Data!E38+Data!E39+Data!E40+Data!E41+Data!E42)/(Data!AP31+Data!AP32+Data!AP33+Data!AP34+Data!AP35+Data!AP36+Data!AP37+Data!AP38+Data!AP39+Data!AP40+Data!AP41+Data!AP42)</f>
        <v>0.0194460279128636</v>
      </c>
      <c r="G42" s="18" t="n">
        <f aca="false">(Data!K31+Data!K32+Data!K33+Data!K34+Data!K35+Data!K36+Data!K37+Data!K38+Data!K39+Data!K40+Data!K41+Data!K42)/(Data!AP31+Data!AP32+Data!AP33+Data!AP34+Data!AP35+Data!AP36+Data!AP37+Data!AP38+Data!AP39+Data!AP40+Data!AP41+Data!AP42)</f>
        <v>0.00654908374977565</v>
      </c>
      <c r="H42" s="18" t="n">
        <f aca="false">(Data!L31+Data!L32+Data!L33+Data!L34+Data!L35+Data!L36+Data!L37+Data!L38+Data!L39+Data!L40+Data!L41+Data!L42)/(Data!AP31+Data!AP32+Data!AP33+Data!AP34+Data!AP35+Data!AP36+Data!AP37+Data!AP38+Data!AP39+Data!AP40+Data!AP41+Data!AP42)</f>
        <v>0.00705671997270394</v>
      </c>
      <c r="I42" s="18" t="n">
        <f aca="false">(Data!G31+Data!G32+Data!G33+Data!G34+Data!G35+Data!G36+Data!G37+Data!G38+Data!G39+Data!G40+Data!G41+Data!G42)/(Data!AP31+Data!AP32+Data!AP33+Data!AP34+Data!AP35+Data!AP36+Data!AP37+Data!AP38+Data!AP39+Data!AP40+Data!AP41+Data!AP42)</f>
        <v>0.0157744989129376</v>
      </c>
      <c r="J42" s="18" t="n">
        <f aca="false">(Data!H31+Data!I31+Data!J31+Data!M31+Data!H32+Data!I32+Data!J32+Data!M32+Data!H33+Data!I33+Data!J33+Data!M33+Data!H34+Data!I34+Data!J34+Data!M34+Data!H35+Data!I35+Data!J35+Data!M35+Data!H36+Data!I36+Data!J36+Data!M36+Data!H37+Data!I37+Data!J37+Data!M37+Data!H38+Data!I38+Data!J38+Data!M38+Data!H39+Data!I39+Data!J39+Data!M39+Data!H40+Data!I40+Data!J40+Data!M40+Data!H41+Data!I41+Data!J41+Data!M41+Data!H42+Data!I42+Data!J42+Data!M42)/(Data!AP31+Data!AP32+Data!AP33+Data!AP34+Data!AP35+Data!AP36+Data!AP37+Data!AP38+Data!AP39+Data!AP40+Data!AP41+Data!AP42)</f>
        <v>0.0135029200684806</v>
      </c>
      <c r="K42" s="18" t="n">
        <f aca="false">(Data!F31+Data!F32+Data!F33+Data!F34+Data!F35+Data!F36+Data!F37+Data!F38+Data!F39+Data!F40+Data!F41+Data!F42)/(Data!AP31+Data!AP32+Data!AP33+Data!AP34+Data!AP35+Data!AP36+Data!AP37+Data!AP38+Data!AP39+Data!AP40+Data!AP41+Data!AP42)</f>
        <v>0.0611688423636815</v>
      </c>
      <c r="L42" s="18" t="n">
        <f aca="false">(Data!N31+Data!O31+Data!P31+Data!Q31+Data!R31+Data!S31+Data!N32+Data!O32+Data!P32+Data!Q32+Data!R32+Data!S32+Data!N33+Data!O33+Data!P33+Data!Q33+Data!R33+Data!S33+Data!N34+Data!O34+Data!P34+Data!Q34+Data!R34+Data!S34+Data!N35+Data!O35+Data!P35+Data!Q35+Data!R35+Data!S35+Data!N36+Data!O36+Data!P36+Data!Q36+Data!R36+Data!S36+Data!N37+Data!O37+Data!P37+Data!Q37+Data!R37+Data!S37+Data!N38+Data!O38+Data!P38+Data!Q38+Data!R38+Data!S38+Data!N39+Data!O39+Data!P39+Data!Q39+Data!R39+Data!S39+Data!N40+Data!O40+Data!P40+Data!Q40+Data!R40+Data!S40+Data!N41+Data!O41+Data!P41+Data!Q41+Data!R41+Data!S41+Data!N42+Data!O42+Data!P42+Data!Q42+Data!R42+Data!S42)/(Data!AP31+Data!AP32+Data!AP33+Data!AP34+Data!AP35+Data!AP36+Data!AP37+Data!AP38+Data!AP39+Data!AP40+Data!AP41+Data!AP42)</f>
        <v>0.0192634552058331</v>
      </c>
      <c r="M42" s="17" t="n">
        <f aca="false">(Data!T31+Data!U31+Data!V31+Data!W31+Data!X31+Data!Y31+Data!Z31+Data!AA31+Data!AB31+Data!AC31+Data!AD31+Data!AE31+Data!AF31+Data!AG31+Data!AH31+Data!AI31+Data!AJ31+Data!AK31+Data!AL31+Data!T32+Data!U32+Data!V32+Data!W32+Data!X32+Data!Y32+Data!Z32+Data!AA32+Data!AB32+Data!AC32+Data!AD32+Data!AE32+Data!AF32+Data!AG32+Data!AH32+Data!AI32+Data!AJ32+Data!AK32+Data!AL32+Data!T33+Data!U33+Data!V33+Data!W33+Data!X33+Data!Y33+Data!Z33+Data!AA33+Data!AB33+Data!AC33+Data!AD33+Data!AE33+Data!AF33+Data!AG33+Data!AH33+Data!AI33+Data!AJ33+Data!AK33+Data!AL33+Data!T34+Data!U34+Data!V34+Data!W34+Data!X34+Data!Y34+Data!Z34+Data!AA34+Data!AB34+Data!AC34+Data!AD34+Data!AE34+Data!AF34+Data!AG34+Data!AH34+Data!AI34+Data!AJ34+Data!AK34+Data!AL34+Data!T35+Data!U35+Data!V35+Data!W35+Data!X35+Data!Y35+Data!Z35+Data!AA35+Data!AB35+Data!AC35+Data!AD35+Data!AE35+Data!AF35+Data!AG35+Data!AH35+Data!AI35+Data!AJ35+Data!AK35+Data!AL35+Data!T36+Data!U36+Data!V36+Data!W36+Data!X36+Data!Y36+Data!Z36+Data!AA36+Data!AB36+Data!AC36+Data!AD36+Data!AE36+Data!AF36+Data!AG36+Data!AH36+Data!AI36+Data!AJ36+Data!AK36+Data!AL36+Data!T37+Data!U37+Data!V37+Data!W37+Data!X37+Data!Y37+Data!Z37+Data!AA37+Data!AB37+Data!AC37+Data!AD37+Data!AE37+Data!AF37+Data!AG37+Data!AH37+Data!AI37+Data!AJ37+Data!AK37+Data!AL37+Data!T38+Data!U38+Data!V38+Data!W38+Data!X38+Data!Y38+Data!Z38+Data!AA38+Data!AB38+Data!AC38+Data!AD38+Data!AE38+Data!AF38+Data!AG38+Data!AH38+Data!AI38+Data!AJ38+Data!AK38+Data!AL38+Data!T39+Data!U39+Data!V39+Data!W39+Data!X39+Data!Y39+Data!Z39+Data!AA39+Data!AB39+Data!AC39+Data!AD39+Data!AE39+Data!AF39+Data!AG39+Data!AH39+Data!AI39+Data!AJ39+Data!AK39+Data!AL39+Data!T40+Data!U40+Data!V40+Data!W40+Data!X40+Data!Y40+Data!Z40+Data!AA40+Data!AB40+Data!AC40+Data!AD40+Data!AE40+Data!AF40+Data!AG40+Data!AH40+Data!AI40+Data!AJ40+Data!AK40+Data!AL40+Data!T41+Data!U41+Data!V41+Data!W41+Data!X41+Data!Y41+Data!Z41+Data!AA41+Data!AB41+Data!AC41+Data!AD41+Data!AE41+Data!AF41+Data!AG41+Data!AH41+Data!AI41+Data!AJ41+Data!AK41+Data!AL41+Data!T42+Data!U42+Data!V42+Data!W42+Data!X42+Data!Y42+Data!Z42+Data!AA42+Data!AB42+Data!AC42+Data!AD42+Data!AE42+Data!AF42+Data!AG42+Data!AH42+Data!AI42+Data!AJ42+Data!AK42+Data!AL42)/(Data!AP31+Data!AP32+Data!AP33+Data!AP34+Data!AP35+Data!AP36+Data!AP37+Data!AP38+Data!AP39+Data!AP40+Data!AP41+Data!AP42)</f>
        <v>0.199362139286897</v>
      </c>
      <c r="N42" s="18" t="n">
        <f aca="false">(Data!T31+Data!U31+Data!V31+Data!W31+Data!T32+Data!U32+Data!V32+Data!W32+Data!T33+Data!U33+Data!V33+Data!W33+Data!T34+Data!U34+Data!V34+Data!W34+Data!T35+Data!U35+Data!V35+Data!W35+Data!T36+Data!U36+Data!V36+Data!W36+Data!T37+Data!U37+Data!V37+Data!W37+Data!T38+Data!U38+Data!V38+Data!W38+Data!T39+Data!U39+Data!V39+Data!W39+Data!T40+Data!U40+Data!V40+Data!W40+Data!T41+Data!U41+Data!V41+Data!W41+Data!T42+Data!U42+Data!V42+Data!W42)/(Data!AP31+Data!AP32+Data!AP33+Data!AP34+Data!AP35+Data!AP36+Data!AP37+Data!AP38+Data!AP39+Data!AP40+Data!AP41+Data!AP42)</f>
        <v>0.108896142184834</v>
      </c>
      <c r="O42" s="18" t="n">
        <f aca="false">(Data!T31+Data!T32+Data!T33+Data!T34+Data!T35+Data!T36+Data!T37+Data!T38+Data!T39+Data!T40+Data!T41+Data!T42)/(Data!AP31+Data!AP32+Data!AP33+Data!AP34+Data!AP35+Data!AP36+Data!AP37+Data!AP38+Data!AP39+Data!AP40+Data!AP41+Data!AP42)</f>
        <v>0.0793787065577322</v>
      </c>
      <c r="P42" s="18" t="n">
        <f aca="false">(Data!U31+Data!U32+Data!U33+Data!U34+Data!U35+Data!U36+Data!U37+Data!U38+Data!U39+Data!U40+Data!U41+Data!U42)/(Data!AP31+Data!AP32+Data!AP33+Data!AP34+Data!AP35+Data!AP36+Data!AP37+Data!AP38+Data!AP39+Data!AP40+Data!AP41+Data!AP42)</f>
        <v>0.0125408188716255</v>
      </c>
      <c r="Q42" s="18" t="n">
        <f aca="false">(Data!V31+Data!V32+Data!V33+Data!V34+Data!V35+Data!V36+Data!V37+Data!V38+Data!V39+Data!V40+Data!V41+Data!V42)/(Data!AP31+Data!AP32+Data!AP33+Data!AP34+Data!AP35+Data!AP36+Data!AP37+Data!AP38+Data!AP39+Data!AP40+Data!AP41+Data!AP42)</f>
        <v>0.00822357117049703</v>
      </c>
      <c r="R42" s="18" t="n">
        <f aca="false">(Data!W31+Data!W32+Data!W33+Data!W34+Data!W35+Data!W36+Data!W37+Data!W38+Data!W39+Data!W40+Data!W41+Data!W42)/(Data!AP31+Data!AP32+Data!AP33+Data!AP34+Data!AP35+Data!AP36+Data!AP37+Data!AP38+Data!AP39+Data!AP40+Data!AP41+Data!AP42)</f>
        <v>0.00875304558497949</v>
      </c>
      <c r="S42" s="18" t="n">
        <f aca="false">(Data!X31+Data!X32+Data!X33+Data!X34+Data!X35+Data!X36+Data!X37+Data!X38+Data!X39+Data!X40+Data!X41+Data!X42)/(Data!AP31+Data!AP32+Data!AP33+Data!AP34+Data!AP35+Data!AP36+Data!AP37+Data!AP38+Data!AP39+Data!AP40+Data!AP41+Data!AP42)</f>
        <v>0.00402439890879653</v>
      </c>
      <c r="T42" s="18" t="n">
        <f aca="false">(Data!Y31+Data!Z31+Data!AA31+Data!Y32+Data!Z32+Data!AA32+Data!Y33+Data!Z33+Data!AA33+Data!Y34+Data!Z34+Data!AA34+Data!Y35+Data!Z35+Data!AA35+Data!Y36+Data!Z36+Data!AA36+Data!Y37+Data!Z37+Data!AA37+Data!Y38+Data!Z38+Data!AA38+Data!Y39+Data!Z39+Data!AA39+Data!Y40+Data!Z40+Data!AA40+Data!Y41+Data!Z41+Data!AA41+Data!Y42+Data!Z42+Data!AA42)/(Data!AP31+Data!AP32+Data!AP33+Data!AP34+Data!AP35+Data!AP36+Data!AP37+Data!AP38+Data!AP39+Data!AP40+Data!AP41+Data!AP42)</f>
        <v>0.0190736935289122</v>
      </c>
      <c r="U42" s="18" t="n">
        <f aca="false">(Data!Y31+Data!Y32+Data!Y33+Data!Y34+Data!Y35+Data!Y36+Data!Y37+Data!Y38+Data!Y39+Data!Y40+Data!Y41+Data!Y42)/(Data!AP31+Data!AP32+Data!AP33+Data!AP34+Data!AP35+Data!AP36+Data!AP37+Data!AP38+Data!AP39+Data!AP40+Data!AP41+Data!AP42)</f>
        <v>0.0120643800652031</v>
      </c>
      <c r="V42" s="18" t="n">
        <f aca="false">(Data!Z31+Data!Z32+Data!Z33+Data!Z34+Data!Z35+Data!Z36+Data!Z37+Data!Z38+Data!Z39+Data!Z40+Data!Z41+Data!Z42)/(Data!AP31+Data!AP32+Data!AP33+Data!AP34+Data!AP35+Data!AP36+Data!AP37+Data!AP38+Data!AP39+Data!AP40+Data!AP41+Data!AP42)</f>
        <v>0.00692636902808561</v>
      </c>
      <c r="W42" s="18" t="n">
        <f aca="false">(Data!AB31+Data!AB32+Data!AB33+Data!AB34+Data!AB35+Data!AB36+Data!AB37+Data!AB38+Data!AB39+Data!AB40+Data!AB41+Data!AB42)/(Data!AP31+Data!AP32+Data!AP33+Data!AP34+Data!AP35+Data!AP36+Data!AP37+Data!AP38+Data!AP39+Data!AP40+Data!AP41+Data!AP42)</f>
        <v>0.0271848183590465</v>
      </c>
      <c r="X42" s="18" t="n">
        <f aca="false">(Data!AC31+Data!AC32+Data!AC33+Data!AC34+Data!AC35+Data!AC36+Data!AC37+Data!AC38+Data!AC39+Data!AC40+Data!AC41+Data!AC42)/(Data!AP31+Data!AP32+Data!AP33+Data!AP34+Data!AP35+Data!AP36+Data!AP37+Data!AP38+Data!AP39+Data!AP40+Data!AP41+Data!AP42)</f>
        <v>0.00918065365252296</v>
      </c>
      <c r="Y42" s="18" t="n">
        <f aca="false">(Data!AD31+Data!AE31+Data!AF31+Data!AG31+Data!AH31+Data!AD32+Data!AE32+Data!AF32+Data!AG32+Data!AH32+Data!AD33+Data!AE33+Data!AF33+Data!AG33+Data!AH33+Data!AD34+Data!AE34+Data!AF34+Data!AG34+Data!AH34+Data!AD35+Data!AE35+Data!AF35+Data!AG35+Data!AH35+Data!AD36+Data!AE36+Data!AF36+Data!AG36+Data!AH36+Data!AD37+Data!AE37+Data!AF37+Data!AG37+Data!AH37+Data!AD38+Data!AE38+Data!AF38+Data!AG38+Data!AH38+Data!AD39+Data!AE39+Data!AF39+Data!AG39+Data!AH39+Data!AD40+Data!AE40+Data!AF40+Data!AG40+Data!AH40+Data!AD41+Data!AE41+Data!AF41+Data!AG41+Data!AH41+Data!AD42+Data!AE42+Data!AF42+Data!AG42+Data!AH42)/(Data!AP31+Data!AP32+Data!AP33+Data!AP34+Data!AP35+Data!AP36+Data!AP37+Data!AP38+Data!AP39+Data!AP40+Data!AP41+Data!AP42)</f>
        <v>0.00537619653009336</v>
      </c>
      <c r="Z42" s="18" t="n">
        <f aca="false">(Data!AI31+Data!AI32+Data!AI33+Data!AI34+Data!AI35+Data!AI36+Data!AI37+Data!AI38+Data!AI39+Data!AI40+Data!AI41+Data!AI42)/(Data!AP31+Data!AP32+Data!AP33+Data!AP34+Data!AP35+Data!AP36+Data!AP37+Data!AP38+Data!AP39+Data!AP40+Data!AP41+Data!AP42)</f>
        <v>0.00737479798012327</v>
      </c>
      <c r="AA42" s="18" t="n">
        <f aca="false">(Data!AJ31+Data!AJ32+Data!AJ33+Data!AJ34+Data!AJ35+Data!AJ36+Data!AJ37+Data!AJ38+Data!AJ39+Data!AJ40+Data!AJ41+Data!AJ42)/(Data!AP31+Data!AP32+Data!AP33+Data!AP34+Data!AP35+Data!AP36+Data!AP37+Data!AP38+Data!AP39+Data!AP40+Data!AP41+Data!AP42)</f>
        <v>0.000259345479823353</v>
      </c>
      <c r="AB42" s="18" t="n">
        <f aca="false">(Data!AK31+Data!AK32+Data!AK33+Data!AK34+Data!AK35+Data!AK36+Data!AK37+Data!AK38+Data!AK39+Data!AK40+Data!AK41+Data!AK42)/(Data!AP31+Data!AP32+Data!AP33+Data!AP34+Data!AP35+Data!AP36+Data!AP37+Data!AP38+Data!AP39+Data!AP40+Data!AP41+Data!AP42)</f>
        <v>0.00372992242516866</v>
      </c>
      <c r="AC42" s="18" t="n">
        <f aca="false">(Data!AL31+Data!AL32+Data!AL33+Data!AL34+Data!AL35+Data!AL36+Data!AL37+Data!AL38+Data!AL39+Data!AL40+Data!AL41+Data!AL42)/(Data!AP31+Data!AP32+Data!AP33+Data!AP34+Data!AP35+Data!AP36+Data!AP37+Data!AP38+Data!AP39+Data!AP40+Data!AP41+Data!AP42)</f>
        <v>0.0142621702375765</v>
      </c>
      <c r="AD42" s="17" t="n">
        <f aca="false">(Data!AM31+Data!AM32+Data!AM33+Data!AM34+Data!AM35+Data!AM36+Data!AM37+Data!AM38+Data!AM39+Data!AM40+Data!AM41+Data!AM42)/(Data!AP31+Data!AP32+Data!AP33+Data!AP34+Data!AP35+Data!AP36+Data!AP37+Data!AP38+Data!AP39+Data!AP40+Data!AP41+Data!AP42)</f>
        <v>-0.0229902578893512</v>
      </c>
      <c r="AE42" s="18" t="n">
        <f aca="false">(Data!AN31+Data!AN32+Data!AN33+Data!AN34+Data!AN35+Data!AN36+Data!AN37+Data!AN38+Data!AN39+Data!AN40+Data!AN41+Data!AN42)/(Data!AP31+Data!AP32+Data!AP33+Data!AP34+Data!AP35+Data!AP36+Data!AP37+Data!AP38+Data!AP39+Data!AP40+Data!AP41+Data!AP42)</f>
        <v>0.0263780938604851</v>
      </c>
      <c r="AF42" s="17" t="n">
        <f aca="false">(Data!AO31+Data!AO32+Data!AO33+Data!AO34+Data!AO35+Data!AO36+Data!AO37+Data!AO38+Data!AO39+Data!AO40+Data!AO41+Data!AO42)/(Data!AP31+Data!AP32+Data!AP33+Data!AP34+Data!AP35+Data!AP36+Data!AP37+Data!AP38+Data!AP39+Data!AP40+Data!AP41+Data!AP42)</f>
        <v>-0.0493683517498362</v>
      </c>
    </row>
    <row r="43" customFormat="false" ht="15" hidden="false" customHeight="false" outlineLevel="0" collapsed="false">
      <c r="B43" s="14" t="str">
        <f aca="false">Data!B43</f>
        <v>2019-01</v>
      </c>
      <c r="C43" s="17" t="n">
        <f aca="false">(Data!D32+Data!E32+Data!F32+Data!G32+Data!H32+Data!I32+Data!J32+Data!K32+Data!L32+Data!M32+Data!N32+Data!O32+Data!P32+Data!Q32+Data!R32+Data!S32+Data!D33+Data!E33+Data!F33+Data!G33+Data!H33+Data!I33+Data!J33+Data!K33+Data!L33+Data!M33+Data!N33+Data!O33+Data!P33+Data!Q33+Data!R33+Data!S33+Data!D34+Data!E34+Data!F34+Data!G34+Data!H34+Data!I34+Data!J34+Data!K34+Data!L34+Data!M34+Data!N34+Data!O34+Data!P34+Data!Q34+Data!R34+Data!S34+Data!D35+Data!E35+Data!F35+Data!G35+Data!H35+Data!I35+Data!J35+Data!K35+Data!L35+Data!M35+Data!N35+Data!O35+Data!P35+Data!Q35+Data!R35+Data!S35+Data!D36+Data!E36+Data!F36+Data!G36+Data!H36+Data!I36+Data!J36+Data!K36+Data!L36+Data!M36+Data!N36+Data!O36+Data!P36+Data!Q36+Data!R36+Data!S36+Data!D37+Data!E37+Data!F37+Data!G37+Data!H37+Data!I37+Data!J37+Data!K37+Data!L37+Data!M37+Data!N37+Data!O37+Data!P37+Data!Q37+Data!R37+Data!S37+Data!D38+Data!E38+Data!F38+Data!G38+Data!H38+Data!I38+Data!J38+Data!K38+Data!L38+Data!M38+Data!N38+Data!O38+Data!P38+Data!Q38+Data!R38+Data!S38+Data!D39+Data!E39+Data!F39+Data!G39+Data!H39+Data!I39+Data!J39+Data!K39+Data!L39+Data!M39+Data!N39+Data!O39+Data!P39+Data!Q39+Data!R39+Data!S39+Data!D40+Data!E40+Data!F40+Data!G40+Data!H40+Data!I40+Data!J40+Data!K40+Data!L40+Data!M40+Data!N40+Data!O40+Data!P40+Data!Q40+Data!R40+Data!S40+Data!D41+Data!E41+Data!F41+Data!G41+Data!H41+Data!I41+Data!J41+Data!K41+Data!L41+Data!M41+Data!N41+Data!O41+Data!P41+Data!Q41+Data!R41+Data!S41+Data!D42+Data!E42+Data!F42+Data!G42+Data!H42+Data!I42+Data!J42+Data!K42+Data!L42+Data!M42+Data!N42+Data!O42+Data!P42+Data!Q42+Data!R42+Data!S42+Data!D43+Data!E43+Data!F43+Data!G43+Data!H43+Data!I43+Data!J43+Data!K43+Data!L43+Data!M43+Data!N43+Data!O43+Data!P43+Data!Q43+Data!R43+Data!S43)/(Data!AP32+Data!AP33+Data!AP34+Data!AP35+Data!AP36+Data!AP37+Data!AP38+Data!AP39+Data!AP40+Data!AP41+Data!AP42+Data!AP43)</f>
        <v>0.176824257530815</v>
      </c>
      <c r="D43" s="18" t="n">
        <f aca="false">(Data!D32+Data!E32+Data!G32+Data!H32+Data!I32+Data!J32+Data!K32+Data!L32+Data!M32+Data!D33+Data!E33+Data!G33+Data!H33+Data!I33+Data!J33+Data!K33+Data!L33+Data!M33+Data!D34+Data!E34+Data!G34+Data!H34+Data!I34+Data!J34+Data!K34+Data!L34+Data!M34+Data!D35+Data!E35+Data!G35+Data!H35+Data!I35+Data!J35+Data!K35+Data!L35+Data!M35+Data!D36+Data!E36+Data!G36+Data!H36+Data!I36+Data!J36+Data!K36+Data!L36+Data!M36+Data!D37+Data!E37+Data!G37+Data!H37+Data!I37+Data!J37+Data!K37+Data!L37+Data!M37+Data!D38+Data!E38+Data!G38+Data!H38+Data!I38+Data!J38+Data!K38+Data!L38+Data!M38+Data!D39+Data!E39+Data!G39+Data!H39+Data!I39+Data!J39+Data!K39+Data!L39+Data!M39+Data!D40+Data!E40+Data!G40+Data!H40+Data!I40+Data!J40+Data!K40+Data!L40+Data!M40+Data!D41+Data!E41+Data!G41+Data!H41+Data!I41+Data!J41+Data!K41+Data!L41+Data!M41+Data!D42+Data!E42+Data!G42+Data!H42+Data!I42+Data!J42+Data!K42+Data!L42+Data!M42+Data!D43+Data!E43+Data!G43+Data!H43+Data!I43+Data!J43+Data!K43+Data!L43+Data!M43)/(Data!AP32+Data!AP33+Data!AP34+Data!AP35+Data!AP36+Data!AP37+Data!AP38+Data!AP39+Data!AP40+Data!AP41+Data!AP42+Data!AP43)</f>
        <v>0.0961590621397298</v>
      </c>
      <c r="E43" s="18" t="n">
        <f aca="false">(Data!D32+Data!D33+Data!D34+Data!D35+Data!D36+Data!D37+Data!D38+Data!D39+Data!D40+Data!D41+Data!D42+Data!D43)/(Data!AP32+Data!AP33+Data!AP34+Data!AP35+Data!AP36+Data!AP37+Data!AP38+Data!AP39+Data!AP40+Data!AP41+Data!AP42+Data!AP43)</f>
        <v>0.0339081046241353</v>
      </c>
      <c r="F43" s="18" t="n">
        <f aca="false">(Data!E32+Data!E33+Data!E34+Data!E35+Data!E36+Data!E37+Data!E38+Data!E39+Data!E40+Data!E41+Data!E42+Data!E43)/(Data!AP32+Data!AP33+Data!AP34+Data!AP35+Data!AP36+Data!AP37+Data!AP38+Data!AP39+Data!AP40+Data!AP41+Data!AP42+Data!AP43)</f>
        <v>0.0188691866443873</v>
      </c>
      <c r="G43" s="18" t="n">
        <f aca="false">(Data!K32+Data!K33+Data!K34+Data!K35+Data!K36+Data!K37+Data!K38+Data!K39+Data!K40+Data!K41+Data!K42+Data!K43)/(Data!AP32+Data!AP33+Data!AP34+Data!AP35+Data!AP36+Data!AP37+Data!AP38+Data!AP39+Data!AP40+Data!AP41+Data!AP42+Data!AP43)</f>
        <v>0.00716532760738262</v>
      </c>
      <c r="H43" s="18" t="n">
        <f aca="false">(Data!L32+Data!L33+Data!L34+Data!L35+Data!L36+Data!L37+Data!L38+Data!L39+Data!L40+Data!L41+Data!L42+Data!L43)/(Data!AP32+Data!AP33+Data!AP34+Data!AP35+Data!AP36+Data!AP37+Data!AP38+Data!AP39+Data!AP40+Data!AP41+Data!AP42+Data!AP43)</f>
        <v>0.00696507886738097</v>
      </c>
      <c r="I43" s="18" t="n">
        <f aca="false">(Data!G32+Data!G33+Data!G34+Data!G35+Data!G36+Data!G37+Data!G38+Data!G39+Data!G40+Data!G41+Data!G42+Data!G43)/(Data!AP32+Data!AP33+Data!AP34+Data!AP35+Data!AP36+Data!AP37+Data!AP38+Data!AP39+Data!AP40+Data!AP41+Data!AP42+Data!AP43)</f>
        <v>0.0157085698307884</v>
      </c>
      <c r="J43" s="18" t="n">
        <f aca="false">(Data!H32+Data!I32+Data!J32+Data!M32+Data!H33+Data!I33+Data!J33+Data!M33+Data!H34+Data!I34+Data!J34+Data!M34+Data!H35+Data!I35+Data!J35+Data!M35+Data!H36+Data!I36+Data!J36+Data!M36+Data!H37+Data!I37+Data!J37+Data!M37+Data!H38+Data!I38+Data!J38+Data!M38+Data!H39+Data!I39+Data!J39+Data!M39+Data!H40+Data!I40+Data!J40+Data!M40+Data!H41+Data!I41+Data!J41+Data!M41+Data!H42+Data!I42+Data!J42+Data!M42+Data!H43+Data!I43+Data!J43+Data!M43)/(Data!AP32+Data!AP33+Data!AP34+Data!AP35+Data!AP36+Data!AP37+Data!AP38+Data!AP39+Data!AP40+Data!AP41+Data!AP42+Data!AP43)</f>
        <v>0.0135427945656553</v>
      </c>
      <c r="K43" s="18" t="n">
        <f aca="false">(Data!F32+Data!F33+Data!F34+Data!F35+Data!F36+Data!F37+Data!F38+Data!F39+Data!F40+Data!F41+Data!F42+Data!F43)/(Data!AP32+Data!AP33+Data!AP34+Data!AP35+Data!AP36+Data!AP37+Data!AP38+Data!AP39+Data!AP40+Data!AP41+Data!AP42+Data!AP43)</f>
        <v>0.0611730200002001</v>
      </c>
      <c r="L43" s="18" t="n">
        <f aca="false">(Data!N32+Data!O32+Data!P32+Data!Q32+Data!R32+Data!S32+Data!N33+Data!O33+Data!P33+Data!Q33+Data!R33+Data!S33+Data!N34+Data!O34+Data!P34+Data!Q34+Data!R34+Data!S34+Data!N35+Data!O35+Data!P35+Data!Q35+Data!R35+Data!S35+Data!N36+Data!O36+Data!P36+Data!Q36+Data!R36+Data!S36+Data!N37+Data!O37+Data!P37+Data!Q37+Data!R37+Data!S37+Data!N38+Data!O38+Data!P38+Data!Q38+Data!R38+Data!S38+Data!N39+Data!O39+Data!P39+Data!Q39+Data!R39+Data!S39+Data!N40+Data!O40+Data!P40+Data!Q40+Data!R40+Data!S40+Data!N41+Data!O41+Data!P41+Data!Q41+Data!R41+Data!S41+Data!N42+Data!O42+Data!P42+Data!Q42+Data!R42+Data!S42+Data!N43+Data!O43+Data!P43+Data!Q43+Data!R43+Data!S43)/(Data!AP32+Data!AP33+Data!AP34+Data!AP35+Data!AP36+Data!AP37+Data!AP38+Data!AP39+Data!AP40+Data!AP41+Data!AP42+Data!AP43)</f>
        <v>0.0194921753908855</v>
      </c>
      <c r="M43" s="17" t="n">
        <f aca="false">(Data!T32+Data!U32+Data!V32+Data!W32+Data!X32+Data!Y32+Data!Z32+Data!AA32+Data!AB32+Data!AC32+Data!AD32+Data!AE32+Data!AF32+Data!AG32+Data!AH32+Data!AI32+Data!AJ32+Data!AK32+Data!AL32+Data!T33+Data!U33+Data!V33+Data!W33+Data!X33+Data!Y33+Data!Z33+Data!AA33+Data!AB33+Data!AC33+Data!AD33+Data!AE33+Data!AF33+Data!AG33+Data!AH33+Data!AI33+Data!AJ33+Data!AK33+Data!AL33+Data!T34+Data!U34+Data!V34+Data!W34+Data!X34+Data!Y34+Data!Z34+Data!AA34+Data!AB34+Data!AC34+Data!AD34+Data!AE34+Data!AF34+Data!AG34+Data!AH34+Data!AI34+Data!AJ34+Data!AK34+Data!AL34+Data!T35+Data!U35+Data!V35+Data!W35+Data!X35+Data!Y35+Data!Z35+Data!AA35+Data!AB35+Data!AC35+Data!AD35+Data!AE35+Data!AF35+Data!AG35+Data!AH35+Data!AI35+Data!AJ35+Data!AK35+Data!AL35+Data!T36+Data!U36+Data!V36+Data!W36+Data!X36+Data!Y36+Data!Z36+Data!AA36+Data!AB36+Data!AC36+Data!AD36+Data!AE36+Data!AF36+Data!AG36+Data!AH36+Data!AI36+Data!AJ36+Data!AK36+Data!AL36+Data!T37+Data!U37+Data!V37+Data!W37+Data!X37+Data!Y37+Data!Z37+Data!AA37+Data!AB37+Data!AC37+Data!AD37+Data!AE37+Data!AF37+Data!AG37+Data!AH37+Data!AI37+Data!AJ37+Data!AK37+Data!AL37+Data!T38+Data!U38+Data!V38+Data!W38+Data!X38+Data!Y38+Data!Z38+Data!AA38+Data!AB38+Data!AC38+Data!AD38+Data!AE38+Data!AF38+Data!AG38+Data!AH38+Data!AI38+Data!AJ38+Data!AK38+Data!AL38+Data!T39+Data!U39+Data!V39+Data!W39+Data!X39+Data!Y39+Data!Z39+Data!AA39+Data!AB39+Data!AC39+Data!AD39+Data!AE39+Data!AF39+Data!AG39+Data!AH39+Data!AI39+Data!AJ39+Data!AK39+Data!AL39+Data!T40+Data!U40+Data!V40+Data!W40+Data!X40+Data!Y40+Data!Z40+Data!AA40+Data!AB40+Data!AC40+Data!AD40+Data!AE40+Data!AF40+Data!AG40+Data!AH40+Data!AI40+Data!AJ40+Data!AK40+Data!AL40+Data!T41+Data!U41+Data!V41+Data!W41+Data!X41+Data!Y41+Data!Z41+Data!AA41+Data!AB41+Data!AC41+Data!AD41+Data!AE41+Data!AF41+Data!AG41+Data!AH41+Data!AI41+Data!AJ41+Data!AK41+Data!AL41+Data!T42+Data!U42+Data!V42+Data!W42+Data!X42+Data!Y42+Data!Z42+Data!AA42+Data!AB42+Data!AC42+Data!AD42+Data!AE42+Data!AF42+Data!AG42+Data!AH42+Data!AI42+Data!AJ42+Data!AK42+Data!AL42+Data!T43+Data!U43+Data!V43+Data!W43+Data!X43+Data!Y43+Data!Z43+Data!AA43+Data!AB43+Data!AC43+Data!AD43+Data!AE43+Data!AF43+Data!AG43+Data!AH43+Data!AI43+Data!AJ43+Data!AK43+Data!AL43)/(Data!AP32+Data!AP33+Data!AP34+Data!AP35+Data!AP36+Data!AP37+Data!AP38+Data!AP39+Data!AP40+Data!AP41+Data!AP42+Data!AP43)</f>
        <v>0.198357795241909</v>
      </c>
      <c r="N43" s="18" t="n">
        <f aca="false">(Data!T32+Data!U32+Data!V32+Data!W32+Data!T33+Data!U33+Data!V33+Data!W33+Data!T34+Data!U34+Data!V34+Data!W34+Data!T35+Data!U35+Data!V35+Data!W35+Data!T36+Data!U36+Data!V36+Data!W36+Data!T37+Data!U37+Data!V37+Data!W37+Data!T38+Data!U38+Data!V38+Data!W38+Data!T39+Data!U39+Data!V39+Data!W39+Data!T40+Data!U40+Data!V40+Data!W40+Data!T41+Data!U41+Data!V41+Data!W41+Data!T42+Data!U42+Data!V42+Data!W42+Data!T43+Data!U43+Data!V43+Data!W43)/(Data!AP32+Data!AP33+Data!AP34+Data!AP35+Data!AP36+Data!AP37+Data!AP38+Data!AP39+Data!AP40+Data!AP41+Data!AP42+Data!AP43)</f>
        <v>0.108330542245591</v>
      </c>
      <c r="O43" s="18" t="n">
        <f aca="false">(Data!T32+Data!T33+Data!T34+Data!T35+Data!T36+Data!T37+Data!T38+Data!T39+Data!T40+Data!T41+Data!T42+Data!T43)/(Data!AP32+Data!AP33+Data!AP34+Data!AP35+Data!AP36+Data!AP37+Data!AP38+Data!AP39+Data!AP40+Data!AP41+Data!AP42+Data!AP43)</f>
        <v>0.0788496244154872</v>
      </c>
      <c r="P43" s="18" t="n">
        <f aca="false">(Data!U32+Data!U33+Data!U34+Data!U35+Data!U36+Data!U37+Data!U38+Data!U39+Data!U40+Data!U41+Data!U42+Data!U43)/(Data!AP32+Data!AP33+Data!AP34+Data!AP35+Data!AP36+Data!AP37+Data!AP38+Data!AP39+Data!AP40+Data!AP41+Data!AP42+Data!AP43)</f>
        <v>0.0123984594785924</v>
      </c>
      <c r="Q43" s="18" t="n">
        <f aca="false">(Data!V32+Data!V33+Data!V34+Data!V35+Data!V36+Data!V37+Data!V38+Data!V39+Data!V40+Data!V41+Data!V42+Data!V43)/(Data!AP32+Data!AP33+Data!AP34+Data!AP35+Data!AP36+Data!AP37+Data!AP38+Data!AP39+Data!AP40+Data!AP41+Data!AP42+Data!AP43)</f>
        <v>0.00838094438172353</v>
      </c>
      <c r="R43" s="18" t="n">
        <f aca="false">(Data!W32+Data!W33+Data!W34+Data!W35+Data!W36+Data!W37+Data!W38+Data!W39+Data!W40+Data!W41+Data!W42+Data!W43)/(Data!AP32+Data!AP33+Data!AP34+Data!AP35+Data!AP36+Data!AP37+Data!AP38+Data!AP39+Data!AP40+Data!AP41+Data!AP42+Data!AP43)</f>
        <v>0.00870151396978814</v>
      </c>
      <c r="S43" s="18" t="n">
        <f aca="false">(Data!X32+Data!X33+Data!X34+Data!X35+Data!X36+Data!X37+Data!X38+Data!X39+Data!X40+Data!X41+Data!X42+Data!X43)/(Data!AP32+Data!AP33+Data!AP34+Data!AP35+Data!AP36+Data!AP37+Data!AP38+Data!AP39+Data!AP40+Data!AP41+Data!AP42+Data!AP43)</f>
        <v>0.00413598790118762</v>
      </c>
      <c r="T43" s="18" t="n">
        <f aca="false">(Data!Y32+Data!Z32+Data!AA32+Data!Y33+Data!Z33+Data!AA33+Data!Y34+Data!Z34+Data!AA34+Data!Y35+Data!Z35+Data!AA35+Data!Y36+Data!Z36+Data!AA36+Data!Y37+Data!Z37+Data!AA37+Data!Y38+Data!Z38+Data!AA38+Data!Y39+Data!Z39+Data!AA39+Data!Y40+Data!Z40+Data!AA40+Data!Y41+Data!Z41+Data!AA41+Data!Y42+Data!Z42+Data!AA42+Data!Y43+Data!Z43+Data!AA43)/(Data!AP32+Data!AP33+Data!AP34+Data!AP35+Data!AP36+Data!AP37+Data!AP38+Data!AP39+Data!AP40+Data!AP41+Data!AP42+Data!AP43)</f>
        <v>0.0191175505233017</v>
      </c>
      <c r="U43" s="18" t="n">
        <f aca="false">(Data!Y32+Data!Y33+Data!Y34+Data!Y35+Data!Y36+Data!Y37+Data!Y38+Data!Y39+Data!Y40+Data!Y41+Data!Y42+Data!Y43)/(Data!AP32+Data!AP33+Data!AP34+Data!AP35+Data!AP36+Data!AP37+Data!AP38+Data!AP39+Data!AP40+Data!AP41+Data!AP42+Data!AP43)</f>
        <v>0.0121098346466784</v>
      </c>
      <c r="V43" s="18" t="n">
        <f aca="false">(Data!Z32+Data!Z33+Data!Z34+Data!Z35+Data!Z36+Data!Z37+Data!Z38+Data!Z39+Data!Z40+Data!Z41+Data!Z42+Data!Z43)/(Data!AP32+Data!AP33+Data!AP34+Data!AP35+Data!AP36+Data!AP37+Data!AP38+Data!AP39+Data!AP40+Data!AP41+Data!AP42+Data!AP43)</f>
        <v>0.0069393382580861</v>
      </c>
      <c r="W43" s="18" t="n">
        <f aca="false">(Data!AB32+Data!AB33+Data!AB34+Data!AB35+Data!AB36+Data!AB37+Data!AB38+Data!AB39+Data!AB40+Data!AB41+Data!AB42+Data!AB43)/(Data!AP32+Data!AP33+Data!AP34+Data!AP35+Data!AP36+Data!AP37+Data!AP38+Data!AP39+Data!AP40+Data!AP41+Data!AP42+Data!AP43)</f>
        <v>0.0269801846363261</v>
      </c>
      <c r="X43" s="18" t="n">
        <f aca="false">(Data!AC32+Data!AC33+Data!AC34+Data!AC35+Data!AC36+Data!AC37+Data!AC38+Data!AC39+Data!AC40+Data!AC41+Data!AC42+Data!AC43)/(Data!AP32+Data!AP33+Data!AP34+Data!AP35+Data!AP36+Data!AP37+Data!AP38+Data!AP39+Data!AP40+Data!AP41+Data!AP42+Data!AP43)</f>
        <v>0.00900888324539383</v>
      </c>
      <c r="Y43" s="18" t="n">
        <f aca="false">(Data!AD32+Data!AE32+Data!AF32+Data!AG32+Data!AH32+Data!AD33+Data!AE33+Data!AF33+Data!AG33+Data!AH33+Data!AD34+Data!AE34+Data!AF34+Data!AG34+Data!AH34+Data!AD35+Data!AE35+Data!AF35+Data!AG35+Data!AH35+Data!AD36+Data!AE36+Data!AF36+Data!AG36+Data!AH36+Data!AD37+Data!AE37+Data!AF37+Data!AG37+Data!AH37+Data!AD38+Data!AE38+Data!AF38+Data!AG38+Data!AH38+Data!AD39+Data!AE39+Data!AF39+Data!AG39+Data!AH39+Data!AD40+Data!AE40+Data!AF40+Data!AG40+Data!AH40+Data!AD41+Data!AE41+Data!AF41+Data!AG41+Data!AH41+Data!AD42+Data!AE42+Data!AF42+Data!AG42+Data!AH42+Data!AD43+Data!AE43+Data!AF43+Data!AG43+Data!AH43)/(Data!AP32+Data!AP33+Data!AP34+Data!AP35+Data!AP36+Data!AP37+Data!AP38+Data!AP39+Data!AP40+Data!AP41+Data!AP42+Data!AP43)</f>
        <v>0.00555838757019735</v>
      </c>
      <c r="Z43" s="18" t="n">
        <f aca="false">(Data!AI32+Data!AI33+Data!AI34+Data!AI35+Data!AI36+Data!AI37+Data!AI38+Data!AI39+Data!AI40+Data!AI41+Data!AI42+Data!AI43)/(Data!AP32+Data!AP33+Data!AP34+Data!AP35+Data!AP36+Data!AP37+Data!AP38+Data!AP39+Data!AP40+Data!AP41+Data!AP42+Data!AP43)</f>
        <v>0.00721291473379698</v>
      </c>
      <c r="AA43" s="18" t="n">
        <f aca="false">(Data!AJ32+Data!AJ33+Data!AJ34+Data!AJ35+Data!AJ36+Data!AJ37+Data!AJ38+Data!AJ39+Data!AJ40+Data!AJ41+Data!AJ42+Data!AJ43)/(Data!AP32+Data!AP33+Data!AP34+Data!AP35+Data!AP36+Data!AP37+Data!AP38+Data!AP39+Data!AP40+Data!AP41+Data!AP42+Data!AP43)</f>
        <v>8.7056060666504E-005</v>
      </c>
      <c r="AB43" s="18" t="n">
        <f aca="false">(Data!AK32+Data!AK33+Data!AK34+Data!AK35+Data!AK36+Data!AK37+Data!AK38+Data!AK39+Data!AK40+Data!AK41+Data!AK42+Data!AK43)/(Data!AP32+Data!AP33+Data!AP34+Data!AP35+Data!AP36+Data!AP37+Data!AP38+Data!AP39+Data!AP40+Data!AP41+Data!AP42+Data!AP43)</f>
        <v>0.00354632994364816</v>
      </c>
      <c r="AC43" s="18" t="n">
        <f aca="false">(Data!AL32+Data!AL33+Data!AL34+Data!AL35+Data!AL36+Data!AL37+Data!AL38+Data!AL39+Data!AL40+Data!AL41+Data!AL42+Data!AL43)/(Data!AP32+Data!AP33+Data!AP34+Data!AP35+Data!AP36+Data!AP37+Data!AP38+Data!AP39+Data!AP40+Data!AP41+Data!AP42+Data!AP43)</f>
        <v>0.0143799583817993</v>
      </c>
      <c r="AD43" s="17" t="n">
        <f aca="false">(Data!AM32+Data!AM33+Data!AM34+Data!AM35+Data!AM36+Data!AM37+Data!AM38+Data!AM39+Data!AM40+Data!AM41+Data!AM42+Data!AM43)/(Data!AP32+Data!AP33+Data!AP34+Data!AP35+Data!AP36+Data!AP37+Data!AP38+Data!AP39+Data!AP40+Data!AP41+Data!AP42+Data!AP43)</f>
        <v>-0.0215335377110934</v>
      </c>
      <c r="AE43" s="18" t="n">
        <f aca="false">(Data!AN32+Data!AN33+Data!AN34+Data!AN35+Data!AN36+Data!AN37+Data!AN38+Data!AN39+Data!AN40+Data!AN41+Data!AN42+Data!AN43)/(Data!AP32+Data!AP33+Data!AP34+Data!AP35+Data!AP36+Data!AP37+Data!AP38+Data!AP39+Data!AP40+Data!AP41+Data!AP42+Data!AP43)</f>
        <v>0.0287646688760837</v>
      </c>
      <c r="AF43" s="17" t="n">
        <f aca="false">(Data!AO32+Data!AO33+Data!AO34+Data!AO35+Data!AO36+Data!AO37+Data!AO38+Data!AO39+Data!AO40+Data!AO41+Data!AO42+Data!AO43)/(Data!AP32+Data!AP33+Data!AP34+Data!AP35+Data!AP36+Data!AP37+Data!AP38+Data!AP39+Data!AP40+Data!AP41+Data!AP42+Data!AP43)</f>
        <v>-0.0502982065871772</v>
      </c>
    </row>
    <row r="44" customFormat="false" ht="15" hidden="false" customHeight="false" outlineLevel="0" collapsed="false">
      <c r="B44" s="14" t="str">
        <f aca="false">Data!B44</f>
        <v>2019-02</v>
      </c>
      <c r="C44" s="17" t="n">
        <f aca="false">(Data!D33+Data!E33+Data!F33+Data!G33+Data!H33+Data!I33+Data!J33+Data!K33+Data!L33+Data!M33+Data!N33+Data!O33+Data!P33+Data!Q33+Data!R33+Data!S33+Data!D34+Data!E34+Data!F34+Data!G34+Data!H34+Data!I34+Data!J34+Data!K34+Data!L34+Data!M34+Data!N34+Data!O34+Data!P34+Data!Q34+Data!R34+Data!S34+Data!D35+Data!E35+Data!F35+Data!G35+Data!H35+Data!I35+Data!J35+Data!K35+Data!L35+Data!M35+Data!N35+Data!O35+Data!P35+Data!Q35+Data!R35+Data!S35+Data!D36+Data!E36+Data!F36+Data!G36+Data!H36+Data!I36+Data!J36+Data!K36+Data!L36+Data!M36+Data!N36+Data!O36+Data!P36+Data!Q36+Data!R36+Data!S36+Data!D37+Data!E37+Data!F37+Data!G37+Data!H37+Data!I37+Data!J37+Data!K37+Data!L37+Data!M37+Data!N37+Data!O37+Data!P37+Data!Q37+Data!R37+Data!S37+Data!D38+Data!E38+Data!F38+Data!G38+Data!H38+Data!I38+Data!J38+Data!K38+Data!L38+Data!M38+Data!N38+Data!O38+Data!P38+Data!Q38+Data!R38+Data!S38+Data!D39+Data!E39+Data!F39+Data!G39+Data!H39+Data!I39+Data!J39+Data!K39+Data!L39+Data!M39+Data!N39+Data!O39+Data!P39+Data!Q39+Data!R39+Data!S39+Data!D40+Data!E40+Data!F40+Data!G40+Data!H40+Data!I40+Data!J40+Data!K40+Data!L40+Data!M40+Data!N40+Data!O40+Data!P40+Data!Q40+Data!R40+Data!S40+Data!D41+Data!E41+Data!F41+Data!G41+Data!H41+Data!I41+Data!J41+Data!K41+Data!L41+Data!M41+Data!N41+Data!O41+Data!P41+Data!Q41+Data!R41+Data!S41+Data!D42+Data!E42+Data!F42+Data!G42+Data!H42+Data!I42+Data!J42+Data!K42+Data!L42+Data!M42+Data!N42+Data!O42+Data!P42+Data!Q42+Data!R42+Data!S42+Data!D43+Data!E43+Data!F43+Data!G43+Data!H43+Data!I43+Data!J43+Data!K43+Data!L43+Data!M43+Data!N43+Data!O43+Data!P43+Data!Q43+Data!R43+Data!S43+Data!D44+Data!E44+Data!F44+Data!G44+Data!H44+Data!I44+Data!J44+Data!K44+Data!L44+Data!M44+Data!N44+Data!O44+Data!P44+Data!Q44+Data!R44+Data!S44)/(Data!AP33+Data!AP34+Data!AP35+Data!AP36+Data!AP37+Data!AP38+Data!AP39+Data!AP40+Data!AP41+Data!AP42+Data!AP43+Data!AP44)</f>
        <v>0.177604326124761</v>
      </c>
      <c r="D44" s="18" t="n">
        <f aca="false">(Data!D33+Data!E33+Data!G33+Data!H33+Data!I33+Data!J33+Data!K33+Data!L33+Data!M33+Data!D34+Data!E34+Data!G34+Data!H34+Data!I34+Data!J34+Data!K34+Data!L34+Data!M34+Data!D35+Data!E35+Data!G35+Data!H35+Data!I35+Data!J35+Data!K35+Data!L35+Data!M35+Data!D36+Data!E36+Data!G36+Data!H36+Data!I36+Data!J36+Data!K36+Data!L36+Data!M36+Data!D37+Data!E37+Data!G37+Data!H37+Data!I37+Data!J37+Data!K37+Data!L37+Data!M37+Data!D38+Data!E38+Data!G38+Data!H38+Data!I38+Data!J38+Data!K38+Data!L38+Data!M38+Data!D39+Data!E39+Data!G39+Data!H39+Data!I39+Data!J39+Data!K39+Data!L39+Data!M39+Data!D40+Data!E40+Data!G40+Data!H40+Data!I40+Data!J40+Data!K40+Data!L40+Data!M40+Data!D41+Data!E41+Data!G41+Data!H41+Data!I41+Data!J41+Data!K41+Data!L41+Data!M41+Data!D42+Data!E42+Data!G42+Data!H42+Data!I42+Data!J42+Data!K42+Data!L42+Data!M42+Data!D43+Data!E43+Data!G43+Data!H43+Data!I43+Data!J43+Data!K43+Data!L43+Data!M43+Data!D44+Data!E44+Data!G44+Data!H44+Data!I44+Data!J44+Data!K44+Data!L44+Data!M44)/(Data!AP33+Data!AP34+Data!AP35+Data!AP36+Data!AP37+Data!AP38+Data!AP39+Data!AP40+Data!AP41+Data!AP42+Data!AP43+Data!AP44)</f>
        <v>0.0964156927645101</v>
      </c>
      <c r="E44" s="18" t="n">
        <f aca="false">(Data!D33+Data!D34+Data!D35+Data!D36+Data!D37+Data!D38+Data!D39+Data!D40+Data!D41+Data!D42+Data!D43+Data!D44)/(Data!AP33+Data!AP34+Data!AP35+Data!AP36+Data!AP37+Data!AP38+Data!AP39+Data!AP40+Data!AP41+Data!AP42+Data!AP43+Data!AP44)</f>
        <v>0.0339724319930275</v>
      </c>
      <c r="F44" s="18" t="n">
        <f aca="false">(Data!E33+Data!E34+Data!E35+Data!E36+Data!E37+Data!E38+Data!E39+Data!E40+Data!E41+Data!E42+Data!E43+Data!E44)/(Data!AP33+Data!AP34+Data!AP35+Data!AP36+Data!AP37+Data!AP38+Data!AP39+Data!AP40+Data!AP41+Data!AP42+Data!AP43+Data!AP44)</f>
        <v>0.0184249707376184</v>
      </c>
      <c r="G44" s="18" t="n">
        <f aca="false">(Data!K33+Data!K34+Data!K35+Data!K36+Data!K37+Data!K38+Data!K39+Data!K40+Data!K41+Data!K42+Data!K43+Data!K44)/(Data!AP33+Data!AP34+Data!AP35+Data!AP36+Data!AP37+Data!AP38+Data!AP39+Data!AP40+Data!AP41+Data!AP42+Data!AP43+Data!AP44)</f>
        <v>0.00788623127768703</v>
      </c>
      <c r="H44" s="18" t="n">
        <f aca="false">(Data!L33+Data!L34+Data!L35+Data!L36+Data!L37+Data!L38+Data!L39+Data!L40+Data!L41+Data!L42+Data!L43+Data!L44)/(Data!AP33+Data!AP34+Data!AP35+Data!AP36+Data!AP37+Data!AP38+Data!AP39+Data!AP40+Data!AP41+Data!AP42+Data!AP43+Data!AP44)</f>
        <v>0.00687983260598651</v>
      </c>
      <c r="I44" s="18" t="n">
        <f aca="false">(Data!G33+Data!G34+Data!G35+Data!G36+Data!G37+Data!G38+Data!G39+Data!G40+Data!G41+Data!G42+Data!G43+Data!G44)/(Data!AP33+Data!AP34+Data!AP35+Data!AP36+Data!AP37+Data!AP38+Data!AP39+Data!AP40+Data!AP41+Data!AP42+Data!AP43+Data!AP44)</f>
        <v>0.0157724625553741</v>
      </c>
      <c r="J44" s="18" t="n">
        <f aca="false">(Data!H33+Data!I33+Data!J33+Data!M33+Data!H34+Data!I34+Data!J34+Data!M34+Data!H35+Data!I35+Data!J35+Data!M35+Data!H36+Data!I36+Data!J36+Data!M36+Data!H37+Data!I37+Data!J37+Data!M37+Data!H38+Data!I38+Data!J38+Data!M38+Data!H39+Data!I39+Data!J39+Data!M39+Data!H40+Data!I40+Data!J40+Data!M40+Data!H41+Data!I41+Data!J41+Data!M41+Data!H42+Data!I42+Data!J42+Data!M42+Data!H43+Data!I43+Data!J43+Data!M43+Data!H44+Data!I44+Data!J44+Data!M44)/(Data!AP33+Data!AP34+Data!AP35+Data!AP36+Data!AP37+Data!AP38+Data!AP39+Data!AP40+Data!AP41+Data!AP42+Data!AP43+Data!AP44)</f>
        <v>0.0134797635948166</v>
      </c>
      <c r="K44" s="18" t="n">
        <f aca="false">(Data!F33+Data!F34+Data!F35+Data!F36+Data!F37+Data!F38+Data!F39+Data!F40+Data!F41+Data!F42+Data!F43+Data!F44)/(Data!AP33+Data!AP34+Data!AP35+Data!AP36+Data!AP37+Data!AP38+Data!AP39+Data!AP40+Data!AP41+Data!AP42+Data!AP43+Data!AP44)</f>
        <v>0.060961016493399</v>
      </c>
      <c r="L44" s="18" t="n">
        <f aca="false">(Data!N33+Data!O33+Data!P33+Data!Q33+Data!R33+Data!S33+Data!N34+Data!O34+Data!P34+Data!Q34+Data!R34+Data!S34+Data!N35+Data!O35+Data!P35+Data!Q35+Data!R35+Data!S35+Data!N36+Data!O36+Data!P36+Data!Q36+Data!R36+Data!S36+Data!N37+Data!O37+Data!P37+Data!Q37+Data!R37+Data!S37+Data!N38+Data!O38+Data!P38+Data!Q38+Data!R38+Data!S38+Data!N39+Data!O39+Data!P39+Data!Q39+Data!R39+Data!S39+Data!N40+Data!O40+Data!P40+Data!Q40+Data!R40+Data!S40+Data!N41+Data!O41+Data!P41+Data!Q41+Data!R41+Data!S41+Data!N42+Data!O42+Data!P42+Data!Q42+Data!R42+Data!S42+Data!N43+Data!O43+Data!P43+Data!Q43+Data!R43+Data!S43+Data!N44+Data!O44+Data!P44+Data!Q44+Data!R44+Data!S44)/(Data!AP33+Data!AP34+Data!AP35+Data!AP36+Data!AP37+Data!AP38+Data!AP39+Data!AP40+Data!AP41+Data!AP42+Data!AP43+Data!AP44)</f>
        <v>0.0202276168668522</v>
      </c>
      <c r="M44" s="17" t="n">
        <f aca="false">(Data!T33+Data!U33+Data!V33+Data!W33+Data!X33+Data!Y33+Data!Z33+Data!AA33+Data!AB33+Data!AC33+Data!AD33+Data!AE33+Data!AF33+Data!AG33+Data!AH33+Data!AI33+Data!AJ33+Data!AK33+Data!AL33+Data!T34+Data!U34+Data!V34+Data!W34+Data!X34+Data!Y34+Data!Z34+Data!AA34+Data!AB34+Data!AC34+Data!AD34+Data!AE34+Data!AF34+Data!AG34+Data!AH34+Data!AI34+Data!AJ34+Data!AK34+Data!AL34+Data!T35+Data!U35+Data!V35+Data!W35+Data!X35+Data!Y35+Data!Z35+Data!AA35+Data!AB35+Data!AC35+Data!AD35+Data!AE35+Data!AF35+Data!AG35+Data!AH35+Data!AI35+Data!AJ35+Data!AK35+Data!AL35+Data!T36+Data!U36+Data!V36+Data!W36+Data!X36+Data!Y36+Data!Z36+Data!AA36+Data!AB36+Data!AC36+Data!AD36+Data!AE36+Data!AF36+Data!AG36+Data!AH36+Data!AI36+Data!AJ36+Data!AK36+Data!AL36+Data!T37+Data!U37+Data!V37+Data!W37+Data!X37+Data!Y37+Data!Z37+Data!AA37+Data!AB37+Data!AC37+Data!AD37+Data!AE37+Data!AF37+Data!AG37+Data!AH37+Data!AI37+Data!AJ37+Data!AK37+Data!AL37+Data!T38+Data!U38+Data!V38+Data!W38+Data!X38+Data!Y38+Data!Z38+Data!AA38+Data!AB38+Data!AC38+Data!AD38+Data!AE38+Data!AF38+Data!AG38+Data!AH38+Data!AI38+Data!AJ38+Data!AK38+Data!AL38+Data!T39+Data!U39+Data!V39+Data!W39+Data!X39+Data!Y39+Data!Z39+Data!AA39+Data!AB39+Data!AC39+Data!AD39+Data!AE39+Data!AF39+Data!AG39+Data!AH39+Data!AI39+Data!AJ39+Data!AK39+Data!AL39+Data!T40+Data!U40+Data!V40+Data!W40+Data!X40+Data!Y40+Data!Z40+Data!AA40+Data!AB40+Data!AC40+Data!AD40+Data!AE40+Data!AF40+Data!AG40+Data!AH40+Data!AI40+Data!AJ40+Data!AK40+Data!AL40+Data!T41+Data!U41+Data!V41+Data!W41+Data!X41+Data!Y41+Data!Z41+Data!AA41+Data!AB41+Data!AC41+Data!AD41+Data!AE41+Data!AF41+Data!AG41+Data!AH41+Data!AI41+Data!AJ41+Data!AK41+Data!AL41+Data!T42+Data!U42+Data!V42+Data!W42+Data!X42+Data!Y42+Data!Z42+Data!AA42+Data!AB42+Data!AC42+Data!AD42+Data!AE42+Data!AF42+Data!AG42+Data!AH42+Data!AI42+Data!AJ42+Data!AK42+Data!AL42+Data!T43+Data!U43+Data!V43+Data!W43+Data!X43+Data!Y43+Data!Z43+Data!AA43+Data!AB43+Data!AC43+Data!AD43+Data!AE43+Data!AF43+Data!AG43+Data!AH43+Data!AI43+Data!AJ43+Data!AK43+Data!AL43+Data!T44+Data!U44+Data!V44+Data!W44+Data!X44+Data!Y44+Data!Z44+Data!AA44+Data!AB44+Data!AC44+Data!AD44+Data!AE44+Data!AF44+Data!AG44+Data!AH44+Data!AI44+Data!AJ44+Data!AK44+Data!AL44)/(Data!AP33+Data!AP34+Data!AP35+Data!AP36+Data!AP37+Data!AP38+Data!AP39+Data!AP40+Data!AP41+Data!AP42+Data!AP43+Data!AP44)</f>
        <v>0.196845408720396</v>
      </c>
      <c r="N44" s="18" t="n">
        <f aca="false">(Data!T33+Data!U33+Data!V33+Data!W33+Data!T34+Data!U34+Data!V34+Data!W34+Data!T35+Data!U35+Data!V35+Data!W35+Data!T36+Data!U36+Data!V36+Data!W36+Data!T37+Data!U37+Data!V37+Data!W37+Data!T38+Data!U38+Data!V38+Data!W38+Data!T39+Data!U39+Data!V39+Data!W39+Data!T40+Data!U40+Data!V40+Data!W40+Data!T41+Data!U41+Data!V41+Data!W41+Data!T42+Data!U42+Data!V42+Data!W42+Data!T43+Data!U43+Data!V43+Data!W43+Data!T44+Data!U44+Data!V44+Data!W44)/(Data!AP33+Data!AP34+Data!AP35+Data!AP36+Data!AP37+Data!AP38+Data!AP39+Data!AP40+Data!AP41+Data!AP42+Data!AP43+Data!AP44)</f>
        <v>0.107442942189708</v>
      </c>
      <c r="O44" s="18" t="n">
        <f aca="false">(Data!T33+Data!T34+Data!T35+Data!T36+Data!T37+Data!T38+Data!T39+Data!T40+Data!T41+Data!T42+Data!T43+Data!T44)/(Data!AP33+Data!AP34+Data!AP35+Data!AP36+Data!AP37+Data!AP38+Data!AP39+Data!AP40+Data!AP41+Data!AP42+Data!AP43+Data!AP44)</f>
        <v>0.0781989446584878</v>
      </c>
      <c r="P44" s="18" t="n">
        <f aca="false">(Data!U33+Data!U34+Data!U35+Data!U36+Data!U37+Data!U38+Data!U39+Data!U40+Data!U41+Data!U42+Data!U43+Data!U44)/(Data!AP33+Data!AP34+Data!AP35+Data!AP36+Data!AP37+Data!AP38+Data!AP39+Data!AP40+Data!AP41+Data!AP42+Data!AP43+Data!AP44)</f>
        <v>0.0122257992070689</v>
      </c>
      <c r="Q44" s="18" t="n">
        <f aca="false">(Data!V33+Data!V34+Data!V35+Data!V36+Data!V37+Data!V38+Data!V39+Data!V40+Data!V41+Data!V42+Data!V43+Data!V44)/(Data!AP33+Data!AP34+Data!AP35+Data!AP36+Data!AP37+Data!AP38+Data!AP39+Data!AP40+Data!AP41+Data!AP42+Data!AP43+Data!AP44)</f>
        <v>0.00834111962013053</v>
      </c>
      <c r="R44" s="18" t="n">
        <f aca="false">(Data!W33+Data!W34+Data!W35+Data!W36+Data!W37+Data!W38+Data!W39+Data!W40+Data!W41+Data!W42+Data!W43+Data!W44)/(Data!AP33+Data!AP34+Data!AP35+Data!AP36+Data!AP37+Data!AP38+Data!AP39+Data!AP40+Data!AP41+Data!AP42+Data!AP43+Data!AP44)</f>
        <v>0.00867707870402111</v>
      </c>
      <c r="S44" s="18" t="n">
        <f aca="false">(Data!X33+Data!X34+Data!X35+Data!X36+Data!X37+Data!X38+Data!X39+Data!X40+Data!X41+Data!X42+Data!X43+Data!X44)/(Data!AP33+Data!AP34+Data!AP35+Data!AP36+Data!AP37+Data!AP38+Data!AP39+Data!AP40+Data!AP41+Data!AP42+Data!AP43+Data!AP44)</f>
        <v>0.00426480321170774</v>
      </c>
      <c r="T44" s="18" t="n">
        <f aca="false">(Data!Y33+Data!Z33+Data!AA33+Data!Y34+Data!Z34+Data!AA34+Data!Y35+Data!Z35+Data!AA35+Data!Y36+Data!Z36+Data!AA36+Data!Y37+Data!Z37+Data!AA37+Data!Y38+Data!Z38+Data!AA38+Data!Y39+Data!Z39+Data!AA39+Data!Y40+Data!Z40+Data!AA40+Data!Y41+Data!Z41+Data!AA41+Data!Y42+Data!Z42+Data!AA42+Data!Y43+Data!Z43+Data!AA43+Data!Y44+Data!Z44+Data!AA44)/(Data!AP33+Data!AP34+Data!AP35+Data!AP36+Data!AP37+Data!AP38+Data!AP39+Data!AP40+Data!AP41+Data!AP42+Data!AP43+Data!AP44)</f>
        <v>0.0191184247441105</v>
      </c>
      <c r="U44" s="18" t="n">
        <f aca="false">(Data!Y33+Data!Y34+Data!Y35+Data!Y36+Data!Y37+Data!Y38+Data!Y39+Data!Y40+Data!Y41+Data!Y42+Data!Y43+Data!Y44)/(Data!AP33+Data!AP34+Data!AP35+Data!AP36+Data!AP37+Data!AP38+Data!AP39+Data!AP40+Data!AP41+Data!AP42+Data!AP43+Data!AP44)</f>
        <v>0.0122566565282069</v>
      </c>
      <c r="V44" s="18" t="n">
        <f aca="false">(Data!Z33+Data!Z34+Data!Z35+Data!Z36+Data!Z37+Data!Z38+Data!Z39+Data!Z40+Data!Z41+Data!Z42+Data!Z43+Data!Z44)/(Data!AP33+Data!AP34+Data!AP35+Data!AP36+Data!AP37+Data!AP38+Data!AP39+Data!AP40+Data!AP41+Data!AP42+Data!AP43+Data!AP44)</f>
        <v>0.00678224632788741</v>
      </c>
      <c r="W44" s="18" t="n">
        <f aca="false">(Data!AB33+Data!AB34+Data!AB35+Data!AB36+Data!AB37+Data!AB38+Data!AB39+Data!AB40+Data!AB41+Data!AB42+Data!AB43+Data!AB44)/(Data!AP33+Data!AP34+Data!AP35+Data!AP36+Data!AP37+Data!AP38+Data!AP39+Data!AP40+Data!AP41+Data!AP42+Data!AP43+Data!AP44)</f>
        <v>0.0267315687297258</v>
      </c>
      <c r="X44" s="18" t="n">
        <f aca="false">(Data!AC33+Data!AC34+Data!AC35+Data!AC36+Data!AC37+Data!AC38+Data!AC39+Data!AC40+Data!AC41+Data!AC42+Data!AC43+Data!AC44)/(Data!AP33+Data!AP34+Data!AP35+Data!AP36+Data!AP37+Data!AP38+Data!AP39+Data!AP40+Data!AP41+Data!AP42+Data!AP43+Data!AP44)</f>
        <v>0.00898912336402969</v>
      </c>
      <c r="Y44" s="18" t="n">
        <f aca="false">(Data!AD33+Data!AE33+Data!AF33+Data!AG33+Data!AH33+Data!AD34+Data!AE34+Data!AF34+Data!AG34+Data!AH34+Data!AD35+Data!AE35+Data!AF35+Data!AG35+Data!AH35+Data!AD36+Data!AE36+Data!AF36+Data!AG36+Data!AH36+Data!AD37+Data!AE37+Data!AF37+Data!AG37+Data!AH37+Data!AD38+Data!AE38+Data!AF38+Data!AG38+Data!AH38+Data!AD39+Data!AE39+Data!AF39+Data!AG39+Data!AH39+Data!AD40+Data!AE40+Data!AF40+Data!AG40+Data!AH40+Data!AD41+Data!AE41+Data!AF41+Data!AG41+Data!AH41+Data!AD42+Data!AE42+Data!AF42+Data!AG42+Data!AH42+Data!AD43+Data!AE43+Data!AF43+Data!AG43+Data!AH43+Data!AD44+Data!AE44+Data!AF44+Data!AG44+Data!AH44)/(Data!AP33+Data!AP34+Data!AP35+Data!AP36+Data!AP37+Data!AP38+Data!AP39+Data!AP40+Data!AP41+Data!AP42+Data!AP43+Data!AP44)</f>
        <v>0.00569426861342815</v>
      </c>
      <c r="Z44" s="18" t="n">
        <f aca="false">(Data!AI33+Data!AI34+Data!AI35+Data!AI36+Data!AI37+Data!AI38+Data!AI39+Data!AI40+Data!AI41+Data!AI42+Data!AI43+Data!AI44)/(Data!AP33+Data!AP34+Data!AP35+Data!AP36+Data!AP37+Data!AP38+Data!AP39+Data!AP40+Data!AP41+Data!AP42+Data!AP43+Data!AP44)</f>
        <v>0.00709679814523846</v>
      </c>
      <c r="AA44" s="18" t="n">
        <f aca="false">(Data!AJ33+Data!AJ34+Data!AJ35+Data!AJ36+Data!AJ37+Data!AJ38+Data!AJ39+Data!AJ40+Data!AJ41+Data!AJ42+Data!AJ43+Data!AJ44)/(Data!AP33+Data!AP34+Data!AP35+Data!AP36+Data!AP37+Data!AP38+Data!AP39+Data!AP40+Data!AP41+Data!AP42+Data!AP43+Data!AP44)</f>
        <v>1.09286345697279E-006</v>
      </c>
      <c r="AB44" s="18" t="n">
        <f aca="false">(Data!AK33+Data!AK34+Data!AK35+Data!AK36+Data!AK37+Data!AK38+Data!AK39+Data!AK40+Data!AK41+Data!AK42+Data!AK43+Data!AK44)/(Data!AP33+Data!AP34+Data!AP35+Data!AP36+Data!AP37+Data!AP38+Data!AP39+Data!AP40+Data!AP41+Data!AP42+Data!AP43+Data!AP44)</f>
        <v>0.00338086953327387</v>
      </c>
      <c r="AC44" s="18" t="n">
        <f aca="false">(Data!AL33+Data!AL34+Data!AL35+Data!AL36+Data!AL37+Data!AL38+Data!AL39+Data!AL40+Data!AL41+Data!AL42+Data!AL43+Data!AL44)/(Data!AP33+Data!AP34+Data!AP35+Data!AP36+Data!AP37+Data!AP38+Data!AP39+Data!AP40+Data!AP41+Data!AP42+Data!AP43+Data!AP44)</f>
        <v>0.0141255173257161</v>
      </c>
      <c r="AD44" s="17" t="n">
        <f aca="false">(Data!AM33+Data!AM34+Data!AM35+Data!AM36+Data!AM37+Data!AM38+Data!AM39+Data!AM40+Data!AM41+Data!AM42+Data!AM43+Data!AM44)/(Data!AP33+Data!AP34+Data!AP35+Data!AP36+Data!AP37+Data!AP38+Data!AP39+Data!AP40+Data!AP41+Data!AP42+Data!AP43+Data!AP44)</f>
        <v>-0.0192410825956343</v>
      </c>
      <c r="AE44" s="18" t="n">
        <f aca="false">(Data!AN33+Data!AN34+Data!AN35+Data!AN36+Data!AN37+Data!AN38+Data!AN39+Data!AN40+Data!AN41+Data!AN42+Data!AN43+Data!AN44)/(Data!AP33+Data!AP34+Data!AP35+Data!AP36+Data!AP37+Data!AP38+Data!AP39+Data!AP40+Data!AP41+Data!AP42+Data!AP43+Data!AP44)</f>
        <v>0.0282820205447416</v>
      </c>
      <c r="AF44" s="17" t="n">
        <f aca="false">(Data!AO33+Data!AO34+Data!AO35+Data!AO36+Data!AO37+Data!AO38+Data!AO39+Data!AO40+Data!AO41+Data!AO42+Data!AO43+Data!AO44)/(Data!AP33+Data!AP34+Data!AP35+Data!AP36+Data!AP37+Data!AP38+Data!AP39+Data!AP40+Data!AP41+Data!AP42+Data!AP43+Data!AP44)</f>
        <v>-0.0475231031403759</v>
      </c>
    </row>
    <row r="45" customFormat="false" ht="15" hidden="false" customHeight="false" outlineLevel="0" collapsed="false">
      <c r="B45" s="14" t="str">
        <f aca="false">Data!B45</f>
        <v>2019-03</v>
      </c>
      <c r="C45" s="17" t="n">
        <f aca="false">(Data!D34+Data!E34+Data!F34+Data!G34+Data!H34+Data!I34+Data!J34+Data!K34+Data!L34+Data!M34+Data!N34+Data!O34+Data!P34+Data!Q34+Data!R34+Data!S34+Data!D35+Data!E35+Data!F35+Data!G35+Data!H35+Data!I35+Data!J35+Data!K35+Data!L35+Data!M35+Data!N35+Data!O35+Data!P35+Data!Q35+Data!R35+Data!S35+Data!D36+Data!E36+Data!F36+Data!G36+Data!H36+Data!I36+Data!J36+Data!K36+Data!L36+Data!M36+Data!N36+Data!O36+Data!P36+Data!Q36+Data!R36+Data!S36+Data!D37+Data!E37+Data!F37+Data!G37+Data!H37+Data!I37+Data!J37+Data!K37+Data!L37+Data!M37+Data!N37+Data!O37+Data!P37+Data!Q37+Data!R37+Data!S37+Data!D38+Data!E38+Data!F38+Data!G38+Data!H38+Data!I38+Data!J38+Data!K38+Data!L38+Data!M38+Data!N38+Data!O38+Data!P38+Data!Q38+Data!R38+Data!S38+Data!D39+Data!E39+Data!F39+Data!G39+Data!H39+Data!I39+Data!J39+Data!K39+Data!L39+Data!M39+Data!N39+Data!O39+Data!P39+Data!Q39+Data!R39+Data!S39+Data!D40+Data!E40+Data!F40+Data!G40+Data!H40+Data!I40+Data!J40+Data!K40+Data!L40+Data!M40+Data!N40+Data!O40+Data!P40+Data!Q40+Data!R40+Data!S40+Data!D41+Data!E41+Data!F41+Data!G41+Data!H41+Data!I41+Data!J41+Data!K41+Data!L41+Data!M41+Data!N41+Data!O41+Data!P41+Data!Q41+Data!R41+Data!S41+Data!D42+Data!E42+Data!F42+Data!G42+Data!H42+Data!I42+Data!J42+Data!K42+Data!L42+Data!M42+Data!N42+Data!O42+Data!P42+Data!Q42+Data!R42+Data!S42+Data!D43+Data!E43+Data!F43+Data!G43+Data!H43+Data!I43+Data!J43+Data!K43+Data!L43+Data!M43+Data!N43+Data!O43+Data!P43+Data!Q43+Data!R43+Data!S43+Data!D44+Data!E44+Data!F44+Data!G44+Data!H44+Data!I44+Data!J44+Data!K44+Data!L44+Data!M44+Data!N44+Data!O44+Data!P44+Data!Q44+Data!R44+Data!S44+Data!D45+Data!E45+Data!F45+Data!G45+Data!H45+Data!I45+Data!J45+Data!K45+Data!L45+Data!M45+Data!N45+Data!O45+Data!P45+Data!Q45+Data!R45+Data!S45)/(Data!AP34+Data!AP35+Data!AP36+Data!AP37+Data!AP38+Data!AP39+Data!AP40+Data!AP41+Data!AP42+Data!AP43+Data!AP44+Data!AP45)</f>
        <v>0.176738454980798</v>
      </c>
      <c r="D45" s="18" t="n">
        <f aca="false">(Data!D34+Data!E34+Data!G34+Data!H34+Data!I34+Data!J34+Data!K34+Data!L34+Data!M34+Data!D35+Data!E35+Data!G35+Data!H35+Data!I35+Data!J35+Data!K35+Data!L35+Data!M35+Data!D36+Data!E36+Data!G36+Data!H36+Data!I36+Data!J36+Data!K36+Data!L36+Data!M36+Data!D37+Data!E37+Data!G37+Data!H37+Data!I37+Data!J37+Data!K37+Data!L37+Data!M37+Data!D38+Data!E38+Data!G38+Data!H38+Data!I38+Data!J38+Data!K38+Data!L38+Data!M38+Data!D39+Data!E39+Data!G39+Data!H39+Data!I39+Data!J39+Data!K39+Data!L39+Data!M39+Data!D40+Data!E40+Data!G40+Data!H40+Data!I40+Data!J40+Data!K40+Data!L40+Data!M40+Data!D41+Data!E41+Data!G41+Data!H41+Data!I41+Data!J41+Data!K41+Data!L41+Data!M41+Data!D42+Data!E42+Data!G42+Data!H42+Data!I42+Data!J42+Data!K42+Data!L42+Data!M42+Data!D43+Data!E43+Data!G43+Data!H43+Data!I43+Data!J43+Data!K43+Data!L43+Data!M43+Data!D44+Data!E44+Data!G44+Data!H44+Data!I44+Data!J44+Data!K44+Data!L44+Data!M44+Data!D45+Data!E45+Data!G45+Data!H45+Data!I45+Data!J45+Data!K45+Data!L45+Data!M45)/(Data!AP34+Data!AP35+Data!AP36+Data!AP37+Data!AP38+Data!AP39+Data!AP40+Data!AP41+Data!AP42+Data!AP43+Data!AP44+Data!AP45)</f>
        <v>0.0964567434834229</v>
      </c>
      <c r="E45" s="18" t="n">
        <f aca="false">(Data!D34+Data!D35+Data!D36+Data!D37+Data!D38+Data!D39+Data!D40+Data!D41+Data!D42+Data!D43+Data!D44+Data!D45)/(Data!AP34+Data!AP35+Data!AP36+Data!AP37+Data!AP38+Data!AP39+Data!AP40+Data!AP41+Data!AP42+Data!AP43+Data!AP44+Data!AP45)</f>
        <v>0.0338096871395354</v>
      </c>
      <c r="F45" s="18" t="n">
        <f aca="false">(Data!E34+Data!E35+Data!E36+Data!E37+Data!E38+Data!E39+Data!E40+Data!E41+Data!E42+Data!E43+Data!E44+Data!E45)/(Data!AP34+Data!AP35+Data!AP36+Data!AP37+Data!AP38+Data!AP39+Data!AP40+Data!AP41+Data!AP42+Data!AP43+Data!AP44+Data!AP45)</f>
        <v>0.017948002925432</v>
      </c>
      <c r="G45" s="18" t="n">
        <f aca="false">(Data!K34+Data!K35+Data!K36+Data!K37+Data!K38+Data!K39+Data!K40+Data!K41+Data!K42+Data!K43+Data!K44+Data!K45)/(Data!AP34+Data!AP35+Data!AP36+Data!AP37+Data!AP38+Data!AP39+Data!AP40+Data!AP41+Data!AP42+Data!AP43+Data!AP44+Data!AP45)</f>
        <v>0.00864306146943058</v>
      </c>
      <c r="H45" s="18" t="n">
        <f aca="false">(Data!L34+Data!L35+Data!L36+Data!L37+Data!L38+Data!L39+Data!L40+Data!L41+Data!L42+Data!L43+Data!L44+Data!L45)/(Data!AP34+Data!AP35+Data!AP36+Data!AP37+Data!AP38+Data!AP39+Data!AP40+Data!AP41+Data!AP42+Data!AP43+Data!AP44+Data!AP45)</f>
        <v>0.00680640856363022</v>
      </c>
      <c r="I45" s="18" t="n">
        <f aca="false">(Data!G34+Data!G35+Data!G36+Data!G37+Data!G38+Data!G39+Data!G40+Data!G41+Data!G42+Data!G43+Data!G44+Data!G45)/(Data!AP34+Data!AP35+Data!AP36+Data!AP37+Data!AP38+Data!AP39+Data!AP40+Data!AP41+Data!AP42+Data!AP43+Data!AP44+Data!AP45)</f>
        <v>0.0158944313685706</v>
      </c>
      <c r="J45" s="18" t="n">
        <f aca="false">(Data!H34+Data!I34+Data!J34+Data!M34+Data!H35+Data!I35+Data!J35+Data!M35+Data!H36+Data!I36+Data!J36+Data!M36+Data!H37+Data!I37+Data!J37+Data!M37+Data!H38+Data!I38+Data!J38+Data!M38+Data!H39+Data!I39+Data!J39+Data!M39+Data!H40+Data!I40+Data!J40+Data!M40+Data!H41+Data!I41+Data!J41+Data!M41+Data!H42+Data!I42+Data!J42+Data!M42+Data!H43+Data!I43+Data!J43+Data!M43+Data!H44+Data!I44+Data!J44+Data!M44+Data!H45+Data!I45+Data!J45+Data!M45)/(Data!AP34+Data!AP35+Data!AP36+Data!AP37+Data!AP38+Data!AP39+Data!AP40+Data!AP41+Data!AP42+Data!AP43+Data!AP44+Data!AP45)</f>
        <v>0.0133551520168241</v>
      </c>
      <c r="K45" s="18" t="n">
        <f aca="false">(Data!F34+Data!F35+Data!F36+Data!F37+Data!F38+Data!F39+Data!F40+Data!F41+Data!F42+Data!F43+Data!F44+Data!F45)/(Data!AP34+Data!AP35+Data!AP36+Data!AP37+Data!AP38+Data!AP39+Data!AP40+Data!AP41+Data!AP42+Data!AP43+Data!AP44+Data!AP45)</f>
        <v>0.0603835655277596</v>
      </c>
      <c r="L45" s="18" t="n">
        <f aca="false">(Data!N34+Data!O34+Data!P34+Data!Q34+Data!R34+Data!S34+Data!N35+Data!O35+Data!P35+Data!Q35+Data!R35+Data!S35+Data!N36+Data!O36+Data!P36+Data!Q36+Data!R36+Data!S36+Data!N37+Data!O37+Data!P37+Data!Q37+Data!R37+Data!S37+Data!N38+Data!O38+Data!P38+Data!Q38+Data!R38+Data!S38+Data!N39+Data!O39+Data!P39+Data!Q39+Data!R39+Data!S39+Data!N40+Data!O40+Data!P40+Data!Q40+Data!R40+Data!S40+Data!N41+Data!O41+Data!P41+Data!Q41+Data!R41+Data!S41+Data!N42+Data!O42+Data!P42+Data!Q42+Data!R42+Data!S42+Data!N43+Data!O43+Data!P43+Data!Q43+Data!R43+Data!S43+Data!N44+Data!O44+Data!P44+Data!Q44+Data!R44+Data!S44+Data!N45+Data!O45+Data!P45+Data!Q45+Data!R45+Data!S45)/(Data!AP34+Data!AP35+Data!AP36+Data!AP37+Data!AP38+Data!AP39+Data!AP40+Data!AP41+Data!AP42+Data!AP43+Data!AP44+Data!AP45)</f>
        <v>0.0198981459696152</v>
      </c>
      <c r="M45" s="17" t="n">
        <f aca="false">(Data!T34+Data!U34+Data!V34+Data!W34+Data!X34+Data!Y34+Data!Z34+Data!AA34+Data!AB34+Data!AC34+Data!AD34+Data!AE34+Data!AF34+Data!AG34+Data!AH34+Data!AI34+Data!AJ34+Data!AK34+Data!AL34+Data!T35+Data!U35+Data!V35+Data!W35+Data!X35+Data!Y35+Data!Z35+Data!AA35+Data!AB35+Data!AC35+Data!AD35+Data!AE35+Data!AF35+Data!AG35+Data!AH35+Data!AI35+Data!AJ35+Data!AK35+Data!AL35+Data!T36+Data!U36+Data!V36+Data!W36+Data!X36+Data!Y36+Data!Z36+Data!AA36+Data!AB36+Data!AC36+Data!AD36+Data!AE36+Data!AF36+Data!AG36+Data!AH36+Data!AI36+Data!AJ36+Data!AK36+Data!AL36+Data!T37+Data!U37+Data!V37+Data!W37+Data!X37+Data!Y37+Data!Z37+Data!AA37+Data!AB37+Data!AC37+Data!AD37+Data!AE37+Data!AF37+Data!AG37+Data!AH37+Data!AI37+Data!AJ37+Data!AK37+Data!AL37+Data!T38+Data!U38+Data!V38+Data!W38+Data!X38+Data!Y38+Data!Z38+Data!AA38+Data!AB38+Data!AC38+Data!AD38+Data!AE38+Data!AF38+Data!AG38+Data!AH38+Data!AI38+Data!AJ38+Data!AK38+Data!AL38+Data!T39+Data!U39+Data!V39+Data!W39+Data!X39+Data!Y39+Data!Z39+Data!AA39+Data!AB39+Data!AC39+Data!AD39+Data!AE39+Data!AF39+Data!AG39+Data!AH39+Data!AI39+Data!AJ39+Data!AK39+Data!AL39+Data!T40+Data!U40+Data!V40+Data!W40+Data!X40+Data!Y40+Data!Z40+Data!AA40+Data!AB40+Data!AC40+Data!AD40+Data!AE40+Data!AF40+Data!AG40+Data!AH40+Data!AI40+Data!AJ40+Data!AK40+Data!AL40+Data!T41+Data!U41+Data!V41+Data!W41+Data!X41+Data!Y41+Data!Z41+Data!AA41+Data!AB41+Data!AC41+Data!AD41+Data!AE41+Data!AF41+Data!AG41+Data!AH41+Data!AI41+Data!AJ41+Data!AK41+Data!AL41+Data!T42+Data!U42+Data!V42+Data!W42+Data!X42+Data!Y42+Data!Z42+Data!AA42+Data!AB42+Data!AC42+Data!AD42+Data!AE42+Data!AF42+Data!AG42+Data!AH42+Data!AI42+Data!AJ42+Data!AK42+Data!AL42+Data!T43+Data!U43+Data!V43+Data!W43+Data!X43+Data!Y43+Data!Z43+Data!AA43+Data!AB43+Data!AC43+Data!AD43+Data!AE43+Data!AF43+Data!AG43+Data!AH43+Data!AI43+Data!AJ43+Data!AK43+Data!AL43+Data!T44+Data!U44+Data!V44+Data!W44+Data!X44+Data!Y44+Data!Z44+Data!AA44+Data!AB44+Data!AC44+Data!AD44+Data!AE44+Data!AF44+Data!AG44+Data!AH44+Data!AI44+Data!AJ44+Data!AK44+Data!AL44+Data!T45+Data!U45+Data!V45+Data!W45+Data!X45+Data!Y45+Data!Z45+Data!AA45+Data!AB45+Data!AC45+Data!AD45+Data!AE45+Data!AF45+Data!AG45+Data!AH45+Data!AI45+Data!AJ45+Data!AK45+Data!AL45)/(Data!AP34+Data!AP35+Data!AP36+Data!AP37+Data!AP38+Data!AP39+Data!AP40+Data!AP41+Data!AP42+Data!AP43+Data!AP44+Data!AP45)</f>
        <v>0.195339276180209</v>
      </c>
      <c r="N45" s="18" t="n">
        <f aca="false">(Data!T34+Data!U34+Data!V34+Data!W34+Data!T35+Data!U35+Data!V35+Data!W35+Data!T36+Data!U36+Data!V36+Data!W36+Data!T37+Data!U37+Data!V37+Data!W37+Data!T38+Data!U38+Data!V38+Data!W38+Data!T39+Data!U39+Data!V39+Data!W39+Data!T40+Data!U40+Data!V40+Data!W40+Data!T41+Data!U41+Data!V41+Data!W41+Data!T42+Data!U42+Data!V42+Data!W42+Data!T43+Data!U43+Data!V43+Data!W43+Data!T44+Data!U44+Data!V44+Data!W44+Data!T45+Data!U45+Data!V45+Data!W45)/(Data!AP34+Data!AP35+Data!AP36+Data!AP37+Data!AP38+Data!AP39+Data!AP40+Data!AP41+Data!AP42+Data!AP43+Data!AP44+Data!AP45)</f>
        <v>0.106971767290474</v>
      </c>
      <c r="O45" s="18" t="n">
        <f aca="false">(Data!T34+Data!T35+Data!T36+Data!T37+Data!T38+Data!T39+Data!T40+Data!T41+Data!T42+Data!T43+Data!T44+Data!T45)/(Data!AP34+Data!AP35+Data!AP36+Data!AP37+Data!AP38+Data!AP39+Data!AP40+Data!AP41+Data!AP42+Data!AP43+Data!AP44+Data!AP45)</f>
        <v>0.0776977485283685</v>
      </c>
      <c r="P45" s="18" t="n">
        <f aca="false">(Data!U34+Data!U35+Data!U36+Data!U37+Data!U38+Data!U39+Data!U40+Data!U41+Data!U42+Data!U43+Data!U44+Data!U45)/(Data!AP34+Data!AP35+Data!AP36+Data!AP37+Data!AP38+Data!AP39+Data!AP40+Data!AP41+Data!AP42+Data!AP43+Data!AP44+Data!AP45)</f>
        <v>0.0124113590268143</v>
      </c>
      <c r="Q45" s="18" t="n">
        <f aca="false">(Data!V34+Data!V35+Data!V36+Data!V37+Data!V38+Data!V39+Data!V40+Data!V41+Data!V42+Data!V43+Data!V44+Data!V45)/(Data!AP34+Data!AP35+Data!AP36+Data!AP37+Data!AP38+Data!AP39+Data!AP40+Data!AP41+Data!AP42+Data!AP43+Data!AP44+Data!AP45)</f>
        <v>0.00833296341510476</v>
      </c>
      <c r="R45" s="18" t="n">
        <f aca="false">(Data!W34+Data!W35+Data!W36+Data!W37+Data!W38+Data!W39+Data!W40+Data!W41+Data!W42+Data!W43+Data!W44+Data!W45)/(Data!AP34+Data!AP35+Data!AP36+Data!AP37+Data!AP38+Data!AP39+Data!AP40+Data!AP41+Data!AP42+Data!AP43+Data!AP44+Data!AP45)</f>
        <v>0.00852969632018692</v>
      </c>
      <c r="S45" s="18" t="n">
        <f aca="false">(Data!X34+Data!X35+Data!X36+Data!X37+Data!X38+Data!X39+Data!X40+Data!X41+Data!X42+Data!X43+Data!X44+Data!X45)/(Data!AP34+Data!AP35+Data!AP36+Data!AP37+Data!AP38+Data!AP39+Data!AP40+Data!AP41+Data!AP42+Data!AP43+Data!AP44+Data!AP45)</f>
        <v>0.00427094138062888</v>
      </c>
      <c r="T45" s="18" t="n">
        <f aca="false">(Data!Y34+Data!Z34+Data!AA34+Data!Y35+Data!Z35+Data!AA35+Data!Y36+Data!Z36+Data!AA36+Data!Y37+Data!Z37+Data!AA37+Data!Y38+Data!Z38+Data!AA38+Data!Y39+Data!Z39+Data!AA39+Data!Y40+Data!Z40+Data!AA40+Data!Y41+Data!Z41+Data!AA41+Data!Y42+Data!Z42+Data!AA42+Data!Y43+Data!Z43+Data!AA43+Data!Y44+Data!Z44+Data!AA44+Data!Y45+Data!Z45+Data!AA45)/(Data!AP34+Data!AP35+Data!AP36+Data!AP37+Data!AP38+Data!AP39+Data!AP40+Data!AP41+Data!AP42+Data!AP43+Data!AP44+Data!AP45)</f>
        <v>0.0191144640669055</v>
      </c>
      <c r="U45" s="18" t="n">
        <f aca="false">(Data!Y34+Data!Y35+Data!Y36+Data!Y37+Data!Y38+Data!Y39+Data!Y40+Data!Y41+Data!Y42+Data!Y43+Data!Y44+Data!Y45)/(Data!AP34+Data!AP35+Data!AP36+Data!AP37+Data!AP38+Data!AP39+Data!AP40+Data!AP41+Data!AP42+Data!AP43+Data!AP44+Data!AP45)</f>
        <v>0.012427107658352</v>
      </c>
      <c r="V45" s="18" t="n">
        <f aca="false">(Data!Z34+Data!Z35+Data!Z36+Data!Z37+Data!Z38+Data!Z39+Data!Z40+Data!Z41+Data!Z42+Data!Z43+Data!Z44+Data!Z45)/(Data!AP34+Data!AP35+Data!AP36+Data!AP37+Data!AP38+Data!AP39+Data!AP40+Data!AP41+Data!AP42+Data!AP43+Data!AP44+Data!AP45)</f>
        <v>0.00660280125589271</v>
      </c>
      <c r="W45" s="18" t="n">
        <f aca="false">(Data!AB34+Data!AB35+Data!AB36+Data!AB37+Data!AB38+Data!AB39+Data!AB40+Data!AB41+Data!AB42+Data!AB43+Data!AB44+Data!AB45)/(Data!AP34+Data!AP35+Data!AP36+Data!AP37+Data!AP38+Data!AP39+Data!AP40+Data!AP41+Data!AP42+Data!AP43+Data!AP44+Data!AP45)</f>
        <v>0.0264908231052337</v>
      </c>
      <c r="X45" s="18" t="n">
        <f aca="false">(Data!AC34+Data!AC35+Data!AC36+Data!AC37+Data!AC38+Data!AC39+Data!AC40+Data!AC41+Data!AC42+Data!AC43+Data!AC44+Data!AC45)/(Data!AP34+Data!AP35+Data!AP36+Data!AP37+Data!AP38+Data!AP39+Data!AP40+Data!AP41+Data!AP42+Data!AP43+Data!AP44+Data!AP45)</f>
        <v>0.00889491458489471</v>
      </c>
      <c r="Y45" s="18" t="n">
        <f aca="false">(Data!AD34+Data!AE34+Data!AF34+Data!AG34+Data!AH34+Data!AD35+Data!AE35+Data!AF35+Data!AG35+Data!AH35+Data!AD36+Data!AE36+Data!AF36+Data!AG36+Data!AH36+Data!AD37+Data!AE37+Data!AF37+Data!AG37+Data!AH37+Data!AD38+Data!AE38+Data!AF38+Data!AG38+Data!AH38+Data!AD39+Data!AE39+Data!AF39+Data!AG39+Data!AH39+Data!AD40+Data!AE40+Data!AF40+Data!AG40+Data!AH40+Data!AD41+Data!AE41+Data!AF41+Data!AG41+Data!AH41+Data!AD42+Data!AE42+Data!AF42+Data!AG42+Data!AH42+Data!AD43+Data!AE43+Data!AF43+Data!AG43+Data!AH43+Data!AD44+Data!AE44+Data!AF44+Data!AG44+Data!AH44+Data!AD45+Data!AE45+Data!AF45+Data!AG45+Data!AH45)/(Data!AP34+Data!AP35+Data!AP36+Data!AP37+Data!AP38+Data!AP39+Data!AP40+Data!AP41+Data!AP42+Data!AP43+Data!AP44+Data!AP45)</f>
        <v>0.00561982417074746</v>
      </c>
      <c r="Z45" s="18" t="n">
        <f aca="false">(Data!AI34+Data!AI35+Data!AI36+Data!AI37+Data!AI38+Data!AI39+Data!AI40+Data!AI41+Data!AI42+Data!AI43+Data!AI44+Data!AI45)/(Data!AP34+Data!AP35+Data!AP36+Data!AP37+Data!AP38+Data!AP39+Data!AP40+Data!AP41+Data!AP42+Data!AP43+Data!AP44+Data!AP45)</f>
        <v>0.0070050163058002</v>
      </c>
      <c r="AA45" s="18" t="n">
        <f aca="false">(Data!AJ34+Data!AJ35+Data!AJ36+Data!AJ37+Data!AJ38+Data!AJ39+Data!AJ40+Data!AJ41+Data!AJ42+Data!AJ43+Data!AJ44+Data!AJ45)/(Data!AP34+Data!AP35+Data!AP36+Data!AP37+Data!AP38+Data!AP39+Data!AP40+Data!AP41+Data!AP42+Data!AP43+Data!AP44+Data!AP45)</f>
        <v>-7.07438527804962E-005</v>
      </c>
      <c r="AB45" s="18" t="n">
        <f aca="false">(Data!AK34+Data!AK35+Data!AK36+Data!AK37+Data!AK38+Data!AK39+Data!AK40+Data!AK41+Data!AK42+Data!AK43+Data!AK44+Data!AK45)/(Data!AP34+Data!AP35+Data!AP36+Data!AP37+Data!AP38+Data!AP39+Data!AP40+Data!AP41+Data!AP42+Data!AP43+Data!AP44+Data!AP45)</f>
        <v>0.00323165668827936</v>
      </c>
      <c r="AC45" s="18" t="n">
        <f aca="false">(Data!AL34+Data!AL35+Data!AL36+Data!AL37+Data!AL38+Data!AL39+Data!AL40+Data!AL41+Data!AL42+Data!AL43+Data!AL44+Data!AL45)/(Data!AP34+Data!AP35+Data!AP36+Data!AP37+Data!AP38+Data!AP39+Data!AP40+Data!AP41+Data!AP42+Data!AP43+Data!AP44+Data!AP45)</f>
        <v>0.0138106124400257</v>
      </c>
      <c r="AD45" s="17" t="n">
        <f aca="false">(Data!AM34+Data!AM35+Data!AM36+Data!AM37+Data!AM38+Data!AM39+Data!AM40+Data!AM41+Data!AM42+Data!AM43+Data!AM44+Data!AM45)/(Data!AP34+Data!AP35+Data!AP36+Data!AP37+Data!AP38+Data!AP39+Data!AP40+Data!AP41+Data!AP42+Data!AP43+Data!AP44+Data!AP45)</f>
        <v>-0.0186008211994118</v>
      </c>
      <c r="AE45" s="18" t="n">
        <f aca="false">(Data!AN34+Data!AN35+Data!AN36+Data!AN37+Data!AN38+Data!AN39+Data!AN40+Data!AN41+Data!AN42+Data!AN43+Data!AN44+Data!AN45)/(Data!AP34+Data!AP35+Data!AP36+Data!AP37+Data!AP38+Data!AP39+Data!AP40+Data!AP41+Data!AP42+Data!AP43+Data!AP44+Data!AP45)</f>
        <v>0.0283442245556853</v>
      </c>
      <c r="AF45" s="17" t="n">
        <f aca="false">(Data!AO34+Data!AO35+Data!AO36+Data!AO37+Data!AO38+Data!AO39+Data!AO40+Data!AO41+Data!AO42+Data!AO43+Data!AO44+Data!AO45)/(Data!AP34+Data!AP35+Data!AP36+Data!AP37+Data!AP38+Data!AP39+Data!AP40+Data!AP41+Data!AP42+Data!AP43+Data!AP44+Data!AP45)</f>
        <v>-0.046945045755097</v>
      </c>
    </row>
    <row r="46" customFormat="false" ht="15" hidden="false" customHeight="false" outlineLevel="0" collapsed="false">
      <c r="B46" s="14" t="str">
        <f aca="false">Data!B46</f>
        <v>2019-04</v>
      </c>
      <c r="C46" s="17" t="n">
        <f aca="false">(Data!D35+Data!E35+Data!F35+Data!G35+Data!H35+Data!I35+Data!J35+Data!K35+Data!L35+Data!M35+Data!N35+Data!O35+Data!P35+Data!Q35+Data!R35+Data!S35+Data!D36+Data!E36+Data!F36+Data!G36+Data!H36+Data!I36+Data!J36+Data!K36+Data!L36+Data!M36+Data!N36+Data!O36+Data!P36+Data!Q36+Data!R36+Data!S36+Data!D37+Data!E37+Data!F37+Data!G37+Data!H37+Data!I37+Data!J37+Data!K37+Data!L37+Data!M37+Data!N37+Data!O37+Data!P37+Data!Q37+Data!R37+Data!S37+Data!D38+Data!E38+Data!F38+Data!G38+Data!H38+Data!I38+Data!J38+Data!K38+Data!L38+Data!M38+Data!N38+Data!O38+Data!P38+Data!Q38+Data!R38+Data!S38+Data!D39+Data!E39+Data!F39+Data!G39+Data!H39+Data!I39+Data!J39+Data!K39+Data!L39+Data!M39+Data!N39+Data!O39+Data!P39+Data!Q39+Data!R39+Data!S39+Data!D40+Data!E40+Data!F40+Data!G40+Data!H40+Data!I40+Data!J40+Data!K40+Data!L40+Data!M40+Data!N40+Data!O40+Data!P40+Data!Q40+Data!R40+Data!S40+Data!D41+Data!E41+Data!F41+Data!G41+Data!H41+Data!I41+Data!J41+Data!K41+Data!L41+Data!M41+Data!N41+Data!O41+Data!P41+Data!Q41+Data!R41+Data!S41+Data!D42+Data!E42+Data!F42+Data!G42+Data!H42+Data!I42+Data!J42+Data!K42+Data!L42+Data!M42+Data!N42+Data!O42+Data!P42+Data!Q42+Data!R42+Data!S42+Data!D43+Data!E43+Data!F43+Data!G43+Data!H43+Data!I43+Data!J43+Data!K43+Data!L43+Data!M43+Data!N43+Data!O43+Data!P43+Data!Q43+Data!R43+Data!S43+Data!D44+Data!E44+Data!F44+Data!G44+Data!H44+Data!I44+Data!J44+Data!K44+Data!L44+Data!M44+Data!N44+Data!O44+Data!P44+Data!Q44+Data!R44+Data!S44+Data!D45+Data!E45+Data!F45+Data!G45+Data!H45+Data!I45+Data!J45+Data!K45+Data!L45+Data!M45+Data!N45+Data!O45+Data!P45+Data!Q45+Data!R45+Data!S45+Data!D46+Data!E46+Data!F46+Data!G46+Data!H46+Data!I46+Data!J46+Data!K46+Data!L46+Data!M46+Data!N46+Data!O46+Data!P46+Data!Q46+Data!R46+Data!S46)/(Data!AP35+Data!AP36+Data!AP37+Data!AP38+Data!AP39+Data!AP40+Data!AP41+Data!AP42+Data!AP43+Data!AP44+Data!AP45+Data!AP46)</f>
        <v>0.176204230993053</v>
      </c>
      <c r="D46" s="18" t="n">
        <f aca="false">(Data!D35+Data!E35+Data!G35+Data!H35+Data!I35+Data!J35+Data!K35+Data!L35+Data!M35+Data!D36+Data!E36+Data!G36+Data!H36+Data!I36+Data!J36+Data!K36+Data!L36+Data!M36+Data!D37+Data!E37+Data!G37+Data!H37+Data!I37+Data!J37+Data!K37+Data!L37+Data!M37+Data!D38+Data!E38+Data!G38+Data!H38+Data!I38+Data!J38+Data!K38+Data!L38+Data!M38+Data!D39+Data!E39+Data!G39+Data!H39+Data!I39+Data!J39+Data!K39+Data!L39+Data!M39+Data!D40+Data!E40+Data!G40+Data!H40+Data!I40+Data!J40+Data!K40+Data!L40+Data!M40+Data!D41+Data!E41+Data!G41+Data!H41+Data!I41+Data!J41+Data!K41+Data!L41+Data!M41+Data!D42+Data!E42+Data!G42+Data!H42+Data!I42+Data!J42+Data!K42+Data!L42+Data!M42+Data!D43+Data!E43+Data!G43+Data!H43+Data!I43+Data!J43+Data!K43+Data!L43+Data!M43+Data!D44+Data!E44+Data!G44+Data!H44+Data!I44+Data!J44+Data!K44+Data!L44+Data!M44+Data!D45+Data!E45+Data!G45+Data!H45+Data!I45+Data!J45+Data!K45+Data!L45+Data!M45+Data!D46+Data!E46+Data!G46+Data!H46+Data!I46+Data!J46+Data!K46+Data!L46+Data!M46)/(Data!AP35+Data!AP36+Data!AP37+Data!AP38+Data!AP39+Data!AP40+Data!AP41+Data!AP42+Data!AP43+Data!AP44+Data!AP45+Data!AP46)</f>
        <v>0.0962193615967474</v>
      </c>
      <c r="E46" s="18" t="n">
        <f aca="false">(Data!D35+Data!D36+Data!D37+Data!D38+Data!D39+Data!D40+Data!D41+Data!D42+Data!D43+Data!D44+Data!D45+Data!D46)/(Data!AP35+Data!AP36+Data!AP37+Data!AP38+Data!AP39+Data!AP40+Data!AP41+Data!AP42+Data!AP43+Data!AP44+Data!AP45+Data!AP46)</f>
        <v>0.0333872353124685</v>
      </c>
      <c r="F46" s="18" t="n">
        <f aca="false">(Data!E35+Data!E36+Data!E37+Data!E38+Data!E39+Data!E40+Data!E41+Data!E42+Data!E43+Data!E44+Data!E45+Data!E46)/(Data!AP35+Data!AP36+Data!AP37+Data!AP38+Data!AP39+Data!AP40+Data!AP41+Data!AP42+Data!AP43+Data!AP44+Data!AP45+Data!AP46)</f>
        <v>0.0178729209254082</v>
      </c>
      <c r="G46" s="18" t="n">
        <f aca="false">(Data!K35+Data!K36+Data!K37+Data!K38+Data!K39+Data!K40+Data!K41+Data!K42+Data!K43+Data!K44+Data!K45+Data!K46)/(Data!AP35+Data!AP36+Data!AP37+Data!AP38+Data!AP39+Data!AP40+Data!AP41+Data!AP42+Data!AP43+Data!AP44+Data!AP45+Data!AP46)</f>
        <v>0.00937441133560978</v>
      </c>
      <c r="H46" s="18" t="n">
        <f aca="false">(Data!L35+Data!L36+Data!L37+Data!L38+Data!L39+Data!L40+Data!L41+Data!L42+Data!L43+Data!L44+Data!L45+Data!L46)/(Data!AP35+Data!AP36+Data!AP37+Data!AP38+Data!AP39+Data!AP40+Data!AP41+Data!AP42+Data!AP43+Data!AP44+Data!AP45+Data!AP46)</f>
        <v>0.00660495739045122</v>
      </c>
      <c r="I46" s="18" t="n">
        <f aca="false">(Data!G35+Data!G36+Data!G37+Data!G38+Data!G39+Data!G40+Data!G41+Data!G42+Data!G43+Data!G44+Data!G45+Data!G46)/(Data!AP35+Data!AP36+Data!AP37+Data!AP38+Data!AP39+Data!AP40+Data!AP41+Data!AP42+Data!AP43+Data!AP44+Data!AP45+Data!AP46)</f>
        <v>0.0157072450865625</v>
      </c>
      <c r="J46" s="18" t="n">
        <f aca="false">(Data!H35+Data!I35+Data!J35+Data!M35+Data!H36+Data!I36+Data!J36+Data!M36+Data!H37+Data!I37+Data!J37+Data!M37+Data!H38+Data!I38+Data!J38+Data!M38+Data!H39+Data!I39+Data!J39+Data!M39+Data!H40+Data!I40+Data!J40+Data!M40+Data!H41+Data!I41+Data!J41+Data!M41+Data!H42+Data!I42+Data!J42+Data!M42+Data!H43+Data!I43+Data!J43+Data!M43+Data!H44+Data!I44+Data!J44+Data!M44+Data!H45+Data!I45+Data!J45+Data!M45+Data!H46+Data!I46+Data!J46+Data!M46)/(Data!AP35+Data!AP36+Data!AP37+Data!AP38+Data!AP39+Data!AP40+Data!AP41+Data!AP42+Data!AP43+Data!AP44+Data!AP45+Data!AP46)</f>
        <v>0.0132725915462471</v>
      </c>
      <c r="K46" s="18" t="n">
        <f aca="false">(Data!F35+Data!F36+Data!F37+Data!F38+Data!F39+Data!F40+Data!F41+Data!F42+Data!F43+Data!F44+Data!F45+Data!F46)/(Data!AP35+Data!AP36+Data!AP37+Data!AP38+Data!AP39+Data!AP40+Data!AP41+Data!AP42+Data!AP43+Data!AP44+Data!AP45+Data!AP46)</f>
        <v>0.0602556030386224</v>
      </c>
      <c r="L46" s="18" t="n">
        <f aca="false">(Data!N35+Data!O35+Data!P35+Data!Q35+Data!R35+Data!S35+Data!N36+Data!O36+Data!P36+Data!Q36+Data!R36+Data!S36+Data!N37+Data!O37+Data!P37+Data!Q37+Data!R37+Data!S37+Data!N38+Data!O38+Data!P38+Data!Q38+Data!R38+Data!S38+Data!N39+Data!O39+Data!P39+Data!Q39+Data!R39+Data!S39+Data!N40+Data!O40+Data!P40+Data!Q40+Data!R40+Data!S40+Data!N41+Data!O41+Data!P41+Data!Q41+Data!R41+Data!S41+Data!N42+Data!O42+Data!P42+Data!Q42+Data!R42+Data!S42+Data!N43+Data!O43+Data!P43+Data!Q43+Data!R43+Data!S43+Data!N44+Data!O44+Data!P44+Data!Q44+Data!R44+Data!S44+Data!N45+Data!O45+Data!P45+Data!Q45+Data!R45+Data!S45+Data!N46+Data!O46+Data!P46+Data!Q46+Data!R46+Data!S46)/(Data!AP35+Data!AP36+Data!AP37+Data!AP38+Data!AP39+Data!AP40+Data!AP41+Data!AP42+Data!AP43+Data!AP44+Data!AP45+Data!AP46)</f>
        <v>0.0197292663576831</v>
      </c>
      <c r="M46" s="17" t="n">
        <f aca="false">(Data!T35+Data!U35+Data!V35+Data!W35+Data!X35+Data!Y35+Data!Z35+Data!AA35+Data!AB35+Data!AC35+Data!AD35+Data!AE35+Data!AF35+Data!AG35+Data!AH35+Data!AI35+Data!AJ35+Data!AK35+Data!AL35+Data!T36+Data!U36+Data!V36+Data!W36+Data!X36+Data!Y36+Data!Z36+Data!AA36+Data!AB36+Data!AC36+Data!AD36+Data!AE36+Data!AF36+Data!AG36+Data!AH36+Data!AI36+Data!AJ36+Data!AK36+Data!AL36+Data!T37+Data!U37+Data!V37+Data!W37+Data!X37+Data!Y37+Data!Z37+Data!AA37+Data!AB37+Data!AC37+Data!AD37+Data!AE37+Data!AF37+Data!AG37+Data!AH37+Data!AI37+Data!AJ37+Data!AK37+Data!AL37+Data!T38+Data!U38+Data!V38+Data!W38+Data!X38+Data!Y38+Data!Z38+Data!AA38+Data!AB38+Data!AC38+Data!AD38+Data!AE38+Data!AF38+Data!AG38+Data!AH38+Data!AI38+Data!AJ38+Data!AK38+Data!AL38+Data!T39+Data!U39+Data!V39+Data!W39+Data!X39+Data!Y39+Data!Z39+Data!AA39+Data!AB39+Data!AC39+Data!AD39+Data!AE39+Data!AF39+Data!AG39+Data!AH39+Data!AI39+Data!AJ39+Data!AK39+Data!AL39+Data!T40+Data!U40+Data!V40+Data!W40+Data!X40+Data!Y40+Data!Z40+Data!AA40+Data!AB40+Data!AC40+Data!AD40+Data!AE40+Data!AF40+Data!AG40+Data!AH40+Data!AI40+Data!AJ40+Data!AK40+Data!AL40+Data!T41+Data!U41+Data!V41+Data!W41+Data!X41+Data!Y41+Data!Z41+Data!AA41+Data!AB41+Data!AC41+Data!AD41+Data!AE41+Data!AF41+Data!AG41+Data!AH41+Data!AI41+Data!AJ41+Data!AK41+Data!AL41+Data!T42+Data!U42+Data!V42+Data!W42+Data!X42+Data!Y42+Data!Z42+Data!AA42+Data!AB42+Data!AC42+Data!AD42+Data!AE42+Data!AF42+Data!AG42+Data!AH42+Data!AI42+Data!AJ42+Data!AK42+Data!AL42+Data!T43+Data!U43+Data!V43+Data!W43+Data!X43+Data!Y43+Data!Z43+Data!AA43+Data!AB43+Data!AC43+Data!AD43+Data!AE43+Data!AF43+Data!AG43+Data!AH43+Data!AI43+Data!AJ43+Data!AK43+Data!AL43+Data!T44+Data!U44+Data!V44+Data!W44+Data!X44+Data!Y44+Data!Z44+Data!AA44+Data!AB44+Data!AC44+Data!AD44+Data!AE44+Data!AF44+Data!AG44+Data!AH44+Data!AI44+Data!AJ44+Data!AK44+Data!AL44+Data!T45+Data!U45+Data!V45+Data!W45+Data!X45+Data!Y45+Data!Z45+Data!AA45+Data!AB45+Data!AC45+Data!AD45+Data!AE45+Data!AF45+Data!AG45+Data!AH45+Data!AI45+Data!AJ45+Data!AK45+Data!AL45+Data!T46+Data!U46+Data!V46+Data!W46+Data!X46+Data!Y46+Data!Z46+Data!AA46+Data!AB46+Data!AC46+Data!AD46+Data!AE46+Data!AF46+Data!AG46+Data!AH46+Data!AI46+Data!AJ46+Data!AK46+Data!AL46)/(Data!AP35+Data!AP36+Data!AP37+Data!AP38+Data!AP39+Data!AP40+Data!AP41+Data!AP42+Data!AP43+Data!AP44+Data!AP45+Data!AP46)</f>
        <v>0.193555168200899</v>
      </c>
      <c r="N46" s="18" t="n">
        <f aca="false">(Data!T35+Data!U35+Data!V35+Data!W35+Data!T36+Data!U36+Data!V36+Data!W36+Data!T37+Data!U37+Data!V37+Data!W37+Data!T38+Data!U38+Data!V38+Data!W38+Data!T39+Data!U39+Data!V39+Data!W39+Data!T40+Data!U40+Data!V40+Data!W40+Data!T41+Data!U41+Data!V41+Data!W41+Data!T42+Data!U42+Data!V42+Data!W42+Data!T43+Data!U43+Data!V43+Data!W43+Data!T44+Data!U44+Data!V44+Data!W44+Data!T45+Data!U45+Data!V45+Data!W45+Data!T46+Data!U46+Data!V46+Data!W46)/(Data!AP35+Data!AP36+Data!AP37+Data!AP38+Data!AP39+Data!AP40+Data!AP41+Data!AP42+Data!AP43+Data!AP44+Data!AP45+Data!AP46)</f>
        <v>0.106214430206171</v>
      </c>
      <c r="O46" s="18" t="n">
        <f aca="false">(Data!T35+Data!T36+Data!T37+Data!T38+Data!T39+Data!T40+Data!T41+Data!T42+Data!T43+Data!T44+Data!T45+Data!T46)/(Data!AP35+Data!AP36+Data!AP37+Data!AP38+Data!AP39+Data!AP40+Data!AP41+Data!AP42+Data!AP43+Data!AP44+Data!AP45+Data!AP46)</f>
        <v>0.0771191618472247</v>
      </c>
      <c r="P46" s="18" t="n">
        <f aca="false">(Data!U35+Data!U36+Data!U37+Data!U38+Data!U39+Data!U40+Data!U41+Data!U42+Data!U43+Data!U44+Data!U45+Data!U46)/(Data!AP35+Data!AP36+Data!AP37+Data!AP38+Data!AP39+Data!AP40+Data!AP41+Data!AP42+Data!AP43+Data!AP44+Data!AP45+Data!AP46)</f>
        <v>0.0124292381592731</v>
      </c>
      <c r="Q46" s="18" t="n">
        <f aca="false">(Data!V35+Data!V36+Data!V37+Data!V38+Data!V39+Data!V40+Data!V41+Data!V42+Data!V43+Data!V44+Data!V45+Data!V46)/(Data!AP35+Data!AP36+Data!AP37+Data!AP38+Data!AP39+Data!AP40+Data!AP41+Data!AP42+Data!AP43+Data!AP44+Data!AP45+Data!AP46)</f>
        <v>0.00829335813103022</v>
      </c>
      <c r="R46" s="18" t="n">
        <f aca="false">(Data!W35+Data!W36+Data!W37+Data!W38+Data!W39+Data!W40+Data!W41+Data!W42+Data!W43+Data!W44+Data!W45+Data!W46)/(Data!AP35+Data!AP36+Data!AP37+Data!AP38+Data!AP39+Data!AP40+Data!AP41+Data!AP42+Data!AP43+Data!AP44+Data!AP45+Data!AP46)</f>
        <v>0.00837267206864306</v>
      </c>
      <c r="S46" s="18" t="n">
        <f aca="false">(Data!X35+Data!X36+Data!X37+Data!X38+Data!X39+Data!X40+Data!X41+Data!X42+Data!X43+Data!X44+Data!X45+Data!X46)/(Data!AP35+Data!AP36+Data!AP37+Data!AP38+Data!AP39+Data!AP40+Data!AP41+Data!AP42+Data!AP43+Data!AP44+Data!AP45+Data!AP46)</f>
        <v>0.00431513799708105</v>
      </c>
      <c r="T46" s="18" t="n">
        <f aca="false">(Data!Y35+Data!Z35+Data!AA35+Data!Y36+Data!Z36+Data!AA36+Data!Y37+Data!Z37+Data!AA37+Data!Y38+Data!Z38+Data!AA38+Data!Y39+Data!Z39+Data!AA39+Data!Y40+Data!Z40+Data!AA40+Data!Y41+Data!Z41+Data!AA41+Data!Y42+Data!Z42+Data!AA42+Data!Y43+Data!Z43+Data!AA43+Data!Y44+Data!Z44+Data!AA44+Data!Y45+Data!Z45+Data!AA45+Data!Y46+Data!Z46+Data!AA46)/(Data!AP35+Data!AP36+Data!AP37+Data!AP38+Data!AP39+Data!AP40+Data!AP41+Data!AP42+Data!AP43+Data!AP44+Data!AP45+Data!AP46)</f>
        <v>0.0189197923033278</v>
      </c>
      <c r="U46" s="18" t="n">
        <f aca="false">(Data!Y35+Data!Y36+Data!Y37+Data!Y38+Data!Y39+Data!Y40+Data!Y41+Data!Y42+Data!Y43+Data!Y44+Data!Y45+Data!Y46)/(Data!AP35+Data!AP36+Data!AP37+Data!AP38+Data!AP39+Data!AP40+Data!AP41+Data!AP42+Data!AP43+Data!AP44+Data!AP45+Data!AP46)</f>
        <v>0.012465355947797</v>
      </c>
      <c r="V46" s="18" t="n">
        <f aca="false">(Data!Z35+Data!Z36+Data!Z37+Data!Z38+Data!Z39+Data!Z40+Data!Z41+Data!Z42+Data!Z43+Data!Z44+Data!Z45+Data!Z46)/(Data!AP35+Data!AP36+Data!AP37+Data!AP38+Data!AP39+Data!AP40+Data!AP41+Data!AP42+Data!AP43+Data!AP44+Data!AP45+Data!AP46)</f>
        <v>0.00637433593341069</v>
      </c>
      <c r="W46" s="18" t="n">
        <f aca="false">(Data!AB35+Data!AB36+Data!AB37+Data!AB38+Data!AB39+Data!AB40+Data!AB41+Data!AB42+Data!AB43+Data!AB44+Data!AB45+Data!AB46)/(Data!AP35+Data!AP36+Data!AP37+Data!AP38+Data!AP39+Data!AP40+Data!AP41+Data!AP42+Data!AP43+Data!AP44+Data!AP45+Data!AP46)</f>
        <v>0.0261497628817868</v>
      </c>
      <c r="X46" s="18" t="n">
        <f aca="false">(Data!AC35+Data!AC36+Data!AC37+Data!AC38+Data!AC39+Data!AC40+Data!AC41+Data!AC42+Data!AC43+Data!AC44+Data!AC45+Data!AC46)/(Data!AP35+Data!AP36+Data!AP37+Data!AP38+Data!AP39+Data!AP40+Data!AP41+Data!AP42+Data!AP43+Data!AP44+Data!AP45+Data!AP46)</f>
        <v>0.00899841124234983</v>
      </c>
      <c r="Y46" s="18" t="n">
        <f aca="false">(Data!AD35+Data!AE35+Data!AF35+Data!AG35+Data!AH35+Data!AD36+Data!AE36+Data!AF36+Data!AG36+Data!AH36+Data!AD37+Data!AE37+Data!AF37+Data!AG37+Data!AH37+Data!AD38+Data!AE38+Data!AF38+Data!AG38+Data!AH38+Data!AD39+Data!AE39+Data!AF39+Data!AG39+Data!AH39+Data!AD40+Data!AE40+Data!AF40+Data!AG40+Data!AH40+Data!AD41+Data!AE41+Data!AF41+Data!AG41+Data!AH41+Data!AD42+Data!AE42+Data!AF42+Data!AG42+Data!AH42+Data!AD43+Data!AE43+Data!AF43+Data!AG43+Data!AH43+Data!AD44+Data!AE44+Data!AF44+Data!AG44+Data!AH44+Data!AD45+Data!AE45+Data!AF45+Data!AG45+Data!AH45+Data!AD46+Data!AE46+Data!AF46+Data!AG46+Data!AH46)/(Data!AP35+Data!AP36+Data!AP37+Data!AP38+Data!AP39+Data!AP40+Data!AP41+Data!AP42+Data!AP43+Data!AP44+Data!AP45+Data!AP46)</f>
        <v>0.00546382886928162</v>
      </c>
      <c r="Z46" s="18" t="n">
        <f aca="false">(Data!AI35+Data!AI36+Data!AI37+Data!AI38+Data!AI39+Data!AI40+Data!AI41+Data!AI42+Data!AI43+Data!AI44+Data!AI45+Data!AI46)/(Data!AP35+Data!AP36+Data!AP37+Data!AP38+Data!AP39+Data!AP40+Data!AP41+Data!AP42+Data!AP43+Data!AP44+Data!AP45+Data!AP46)</f>
        <v>0.00691301732204891</v>
      </c>
      <c r="AA46" s="18" t="n">
        <f aca="false">(Data!AJ35+Data!AJ36+Data!AJ37+Data!AJ38+Data!AJ39+Data!AJ40+Data!AJ41+Data!AJ42+Data!AJ43+Data!AJ44+Data!AJ45+Data!AJ46)/(Data!AP35+Data!AP36+Data!AP37+Data!AP38+Data!AP39+Data!AP40+Data!AP41+Data!AP42+Data!AP43+Data!AP44+Data!AP45+Data!AP46)</f>
        <v>-3.24878600290571E-005</v>
      </c>
      <c r="AB46" s="18" t="n">
        <f aca="false">(Data!AK35+Data!AK36+Data!AK37+Data!AK38+Data!AK39+Data!AK40+Data!AK41+Data!AK42+Data!AK43+Data!AK44+Data!AK45+Data!AK46)/(Data!AP35+Data!AP36+Data!AP37+Data!AP38+Data!AP39+Data!AP40+Data!AP41+Data!AP42+Data!AP43+Data!AP44+Data!AP45+Data!AP46)</f>
        <v>0.00317098453549906</v>
      </c>
      <c r="AC46" s="18" t="n">
        <f aca="false">(Data!AL35+Data!AL36+Data!AL37+Data!AL38+Data!AL39+Data!AL40+Data!AL41+Data!AL42+Data!AL43+Data!AL44+Data!AL45+Data!AL46)/(Data!AP35+Data!AP36+Data!AP37+Data!AP38+Data!AP39+Data!AP40+Data!AP41+Data!AP42+Data!AP43+Data!AP44+Data!AP45+Data!AP46)</f>
        <v>0.0134422907033822</v>
      </c>
      <c r="AD46" s="17" t="n">
        <f aca="false">(Data!AM35+Data!AM36+Data!AM37+Data!AM38+Data!AM39+Data!AM40+Data!AM41+Data!AM42+Data!AM43+Data!AM44+Data!AM45+Data!AM46)/(Data!AP35+Data!AP36+Data!AP37+Data!AP38+Data!AP39+Data!AP40+Data!AP41+Data!AP42+Data!AP43+Data!AP44+Data!AP45+Data!AP46)</f>
        <v>-0.0173509372078464</v>
      </c>
      <c r="AE46" s="18" t="n">
        <f aca="false">(Data!AN35+Data!AN36+Data!AN37+Data!AN38+Data!AN39+Data!AN40+Data!AN41+Data!AN42+Data!AN43+Data!AN44+Data!AN45+Data!AN46)/(Data!AP35+Data!AP36+Data!AP37+Data!AP38+Data!AP39+Data!AP40+Data!AP41+Data!AP42+Data!AP43+Data!AP44+Data!AP45+Data!AP46)</f>
        <v>0.0294629801154764</v>
      </c>
      <c r="AF46" s="17" t="n">
        <f aca="false">(Data!AO35+Data!AO36+Data!AO37+Data!AO38+Data!AO39+Data!AO40+Data!AO41+Data!AO42+Data!AO43+Data!AO44+Data!AO45+Data!AO46)/(Data!AP35+Data!AP36+Data!AP37+Data!AP38+Data!AP39+Data!AP40+Data!AP41+Data!AP42+Data!AP43+Data!AP44+Data!AP45+Data!AP46)</f>
        <v>-0.046813977822131</v>
      </c>
    </row>
    <row r="47" customFormat="false" ht="15" hidden="false" customHeight="false" outlineLevel="0" collapsed="false">
      <c r="B47" s="14" t="str">
        <f aca="false">Data!B47</f>
        <v>2019-05</v>
      </c>
      <c r="C47" s="17" t="n">
        <f aca="false">(Data!D36+Data!E36+Data!F36+Data!G36+Data!H36+Data!I36+Data!J36+Data!K36+Data!L36+Data!M36+Data!N36+Data!O36+Data!P36+Data!Q36+Data!R36+Data!S36+Data!D37+Data!E37+Data!F37+Data!G37+Data!H37+Data!I37+Data!J37+Data!K37+Data!L37+Data!M37+Data!N37+Data!O37+Data!P37+Data!Q37+Data!R37+Data!S37+Data!D38+Data!E38+Data!F38+Data!G38+Data!H38+Data!I38+Data!J38+Data!K38+Data!L38+Data!M38+Data!N38+Data!O38+Data!P38+Data!Q38+Data!R38+Data!S38+Data!D39+Data!E39+Data!F39+Data!G39+Data!H39+Data!I39+Data!J39+Data!K39+Data!L39+Data!M39+Data!N39+Data!O39+Data!P39+Data!Q39+Data!R39+Data!S39+Data!D40+Data!E40+Data!F40+Data!G40+Data!H40+Data!I40+Data!J40+Data!K40+Data!L40+Data!M40+Data!N40+Data!O40+Data!P40+Data!Q40+Data!R40+Data!S40+Data!D41+Data!E41+Data!F41+Data!G41+Data!H41+Data!I41+Data!J41+Data!K41+Data!L41+Data!M41+Data!N41+Data!O41+Data!P41+Data!Q41+Data!R41+Data!S41+Data!D42+Data!E42+Data!F42+Data!G42+Data!H42+Data!I42+Data!J42+Data!K42+Data!L42+Data!M42+Data!N42+Data!O42+Data!P42+Data!Q42+Data!R42+Data!S42+Data!D43+Data!E43+Data!F43+Data!G43+Data!H43+Data!I43+Data!J43+Data!K43+Data!L43+Data!M43+Data!N43+Data!O43+Data!P43+Data!Q43+Data!R43+Data!S43+Data!D44+Data!E44+Data!F44+Data!G44+Data!H44+Data!I44+Data!J44+Data!K44+Data!L44+Data!M44+Data!N44+Data!O44+Data!P44+Data!Q44+Data!R44+Data!S44+Data!D45+Data!E45+Data!F45+Data!G45+Data!H45+Data!I45+Data!J45+Data!K45+Data!L45+Data!M45+Data!N45+Data!O45+Data!P45+Data!Q45+Data!R45+Data!S45+Data!D46+Data!E46+Data!F46+Data!G46+Data!H46+Data!I46+Data!J46+Data!K46+Data!L46+Data!M46+Data!N46+Data!O46+Data!P46+Data!Q46+Data!R46+Data!S46+Data!D47+Data!E47+Data!F47+Data!G47+Data!H47+Data!I47+Data!J47+Data!K47+Data!L47+Data!M47+Data!N47+Data!O47+Data!P47+Data!Q47+Data!R47+Data!S47)/(Data!AP36+Data!AP37+Data!AP38+Data!AP39+Data!AP40+Data!AP41+Data!AP42+Data!AP43+Data!AP44+Data!AP45+Data!AP46+Data!AP47)</f>
        <v>0.17668309763814</v>
      </c>
      <c r="D47" s="18" t="n">
        <f aca="false">(Data!D36+Data!E36+Data!G36+Data!H36+Data!I36+Data!J36+Data!K36+Data!L36+Data!M36+Data!D37+Data!E37+Data!G37+Data!H37+Data!I37+Data!J37+Data!K37+Data!L37+Data!M37+Data!D38+Data!E38+Data!G38+Data!H38+Data!I38+Data!J38+Data!K38+Data!L38+Data!M38+Data!D39+Data!E39+Data!G39+Data!H39+Data!I39+Data!J39+Data!K39+Data!L39+Data!M39+Data!D40+Data!E40+Data!G40+Data!H40+Data!I40+Data!J40+Data!K40+Data!L40+Data!M40+Data!D41+Data!E41+Data!G41+Data!H41+Data!I41+Data!J41+Data!K41+Data!L41+Data!M41+Data!D42+Data!E42+Data!G42+Data!H42+Data!I42+Data!J42+Data!K42+Data!L42+Data!M42+Data!D43+Data!E43+Data!G43+Data!H43+Data!I43+Data!J43+Data!K43+Data!L43+Data!M43+Data!D44+Data!E44+Data!G44+Data!H44+Data!I44+Data!J44+Data!K44+Data!L44+Data!M44+Data!D45+Data!E45+Data!G45+Data!H45+Data!I45+Data!J45+Data!K45+Data!L45+Data!M45+Data!D46+Data!E46+Data!G46+Data!H46+Data!I46+Data!J46+Data!K46+Data!L46+Data!M46+Data!D47+Data!E47+Data!G47+Data!H47+Data!I47+Data!J47+Data!K47+Data!L47+Data!M47)/(Data!AP36+Data!AP37+Data!AP38+Data!AP39+Data!AP40+Data!AP41+Data!AP42+Data!AP43+Data!AP44+Data!AP45+Data!AP46+Data!AP47)</f>
        <v>0.0977809720436075</v>
      </c>
      <c r="E47" s="18" t="n">
        <f aca="false">(Data!D36+Data!D37+Data!D38+Data!D39+Data!D40+Data!D41+Data!D42+Data!D43+Data!D44+Data!D45+Data!D46+Data!D47)/(Data!AP36+Data!AP37+Data!AP38+Data!AP39+Data!AP40+Data!AP41+Data!AP42+Data!AP43+Data!AP44+Data!AP45+Data!AP46+Data!AP47)</f>
        <v>0.0334675692583044</v>
      </c>
      <c r="F47" s="18" t="n">
        <f aca="false">(Data!E36+Data!E37+Data!E38+Data!E39+Data!E40+Data!E41+Data!E42+Data!E43+Data!E44+Data!E45+Data!E46+Data!E47)/(Data!AP36+Data!AP37+Data!AP38+Data!AP39+Data!AP40+Data!AP41+Data!AP42+Data!AP43+Data!AP44+Data!AP45+Data!AP46+Data!AP47)</f>
        <v>0.0181721629121933</v>
      </c>
      <c r="G47" s="18" t="n">
        <f aca="false">(Data!K36+Data!K37+Data!K38+Data!K39+Data!K40+Data!K41+Data!K42+Data!K43+Data!K44+Data!K45+Data!K46+Data!K47)/(Data!AP36+Data!AP37+Data!AP38+Data!AP39+Data!AP40+Data!AP41+Data!AP42+Data!AP43+Data!AP44+Data!AP45+Data!AP46+Data!AP47)</f>
        <v>0.0107391003271612</v>
      </c>
      <c r="H47" s="18" t="n">
        <f aca="false">(Data!L36+Data!L37+Data!L38+Data!L39+Data!L40+Data!L41+Data!L42+Data!L43+Data!L44+Data!L45+Data!L46+Data!L47)/(Data!AP36+Data!AP37+Data!AP38+Data!AP39+Data!AP40+Data!AP41+Data!AP42+Data!AP43+Data!AP44+Data!AP45+Data!AP46+Data!AP47)</f>
        <v>0.00654539840532156</v>
      </c>
      <c r="I47" s="18" t="n">
        <f aca="false">(Data!G36+Data!G37+Data!G38+Data!G39+Data!G40+Data!G41+Data!G42+Data!G43+Data!G44+Data!G45+Data!G46+Data!G47)/(Data!AP36+Data!AP37+Data!AP38+Data!AP39+Data!AP40+Data!AP41+Data!AP42+Data!AP43+Data!AP44+Data!AP45+Data!AP46+Data!AP47)</f>
        <v>0.0157252718962066</v>
      </c>
      <c r="J47" s="18" t="n">
        <f aca="false">(Data!H36+Data!I36+Data!J36+Data!M36+Data!H37+Data!I37+Data!J37+Data!M37+Data!H38+Data!I38+Data!J38+Data!M38+Data!H39+Data!I39+Data!J39+Data!M39+Data!H40+Data!I40+Data!J40+Data!M40+Data!H41+Data!I41+Data!J41+Data!M41+Data!H42+Data!I42+Data!J42+Data!M42+Data!H43+Data!I43+Data!J43+Data!M43+Data!H44+Data!I44+Data!J44+Data!M44+Data!H45+Data!I45+Data!J45+Data!M45+Data!H46+Data!I46+Data!J46+Data!M46+Data!H47+Data!I47+Data!J47+Data!M47)/(Data!AP36+Data!AP37+Data!AP38+Data!AP39+Data!AP40+Data!AP41+Data!AP42+Data!AP43+Data!AP44+Data!AP45+Data!AP46+Data!AP47)</f>
        <v>0.0131314692444205</v>
      </c>
      <c r="K47" s="18" t="n">
        <f aca="false">(Data!F36+Data!F37+Data!F38+Data!F39+Data!F40+Data!F41+Data!F42+Data!F43+Data!F44+Data!F45+Data!F46+Data!F47)/(Data!AP36+Data!AP37+Data!AP38+Data!AP39+Data!AP40+Data!AP41+Data!AP42+Data!AP43+Data!AP44+Data!AP45+Data!AP46+Data!AP47)</f>
        <v>0.0595347424408893</v>
      </c>
      <c r="L47" s="18" t="n">
        <f aca="false">(Data!N36+Data!O36+Data!P36+Data!Q36+Data!R36+Data!S36+Data!N37+Data!O37+Data!P37+Data!Q37+Data!R37+Data!S37+Data!N38+Data!O38+Data!P38+Data!Q38+Data!R38+Data!S38+Data!N39+Data!O39+Data!P39+Data!Q39+Data!R39+Data!S39+Data!N40+Data!O40+Data!P40+Data!Q40+Data!R40+Data!S40+Data!N41+Data!O41+Data!P41+Data!Q41+Data!R41+Data!S41+Data!N42+Data!O42+Data!P42+Data!Q42+Data!R42+Data!S42+Data!N43+Data!O43+Data!P43+Data!Q43+Data!R43+Data!S43+Data!N44+Data!O44+Data!P44+Data!Q44+Data!R44+Data!S44+Data!N45+Data!O45+Data!P45+Data!Q45+Data!R45+Data!S45+Data!N46+Data!O46+Data!P46+Data!Q46+Data!R46+Data!S46+Data!N47+Data!O47+Data!P47+Data!Q47+Data!R47+Data!S47)/(Data!AP36+Data!AP37+Data!AP38+Data!AP39+Data!AP40+Data!AP41+Data!AP42+Data!AP43+Data!AP44+Data!AP45+Data!AP46+Data!AP47)</f>
        <v>0.0193673831536429</v>
      </c>
      <c r="M47" s="17" t="n">
        <f aca="false">(Data!T36+Data!U36+Data!V36+Data!W36+Data!X36+Data!Y36+Data!Z36+Data!AA36+Data!AB36+Data!AC36+Data!AD36+Data!AE36+Data!AF36+Data!AG36+Data!AH36+Data!AI36+Data!AJ36+Data!AK36+Data!AL36+Data!T37+Data!U37+Data!V37+Data!W37+Data!X37+Data!Y37+Data!Z37+Data!AA37+Data!AB37+Data!AC37+Data!AD37+Data!AE37+Data!AF37+Data!AG37+Data!AH37+Data!AI37+Data!AJ37+Data!AK37+Data!AL37+Data!T38+Data!U38+Data!V38+Data!W38+Data!X38+Data!Y38+Data!Z38+Data!AA38+Data!AB38+Data!AC38+Data!AD38+Data!AE38+Data!AF38+Data!AG38+Data!AH38+Data!AI38+Data!AJ38+Data!AK38+Data!AL38+Data!T39+Data!U39+Data!V39+Data!W39+Data!X39+Data!Y39+Data!Z39+Data!AA39+Data!AB39+Data!AC39+Data!AD39+Data!AE39+Data!AF39+Data!AG39+Data!AH39+Data!AI39+Data!AJ39+Data!AK39+Data!AL39+Data!T40+Data!U40+Data!V40+Data!W40+Data!X40+Data!Y40+Data!Z40+Data!AA40+Data!AB40+Data!AC40+Data!AD40+Data!AE40+Data!AF40+Data!AG40+Data!AH40+Data!AI40+Data!AJ40+Data!AK40+Data!AL40+Data!T41+Data!U41+Data!V41+Data!W41+Data!X41+Data!Y41+Data!Z41+Data!AA41+Data!AB41+Data!AC41+Data!AD41+Data!AE41+Data!AF41+Data!AG41+Data!AH41+Data!AI41+Data!AJ41+Data!AK41+Data!AL41+Data!T42+Data!U42+Data!V42+Data!W42+Data!X42+Data!Y42+Data!Z42+Data!AA42+Data!AB42+Data!AC42+Data!AD42+Data!AE42+Data!AF42+Data!AG42+Data!AH42+Data!AI42+Data!AJ42+Data!AK42+Data!AL42+Data!T43+Data!U43+Data!V43+Data!W43+Data!X43+Data!Y43+Data!Z43+Data!AA43+Data!AB43+Data!AC43+Data!AD43+Data!AE43+Data!AF43+Data!AG43+Data!AH43+Data!AI43+Data!AJ43+Data!AK43+Data!AL43+Data!T44+Data!U44+Data!V44+Data!W44+Data!X44+Data!Y44+Data!Z44+Data!AA44+Data!AB44+Data!AC44+Data!AD44+Data!AE44+Data!AF44+Data!AG44+Data!AH44+Data!AI44+Data!AJ44+Data!AK44+Data!AL44+Data!T45+Data!U45+Data!V45+Data!W45+Data!X45+Data!Y45+Data!Z45+Data!AA45+Data!AB45+Data!AC45+Data!AD45+Data!AE45+Data!AF45+Data!AG45+Data!AH45+Data!AI45+Data!AJ45+Data!AK45+Data!AL45+Data!T46+Data!U46+Data!V46+Data!W46+Data!X46+Data!Y46+Data!Z46+Data!AA46+Data!AB46+Data!AC46+Data!AD46+Data!AE46+Data!AF46+Data!AG46+Data!AH46+Data!AI46+Data!AJ46+Data!AK46+Data!AL46+Data!T47+Data!U47+Data!V47+Data!W47+Data!X47+Data!Y47+Data!Z47+Data!AA47+Data!AB47+Data!AC47+Data!AD47+Data!AE47+Data!AF47+Data!AG47+Data!AH47+Data!AI47+Data!AJ47+Data!AK47+Data!AL47)/(Data!AP36+Data!AP37+Data!AP38+Data!AP39+Data!AP40+Data!AP41+Data!AP42+Data!AP43+Data!AP44+Data!AP45+Data!AP46+Data!AP47)</f>
        <v>0.191468111690268</v>
      </c>
      <c r="N47" s="18" t="n">
        <f aca="false">(Data!T36+Data!U36+Data!V36+Data!W36+Data!T37+Data!U37+Data!V37+Data!W37+Data!T38+Data!U38+Data!V38+Data!W38+Data!T39+Data!U39+Data!V39+Data!W39+Data!T40+Data!U40+Data!V40+Data!W40+Data!T41+Data!U41+Data!V41+Data!W41+Data!T42+Data!U42+Data!V42+Data!W42+Data!T43+Data!U43+Data!V43+Data!W43+Data!T44+Data!U44+Data!V44+Data!W44+Data!T45+Data!U45+Data!V45+Data!W45+Data!T46+Data!U46+Data!V46+Data!W46+Data!T47+Data!U47+Data!V47+Data!W47)/(Data!AP36+Data!AP37+Data!AP38+Data!AP39+Data!AP40+Data!AP41+Data!AP42+Data!AP43+Data!AP44+Data!AP45+Data!AP46+Data!AP47)</f>
        <v>0.105319572581803</v>
      </c>
      <c r="O47" s="18" t="n">
        <f aca="false">(Data!T36+Data!T37+Data!T38+Data!T39+Data!T40+Data!T41+Data!T42+Data!T43+Data!T44+Data!T45+Data!T46+Data!T47)/(Data!AP36+Data!AP37+Data!AP38+Data!AP39+Data!AP40+Data!AP41+Data!AP42+Data!AP43+Data!AP44+Data!AP45+Data!AP46+Data!AP47)</f>
        <v>0.0764458261563641</v>
      </c>
      <c r="P47" s="18" t="n">
        <f aca="false">(Data!U36+Data!U37+Data!U38+Data!U39+Data!U40+Data!U41+Data!U42+Data!U43+Data!U44+Data!U45+Data!U46+Data!U47)/(Data!AP36+Data!AP37+Data!AP38+Data!AP39+Data!AP40+Data!AP41+Data!AP42+Data!AP43+Data!AP44+Data!AP45+Data!AP46+Data!AP47)</f>
        <v>0.0123482911445864</v>
      </c>
      <c r="Q47" s="18" t="n">
        <f aca="false">(Data!V36+Data!V37+Data!V38+Data!V39+Data!V40+Data!V41+Data!V42+Data!V43+Data!V44+Data!V45+Data!V46+Data!V47)/(Data!AP36+Data!AP37+Data!AP38+Data!AP39+Data!AP40+Data!AP41+Data!AP42+Data!AP43+Data!AP44+Data!AP45+Data!AP46+Data!AP47)</f>
        <v>0.0082647437308938</v>
      </c>
      <c r="R47" s="18" t="n">
        <f aca="false">(Data!W36+Data!W37+Data!W38+Data!W39+Data!W40+Data!W41+Data!W42+Data!W43+Data!W44+Data!W45+Data!W46+Data!W47)/(Data!AP36+Data!AP37+Data!AP38+Data!AP39+Data!AP40+Data!AP41+Data!AP42+Data!AP43+Data!AP44+Data!AP45+Data!AP46+Data!AP47)</f>
        <v>0.00826071154995898</v>
      </c>
      <c r="S47" s="18" t="n">
        <f aca="false">(Data!X36+Data!X37+Data!X38+Data!X39+Data!X40+Data!X41+Data!X42+Data!X43+Data!X44+Data!X45+Data!X46+Data!X47)/(Data!AP36+Data!AP37+Data!AP38+Data!AP39+Data!AP40+Data!AP41+Data!AP42+Data!AP43+Data!AP44+Data!AP45+Data!AP46+Data!AP47)</f>
        <v>0.00443487309166622</v>
      </c>
      <c r="T47" s="18" t="n">
        <f aca="false">(Data!Y36+Data!Z36+Data!AA36+Data!Y37+Data!Z37+Data!AA37+Data!Y38+Data!Z38+Data!AA38+Data!Y39+Data!Z39+Data!AA39+Data!Y40+Data!Z40+Data!AA40+Data!Y41+Data!Z41+Data!AA41+Data!Y42+Data!Z42+Data!AA42+Data!Y43+Data!Z43+Data!AA43+Data!Y44+Data!Z44+Data!AA44+Data!Y45+Data!Z45+Data!AA45+Data!Y46+Data!Z46+Data!AA46+Data!Y47+Data!Z47+Data!AA47)/(Data!AP36+Data!AP37+Data!AP38+Data!AP39+Data!AP40+Data!AP41+Data!AP42+Data!AP43+Data!AP44+Data!AP45+Data!AP46+Data!AP47)</f>
        <v>0.0184033997231949</v>
      </c>
      <c r="U47" s="18" t="n">
        <f aca="false">(Data!Y36+Data!Y37+Data!Y38+Data!Y39+Data!Y40+Data!Y41+Data!Y42+Data!Y43+Data!Y44+Data!Y45+Data!Y46+Data!Y47)/(Data!AP36+Data!AP37+Data!AP38+Data!AP39+Data!AP40+Data!AP41+Data!AP42+Data!AP43+Data!AP44+Data!AP45+Data!AP46+Data!AP47)</f>
        <v>0.0122196704165059</v>
      </c>
      <c r="V47" s="18" t="n">
        <f aca="false">(Data!Z36+Data!Z37+Data!Z38+Data!Z39+Data!Z40+Data!Z41+Data!Z42+Data!Z43+Data!Z44+Data!Z45+Data!Z46+Data!Z47)/(Data!AP36+Data!AP37+Data!AP38+Data!AP39+Data!AP40+Data!AP41+Data!AP42+Data!AP43+Data!AP44+Data!AP45+Data!AP46+Data!AP47)</f>
        <v>0.00610028069255955</v>
      </c>
      <c r="W47" s="18" t="n">
        <f aca="false">(Data!AB36+Data!AB37+Data!AB38+Data!AB39+Data!AB40+Data!AB41+Data!AB42+Data!AB43+Data!AB44+Data!AB45+Data!AB46+Data!AB47)/(Data!AP36+Data!AP37+Data!AP38+Data!AP39+Data!AP40+Data!AP41+Data!AP42+Data!AP43+Data!AP44+Data!AP45+Data!AP46+Data!AP47)</f>
        <v>0.0258958347115572</v>
      </c>
      <c r="X47" s="18" t="n">
        <f aca="false">(Data!AC36+Data!AC37+Data!AC38+Data!AC39+Data!AC40+Data!AC41+Data!AC42+Data!AC43+Data!AC44+Data!AC45+Data!AC46+Data!AC47)/(Data!AP36+Data!AP37+Data!AP38+Data!AP39+Data!AP40+Data!AP41+Data!AP42+Data!AP43+Data!AP44+Data!AP45+Data!AP46+Data!AP47)</f>
        <v>0.00893554670119643</v>
      </c>
      <c r="Y47" s="18" t="n">
        <f aca="false">(Data!AD36+Data!AE36+Data!AF36+Data!AG36+Data!AH36+Data!AD37+Data!AE37+Data!AF37+Data!AG37+Data!AH37+Data!AD38+Data!AE38+Data!AF38+Data!AG38+Data!AH38+Data!AD39+Data!AE39+Data!AF39+Data!AG39+Data!AH39+Data!AD40+Data!AE40+Data!AF40+Data!AG40+Data!AH40+Data!AD41+Data!AE41+Data!AF41+Data!AG41+Data!AH41+Data!AD42+Data!AE42+Data!AF42+Data!AG42+Data!AH42+Data!AD43+Data!AE43+Data!AF43+Data!AG43+Data!AH43+Data!AD44+Data!AE44+Data!AF44+Data!AG44+Data!AH44+Data!AD45+Data!AE45+Data!AF45+Data!AG45+Data!AH45+Data!AD46+Data!AE46+Data!AF46+Data!AG46+Data!AH46+Data!AD47+Data!AE47+Data!AF47+Data!AG47+Data!AH47)/(Data!AP36+Data!AP37+Data!AP38+Data!AP39+Data!AP40+Data!AP41+Data!AP42+Data!AP43+Data!AP44+Data!AP45+Data!AP46+Data!AP47)</f>
        <v>0.00552513975400058</v>
      </c>
      <c r="Z47" s="18" t="n">
        <f aca="false">(Data!AI36+Data!AI37+Data!AI38+Data!AI39+Data!AI40+Data!AI41+Data!AI42+Data!AI43+Data!AI44+Data!AI45+Data!AI46+Data!AI47)/(Data!AP36+Data!AP37+Data!AP38+Data!AP39+Data!AP40+Data!AP41+Data!AP42+Data!AP43+Data!AP44+Data!AP45+Data!AP46+Data!AP47)</f>
        <v>0.00684898072353065</v>
      </c>
      <c r="AA47" s="18" t="n">
        <f aca="false">(Data!AJ36+Data!AJ37+Data!AJ38+Data!AJ39+Data!AJ40+Data!AJ41+Data!AJ42+Data!AJ43+Data!AJ44+Data!AJ45+Data!AJ46+Data!AJ47)/(Data!AP36+Data!AP37+Data!AP38+Data!AP39+Data!AP40+Data!AP41+Data!AP42+Data!AP43+Data!AP44+Data!AP45+Data!AP46+Data!AP47)</f>
        <v>-0.000162397548085286</v>
      </c>
      <c r="AB47" s="18" t="n">
        <f aca="false">(Data!AK36+Data!AK37+Data!AK38+Data!AK39+Data!AK40+Data!AK41+Data!AK42+Data!AK43+Data!AK44+Data!AK45+Data!AK46+Data!AK47)/(Data!AP36+Data!AP37+Data!AP38+Data!AP39+Data!AP40+Data!AP41+Data!AP42+Data!AP43+Data!AP44+Data!AP45+Data!AP46+Data!AP47)</f>
        <v>0.0030871896609563</v>
      </c>
      <c r="AC47" s="18" t="n">
        <f aca="false">(Data!AL36+Data!AL37+Data!AL38+Data!AL39+Data!AL40+Data!AL41+Data!AL42+Data!AL43+Data!AL44+Data!AL45+Data!AL46+Data!AL47)/(Data!AP36+Data!AP37+Data!AP38+Data!AP39+Data!AP40+Data!AP41+Data!AP42+Data!AP43+Data!AP44+Data!AP45+Data!AP46+Data!AP47)</f>
        <v>0.0131799722904481</v>
      </c>
      <c r="AD47" s="17" t="n">
        <f aca="false">(Data!AM36+Data!AM37+Data!AM38+Data!AM39+Data!AM40+Data!AM41+Data!AM42+Data!AM43+Data!AM44+Data!AM45+Data!AM46+Data!AM47)/(Data!AP36+Data!AP37+Data!AP38+Data!AP39+Data!AP40+Data!AP41+Data!AP42+Data!AP43+Data!AP44+Data!AP45+Data!AP46+Data!AP47)</f>
        <v>-0.0147850140521288</v>
      </c>
      <c r="AE47" s="18" t="n">
        <f aca="false">(Data!AN36+Data!AN37+Data!AN38+Data!AN39+Data!AN40+Data!AN41+Data!AN42+Data!AN43+Data!AN44+Data!AN45+Data!AN46+Data!AN47)/(Data!AP36+Data!AP37+Data!AP38+Data!AP39+Data!AP40+Data!AP41+Data!AP42+Data!AP43+Data!AP44+Data!AP45+Data!AP46+Data!AP47)</f>
        <v>0.0310938418731931</v>
      </c>
      <c r="AF47" s="17" t="n">
        <f aca="false">(Data!AO36+Data!AO37+Data!AO38+Data!AO39+Data!AO40+Data!AO41+Data!AO42+Data!AO43+Data!AO44+Data!AO45+Data!AO46+Data!AO47)/(Data!AP36+Data!AP37+Data!AP38+Data!AP39+Data!AP40+Data!AP41+Data!AP42+Data!AP43+Data!AP44+Data!AP45+Data!AP46+Data!AP47)</f>
        <v>-0.0458789143627267</v>
      </c>
    </row>
    <row r="48" customFormat="false" ht="15" hidden="false" customHeight="false" outlineLevel="0" collapsed="false">
      <c r="B48" s="14" t="str">
        <f aca="false">Data!B48</f>
        <v>2019-06</v>
      </c>
      <c r="C48" s="17" t="n">
        <f aca="false">(Data!D37+Data!E37+Data!F37+Data!G37+Data!H37+Data!I37+Data!J37+Data!K37+Data!L37+Data!M37+Data!N37+Data!O37+Data!P37+Data!Q37+Data!R37+Data!S37+Data!D38+Data!E38+Data!F38+Data!G38+Data!H38+Data!I38+Data!J38+Data!K38+Data!L38+Data!M38+Data!N38+Data!O38+Data!P38+Data!Q38+Data!R38+Data!S38+Data!D39+Data!E39+Data!F39+Data!G39+Data!H39+Data!I39+Data!J39+Data!K39+Data!L39+Data!M39+Data!N39+Data!O39+Data!P39+Data!Q39+Data!R39+Data!S39+Data!D40+Data!E40+Data!F40+Data!G40+Data!H40+Data!I40+Data!J40+Data!K40+Data!L40+Data!M40+Data!N40+Data!O40+Data!P40+Data!Q40+Data!R40+Data!S40+Data!D41+Data!E41+Data!F41+Data!G41+Data!H41+Data!I41+Data!J41+Data!K41+Data!L41+Data!M41+Data!N41+Data!O41+Data!P41+Data!Q41+Data!R41+Data!S41+Data!D42+Data!E42+Data!F42+Data!G42+Data!H42+Data!I42+Data!J42+Data!K42+Data!L42+Data!M42+Data!N42+Data!O42+Data!P42+Data!Q42+Data!R42+Data!S42+Data!D43+Data!E43+Data!F43+Data!G43+Data!H43+Data!I43+Data!J43+Data!K43+Data!L43+Data!M43+Data!N43+Data!O43+Data!P43+Data!Q43+Data!R43+Data!S43+Data!D44+Data!E44+Data!F44+Data!G44+Data!H44+Data!I44+Data!J44+Data!K44+Data!L44+Data!M44+Data!N44+Data!O44+Data!P44+Data!Q44+Data!R44+Data!S44+Data!D45+Data!E45+Data!F45+Data!G45+Data!H45+Data!I45+Data!J45+Data!K45+Data!L45+Data!M45+Data!N45+Data!O45+Data!P45+Data!Q45+Data!R45+Data!S45+Data!D46+Data!E46+Data!F46+Data!G46+Data!H46+Data!I46+Data!J46+Data!K46+Data!L46+Data!M46+Data!N46+Data!O46+Data!P46+Data!Q46+Data!R46+Data!S46+Data!D47+Data!E47+Data!F47+Data!G47+Data!H47+Data!I47+Data!J47+Data!K47+Data!L47+Data!M47+Data!N47+Data!O47+Data!P47+Data!Q47+Data!R47+Data!S47+Data!D48+Data!E48+Data!F48+Data!G48+Data!H48+Data!I48+Data!J48+Data!K48+Data!L48+Data!M48+Data!N48+Data!O48+Data!P48+Data!Q48+Data!R48+Data!S48)/(Data!AP37+Data!AP38+Data!AP39+Data!AP40+Data!AP41+Data!AP42+Data!AP43+Data!AP44+Data!AP45+Data!AP46+Data!AP47+Data!AP48)</f>
        <v>0.179443301352171</v>
      </c>
      <c r="D48" s="18" t="n">
        <f aca="false">(Data!D37+Data!E37+Data!G37+Data!H37+Data!I37+Data!J37+Data!K37+Data!L37+Data!M37+Data!D38+Data!E38+Data!G38+Data!H38+Data!I38+Data!J38+Data!K38+Data!L38+Data!M38+Data!D39+Data!E39+Data!G39+Data!H39+Data!I39+Data!J39+Data!K39+Data!L39+Data!M39+Data!D40+Data!E40+Data!G40+Data!H40+Data!I40+Data!J40+Data!K40+Data!L40+Data!M40+Data!D41+Data!E41+Data!G41+Data!H41+Data!I41+Data!J41+Data!K41+Data!L41+Data!M41+Data!D42+Data!E42+Data!G42+Data!H42+Data!I42+Data!J42+Data!K42+Data!L42+Data!M42+Data!D43+Data!E43+Data!G43+Data!H43+Data!I43+Data!J43+Data!K43+Data!L43+Data!M43+Data!D44+Data!E44+Data!G44+Data!H44+Data!I44+Data!J44+Data!K44+Data!L44+Data!M44+Data!D45+Data!E45+Data!G45+Data!H45+Data!I45+Data!J45+Data!K45+Data!L45+Data!M45+Data!D46+Data!E46+Data!G46+Data!H46+Data!I46+Data!J46+Data!K46+Data!L46+Data!M46+Data!D47+Data!E47+Data!G47+Data!H47+Data!I47+Data!J47+Data!K47+Data!L47+Data!M47+Data!D48+Data!E48+Data!G48+Data!H48+Data!I48+Data!J48+Data!K48+Data!L48+Data!M48)/(Data!AP37+Data!AP38+Data!AP39+Data!AP40+Data!AP41+Data!AP42+Data!AP43+Data!AP44+Data!AP45+Data!AP46+Data!AP47+Data!AP48)</f>
        <v>0.0980622942568495</v>
      </c>
      <c r="E48" s="18" t="n">
        <f aca="false">(Data!D37+Data!D38+Data!D39+Data!D40+Data!D41+Data!D42+Data!D43+Data!D44+Data!D45+Data!D46+Data!D47+Data!D48)/(Data!AP37+Data!AP38+Data!AP39+Data!AP40+Data!AP41+Data!AP42+Data!AP43+Data!AP44+Data!AP45+Data!AP46+Data!AP47+Data!AP48)</f>
        <v>0.033071419651798</v>
      </c>
      <c r="F48" s="18" t="n">
        <f aca="false">(Data!E37+Data!E38+Data!E39+Data!E40+Data!E41+Data!E42+Data!E43+Data!E44+Data!E45+Data!E46+Data!E47+Data!E48)/(Data!AP37+Data!AP38+Data!AP39+Data!AP40+Data!AP41+Data!AP42+Data!AP43+Data!AP44+Data!AP45+Data!AP46+Data!AP47+Data!AP48)</f>
        <v>0.0182073353356395</v>
      </c>
      <c r="G48" s="18" t="n">
        <f aca="false">(Data!K37+Data!K38+Data!K39+Data!K40+Data!K41+Data!K42+Data!K43+Data!K44+Data!K45+Data!K46+Data!K47+Data!K48)/(Data!AP37+Data!AP38+Data!AP39+Data!AP40+Data!AP41+Data!AP42+Data!AP43+Data!AP44+Data!AP45+Data!AP46+Data!AP47+Data!AP48)</f>
        <v>0.0115862498875423</v>
      </c>
      <c r="H48" s="18" t="n">
        <f aca="false">(Data!L37+Data!L38+Data!L39+Data!L40+Data!L41+Data!L42+Data!L43+Data!L44+Data!L45+Data!L46+Data!L47+Data!L48)/(Data!AP37+Data!AP38+Data!AP39+Data!AP40+Data!AP41+Data!AP42+Data!AP43+Data!AP44+Data!AP45+Data!AP46+Data!AP47+Data!AP48)</f>
        <v>0.0063904891407483</v>
      </c>
      <c r="I48" s="18" t="n">
        <f aca="false">(Data!G37+Data!G38+Data!G39+Data!G40+Data!G41+Data!G42+Data!G43+Data!G44+Data!G45+Data!G46+Data!G47+Data!G48)/(Data!AP37+Data!AP38+Data!AP39+Data!AP40+Data!AP41+Data!AP42+Data!AP43+Data!AP44+Data!AP45+Data!AP46+Data!AP47+Data!AP48)</f>
        <v>0.0156025913043927</v>
      </c>
      <c r="J48" s="18" t="n">
        <f aca="false">(Data!H37+Data!I37+Data!J37+Data!M37+Data!H38+Data!I38+Data!J38+Data!M38+Data!H39+Data!I39+Data!J39+Data!M39+Data!H40+Data!I40+Data!J40+Data!M40+Data!H41+Data!I41+Data!J41+Data!M41+Data!H42+Data!I42+Data!J42+Data!M42+Data!H43+Data!I43+Data!J43+Data!M43+Data!H44+Data!I44+Data!J44+Data!M44+Data!H45+Data!I45+Data!J45+Data!M45+Data!H46+Data!I46+Data!J46+Data!M46+Data!H47+Data!I47+Data!J47+Data!M47+Data!H48+Data!I48+Data!J48+Data!M48)/(Data!AP37+Data!AP38+Data!AP39+Data!AP40+Data!AP41+Data!AP42+Data!AP43+Data!AP44+Data!AP45+Data!AP46+Data!AP47+Data!AP48)</f>
        <v>0.0132042089367288</v>
      </c>
      <c r="K48" s="18" t="n">
        <f aca="false">(Data!F37+Data!F38+Data!F39+Data!F40+Data!F41+Data!F42+Data!F43+Data!F44+Data!F45+Data!F46+Data!F47+Data!F48)/(Data!AP37+Data!AP38+Data!AP39+Data!AP40+Data!AP41+Data!AP42+Data!AP43+Data!AP44+Data!AP45+Data!AP46+Data!AP47+Data!AP48)</f>
        <v>0.0588806373704174</v>
      </c>
      <c r="L48" s="18" t="n">
        <f aca="false">(Data!N37+Data!O37+Data!P37+Data!Q37+Data!R37+Data!S37+Data!N38+Data!O38+Data!P38+Data!Q38+Data!R38+Data!S38+Data!N39+Data!O39+Data!P39+Data!Q39+Data!R39+Data!S39+Data!N40+Data!O40+Data!P40+Data!Q40+Data!R40+Data!S40+Data!N41+Data!O41+Data!P41+Data!Q41+Data!R41+Data!S41+Data!N42+Data!O42+Data!P42+Data!Q42+Data!R42+Data!S42+Data!N43+Data!O43+Data!P43+Data!Q43+Data!R43+Data!S43+Data!N44+Data!O44+Data!P44+Data!Q44+Data!R44+Data!S44+Data!N45+Data!O45+Data!P45+Data!Q45+Data!R45+Data!S45+Data!N46+Data!O46+Data!P46+Data!Q46+Data!R46+Data!S46+Data!N47+Data!O47+Data!P47+Data!Q47+Data!R47+Data!S47+Data!N48+Data!O48+Data!P48+Data!Q48+Data!R48+Data!S48)/(Data!AP37+Data!AP38+Data!AP39+Data!AP40+Data!AP41+Data!AP42+Data!AP43+Data!AP44+Data!AP45+Data!AP46+Data!AP47+Data!AP48)</f>
        <v>0.0225003697249041</v>
      </c>
      <c r="M48" s="17" t="n">
        <f aca="false">(Data!T37+Data!U37+Data!V37+Data!W37+Data!X37+Data!Y37+Data!Z37+Data!AA37+Data!AB37+Data!AC37+Data!AD37+Data!AE37+Data!AF37+Data!AG37+Data!AH37+Data!AI37+Data!AJ37+Data!AK37+Data!AL37+Data!T38+Data!U38+Data!V38+Data!W38+Data!X38+Data!Y38+Data!Z38+Data!AA38+Data!AB38+Data!AC38+Data!AD38+Data!AE38+Data!AF38+Data!AG38+Data!AH38+Data!AI38+Data!AJ38+Data!AK38+Data!AL38+Data!T39+Data!U39+Data!V39+Data!W39+Data!X39+Data!Y39+Data!Z39+Data!AA39+Data!AB39+Data!AC39+Data!AD39+Data!AE39+Data!AF39+Data!AG39+Data!AH39+Data!AI39+Data!AJ39+Data!AK39+Data!AL39+Data!T40+Data!U40+Data!V40+Data!W40+Data!X40+Data!Y40+Data!Z40+Data!AA40+Data!AB40+Data!AC40+Data!AD40+Data!AE40+Data!AF40+Data!AG40+Data!AH40+Data!AI40+Data!AJ40+Data!AK40+Data!AL40+Data!T41+Data!U41+Data!V41+Data!W41+Data!X41+Data!Y41+Data!Z41+Data!AA41+Data!AB41+Data!AC41+Data!AD41+Data!AE41+Data!AF41+Data!AG41+Data!AH41+Data!AI41+Data!AJ41+Data!AK41+Data!AL41+Data!T42+Data!U42+Data!V42+Data!W42+Data!X42+Data!Y42+Data!Z42+Data!AA42+Data!AB42+Data!AC42+Data!AD42+Data!AE42+Data!AF42+Data!AG42+Data!AH42+Data!AI42+Data!AJ42+Data!AK42+Data!AL42+Data!T43+Data!U43+Data!V43+Data!W43+Data!X43+Data!Y43+Data!Z43+Data!AA43+Data!AB43+Data!AC43+Data!AD43+Data!AE43+Data!AF43+Data!AG43+Data!AH43+Data!AI43+Data!AJ43+Data!AK43+Data!AL43+Data!T44+Data!U44+Data!V44+Data!W44+Data!X44+Data!Y44+Data!Z44+Data!AA44+Data!AB44+Data!AC44+Data!AD44+Data!AE44+Data!AF44+Data!AG44+Data!AH44+Data!AI44+Data!AJ44+Data!AK44+Data!AL44+Data!T45+Data!U45+Data!V45+Data!W45+Data!X45+Data!Y45+Data!Z45+Data!AA45+Data!AB45+Data!AC45+Data!AD45+Data!AE45+Data!AF45+Data!AG45+Data!AH45+Data!AI45+Data!AJ45+Data!AK45+Data!AL45+Data!T46+Data!U46+Data!V46+Data!W46+Data!X46+Data!Y46+Data!Z46+Data!AA46+Data!AB46+Data!AC46+Data!AD46+Data!AE46+Data!AF46+Data!AG46+Data!AH46+Data!AI46+Data!AJ46+Data!AK46+Data!AL46+Data!T47+Data!U47+Data!V47+Data!W47+Data!X47+Data!Y47+Data!Z47+Data!AA47+Data!AB47+Data!AC47+Data!AD47+Data!AE47+Data!AF47+Data!AG47+Data!AH47+Data!AI47+Data!AJ47+Data!AK47+Data!AL47+Data!T48+Data!U48+Data!V48+Data!W48+Data!X48+Data!Y48+Data!Z48+Data!AA48+Data!AB48+Data!AC48+Data!AD48+Data!AE48+Data!AF48+Data!AG48+Data!AH48+Data!AI48+Data!AJ48+Data!AK48+Data!AL48)/(Data!AP37+Data!AP38+Data!AP39+Data!AP40+Data!AP41+Data!AP42+Data!AP43+Data!AP44+Data!AP45+Data!AP46+Data!AP47+Data!AP48)</f>
        <v>0.190907587146728</v>
      </c>
      <c r="N48" s="18" t="n">
        <f aca="false">(Data!T37+Data!U37+Data!V37+Data!W37+Data!T38+Data!U38+Data!V38+Data!W38+Data!T39+Data!U39+Data!V39+Data!W39+Data!T40+Data!U40+Data!V40+Data!W40+Data!T41+Data!U41+Data!V41+Data!W41+Data!T42+Data!U42+Data!V42+Data!W42+Data!T43+Data!U43+Data!V43+Data!W43+Data!T44+Data!U44+Data!V44+Data!W44+Data!T45+Data!U45+Data!V45+Data!W45+Data!T46+Data!U46+Data!V46+Data!W46+Data!T47+Data!U47+Data!V47+Data!W47+Data!T48+Data!U48+Data!V48+Data!W48)/(Data!AP37+Data!AP38+Data!AP39+Data!AP40+Data!AP41+Data!AP42+Data!AP43+Data!AP44+Data!AP45+Data!AP46+Data!AP47+Data!AP48)</f>
        <v>0.105709425939728</v>
      </c>
      <c r="O48" s="18" t="n">
        <f aca="false">(Data!T37+Data!T38+Data!T39+Data!T40+Data!T41+Data!T42+Data!T43+Data!T44+Data!T45+Data!T46+Data!T47+Data!T48)/(Data!AP37+Data!AP38+Data!AP39+Data!AP40+Data!AP41+Data!AP42+Data!AP43+Data!AP44+Data!AP45+Data!AP46+Data!AP47+Data!AP48)</f>
        <v>0.0768921183705403</v>
      </c>
      <c r="P48" s="18" t="n">
        <f aca="false">(Data!U37+Data!U38+Data!U39+Data!U40+Data!U41+Data!U42+Data!U43+Data!U44+Data!U45+Data!U46+Data!U47+Data!U48)/(Data!AP37+Data!AP38+Data!AP39+Data!AP40+Data!AP41+Data!AP42+Data!AP43+Data!AP44+Data!AP45+Data!AP46+Data!AP47+Data!AP48)</f>
        <v>0.0123411957600093</v>
      </c>
      <c r="Q48" s="18" t="n">
        <f aca="false">(Data!V37+Data!V38+Data!V39+Data!V40+Data!V41+Data!V42+Data!V43+Data!V44+Data!V45+Data!V46+Data!V47+Data!V48)/(Data!AP37+Data!AP38+Data!AP39+Data!AP40+Data!AP41+Data!AP42+Data!AP43+Data!AP44+Data!AP45+Data!AP46+Data!AP47+Data!AP48)</f>
        <v>0.0083197701521591</v>
      </c>
      <c r="R48" s="18" t="n">
        <f aca="false">(Data!W37+Data!W38+Data!W39+Data!W40+Data!W41+Data!W42+Data!W43+Data!W44+Data!W45+Data!W46+Data!W47+Data!W48)/(Data!AP37+Data!AP38+Data!AP39+Data!AP40+Data!AP41+Data!AP42+Data!AP43+Data!AP44+Data!AP45+Data!AP46+Data!AP47+Data!AP48)</f>
        <v>0.00815634165701939</v>
      </c>
      <c r="S48" s="18" t="n">
        <f aca="false">(Data!X37+Data!X38+Data!X39+Data!X40+Data!X41+Data!X42+Data!X43+Data!X44+Data!X45+Data!X46+Data!X47+Data!X48)/(Data!AP37+Data!AP38+Data!AP39+Data!AP40+Data!AP41+Data!AP42+Data!AP43+Data!AP44+Data!AP45+Data!AP46+Data!AP47+Data!AP48)</f>
        <v>0.00456961437965658</v>
      </c>
      <c r="T48" s="18" t="n">
        <f aca="false">(Data!Y37+Data!Z37+Data!AA37+Data!Y38+Data!Z38+Data!AA38+Data!Y39+Data!Z39+Data!AA39+Data!Y40+Data!Z40+Data!AA40+Data!Y41+Data!Z41+Data!AA41+Data!Y42+Data!Z42+Data!AA42+Data!Y43+Data!Z43+Data!AA43+Data!Y44+Data!Z44+Data!AA44+Data!Y45+Data!Z45+Data!AA45+Data!Y46+Data!Z46+Data!AA46+Data!Y47+Data!Z47+Data!AA47+Data!Y48+Data!Z48+Data!AA48)/(Data!AP37+Data!AP38+Data!AP39+Data!AP40+Data!AP41+Data!AP42+Data!AP43+Data!AP44+Data!AP45+Data!AP46+Data!AP47+Data!AP48)</f>
        <v>0.017791166056796</v>
      </c>
      <c r="U48" s="18" t="n">
        <f aca="false">(Data!Y37+Data!Y38+Data!Y39+Data!Y40+Data!Y41+Data!Y42+Data!Y43+Data!Y44+Data!Y45+Data!Y46+Data!Y47+Data!Y48)/(Data!AP37+Data!AP38+Data!AP39+Data!AP40+Data!AP41+Data!AP42+Data!AP43+Data!AP44+Data!AP45+Data!AP46+Data!AP47+Data!AP48)</f>
        <v>0.0117834600073255</v>
      </c>
      <c r="V48" s="18" t="n">
        <f aca="false">(Data!Z37+Data!Z38+Data!Z39+Data!Z40+Data!Z41+Data!Z42+Data!Z43+Data!Z44+Data!Z45+Data!Z46+Data!Z47+Data!Z48)/(Data!AP37+Data!AP38+Data!AP39+Data!AP40+Data!AP41+Data!AP42+Data!AP43+Data!AP44+Data!AP45+Data!AP46+Data!AP47+Data!AP48)</f>
        <v>0.00591686850360646</v>
      </c>
      <c r="W48" s="18" t="n">
        <f aca="false">(Data!AB37+Data!AB38+Data!AB39+Data!AB40+Data!AB41+Data!AB42+Data!AB43+Data!AB44+Data!AB45+Data!AB46+Data!AB47+Data!AB48)/(Data!AP37+Data!AP38+Data!AP39+Data!AP40+Data!AP41+Data!AP42+Data!AP43+Data!AP44+Data!AP45+Data!AP46+Data!AP47+Data!AP48)</f>
        <v>0.0259275098958826</v>
      </c>
      <c r="X48" s="18" t="n">
        <f aca="false">(Data!AC37+Data!AC38+Data!AC39+Data!AC40+Data!AC41+Data!AC42+Data!AC43+Data!AC44+Data!AC45+Data!AC46+Data!AC47+Data!AC48)/(Data!AP37+Data!AP38+Data!AP39+Data!AP40+Data!AP41+Data!AP42+Data!AP43+Data!AP44+Data!AP45+Data!AP46+Data!AP47+Data!AP48)</f>
        <v>0.00889902898007567</v>
      </c>
      <c r="Y48" s="18" t="n">
        <f aca="false">(Data!AD37+Data!AE37+Data!AF37+Data!AG37+Data!AH37+Data!AD38+Data!AE38+Data!AF38+Data!AG38+Data!AH38+Data!AD39+Data!AE39+Data!AF39+Data!AG39+Data!AH39+Data!AD40+Data!AE40+Data!AF40+Data!AG40+Data!AH40+Data!AD41+Data!AE41+Data!AF41+Data!AG41+Data!AH41+Data!AD42+Data!AE42+Data!AF42+Data!AG42+Data!AH42+Data!AD43+Data!AE43+Data!AF43+Data!AG43+Data!AH43+Data!AD44+Data!AE44+Data!AF44+Data!AG44+Data!AH44+Data!AD45+Data!AE45+Data!AF45+Data!AG45+Data!AH45+Data!AD46+Data!AE46+Data!AF46+Data!AG46+Data!AH46+Data!AD47+Data!AE47+Data!AF47+Data!AG47+Data!AH47+Data!AD48+Data!AE48+Data!AF48+Data!AG48+Data!AH48)/(Data!AP37+Data!AP38+Data!AP39+Data!AP40+Data!AP41+Data!AP42+Data!AP43+Data!AP44+Data!AP45+Data!AP46+Data!AP47+Data!AP48)</f>
        <v>0.00536314361271138</v>
      </c>
      <c r="Z48" s="18" t="n">
        <f aca="false">(Data!AI37+Data!AI38+Data!AI39+Data!AI40+Data!AI41+Data!AI42+Data!AI43+Data!AI44+Data!AI45+Data!AI46+Data!AI47+Data!AI48)/(Data!AP37+Data!AP38+Data!AP39+Data!AP40+Data!AP41+Data!AP42+Data!AP43+Data!AP44+Data!AP45+Data!AP46+Data!AP47+Data!AP48)</f>
        <v>0.00679253566681444</v>
      </c>
      <c r="AA48" s="18" t="n">
        <f aca="false">(Data!AJ37+Data!AJ38+Data!AJ39+Data!AJ40+Data!AJ41+Data!AJ42+Data!AJ43+Data!AJ44+Data!AJ45+Data!AJ46+Data!AJ47+Data!AJ48)/(Data!AP37+Data!AP38+Data!AP39+Data!AP40+Data!AP41+Data!AP42+Data!AP43+Data!AP44+Data!AP45+Data!AP46+Data!AP47+Data!AP48)</f>
        <v>-0.000224212823093508</v>
      </c>
      <c r="AB48" s="18" t="n">
        <f aca="false">(Data!AK37+Data!AK38+Data!AK39+Data!AK40+Data!AK41+Data!AK42+Data!AK43+Data!AK44+Data!AK45+Data!AK46+Data!AK47+Data!AK48)/(Data!AP37+Data!AP38+Data!AP39+Data!AP40+Data!AP41+Data!AP42+Data!AP43+Data!AP44+Data!AP45+Data!AP46+Data!AP47+Data!AP48)</f>
        <v>0.00287917736321663</v>
      </c>
      <c r="AC48" s="18" t="n">
        <f aca="false">(Data!AL37+Data!AL38+Data!AL39+Data!AL40+Data!AL41+Data!AL42+Data!AL43+Data!AL44+Data!AL45+Data!AL46+Data!AL47+Data!AL48)/(Data!AP37+Data!AP38+Data!AP39+Data!AP40+Data!AP41+Data!AP42+Data!AP43+Data!AP44+Data!AP45+Data!AP46+Data!AP47+Data!AP48)</f>
        <v>0.01320019807494</v>
      </c>
      <c r="AD48" s="17" t="n">
        <f aca="false">(Data!AM37+Data!AM38+Data!AM39+Data!AM40+Data!AM41+Data!AM42+Data!AM43+Data!AM44+Data!AM45+Data!AM46+Data!AM47+Data!AM48)/(Data!AP37+Data!AP38+Data!AP39+Data!AP40+Data!AP41+Data!AP42+Data!AP43+Data!AP44+Data!AP45+Data!AP46+Data!AP47+Data!AP48)</f>
        <v>-0.0114642857945569</v>
      </c>
      <c r="AE48" s="18" t="n">
        <f aca="false">(Data!AN37+Data!AN38+Data!AN39+Data!AN40+Data!AN41+Data!AN42+Data!AN43+Data!AN44+Data!AN45+Data!AN46+Data!AN47+Data!AN48)/(Data!AP37+Data!AP38+Data!AP39+Data!AP40+Data!AP41+Data!AP42+Data!AP43+Data!AP44+Data!AP45+Data!AP46+Data!AP47+Data!AP48)</f>
        <v>0.0316914572324157</v>
      </c>
      <c r="AF48" s="17" t="n">
        <f aca="false">(Data!AO37+Data!AO38+Data!AO39+Data!AO40+Data!AO41+Data!AO42+Data!AO43+Data!AO44+Data!AO45+Data!AO46+Data!AO47+Data!AO48)/(Data!AP37+Data!AP38+Data!AP39+Data!AP40+Data!AP41+Data!AP42+Data!AP43+Data!AP44+Data!AP45+Data!AP46+Data!AP47+Data!AP48)</f>
        <v>-0.0431557995179838</v>
      </c>
    </row>
    <row r="49" customFormat="false" ht="15" hidden="false" customHeight="false" outlineLevel="0" collapsed="false">
      <c r="B49" s="14" t="str">
        <f aca="false">Data!B49</f>
        <v>2019-07</v>
      </c>
      <c r="C49" s="17" t="n">
        <f aca="false">(Data!D38+Data!E38+Data!F38+Data!G38+Data!H38+Data!I38+Data!J38+Data!K38+Data!L38+Data!M38+Data!N38+Data!O38+Data!P38+Data!Q38+Data!R38+Data!S38+Data!D39+Data!E39+Data!F39+Data!G39+Data!H39+Data!I39+Data!J39+Data!K39+Data!L39+Data!M39+Data!N39+Data!O39+Data!P39+Data!Q39+Data!R39+Data!S39+Data!D40+Data!E40+Data!F40+Data!G40+Data!H40+Data!I40+Data!J40+Data!K40+Data!L40+Data!M40+Data!N40+Data!O40+Data!P40+Data!Q40+Data!R40+Data!S40+Data!D41+Data!E41+Data!F41+Data!G41+Data!H41+Data!I41+Data!J41+Data!K41+Data!L41+Data!M41+Data!N41+Data!O41+Data!P41+Data!Q41+Data!R41+Data!S41+Data!D42+Data!E42+Data!F42+Data!G42+Data!H42+Data!I42+Data!J42+Data!K42+Data!L42+Data!M42+Data!N42+Data!O42+Data!P42+Data!Q42+Data!R42+Data!S42+Data!D43+Data!E43+Data!F43+Data!G43+Data!H43+Data!I43+Data!J43+Data!K43+Data!L43+Data!M43+Data!N43+Data!O43+Data!P43+Data!Q43+Data!R43+Data!S43+Data!D44+Data!E44+Data!F44+Data!G44+Data!H44+Data!I44+Data!J44+Data!K44+Data!L44+Data!M44+Data!N44+Data!O44+Data!P44+Data!Q44+Data!R44+Data!S44+Data!D45+Data!E45+Data!F45+Data!G45+Data!H45+Data!I45+Data!J45+Data!K45+Data!L45+Data!M45+Data!N45+Data!O45+Data!P45+Data!Q45+Data!R45+Data!S45+Data!D46+Data!E46+Data!F46+Data!G46+Data!H46+Data!I46+Data!J46+Data!K46+Data!L46+Data!M46+Data!N46+Data!O46+Data!P46+Data!Q46+Data!R46+Data!S46+Data!D47+Data!E47+Data!F47+Data!G47+Data!H47+Data!I47+Data!J47+Data!K47+Data!L47+Data!M47+Data!N47+Data!O47+Data!P47+Data!Q47+Data!R47+Data!S47+Data!D48+Data!E48+Data!F48+Data!G48+Data!H48+Data!I48+Data!J48+Data!K48+Data!L48+Data!M48+Data!N48+Data!O48+Data!P48+Data!Q48+Data!R48+Data!S48+Data!D49+Data!E49+Data!F49+Data!G49+Data!H49+Data!I49+Data!J49+Data!K49+Data!L49+Data!M49+Data!N49+Data!O49+Data!P49+Data!Q49+Data!R49+Data!S49)/(Data!AP38+Data!AP39+Data!AP40+Data!AP41+Data!AP42+Data!AP43+Data!AP44+Data!AP45+Data!AP46+Data!AP47+Data!AP48+Data!AP49)</f>
        <v>0.181690644892839</v>
      </c>
      <c r="D49" s="18" t="n">
        <f aca="false">(Data!D38+Data!E38+Data!G38+Data!H38+Data!I38+Data!J38+Data!K38+Data!L38+Data!M38+Data!D39+Data!E39+Data!G39+Data!H39+Data!I39+Data!J39+Data!K39+Data!L39+Data!M39+Data!D40+Data!E40+Data!G40+Data!H40+Data!I40+Data!J40+Data!K40+Data!L40+Data!M40+Data!D41+Data!E41+Data!G41+Data!H41+Data!I41+Data!J41+Data!K41+Data!L41+Data!M41+Data!D42+Data!E42+Data!G42+Data!H42+Data!I42+Data!J42+Data!K42+Data!L42+Data!M42+Data!D43+Data!E43+Data!G43+Data!H43+Data!I43+Data!J43+Data!K43+Data!L43+Data!M43+Data!D44+Data!E44+Data!G44+Data!H44+Data!I44+Data!J44+Data!K44+Data!L44+Data!M44+Data!D45+Data!E45+Data!G45+Data!H45+Data!I45+Data!J45+Data!K45+Data!L45+Data!M45+Data!D46+Data!E46+Data!G46+Data!H46+Data!I46+Data!J46+Data!K46+Data!L46+Data!M46+Data!D47+Data!E47+Data!G47+Data!H47+Data!I47+Data!J47+Data!K47+Data!L47+Data!M47+Data!D48+Data!E48+Data!G48+Data!H48+Data!I48+Data!J48+Data!K48+Data!L48+Data!M48+Data!D49+Data!E49+Data!G49+Data!H49+Data!I49+Data!J49+Data!K49+Data!L49+Data!M49)/(Data!AP38+Data!AP39+Data!AP40+Data!AP41+Data!AP42+Data!AP43+Data!AP44+Data!AP45+Data!AP46+Data!AP47+Data!AP48+Data!AP49)</f>
        <v>0.0990097274756959</v>
      </c>
      <c r="E49" s="18" t="n">
        <f aca="false">(Data!D38+Data!D39+Data!D40+Data!D41+Data!D42+Data!D43+Data!D44+Data!D45+Data!D46+Data!D47+Data!D48+Data!D49)/(Data!AP38+Data!AP39+Data!AP40+Data!AP41+Data!AP42+Data!AP43+Data!AP44+Data!AP45+Data!AP46+Data!AP47+Data!AP48+Data!AP49)</f>
        <v>0.0330643216004133</v>
      </c>
      <c r="F49" s="18" t="n">
        <f aca="false">(Data!E38+Data!E39+Data!E40+Data!E41+Data!E42+Data!E43+Data!E44+Data!E45+Data!E46+Data!E47+Data!E48+Data!E49)/(Data!AP38+Data!AP39+Data!AP40+Data!AP41+Data!AP42+Data!AP43+Data!AP44+Data!AP45+Data!AP46+Data!AP47+Data!AP48+Data!AP49)</f>
        <v>0.0181880012021388</v>
      </c>
      <c r="G49" s="18" t="n">
        <f aca="false">(Data!K38+Data!K39+Data!K40+Data!K41+Data!K42+Data!K43+Data!K44+Data!K45+Data!K46+Data!K47+Data!K48+Data!K49)/(Data!AP38+Data!AP39+Data!AP40+Data!AP41+Data!AP42+Data!AP43+Data!AP44+Data!AP45+Data!AP46+Data!AP47+Data!AP48+Data!AP49)</f>
        <v>0.0125507716528481</v>
      </c>
      <c r="H49" s="18" t="n">
        <f aca="false">(Data!L38+Data!L39+Data!L40+Data!L41+Data!L42+Data!L43+Data!L44+Data!L45+Data!L46+Data!L47+Data!L48+Data!L49)/(Data!AP38+Data!AP39+Data!AP40+Data!AP41+Data!AP42+Data!AP43+Data!AP44+Data!AP45+Data!AP46+Data!AP47+Data!AP48+Data!AP49)</f>
        <v>0.00626980332725873</v>
      </c>
      <c r="I49" s="18" t="n">
        <f aca="false">(Data!G38+Data!G39+Data!G40+Data!G41+Data!G42+Data!G43+Data!G44+Data!G45+Data!G46+Data!G47+Data!G48+Data!G49)/(Data!AP38+Data!AP39+Data!AP40+Data!AP41+Data!AP42+Data!AP43+Data!AP44+Data!AP45+Data!AP46+Data!AP47+Data!AP48+Data!AP49)</f>
        <v>0.0156751103523705</v>
      </c>
      <c r="J49" s="18" t="n">
        <f aca="false">(Data!H38+Data!I38+Data!J38+Data!M38+Data!H39+Data!I39+Data!J39+Data!M39+Data!H40+Data!I40+Data!J40+Data!M40+Data!H41+Data!I41+Data!J41+Data!M41+Data!H42+Data!I42+Data!J42+Data!M42+Data!H43+Data!I43+Data!J43+Data!M43+Data!H44+Data!I44+Data!J44+Data!M44+Data!H45+Data!I45+Data!J45+Data!M45+Data!H46+Data!I46+Data!J46+Data!M46+Data!H47+Data!I47+Data!J47+Data!M47+Data!H48+Data!I48+Data!J48+Data!M48+Data!H49+Data!I49+Data!J49+Data!M49)/(Data!AP38+Data!AP39+Data!AP40+Data!AP41+Data!AP42+Data!AP43+Data!AP44+Data!AP45+Data!AP46+Data!AP47+Data!AP48+Data!AP49)</f>
        <v>0.0132617193406664</v>
      </c>
      <c r="K49" s="18" t="n">
        <f aca="false">(Data!F38+Data!F39+Data!F40+Data!F41+Data!F42+Data!F43+Data!F44+Data!F45+Data!F46+Data!F47+Data!F48+Data!F49)/(Data!AP38+Data!AP39+Data!AP40+Data!AP41+Data!AP42+Data!AP43+Data!AP44+Data!AP45+Data!AP46+Data!AP47+Data!AP48+Data!AP49)</f>
        <v>0.0590276495321593</v>
      </c>
      <c r="L49" s="18" t="n">
        <f aca="false">(Data!N38+Data!O38+Data!P38+Data!Q38+Data!R38+Data!S38+Data!N39+Data!O39+Data!P39+Data!Q39+Data!R39+Data!S39+Data!N40+Data!O40+Data!P40+Data!Q40+Data!R40+Data!S40+Data!N41+Data!O41+Data!P41+Data!Q41+Data!R41+Data!S41+Data!N42+Data!O42+Data!P42+Data!Q42+Data!R42+Data!S42+Data!N43+Data!O43+Data!P43+Data!Q43+Data!R43+Data!S43+Data!N44+Data!O44+Data!P44+Data!Q44+Data!R44+Data!S44+Data!N45+Data!O45+Data!P45+Data!Q45+Data!R45+Data!S45+Data!N46+Data!O46+Data!P46+Data!Q46+Data!R46+Data!S46+Data!N47+Data!O47+Data!P47+Data!Q47+Data!R47+Data!S47+Data!N48+Data!O48+Data!P48+Data!Q48+Data!R48+Data!S48+Data!N49+Data!O49+Data!P49+Data!Q49+Data!R49+Data!S49)/(Data!AP38+Data!AP39+Data!AP40+Data!AP41+Data!AP42+Data!AP43+Data!AP44+Data!AP45+Data!AP46+Data!AP47+Data!AP48+Data!AP49)</f>
        <v>0.0236532678849842</v>
      </c>
      <c r="M49" s="17" t="n">
        <f aca="false">(Data!T38+Data!U38+Data!V38+Data!W38+Data!X38+Data!Y38+Data!Z38+Data!AA38+Data!AB38+Data!AC38+Data!AD38+Data!AE38+Data!AF38+Data!AG38+Data!AH38+Data!AI38+Data!AJ38+Data!AK38+Data!AL38+Data!T39+Data!U39+Data!V39+Data!W39+Data!X39+Data!Y39+Data!Z39+Data!AA39+Data!AB39+Data!AC39+Data!AD39+Data!AE39+Data!AF39+Data!AG39+Data!AH39+Data!AI39+Data!AJ39+Data!AK39+Data!AL39+Data!T40+Data!U40+Data!V40+Data!W40+Data!X40+Data!Y40+Data!Z40+Data!AA40+Data!AB40+Data!AC40+Data!AD40+Data!AE40+Data!AF40+Data!AG40+Data!AH40+Data!AI40+Data!AJ40+Data!AK40+Data!AL40+Data!T41+Data!U41+Data!V41+Data!W41+Data!X41+Data!Y41+Data!Z41+Data!AA41+Data!AB41+Data!AC41+Data!AD41+Data!AE41+Data!AF41+Data!AG41+Data!AH41+Data!AI41+Data!AJ41+Data!AK41+Data!AL41+Data!T42+Data!U42+Data!V42+Data!W42+Data!X42+Data!Y42+Data!Z42+Data!AA42+Data!AB42+Data!AC42+Data!AD42+Data!AE42+Data!AF42+Data!AG42+Data!AH42+Data!AI42+Data!AJ42+Data!AK42+Data!AL42+Data!T43+Data!U43+Data!V43+Data!W43+Data!X43+Data!Y43+Data!Z43+Data!AA43+Data!AB43+Data!AC43+Data!AD43+Data!AE43+Data!AF43+Data!AG43+Data!AH43+Data!AI43+Data!AJ43+Data!AK43+Data!AL43+Data!T44+Data!U44+Data!V44+Data!W44+Data!X44+Data!Y44+Data!Z44+Data!AA44+Data!AB44+Data!AC44+Data!AD44+Data!AE44+Data!AF44+Data!AG44+Data!AH44+Data!AI44+Data!AJ44+Data!AK44+Data!AL44+Data!T45+Data!U45+Data!V45+Data!W45+Data!X45+Data!Y45+Data!Z45+Data!AA45+Data!AB45+Data!AC45+Data!AD45+Data!AE45+Data!AF45+Data!AG45+Data!AH45+Data!AI45+Data!AJ45+Data!AK45+Data!AL45+Data!T46+Data!U46+Data!V46+Data!W46+Data!X46+Data!Y46+Data!Z46+Data!AA46+Data!AB46+Data!AC46+Data!AD46+Data!AE46+Data!AF46+Data!AG46+Data!AH46+Data!AI46+Data!AJ46+Data!AK46+Data!AL46+Data!T47+Data!U47+Data!V47+Data!W47+Data!X47+Data!Y47+Data!Z47+Data!AA47+Data!AB47+Data!AC47+Data!AD47+Data!AE47+Data!AF47+Data!AG47+Data!AH47+Data!AI47+Data!AJ47+Data!AK47+Data!AL47+Data!T48+Data!U48+Data!V48+Data!W48+Data!X48+Data!Y48+Data!Z48+Data!AA48+Data!AB48+Data!AC48+Data!AD48+Data!AE48+Data!AF48+Data!AG48+Data!AH48+Data!AI48+Data!AJ48+Data!AK48+Data!AL48+Data!T49+Data!U49+Data!V49+Data!W49+Data!X49+Data!Y49+Data!Z49+Data!AA49+Data!AB49+Data!AC49+Data!AD49+Data!AE49+Data!AF49+Data!AG49+Data!AH49+Data!AI49+Data!AJ49+Data!AK49+Data!AL49)/(Data!AP38+Data!AP39+Data!AP40+Data!AP41+Data!AP42+Data!AP43+Data!AP44+Data!AP45+Data!AP46+Data!AP47+Data!AP48+Data!AP49)</f>
        <v>0.191781121594918</v>
      </c>
      <c r="N49" s="18" t="n">
        <f aca="false">(Data!T38+Data!U38+Data!V38+Data!W38+Data!T39+Data!U39+Data!V39+Data!W39+Data!T40+Data!U40+Data!V40+Data!W40+Data!T41+Data!U41+Data!V41+Data!W41+Data!T42+Data!U42+Data!V42+Data!W42+Data!T43+Data!U43+Data!V43+Data!W43+Data!T44+Data!U44+Data!V44+Data!W44+Data!T45+Data!U45+Data!V45+Data!W45+Data!T46+Data!U46+Data!V46+Data!W46+Data!T47+Data!U47+Data!V47+Data!W47+Data!T48+Data!U48+Data!V48+Data!W48+Data!T49+Data!U49+Data!V49+Data!W49)/(Data!AP38+Data!AP39+Data!AP40+Data!AP41+Data!AP42+Data!AP43+Data!AP44+Data!AP45+Data!AP46+Data!AP47+Data!AP48+Data!AP49)</f>
        <v>0.105577373552539</v>
      </c>
      <c r="O49" s="18" t="n">
        <f aca="false">(Data!T38+Data!T39+Data!T40+Data!T41+Data!T42+Data!T43+Data!T44+Data!T45+Data!T46+Data!T47+Data!T48+Data!T49)/(Data!AP38+Data!AP39+Data!AP40+Data!AP41+Data!AP42+Data!AP43+Data!AP44+Data!AP45+Data!AP46+Data!AP47+Data!AP48+Data!AP49)</f>
        <v>0.0769775735640126</v>
      </c>
      <c r="P49" s="18" t="n">
        <f aca="false">(Data!U38+Data!U39+Data!U40+Data!U41+Data!U42+Data!U43+Data!U44+Data!U45+Data!U46+Data!U47+Data!U48+Data!U49)/(Data!AP38+Data!AP39+Data!AP40+Data!AP41+Data!AP42+Data!AP43+Data!AP44+Data!AP45+Data!AP46+Data!AP47+Data!AP48+Data!AP49)</f>
        <v>0.0122605911570196</v>
      </c>
      <c r="Q49" s="18" t="n">
        <f aca="false">(Data!V38+Data!V39+Data!V40+Data!V41+Data!V42+Data!V43+Data!V44+Data!V45+Data!V46+Data!V47+Data!V48+Data!V49)/(Data!AP38+Data!AP39+Data!AP40+Data!AP41+Data!AP42+Data!AP43+Data!AP44+Data!AP45+Data!AP46+Data!AP47+Data!AP48+Data!AP49)</f>
        <v>0.00816205162276532</v>
      </c>
      <c r="R49" s="18" t="n">
        <f aca="false">(Data!W38+Data!W39+Data!W40+Data!W41+Data!W42+Data!W43+Data!W44+Data!W45+Data!W46+Data!W47+Data!W48+Data!W49)/(Data!AP38+Data!AP39+Data!AP40+Data!AP41+Data!AP42+Data!AP43+Data!AP44+Data!AP45+Data!AP46+Data!AP47+Data!AP48+Data!AP49)</f>
        <v>0.00817715720874206</v>
      </c>
      <c r="S49" s="18" t="n">
        <f aca="false">(Data!X38+Data!X39+Data!X40+Data!X41+Data!X42+Data!X43+Data!X44+Data!X45+Data!X46+Data!X47+Data!X48+Data!X49)/(Data!AP38+Data!AP39+Data!AP40+Data!AP41+Data!AP42+Data!AP43+Data!AP44+Data!AP45+Data!AP46+Data!AP47+Data!AP48+Data!AP49)</f>
        <v>0.00480505406097069</v>
      </c>
      <c r="T49" s="18" t="n">
        <f aca="false">(Data!Y38+Data!Z38+Data!AA38+Data!Y39+Data!Z39+Data!AA39+Data!Y40+Data!Z40+Data!AA40+Data!Y41+Data!Z41+Data!AA41+Data!Y42+Data!Z42+Data!AA42+Data!Y43+Data!Z43+Data!AA43+Data!Y44+Data!Z44+Data!AA44+Data!Y45+Data!Z45+Data!AA45+Data!Y46+Data!Z46+Data!AA46+Data!Y47+Data!Z47+Data!AA47+Data!Y48+Data!Z48+Data!AA48+Data!Y49+Data!Z49+Data!AA49)/(Data!AP38+Data!AP39+Data!AP40+Data!AP41+Data!AP42+Data!AP43+Data!AP44+Data!AP45+Data!AP46+Data!AP47+Data!AP48+Data!AP49)</f>
        <v>0.0184299642296866</v>
      </c>
      <c r="U49" s="18" t="n">
        <f aca="false">(Data!Y38+Data!Y39+Data!Y40+Data!Y41+Data!Y42+Data!Y43+Data!Y44+Data!Y45+Data!Y46+Data!Y47+Data!Y48+Data!Y49)/(Data!AP38+Data!AP39+Data!AP40+Data!AP41+Data!AP42+Data!AP43+Data!AP44+Data!AP45+Data!AP46+Data!AP47+Data!AP48+Data!AP49)</f>
        <v>0.0125258693281401</v>
      </c>
      <c r="V49" s="18" t="n">
        <f aca="false">(Data!Z38+Data!Z39+Data!Z40+Data!Z41+Data!Z42+Data!Z43+Data!Z44+Data!Z45+Data!Z46+Data!Z47+Data!Z48+Data!Z49)/(Data!AP38+Data!AP39+Data!AP40+Data!AP41+Data!AP42+Data!AP43+Data!AP44+Data!AP45+Data!AP46+Data!AP47+Data!AP48+Data!AP49)</f>
        <v>0.00581088905763928</v>
      </c>
      <c r="W49" s="18" t="n">
        <f aca="false">(Data!AB38+Data!AB39+Data!AB40+Data!AB41+Data!AB42+Data!AB43+Data!AB44+Data!AB45+Data!AB46+Data!AB47+Data!AB48+Data!AB49)/(Data!AP38+Data!AP39+Data!AP40+Data!AP41+Data!AP42+Data!AP43+Data!AP44+Data!AP45+Data!AP46+Data!AP47+Data!AP48+Data!AP49)</f>
        <v>0.0257307237998578</v>
      </c>
      <c r="X49" s="18" t="n">
        <f aca="false">(Data!AC38+Data!AC39+Data!AC40+Data!AC41+Data!AC42+Data!AC43+Data!AC44+Data!AC45+Data!AC46+Data!AC47+Data!AC48+Data!AC49)/(Data!AP38+Data!AP39+Data!AP40+Data!AP41+Data!AP42+Data!AP43+Data!AP44+Data!AP45+Data!AP46+Data!AP47+Data!AP48+Data!AP49)</f>
        <v>0.0089446413832052</v>
      </c>
      <c r="Y49" s="18" t="n">
        <f aca="false">(Data!AD38+Data!AE38+Data!AF38+Data!AG38+Data!AH38+Data!AD39+Data!AE39+Data!AF39+Data!AG39+Data!AH39+Data!AD40+Data!AE40+Data!AF40+Data!AG40+Data!AH40+Data!AD41+Data!AE41+Data!AF41+Data!AG41+Data!AH41+Data!AD42+Data!AE42+Data!AF42+Data!AG42+Data!AH42+Data!AD43+Data!AE43+Data!AF43+Data!AG43+Data!AH43+Data!AD44+Data!AE44+Data!AF44+Data!AG44+Data!AH44+Data!AD45+Data!AE45+Data!AF45+Data!AG45+Data!AH45+Data!AD46+Data!AE46+Data!AF46+Data!AG46+Data!AH46+Data!AD47+Data!AE47+Data!AF47+Data!AG47+Data!AH47+Data!AD48+Data!AE48+Data!AF48+Data!AG48+Data!AH48+Data!AD49+Data!AE49+Data!AF49+Data!AG49+Data!AH49)/(Data!AP38+Data!AP39+Data!AP40+Data!AP41+Data!AP42+Data!AP43+Data!AP44+Data!AP45+Data!AP46+Data!AP47+Data!AP48+Data!AP49)</f>
        <v>0.00598164785563722</v>
      </c>
      <c r="Z49" s="18" t="n">
        <f aca="false">(Data!AI38+Data!AI39+Data!AI40+Data!AI41+Data!AI42+Data!AI43+Data!AI44+Data!AI45+Data!AI46+Data!AI47+Data!AI48+Data!AI49)/(Data!AP38+Data!AP39+Data!AP40+Data!AP41+Data!AP42+Data!AP43+Data!AP44+Data!AP45+Data!AP46+Data!AP47+Data!AP48+Data!AP49)</f>
        <v>0.00678968724462487</v>
      </c>
      <c r="AA49" s="18" t="n">
        <f aca="false">(Data!AJ38+Data!AJ39+Data!AJ40+Data!AJ41+Data!AJ42+Data!AJ43+Data!AJ44+Data!AJ45+Data!AJ46+Data!AJ47+Data!AJ48+Data!AJ49)/(Data!AP38+Data!AP39+Data!AP40+Data!AP41+Data!AP42+Data!AP43+Data!AP44+Data!AP45+Data!AP46+Data!AP47+Data!AP48+Data!AP49)</f>
        <v>-0.00027124378297364</v>
      </c>
      <c r="AB49" s="18" t="n">
        <f aca="false">(Data!AK38+Data!AK39+Data!AK40+Data!AK41+Data!AK42+Data!AK43+Data!AK44+Data!AK45+Data!AK46+Data!AK47+Data!AK48+Data!AK49)/(Data!AP38+Data!AP39+Data!AP40+Data!AP41+Data!AP42+Data!AP43+Data!AP44+Data!AP45+Data!AP46+Data!AP47+Data!AP48+Data!AP49)</f>
        <v>0.0027640485818236</v>
      </c>
      <c r="AC49" s="18" t="n">
        <f aca="false">(Data!AL38+Data!AL39+Data!AL40+Data!AL41+Data!AL42+Data!AL43+Data!AL44+Data!AL45+Data!AL46+Data!AL47+Data!AL48+Data!AL49)/(Data!AP38+Data!AP39+Data!AP40+Data!AP41+Data!AP42+Data!AP43+Data!AP44+Data!AP45+Data!AP46+Data!AP47+Data!AP48+Data!AP49)</f>
        <v>0.0130292246695462</v>
      </c>
      <c r="AD49" s="17" t="n">
        <f aca="false">(Data!AM38+Data!AM39+Data!AM40+Data!AM41+Data!AM42+Data!AM43+Data!AM44+Data!AM45+Data!AM46+Data!AM47+Data!AM48+Data!AM49)/(Data!AP38+Data!AP39+Data!AP40+Data!AP41+Data!AP42+Data!AP43+Data!AP44+Data!AP45+Data!AP46+Data!AP47+Data!AP48+Data!AP49)</f>
        <v>-0.0100904767020785</v>
      </c>
      <c r="AE49" s="18" t="n">
        <f aca="false">(Data!AN38+Data!AN39+Data!AN40+Data!AN41+Data!AN42+Data!AN43+Data!AN44+Data!AN45+Data!AN46+Data!AN47+Data!AN48+Data!AN49)/(Data!AP38+Data!AP39+Data!AP40+Data!AP41+Data!AP42+Data!AP43+Data!AP44+Data!AP45+Data!AP46+Data!AP47+Data!AP48+Data!AP49)</f>
        <v>0.0325678622873879</v>
      </c>
      <c r="AF49" s="17" t="n">
        <f aca="false">(Data!AO38+Data!AO39+Data!AO40+Data!AO41+Data!AO42+Data!AO43+Data!AO44+Data!AO45+Data!AO46+Data!AO47+Data!AO48+Data!AO49)/(Data!AP38+Data!AP39+Data!AP40+Data!AP41+Data!AP42+Data!AP43+Data!AP44+Data!AP45+Data!AP46+Data!AP47+Data!AP48+Data!AP49)</f>
        <v>-0.0426583937198504</v>
      </c>
    </row>
    <row r="50" customFormat="false" ht="15" hidden="false" customHeight="false" outlineLevel="0" collapsed="false">
      <c r="B50" s="14" t="str">
        <f aca="false">Data!B50</f>
        <v>2019-08</v>
      </c>
      <c r="C50" s="17" t="n">
        <f aca="false">(Data!D39+Data!E39+Data!F39+Data!G39+Data!H39+Data!I39+Data!J39+Data!K39+Data!L39+Data!M39+Data!N39+Data!O39+Data!P39+Data!Q39+Data!R39+Data!S39+Data!D40+Data!E40+Data!F40+Data!G40+Data!H40+Data!I40+Data!J40+Data!K40+Data!L40+Data!M40+Data!N40+Data!O40+Data!P40+Data!Q40+Data!R40+Data!S40+Data!D41+Data!E41+Data!F41+Data!G41+Data!H41+Data!I41+Data!J41+Data!K41+Data!L41+Data!M41+Data!N41+Data!O41+Data!P41+Data!Q41+Data!R41+Data!S41+Data!D42+Data!E42+Data!F42+Data!G42+Data!H42+Data!I42+Data!J42+Data!K42+Data!L42+Data!M42+Data!N42+Data!O42+Data!P42+Data!Q42+Data!R42+Data!S42+Data!D43+Data!E43+Data!F43+Data!G43+Data!H43+Data!I43+Data!J43+Data!K43+Data!L43+Data!M43+Data!N43+Data!O43+Data!P43+Data!Q43+Data!R43+Data!S43+Data!D44+Data!E44+Data!F44+Data!G44+Data!H44+Data!I44+Data!J44+Data!K44+Data!L44+Data!M44+Data!N44+Data!O44+Data!P44+Data!Q44+Data!R44+Data!S44+Data!D45+Data!E45+Data!F45+Data!G45+Data!H45+Data!I45+Data!J45+Data!K45+Data!L45+Data!M45+Data!N45+Data!O45+Data!P45+Data!Q45+Data!R45+Data!S45+Data!D46+Data!E46+Data!F46+Data!G46+Data!H46+Data!I46+Data!J46+Data!K46+Data!L46+Data!M46+Data!N46+Data!O46+Data!P46+Data!Q46+Data!R46+Data!S46+Data!D47+Data!E47+Data!F47+Data!G47+Data!H47+Data!I47+Data!J47+Data!K47+Data!L47+Data!M47+Data!N47+Data!O47+Data!P47+Data!Q47+Data!R47+Data!S47+Data!D48+Data!E48+Data!F48+Data!G48+Data!H48+Data!I48+Data!J48+Data!K48+Data!L48+Data!M48+Data!N48+Data!O48+Data!P48+Data!Q48+Data!R48+Data!S48+Data!D49+Data!E49+Data!F49+Data!G49+Data!H49+Data!I49+Data!J49+Data!K49+Data!L49+Data!M49+Data!N49+Data!O49+Data!P49+Data!Q49+Data!R49+Data!S49+Data!D50+Data!E50+Data!F50+Data!G50+Data!H50+Data!I50+Data!J50+Data!K50+Data!L50+Data!M50+Data!N50+Data!O50+Data!P50+Data!Q50+Data!R50+Data!S50)/(Data!AP39+Data!AP40+Data!AP41+Data!AP42+Data!AP43+Data!AP44+Data!AP45+Data!AP46+Data!AP47+Data!AP48+Data!AP49+Data!AP50)</f>
        <v>0.182693105552371</v>
      </c>
      <c r="D50" s="18" t="n">
        <f aca="false">(Data!D39+Data!E39+Data!G39+Data!H39+Data!I39+Data!J39+Data!K39+Data!L39+Data!M39+Data!D40+Data!E40+Data!G40+Data!H40+Data!I40+Data!J40+Data!K40+Data!L40+Data!M40+Data!D41+Data!E41+Data!G41+Data!H41+Data!I41+Data!J41+Data!K41+Data!L41+Data!M41+Data!D42+Data!E42+Data!G42+Data!H42+Data!I42+Data!J42+Data!K42+Data!L42+Data!M42+Data!D43+Data!E43+Data!G43+Data!H43+Data!I43+Data!J43+Data!K43+Data!L43+Data!M43+Data!D44+Data!E44+Data!G44+Data!H44+Data!I44+Data!J44+Data!K44+Data!L44+Data!M44+Data!D45+Data!E45+Data!G45+Data!H45+Data!I45+Data!J45+Data!K45+Data!L45+Data!M45+Data!D46+Data!E46+Data!G46+Data!H46+Data!I46+Data!J46+Data!K46+Data!L46+Data!M46+Data!D47+Data!E47+Data!G47+Data!H47+Data!I47+Data!J47+Data!K47+Data!L47+Data!M47+Data!D48+Data!E48+Data!G48+Data!H48+Data!I48+Data!J48+Data!K48+Data!L48+Data!M48+Data!D49+Data!E49+Data!G49+Data!H49+Data!I49+Data!J49+Data!K49+Data!L49+Data!M49+Data!D50+Data!E50+Data!G50+Data!H50+Data!I50+Data!J50+Data!K50+Data!L50+Data!M50)/(Data!AP39+Data!AP40+Data!AP41+Data!AP42+Data!AP43+Data!AP44+Data!AP45+Data!AP46+Data!AP47+Data!AP48+Data!AP49+Data!AP50)</f>
        <v>0.100369522234321</v>
      </c>
      <c r="E50" s="18" t="n">
        <f aca="false">(Data!D39+Data!D40+Data!D41+Data!D42+Data!D43+Data!D44+Data!D45+Data!D46+Data!D47+Data!D48+Data!D49+Data!D50)/(Data!AP39+Data!AP40+Data!AP41+Data!AP42+Data!AP43+Data!AP44+Data!AP45+Data!AP46+Data!AP47+Data!AP48+Data!AP49+Data!AP50)</f>
        <v>0.0329724532860963</v>
      </c>
      <c r="F50" s="18" t="n">
        <f aca="false">(Data!E39+Data!E40+Data!E41+Data!E42+Data!E43+Data!E44+Data!E45+Data!E46+Data!E47+Data!E48+Data!E49+Data!E50)/(Data!AP39+Data!AP40+Data!AP41+Data!AP42+Data!AP43+Data!AP44+Data!AP45+Data!AP46+Data!AP47+Data!AP48+Data!AP49+Data!AP50)</f>
        <v>0.0180231236938775</v>
      </c>
      <c r="G50" s="18" t="n">
        <f aca="false">(Data!K39+Data!K40+Data!K41+Data!K42+Data!K43+Data!K44+Data!K45+Data!K46+Data!K47+Data!K48+Data!K49+Data!K50)/(Data!AP39+Data!AP40+Data!AP41+Data!AP42+Data!AP43+Data!AP44+Data!AP45+Data!AP46+Data!AP47+Data!AP48+Data!AP49+Data!AP50)</f>
        <v>0.0139826008666057</v>
      </c>
      <c r="H50" s="18" t="n">
        <f aca="false">(Data!L39+Data!L40+Data!L41+Data!L42+Data!L43+Data!L44+Data!L45+Data!L46+Data!L47+Data!L48+Data!L49+Data!L50)/(Data!AP39+Data!AP40+Data!AP41+Data!AP42+Data!AP43+Data!AP44+Data!AP45+Data!AP46+Data!AP47+Data!AP48+Data!AP49+Data!AP50)</f>
        <v>0.00619374923467202</v>
      </c>
      <c r="I50" s="18" t="n">
        <f aca="false">(Data!G39+Data!G40+Data!G41+Data!G42+Data!G43+Data!G44+Data!G45+Data!G46+Data!G47+Data!G48+Data!G49+Data!G50)/(Data!AP39+Data!AP40+Data!AP41+Data!AP42+Data!AP43+Data!AP44+Data!AP45+Data!AP46+Data!AP47+Data!AP48+Data!AP49+Data!AP50)</f>
        <v>0.0157773099304841</v>
      </c>
      <c r="J50" s="18" t="n">
        <f aca="false">(Data!H39+Data!I39+Data!J39+Data!M39+Data!H40+Data!I40+Data!J40+Data!M40+Data!H41+Data!I41+Data!J41+Data!M41+Data!H42+Data!I42+Data!J42+Data!M42+Data!H43+Data!I43+Data!J43+Data!M43+Data!H44+Data!I44+Data!J44+Data!M44+Data!H45+Data!I45+Data!J45+Data!M45+Data!H46+Data!I46+Data!J46+Data!M46+Data!H47+Data!I47+Data!J47+Data!M47+Data!H48+Data!I48+Data!J48+Data!M48+Data!H49+Data!I49+Data!J49+Data!M49+Data!H50+Data!I50+Data!J50+Data!M50)/(Data!AP39+Data!AP40+Data!AP41+Data!AP42+Data!AP43+Data!AP44+Data!AP45+Data!AP46+Data!AP47+Data!AP48+Data!AP49+Data!AP50)</f>
        <v>0.0134202852225855</v>
      </c>
      <c r="K50" s="18" t="n">
        <f aca="false">(Data!F39+Data!F40+Data!F41+Data!F42+Data!F43+Data!F44+Data!F45+Data!F46+Data!F47+Data!F48+Data!F49+Data!F50)/(Data!AP39+Data!AP40+Data!AP41+Data!AP42+Data!AP43+Data!AP44+Data!AP45+Data!AP46+Data!AP47+Data!AP48+Data!AP49+Data!AP50)</f>
        <v>0.0587449529713007</v>
      </c>
      <c r="L50" s="18" t="n">
        <f aca="false">(Data!N39+Data!O39+Data!P39+Data!Q39+Data!R39+Data!S39+Data!N40+Data!O40+Data!P40+Data!Q40+Data!R40+Data!S40+Data!N41+Data!O41+Data!P41+Data!Q41+Data!R41+Data!S41+Data!N42+Data!O42+Data!P42+Data!Q42+Data!R42+Data!S42+Data!N43+Data!O43+Data!P43+Data!Q43+Data!R43+Data!S43+Data!N44+Data!O44+Data!P44+Data!Q44+Data!R44+Data!S44+Data!N45+Data!O45+Data!P45+Data!Q45+Data!R45+Data!S45+Data!N46+Data!O46+Data!P46+Data!Q46+Data!R46+Data!S46+Data!N47+Data!O47+Data!P47+Data!Q47+Data!R47+Data!S47+Data!N48+Data!O48+Data!P48+Data!Q48+Data!R48+Data!S48+Data!N49+Data!O49+Data!P49+Data!Q49+Data!R49+Data!S49+Data!N50+Data!O50+Data!P50+Data!Q50+Data!R50+Data!S50)/(Data!AP39+Data!AP40+Data!AP41+Data!AP42+Data!AP43+Data!AP44+Data!AP45+Data!AP46+Data!AP47+Data!AP48+Data!AP49+Data!AP50)</f>
        <v>0.0235786303467493</v>
      </c>
      <c r="M50" s="17" t="n">
        <f aca="false">(Data!T39+Data!U39+Data!V39+Data!W39+Data!X39+Data!Y39+Data!Z39+Data!AA39+Data!AB39+Data!AC39+Data!AD39+Data!AE39+Data!AF39+Data!AG39+Data!AH39+Data!AI39+Data!AJ39+Data!AK39+Data!AL39+Data!T40+Data!U40+Data!V40+Data!W40+Data!X40+Data!Y40+Data!Z40+Data!AA40+Data!AB40+Data!AC40+Data!AD40+Data!AE40+Data!AF40+Data!AG40+Data!AH40+Data!AI40+Data!AJ40+Data!AK40+Data!AL40+Data!T41+Data!U41+Data!V41+Data!W41+Data!X41+Data!Y41+Data!Z41+Data!AA41+Data!AB41+Data!AC41+Data!AD41+Data!AE41+Data!AF41+Data!AG41+Data!AH41+Data!AI41+Data!AJ41+Data!AK41+Data!AL41+Data!T42+Data!U42+Data!V42+Data!W42+Data!X42+Data!Y42+Data!Z42+Data!AA42+Data!AB42+Data!AC42+Data!AD42+Data!AE42+Data!AF42+Data!AG42+Data!AH42+Data!AI42+Data!AJ42+Data!AK42+Data!AL42+Data!T43+Data!U43+Data!V43+Data!W43+Data!X43+Data!Y43+Data!Z43+Data!AA43+Data!AB43+Data!AC43+Data!AD43+Data!AE43+Data!AF43+Data!AG43+Data!AH43+Data!AI43+Data!AJ43+Data!AK43+Data!AL43+Data!T44+Data!U44+Data!V44+Data!W44+Data!X44+Data!Y44+Data!Z44+Data!AA44+Data!AB44+Data!AC44+Data!AD44+Data!AE44+Data!AF44+Data!AG44+Data!AH44+Data!AI44+Data!AJ44+Data!AK44+Data!AL44+Data!T45+Data!U45+Data!V45+Data!W45+Data!X45+Data!Y45+Data!Z45+Data!AA45+Data!AB45+Data!AC45+Data!AD45+Data!AE45+Data!AF45+Data!AG45+Data!AH45+Data!AI45+Data!AJ45+Data!AK45+Data!AL45+Data!T46+Data!U46+Data!V46+Data!W46+Data!X46+Data!Y46+Data!Z46+Data!AA46+Data!AB46+Data!AC46+Data!AD46+Data!AE46+Data!AF46+Data!AG46+Data!AH46+Data!AI46+Data!AJ46+Data!AK46+Data!AL46+Data!T47+Data!U47+Data!V47+Data!W47+Data!X47+Data!Y47+Data!Z47+Data!AA47+Data!AB47+Data!AC47+Data!AD47+Data!AE47+Data!AF47+Data!AG47+Data!AH47+Data!AI47+Data!AJ47+Data!AK47+Data!AL47+Data!T48+Data!U48+Data!V48+Data!W48+Data!X48+Data!Y48+Data!Z48+Data!AA48+Data!AB48+Data!AC48+Data!AD48+Data!AE48+Data!AF48+Data!AG48+Data!AH48+Data!AI48+Data!AJ48+Data!AK48+Data!AL48+Data!T49+Data!U49+Data!V49+Data!W49+Data!X49+Data!Y49+Data!Z49+Data!AA49+Data!AB49+Data!AC49+Data!AD49+Data!AE49+Data!AF49+Data!AG49+Data!AH49+Data!AI49+Data!AJ49+Data!AK49+Data!AL49+Data!T50+Data!U50+Data!V50+Data!W50+Data!X50+Data!Y50+Data!Z50+Data!AA50+Data!AB50+Data!AC50+Data!AD50+Data!AE50+Data!AF50+Data!AG50+Data!AH50+Data!AI50+Data!AJ50+Data!AK50+Data!AL50)/(Data!AP39+Data!AP40+Data!AP41+Data!AP42+Data!AP43+Data!AP44+Data!AP45+Data!AP46+Data!AP47+Data!AP48+Data!AP49+Data!AP50)</f>
        <v>0.191196551173139</v>
      </c>
      <c r="N50" s="18" t="n">
        <f aca="false">(Data!T39+Data!U39+Data!V39+Data!W39+Data!T40+Data!U40+Data!V40+Data!W40+Data!T41+Data!U41+Data!V41+Data!W41+Data!T42+Data!U42+Data!V42+Data!W42+Data!T43+Data!U43+Data!V43+Data!W43+Data!T44+Data!U44+Data!V44+Data!W44+Data!T45+Data!U45+Data!V45+Data!W45+Data!T46+Data!U46+Data!V46+Data!W46+Data!T47+Data!U47+Data!V47+Data!W47+Data!T48+Data!U48+Data!V48+Data!W48+Data!T49+Data!U49+Data!V49+Data!W49+Data!T50+Data!U50+Data!V50+Data!W50)/(Data!AP39+Data!AP40+Data!AP41+Data!AP42+Data!AP43+Data!AP44+Data!AP45+Data!AP46+Data!AP47+Data!AP48+Data!AP49+Data!AP50)</f>
        <v>0.104960369449192</v>
      </c>
      <c r="O50" s="18" t="n">
        <f aca="false">(Data!T39+Data!T40+Data!T41+Data!T42+Data!T43+Data!T44+Data!T45+Data!T46+Data!T47+Data!T48+Data!T49+Data!T50)/(Data!AP39+Data!AP40+Data!AP41+Data!AP42+Data!AP43+Data!AP44+Data!AP45+Data!AP46+Data!AP47+Data!AP48+Data!AP49+Data!AP50)</f>
        <v>0.0767427676859182</v>
      </c>
      <c r="P50" s="18" t="n">
        <f aca="false">(Data!U39+Data!U40+Data!U41+Data!U42+Data!U43+Data!U44+Data!U45+Data!U46+Data!U47+Data!U48+Data!U49+Data!U50)/(Data!AP39+Data!AP40+Data!AP41+Data!AP42+Data!AP43+Data!AP44+Data!AP45+Data!AP46+Data!AP47+Data!AP48+Data!AP49+Data!AP50)</f>
        <v>0.0121539873210771</v>
      </c>
      <c r="Q50" s="18" t="n">
        <f aca="false">(Data!V39+Data!V40+Data!V41+Data!V42+Data!V43+Data!V44+Data!V45+Data!V46+Data!V47+Data!V48+Data!V49+Data!V50)/(Data!AP39+Data!AP40+Data!AP41+Data!AP42+Data!AP43+Data!AP44+Data!AP45+Data!AP46+Data!AP47+Data!AP48+Data!AP49+Data!AP50)</f>
        <v>0.00794516243465907</v>
      </c>
      <c r="R50" s="18" t="n">
        <f aca="false">(Data!W39+Data!W40+Data!W41+Data!W42+Data!W43+Data!W44+Data!W45+Data!W46+Data!W47+Data!W48+Data!W49+Data!W50)/(Data!AP39+Data!AP40+Data!AP41+Data!AP42+Data!AP43+Data!AP44+Data!AP45+Data!AP46+Data!AP47+Data!AP48+Data!AP49+Data!AP50)</f>
        <v>0.00811845200753791</v>
      </c>
      <c r="S50" s="18" t="n">
        <f aca="false">(Data!X39+Data!X40+Data!X41+Data!X42+Data!X43+Data!X44+Data!X45+Data!X46+Data!X47+Data!X48+Data!X49+Data!X50)/(Data!AP39+Data!AP40+Data!AP41+Data!AP42+Data!AP43+Data!AP44+Data!AP45+Data!AP46+Data!AP47+Data!AP48+Data!AP49+Data!AP50)</f>
        <v>0.00492739827450688</v>
      </c>
      <c r="T50" s="18" t="n">
        <f aca="false">(Data!Y39+Data!Z39+Data!AA39+Data!Y40+Data!Z40+Data!AA40+Data!Y41+Data!Z41+Data!AA41+Data!Y42+Data!Z42+Data!AA42+Data!Y43+Data!Z43+Data!AA43+Data!Y44+Data!Z44+Data!AA44+Data!Y45+Data!Z45+Data!AA45+Data!Y46+Data!Z46+Data!AA46+Data!Y47+Data!Z47+Data!AA47+Data!Y48+Data!Z48+Data!AA48+Data!Y49+Data!Z49+Data!AA49+Data!Y50+Data!Z50+Data!AA50)/(Data!AP39+Data!AP40+Data!AP41+Data!AP42+Data!AP43+Data!AP44+Data!AP45+Data!AP46+Data!AP47+Data!AP48+Data!AP49+Data!AP50)</f>
        <v>0.0184262103090522</v>
      </c>
      <c r="U50" s="18" t="n">
        <f aca="false">(Data!Y39+Data!Y40+Data!Y41+Data!Y42+Data!Y43+Data!Y44+Data!Y45+Data!Y46+Data!Y47+Data!Y48+Data!Y49+Data!Y50)/(Data!AP39+Data!AP40+Data!AP41+Data!AP42+Data!AP43+Data!AP44+Data!AP45+Data!AP46+Data!AP47+Data!AP48+Data!AP49+Data!AP50)</f>
        <v>0.012406334292483</v>
      </c>
      <c r="V50" s="18" t="n">
        <f aca="false">(Data!Z39+Data!Z40+Data!Z41+Data!Z42+Data!Z43+Data!Z44+Data!Z45+Data!Z46+Data!Z47+Data!Z48+Data!Z49+Data!Z50)/(Data!AP39+Data!AP40+Data!AP41+Data!AP42+Data!AP43+Data!AP44+Data!AP45+Data!AP46+Data!AP47+Data!AP48+Data!AP49+Data!AP50)</f>
        <v>0.00589094348071624</v>
      </c>
      <c r="W50" s="18" t="n">
        <f aca="false">(Data!AB39+Data!AB40+Data!AB41+Data!AB42+Data!AB43+Data!AB44+Data!AB45+Data!AB46+Data!AB47+Data!AB48+Data!AB49+Data!AB50)/(Data!AP39+Data!AP40+Data!AP41+Data!AP42+Data!AP43+Data!AP44+Data!AP45+Data!AP46+Data!AP47+Data!AP48+Data!AP49+Data!AP50)</f>
        <v>0.0257515945744529</v>
      </c>
      <c r="X50" s="18" t="n">
        <f aca="false">(Data!AC39+Data!AC40+Data!AC41+Data!AC42+Data!AC43+Data!AC44+Data!AC45+Data!AC46+Data!AC47+Data!AC48+Data!AC49+Data!AC50)/(Data!AP39+Data!AP40+Data!AP41+Data!AP42+Data!AP43+Data!AP44+Data!AP45+Data!AP46+Data!AP47+Data!AP48+Data!AP49+Data!AP50)</f>
        <v>0.00890955657937611</v>
      </c>
      <c r="Y50" s="18" t="n">
        <f aca="false">(Data!AD39+Data!AE39+Data!AF39+Data!AG39+Data!AH39+Data!AD40+Data!AE40+Data!AF40+Data!AG40+Data!AH40+Data!AD41+Data!AE41+Data!AF41+Data!AG41+Data!AH41+Data!AD42+Data!AE42+Data!AF42+Data!AG42+Data!AH42+Data!AD43+Data!AE43+Data!AF43+Data!AG43+Data!AH43+Data!AD44+Data!AE44+Data!AF44+Data!AG44+Data!AH44+Data!AD45+Data!AE45+Data!AF45+Data!AG45+Data!AH45+Data!AD46+Data!AE46+Data!AF46+Data!AG46+Data!AH46+Data!AD47+Data!AE47+Data!AF47+Data!AG47+Data!AH47+Data!AD48+Data!AE48+Data!AF48+Data!AG48+Data!AH48+Data!AD49+Data!AE49+Data!AF49+Data!AG49+Data!AH49+Data!AD50+Data!AE50+Data!AF50+Data!AG50+Data!AH50)/(Data!AP39+Data!AP40+Data!AP41+Data!AP42+Data!AP43+Data!AP44+Data!AP45+Data!AP46+Data!AP47+Data!AP48+Data!AP49+Data!AP50)</f>
        <v>0.00600358700895316</v>
      </c>
      <c r="Z50" s="18" t="n">
        <f aca="false">(Data!AI39+Data!AI40+Data!AI41+Data!AI42+Data!AI43+Data!AI44+Data!AI45+Data!AI46+Data!AI47+Data!AI48+Data!AI49+Data!AI50)/(Data!AP39+Data!AP40+Data!AP41+Data!AP42+Data!AP43+Data!AP44+Data!AP45+Data!AP46+Data!AP47+Data!AP48+Data!AP49+Data!AP50)</f>
        <v>0.00676917036690442</v>
      </c>
      <c r="AA50" s="18" t="n">
        <f aca="false">(Data!AJ39+Data!AJ40+Data!AJ41+Data!AJ42+Data!AJ43+Data!AJ44+Data!AJ45+Data!AJ46+Data!AJ47+Data!AJ48+Data!AJ49+Data!AJ50)/(Data!AP39+Data!AP40+Data!AP41+Data!AP42+Data!AP43+Data!AP44+Data!AP45+Data!AP46+Data!AP47+Data!AP48+Data!AP49+Data!AP50)</f>
        <v>-0.000300099762462564</v>
      </c>
      <c r="AB50" s="18" t="n">
        <f aca="false">(Data!AK39+Data!AK40+Data!AK41+Data!AK42+Data!AK43+Data!AK44+Data!AK45+Data!AK46+Data!AK47+Data!AK48+Data!AK49+Data!AK50)/(Data!AP39+Data!AP40+Data!AP41+Data!AP42+Data!AP43+Data!AP44+Data!AP45+Data!AP46+Data!AP47+Data!AP48+Data!AP49+Data!AP50)</f>
        <v>0.00289408443131551</v>
      </c>
      <c r="AC50" s="18" t="n">
        <f aca="false">(Data!AL39+Data!AL40+Data!AL41+Data!AL42+Data!AL43+Data!AL44+Data!AL45+Data!AL46+Data!AL47+Data!AL48+Data!AL49+Data!AL50)/(Data!AP39+Data!AP40+Data!AP41+Data!AP42+Data!AP43+Data!AP44+Data!AP45+Data!AP46+Data!AP47+Data!AP48+Data!AP49+Data!AP50)</f>
        <v>0.0128546799418481</v>
      </c>
      <c r="AD50" s="17" t="n">
        <f aca="false">(Data!AM39+Data!AM40+Data!AM41+Data!AM42+Data!AM43+Data!AM44+Data!AM45+Data!AM46+Data!AM47+Data!AM48+Data!AM49+Data!AM50)/(Data!AP39+Data!AP40+Data!AP41+Data!AP42+Data!AP43+Data!AP44+Data!AP45+Data!AP46+Data!AP47+Data!AP48+Data!AP49+Data!AP50)</f>
        <v>-0.00850344562076782</v>
      </c>
      <c r="AE50" s="18" t="n">
        <f aca="false">(Data!AN39+Data!AN40+Data!AN41+Data!AN42+Data!AN43+Data!AN44+Data!AN45+Data!AN46+Data!AN47+Data!AN48+Data!AN49+Data!AN50)/(Data!AP39+Data!AP40+Data!AP41+Data!AP42+Data!AP43+Data!AP44+Data!AP45+Data!AP46+Data!AP47+Data!AP48+Data!AP49+Data!AP50)</f>
        <v>0.0328668135005477</v>
      </c>
      <c r="AF50" s="17" t="n">
        <f aca="false">(Data!AO39+Data!AO40+Data!AO41+Data!AO42+Data!AO43+Data!AO44+Data!AO45+Data!AO46+Data!AO47+Data!AO48+Data!AO49+Data!AO50)/(Data!AP39+Data!AP40+Data!AP41+Data!AP42+Data!AP43+Data!AP44+Data!AP45+Data!AP46+Data!AP47+Data!AP48+Data!AP49+Data!AP50)</f>
        <v>-0.0413703121799723</v>
      </c>
    </row>
    <row r="51" customFormat="false" ht="15" hidden="false" customHeight="false" outlineLevel="0" collapsed="false">
      <c r="B51" s="14" t="str">
        <f aca="false">Data!B51</f>
        <v>2019-09</v>
      </c>
      <c r="C51" s="17" t="n">
        <f aca="false">(Data!D40+Data!E40+Data!F40+Data!G40+Data!H40+Data!I40+Data!J40+Data!K40+Data!L40+Data!M40+Data!N40+Data!O40+Data!P40+Data!Q40+Data!R40+Data!S40+Data!D41+Data!E41+Data!F41+Data!G41+Data!H41+Data!I41+Data!J41+Data!K41+Data!L41+Data!M41+Data!N41+Data!O41+Data!P41+Data!Q41+Data!R41+Data!S41+Data!D42+Data!E42+Data!F42+Data!G42+Data!H42+Data!I42+Data!J42+Data!K42+Data!L42+Data!M42+Data!N42+Data!O42+Data!P42+Data!Q42+Data!R42+Data!S42+Data!D43+Data!E43+Data!F43+Data!G43+Data!H43+Data!I43+Data!J43+Data!K43+Data!L43+Data!M43+Data!N43+Data!O43+Data!P43+Data!Q43+Data!R43+Data!S43+Data!D44+Data!E44+Data!F44+Data!G44+Data!H44+Data!I44+Data!J44+Data!K44+Data!L44+Data!M44+Data!N44+Data!O44+Data!P44+Data!Q44+Data!R44+Data!S44+Data!D45+Data!E45+Data!F45+Data!G45+Data!H45+Data!I45+Data!J45+Data!K45+Data!L45+Data!M45+Data!N45+Data!O45+Data!P45+Data!Q45+Data!R45+Data!S45+Data!D46+Data!E46+Data!F46+Data!G46+Data!H46+Data!I46+Data!J46+Data!K46+Data!L46+Data!M46+Data!N46+Data!O46+Data!P46+Data!Q46+Data!R46+Data!S46+Data!D47+Data!E47+Data!F47+Data!G47+Data!H47+Data!I47+Data!J47+Data!K47+Data!L47+Data!M47+Data!N47+Data!O47+Data!P47+Data!Q47+Data!R47+Data!S47+Data!D48+Data!E48+Data!F48+Data!G48+Data!H48+Data!I48+Data!J48+Data!K48+Data!L48+Data!M48+Data!N48+Data!O48+Data!P48+Data!Q48+Data!R48+Data!S48+Data!D49+Data!E49+Data!F49+Data!G49+Data!H49+Data!I49+Data!J49+Data!K49+Data!L49+Data!M49+Data!N49+Data!O49+Data!P49+Data!Q49+Data!R49+Data!S49+Data!D50+Data!E50+Data!F50+Data!G50+Data!H50+Data!I50+Data!J50+Data!K50+Data!L50+Data!M50+Data!N50+Data!O50+Data!P50+Data!Q50+Data!R50+Data!S50+Data!D51+Data!E51+Data!F51+Data!G51+Data!H51+Data!I51+Data!J51+Data!K51+Data!L51+Data!M51+Data!N51+Data!O51+Data!P51+Data!Q51+Data!R51+Data!S51)/(Data!AP40+Data!AP41+Data!AP42+Data!AP43+Data!AP44+Data!AP45+Data!AP46+Data!AP47+Data!AP48+Data!AP49+Data!AP50+Data!AP51)</f>
        <v>0.18229458682244</v>
      </c>
      <c r="D51" s="18" t="n">
        <f aca="false">(Data!D40+Data!E40+Data!G40+Data!H40+Data!I40+Data!J40+Data!K40+Data!L40+Data!M40+Data!D41+Data!E41+Data!G41+Data!H41+Data!I41+Data!J41+Data!K41+Data!L41+Data!M41+Data!D42+Data!E42+Data!G42+Data!H42+Data!I42+Data!J42+Data!K42+Data!L42+Data!M42+Data!D43+Data!E43+Data!G43+Data!H43+Data!I43+Data!J43+Data!K43+Data!L43+Data!M43+Data!D44+Data!E44+Data!G44+Data!H44+Data!I44+Data!J44+Data!K44+Data!L44+Data!M44+Data!D45+Data!E45+Data!G45+Data!H45+Data!I45+Data!J45+Data!K45+Data!L45+Data!M45+Data!D46+Data!E46+Data!G46+Data!H46+Data!I46+Data!J46+Data!K46+Data!L46+Data!M46+Data!D47+Data!E47+Data!G47+Data!H47+Data!I47+Data!J47+Data!K47+Data!L47+Data!M47+Data!D48+Data!E48+Data!G48+Data!H48+Data!I48+Data!J48+Data!K48+Data!L48+Data!M48+Data!D49+Data!E49+Data!G49+Data!H49+Data!I49+Data!J49+Data!K49+Data!L49+Data!M49+Data!D50+Data!E50+Data!G50+Data!H50+Data!I50+Data!J50+Data!K50+Data!L50+Data!M50+Data!D51+Data!E51+Data!G51+Data!H51+Data!I51+Data!J51+Data!K51+Data!L51+Data!M51)/(Data!AP40+Data!AP41+Data!AP42+Data!AP43+Data!AP44+Data!AP45+Data!AP46+Data!AP47+Data!AP48+Data!AP49+Data!AP50+Data!AP51)</f>
        <v>0.100363313510968</v>
      </c>
      <c r="E51" s="18" t="n">
        <f aca="false">(Data!D40+Data!D41+Data!D42+Data!D43+Data!D44+Data!D45+Data!D46+Data!D47+Data!D48+Data!D49+Data!D50+Data!D51)/(Data!AP40+Data!AP41+Data!AP42+Data!AP43+Data!AP44+Data!AP45+Data!AP46+Data!AP47+Data!AP48+Data!AP49+Data!AP50+Data!AP51)</f>
        <v>0.0327744210527579</v>
      </c>
      <c r="F51" s="18" t="n">
        <f aca="false">(Data!E40+Data!E41+Data!E42+Data!E43+Data!E44+Data!E45+Data!E46+Data!E47+Data!E48+Data!E49+Data!E50+Data!E51)/(Data!AP40+Data!AP41+Data!AP42+Data!AP43+Data!AP44+Data!AP45+Data!AP46+Data!AP47+Data!AP48+Data!AP49+Data!AP50+Data!AP51)</f>
        <v>0.0176559916221208</v>
      </c>
      <c r="G51" s="18" t="n">
        <f aca="false">(Data!K40+Data!K41+Data!K42+Data!K43+Data!K44+Data!K45+Data!K46+Data!K47+Data!K48+Data!K49+Data!K50+Data!K51)/(Data!AP40+Data!AP41+Data!AP42+Data!AP43+Data!AP44+Data!AP45+Data!AP46+Data!AP47+Data!AP48+Data!AP49+Data!AP50+Data!AP51)</f>
        <v>0.01444536749978</v>
      </c>
      <c r="H51" s="18" t="n">
        <f aca="false">(Data!L40+Data!L41+Data!L42+Data!L43+Data!L44+Data!L45+Data!L46+Data!L47+Data!L48+Data!L49+Data!L50+Data!L51)/(Data!AP40+Data!AP41+Data!AP42+Data!AP43+Data!AP44+Data!AP45+Data!AP46+Data!AP47+Data!AP48+Data!AP49+Data!AP50+Data!AP51)</f>
        <v>0.0061318167111557</v>
      </c>
      <c r="I51" s="18" t="n">
        <f aca="false">(Data!G40+Data!G41+Data!G42+Data!G43+Data!G44+Data!G45+Data!G46+Data!G47+Data!G48+Data!G49+Data!G50+Data!G51)/(Data!AP40+Data!AP41+Data!AP42+Data!AP43+Data!AP44+Data!AP45+Data!AP46+Data!AP47+Data!AP48+Data!AP49+Data!AP50+Data!AP51)</f>
        <v>0.0157497108507065</v>
      </c>
      <c r="J51" s="18" t="n">
        <f aca="false">(Data!H40+Data!I40+Data!J40+Data!M40+Data!H41+Data!I41+Data!J41+Data!M41+Data!H42+Data!I42+Data!J42+Data!M42+Data!H43+Data!I43+Data!J43+Data!M43+Data!H44+Data!I44+Data!J44+Data!M44+Data!H45+Data!I45+Data!J45+Data!M45+Data!H46+Data!I46+Data!J46+Data!M46+Data!H47+Data!I47+Data!J47+Data!M47+Data!H48+Data!I48+Data!J48+Data!M48+Data!H49+Data!I49+Data!J49+Data!M49+Data!H50+Data!I50+Data!J50+Data!M50+Data!H51+Data!I51+Data!J51+Data!M51)/(Data!AP40+Data!AP41+Data!AP42+Data!AP43+Data!AP44+Data!AP45+Data!AP46+Data!AP47+Data!AP48+Data!AP49+Data!AP50+Data!AP51)</f>
        <v>0.0136060057744469</v>
      </c>
      <c r="K51" s="18" t="n">
        <f aca="false">(Data!F40+Data!F41+Data!F42+Data!F43+Data!F44+Data!F45+Data!F46+Data!F47+Data!F48+Data!F49+Data!F50+Data!F51)/(Data!AP40+Data!AP41+Data!AP42+Data!AP43+Data!AP44+Data!AP45+Data!AP46+Data!AP47+Data!AP48+Data!AP49+Data!AP50+Data!AP51)</f>
        <v>0.0580949009158414</v>
      </c>
      <c r="L51" s="18" t="n">
        <f aca="false">(Data!N40+Data!O40+Data!P40+Data!Q40+Data!R40+Data!S40+Data!N41+Data!O41+Data!P41+Data!Q41+Data!R41+Data!S41+Data!N42+Data!O42+Data!P42+Data!Q42+Data!R42+Data!S42+Data!N43+Data!O43+Data!P43+Data!Q43+Data!R43+Data!S43+Data!N44+Data!O44+Data!P44+Data!Q44+Data!R44+Data!S44+Data!N45+Data!O45+Data!P45+Data!Q45+Data!R45+Data!S45+Data!N46+Data!O46+Data!P46+Data!Q46+Data!R46+Data!S46+Data!N47+Data!O47+Data!P47+Data!Q47+Data!R47+Data!S47+Data!N48+Data!O48+Data!P48+Data!Q48+Data!R48+Data!S48+Data!N49+Data!O49+Data!P49+Data!Q49+Data!R49+Data!S49+Data!N50+Data!O50+Data!P50+Data!Q50+Data!R50+Data!S50+Data!N51+Data!O51+Data!P51+Data!Q51+Data!R51+Data!S51)/(Data!AP40+Data!AP41+Data!AP42+Data!AP43+Data!AP44+Data!AP45+Data!AP46+Data!AP47+Data!AP48+Data!AP49+Data!AP50+Data!AP51)</f>
        <v>0.0238363723956312</v>
      </c>
      <c r="M51" s="17" t="n">
        <f aca="false">(Data!T40+Data!U40+Data!V40+Data!W40+Data!X40+Data!Y40+Data!Z40+Data!AA40+Data!AB40+Data!AC40+Data!AD40+Data!AE40+Data!AF40+Data!AG40+Data!AH40+Data!AI40+Data!AJ40+Data!AK40+Data!AL40+Data!T41+Data!U41+Data!V41+Data!W41+Data!X41+Data!Y41+Data!Z41+Data!AA41+Data!AB41+Data!AC41+Data!AD41+Data!AE41+Data!AF41+Data!AG41+Data!AH41+Data!AI41+Data!AJ41+Data!AK41+Data!AL41+Data!T42+Data!U42+Data!V42+Data!W42+Data!X42+Data!Y42+Data!Z42+Data!AA42+Data!AB42+Data!AC42+Data!AD42+Data!AE42+Data!AF42+Data!AG42+Data!AH42+Data!AI42+Data!AJ42+Data!AK42+Data!AL42+Data!T43+Data!U43+Data!V43+Data!W43+Data!X43+Data!Y43+Data!Z43+Data!AA43+Data!AB43+Data!AC43+Data!AD43+Data!AE43+Data!AF43+Data!AG43+Data!AH43+Data!AI43+Data!AJ43+Data!AK43+Data!AL43+Data!T44+Data!U44+Data!V44+Data!W44+Data!X44+Data!Y44+Data!Z44+Data!AA44+Data!AB44+Data!AC44+Data!AD44+Data!AE44+Data!AF44+Data!AG44+Data!AH44+Data!AI44+Data!AJ44+Data!AK44+Data!AL44+Data!T45+Data!U45+Data!V45+Data!W45+Data!X45+Data!Y45+Data!Z45+Data!AA45+Data!AB45+Data!AC45+Data!AD45+Data!AE45+Data!AF45+Data!AG45+Data!AH45+Data!AI45+Data!AJ45+Data!AK45+Data!AL45+Data!T46+Data!U46+Data!V46+Data!W46+Data!X46+Data!Y46+Data!Z46+Data!AA46+Data!AB46+Data!AC46+Data!AD46+Data!AE46+Data!AF46+Data!AG46+Data!AH46+Data!AI46+Data!AJ46+Data!AK46+Data!AL46+Data!T47+Data!U47+Data!V47+Data!W47+Data!X47+Data!Y47+Data!Z47+Data!AA47+Data!AB47+Data!AC47+Data!AD47+Data!AE47+Data!AF47+Data!AG47+Data!AH47+Data!AI47+Data!AJ47+Data!AK47+Data!AL47+Data!T48+Data!U48+Data!V48+Data!W48+Data!X48+Data!Y48+Data!Z48+Data!AA48+Data!AB48+Data!AC48+Data!AD48+Data!AE48+Data!AF48+Data!AG48+Data!AH48+Data!AI48+Data!AJ48+Data!AK48+Data!AL48+Data!T49+Data!U49+Data!V49+Data!W49+Data!X49+Data!Y49+Data!Z49+Data!AA49+Data!AB49+Data!AC49+Data!AD49+Data!AE49+Data!AF49+Data!AG49+Data!AH49+Data!AI49+Data!AJ49+Data!AK49+Data!AL49+Data!T50+Data!U50+Data!V50+Data!W50+Data!X50+Data!Y50+Data!Z50+Data!AA50+Data!AB50+Data!AC50+Data!AD50+Data!AE50+Data!AF50+Data!AG50+Data!AH50+Data!AI50+Data!AJ50+Data!AK50+Data!AL50+Data!T51+Data!U51+Data!V51+Data!W51+Data!X51+Data!Y51+Data!Z51+Data!AA51+Data!AB51+Data!AC51+Data!AD51+Data!AE51+Data!AF51+Data!AG51+Data!AH51+Data!AI51+Data!AJ51+Data!AK51+Data!AL51)/(Data!AP40+Data!AP41+Data!AP42+Data!AP43+Data!AP44+Data!AP45+Data!AP46+Data!AP47+Data!AP48+Data!AP49+Data!AP50+Data!AP51)</f>
        <v>0.190659887887034</v>
      </c>
      <c r="N51" s="18" t="n">
        <f aca="false">(Data!T40+Data!U40+Data!V40+Data!W40+Data!T41+Data!U41+Data!V41+Data!W41+Data!T42+Data!U42+Data!V42+Data!W42+Data!T43+Data!U43+Data!V43+Data!W43+Data!T44+Data!U44+Data!V44+Data!W44+Data!T45+Data!U45+Data!V45+Data!W45+Data!T46+Data!U46+Data!V46+Data!W46+Data!T47+Data!U47+Data!V47+Data!W47+Data!T48+Data!U48+Data!V48+Data!W48+Data!T49+Data!U49+Data!V49+Data!W49+Data!T50+Data!U50+Data!V50+Data!W50+Data!T51+Data!U51+Data!V51+Data!W51)/(Data!AP40+Data!AP41+Data!AP42+Data!AP43+Data!AP44+Data!AP45+Data!AP46+Data!AP47+Data!AP48+Data!AP49+Data!AP50+Data!AP51)</f>
        <v>0.105236575844274</v>
      </c>
      <c r="O51" s="18" t="n">
        <f aca="false">(Data!T40+Data!T41+Data!T42+Data!T43+Data!T44+Data!T45+Data!T46+Data!T47+Data!T48+Data!T49+Data!T50+Data!T51)/(Data!AP40+Data!AP41+Data!AP42+Data!AP43+Data!AP44+Data!AP45+Data!AP46+Data!AP47+Data!AP48+Data!AP49+Data!AP50+Data!AP51)</f>
        <v>0.0770325726597897</v>
      </c>
      <c r="P51" s="18" t="n">
        <f aca="false">(Data!U40+Data!U41+Data!U42+Data!U43+Data!U44+Data!U45+Data!U46+Data!U47+Data!U48+Data!U49+Data!U50+Data!U51)/(Data!AP40+Data!AP41+Data!AP42+Data!AP43+Data!AP44+Data!AP45+Data!AP46+Data!AP47+Data!AP48+Data!AP49+Data!AP50+Data!AP51)</f>
        <v>0.0121720040856146</v>
      </c>
      <c r="Q51" s="18" t="n">
        <f aca="false">(Data!V40+Data!V41+Data!V42+Data!V43+Data!V44+Data!V45+Data!V46+Data!V47+Data!V48+Data!V49+Data!V50+Data!V51)/(Data!AP40+Data!AP41+Data!AP42+Data!AP43+Data!AP44+Data!AP45+Data!AP46+Data!AP47+Data!AP48+Data!AP49+Data!AP50+Data!AP51)</f>
        <v>0.00800397416256623</v>
      </c>
      <c r="R51" s="18" t="n">
        <f aca="false">(Data!W40+Data!W41+Data!W42+Data!W43+Data!W44+Data!W45+Data!W46+Data!W47+Data!W48+Data!W49+Data!W50+Data!W51)/(Data!AP40+Data!AP41+Data!AP42+Data!AP43+Data!AP44+Data!AP45+Data!AP46+Data!AP47+Data!AP48+Data!AP49+Data!AP50+Data!AP51)</f>
        <v>0.00802802493630382</v>
      </c>
      <c r="S51" s="18" t="n">
        <f aca="false">(Data!X40+Data!X41+Data!X42+Data!X43+Data!X44+Data!X45+Data!X46+Data!X47+Data!X48+Data!X49+Data!X50+Data!X51)/(Data!AP40+Data!AP41+Data!AP42+Data!AP43+Data!AP44+Data!AP45+Data!AP46+Data!AP47+Data!AP48+Data!AP49+Data!AP50+Data!AP51)</f>
        <v>0.00511484927206805</v>
      </c>
      <c r="T51" s="18" t="n">
        <f aca="false">(Data!Y40+Data!Z40+Data!AA40+Data!Y41+Data!Z41+Data!AA41+Data!Y42+Data!Z42+Data!AA42+Data!Y43+Data!Z43+Data!AA43+Data!Y44+Data!Z44+Data!AA44+Data!Y45+Data!Z45+Data!AA45+Data!Y46+Data!Z46+Data!AA46+Data!Y47+Data!Z47+Data!AA47+Data!Y48+Data!Z48+Data!AA48+Data!Y49+Data!Z49+Data!AA49+Data!Y50+Data!Z50+Data!AA50+Data!Y51+Data!Z51+Data!AA51)/(Data!AP40+Data!AP41+Data!AP42+Data!AP43+Data!AP44+Data!AP45+Data!AP46+Data!AP47+Data!AP48+Data!AP49+Data!AP50+Data!AP51)</f>
        <v>0.0178041505552094</v>
      </c>
      <c r="U51" s="18" t="n">
        <f aca="false">(Data!Y40+Data!Y41+Data!Y42+Data!Y43+Data!Y44+Data!Y45+Data!Y46+Data!Y47+Data!Y48+Data!Y49+Data!Y50+Data!Y51)/(Data!AP40+Data!AP41+Data!AP42+Data!AP43+Data!AP44+Data!AP45+Data!AP46+Data!AP47+Data!AP48+Data!AP49+Data!AP50+Data!AP51)</f>
        <v>0.0118555411269051</v>
      </c>
      <c r="V51" s="18" t="n">
        <f aca="false">(Data!Z40+Data!Z41+Data!Z42+Data!Z43+Data!Z44+Data!Z45+Data!Z46+Data!Z47+Data!Z48+Data!Z49+Data!Z50+Data!Z51)/(Data!AP40+Data!AP41+Data!AP42+Data!AP43+Data!AP44+Data!AP45+Data!AP46+Data!AP47+Data!AP48+Data!AP49+Data!AP50+Data!AP51)</f>
        <v>0.00580291724124004</v>
      </c>
      <c r="W51" s="18" t="n">
        <f aca="false">(Data!AB40+Data!AB41+Data!AB42+Data!AB43+Data!AB44+Data!AB45+Data!AB46+Data!AB47+Data!AB48+Data!AB49+Data!AB50+Data!AB51)/(Data!AP40+Data!AP41+Data!AP42+Data!AP43+Data!AP44+Data!AP45+Data!AP46+Data!AP47+Data!AP48+Data!AP49+Data!AP50+Data!AP51)</f>
        <v>0.0255831883146786</v>
      </c>
      <c r="X51" s="18" t="n">
        <f aca="false">(Data!AC40+Data!AC41+Data!AC42+Data!AC43+Data!AC44+Data!AC45+Data!AC46+Data!AC47+Data!AC48+Data!AC49+Data!AC50+Data!AC51)/(Data!AP40+Data!AP41+Data!AP42+Data!AP43+Data!AP44+Data!AP45+Data!AP46+Data!AP47+Data!AP48+Data!AP49+Data!AP50+Data!AP51)</f>
        <v>0.00887206320097487</v>
      </c>
      <c r="Y51" s="18" t="n">
        <f aca="false">(Data!AD40+Data!AE40+Data!AF40+Data!AG40+Data!AH40+Data!AD41+Data!AE41+Data!AF41+Data!AG41+Data!AH41+Data!AD42+Data!AE42+Data!AF42+Data!AG42+Data!AH42+Data!AD43+Data!AE43+Data!AF43+Data!AG43+Data!AH43+Data!AD44+Data!AE44+Data!AF44+Data!AG44+Data!AH44+Data!AD45+Data!AE45+Data!AF45+Data!AG45+Data!AH45+Data!AD46+Data!AE46+Data!AF46+Data!AG46+Data!AH46+Data!AD47+Data!AE47+Data!AF47+Data!AG47+Data!AH47+Data!AD48+Data!AE48+Data!AF48+Data!AG48+Data!AH48+Data!AD49+Data!AE49+Data!AF49+Data!AG49+Data!AH49+Data!AD50+Data!AE50+Data!AF50+Data!AG50+Data!AH50+Data!AD51+Data!AE51+Data!AF51+Data!AG51+Data!AH51)/(Data!AP40+Data!AP41+Data!AP42+Data!AP43+Data!AP44+Data!AP45+Data!AP46+Data!AP47+Data!AP48+Data!AP49+Data!AP50+Data!AP51)</f>
        <v>0.00590389965661258</v>
      </c>
      <c r="Z51" s="18" t="n">
        <f aca="false">(Data!AI40+Data!AI41+Data!AI42+Data!AI43+Data!AI44+Data!AI45+Data!AI46+Data!AI47+Data!AI48+Data!AI49+Data!AI50+Data!AI51)/(Data!AP40+Data!AP41+Data!AP42+Data!AP43+Data!AP44+Data!AP45+Data!AP46+Data!AP47+Data!AP48+Data!AP49+Data!AP50+Data!AP51)</f>
        <v>0.00669115137218102</v>
      </c>
      <c r="AA51" s="18" t="n">
        <f aca="false">(Data!AJ40+Data!AJ41+Data!AJ42+Data!AJ43+Data!AJ44+Data!AJ45+Data!AJ46+Data!AJ47+Data!AJ48+Data!AJ49+Data!AJ50+Data!AJ51)/(Data!AP40+Data!AP41+Data!AP42+Data!AP43+Data!AP44+Data!AP45+Data!AP46+Data!AP47+Data!AP48+Data!AP49+Data!AP50+Data!AP51)</f>
        <v>-0.000332548198410035</v>
      </c>
      <c r="AB51" s="18" t="n">
        <f aca="false">(Data!AK40+Data!AK41+Data!AK42+Data!AK43+Data!AK44+Data!AK45+Data!AK46+Data!AK47+Data!AK48+Data!AK49+Data!AK50+Data!AK51)/(Data!AP40+Data!AP41+Data!AP42+Data!AP43+Data!AP44+Data!AP45+Data!AP46+Data!AP47+Data!AP48+Data!AP49+Data!AP50+Data!AP51)</f>
        <v>0.00295660067237307</v>
      </c>
      <c r="AC51" s="18" t="n">
        <f aca="false">(Data!AL40+Data!AL41+Data!AL42+Data!AL43+Data!AL44+Data!AL45+Data!AL46+Data!AL47+Data!AL48+Data!AL49+Data!AL50+Data!AL51)/(Data!AP40+Data!AP41+Data!AP42+Data!AP43+Data!AP44+Data!AP45+Data!AP46+Data!AP47+Data!AP48+Data!AP49+Data!AP50+Data!AP51)</f>
        <v>0.0128299571970724</v>
      </c>
      <c r="AD51" s="17" t="n">
        <f aca="false">(Data!AM40+Data!AM41+Data!AM42+Data!AM43+Data!AM44+Data!AM45+Data!AM46+Data!AM47+Data!AM48+Data!AM49+Data!AM50+Data!AM51)/(Data!AP40+Data!AP41+Data!AP42+Data!AP43+Data!AP44+Data!AP45+Data!AP46+Data!AP47+Data!AP48+Data!AP49+Data!AP50+Data!AP51)</f>
        <v>-0.00836530106459389</v>
      </c>
      <c r="AE51" s="18" t="n">
        <f aca="false">(Data!AN40+Data!AN41+Data!AN42+Data!AN43+Data!AN44+Data!AN45+Data!AN46+Data!AN47+Data!AN48+Data!AN49+Data!AN50+Data!AN51)/(Data!AP40+Data!AP41+Data!AP42+Data!AP43+Data!AP44+Data!AP45+Data!AP46+Data!AP47+Data!AP48+Data!AP49+Data!AP50+Data!AP51)</f>
        <v>0.0327509355749843</v>
      </c>
      <c r="AF51" s="17" t="n">
        <f aca="false">(Data!AO40+Data!AO41+Data!AO42+Data!AO43+Data!AO44+Data!AO45+Data!AO46+Data!AO47+Data!AO48+Data!AO49+Data!AO50+Data!AO51)/(Data!AP40+Data!AP41+Data!AP42+Data!AP43+Data!AP44+Data!AP45+Data!AP46+Data!AP47+Data!AP48+Data!AP49+Data!AP50+Data!AP51)</f>
        <v>-0.0411162880301203</v>
      </c>
    </row>
    <row r="52" customFormat="false" ht="15" hidden="false" customHeight="false" outlineLevel="0" collapsed="false">
      <c r="B52" s="14" t="str">
        <f aca="false">Data!B52</f>
        <v>2019-10</v>
      </c>
      <c r="C52" s="17" t="n">
        <f aca="false">(Data!D41+Data!E41+Data!F41+Data!G41+Data!H41+Data!I41+Data!J41+Data!K41+Data!L41+Data!M41+Data!N41+Data!O41+Data!P41+Data!Q41+Data!R41+Data!S41+Data!D42+Data!E42+Data!F42+Data!G42+Data!H42+Data!I42+Data!J42+Data!K42+Data!L42+Data!M42+Data!N42+Data!O42+Data!P42+Data!Q42+Data!R42+Data!S42+Data!D43+Data!E43+Data!F43+Data!G43+Data!H43+Data!I43+Data!J43+Data!K43+Data!L43+Data!M43+Data!N43+Data!O43+Data!P43+Data!Q43+Data!R43+Data!S43+Data!D44+Data!E44+Data!F44+Data!G44+Data!H44+Data!I44+Data!J44+Data!K44+Data!L44+Data!M44+Data!N44+Data!O44+Data!P44+Data!Q44+Data!R44+Data!S44+Data!D45+Data!E45+Data!F45+Data!G45+Data!H45+Data!I45+Data!J45+Data!K45+Data!L45+Data!M45+Data!N45+Data!O45+Data!P45+Data!Q45+Data!R45+Data!S45+Data!D46+Data!E46+Data!F46+Data!G46+Data!H46+Data!I46+Data!J46+Data!K46+Data!L46+Data!M46+Data!N46+Data!O46+Data!P46+Data!Q46+Data!R46+Data!S46+Data!D47+Data!E47+Data!F47+Data!G47+Data!H47+Data!I47+Data!J47+Data!K47+Data!L47+Data!M47+Data!N47+Data!O47+Data!P47+Data!Q47+Data!R47+Data!S47+Data!D48+Data!E48+Data!F48+Data!G48+Data!H48+Data!I48+Data!J48+Data!K48+Data!L48+Data!M48+Data!N48+Data!O48+Data!P48+Data!Q48+Data!R48+Data!S48+Data!D49+Data!E49+Data!F49+Data!G49+Data!H49+Data!I49+Data!J49+Data!K49+Data!L49+Data!M49+Data!N49+Data!O49+Data!P49+Data!Q49+Data!R49+Data!S49+Data!D50+Data!E50+Data!F50+Data!G50+Data!H50+Data!I50+Data!J50+Data!K50+Data!L50+Data!M50+Data!N50+Data!O50+Data!P50+Data!Q50+Data!R50+Data!S50+Data!D51+Data!E51+Data!F51+Data!G51+Data!H51+Data!I51+Data!J51+Data!K51+Data!L51+Data!M51+Data!N51+Data!O51+Data!P51+Data!Q51+Data!R51+Data!S51+Data!D52+Data!E52+Data!F52+Data!G52+Data!H52+Data!I52+Data!J52+Data!K52+Data!L52+Data!M52+Data!N52+Data!O52+Data!P52+Data!Q52+Data!R52+Data!S52)/(Data!AP41+Data!AP42+Data!AP43+Data!AP44+Data!AP45+Data!AP46+Data!AP47+Data!AP48+Data!AP49+Data!AP50+Data!AP51+Data!AP52)</f>
        <v>0.181545512641242</v>
      </c>
      <c r="D52" s="18" t="n">
        <f aca="false">(Data!D41+Data!E41+Data!G41+Data!H41+Data!I41+Data!J41+Data!K41+Data!L41+Data!M41+Data!D42+Data!E42+Data!G42+Data!H42+Data!I42+Data!J42+Data!K42+Data!L42+Data!M42+Data!D43+Data!E43+Data!G43+Data!H43+Data!I43+Data!J43+Data!K43+Data!L43+Data!M43+Data!D44+Data!E44+Data!G44+Data!H44+Data!I44+Data!J44+Data!K44+Data!L44+Data!M44+Data!D45+Data!E45+Data!G45+Data!H45+Data!I45+Data!J45+Data!K45+Data!L45+Data!M45+Data!D46+Data!E46+Data!G46+Data!H46+Data!I46+Data!J46+Data!K46+Data!L46+Data!M46+Data!D47+Data!E47+Data!G47+Data!H47+Data!I47+Data!J47+Data!K47+Data!L47+Data!M47+Data!D48+Data!E48+Data!G48+Data!H48+Data!I48+Data!J48+Data!K48+Data!L48+Data!M48+Data!D49+Data!E49+Data!G49+Data!H49+Data!I49+Data!J49+Data!K49+Data!L49+Data!M49+Data!D50+Data!E50+Data!G50+Data!H50+Data!I50+Data!J50+Data!K50+Data!L50+Data!M50+Data!D51+Data!E51+Data!G51+Data!H51+Data!I51+Data!J51+Data!K51+Data!L51+Data!M51+Data!D52+Data!E52+Data!G52+Data!H52+Data!I52+Data!J52+Data!K52+Data!L52+Data!M52)/(Data!AP41+Data!AP42+Data!AP43+Data!AP44+Data!AP45+Data!AP46+Data!AP47+Data!AP48+Data!AP49+Data!AP50+Data!AP51+Data!AP52)</f>
        <v>0.1002814319499</v>
      </c>
      <c r="E52" s="18" t="n">
        <f aca="false">(Data!D41+Data!D42+Data!D43+Data!D44+Data!D45+Data!D46+Data!D47+Data!D48+Data!D49+Data!D50+Data!D51+Data!D52)/(Data!AP41+Data!AP42+Data!AP43+Data!AP44+Data!AP45+Data!AP46+Data!AP47+Data!AP48+Data!AP49+Data!AP50+Data!AP51+Data!AP52)</f>
        <v>0.0324475561443143</v>
      </c>
      <c r="F52" s="18" t="n">
        <f aca="false">(Data!E41+Data!E42+Data!E43+Data!E44+Data!E45+Data!E46+Data!E47+Data!E48+Data!E49+Data!E50+Data!E51+Data!E52)/(Data!AP41+Data!AP42+Data!AP43+Data!AP44+Data!AP45+Data!AP46+Data!AP47+Data!AP48+Data!AP49+Data!AP50+Data!AP51+Data!AP52)</f>
        <v>0.0170260986470929</v>
      </c>
      <c r="G52" s="18" t="n">
        <f aca="false">(Data!K41+Data!K42+Data!K43+Data!K44+Data!K45+Data!K46+Data!K47+Data!K48+Data!K49+Data!K50+Data!K51+Data!K52)/(Data!AP41+Data!AP42+Data!AP43+Data!AP44+Data!AP45+Data!AP46+Data!AP47+Data!AP48+Data!AP49+Data!AP50+Data!AP51+Data!AP52)</f>
        <v>0.0151532724851389</v>
      </c>
      <c r="H52" s="18" t="n">
        <f aca="false">(Data!L41+Data!L42+Data!L43+Data!L44+Data!L45+Data!L46+Data!L47+Data!L48+Data!L49+Data!L50+Data!L51+Data!L52)/(Data!AP41+Data!AP42+Data!AP43+Data!AP44+Data!AP45+Data!AP46+Data!AP47+Data!AP48+Data!AP49+Data!AP50+Data!AP51+Data!AP52)</f>
        <v>0.00607286860724069</v>
      </c>
      <c r="I52" s="18" t="n">
        <f aca="false">(Data!G41+Data!G42+Data!G43+Data!G44+Data!G45+Data!G46+Data!G47+Data!G48+Data!G49+Data!G50+Data!G51+Data!G52)/(Data!AP41+Data!AP42+Data!AP43+Data!AP44+Data!AP45+Data!AP46+Data!AP47+Data!AP48+Data!AP49+Data!AP50+Data!AP51+Data!AP52)</f>
        <v>0.0158243556990427</v>
      </c>
      <c r="J52" s="18" t="n">
        <f aca="false">(Data!H41+Data!I41+Data!J41+Data!M41+Data!H42+Data!I42+Data!J42+Data!M42+Data!H43+Data!I43+Data!J43+Data!M43+Data!H44+Data!I44+Data!J44+Data!M44+Data!H45+Data!I45+Data!J45+Data!M45+Data!H46+Data!I46+Data!J46+Data!M46+Data!H47+Data!I47+Data!J47+Data!M47+Data!H48+Data!I48+Data!J48+Data!M48+Data!H49+Data!I49+Data!J49+Data!M49+Data!H50+Data!I50+Data!J50+Data!M50+Data!H51+Data!I51+Data!J51+Data!M51+Data!H52+Data!I52+Data!J52+Data!M52)/(Data!AP41+Data!AP42+Data!AP43+Data!AP44+Data!AP45+Data!AP46+Data!AP47+Data!AP48+Data!AP49+Data!AP50+Data!AP51+Data!AP52)</f>
        <v>0.0137572803670708</v>
      </c>
      <c r="K52" s="18" t="n">
        <f aca="false">(Data!F41+Data!F42+Data!F43+Data!F44+Data!F45+Data!F46+Data!F47+Data!F48+Data!F49+Data!F50+Data!F51+Data!F52)/(Data!AP41+Data!AP42+Data!AP43+Data!AP44+Data!AP45+Data!AP46+Data!AP47+Data!AP48+Data!AP49+Data!AP50+Data!AP51+Data!AP52)</f>
        <v>0.0573365751826828</v>
      </c>
      <c r="L52" s="18" t="n">
        <f aca="false">(Data!N41+Data!O41+Data!P41+Data!Q41+Data!R41+Data!S41+Data!N42+Data!O42+Data!P42+Data!Q42+Data!R42+Data!S42+Data!N43+Data!O43+Data!P43+Data!Q43+Data!R43+Data!S43+Data!N44+Data!O44+Data!P44+Data!Q44+Data!R44+Data!S44+Data!N45+Data!O45+Data!P45+Data!Q45+Data!R45+Data!S45+Data!N46+Data!O46+Data!P46+Data!Q46+Data!R46+Data!S46+Data!N47+Data!O47+Data!P47+Data!Q47+Data!R47+Data!S47+Data!N48+Data!O48+Data!P48+Data!Q48+Data!R48+Data!S48+Data!N49+Data!O49+Data!P49+Data!Q49+Data!R49+Data!S49+Data!N50+Data!O50+Data!P50+Data!Q50+Data!R50+Data!S50+Data!N51+Data!O51+Data!P51+Data!Q51+Data!R51+Data!S51+Data!N52+Data!O52+Data!P52+Data!Q52+Data!R52+Data!S52)/(Data!AP41+Data!AP42+Data!AP43+Data!AP44+Data!AP45+Data!AP46+Data!AP47+Data!AP48+Data!AP49+Data!AP50+Data!AP51+Data!AP52)</f>
        <v>0.0239275055086583</v>
      </c>
      <c r="M52" s="17" t="n">
        <f aca="false">(Data!T41+Data!U41+Data!V41+Data!W41+Data!X41+Data!Y41+Data!Z41+Data!AA41+Data!AB41+Data!AC41+Data!AD41+Data!AE41+Data!AF41+Data!AG41+Data!AH41+Data!AI41+Data!AJ41+Data!AK41+Data!AL41+Data!T42+Data!U42+Data!V42+Data!W42+Data!X42+Data!Y42+Data!Z42+Data!AA42+Data!AB42+Data!AC42+Data!AD42+Data!AE42+Data!AF42+Data!AG42+Data!AH42+Data!AI42+Data!AJ42+Data!AK42+Data!AL42+Data!T43+Data!U43+Data!V43+Data!W43+Data!X43+Data!Y43+Data!Z43+Data!AA43+Data!AB43+Data!AC43+Data!AD43+Data!AE43+Data!AF43+Data!AG43+Data!AH43+Data!AI43+Data!AJ43+Data!AK43+Data!AL43+Data!T44+Data!U44+Data!V44+Data!W44+Data!X44+Data!Y44+Data!Z44+Data!AA44+Data!AB44+Data!AC44+Data!AD44+Data!AE44+Data!AF44+Data!AG44+Data!AH44+Data!AI44+Data!AJ44+Data!AK44+Data!AL44+Data!T45+Data!U45+Data!V45+Data!W45+Data!X45+Data!Y45+Data!Z45+Data!AA45+Data!AB45+Data!AC45+Data!AD45+Data!AE45+Data!AF45+Data!AG45+Data!AH45+Data!AI45+Data!AJ45+Data!AK45+Data!AL45+Data!T46+Data!U46+Data!V46+Data!W46+Data!X46+Data!Y46+Data!Z46+Data!AA46+Data!AB46+Data!AC46+Data!AD46+Data!AE46+Data!AF46+Data!AG46+Data!AH46+Data!AI46+Data!AJ46+Data!AK46+Data!AL46+Data!T47+Data!U47+Data!V47+Data!W47+Data!X47+Data!Y47+Data!Z47+Data!AA47+Data!AB47+Data!AC47+Data!AD47+Data!AE47+Data!AF47+Data!AG47+Data!AH47+Data!AI47+Data!AJ47+Data!AK47+Data!AL47+Data!T48+Data!U48+Data!V48+Data!W48+Data!X48+Data!Y48+Data!Z48+Data!AA48+Data!AB48+Data!AC48+Data!AD48+Data!AE48+Data!AF48+Data!AG48+Data!AH48+Data!AI48+Data!AJ48+Data!AK48+Data!AL48+Data!T49+Data!U49+Data!V49+Data!W49+Data!X49+Data!Y49+Data!Z49+Data!AA49+Data!AB49+Data!AC49+Data!AD49+Data!AE49+Data!AF49+Data!AG49+Data!AH49+Data!AI49+Data!AJ49+Data!AK49+Data!AL49+Data!T50+Data!U50+Data!V50+Data!W50+Data!X50+Data!Y50+Data!Z50+Data!AA50+Data!AB50+Data!AC50+Data!AD50+Data!AE50+Data!AF50+Data!AG50+Data!AH50+Data!AI50+Data!AJ50+Data!AK50+Data!AL50+Data!T51+Data!U51+Data!V51+Data!W51+Data!X51+Data!Y51+Data!Z51+Data!AA51+Data!AB51+Data!AC51+Data!AD51+Data!AE51+Data!AF51+Data!AG51+Data!AH51+Data!AI51+Data!AJ51+Data!AK51+Data!AL51+Data!T52+Data!U52+Data!V52+Data!W52+Data!X52+Data!Y52+Data!Z52+Data!AA52+Data!AB52+Data!AC52+Data!AD52+Data!AE52+Data!AF52+Data!AG52+Data!AH52+Data!AI52+Data!AJ52+Data!AK52+Data!AL52)/(Data!AP41+Data!AP42+Data!AP43+Data!AP44+Data!AP45+Data!AP46+Data!AP47+Data!AP48+Data!AP49+Data!AP50+Data!AP51+Data!AP52)</f>
        <v>0.188381275994943</v>
      </c>
      <c r="N52" s="18" t="n">
        <f aca="false">(Data!T41+Data!U41+Data!V41+Data!W41+Data!T42+Data!U42+Data!V42+Data!W42+Data!T43+Data!U43+Data!V43+Data!W43+Data!T44+Data!U44+Data!V44+Data!W44+Data!T45+Data!U45+Data!V45+Data!W45+Data!T46+Data!U46+Data!V46+Data!W46+Data!T47+Data!U47+Data!V47+Data!W47+Data!T48+Data!U48+Data!V48+Data!W48+Data!T49+Data!U49+Data!V49+Data!W49+Data!T50+Data!U50+Data!V50+Data!W50+Data!T51+Data!U51+Data!V51+Data!W51+Data!T52+Data!U52+Data!V52+Data!W52)/(Data!AP41+Data!AP42+Data!AP43+Data!AP44+Data!AP45+Data!AP46+Data!AP47+Data!AP48+Data!AP49+Data!AP50+Data!AP51+Data!AP52)</f>
        <v>0.104883776740659</v>
      </c>
      <c r="O52" s="18" t="n">
        <f aca="false">(Data!T41+Data!T42+Data!T43+Data!T44+Data!T45+Data!T46+Data!T47+Data!T48+Data!T49+Data!T50+Data!T51+Data!T52)/(Data!AP41+Data!AP42+Data!AP43+Data!AP44+Data!AP45+Data!AP46+Data!AP47+Data!AP48+Data!AP49+Data!AP50+Data!AP51+Data!AP52)</f>
        <v>0.0766003626965588</v>
      </c>
      <c r="P52" s="18" t="n">
        <f aca="false">(Data!U41+Data!U42+Data!U43+Data!U44+Data!U45+Data!U46+Data!U47+Data!U48+Data!U49+Data!U50+Data!U51+Data!U52)/(Data!AP41+Data!AP42+Data!AP43+Data!AP44+Data!AP45+Data!AP46+Data!AP47+Data!AP48+Data!AP49+Data!AP50+Data!AP51+Data!AP52)</f>
        <v>0.0123371064121421</v>
      </c>
      <c r="Q52" s="18" t="n">
        <f aca="false">(Data!V41+Data!V42+Data!V43+Data!V44+Data!V45+Data!V46+Data!V47+Data!V48+Data!V49+Data!V50+Data!V51+Data!V52)/(Data!AP41+Data!AP42+Data!AP43+Data!AP44+Data!AP45+Data!AP46+Data!AP47+Data!AP48+Data!AP49+Data!AP50+Data!AP51+Data!AP52)</f>
        <v>0.00797325312537053</v>
      </c>
      <c r="R52" s="18" t="n">
        <f aca="false">(Data!W41+Data!W42+Data!W43+Data!W44+Data!W45+Data!W46+Data!W47+Data!W48+Data!W49+Data!W50+Data!W51+Data!W52)/(Data!AP41+Data!AP42+Data!AP43+Data!AP44+Data!AP45+Data!AP46+Data!AP47+Data!AP48+Data!AP49+Data!AP50+Data!AP51+Data!AP52)</f>
        <v>0.00797305450658728</v>
      </c>
      <c r="S52" s="18" t="n">
        <f aca="false">(Data!X41+Data!X42+Data!X43+Data!X44+Data!X45+Data!X46+Data!X47+Data!X48+Data!X49+Data!X50+Data!X51+Data!X52)/(Data!AP41+Data!AP42+Data!AP43+Data!AP44+Data!AP45+Data!AP46+Data!AP47+Data!AP48+Data!AP49+Data!AP50+Data!AP51+Data!AP52)</f>
        <v>0.00535719547649745</v>
      </c>
      <c r="T52" s="18" t="n">
        <f aca="false">(Data!Y41+Data!Z41+Data!AA41+Data!Y42+Data!Z42+Data!AA42+Data!Y43+Data!Z43+Data!AA43+Data!Y44+Data!Z44+Data!AA44+Data!Y45+Data!Z45+Data!AA45+Data!Y46+Data!Z46+Data!AA46+Data!Y47+Data!Z47+Data!AA47+Data!Y48+Data!Z48+Data!AA48+Data!Y49+Data!Z49+Data!AA49+Data!Y50+Data!Z50+Data!AA50+Data!Y51+Data!Z51+Data!AA51+Data!Y52+Data!Z52+Data!AA52)/(Data!AP41+Data!AP42+Data!AP43+Data!AP44+Data!AP45+Data!AP46+Data!AP47+Data!AP48+Data!AP49+Data!AP50+Data!AP51+Data!AP52)</f>
        <v>0.0170452157049807</v>
      </c>
      <c r="U52" s="18" t="n">
        <f aca="false">(Data!Y41+Data!Y42+Data!Y43+Data!Y44+Data!Y45+Data!Y46+Data!Y47+Data!Y48+Data!Y49+Data!Y50+Data!Y51+Data!Y52)/(Data!AP41+Data!AP42+Data!AP43+Data!AP44+Data!AP45+Data!AP46+Data!AP47+Data!AP48+Data!AP49+Data!AP50+Data!AP51+Data!AP52)</f>
        <v>0.0112101930906811</v>
      </c>
      <c r="V52" s="18" t="n">
        <f aca="false">(Data!Z41+Data!Z42+Data!Z43+Data!Z44+Data!Z45+Data!Z46+Data!Z47+Data!Z48+Data!Z49+Data!Z50+Data!Z51+Data!Z52)/(Data!AP41+Data!AP42+Data!AP43+Data!AP44+Data!AP45+Data!AP46+Data!AP47+Data!AP48+Data!AP49+Data!AP50+Data!AP51+Data!AP52)</f>
        <v>0.00568531370642538</v>
      </c>
      <c r="W52" s="18" t="n">
        <f aca="false">(Data!AB41+Data!AB42+Data!AB43+Data!AB44+Data!AB45+Data!AB46+Data!AB47+Data!AB48+Data!AB49+Data!AB50+Data!AB51+Data!AB52)/(Data!AP41+Data!AP42+Data!AP43+Data!AP44+Data!AP45+Data!AP46+Data!AP47+Data!AP48+Data!AP49+Data!AP50+Data!AP51+Data!AP52)</f>
        <v>0.0252938041186306</v>
      </c>
      <c r="X52" s="18" t="n">
        <f aca="false">(Data!AC41+Data!AC42+Data!AC43+Data!AC44+Data!AC45+Data!AC46+Data!AC47+Data!AC48+Data!AC49+Data!AC50+Data!AC51+Data!AC52)/(Data!AP41+Data!AP42+Data!AP43+Data!AP44+Data!AP45+Data!AP46+Data!AP47+Data!AP48+Data!AP49+Data!AP50+Data!AP51+Data!AP52)</f>
        <v>0.00865640243035669</v>
      </c>
      <c r="Y52" s="18" t="n">
        <f aca="false">(Data!AD41+Data!AE41+Data!AF41+Data!AG41+Data!AH41+Data!AD42+Data!AE42+Data!AF42+Data!AG42+Data!AH42+Data!AD43+Data!AE43+Data!AF43+Data!AG43+Data!AH43+Data!AD44+Data!AE44+Data!AF44+Data!AG44+Data!AH44+Data!AD45+Data!AE45+Data!AF45+Data!AG45+Data!AH45+Data!AD46+Data!AE46+Data!AF46+Data!AG46+Data!AH46+Data!AD47+Data!AE47+Data!AF47+Data!AG47+Data!AH47+Data!AD48+Data!AE48+Data!AF48+Data!AG48+Data!AH48+Data!AD49+Data!AE49+Data!AF49+Data!AG49+Data!AH49+Data!AD50+Data!AE50+Data!AF50+Data!AG50+Data!AH50+Data!AD51+Data!AE51+Data!AF51+Data!AG51+Data!AH51+Data!AD52+Data!AE52+Data!AF52+Data!AG52+Data!AH52)/(Data!AP41+Data!AP42+Data!AP43+Data!AP44+Data!AP45+Data!AP46+Data!AP47+Data!AP48+Data!AP49+Data!AP50+Data!AP51+Data!AP52)</f>
        <v>0.00586416992074143</v>
      </c>
      <c r="Z52" s="18" t="n">
        <f aca="false">(Data!AI41+Data!AI42+Data!AI43+Data!AI44+Data!AI45+Data!AI46+Data!AI47+Data!AI48+Data!AI49+Data!AI50+Data!AI51+Data!AI52)/(Data!AP41+Data!AP42+Data!AP43+Data!AP44+Data!AP45+Data!AP46+Data!AP47+Data!AP48+Data!AP49+Data!AP50+Data!AP51+Data!AP52)</f>
        <v>0.00661321100707056</v>
      </c>
      <c r="AA52" s="18" t="n">
        <f aca="false">(Data!AJ41+Data!AJ42+Data!AJ43+Data!AJ44+Data!AJ45+Data!AJ46+Data!AJ47+Data!AJ48+Data!AJ49+Data!AJ50+Data!AJ51+Data!AJ52)/(Data!AP41+Data!AP42+Data!AP43+Data!AP44+Data!AP45+Data!AP46+Data!AP47+Data!AP48+Data!AP49+Data!AP50+Data!AP51+Data!AP52)</f>
        <v>-0.000228113672561886</v>
      </c>
      <c r="AB52" s="18" t="n">
        <f aca="false">(Data!AK41+Data!AK42+Data!AK43+Data!AK44+Data!AK45+Data!AK46+Data!AK47+Data!AK48+Data!AK49+Data!AK50+Data!AK51+Data!AK52)/(Data!AP41+Data!AP42+Data!AP43+Data!AP44+Data!AP45+Data!AP46+Data!AP47+Data!AP48+Data!AP49+Data!AP50+Data!AP51+Data!AP52)</f>
        <v>0.00272748278627597</v>
      </c>
      <c r="AC52" s="18" t="n">
        <f aca="false">(Data!AL41+Data!AL42+Data!AL43+Data!AL44+Data!AL45+Data!AL46+Data!AL47+Data!AL48+Data!AL49+Data!AL50+Data!AL51+Data!AL52)/(Data!AP41+Data!AP42+Data!AP43+Data!AP44+Data!AP45+Data!AP46+Data!AP47+Data!AP48+Data!AP49+Data!AP50+Data!AP51+Data!AP52)</f>
        <v>0.0121681314822927</v>
      </c>
      <c r="AD52" s="17" t="n">
        <f aca="false">(Data!AM41+Data!AM42+Data!AM43+Data!AM44+Data!AM45+Data!AM46+Data!AM47+Data!AM48+Data!AM49+Data!AM50+Data!AM51+Data!AM52)/(Data!AP41+Data!AP42+Data!AP43+Data!AP44+Data!AP45+Data!AP46+Data!AP47+Data!AP48+Data!AP49+Data!AP50+Data!AP51+Data!AP52)</f>
        <v>-0.00683576335370147</v>
      </c>
      <c r="AE52" s="18" t="n">
        <f aca="false">(Data!AN41+Data!AN42+Data!AN43+Data!AN44+Data!AN45+Data!AN46+Data!AN47+Data!AN48+Data!AN49+Data!AN50+Data!AN51+Data!AN52)/(Data!AP41+Data!AP42+Data!AP43+Data!AP44+Data!AP45+Data!AP46+Data!AP47+Data!AP48+Data!AP49+Data!AP50+Data!AP51+Data!AP52)</f>
        <v>0.0321925296266222</v>
      </c>
      <c r="AF52" s="17" t="n">
        <f aca="false">(Data!AO41+Data!AO42+Data!AO43+Data!AO44+Data!AO45+Data!AO46+Data!AO47+Data!AO48+Data!AO49+Data!AO50+Data!AO51+Data!AO52)/(Data!AP41+Data!AP42+Data!AP43+Data!AP44+Data!AP45+Data!AP46+Data!AP47+Data!AP48+Data!AP49+Data!AP50+Data!AP51+Data!AP52)</f>
        <v>-0.0390283426350194</v>
      </c>
    </row>
    <row r="53" customFormat="false" ht="15" hidden="false" customHeight="false" outlineLevel="0" collapsed="false">
      <c r="B53" s="14" t="str">
        <f aca="false">Data!B53</f>
        <v>2019-11</v>
      </c>
      <c r="C53" s="17" t="n">
        <f aca="false">(Data!D42+Data!E42+Data!F42+Data!G42+Data!H42+Data!I42+Data!J42+Data!K42+Data!L42+Data!M42+Data!N42+Data!O42+Data!P42+Data!Q42+Data!R42+Data!S42+Data!D43+Data!E43+Data!F43+Data!G43+Data!H43+Data!I43+Data!J43+Data!K43+Data!L43+Data!M43+Data!N43+Data!O43+Data!P43+Data!Q43+Data!R43+Data!S43+Data!D44+Data!E44+Data!F44+Data!G44+Data!H44+Data!I44+Data!J44+Data!K44+Data!L44+Data!M44+Data!N44+Data!O44+Data!P44+Data!Q44+Data!R44+Data!S44+Data!D45+Data!E45+Data!F45+Data!G45+Data!H45+Data!I45+Data!J45+Data!K45+Data!L45+Data!M45+Data!N45+Data!O45+Data!P45+Data!Q45+Data!R45+Data!S45+Data!D46+Data!E46+Data!F46+Data!G46+Data!H46+Data!I46+Data!J46+Data!K46+Data!L46+Data!M46+Data!N46+Data!O46+Data!P46+Data!Q46+Data!R46+Data!S46+Data!D47+Data!E47+Data!F47+Data!G47+Data!H47+Data!I47+Data!J47+Data!K47+Data!L47+Data!M47+Data!N47+Data!O47+Data!P47+Data!Q47+Data!R47+Data!S47+Data!D48+Data!E48+Data!F48+Data!G48+Data!H48+Data!I48+Data!J48+Data!K48+Data!L48+Data!M48+Data!N48+Data!O48+Data!P48+Data!Q48+Data!R48+Data!S48+Data!D49+Data!E49+Data!F49+Data!G49+Data!H49+Data!I49+Data!J49+Data!K49+Data!L49+Data!M49+Data!N49+Data!O49+Data!P49+Data!Q49+Data!R49+Data!S49+Data!D50+Data!E50+Data!F50+Data!G50+Data!H50+Data!I50+Data!J50+Data!K50+Data!L50+Data!M50+Data!N50+Data!O50+Data!P50+Data!Q50+Data!R50+Data!S50+Data!D51+Data!E51+Data!F51+Data!G51+Data!H51+Data!I51+Data!J51+Data!K51+Data!L51+Data!M51+Data!N51+Data!O51+Data!P51+Data!Q51+Data!R51+Data!S51+Data!D52+Data!E52+Data!F52+Data!G52+Data!H52+Data!I52+Data!J52+Data!K52+Data!L52+Data!M52+Data!N52+Data!O52+Data!P52+Data!Q52+Data!R52+Data!S52+Data!D53+Data!E53+Data!F53+Data!G53+Data!H53+Data!I53+Data!J53+Data!K53+Data!L53+Data!M53+Data!N53+Data!O53+Data!P53+Data!Q53+Data!R53+Data!S53)/(Data!AP42+Data!AP43+Data!AP44+Data!AP45+Data!AP46+Data!AP47+Data!AP48+Data!AP49+Data!AP50+Data!AP51+Data!AP52+Data!AP53)</f>
        <v>0.181742044951448</v>
      </c>
      <c r="D53" s="18" t="n">
        <f aca="false">(Data!D42+Data!E42+Data!G42+Data!H42+Data!I42+Data!J42+Data!K42+Data!L42+Data!M42+Data!D43+Data!E43+Data!G43+Data!H43+Data!I43+Data!J43+Data!K43+Data!L43+Data!M43+Data!D44+Data!E44+Data!G44+Data!H44+Data!I44+Data!J44+Data!K44+Data!L44+Data!M44+Data!D45+Data!E45+Data!G45+Data!H45+Data!I45+Data!J45+Data!K45+Data!L45+Data!M45+Data!D46+Data!E46+Data!G46+Data!H46+Data!I46+Data!J46+Data!K46+Data!L46+Data!M46+Data!D47+Data!E47+Data!G47+Data!H47+Data!I47+Data!J47+Data!K47+Data!L47+Data!M47+Data!D48+Data!E48+Data!G48+Data!H48+Data!I48+Data!J48+Data!K48+Data!L48+Data!M48+Data!D49+Data!E49+Data!G49+Data!H49+Data!I49+Data!J49+Data!K49+Data!L49+Data!M49+Data!D50+Data!E50+Data!G50+Data!H50+Data!I50+Data!J50+Data!K50+Data!L50+Data!M50+Data!D51+Data!E51+Data!G51+Data!H51+Data!I51+Data!J51+Data!K51+Data!L51+Data!M51+Data!D52+Data!E52+Data!G52+Data!H52+Data!I52+Data!J52+Data!K52+Data!L52+Data!M52+Data!D53+Data!E53+Data!G53+Data!H53+Data!I53+Data!J53+Data!K53+Data!L53+Data!M53)/(Data!AP42+Data!AP43+Data!AP44+Data!AP45+Data!AP46+Data!AP47+Data!AP48+Data!AP49+Data!AP50+Data!AP51+Data!AP52+Data!AP53)</f>
        <v>0.10112545134206</v>
      </c>
      <c r="E53" s="18" t="n">
        <f aca="false">(Data!D42+Data!D43+Data!D44+Data!D45+Data!D46+Data!D47+Data!D48+Data!D49+Data!D50+Data!D51+Data!D52+Data!D53)/(Data!AP42+Data!AP43+Data!AP44+Data!AP45+Data!AP46+Data!AP47+Data!AP48+Data!AP49+Data!AP50+Data!AP51+Data!AP52+Data!AP53)</f>
        <v>0.0322251712854851</v>
      </c>
      <c r="F53" s="18" t="n">
        <f aca="false">(Data!E42+Data!E43+Data!E44+Data!E45+Data!E46+Data!E47+Data!E48+Data!E49+Data!E50+Data!E51+Data!E52+Data!E53)/(Data!AP42+Data!AP43+Data!AP44+Data!AP45+Data!AP46+Data!AP47+Data!AP48+Data!AP49+Data!AP50+Data!AP51+Data!AP52+Data!AP53)</f>
        <v>0.0166069352567672</v>
      </c>
      <c r="G53" s="18" t="n">
        <f aca="false">(Data!K42+Data!K43+Data!K44+Data!K45+Data!K46+Data!K47+Data!K48+Data!K49+Data!K50+Data!K51+Data!K52+Data!K53)/(Data!AP42+Data!AP43+Data!AP44+Data!AP45+Data!AP46+Data!AP47+Data!AP48+Data!AP49+Data!AP50+Data!AP51+Data!AP52+Data!AP53)</f>
        <v>0.0164869011783655</v>
      </c>
      <c r="H53" s="18" t="n">
        <f aca="false">(Data!L42+Data!L43+Data!L44+Data!L45+Data!L46+Data!L47+Data!L48+Data!L49+Data!L50+Data!L51+Data!L52+Data!L53)/(Data!AP42+Data!AP43+Data!AP44+Data!AP45+Data!AP46+Data!AP47+Data!AP48+Data!AP49+Data!AP50+Data!AP51+Data!AP52+Data!AP53)</f>
        <v>0.00608717547032202</v>
      </c>
      <c r="I53" s="18" t="n">
        <f aca="false">(Data!G42+Data!G43+Data!G44+Data!G45+Data!G46+Data!G47+Data!G48+Data!G49+Data!G50+Data!G51+Data!G52+Data!G53)/(Data!AP42+Data!AP43+Data!AP44+Data!AP45+Data!AP46+Data!AP47+Data!AP48+Data!AP49+Data!AP50+Data!AP51+Data!AP52+Data!AP53)</f>
        <v>0.0158508739610196</v>
      </c>
      <c r="J53" s="18" t="n">
        <f aca="false">(Data!H42+Data!I42+Data!J42+Data!M42+Data!H43+Data!I43+Data!J43+Data!M43+Data!H44+Data!I44+Data!J44+Data!M44+Data!H45+Data!I45+Data!J45+Data!M45+Data!H46+Data!I46+Data!J46+Data!M46+Data!H47+Data!I47+Data!J47+Data!M47+Data!H48+Data!I48+Data!J48+Data!M48+Data!H49+Data!I49+Data!J49+Data!M49+Data!H50+Data!I50+Data!J50+Data!M50+Data!H51+Data!I51+Data!J51+Data!M51+Data!H52+Data!I52+Data!J52+Data!M52+Data!H53+Data!I53+Data!J53+Data!M53)/(Data!AP42+Data!AP43+Data!AP44+Data!AP45+Data!AP46+Data!AP47+Data!AP48+Data!AP49+Data!AP50+Data!AP51+Data!AP52+Data!AP53)</f>
        <v>0.0138683941901004</v>
      </c>
      <c r="K53" s="18" t="n">
        <f aca="false">(Data!F42+Data!F43+Data!F44+Data!F45+Data!F46+Data!F47+Data!F48+Data!F49+Data!F50+Data!F51+Data!F52+Data!F53)/(Data!AP42+Data!AP43+Data!AP44+Data!AP45+Data!AP46+Data!AP47+Data!AP48+Data!AP49+Data!AP50+Data!AP51+Data!AP52+Data!AP53)</f>
        <v>0.0568224740975205</v>
      </c>
      <c r="L53" s="18" t="n">
        <f aca="false">(Data!N42+Data!O42+Data!P42+Data!Q42+Data!R42+Data!S42+Data!N43+Data!O43+Data!P43+Data!Q43+Data!R43+Data!S43+Data!N44+Data!O44+Data!P44+Data!Q44+Data!R44+Data!S44+Data!N45+Data!O45+Data!P45+Data!Q45+Data!R45+Data!S45+Data!N46+Data!O46+Data!P46+Data!Q46+Data!R46+Data!S46+Data!N47+Data!O47+Data!P47+Data!Q47+Data!R47+Data!S47+Data!N48+Data!O48+Data!P48+Data!Q48+Data!R48+Data!S48+Data!N49+Data!O49+Data!P49+Data!Q49+Data!R49+Data!S49+Data!N50+Data!O50+Data!P50+Data!Q50+Data!R50+Data!S50+Data!N51+Data!O51+Data!P51+Data!Q51+Data!R51+Data!S51+Data!N52+Data!O52+Data!P52+Data!Q52+Data!R52+Data!S52+Data!N53+Data!O53+Data!P53+Data!Q53+Data!R53+Data!S53)/(Data!AP42+Data!AP43+Data!AP44+Data!AP45+Data!AP46+Data!AP47+Data!AP48+Data!AP49+Data!AP50+Data!AP51+Data!AP52+Data!AP53)</f>
        <v>0.0237941195118673</v>
      </c>
      <c r="M53" s="17" t="n">
        <f aca="false">(Data!T42+Data!U42+Data!V42+Data!W42+Data!X42+Data!Y42+Data!Z42+Data!AA42+Data!AB42+Data!AC42+Data!AD42+Data!AE42+Data!AF42+Data!AG42+Data!AH42+Data!AI42+Data!AJ42+Data!AK42+Data!AL42+Data!T43+Data!U43+Data!V43+Data!W43+Data!X43+Data!Y43+Data!Z43+Data!AA43+Data!AB43+Data!AC43+Data!AD43+Data!AE43+Data!AF43+Data!AG43+Data!AH43+Data!AI43+Data!AJ43+Data!AK43+Data!AL43+Data!T44+Data!U44+Data!V44+Data!W44+Data!X44+Data!Y44+Data!Z44+Data!AA44+Data!AB44+Data!AC44+Data!AD44+Data!AE44+Data!AF44+Data!AG44+Data!AH44+Data!AI44+Data!AJ44+Data!AK44+Data!AL44+Data!T45+Data!U45+Data!V45+Data!W45+Data!X45+Data!Y45+Data!Z45+Data!AA45+Data!AB45+Data!AC45+Data!AD45+Data!AE45+Data!AF45+Data!AG45+Data!AH45+Data!AI45+Data!AJ45+Data!AK45+Data!AL45+Data!T46+Data!U46+Data!V46+Data!W46+Data!X46+Data!Y46+Data!Z46+Data!AA46+Data!AB46+Data!AC46+Data!AD46+Data!AE46+Data!AF46+Data!AG46+Data!AH46+Data!AI46+Data!AJ46+Data!AK46+Data!AL46+Data!T47+Data!U47+Data!V47+Data!W47+Data!X47+Data!Y47+Data!Z47+Data!AA47+Data!AB47+Data!AC47+Data!AD47+Data!AE47+Data!AF47+Data!AG47+Data!AH47+Data!AI47+Data!AJ47+Data!AK47+Data!AL47+Data!T48+Data!U48+Data!V48+Data!W48+Data!X48+Data!Y48+Data!Z48+Data!AA48+Data!AB48+Data!AC48+Data!AD48+Data!AE48+Data!AF48+Data!AG48+Data!AH48+Data!AI48+Data!AJ48+Data!AK48+Data!AL48+Data!T49+Data!U49+Data!V49+Data!W49+Data!X49+Data!Y49+Data!Z49+Data!AA49+Data!AB49+Data!AC49+Data!AD49+Data!AE49+Data!AF49+Data!AG49+Data!AH49+Data!AI49+Data!AJ49+Data!AK49+Data!AL49+Data!T50+Data!U50+Data!V50+Data!W50+Data!X50+Data!Y50+Data!Z50+Data!AA50+Data!AB50+Data!AC50+Data!AD50+Data!AE50+Data!AF50+Data!AG50+Data!AH50+Data!AI50+Data!AJ50+Data!AK50+Data!AL50+Data!T51+Data!U51+Data!V51+Data!W51+Data!X51+Data!Y51+Data!Z51+Data!AA51+Data!AB51+Data!AC51+Data!AD51+Data!AE51+Data!AF51+Data!AG51+Data!AH51+Data!AI51+Data!AJ51+Data!AK51+Data!AL51+Data!T52+Data!U52+Data!V52+Data!W52+Data!X52+Data!Y52+Data!Z52+Data!AA52+Data!AB52+Data!AC52+Data!AD52+Data!AE52+Data!AF52+Data!AG52+Data!AH52+Data!AI52+Data!AJ52+Data!AK52+Data!AL52+Data!T53+Data!U53+Data!V53+Data!W53+Data!X53+Data!Y53+Data!Z53+Data!AA53+Data!AB53+Data!AC53+Data!AD53+Data!AE53+Data!AF53+Data!AG53+Data!AH53+Data!AI53+Data!AJ53+Data!AK53+Data!AL53)/(Data!AP42+Data!AP43+Data!AP44+Data!AP45+Data!AP46+Data!AP47+Data!AP48+Data!AP49+Data!AP50+Data!AP51+Data!AP52+Data!AP53)</f>
        <v>0.187029153022199</v>
      </c>
      <c r="N53" s="18" t="n">
        <f aca="false">(Data!T42+Data!U42+Data!V42+Data!W42+Data!T43+Data!U43+Data!V43+Data!W43+Data!T44+Data!U44+Data!V44+Data!W44+Data!T45+Data!U45+Data!V45+Data!W45+Data!T46+Data!U46+Data!V46+Data!W46+Data!T47+Data!U47+Data!V47+Data!W47+Data!T48+Data!U48+Data!V48+Data!W48+Data!T49+Data!U49+Data!V49+Data!W49+Data!T50+Data!U50+Data!V50+Data!W50+Data!T51+Data!U51+Data!V51+Data!W51+Data!T52+Data!U52+Data!V52+Data!W52+Data!T53+Data!U53+Data!V53+Data!W53)/(Data!AP42+Data!AP43+Data!AP44+Data!AP45+Data!AP46+Data!AP47+Data!AP48+Data!AP49+Data!AP50+Data!AP51+Data!AP52+Data!AP53)</f>
        <v>0.104749195800007</v>
      </c>
      <c r="O53" s="18" t="n">
        <f aca="false">(Data!T42+Data!T43+Data!T44+Data!T45+Data!T46+Data!T47+Data!T48+Data!T49+Data!T50+Data!T51+Data!T52+Data!T53)/(Data!AP42+Data!AP43+Data!AP44+Data!AP45+Data!AP46+Data!AP47+Data!AP48+Data!AP49+Data!AP50+Data!AP51+Data!AP52+Data!AP53)</f>
        <v>0.0766562839499795</v>
      </c>
      <c r="P53" s="18" t="n">
        <f aca="false">(Data!U42+Data!U43+Data!U44+Data!U45+Data!U46+Data!U47+Data!U48+Data!U49+Data!U50+Data!U51+Data!U52+Data!U53)/(Data!AP42+Data!AP43+Data!AP44+Data!AP45+Data!AP46+Data!AP47+Data!AP48+Data!AP49+Data!AP50+Data!AP51+Data!AP52+Data!AP53)</f>
        <v>0.0122651434903616</v>
      </c>
      <c r="Q53" s="18" t="n">
        <f aca="false">(Data!V42+Data!V43+Data!V44+Data!V45+Data!V46+Data!V47+Data!V48+Data!V49+Data!V50+Data!V51+Data!V52+Data!V53)/(Data!AP42+Data!AP43+Data!AP44+Data!AP45+Data!AP46+Data!AP47+Data!AP48+Data!AP49+Data!AP50+Data!AP51+Data!AP52+Data!AP53)</f>
        <v>0.00788145484515293</v>
      </c>
      <c r="R53" s="18" t="n">
        <f aca="false">(Data!W42+Data!W43+Data!W44+Data!W45+Data!W46+Data!W47+Data!W48+Data!W49+Data!W50+Data!W51+Data!W52+Data!W53)/(Data!AP42+Data!AP43+Data!AP44+Data!AP45+Data!AP46+Data!AP47+Data!AP48+Data!AP49+Data!AP50+Data!AP51+Data!AP52+Data!AP53)</f>
        <v>0.00794631351451297</v>
      </c>
      <c r="S53" s="18" t="n">
        <f aca="false">(Data!X42+Data!X43+Data!X44+Data!X45+Data!X46+Data!X47+Data!X48+Data!X49+Data!X50+Data!X51+Data!X52+Data!X53)/(Data!AP42+Data!AP43+Data!AP44+Data!AP45+Data!AP46+Data!AP47+Data!AP48+Data!AP49+Data!AP50+Data!AP51+Data!AP52+Data!AP53)</f>
        <v>0.00537833205285944</v>
      </c>
      <c r="T53" s="18" t="n">
        <f aca="false">(Data!Y42+Data!Z42+Data!AA42+Data!Y43+Data!Z43+Data!AA43+Data!Y44+Data!Z44+Data!AA44+Data!Y45+Data!Z45+Data!AA45+Data!Y46+Data!Z46+Data!AA46+Data!Y47+Data!Z47+Data!AA47+Data!Y48+Data!Z48+Data!AA48+Data!Y49+Data!Z49+Data!AA49+Data!Y50+Data!Z50+Data!AA50+Data!Y51+Data!Z51+Data!AA51+Data!Y52+Data!Z52+Data!AA52+Data!Y53+Data!Z53+Data!AA53)/(Data!AP42+Data!AP43+Data!AP44+Data!AP45+Data!AP46+Data!AP47+Data!AP48+Data!AP49+Data!AP50+Data!AP51+Data!AP52+Data!AP53)</f>
        <v>0.0166188715529022</v>
      </c>
      <c r="U53" s="18" t="n">
        <f aca="false">(Data!Y42+Data!Y43+Data!Y44+Data!Y45+Data!Y46+Data!Y47+Data!Y48+Data!Y49+Data!Y50+Data!Y51+Data!Y52+Data!Y53)/(Data!AP42+Data!AP43+Data!AP44+Data!AP45+Data!AP46+Data!AP47+Data!AP48+Data!AP49+Data!AP50+Data!AP51+Data!AP52+Data!AP53)</f>
        <v>0.0107840360940445</v>
      </c>
      <c r="V53" s="18" t="n">
        <f aca="false">(Data!Z42+Data!Z43+Data!Z44+Data!Z45+Data!Z46+Data!Z47+Data!Z48+Data!Z49+Data!Z50+Data!Z51+Data!Z52+Data!Z53)/(Data!AP42+Data!AP43+Data!AP44+Data!AP45+Data!AP46+Data!AP47+Data!AP48+Data!AP49+Data!AP50+Data!AP51+Data!AP52+Data!AP53)</f>
        <v>0.00565521577364553</v>
      </c>
      <c r="W53" s="18" t="n">
        <f aca="false">(Data!AB42+Data!AB43+Data!AB44+Data!AB45+Data!AB46+Data!AB47+Data!AB48+Data!AB49+Data!AB50+Data!AB51+Data!AB52+Data!AB53)/(Data!AP42+Data!AP43+Data!AP44+Data!AP45+Data!AP46+Data!AP47+Data!AP48+Data!AP49+Data!AP50+Data!AP51+Data!AP52+Data!AP53)</f>
        <v>0.0249407709317433</v>
      </c>
      <c r="X53" s="18" t="n">
        <f aca="false">(Data!AC42+Data!AC43+Data!AC44+Data!AC45+Data!AC46+Data!AC47+Data!AC48+Data!AC49+Data!AC50+Data!AC51+Data!AC52+Data!AC53)/(Data!AP42+Data!AP43+Data!AP44+Data!AP45+Data!AP46+Data!AP47+Data!AP48+Data!AP49+Data!AP50+Data!AP51+Data!AP52+Data!AP53)</f>
        <v>0.00842975747644644</v>
      </c>
      <c r="Y53" s="18" t="n">
        <f aca="false">(Data!AD42+Data!AE42+Data!AF42+Data!AG42+Data!AH42+Data!AD43+Data!AE43+Data!AF43+Data!AG43+Data!AH43+Data!AD44+Data!AE44+Data!AF44+Data!AG44+Data!AH44+Data!AD45+Data!AE45+Data!AF45+Data!AG45+Data!AH45+Data!AD46+Data!AE46+Data!AF46+Data!AG46+Data!AH46+Data!AD47+Data!AE47+Data!AF47+Data!AG47+Data!AH47+Data!AD48+Data!AE48+Data!AF48+Data!AG48+Data!AH48+Data!AD49+Data!AE49+Data!AF49+Data!AG49+Data!AH49+Data!AD50+Data!AE50+Data!AF50+Data!AG50+Data!AH50+Data!AD51+Data!AE51+Data!AF51+Data!AG51+Data!AH51+Data!AD52+Data!AE52+Data!AF52+Data!AG52+Data!AH52+Data!AD53+Data!AE53+Data!AF53+Data!AG53+Data!AH53)/(Data!AP42+Data!AP43+Data!AP44+Data!AP45+Data!AP46+Data!AP47+Data!AP48+Data!AP49+Data!AP50+Data!AP51+Data!AP52+Data!AP53)</f>
        <v>0.00636108710130743</v>
      </c>
      <c r="Z53" s="18" t="n">
        <f aca="false">(Data!AI42+Data!AI43+Data!AI44+Data!AI45+Data!AI46+Data!AI47+Data!AI48+Data!AI49+Data!AI50+Data!AI51+Data!AI52+Data!AI53)/(Data!AP42+Data!AP43+Data!AP44+Data!AP45+Data!AP46+Data!AP47+Data!AP48+Data!AP49+Data!AP50+Data!AP51+Data!AP52+Data!AP53)</f>
        <v>0.00651544402321381</v>
      </c>
      <c r="AA53" s="18" t="n">
        <f aca="false">(Data!AJ42+Data!AJ43+Data!AJ44+Data!AJ45+Data!AJ46+Data!AJ47+Data!AJ48+Data!AJ49+Data!AJ50+Data!AJ51+Data!AJ52+Data!AJ53)/(Data!AP42+Data!AP43+Data!AP44+Data!AP45+Data!AP46+Data!AP47+Data!AP48+Data!AP49+Data!AP50+Data!AP51+Data!AP52+Data!AP53)</f>
        <v>-0.00025138127281895</v>
      </c>
      <c r="AB53" s="18" t="n">
        <f aca="false">(Data!AK42+Data!AK43+Data!AK44+Data!AK45+Data!AK46+Data!AK47+Data!AK48+Data!AK49+Data!AK50+Data!AK51+Data!AK52+Data!AK53)/(Data!AP42+Data!AP43+Data!AP44+Data!AP45+Data!AP46+Data!AP47+Data!AP48+Data!AP49+Data!AP50+Data!AP51+Data!AP52+Data!AP53)</f>
        <v>0.00250379390934526</v>
      </c>
      <c r="AC53" s="18" t="n">
        <f aca="false">(Data!AL42+Data!AL43+Data!AL44+Data!AL45+Data!AL46+Data!AL47+Data!AL48+Data!AL49+Data!AL50+Data!AL51+Data!AL52+Data!AL53)/(Data!AP42+Data!AP43+Data!AP44+Data!AP45+Data!AP46+Data!AP47+Data!AP48+Data!AP49+Data!AP50+Data!AP51+Data!AP52+Data!AP53)</f>
        <v>0.0117832814471931</v>
      </c>
      <c r="AD53" s="17" t="n">
        <f aca="false">(Data!AM42+Data!AM43+Data!AM44+Data!AM45+Data!AM46+Data!AM47+Data!AM48+Data!AM49+Data!AM50+Data!AM51+Data!AM52+Data!AM53)/(Data!AP42+Data!AP43+Data!AP44+Data!AP45+Data!AP46+Data!AP47+Data!AP48+Data!AP49+Data!AP50+Data!AP51+Data!AP52+Data!AP53)</f>
        <v>-0.00528710807075142</v>
      </c>
      <c r="AE53" s="18" t="n">
        <f aca="false">(Data!AN42+Data!AN43+Data!AN44+Data!AN45+Data!AN46+Data!AN47+Data!AN48+Data!AN49+Data!AN50+Data!AN51+Data!AN52+Data!AN53)/(Data!AP42+Data!AP43+Data!AP44+Data!AP45+Data!AP46+Data!AP47+Data!AP48+Data!AP49+Data!AP50+Data!AP51+Data!AP52+Data!AP53)</f>
        <v>0.0324285197521704</v>
      </c>
      <c r="AF53" s="17" t="n">
        <f aca="false">(Data!AO42+Data!AO43+Data!AO44+Data!AO45+Data!AO46+Data!AO47+Data!AO48+Data!AO49+Data!AO50+Data!AO51+Data!AO52+Data!AO53)/(Data!AP42+Data!AP43+Data!AP44+Data!AP45+Data!AP46+Data!AP47+Data!AP48+Data!AP49+Data!AP50+Data!AP51+Data!AP52+Data!AP53)</f>
        <v>-0.0377156757598541</v>
      </c>
    </row>
    <row r="54" customFormat="false" ht="15" hidden="false" customHeight="false" outlineLevel="0" collapsed="false">
      <c r="B54" s="14" t="str">
        <f aca="false">Data!B54</f>
        <v>2019-12</v>
      </c>
      <c r="C54" s="17" t="n">
        <f aca="false">(Data!D43+Data!E43+Data!F43+Data!G43+Data!H43+Data!I43+Data!J43+Data!K43+Data!L43+Data!M43+Data!N43+Data!O43+Data!P43+Data!Q43+Data!R43+Data!S43+Data!D44+Data!E44+Data!F44+Data!G44+Data!H44+Data!I44+Data!J44+Data!K44+Data!L44+Data!M44+Data!N44+Data!O44+Data!P44+Data!Q44+Data!R44+Data!S44+Data!D45+Data!E45+Data!F45+Data!G45+Data!H45+Data!I45+Data!J45+Data!K45+Data!L45+Data!M45+Data!N45+Data!O45+Data!P45+Data!Q45+Data!R45+Data!S45+Data!D46+Data!E46+Data!F46+Data!G46+Data!H46+Data!I46+Data!J46+Data!K46+Data!L46+Data!M46+Data!N46+Data!O46+Data!P46+Data!Q46+Data!R46+Data!S46+Data!D47+Data!E47+Data!F47+Data!G47+Data!H47+Data!I47+Data!J47+Data!K47+Data!L47+Data!M47+Data!N47+Data!O47+Data!P47+Data!Q47+Data!R47+Data!S47+Data!D48+Data!E48+Data!F48+Data!G48+Data!H48+Data!I48+Data!J48+Data!K48+Data!L48+Data!M48+Data!N48+Data!O48+Data!P48+Data!Q48+Data!R48+Data!S48+Data!D49+Data!E49+Data!F49+Data!G49+Data!H49+Data!I49+Data!J49+Data!K49+Data!L49+Data!M49+Data!N49+Data!O49+Data!P49+Data!Q49+Data!R49+Data!S49+Data!D50+Data!E50+Data!F50+Data!G50+Data!H50+Data!I50+Data!J50+Data!K50+Data!L50+Data!M50+Data!N50+Data!O50+Data!P50+Data!Q50+Data!R50+Data!S50+Data!D51+Data!E51+Data!F51+Data!G51+Data!H51+Data!I51+Data!J51+Data!K51+Data!L51+Data!M51+Data!N51+Data!O51+Data!P51+Data!Q51+Data!R51+Data!S51+Data!D52+Data!E52+Data!F52+Data!G52+Data!H52+Data!I52+Data!J52+Data!K52+Data!L52+Data!M52+Data!N52+Data!O52+Data!P52+Data!Q52+Data!R52+Data!S52+Data!D53+Data!E53+Data!F53+Data!G53+Data!H53+Data!I53+Data!J53+Data!K53+Data!L53+Data!M53+Data!N53+Data!O53+Data!P53+Data!Q53+Data!R53+Data!S53+Data!D54+Data!E54+Data!F54+Data!G54+Data!H54+Data!I54+Data!J54+Data!K54+Data!L54+Data!M54+Data!N54+Data!O54+Data!P54+Data!Q54+Data!R54+Data!S54)/(Data!AP43+Data!AP44+Data!AP45+Data!AP46+Data!AP47+Data!AP48+Data!AP49+Data!AP50+Data!AP51+Data!AP52+Data!AP53+Data!AP54)</f>
        <v>0.182623939499177</v>
      </c>
      <c r="D54" s="18" t="n">
        <f aca="false">(Data!D43+Data!E43+Data!G43+Data!H43+Data!I43+Data!J43+Data!K43+Data!L43+Data!M43+Data!D44+Data!E44+Data!G44+Data!H44+Data!I44+Data!J44+Data!K44+Data!L44+Data!M44+Data!D45+Data!E45+Data!G45+Data!H45+Data!I45+Data!J45+Data!K45+Data!L45+Data!M45+Data!D46+Data!E46+Data!G46+Data!H46+Data!I46+Data!J46+Data!K46+Data!L46+Data!M46+Data!D47+Data!E47+Data!G47+Data!H47+Data!I47+Data!J47+Data!K47+Data!L47+Data!M47+Data!D48+Data!E48+Data!G48+Data!H48+Data!I48+Data!J48+Data!K48+Data!L48+Data!M48+Data!D49+Data!E49+Data!G49+Data!H49+Data!I49+Data!J49+Data!K49+Data!L49+Data!M49+Data!D50+Data!E50+Data!G50+Data!H50+Data!I50+Data!J50+Data!K50+Data!L50+Data!M50+Data!D51+Data!E51+Data!G51+Data!H51+Data!I51+Data!J51+Data!K51+Data!L51+Data!M51+Data!D52+Data!E52+Data!G52+Data!H52+Data!I52+Data!J52+Data!K52+Data!L52+Data!M52+Data!D53+Data!E53+Data!G53+Data!H53+Data!I53+Data!J53+Data!K53+Data!L53+Data!M53+Data!D54+Data!E54+Data!G54+Data!H54+Data!I54+Data!J54+Data!K54+Data!L54+Data!M54)/(Data!AP43+Data!AP44+Data!AP45+Data!AP46+Data!AP47+Data!AP48+Data!AP49+Data!AP50+Data!AP51+Data!AP52+Data!AP53+Data!AP54)</f>
        <v>0.10248021539541</v>
      </c>
      <c r="E54" s="18" t="n">
        <f aca="false">(Data!D43+Data!D44+Data!D45+Data!D46+Data!D47+Data!D48+Data!D49+Data!D50+Data!D51+Data!D52+Data!D53+Data!D54)/(Data!AP43+Data!AP44+Data!AP45+Data!AP46+Data!AP47+Data!AP48+Data!AP49+Data!AP50+Data!AP51+Data!AP52+Data!AP53+Data!AP54)</f>
        <v>0.0318090208761854</v>
      </c>
      <c r="F54" s="18" t="n">
        <f aca="false">(Data!E43+Data!E44+Data!E45+Data!E46+Data!E47+Data!E48+Data!E49+Data!E50+Data!E51+Data!E52+Data!E53+Data!E54)/(Data!AP43+Data!AP44+Data!AP45+Data!AP46+Data!AP47+Data!AP48+Data!AP49+Data!AP50+Data!AP51+Data!AP52+Data!AP53+Data!AP54)</f>
        <v>0.0163255287609913</v>
      </c>
      <c r="G54" s="18" t="n">
        <f aca="false">(Data!K43+Data!K44+Data!K45+Data!K46+Data!K47+Data!K48+Data!K49+Data!K50+Data!K51+Data!K52+Data!K53+Data!K54)/(Data!AP43+Data!AP44+Data!AP45+Data!AP46+Data!AP47+Data!AP48+Data!AP49+Data!AP50+Data!AP51+Data!AP52+Data!AP53+Data!AP54)</f>
        <v>0.0181236640870713</v>
      </c>
      <c r="H54" s="18" t="n">
        <f aca="false">(Data!L43+Data!L44+Data!L45+Data!L46+Data!L47+Data!L48+Data!L49+Data!L50+Data!L51+Data!L52+Data!L53+Data!L54)/(Data!AP43+Data!AP44+Data!AP45+Data!AP46+Data!AP47+Data!AP48+Data!AP49+Data!AP50+Data!AP51+Data!AP52+Data!AP53+Data!AP54)</f>
        <v>0.00607604143849394</v>
      </c>
      <c r="I54" s="18" t="n">
        <f aca="false">(Data!G43+Data!G44+Data!G45+Data!G46+Data!G47+Data!G48+Data!G49+Data!G50+Data!G51+Data!G52+Data!G53+Data!G54)/(Data!AP43+Data!AP44+Data!AP45+Data!AP46+Data!AP47+Data!AP48+Data!AP49+Data!AP50+Data!AP51+Data!AP52+Data!AP53+Data!AP54)</f>
        <v>0.0159248504958893</v>
      </c>
      <c r="J54" s="18" t="n">
        <f aca="false">(Data!H43+Data!I43+Data!J43+Data!M43+Data!H44+Data!I44+Data!J44+Data!M44+Data!H45+Data!I45+Data!J45+Data!M45+Data!H46+Data!I46+Data!J46+Data!M46+Data!H47+Data!I47+Data!J47+Data!M47+Data!H48+Data!I48+Data!J48+Data!M48+Data!H49+Data!I49+Data!J49+Data!M49+Data!H50+Data!I50+Data!J50+Data!M50+Data!H51+Data!I51+Data!J51+Data!M51+Data!H52+Data!I52+Data!J52+Data!M52+Data!H53+Data!I53+Data!J53+Data!M53+Data!H54+Data!I54+Data!J54+Data!M54)/(Data!AP43+Data!AP44+Data!AP45+Data!AP46+Data!AP47+Data!AP48+Data!AP49+Data!AP50+Data!AP51+Data!AP52+Data!AP53+Data!AP54)</f>
        <v>0.0142211097367789</v>
      </c>
      <c r="K54" s="18" t="n">
        <f aca="false">(Data!F43+Data!F44+Data!F45+Data!F46+Data!F47+Data!F48+Data!F49+Data!F50+Data!F51+Data!F52+Data!F53+Data!F54)/(Data!AP43+Data!AP44+Data!AP45+Data!AP46+Data!AP47+Data!AP48+Data!AP49+Data!AP50+Data!AP51+Data!AP52+Data!AP53+Data!AP54)</f>
        <v>0.0567962600420496</v>
      </c>
      <c r="L54" s="18" t="n">
        <f aca="false">(Data!N43+Data!O43+Data!P43+Data!Q43+Data!R43+Data!S43+Data!N44+Data!O44+Data!P44+Data!Q44+Data!R44+Data!S44+Data!N45+Data!O45+Data!P45+Data!Q45+Data!R45+Data!S45+Data!N46+Data!O46+Data!P46+Data!Q46+Data!R46+Data!S46+Data!N47+Data!O47+Data!P47+Data!Q47+Data!R47+Data!S47+Data!N48+Data!O48+Data!P48+Data!Q48+Data!R48+Data!S48+Data!N49+Data!O49+Data!P49+Data!Q49+Data!R49+Data!S49+Data!N50+Data!O50+Data!P50+Data!Q50+Data!R50+Data!S50+Data!N51+Data!O51+Data!P51+Data!Q51+Data!R51+Data!S51+Data!N52+Data!O52+Data!P52+Data!Q52+Data!R52+Data!S52+Data!N53+Data!O53+Data!P53+Data!Q53+Data!R53+Data!S53+Data!N54+Data!O54+Data!P54+Data!Q54+Data!R54+Data!S54)/(Data!AP43+Data!AP44+Data!AP45+Data!AP46+Data!AP47+Data!AP48+Data!AP49+Data!AP50+Data!AP51+Data!AP52+Data!AP53+Data!AP54)</f>
        <v>0.0233474640617173</v>
      </c>
      <c r="M54" s="17" t="n">
        <f aca="false">(Data!T43+Data!U43+Data!V43+Data!W43+Data!X43+Data!Y43+Data!Z43+Data!AA43+Data!AB43+Data!AC43+Data!AD43+Data!AE43+Data!AF43+Data!AG43+Data!AH43+Data!AI43+Data!AJ43+Data!AK43+Data!AL43+Data!T44+Data!U44+Data!V44+Data!W44+Data!X44+Data!Y44+Data!Z44+Data!AA44+Data!AB44+Data!AC44+Data!AD44+Data!AE44+Data!AF44+Data!AG44+Data!AH44+Data!AI44+Data!AJ44+Data!AK44+Data!AL44+Data!T45+Data!U45+Data!V45+Data!W45+Data!X45+Data!Y45+Data!Z45+Data!AA45+Data!AB45+Data!AC45+Data!AD45+Data!AE45+Data!AF45+Data!AG45+Data!AH45+Data!AI45+Data!AJ45+Data!AK45+Data!AL45+Data!T46+Data!U46+Data!V46+Data!W46+Data!X46+Data!Y46+Data!Z46+Data!AA46+Data!AB46+Data!AC46+Data!AD46+Data!AE46+Data!AF46+Data!AG46+Data!AH46+Data!AI46+Data!AJ46+Data!AK46+Data!AL46+Data!T47+Data!U47+Data!V47+Data!W47+Data!X47+Data!Y47+Data!Z47+Data!AA47+Data!AB47+Data!AC47+Data!AD47+Data!AE47+Data!AF47+Data!AG47+Data!AH47+Data!AI47+Data!AJ47+Data!AK47+Data!AL47+Data!T48+Data!U48+Data!V48+Data!W48+Data!X48+Data!Y48+Data!Z48+Data!AA48+Data!AB48+Data!AC48+Data!AD48+Data!AE48+Data!AF48+Data!AG48+Data!AH48+Data!AI48+Data!AJ48+Data!AK48+Data!AL48+Data!T49+Data!U49+Data!V49+Data!W49+Data!X49+Data!Y49+Data!Z49+Data!AA49+Data!AB49+Data!AC49+Data!AD49+Data!AE49+Data!AF49+Data!AG49+Data!AH49+Data!AI49+Data!AJ49+Data!AK49+Data!AL49+Data!T50+Data!U50+Data!V50+Data!W50+Data!X50+Data!Y50+Data!Z50+Data!AA50+Data!AB50+Data!AC50+Data!AD50+Data!AE50+Data!AF50+Data!AG50+Data!AH50+Data!AI50+Data!AJ50+Data!AK50+Data!AL50+Data!T51+Data!U51+Data!V51+Data!W51+Data!X51+Data!Y51+Data!Z51+Data!AA51+Data!AB51+Data!AC51+Data!AD51+Data!AE51+Data!AF51+Data!AG51+Data!AH51+Data!AI51+Data!AJ51+Data!AK51+Data!AL51+Data!T52+Data!U52+Data!V52+Data!W52+Data!X52+Data!Y52+Data!Z52+Data!AA52+Data!AB52+Data!AC52+Data!AD52+Data!AE52+Data!AF52+Data!AG52+Data!AH52+Data!AI52+Data!AJ52+Data!AK52+Data!AL52+Data!T53+Data!U53+Data!V53+Data!W53+Data!X53+Data!Y53+Data!Z53+Data!AA53+Data!AB53+Data!AC53+Data!AD53+Data!AE53+Data!AF53+Data!AG53+Data!AH53+Data!AI53+Data!AJ53+Data!AK53+Data!AL53+Data!T54+Data!U54+Data!V54+Data!W54+Data!X54+Data!Y54+Data!Z54+Data!AA54+Data!AB54+Data!AC54+Data!AD54+Data!AE54+Data!AF54+Data!AG54+Data!AH54+Data!AI54+Data!AJ54+Data!AK54+Data!AL54)/(Data!AP43+Data!AP44+Data!AP45+Data!AP46+Data!AP47+Data!AP48+Data!AP49+Data!AP50+Data!AP51+Data!AP52+Data!AP53+Data!AP54)</f>
        <v>0.187036131740032</v>
      </c>
      <c r="N54" s="18" t="n">
        <f aca="false">(Data!T43+Data!U43+Data!V43+Data!W43+Data!T44+Data!U44+Data!V44+Data!W44+Data!T45+Data!U45+Data!V45+Data!W45+Data!T46+Data!U46+Data!V46+Data!W46+Data!T47+Data!U47+Data!V47+Data!W47+Data!T48+Data!U48+Data!V48+Data!W48+Data!T49+Data!U49+Data!V49+Data!W49+Data!T50+Data!U50+Data!V50+Data!W50+Data!T51+Data!U51+Data!V51+Data!W51+Data!T52+Data!U52+Data!V52+Data!W52+Data!T53+Data!U53+Data!V53+Data!W53+Data!T54+Data!U54+Data!V54+Data!W54)/(Data!AP43+Data!AP44+Data!AP45+Data!AP46+Data!AP47+Data!AP48+Data!AP49+Data!AP50+Data!AP51+Data!AP52+Data!AP53+Data!AP54)</f>
        <v>0.106836513064669</v>
      </c>
      <c r="O54" s="18" t="n">
        <f aca="false">(Data!T43+Data!T44+Data!T45+Data!T46+Data!T47+Data!T48+Data!T49+Data!T50+Data!T51+Data!T52+Data!T53+Data!T54)/(Data!AP43+Data!AP44+Data!AP45+Data!AP46+Data!AP47+Data!AP48+Data!AP49+Data!AP50+Data!AP51+Data!AP52+Data!AP53+Data!AP54)</f>
        <v>0.078285194809041</v>
      </c>
      <c r="P54" s="18" t="n">
        <f aca="false">(Data!U43+Data!U44+Data!U45+Data!U46+Data!U47+Data!U48+Data!U49+Data!U50+Data!U51+Data!U52+Data!U53+Data!U54)/(Data!AP43+Data!AP44+Data!AP45+Data!AP46+Data!AP47+Data!AP48+Data!AP49+Data!AP50+Data!AP51+Data!AP52+Data!AP53+Data!AP54)</f>
        <v>0.0124034460997927</v>
      </c>
      <c r="Q54" s="18" t="n">
        <f aca="false">(Data!V43+Data!V44+Data!V45+Data!V46+Data!V47+Data!V48+Data!V49+Data!V50+Data!V51+Data!V52+Data!V53+Data!V54)/(Data!AP43+Data!AP44+Data!AP45+Data!AP46+Data!AP47+Data!AP48+Data!AP49+Data!AP50+Data!AP51+Data!AP52+Data!AP53+Data!AP54)</f>
        <v>0.00830203695412021</v>
      </c>
      <c r="R54" s="18" t="n">
        <f aca="false">(Data!W43+Data!W44+Data!W45+Data!W46+Data!W47+Data!W48+Data!W49+Data!W50+Data!W51+Data!W52+Data!W53+Data!W54)/(Data!AP43+Data!AP44+Data!AP45+Data!AP46+Data!AP47+Data!AP48+Data!AP49+Data!AP50+Data!AP51+Data!AP52+Data!AP53+Data!AP54)</f>
        <v>0.00784583520171477</v>
      </c>
      <c r="S54" s="18" t="n">
        <f aca="false">(Data!X43+Data!X44+Data!X45+Data!X46+Data!X47+Data!X48+Data!X49+Data!X50+Data!X51+Data!X52+Data!X53+Data!X54)/(Data!AP43+Data!AP44+Data!AP45+Data!AP46+Data!AP47+Data!AP48+Data!AP49+Data!AP50+Data!AP51+Data!AP52+Data!AP53+Data!AP54)</f>
        <v>0.00626524804226229</v>
      </c>
      <c r="T54" s="18" t="n">
        <f aca="false">(Data!Y43+Data!Z43+Data!AA43+Data!Y44+Data!Z44+Data!AA44+Data!Y45+Data!Z45+Data!AA45+Data!Y46+Data!Z46+Data!AA46+Data!Y47+Data!Z47+Data!AA47+Data!Y48+Data!Z48+Data!AA48+Data!Y49+Data!Z49+Data!AA49+Data!Y50+Data!Z50+Data!AA50+Data!Y51+Data!Z51+Data!AA51+Data!Y52+Data!Z52+Data!AA52+Data!Y53+Data!Z53+Data!AA53+Data!Y54+Data!Z54+Data!AA54)/(Data!AP43+Data!AP44+Data!AP45+Data!AP46+Data!AP47+Data!AP48+Data!AP49+Data!AP50+Data!AP51+Data!AP52+Data!AP53+Data!AP54)</f>
        <v>0.0156973758244307</v>
      </c>
      <c r="U54" s="18" t="n">
        <f aca="false">(Data!Y43+Data!Y44+Data!Y45+Data!Y46+Data!Y47+Data!Y48+Data!Y49+Data!Y50+Data!Y51+Data!Y52+Data!Y53+Data!Y54)/(Data!AP43+Data!AP44+Data!AP45+Data!AP46+Data!AP47+Data!AP48+Data!AP49+Data!AP50+Data!AP51+Data!AP52+Data!AP53+Data!AP54)</f>
        <v>0.00993285964970437</v>
      </c>
      <c r="V54" s="18" t="n">
        <f aca="false">(Data!Z43+Data!Z44+Data!Z45+Data!Z46+Data!Z47+Data!Z48+Data!Z49+Data!Z50+Data!Z51+Data!Z52+Data!Z53+Data!Z54)/(Data!AP43+Data!AP44+Data!AP45+Data!AP46+Data!AP47+Data!AP48+Data!AP49+Data!AP50+Data!AP51+Data!AP52+Data!AP53+Data!AP54)</f>
        <v>0.00558259210020324</v>
      </c>
      <c r="W54" s="18" t="n">
        <f aca="false">(Data!AB43+Data!AB44+Data!AB45+Data!AB46+Data!AB47+Data!AB48+Data!AB49+Data!AB50+Data!AB51+Data!AB52+Data!AB53+Data!AB54)/(Data!AP43+Data!AP44+Data!AP45+Data!AP46+Data!AP47+Data!AP48+Data!AP49+Data!AP50+Data!AP51+Data!AP52+Data!AP53+Data!AP54)</f>
        <v>0.0249062500189704</v>
      </c>
      <c r="X54" s="18" t="n">
        <f aca="false">(Data!AC43+Data!AC44+Data!AC45+Data!AC46+Data!AC47+Data!AC48+Data!AC49+Data!AC50+Data!AC51+Data!AC52+Data!AC53+Data!AC54)/(Data!AP43+Data!AP44+Data!AP45+Data!AP46+Data!AP47+Data!AP48+Data!AP49+Data!AP50+Data!AP51+Data!AP52+Data!AP53+Data!AP54)</f>
        <v>0.00782973942051653</v>
      </c>
      <c r="Y54" s="18" t="n">
        <f aca="false">(Data!AD43+Data!AE43+Data!AF43+Data!AG43+Data!AH43+Data!AD44+Data!AE44+Data!AF44+Data!AG44+Data!AH44+Data!AD45+Data!AE45+Data!AF45+Data!AG45+Data!AH45+Data!AD46+Data!AE46+Data!AF46+Data!AG46+Data!AH46+Data!AD47+Data!AE47+Data!AF47+Data!AG47+Data!AH47+Data!AD48+Data!AE48+Data!AF48+Data!AG48+Data!AH48+Data!AD49+Data!AE49+Data!AF49+Data!AG49+Data!AH49+Data!AD50+Data!AE50+Data!AF50+Data!AG50+Data!AH50+Data!AD51+Data!AE51+Data!AF51+Data!AG51+Data!AH51+Data!AD52+Data!AE52+Data!AF52+Data!AG52+Data!AH52+Data!AD53+Data!AE53+Data!AF53+Data!AG53+Data!AH53+Data!AD54+Data!AE54+Data!AF54+Data!AG54+Data!AH54)/(Data!AP43+Data!AP44+Data!AP45+Data!AP46+Data!AP47+Data!AP48+Data!AP49+Data!AP50+Data!AP51+Data!AP52+Data!AP53+Data!AP54)</f>
        <v>0.00592983422714854</v>
      </c>
      <c r="Z54" s="18" t="n">
        <f aca="false">(Data!AI43+Data!AI44+Data!AI45+Data!AI46+Data!AI47+Data!AI48+Data!AI49+Data!AI50+Data!AI51+Data!AI52+Data!AI53+Data!AI54)/(Data!AP43+Data!AP44+Data!AP45+Data!AP46+Data!AP47+Data!AP48+Data!AP49+Data!AP50+Data!AP51+Data!AP52+Data!AP53+Data!AP54)</f>
        <v>0.00659328655705754</v>
      </c>
      <c r="AA54" s="18" t="n">
        <f aca="false">(Data!AJ43+Data!AJ44+Data!AJ45+Data!AJ46+Data!AJ47+Data!AJ48+Data!AJ49+Data!AJ50+Data!AJ51+Data!AJ52+Data!AJ53+Data!AJ54)/(Data!AP43+Data!AP44+Data!AP45+Data!AP46+Data!AP47+Data!AP48+Data!AP49+Data!AP50+Data!AP51+Data!AP52+Data!AP53+Data!AP54)</f>
        <v>-0.000265510811466061</v>
      </c>
      <c r="AB54" s="18" t="n">
        <f aca="false">(Data!AK43+Data!AK44+Data!AK45+Data!AK46+Data!AK47+Data!AK48+Data!AK49+Data!AK50+Data!AK51+Data!AK52+Data!AK53+Data!AK54)/(Data!AP43+Data!AP44+Data!AP45+Data!AP46+Data!AP47+Data!AP48+Data!AP49+Data!AP50+Data!AP51+Data!AP52+Data!AP53+Data!AP54)</f>
        <v>0.00227943165378296</v>
      </c>
      <c r="AC54" s="18" t="n">
        <f aca="false">(Data!AL43+Data!AL44+Data!AL45+Data!AL46+Data!AL47+Data!AL48+Data!AL49+Data!AL50+Data!AL51+Data!AL52+Data!AL53+Data!AL54)/(Data!AP43+Data!AP44+Data!AP45+Data!AP46+Data!AP47+Data!AP48+Data!AP49+Data!AP50+Data!AP51+Data!AP52+Data!AP53+Data!AP54)</f>
        <v>0.0109639637426602</v>
      </c>
      <c r="AD54" s="17" t="n">
        <f aca="false">(Data!AM43+Data!AM44+Data!AM45+Data!AM46+Data!AM47+Data!AM48+Data!AM49+Data!AM50+Data!AM51+Data!AM52+Data!AM53+Data!AM54)/(Data!AP43+Data!AP44+Data!AP45+Data!AP46+Data!AP47+Data!AP48+Data!AP49+Data!AP50+Data!AP51+Data!AP52+Data!AP53+Data!AP54)</f>
        <v>-0.00441219224085459</v>
      </c>
      <c r="AE54" s="18" t="n">
        <f aca="false">(Data!AN43+Data!AN44+Data!AN45+Data!AN46+Data!AN47+Data!AN48+Data!AN49+Data!AN50+Data!AN51+Data!AN52+Data!AN53+Data!AN54)/(Data!AP43+Data!AP44+Data!AP45+Data!AP46+Data!AP47+Data!AP48+Data!AP49+Data!AP50+Data!AP51+Data!AP52+Data!AP53+Data!AP54)</f>
        <v>0.033596348372239</v>
      </c>
      <c r="AF54" s="17" t="n">
        <f aca="false">(Data!AO43+Data!AO44+Data!AO45+Data!AO46+Data!AO47+Data!AO48+Data!AO49+Data!AO50+Data!AO51+Data!AO52+Data!AO53+Data!AO54)/(Data!AP43+Data!AP44+Data!AP45+Data!AP46+Data!AP47+Data!AP48+Data!AP49+Data!AP50+Data!AP51+Data!AP52+Data!AP53+Data!AP54)</f>
        <v>-0.0380085869986301</v>
      </c>
    </row>
    <row r="55" customFormat="false" ht="15" hidden="false" customHeight="false" outlineLevel="0" collapsed="false">
      <c r="B55" s="14" t="str">
        <f aca="false">Data!B55</f>
        <v>2020-01</v>
      </c>
      <c r="C55" s="17" t="n">
        <f aca="false">(Data!D44+Data!E44+Data!F44+Data!G44+Data!H44+Data!I44+Data!J44+Data!K44+Data!L44+Data!M44+Data!N44+Data!O44+Data!P44+Data!Q44+Data!R44+Data!S44+Data!D45+Data!E45+Data!F45+Data!G45+Data!H45+Data!I45+Data!J45+Data!K45+Data!L45+Data!M45+Data!N45+Data!O45+Data!P45+Data!Q45+Data!R45+Data!S45+Data!D46+Data!E46+Data!F46+Data!G46+Data!H46+Data!I46+Data!J46+Data!K46+Data!L46+Data!M46+Data!N46+Data!O46+Data!P46+Data!Q46+Data!R46+Data!S46+Data!D47+Data!E47+Data!F47+Data!G47+Data!H47+Data!I47+Data!J47+Data!K47+Data!L47+Data!M47+Data!N47+Data!O47+Data!P47+Data!Q47+Data!R47+Data!S47+Data!D48+Data!E48+Data!F48+Data!G48+Data!H48+Data!I48+Data!J48+Data!K48+Data!L48+Data!M48+Data!N48+Data!O48+Data!P48+Data!Q48+Data!R48+Data!S48+Data!D49+Data!E49+Data!F49+Data!G49+Data!H49+Data!I49+Data!J49+Data!K49+Data!L49+Data!M49+Data!N49+Data!O49+Data!P49+Data!Q49+Data!R49+Data!S49+Data!D50+Data!E50+Data!F50+Data!G50+Data!H50+Data!I50+Data!J50+Data!K50+Data!L50+Data!M50+Data!N50+Data!O50+Data!P50+Data!Q50+Data!R50+Data!S50+Data!D51+Data!E51+Data!F51+Data!G51+Data!H51+Data!I51+Data!J51+Data!K51+Data!L51+Data!M51+Data!N51+Data!O51+Data!P51+Data!Q51+Data!R51+Data!S51+Data!D52+Data!E52+Data!F52+Data!G52+Data!H52+Data!I52+Data!J52+Data!K52+Data!L52+Data!M52+Data!N52+Data!O52+Data!P52+Data!Q52+Data!R52+Data!S52+Data!D53+Data!E53+Data!F53+Data!G53+Data!H53+Data!I53+Data!J53+Data!K53+Data!L53+Data!M53+Data!N53+Data!O53+Data!P53+Data!Q53+Data!R53+Data!S53+Data!D54+Data!E54+Data!F54+Data!G54+Data!H54+Data!I54+Data!J54+Data!K54+Data!L54+Data!M54+Data!N54+Data!O54+Data!P54+Data!Q54+Data!R54+Data!S54+Data!D55+Data!E55+Data!F55+Data!G55+Data!H55+Data!I55+Data!J55+Data!K55+Data!L55+Data!M55+Data!N55+Data!O55+Data!P55+Data!Q55+Data!R55+Data!S55)/(Data!AP44+Data!AP45+Data!AP46+Data!AP47+Data!AP48+Data!AP49+Data!AP50+Data!AP51+Data!AP52+Data!AP53+Data!AP54+Data!AP55)</f>
        <v>0.182132174484362</v>
      </c>
      <c r="D55" s="18" t="n">
        <f aca="false">(Data!D44+Data!E44+Data!G44+Data!H44+Data!I44+Data!J44+Data!K44+Data!L44+Data!M44+Data!D45+Data!E45+Data!G45+Data!H45+Data!I45+Data!J45+Data!K45+Data!L45+Data!M45+Data!D46+Data!E46+Data!G46+Data!H46+Data!I46+Data!J46+Data!K46+Data!L46+Data!M46+Data!D47+Data!E47+Data!G47+Data!H47+Data!I47+Data!J47+Data!K47+Data!L47+Data!M47+Data!D48+Data!E48+Data!G48+Data!H48+Data!I48+Data!J48+Data!K48+Data!L48+Data!M48+Data!D49+Data!E49+Data!G49+Data!H49+Data!I49+Data!J49+Data!K49+Data!L49+Data!M49+Data!D50+Data!E50+Data!G50+Data!H50+Data!I50+Data!J50+Data!K50+Data!L50+Data!M50+Data!D51+Data!E51+Data!G51+Data!H51+Data!I51+Data!J51+Data!K51+Data!L51+Data!M51+Data!D52+Data!E52+Data!G52+Data!H52+Data!I52+Data!J52+Data!K52+Data!L52+Data!M52+Data!D53+Data!E53+Data!G53+Data!H53+Data!I53+Data!J53+Data!K53+Data!L53+Data!M53+Data!D54+Data!E54+Data!G54+Data!H54+Data!I54+Data!J54+Data!K54+Data!L54+Data!M54+Data!D55+Data!E55+Data!G55+Data!H55+Data!I55+Data!J55+Data!K55+Data!L55+Data!M55)/(Data!AP44+Data!AP45+Data!AP46+Data!AP47+Data!AP48+Data!AP49+Data!AP50+Data!AP51+Data!AP52+Data!AP53+Data!AP54+Data!AP55)</f>
        <v>0.101860738499203</v>
      </c>
      <c r="E55" s="18" t="n">
        <f aca="false">(Data!D44+Data!D45+Data!D46+Data!D47+Data!D48+Data!D49+Data!D50+Data!D51+Data!D52+Data!D53+Data!D54+Data!D55)/(Data!AP44+Data!AP45+Data!AP46+Data!AP47+Data!AP48+Data!AP49+Data!AP50+Data!AP51+Data!AP52+Data!AP53+Data!AP54+Data!AP55)</f>
        <v>0.0314347503523029</v>
      </c>
      <c r="F55" s="18" t="n">
        <f aca="false">(Data!E44+Data!E45+Data!E46+Data!E47+Data!E48+Data!E49+Data!E50+Data!E51+Data!E52+Data!E53+Data!E54+Data!E55)/(Data!AP44+Data!AP45+Data!AP46+Data!AP47+Data!AP48+Data!AP49+Data!AP50+Data!AP51+Data!AP52+Data!AP53+Data!AP54+Data!AP55)</f>
        <v>0.016301272080349</v>
      </c>
      <c r="G55" s="18" t="n">
        <f aca="false">(Data!K44+Data!K45+Data!K46+Data!K47+Data!K48+Data!K49+Data!K50+Data!K51+Data!K52+Data!K53+Data!K54+Data!K55)/(Data!AP44+Data!AP45+Data!AP46+Data!AP47+Data!AP48+Data!AP49+Data!AP50+Data!AP51+Data!AP52+Data!AP53+Data!AP54+Data!AP55)</f>
        <v>0.017963575218204</v>
      </c>
      <c r="H55" s="18" t="n">
        <f aca="false">(Data!L44+Data!L45+Data!L46+Data!L47+Data!L48+Data!L49+Data!L50+Data!L51+Data!L52+Data!L53+Data!L54+Data!L55)/(Data!AP44+Data!AP45+Data!AP46+Data!AP47+Data!AP48+Data!AP49+Data!AP50+Data!AP51+Data!AP52+Data!AP53+Data!AP54+Data!AP55)</f>
        <v>0.00607453317882263</v>
      </c>
      <c r="I55" s="18" t="n">
        <f aca="false">(Data!G44+Data!G45+Data!G46+Data!G47+Data!G48+Data!G49+Data!G50+Data!G51+Data!G52+Data!G53+Data!G54+Data!G55)/(Data!AP44+Data!AP45+Data!AP46+Data!AP47+Data!AP48+Data!AP49+Data!AP50+Data!AP51+Data!AP52+Data!AP53+Data!AP54+Data!AP55)</f>
        <v>0.0159231734304647</v>
      </c>
      <c r="J55" s="18" t="n">
        <f aca="false">(Data!H44+Data!I44+Data!J44+Data!M44+Data!H45+Data!I45+Data!J45+Data!M45+Data!H46+Data!I46+Data!J46+Data!M46+Data!H47+Data!I47+Data!J47+Data!M47+Data!H48+Data!I48+Data!J48+Data!M48+Data!H49+Data!I49+Data!J49+Data!M49+Data!H50+Data!I50+Data!J50+Data!M50+Data!H51+Data!I51+Data!J51+Data!M51+Data!H52+Data!I52+Data!J52+Data!M52+Data!H53+Data!I53+Data!J53+Data!M53+Data!H54+Data!I54+Data!J54+Data!M54+Data!H55+Data!I55+Data!J55+Data!M55)/(Data!AP44+Data!AP45+Data!AP46+Data!AP47+Data!AP48+Data!AP49+Data!AP50+Data!AP51+Data!AP52+Data!AP53+Data!AP54+Data!AP55)</f>
        <v>0.01416343423906</v>
      </c>
      <c r="K55" s="18" t="n">
        <f aca="false">(Data!F44+Data!F45+Data!F46+Data!F47+Data!F48+Data!F49+Data!F50+Data!F51+Data!F52+Data!F53+Data!F54+Data!F55)/(Data!AP44+Data!AP45+Data!AP46+Data!AP47+Data!AP48+Data!AP49+Data!AP50+Data!AP51+Data!AP52+Data!AP53+Data!AP54+Data!AP55)</f>
        <v>0.0569400199986725</v>
      </c>
      <c r="L55" s="18" t="n">
        <f aca="false">(Data!N44+Data!O44+Data!P44+Data!Q44+Data!R44+Data!S44+Data!N45+Data!O45+Data!P45+Data!Q45+Data!R45+Data!S45+Data!N46+Data!O46+Data!P46+Data!Q46+Data!R46+Data!S46+Data!N47+Data!O47+Data!P47+Data!Q47+Data!R47+Data!S47+Data!N48+Data!O48+Data!P48+Data!Q48+Data!R48+Data!S48+Data!N49+Data!O49+Data!P49+Data!Q49+Data!R49+Data!S49+Data!N50+Data!O50+Data!P50+Data!Q50+Data!R50+Data!S50+Data!N51+Data!O51+Data!P51+Data!Q51+Data!R51+Data!S51+Data!N52+Data!O52+Data!P52+Data!Q52+Data!R52+Data!S52+Data!N53+Data!O53+Data!P53+Data!Q53+Data!R53+Data!S53+Data!N54+Data!O54+Data!P54+Data!Q54+Data!R54+Data!S54+Data!N55+Data!O55+Data!P55+Data!Q55+Data!R55+Data!S55)/(Data!AP44+Data!AP45+Data!AP46+Data!AP47+Data!AP48+Data!AP49+Data!AP50+Data!AP51+Data!AP52+Data!AP53+Data!AP54+Data!AP55)</f>
        <v>0.0233314159864866</v>
      </c>
      <c r="M55" s="17" t="n">
        <f aca="false">(Data!T44+Data!U44+Data!V44+Data!W44+Data!X44+Data!Y44+Data!Z44+Data!AA44+Data!AB44+Data!AC44+Data!AD44+Data!AE44+Data!AF44+Data!AG44+Data!AH44+Data!AI44+Data!AJ44+Data!AK44+Data!AL44+Data!T45+Data!U45+Data!V45+Data!W45+Data!X45+Data!Y45+Data!Z45+Data!AA45+Data!AB45+Data!AC45+Data!AD45+Data!AE45+Data!AF45+Data!AG45+Data!AH45+Data!AI45+Data!AJ45+Data!AK45+Data!AL45+Data!T46+Data!U46+Data!V46+Data!W46+Data!X46+Data!Y46+Data!Z46+Data!AA46+Data!AB46+Data!AC46+Data!AD46+Data!AE46+Data!AF46+Data!AG46+Data!AH46+Data!AI46+Data!AJ46+Data!AK46+Data!AL46+Data!T47+Data!U47+Data!V47+Data!W47+Data!X47+Data!Y47+Data!Z47+Data!AA47+Data!AB47+Data!AC47+Data!AD47+Data!AE47+Data!AF47+Data!AG47+Data!AH47+Data!AI47+Data!AJ47+Data!AK47+Data!AL47+Data!T48+Data!U48+Data!V48+Data!W48+Data!X48+Data!Y48+Data!Z48+Data!AA48+Data!AB48+Data!AC48+Data!AD48+Data!AE48+Data!AF48+Data!AG48+Data!AH48+Data!AI48+Data!AJ48+Data!AK48+Data!AL48+Data!T49+Data!U49+Data!V49+Data!W49+Data!X49+Data!Y49+Data!Z49+Data!AA49+Data!AB49+Data!AC49+Data!AD49+Data!AE49+Data!AF49+Data!AG49+Data!AH49+Data!AI49+Data!AJ49+Data!AK49+Data!AL49+Data!T50+Data!U50+Data!V50+Data!W50+Data!X50+Data!Y50+Data!Z50+Data!AA50+Data!AB50+Data!AC50+Data!AD50+Data!AE50+Data!AF50+Data!AG50+Data!AH50+Data!AI50+Data!AJ50+Data!AK50+Data!AL50+Data!T51+Data!U51+Data!V51+Data!W51+Data!X51+Data!Y51+Data!Z51+Data!AA51+Data!AB51+Data!AC51+Data!AD51+Data!AE51+Data!AF51+Data!AG51+Data!AH51+Data!AI51+Data!AJ51+Data!AK51+Data!AL51+Data!T52+Data!U52+Data!V52+Data!W52+Data!X52+Data!Y52+Data!Z52+Data!AA52+Data!AB52+Data!AC52+Data!AD52+Data!AE52+Data!AF52+Data!AG52+Data!AH52+Data!AI52+Data!AJ52+Data!AK52+Data!AL52+Data!T53+Data!U53+Data!V53+Data!W53+Data!X53+Data!Y53+Data!Z53+Data!AA53+Data!AB53+Data!AC53+Data!AD53+Data!AE53+Data!AF53+Data!AG53+Data!AH53+Data!AI53+Data!AJ53+Data!AK53+Data!AL53+Data!T54+Data!U54+Data!V54+Data!W54+Data!X54+Data!Y54+Data!Z54+Data!AA54+Data!AB54+Data!AC54+Data!AD54+Data!AE54+Data!AF54+Data!AG54+Data!AH54+Data!AI54+Data!AJ54+Data!AK54+Data!AL54+Data!T55+Data!U55+Data!V55+Data!W55+Data!X55+Data!Y55+Data!Z55+Data!AA55+Data!AB55+Data!AC55+Data!AD55+Data!AE55+Data!AF55+Data!AG55+Data!AH55+Data!AI55+Data!AJ55+Data!AK55+Data!AL55)/(Data!AP44+Data!AP45+Data!AP46+Data!AP47+Data!AP48+Data!AP49+Data!AP50+Data!AP51+Data!AP52+Data!AP53+Data!AP54+Data!AP55)</f>
        <v>0.187327445075661</v>
      </c>
      <c r="N55" s="18" t="n">
        <f aca="false">(Data!T44+Data!U44+Data!V44+Data!W44+Data!T45+Data!U45+Data!V45+Data!W45+Data!T46+Data!U46+Data!V46+Data!W46+Data!T47+Data!U47+Data!V47+Data!W47+Data!T48+Data!U48+Data!V48+Data!W48+Data!T49+Data!U49+Data!V49+Data!W49+Data!T50+Data!U50+Data!V50+Data!W50+Data!T51+Data!U51+Data!V51+Data!W51+Data!T52+Data!U52+Data!V52+Data!W52+Data!T53+Data!U53+Data!V53+Data!W53+Data!T54+Data!U54+Data!V54+Data!W54+Data!T55+Data!U55+Data!V55+Data!W55)/(Data!AP44+Data!AP45+Data!AP46+Data!AP47+Data!AP48+Data!AP49+Data!AP50+Data!AP51+Data!AP52+Data!AP53+Data!AP54+Data!AP55)</f>
        <v>0.106743961923158</v>
      </c>
      <c r="O55" s="18" t="n">
        <f aca="false">(Data!T44+Data!T45+Data!T46+Data!T47+Data!T48+Data!T49+Data!T50+Data!T51+Data!T52+Data!T53+Data!T54+Data!T55)/(Data!AP44+Data!AP45+Data!AP46+Data!AP47+Data!AP48+Data!AP49+Data!AP50+Data!AP51+Data!AP52+Data!AP53+Data!AP54+Data!AP55)</f>
        <v>0.0780625557051952</v>
      </c>
      <c r="P55" s="18" t="n">
        <f aca="false">(Data!U44+Data!U45+Data!U46+Data!U47+Data!U48+Data!U49+Data!U50+Data!U51+Data!U52+Data!U53+Data!U54+Data!U55)/(Data!AP44+Data!AP45+Data!AP46+Data!AP47+Data!AP48+Data!AP49+Data!AP50+Data!AP51+Data!AP52+Data!AP53+Data!AP54+Data!AP55)</f>
        <v>0.0124008173792533</v>
      </c>
      <c r="Q55" s="18" t="n">
        <f aca="false">(Data!V44+Data!V45+Data!V46+Data!V47+Data!V48+Data!V49+Data!V50+Data!V51+Data!V52+Data!V53+Data!V54+Data!V55)/(Data!AP44+Data!AP45+Data!AP46+Data!AP47+Data!AP48+Data!AP49+Data!AP50+Data!AP51+Data!AP52+Data!AP53+Data!AP54+Data!AP55)</f>
        <v>0.0085817467376523</v>
      </c>
      <c r="R55" s="18" t="n">
        <f aca="false">(Data!W44+Data!W45+Data!W46+Data!W47+Data!W48+Data!W49+Data!W50+Data!W51+Data!W52+Data!W53+Data!W54+Data!W55)/(Data!AP44+Data!AP45+Data!AP46+Data!AP47+Data!AP48+Data!AP49+Data!AP50+Data!AP51+Data!AP52+Data!AP53+Data!AP54+Data!AP55)</f>
        <v>0.0076988421010572</v>
      </c>
      <c r="S55" s="18" t="n">
        <f aca="false">(Data!X44+Data!X45+Data!X46+Data!X47+Data!X48+Data!X49+Data!X50+Data!X51+Data!X52+Data!X53+Data!X54+Data!X55)/(Data!AP44+Data!AP45+Data!AP46+Data!AP47+Data!AP48+Data!AP49+Data!AP50+Data!AP51+Data!AP52+Data!AP53+Data!AP54+Data!AP55)</f>
        <v>0.00725284846231271</v>
      </c>
      <c r="T55" s="18" t="n">
        <f aca="false">(Data!Y44+Data!Z44+Data!AA44+Data!Y45+Data!Z45+Data!AA45+Data!Y46+Data!Z46+Data!AA46+Data!Y47+Data!Z47+Data!AA47+Data!Y48+Data!Z48+Data!AA48+Data!Y49+Data!Z49+Data!AA49+Data!Y50+Data!Z50+Data!AA50+Data!Y51+Data!Z51+Data!AA51+Data!Y52+Data!Z52+Data!AA52+Data!Y53+Data!Z53+Data!AA53+Data!Y54+Data!Z54+Data!AA54+Data!Y55+Data!Z55+Data!AA55)/(Data!AP44+Data!AP45+Data!AP46+Data!AP47+Data!AP48+Data!AP49+Data!AP50+Data!AP51+Data!AP52+Data!AP53+Data!AP54+Data!AP55)</f>
        <v>0.0158197122586983</v>
      </c>
      <c r="U55" s="18" t="n">
        <f aca="false">(Data!Y44+Data!Y45+Data!Y46+Data!Y47+Data!Y48+Data!Y49+Data!Y50+Data!Y51+Data!Y52+Data!Y53+Data!Y54+Data!Y55)/(Data!AP44+Data!AP45+Data!AP46+Data!AP47+Data!AP48+Data!AP49+Data!AP50+Data!AP51+Data!AP52+Data!AP53+Data!AP54+Data!AP55)</f>
        <v>0.0100900946159992</v>
      </c>
      <c r="V55" s="18" t="n">
        <f aca="false">(Data!Z44+Data!Z45+Data!Z46+Data!Z47+Data!Z48+Data!Z49+Data!Z50+Data!Z51+Data!Z52+Data!Z53+Data!Z54+Data!Z55)/(Data!AP44+Data!AP45+Data!AP46+Data!AP47+Data!AP48+Data!AP49+Data!AP50+Data!AP51+Data!AP52+Data!AP53+Data!AP54+Data!AP55)</f>
        <v>0.00555205650958068</v>
      </c>
      <c r="W55" s="18" t="n">
        <f aca="false">(Data!AB44+Data!AB45+Data!AB46+Data!AB47+Data!AB48+Data!AB49+Data!AB50+Data!AB51+Data!AB52+Data!AB53+Data!AB54+Data!AB55)/(Data!AP44+Data!AP45+Data!AP46+Data!AP47+Data!AP48+Data!AP49+Data!AP50+Data!AP51+Data!AP52+Data!AP53+Data!AP54+Data!AP55)</f>
        <v>0.0247581100239261</v>
      </c>
      <c r="X55" s="18" t="n">
        <f aca="false">(Data!AC44+Data!AC45+Data!AC46+Data!AC47+Data!AC48+Data!AC49+Data!AC50+Data!AC51+Data!AC52+Data!AC53+Data!AC54+Data!AC55)/(Data!AP44+Data!AP45+Data!AP46+Data!AP47+Data!AP48+Data!AP49+Data!AP50+Data!AP51+Data!AP52+Data!AP53+Data!AP54+Data!AP55)</f>
        <v>0.00772851805645304</v>
      </c>
      <c r="Y55" s="18" t="n">
        <f aca="false">(Data!AD44+Data!AE44+Data!AF44+Data!AG44+Data!AH44+Data!AD45+Data!AE45+Data!AF45+Data!AG45+Data!AH45+Data!AD46+Data!AE46+Data!AF46+Data!AG46+Data!AH46+Data!AD47+Data!AE47+Data!AF47+Data!AG47+Data!AH47+Data!AD48+Data!AE48+Data!AF48+Data!AG48+Data!AH48+Data!AD49+Data!AE49+Data!AF49+Data!AG49+Data!AH49+Data!AD50+Data!AE50+Data!AF50+Data!AG50+Data!AH50+Data!AD51+Data!AE51+Data!AF51+Data!AG51+Data!AH51+Data!AD52+Data!AE52+Data!AF52+Data!AG52+Data!AH52+Data!AD53+Data!AE53+Data!AF53+Data!AG53+Data!AH53+Data!AD54+Data!AE54+Data!AF54+Data!AG54+Data!AH54+Data!AD55+Data!AE55+Data!AF55+Data!AG55+Data!AH55)/(Data!AP44+Data!AP45+Data!AP46+Data!AP47+Data!AP48+Data!AP49+Data!AP50+Data!AP51+Data!AP52+Data!AP53+Data!AP54+Data!AP55)</f>
        <v>0.00615982906880129</v>
      </c>
      <c r="Z55" s="18" t="n">
        <f aca="false">(Data!AI44+Data!AI45+Data!AI46+Data!AI47+Data!AI48+Data!AI49+Data!AI50+Data!AI51+Data!AI52+Data!AI53+Data!AI54+Data!AI55)/(Data!AP44+Data!AP45+Data!AP46+Data!AP47+Data!AP48+Data!AP49+Data!AP50+Data!AP51+Data!AP52+Data!AP53+Data!AP54+Data!AP55)</f>
        <v>0.00664224319825886</v>
      </c>
      <c r="AA55" s="18" t="n">
        <f aca="false">(Data!AJ44+Data!AJ45+Data!AJ46+Data!AJ47+Data!AJ48+Data!AJ49+Data!AJ50+Data!AJ51+Data!AJ52+Data!AJ53+Data!AJ54+Data!AJ55)/(Data!AP44+Data!AP45+Data!AP46+Data!AP47+Data!AP48+Data!AP49+Data!AP50+Data!AP51+Data!AP52+Data!AP53+Data!AP54+Data!AP55)</f>
        <v>-0.000209170521971909</v>
      </c>
      <c r="AB55" s="18" t="n">
        <f aca="false">(Data!AK44+Data!AK45+Data!AK46+Data!AK47+Data!AK48+Data!AK49+Data!AK50+Data!AK51+Data!AK52+Data!AK53+Data!AK54+Data!AK55)/(Data!AP44+Data!AP45+Data!AP46+Data!AP47+Data!AP48+Data!AP49+Data!AP50+Data!AP51+Data!AP52+Data!AP53+Data!AP54+Data!AP55)</f>
        <v>0.00208437615800769</v>
      </c>
      <c r="AC55" s="18" t="n">
        <f aca="false">(Data!AL44+Data!AL45+Data!AL46+Data!AL47+Data!AL48+Data!AL49+Data!AL50+Data!AL51+Data!AL52+Data!AL53+Data!AL54+Data!AL55)/(Data!AP44+Data!AP45+Data!AP46+Data!AP47+Data!AP48+Data!AP49+Data!AP50+Data!AP51+Data!AP52+Data!AP53+Data!AP54+Data!AP55)</f>
        <v>0.0103470164480171</v>
      </c>
      <c r="AD55" s="17" t="n">
        <f aca="false">(Data!AM44+Data!AM45+Data!AM46+Data!AM47+Data!AM48+Data!AM49+Data!AM50+Data!AM51+Data!AM52+Data!AM53+Data!AM54+Data!AM55)/(Data!AP44+Data!AP45+Data!AP46+Data!AP47+Data!AP48+Data!AP49+Data!AP50+Data!AP51+Data!AP52+Data!AP53+Data!AP54+Data!AP55)</f>
        <v>-0.00519527059129884</v>
      </c>
      <c r="AE55" s="18" t="n">
        <f aca="false">(Data!AN44+Data!AN45+Data!AN46+Data!AN47+Data!AN48+Data!AN49+Data!AN50+Data!AN51+Data!AN52+Data!AN53+Data!AN54+Data!AN55)/(Data!AP44+Data!AP45+Data!AP46+Data!AP47+Data!AP48+Data!AP49+Data!AP50+Data!AP51+Data!AP52+Data!AP53+Data!AP54+Data!AP55)</f>
        <v>0.0330320811332685</v>
      </c>
      <c r="AF55" s="17" t="n">
        <f aca="false">(Data!AO44+Data!AO45+Data!AO46+Data!AO47+Data!AO48+Data!AO49+Data!AO50+Data!AO51+Data!AO52+Data!AO53+Data!AO54+Data!AO55)/(Data!AP44+Data!AP45+Data!AP46+Data!AP47+Data!AP48+Data!AP49+Data!AP50+Data!AP51+Data!AP52+Data!AP53+Data!AP54+Data!AP55)</f>
        <v>-0.0382273966881361</v>
      </c>
    </row>
    <row r="56" customFormat="false" ht="15" hidden="false" customHeight="false" outlineLevel="0" collapsed="false">
      <c r="B56" s="14" t="str">
        <f aca="false">Data!B56</f>
        <v>2020-02</v>
      </c>
      <c r="C56" s="17" t="n">
        <f aca="false">(Data!D45+Data!E45+Data!F45+Data!G45+Data!H45+Data!I45+Data!J45+Data!K45+Data!L45+Data!M45+Data!N45+Data!O45+Data!P45+Data!Q45+Data!R45+Data!S45+Data!D46+Data!E46+Data!F46+Data!G46+Data!H46+Data!I46+Data!J46+Data!K46+Data!L46+Data!M46+Data!N46+Data!O46+Data!P46+Data!Q46+Data!R46+Data!S46+Data!D47+Data!E47+Data!F47+Data!G47+Data!H47+Data!I47+Data!J47+Data!K47+Data!L47+Data!M47+Data!N47+Data!O47+Data!P47+Data!Q47+Data!R47+Data!S47+Data!D48+Data!E48+Data!F48+Data!G48+Data!H48+Data!I48+Data!J48+Data!K48+Data!L48+Data!M48+Data!N48+Data!O48+Data!P48+Data!Q48+Data!R48+Data!S48+Data!D49+Data!E49+Data!F49+Data!G49+Data!H49+Data!I49+Data!J49+Data!K49+Data!L49+Data!M49+Data!N49+Data!O49+Data!P49+Data!Q49+Data!R49+Data!S49+Data!D50+Data!E50+Data!F50+Data!G50+Data!H50+Data!I50+Data!J50+Data!K50+Data!L50+Data!M50+Data!N50+Data!O50+Data!P50+Data!Q50+Data!R50+Data!S50+Data!D51+Data!E51+Data!F51+Data!G51+Data!H51+Data!I51+Data!J51+Data!K51+Data!L51+Data!M51+Data!N51+Data!O51+Data!P51+Data!Q51+Data!R51+Data!S51+Data!D52+Data!E52+Data!F52+Data!G52+Data!H52+Data!I52+Data!J52+Data!K52+Data!L52+Data!M52+Data!N52+Data!O52+Data!P52+Data!Q52+Data!R52+Data!S52+Data!D53+Data!E53+Data!F53+Data!G53+Data!H53+Data!I53+Data!J53+Data!K53+Data!L53+Data!M53+Data!N53+Data!O53+Data!P53+Data!Q53+Data!R53+Data!S53+Data!D54+Data!E54+Data!F54+Data!G54+Data!H54+Data!I54+Data!J54+Data!K54+Data!L54+Data!M54+Data!N54+Data!O54+Data!P54+Data!Q54+Data!R54+Data!S54+Data!D55+Data!E55+Data!F55+Data!G55+Data!H55+Data!I55+Data!J55+Data!K55+Data!L55+Data!M55+Data!N55+Data!O55+Data!P55+Data!Q55+Data!R55+Data!S55+Data!D56+Data!E56+Data!F56+Data!G56+Data!H56+Data!I56+Data!J56+Data!K56+Data!L56+Data!M56+Data!N56+Data!O56+Data!P56+Data!Q56+Data!R56+Data!S56)/(Data!AP45+Data!AP46+Data!AP47+Data!AP48+Data!AP49+Data!AP50+Data!AP51+Data!AP52+Data!AP53+Data!AP54+Data!AP55+Data!AP56)</f>
        <v>0.1810250622151</v>
      </c>
      <c r="D56" s="18" t="n">
        <f aca="false">(Data!D45+Data!E45+Data!G45+Data!H45+Data!I45+Data!J45+Data!K45+Data!L45+Data!M45+Data!D46+Data!E46+Data!G46+Data!H46+Data!I46+Data!J46+Data!K46+Data!L46+Data!M46+Data!D47+Data!E47+Data!G47+Data!H47+Data!I47+Data!J47+Data!K47+Data!L47+Data!M47+Data!D48+Data!E48+Data!G48+Data!H48+Data!I48+Data!J48+Data!K48+Data!L48+Data!M48+Data!D49+Data!E49+Data!G49+Data!H49+Data!I49+Data!J49+Data!K49+Data!L49+Data!M49+Data!D50+Data!E50+Data!G50+Data!H50+Data!I50+Data!J50+Data!K50+Data!L50+Data!M50+Data!D51+Data!E51+Data!G51+Data!H51+Data!I51+Data!J51+Data!K51+Data!L51+Data!M51+Data!D52+Data!E52+Data!G52+Data!H52+Data!I52+Data!J52+Data!K52+Data!L52+Data!M52+Data!D53+Data!E53+Data!G53+Data!H53+Data!I53+Data!J53+Data!K53+Data!L53+Data!M53+Data!D54+Data!E54+Data!G54+Data!H54+Data!I54+Data!J54+Data!K54+Data!L54+Data!M54+Data!D55+Data!E55+Data!G55+Data!H55+Data!I55+Data!J55+Data!K55+Data!L55+Data!M55+Data!D56+Data!E56+Data!G56+Data!H56+Data!I56+Data!J56+Data!K56+Data!L56+Data!M56)/(Data!AP45+Data!AP46+Data!AP47+Data!AP48+Data!AP49+Data!AP50+Data!AP51+Data!AP52+Data!AP53+Data!AP54+Data!AP55+Data!AP56)</f>
        <v>0.101295945262247</v>
      </c>
      <c r="E56" s="18" t="n">
        <f aca="false">(Data!D45+Data!D46+Data!D47+Data!D48+Data!D49+Data!D50+Data!D51+Data!D52+Data!D53+Data!D54+Data!D55+Data!D56)/(Data!AP45+Data!AP46+Data!AP47+Data!AP48+Data!AP49+Data!AP50+Data!AP51+Data!AP52+Data!AP53+Data!AP54+Data!AP55+Data!AP56)</f>
        <v>0.031128395005671</v>
      </c>
      <c r="F56" s="18" t="n">
        <f aca="false">(Data!E45+Data!E46+Data!E47+Data!E48+Data!E49+Data!E50+Data!E51+Data!E52+Data!E53+Data!E54+Data!E55+Data!E56)/(Data!AP45+Data!AP46+Data!AP47+Data!AP48+Data!AP49+Data!AP50+Data!AP51+Data!AP52+Data!AP53+Data!AP54+Data!AP55+Data!AP56)</f>
        <v>0.0163485696783091</v>
      </c>
      <c r="G56" s="18" t="n">
        <f aca="false">(Data!K45+Data!K46+Data!K47+Data!K48+Data!K49+Data!K50+Data!K51+Data!K52+Data!K53+Data!K54+Data!K55+Data!K56)/(Data!AP45+Data!AP46+Data!AP47+Data!AP48+Data!AP49+Data!AP50+Data!AP51+Data!AP52+Data!AP53+Data!AP54+Data!AP55+Data!AP56)</f>
        <v>0.0175727754940496</v>
      </c>
      <c r="H56" s="18" t="n">
        <f aca="false">(Data!L45+Data!L46+Data!L47+Data!L48+Data!L49+Data!L50+Data!L51+Data!L52+Data!L53+Data!L54+Data!L55+Data!L56)/(Data!AP45+Data!AP46+Data!AP47+Data!AP48+Data!AP49+Data!AP50+Data!AP51+Data!AP52+Data!AP53+Data!AP54+Data!AP55+Data!AP56)</f>
        <v>0.00597419949886181</v>
      </c>
      <c r="I56" s="18" t="n">
        <f aca="false">(Data!G45+Data!G46+Data!G47+Data!G48+Data!G49+Data!G50+Data!G51+Data!G52+Data!G53+Data!G54+Data!G55+Data!G56)/(Data!AP45+Data!AP46+Data!AP47+Data!AP48+Data!AP49+Data!AP50+Data!AP51+Data!AP52+Data!AP53+Data!AP54+Data!AP55+Data!AP56)</f>
        <v>0.0160551725583296</v>
      </c>
      <c r="J56" s="18" t="n">
        <f aca="false">(Data!H45+Data!I45+Data!J45+Data!M45+Data!H46+Data!I46+Data!J46+Data!M46+Data!H47+Data!I47+Data!J47+Data!M47+Data!H48+Data!I48+Data!J48+Data!M48+Data!H49+Data!I49+Data!J49+Data!M49+Data!H50+Data!I50+Data!J50+Data!M50+Data!H51+Data!I51+Data!J51+Data!M51+Data!H52+Data!I52+Data!J52+Data!M52+Data!H53+Data!I53+Data!J53+Data!M53+Data!H54+Data!I54+Data!J54+Data!M54+Data!H55+Data!I55+Data!J55+Data!M55+Data!H56+Data!I56+Data!J56+Data!M56)/(Data!AP45+Data!AP46+Data!AP47+Data!AP48+Data!AP49+Data!AP50+Data!AP51+Data!AP52+Data!AP53+Data!AP54+Data!AP55+Data!AP56)</f>
        <v>0.0142168330270262</v>
      </c>
      <c r="K56" s="18" t="n">
        <f aca="false">(Data!F45+Data!F46+Data!F47+Data!F48+Data!F49+Data!F50+Data!F51+Data!F52+Data!F53+Data!F54+Data!F55+Data!F56)/(Data!AP45+Data!AP46+Data!AP47+Data!AP48+Data!AP49+Data!AP50+Data!AP51+Data!AP52+Data!AP53+Data!AP54+Data!AP55+Data!AP56)</f>
        <v>0.0569860360932347</v>
      </c>
      <c r="L56" s="18" t="n">
        <f aca="false">(Data!N45+Data!O45+Data!P45+Data!Q45+Data!R45+Data!S45+Data!N46+Data!O46+Data!P46+Data!Q46+Data!R46+Data!S46+Data!N47+Data!O47+Data!P47+Data!Q47+Data!R47+Data!S47+Data!N48+Data!O48+Data!P48+Data!Q48+Data!R48+Data!S48+Data!N49+Data!O49+Data!P49+Data!Q49+Data!R49+Data!S49+Data!N50+Data!O50+Data!P50+Data!Q50+Data!R50+Data!S50+Data!N51+Data!O51+Data!P51+Data!Q51+Data!R51+Data!S51+Data!N52+Data!O52+Data!P52+Data!Q52+Data!R52+Data!S52+Data!N53+Data!O53+Data!P53+Data!Q53+Data!R53+Data!S53+Data!N54+Data!O54+Data!P54+Data!Q54+Data!R54+Data!S54+Data!N55+Data!O55+Data!P55+Data!Q55+Data!R55+Data!S55+Data!N56+Data!O56+Data!P56+Data!Q56+Data!R56+Data!S56)/(Data!AP45+Data!AP46+Data!AP47+Data!AP48+Data!AP49+Data!AP50+Data!AP51+Data!AP52+Data!AP53+Data!AP54+Data!AP55+Data!AP56)</f>
        <v>0.0227430808596184</v>
      </c>
      <c r="M56" s="17" t="n">
        <f aca="false">(Data!T45+Data!U45+Data!V45+Data!W45+Data!X45+Data!Y45+Data!Z45+Data!AA45+Data!AB45+Data!AC45+Data!AD45+Data!AE45+Data!AF45+Data!AG45+Data!AH45+Data!AI45+Data!AJ45+Data!AK45+Data!AL45+Data!T46+Data!U46+Data!V46+Data!W46+Data!X46+Data!Y46+Data!Z46+Data!AA46+Data!AB46+Data!AC46+Data!AD46+Data!AE46+Data!AF46+Data!AG46+Data!AH46+Data!AI46+Data!AJ46+Data!AK46+Data!AL46+Data!T47+Data!U47+Data!V47+Data!W47+Data!X47+Data!Y47+Data!Z47+Data!AA47+Data!AB47+Data!AC47+Data!AD47+Data!AE47+Data!AF47+Data!AG47+Data!AH47+Data!AI47+Data!AJ47+Data!AK47+Data!AL47+Data!T48+Data!U48+Data!V48+Data!W48+Data!X48+Data!Y48+Data!Z48+Data!AA48+Data!AB48+Data!AC48+Data!AD48+Data!AE48+Data!AF48+Data!AG48+Data!AH48+Data!AI48+Data!AJ48+Data!AK48+Data!AL48+Data!T49+Data!U49+Data!V49+Data!W49+Data!X49+Data!Y49+Data!Z49+Data!AA49+Data!AB49+Data!AC49+Data!AD49+Data!AE49+Data!AF49+Data!AG49+Data!AH49+Data!AI49+Data!AJ49+Data!AK49+Data!AL49+Data!T50+Data!U50+Data!V50+Data!W50+Data!X50+Data!Y50+Data!Z50+Data!AA50+Data!AB50+Data!AC50+Data!AD50+Data!AE50+Data!AF50+Data!AG50+Data!AH50+Data!AI50+Data!AJ50+Data!AK50+Data!AL50+Data!T51+Data!U51+Data!V51+Data!W51+Data!X51+Data!Y51+Data!Z51+Data!AA51+Data!AB51+Data!AC51+Data!AD51+Data!AE51+Data!AF51+Data!AG51+Data!AH51+Data!AI51+Data!AJ51+Data!AK51+Data!AL51+Data!T52+Data!U52+Data!V52+Data!W52+Data!X52+Data!Y52+Data!Z52+Data!AA52+Data!AB52+Data!AC52+Data!AD52+Data!AE52+Data!AF52+Data!AG52+Data!AH52+Data!AI52+Data!AJ52+Data!AK52+Data!AL52+Data!T53+Data!U53+Data!V53+Data!W53+Data!X53+Data!Y53+Data!Z53+Data!AA53+Data!AB53+Data!AC53+Data!AD53+Data!AE53+Data!AF53+Data!AG53+Data!AH53+Data!AI53+Data!AJ53+Data!AK53+Data!AL53+Data!T54+Data!U54+Data!V54+Data!W54+Data!X54+Data!Y54+Data!Z54+Data!AA54+Data!AB54+Data!AC54+Data!AD54+Data!AE54+Data!AF54+Data!AG54+Data!AH54+Data!AI54+Data!AJ54+Data!AK54+Data!AL54+Data!T55+Data!U55+Data!V55+Data!W55+Data!X55+Data!Y55+Data!Z55+Data!AA55+Data!AB55+Data!AC55+Data!AD55+Data!AE55+Data!AF55+Data!AG55+Data!AH55+Data!AI55+Data!AJ55+Data!AK55+Data!AL55+Data!T56+Data!U56+Data!V56+Data!W56+Data!X56+Data!Y56+Data!Z56+Data!AA56+Data!AB56+Data!AC56+Data!AD56+Data!AE56+Data!AF56+Data!AG56+Data!AH56+Data!AI56+Data!AJ56+Data!AK56+Data!AL56)/(Data!AP45+Data!AP46+Data!AP47+Data!AP48+Data!AP49+Data!AP50+Data!AP51+Data!AP52+Data!AP53+Data!AP54+Data!AP55+Data!AP56)</f>
        <v>0.187565878896846</v>
      </c>
      <c r="N56" s="18" t="n">
        <f aca="false">(Data!T45+Data!U45+Data!V45+Data!W45+Data!T46+Data!U46+Data!V46+Data!W46+Data!T47+Data!U47+Data!V47+Data!W47+Data!T48+Data!U48+Data!V48+Data!W48+Data!T49+Data!U49+Data!V49+Data!W49+Data!T50+Data!U50+Data!V50+Data!W50+Data!T51+Data!U51+Data!V51+Data!W51+Data!T52+Data!U52+Data!V52+Data!W52+Data!T53+Data!U53+Data!V53+Data!W53+Data!T54+Data!U54+Data!V54+Data!W54+Data!T55+Data!U55+Data!V55+Data!W55+Data!T56+Data!U56+Data!V56+Data!W56)/(Data!AP45+Data!AP46+Data!AP47+Data!AP48+Data!AP49+Data!AP50+Data!AP51+Data!AP52+Data!AP53+Data!AP54+Data!AP55+Data!AP56)</f>
        <v>0.107046450201934</v>
      </c>
      <c r="O56" s="18" t="n">
        <f aca="false">(Data!T45+Data!T46+Data!T47+Data!T48+Data!T49+Data!T50+Data!T51+Data!T52+Data!T53+Data!T54+Data!T55+Data!T56)/(Data!AP45+Data!AP46+Data!AP47+Data!AP48+Data!AP49+Data!AP50+Data!AP51+Data!AP52+Data!AP53+Data!AP54+Data!AP55+Data!AP56)</f>
        <v>0.078343319987377</v>
      </c>
      <c r="P56" s="18" t="n">
        <f aca="false">(Data!U45+Data!U46+Data!U47+Data!U48+Data!U49+Data!U50+Data!U51+Data!U52+Data!U53+Data!U54+Data!U55+Data!U56)/(Data!AP45+Data!AP46+Data!AP47+Data!AP48+Data!AP49+Data!AP50+Data!AP51+Data!AP52+Data!AP53+Data!AP54+Data!AP55+Data!AP56)</f>
        <v>0.01251645739897</v>
      </c>
      <c r="Q56" s="18" t="n">
        <f aca="false">(Data!V45+Data!V46+Data!V47+Data!V48+Data!V49+Data!V50+Data!V51+Data!V52+Data!V53+Data!V54+Data!V55+Data!V56)/(Data!AP45+Data!AP46+Data!AP47+Data!AP48+Data!AP49+Data!AP50+Data!AP51+Data!AP52+Data!AP53+Data!AP54+Data!AP55+Data!AP56)</f>
        <v>0.00852904292274985</v>
      </c>
      <c r="R56" s="18" t="n">
        <f aca="false">(Data!W45+Data!W46+Data!W47+Data!W48+Data!W49+Data!W50+Data!W51+Data!W52+Data!W53+Data!W54+Data!W55+Data!W56)/(Data!AP45+Data!AP46+Data!AP47+Data!AP48+Data!AP49+Data!AP50+Data!AP51+Data!AP52+Data!AP53+Data!AP54+Data!AP55+Data!AP56)</f>
        <v>0.00765762989283758</v>
      </c>
      <c r="S56" s="18" t="n">
        <f aca="false">(Data!X45+Data!X46+Data!X47+Data!X48+Data!X49+Data!X50+Data!X51+Data!X52+Data!X53+Data!X54+Data!X55+Data!X56)/(Data!AP45+Data!AP46+Data!AP47+Data!AP48+Data!AP49+Data!AP50+Data!AP51+Data!AP52+Data!AP53+Data!AP54+Data!AP55+Data!AP56)</f>
        <v>0.00740615912522194</v>
      </c>
      <c r="T56" s="18" t="n">
        <f aca="false">(Data!Y45+Data!Z45+Data!AA45+Data!Y46+Data!Z46+Data!AA46+Data!Y47+Data!Z47+Data!AA47+Data!Y48+Data!Z48+Data!AA48+Data!Y49+Data!Z49+Data!AA49+Data!Y50+Data!Z50+Data!AA50+Data!Y51+Data!Z51+Data!AA51+Data!Y52+Data!Z52+Data!AA52+Data!Y53+Data!Z53+Data!AA53+Data!Y54+Data!Z54+Data!AA54+Data!Y55+Data!Z55+Data!AA55+Data!Y56+Data!Z56+Data!AA56)/(Data!AP45+Data!AP46+Data!AP47+Data!AP48+Data!AP49+Data!AP50+Data!AP51+Data!AP52+Data!AP53+Data!AP54+Data!AP55+Data!AP56)</f>
        <v>0.0160565701034084</v>
      </c>
      <c r="U56" s="18" t="n">
        <f aca="false">(Data!Y45+Data!Y46+Data!Y47+Data!Y48+Data!Y49+Data!Y50+Data!Y51+Data!Y52+Data!Y53+Data!Y54+Data!Y55+Data!Y56)/(Data!AP45+Data!AP46+Data!AP47+Data!AP48+Data!AP49+Data!AP50+Data!AP51+Data!AP52+Data!AP53+Data!AP54+Data!AP55+Data!AP56)</f>
        <v>0.0103155859395705</v>
      </c>
      <c r="V56" s="18" t="n">
        <f aca="false">(Data!Z45+Data!Z46+Data!Z47+Data!Z48+Data!Z49+Data!Z50+Data!Z51+Data!Z52+Data!Z53+Data!Z54+Data!Z55+Data!Z56)/(Data!AP45+Data!AP46+Data!AP47+Data!AP48+Data!AP49+Data!AP50+Data!AP51+Data!AP52+Data!AP53+Data!AP54+Data!AP55+Data!AP56)</f>
        <v>0.00557808281559091</v>
      </c>
      <c r="W56" s="18" t="n">
        <f aca="false">(Data!AB45+Data!AB46+Data!AB47+Data!AB48+Data!AB49+Data!AB50+Data!AB51+Data!AB52+Data!AB53+Data!AB54+Data!AB55+Data!AB56)/(Data!AP45+Data!AP46+Data!AP47+Data!AP48+Data!AP49+Data!AP50+Data!AP51+Data!AP52+Data!AP53+Data!AP54+Data!AP55+Data!AP56)</f>
        <v>0.0248151161320666</v>
      </c>
      <c r="X56" s="18" t="n">
        <f aca="false">(Data!AC45+Data!AC46+Data!AC47+Data!AC48+Data!AC49+Data!AC50+Data!AC51+Data!AC52+Data!AC53+Data!AC54+Data!AC55+Data!AC56)/(Data!AP45+Data!AP46+Data!AP47+Data!AP48+Data!AP49+Data!AP50+Data!AP51+Data!AP52+Data!AP53+Data!AP54+Data!AP55+Data!AP56)</f>
        <v>0.00761186029150705</v>
      </c>
      <c r="Y56" s="18" t="n">
        <f aca="false">(Data!AD45+Data!AE45+Data!AF45+Data!AG45+Data!AH45+Data!AD46+Data!AE46+Data!AF46+Data!AG46+Data!AH46+Data!AD47+Data!AE47+Data!AF47+Data!AG47+Data!AH47+Data!AD48+Data!AE48+Data!AF48+Data!AG48+Data!AH48+Data!AD49+Data!AE49+Data!AF49+Data!AG49+Data!AH49+Data!AD50+Data!AE50+Data!AF50+Data!AG50+Data!AH50+Data!AD51+Data!AE51+Data!AF51+Data!AG51+Data!AH51+Data!AD52+Data!AE52+Data!AF52+Data!AG52+Data!AH52+Data!AD53+Data!AE53+Data!AF53+Data!AG53+Data!AH53+Data!AD54+Data!AE54+Data!AF54+Data!AG54+Data!AH54+Data!AD55+Data!AE55+Data!AF55+Data!AG55+Data!AH55+Data!AD56+Data!AE56+Data!AF56+Data!AG56+Data!AH56)/(Data!AP45+Data!AP46+Data!AP47+Data!AP48+Data!AP49+Data!AP50+Data!AP51+Data!AP52+Data!AP53+Data!AP54+Data!AP55+Data!AP56)</f>
        <v>0.00612260131691633</v>
      </c>
      <c r="Z56" s="18" t="n">
        <f aca="false">(Data!AI45+Data!AI46+Data!AI47+Data!AI48+Data!AI49+Data!AI50+Data!AI51+Data!AI52+Data!AI53+Data!AI54+Data!AI55+Data!AI56)/(Data!AP45+Data!AP46+Data!AP47+Data!AP48+Data!AP49+Data!AP50+Data!AP51+Data!AP52+Data!AP53+Data!AP54+Data!AP55+Data!AP56)</f>
        <v>0.00665436721939776</v>
      </c>
      <c r="AA56" s="18" t="n">
        <f aca="false">(Data!AJ45+Data!AJ46+Data!AJ47+Data!AJ48+Data!AJ49+Data!AJ50+Data!AJ51+Data!AJ52+Data!AJ53+Data!AJ54+Data!AJ55+Data!AJ56)/(Data!AP45+Data!AP46+Data!AP47+Data!AP48+Data!AP49+Data!AP50+Data!AP51+Data!AP52+Data!AP53+Data!AP54+Data!AP55+Data!AP56)</f>
        <v>-0.000161372783317088</v>
      </c>
      <c r="AB56" s="18" t="n">
        <f aca="false">(Data!AK45+Data!AK46+Data!AK47+Data!AK48+Data!AK49+Data!AK50+Data!AK51+Data!AK52+Data!AK53+Data!AK54+Data!AK55+Data!AK56)/(Data!AP45+Data!AP46+Data!AP47+Data!AP48+Data!AP49+Data!AP50+Data!AP51+Data!AP52+Data!AP53+Data!AP54+Data!AP55+Data!AP56)</f>
        <v>0.00206255816988257</v>
      </c>
      <c r="AC56" s="18" t="n">
        <f aca="false">(Data!AL45+Data!AL46+Data!AL47+Data!AL48+Data!AL49+Data!AL50+Data!AL51+Data!AL52+Data!AL53+Data!AL54+Data!AL55+Data!AL56)/(Data!AP45+Data!AP46+Data!AP47+Data!AP48+Data!AP49+Data!AP50+Data!AP51+Data!AP52+Data!AP53+Data!AP54+Data!AP55+Data!AP56)</f>
        <v>0.00995156911982812</v>
      </c>
      <c r="AD56" s="17" t="n">
        <f aca="false">(Data!AM45+Data!AM46+Data!AM47+Data!AM48+Data!AM49+Data!AM50+Data!AM51+Data!AM52+Data!AM53+Data!AM54+Data!AM55+Data!AM56)/(Data!AP45+Data!AP46+Data!AP47+Data!AP48+Data!AP49+Data!AP50+Data!AP51+Data!AP52+Data!AP53+Data!AP54+Data!AP55+Data!AP56)</f>
        <v>-0.00654081668174568</v>
      </c>
      <c r="AE56" s="18" t="n">
        <f aca="false">(Data!AN45+Data!AN46+Data!AN47+Data!AN48+Data!AN49+Data!AN50+Data!AN51+Data!AN52+Data!AN53+Data!AN54+Data!AN55+Data!AN56)/(Data!AP45+Data!AP46+Data!AP47+Data!AP48+Data!AP49+Data!AP50+Data!AP51+Data!AP52+Data!AP53+Data!AP54+Data!AP55+Data!AP56)</f>
        <v>0.0333266460680478</v>
      </c>
      <c r="AF56" s="17" t="n">
        <f aca="false">(Data!AO45+Data!AO46+Data!AO47+Data!AO48+Data!AO49+Data!AO50+Data!AO51+Data!AO52+Data!AO53+Data!AO54+Data!AO55+Data!AO56)/(Data!AP45+Data!AP46+Data!AP47+Data!AP48+Data!AP49+Data!AP50+Data!AP51+Data!AP52+Data!AP53+Data!AP54+Data!AP55+Data!AP56)</f>
        <v>-0.0398675064230772</v>
      </c>
    </row>
    <row r="57" customFormat="false" ht="15" hidden="false" customHeight="false" outlineLevel="0" collapsed="false">
      <c r="B57" s="14" t="str">
        <f aca="false">Data!B57</f>
        <v>2020-03</v>
      </c>
      <c r="C57" s="17" t="n">
        <f aca="false">(Data!D46+Data!E46+Data!F46+Data!G46+Data!H46+Data!I46+Data!J46+Data!K46+Data!L46+Data!M46+Data!N46+Data!O46+Data!P46+Data!Q46+Data!R46+Data!S46+Data!D47+Data!E47+Data!F47+Data!G47+Data!H47+Data!I47+Data!J47+Data!K47+Data!L47+Data!M47+Data!N47+Data!O47+Data!P47+Data!Q47+Data!R47+Data!S47+Data!D48+Data!E48+Data!F48+Data!G48+Data!H48+Data!I48+Data!J48+Data!K48+Data!L48+Data!M48+Data!N48+Data!O48+Data!P48+Data!Q48+Data!R48+Data!S48+Data!D49+Data!E49+Data!F49+Data!G49+Data!H49+Data!I49+Data!J49+Data!K49+Data!L49+Data!M49+Data!N49+Data!O49+Data!P49+Data!Q49+Data!R49+Data!S49+Data!D50+Data!E50+Data!F50+Data!G50+Data!H50+Data!I50+Data!J50+Data!K50+Data!L50+Data!M50+Data!N50+Data!O50+Data!P50+Data!Q50+Data!R50+Data!S50+Data!D51+Data!E51+Data!F51+Data!G51+Data!H51+Data!I51+Data!J51+Data!K51+Data!L51+Data!M51+Data!N51+Data!O51+Data!P51+Data!Q51+Data!R51+Data!S51+Data!D52+Data!E52+Data!F52+Data!G52+Data!H52+Data!I52+Data!J52+Data!K52+Data!L52+Data!M52+Data!N52+Data!O52+Data!P52+Data!Q52+Data!R52+Data!S52+Data!D53+Data!E53+Data!F53+Data!G53+Data!H53+Data!I53+Data!J53+Data!K53+Data!L53+Data!M53+Data!N53+Data!O53+Data!P53+Data!Q53+Data!R53+Data!S53+Data!D54+Data!E54+Data!F54+Data!G54+Data!H54+Data!I54+Data!J54+Data!K54+Data!L54+Data!M54+Data!N54+Data!O54+Data!P54+Data!Q54+Data!R54+Data!S54+Data!D55+Data!E55+Data!F55+Data!G55+Data!H55+Data!I55+Data!J55+Data!K55+Data!L55+Data!M55+Data!N55+Data!O55+Data!P55+Data!Q55+Data!R55+Data!S55+Data!D56+Data!E56+Data!F56+Data!G56+Data!H56+Data!I56+Data!J56+Data!K56+Data!L56+Data!M56+Data!N56+Data!O56+Data!P56+Data!Q56+Data!R56+Data!S56+Data!D57+Data!E57+Data!F57+Data!G57+Data!H57+Data!I57+Data!J57+Data!K57+Data!L57+Data!M57+Data!N57+Data!O57+Data!P57+Data!Q57+Data!R57+Data!S57)/(Data!AP46+Data!AP47+Data!AP48+Data!AP49+Data!AP50+Data!AP51+Data!AP52+Data!AP53+Data!AP54+Data!AP55+Data!AP56+Data!AP57)</f>
        <v>0.180276501836015</v>
      </c>
      <c r="D57" s="18" t="n">
        <f aca="false">(Data!D46+Data!E46+Data!G46+Data!H46+Data!I46+Data!J46+Data!K46+Data!L46+Data!M46+Data!D47+Data!E47+Data!G47+Data!H47+Data!I47+Data!J47+Data!K47+Data!L47+Data!M47+Data!D48+Data!E48+Data!G48+Data!H48+Data!I48+Data!J48+Data!K48+Data!L48+Data!M48+Data!D49+Data!E49+Data!G49+Data!H49+Data!I49+Data!J49+Data!K49+Data!L49+Data!M49+Data!D50+Data!E50+Data!G50+Data!H50+Data!I50+Data!J50+Data!K50+Data!L50+Data!M50+Data!D51+Data!E51+Data!G51+Data!H51+Data!I51+Data!J51+Data!K51+Data!L51+Data!M51+Data!D52+Data!E52+Data!G52+Data!H52+Data!I52+Data!J52+Data!K52+Data!L52+Data!M52+Data!D53+Data!E53+Data!G53+Data!H53+Data!I53+Data!J53+Data!K53+Data!L53+Data!M53+Data!D54+Data!E54+Data!G54+Data!H54+Data!I54+Data!J54+Data!K54+Data!L54+Data!M54+Data!D55+Data!E55+Data!G55+Data!H55+Data!I55+Data!J55+Data!K55+Data!L55+Data!M55+Data!D56+Data!E56+Data!G56+Data!H56+Data!I56+Data!J56+Data!K56+Data!L56+Data!M56+Data!D57+Data!E57+Data!G57+Data!H57+Data!I57+Data!J57+Data!K57+Data!L57+Data!M57)/(Data!AP46+Data!AP47+Data!AP48+Data!AP49+Data!AP50+Data!AP51+Data!AP52+Data!AP53+Data!AP54+Data!AP55+Data!AP56+Data!AP57)</f>
        <v>0.100908999793208</v>
      </c>
      <c r="E57" s="18" t="n">
        <f aca="false">(Data!D46+Data!D47+Data!D48+Data!D49+Data!D50+Data!D51+Data!D52+Data!D53+Data!D54+Data!D55+Data!D56+Data!D57)/(Data!AP46+Data!AP47+Data!AP48+Data!AP49+Data!AP50+Data!AP51+Data!AP52+Data!AP53+Data!AP54+Data!AP55+Data!AP56+Data!AP57)</f>
        <v>0.0309472709477994</v>
      </c>
      <c r="F57" s="18" t="n">
        <f aca="false">(Data!E46+Data!E47+Data!E48+Data!E49+Data!E50+Data!E51+Data!E52+Data!E53+Data!E54+Data!E55+Data!E56+Data!E57)/(Data!AP46+Data!AP47+Data!AP48+Data!AP49+Data!AP50+Data!AP51+Data!AP52+Data!AP53+Data!AP54+Data!AP55+Data!AP56+Data!AP57)</f>
        <v>0.0161591206571383</v>
      </c>
      <c r="G57" s="18" t="n">
        <f aca="false">(Data!K46+Data!K47+Data!K48+Data!K49+Data!K50+Data!K51+Data!K52+Data!K53+Data!K54+Data!K55+Data!K56+Data!K57)/(Data!AP46+Data!AP47+Data!AP48+Data!AP49+Data!AP50+Data!AP51+Data!AP52+Data!AP53+Data!AP54+Data!AP55+Data!AP56+Data!AP57)</f>
        <v>0.0175576964582946</v>
      </c>
      <c r="H57" s="18" t="n">
        <f aca="false">(Data!L46+Data!L47+Data!L48+Data!L49+Data!L50+Data!L51+Data!L52+Data!L53+Data!L54+Data!L55+Data!L56+Data!L57)/(Data!AP46+Data!AP47+Data!AP48+Data!AP49+Data!AP50+Data!AP51+Data!AP52+Data!AP53+Data!AP54+Data!AP55+Data!AP56+Data!AP57)</f>
        <v>0.00595645920084897</v>
      </c>
      <c r="I57" s="18" t="n">
        <f aca="false">(Data!G46+Data!G47+Data!G48+Data!G49+Data!G50+Data!G51+Data!G52+Data!G53+Data!G54+Data!G55+Data!G56+Data!G57)/(Data!AP46+Data!AP47+Data!AP48+Data!AP49+Data!AP50+Data!AP51+Data!AP52+Data!AP53+Data!AP54+Data!AP55+Data!AP56+Data!AP57)</f>
        <v>0.0156725482041535</v>
      </c>
      <c r="J57" s="18" t="n">
        <f aca="false">(Data!H46+Data!I46+Data!J46+Data!M46+Data!H47+Data!I47+Data!J47+Data!M47+Data!H48+Data!I48+Data!J48+Data!M48+Data!H49+Data!I49+Data!J49+Data!M49+Data!H50+Data!I50+Data!J50+Data!M50+Data!H51+Data!I51+Data!J51+Data!M51+Data!H52+Data!I52+Data!J52+Data!M52+Data!H53+Data!I53+Data!J53+Data!M53+Data!H54+Data!I54+Data!J54+Data!M54+Data!H55+Data!I55+Data!J55+Data!M55+Data!H56+Data!I56+Data!J56+Data!M56+Data!H57+Data!I57+Data!J57+Data!M57)/(Data!AP46+Data!AP47+Data!AP48+Data!AP49+Data!AP50+Data!AP51+Data!AP52+Data!AP53+Data!AP54+Data!AP55+Data!AP56+Data!AP57)</f>
        <v>0.0146159043249737</v>
      </c>
      <c r="K57" s="18" t="n">
        <f aca="false">(Data!F46+Data!F47+Data!F48+Data!F49+Data!F50+Data!F51+Data!F52+Data!F53+Data!F54+Data!F55+Data!F56+Data!F57)/(Data!AP46+Data!AP47+Data!AP48+Data!AP49+Data!AP50+Data!AP51+Data!AP52+Data!AP53+Data!AP54+Data!AP55+Data!AP56+Data!AP57)</f>
        <v>0.0572417674808729</v>
      </c>
      <c r="L57" s="18" t="n">
        <f aca="false">(Data!N46+Data!O46+Data!P46+Data!Q46+Data!R46+Data!S46+Data!N47+Data!O47+Data!P47+Data!Q47+Data!R47+Data!S47+Data!N48+Data!O48+Data!P48+Data!Q48+Data!R48+Data!S48+Data!N49+Data!O49+Data!P49+Data!Q49+Data!R49+Data!S49+Data!N50+Data!O50+Data!P50+Data!Q50+Data!R50+Data!S50+Data!N51+Data!O51+Data!P51+Data!Q51+Data!R51+Data!S51+Data!N52+Data!O52+Data!P52+Data!Q52+Data!R52+Data!S52+Data!N53+Data!O53+Data!P53+Data!Q53+Data!R53+Data!S53+Data!N54+Data!O54+Data!P54+Data!Q54+Data!R54+Data!S54+Data!N55+Data!O55+Data!P55+Data!Q55+Data!R55+Data!S55+Data!N56+Data!O56+Data!P56+Data!Q56+Data!R56+Data!S56+Data!N57+Data!O57+Data!P57+Data!Q57+Data!R57+Data!S57)/(Data!AP46+Data!AP47+Data!AP48+Data!AP49+Data!AP50+Data!AP51+Data!AP52+Data!AP53+Data!AP54+Data!AP55+Data!AP56+Data!AP57)</f>
        <v>0.0221257345619341</v>
      </c>
      <c r="M57" s="17" t="n">
        <f aca="false">(Data!T46+Data!U46+Data!V46+Data!W46+Data!X46+Data!Y46+Data!Z46+Data!AA46+Data!AB46+Data!AC46+Data!AD46+Data!AE46+Data!AF46+Data!AG46+Data!AH46+Data!AI46+Data!AJ46+Data!AK46+Data!AL46+Data!T47+Data!U47+Data!V47+Data!W47+Data!X47+Data!Y47+Data!Z47+Data!AA47+Data!AB47+Data!AC47+Data!AD47+Data!AE47+Data!AF47+Data!AG47+Data!AH47+Data!AI47+Data!AJ47+Data!AK47+Data!AL47+Data!T48+Data!U48+Data!V48+Data!W48+Data!X48+Data!Y48+Data!Z48+Data!AA48+Data!AB48+Data!AC48+Data!AD48+Data!AE48+Data!AF48+Data!AG48+Data!AH48+Data!AI48+Data!AJ48+Data!AK48+Data!AL48+Data!T49+Data!U49+Data!V49+Data!W49+Data!X49+Data!Y49+Data!Z49+Data!AA49+Data!AB49+Data!AC49+Data!AD49+Data!AE49+Data!AF49+Data!AG49+Data!AH49+Data!AI49+Data!AJ49+Data!AK49+Data!AL49+Data!T50+Data!U50+Data!V50+Data!W50+Data!X50+Data!Y50+Data!Z50+Data!AA50+Data!AB50+Data!AC50+Data!AD50+Data!AE50+Data!AF50+Data!AG50+Data!AH50+Data!AI50+Data!AJ50+Data!AK50+Data!AL50+Data!T51+Data!U51+Data!V51+Data!W51+Data!X51+Data!Y51+Data!Z51+Data!AA51+Data!AB51+Data!AC51+Data!AD51+Data!AE51+Data!AF51+Data!AG51+Data!AH51+Data!AI51+Data!AJ51+Data!AK51+Data!AL51+Data!T52+Data!U52+Data!V52+Data!W52+Data!X52+Data!Y52+Data!Z52+Data!AA52+Data!AB52+Data!AC52+Data!AD52+Data!AE52+Data!AF52+Data!AG52+Data!AH52+Data!AI52+Data!AJ52+Data!AK52+Data!AL52+Data!T53+Data!U53+Data!V53+Data!W53+Data!X53+Data!Y53+Data!Z53+Data!AA53+Data!AB53+Data!AC53+Data!AD53+Data!AE53+Data!AF53+Data!AG53+Data!AH53+Data!AI53+Data!AJ53+Data!AK53+Data!AL53+Data!T54+Data!U54+Data!V54+Data!W54+Data!X54+Data!Y54+Data!Z54+Data!AA54+Data!AB54+Data!AC54+Data!AD54+Data!AE54+Data!AF54+Data!AG54+Data!AH54+Data!AI54+Data!AJ54+Data!AK54+Data!AL54+Data!T55+Data!U55+Data!V55+Data!W55+Data!X55+Data!Y55+Data!Z55+Data!AA55+Data!AB55+Data!AC55+Data!AD55+Data!AE55+Data!AF55+Data!AG55+Data!AH55+Data!AI55+Data!AJ55+Data!AK55+Data!AL55+Data!T56+Data!U56+Data!V56+Data!W56+Data!X56+Data!Y56+Data!Z56+Data!AA56+Data!AB56+Data!AC56+Data!AD56+Data!AE56+Data!AF56+Data!AG56+Data!AH56+Data!AI56+Data!AJ56+Data!AK56+Data!AL56+Data!T57+Data!U57+Data!V57+Data!W57+Data!X57+Data!Y57+Data!Z57+Data!AA57+Data!AB57+Data!AC57+Data!AD57+Data!AE57+Data!AF57+Data!AG57+Data!AH57+Data!AI57+Data!AJ57+Data!AK57+Data!AL57)/(Data!AP46+Data!AP47+Data!AP48+Data!AP49+Data!AP50+Data!AP51+Data!AP52+Data!AP53+Data!AP54+Data!AP55+Data!AP56+Data!AP57)</f>
        <v>0.191432084124027</v>
      </c>
      <c r="N57" s="18" t="n">
        <f aca="false">(Data!T46+Data!U46+Data!V46+Data!W46+Data!T47+Data!U47+Data!V47+Data!W47+Data!T48+Data!U48+Data!V48+Data!W48+Data!T49+Data!U49+Data!V49+Data!W49+Data!T50+Data!U50+Data!V50+Data!W50+Data!T51+Data!U51+Data!V51+Data!W51+Data!T52+Data!U52+Data!V52+Data!W52+Data!T53+Data!U53+Data!V53+Data!W53+Data!T54+Data!U54+Data!V54+Data!W54+Data!T55+Data!U55+Data!V55+Data!W55+Data!T56+Data!U56+Data!V56+Data!W56+Data!T57+Data!U57+Data!V57+Data!W57)/(Data!AP46+Data!AP47+Data!AP48+Data!AP49+Data!AP50+Data!AP51+Data!AP52+Data!AP53+Data!AP54+Data!AP55+Data!AP56+Data!AP57)</f>
        <v>0.108856804971408</v>
      </c>
      <c r="O57" s="18" t="n">
        <f aca="false">(Data!T46+Data!T47+Data!T48+Data!T49+Data!T50+Data!T51+Data!T52+Data!T53+Data!T54+Data!T55+Data!T56+Data!T57)/(Data!AP46+Data!AP47+Data!AP48+Data!AP49+Data!AP50+Data!AP51+Data!AP52+Data!AP53+Data!AP54+Data!AP55+Data!AP56+Data!AP57)</f>
        <v>0.0791970907505218</v>
      </c>
      <c r="P57" s="18" t="n">
        <f aca="false">(Data!U46+Data!U47+Data!U48+Data!U49+Data!U50+Data!U51+Data!U52+Data!U53+Data!U54+Data!U55+Data!U56+Data!U57)/(Data!AP46+Data!AP47+Data!AP48+Data!AP49+Data!AP50+Data!AP51+Data!AP52+Data!AP53+Data!AP54+Data!AP55+Data!AP56+Data!AP57)</f>
        <v>0.0133766037752197</v>
      </c>
      <c r="Q57" s="18" t="n">
        <f aca="false">(Data!V46+Data!V47+Data!V48+Data!V49+Data!V50+Data!V51+Data!V52+Data!V53+Data!V54+Data!V55+Data!V56+Data!V57)/(Data!AP46+Data!AP47+Data!AP48+Data!AP49+Data!AP50+Data!AP51+Data!AP52+Data!AP53+Data!AP54+Data!AP55+Data!AP56+Data!AP57)</f>
        <v>0.00850895923832346</v>
      </c>
      <c r="R57" s="18" t="n">
        <f aca="false">(Data!W46+Data!W47+Data!W48+Data!W49+Data!W50+Data!W51+Data!W52+Data!W53+Data!W54+Data!W55+Data!W56+Data!W57)/(Data!AP46+Data!AP47+Data!AP48+Data!AP49+Data!AP50+Data!AP51+Data!AP52+Data!AP53+Data!AP54+Data!AP55+Data!AP56+Data!AP57)</f>
        <v>0.00777415120734283</v>
      </c>
      <c r="S57" s="18" t="n">
        <f aca="false">(Data!X46+Data!X47+Data!X48+Data!X49+Data!X50+Data!X51+Data!X52+Data!X53+Data!X54+Data!X55+Data!X56+Data!X57)/(Data!AP46+Data!AP47+Data!AP48+Data!AP49+Data!AP50+Data!AP51+Data!AP52+Data!AP53+Data!AP54+Data!AP55+Data!AP56+Data!AP57)</f>
        <v>0.00790407168431043</v>
      </c>
      <c r="T57" s="18" t="n">
        <f aca="false">(Data!Y46+Data!Z46+Data!AA46+Data!Y47+Data!Z47+Data!AA47+Data!Y48+Data!Z48+Data!AA48+Data!Y49+Data!Z49+Data!AA49+Data!Y50+Data!Z50+Data!AA50+Data!Y51+Data!Z51+Data!AA51+Data!Y52+Data!Z52+Data!AA52+Data!Y53+Data!Z53+Data!AA53+Data!Y54+Data!Z54+Data!AA54+Data!Y55+Data!Z55+Data!AA55+Data!Y56+Data!Z56+Data!AA56+Data!Y57+Data!Z57+Data!AA57)/(Data!AP46+Data!AP47+Data!AP48+Data!AP49+Data!AP50+Data!AP51+Data!AP52+Data!AP53+Data!AP54+Data!AP55+Data!AP56+Data!AP57)</f>
        <v>0.0166460344447095</v>
      </c>
      <c r="U57" s="18" t="n">
        <f aca="false">(Data!Y46+Data!Y47+Data!Y48+Data!Y49+Data!Y50+Data!Y51+Data!Y52+Data!Y53+Data!Y54+Data!Y55+Data!Y56+Data!Y57)/(Data!AP46+Data!AP47+Data!AP48+Data!AP49+Data!AP50+Data!AP51+Data!AP52+Data!AP53+Data!AP54+Data!AP55+Data!AP56+Data!AP57)</f>
        <v>0.0107524661414139</v>
      </c>
      <c r="V57" s="18" t="n">
        <f aca="false">(Data!Z46+Data!Z47+Data!Z48+Data!Z49+Data!Z50+Data!Z51+Data!Z52+Data!Z53+Data!Z54+Data!Z55+Data!Z56+Data!Z57)/(Data!AP46+Data!AP47+Data!AP48+Data!AP49+Data!AP50+Data!AP51+Data!AP52+Data!AP53+Data!AP54+Data!AP55+Data!AP56+Data!AP57)</f>
        <v>0.00573058103826556</v>
      </c>
      <c r="W57" s="18" t="n">
        <f aca="false">(Data!AB46+Data!AB47+Data!AB48+Data!AB49+Data!AB50+Data!AB51+Data!AB52+Data!AB53+Data!AB54+Data!AB55+Data!AB56+Data!AB57)/(Data!AP46+Data!AP47+Data!AP48+Data!AP49+Data!AP50+Data!AP51+Data!AP52+Data!AP53+Data!AP54+Data!AP55+Data!AP56+Data!AP57)</f>
        <v>0.0249984491083222</v>
      </c>
      <c r="X57" s="18" t="n">
        <f aca="false">(Data!AC46+Data!AC47+Data!AC48+Data!AC49+Data!AC50+Data!AC51+Data!AC52+Data!AC53+Data!AC54+Data!AC55+Data!AC56+Data!AC57)/(Data!AP46+Data!AP47+Data!AP48+Data!AP49+Data!AP50+Data!AP51+Data!AP52+Data!AP53+Data!AP54+Data!AP55+Data!AP56+Data!AP57)</f>
        <v>0.0075495530494586</v>
      </c>
      <c r="Y57" s="18" t="n">
        <f aca="false">(Data!AD46+Data!AE46+Data!AF46+Data!AG46+Data!AH46+Data!AD47+Data!AE47+Data!AF47+Data!AG47+Data!AH47+Data!AD48+Data!AE48+Data!AF48+Data!AG48+Data!AH48+Data!AD49+Data!AE49+Data!AF49+Data!AG49+Data!AH49+Data!AD50+Data!AE50+Data!AF50+Data!AG50+Data!AH50+Data!AD51+Data!AE51+Data!AF51+Data!AG51+Data!AH51+Data!AD52+Data!AE52+Data!AF52+Data!AG52+Data!AH52+Data!AD53+Data!AE53+Data!AF53+Data!AG53+Data!AH53+Data!AD54+Data!AE54+Data!AF54+Data!AG54+Data!AH54+Data!AD55+Data!AE55+Data!AF55+Data!AG55+Data!AH55+Data!AD56+Data!AE56+Data!AF56+Data!AG56+Data!AH56+Data!AD57+Data!AE57+Data!AF57+Data!AG57+Data!AH57)/(Data!AP46+Data!AP47+Data!AP48+Data!AP49+Data!AP50+Data!AP51+Data!AP52+Data!AP53+Data!AP54+Data!AP55+Data!AP56+Data!AP57)</f>
        <v>0.00656714944283166</v>
      </c>
      <c r="Z57" s="18" t="n">
        <f aca="false">(Data!AI46+Data!AI47+Data!AI48+Data!AI49+Data!AI50+Data!AI51+Data!AI52+Data!AI53+Data!AI54+Data!AI55+Data!AI56+Data!AI57)/(Data!AP46+Data!AP47+Data!AP48+Data!AP49+Data!AP50+Data!AP51+Data!AP52+Data!AP53+Data!AP54+Data!AP55+Data!AP56+Data!AP57)</f>
        <v>0.00726684267823124</v>
      </c>
      <c r="AA57" s="18" t="n">
        <f aca="false">(Data!AJ46+Data!AJ47+Data!AJ48+Data!AJ49+Data!AJ50+Data!AJ51+Data!AJ52+Data!AJ53+Data!AJ54+Data!AJ55+Data!AJ56+Data!AJ57)/(Data!AP46+Data!AP47+Data!AP48+Data!AP49+Data!AP50+Data!AP51+Data!AP52+Data!AP53+Data!AP54+Data!AP55+Data!AP56+Data!AP57)</f>
        <v>-0.000132608486835897</v>
      </c>
      <c r="AB57" s="18" t="n">
        <f aca="false">(Data!AK46+Data!AK47+Data!AK48+Data!AK49+Data!AK50+Data!AK51+Data!AK52+Data!AK53+Data!AK54+Data!AK55+Data!AK56+Data!AK57)/(Data!AP46+Data!AP47+Data!AP48+Data!AP49+Data!AP50+Data!AP51+Data!AP52+Data!AP53+Data!AP54+Data!AP55+Data!AP56+Data!AP57)</f>
        <v>0.00207292494351198</v>
      </c>
      <c r="AC57" s="18" t="n">
        <f aca="false">(Data!AL46+Data!AL47+Data!AL48+Data!AL49+Data!AL50+Data!AL51+Data!AL52+Data!AL53+Data!AL54+Data!AL55+Data!AL56+Data!AL57)/(Data!AP46+Data!AP47+Data!AP48+Data!AP49+Data!AP50+Data!AP51+Data!AP52+Data!AP53+Data!AP54+Data!AP55+Data!AP56+Data!AP57)</f>
        <v>0.0097028622880796</v>
      </c>
      <c r="AD57" s="17" t="n">
        <f aca="false">(Data!AM46+Data!AM47+Data!AM48+Data!AM49+Data!AM50+Data!AM51+Data!AM52+Data!AM53+Data!AM54+Data!AM55+Data!AM56+Data!AM57)/(Data!AP46+Data!AP47+Data!AP48+Data!AP49+Data!AP50+Data!AP51+Data!AP52+Data!AP53+Data!AP54+Data!AP55+Data!AP56+Data!AP57)</f>
        <v>-0.0111555822880116</v>
      </c>
      <c r="AE57" s="18" t="n">
        <f aca="false">(Data!AN46+Data!AN47+Data!AN48+Data!AN49+Data!AN50+Data!AN51+Data!AN52+Data!AN53+Data!AN54+Data!AN55+Data!AN56+Data!AN57)/(Data!AP46+Data!AP47+Data!AP48+Data!AP49+Data!AP50+Data!AP51+Data!AP52+Data!AP53+Data!AP54+Data!AP55+Data!AP56+Data!AP57)</f>
        <v>0.0327624029448948</v>
      </c>
      <c r="AF57" s="17" t="n">
        <f aca="false">(Data!AO46+Data!AO47+Data!AO48+Data!AO49+Data!AO50+Data!AO51+Data!AO52+Data!AO53+Data!AO54+Data!AO55+Data!AO56+Data!AO57)/(Data!AP46+Data!AP47+Data!AP48+Data!AP49+Data!AP50+Data!AP51+Data!AP52+Data!AP53+Data!AP54+Data!AP55+Data!AP56+Data!AP57)</f>
        <v>-0.0439180278997297</v>
      </c>
    </row>
    <row r="58" customFormat="false" ht="15" hidden="false" customHeight="false" outlineLevel="0" collapsed="false">
      <c r="B58" s="14" t="str">
        <f aca="false">Data!B58</f>
        <v>2020-04</v>
      </c>
      <c r="C58" s="17" t="n">
        <f aca="false">(Data!D47+Data!E47+Data!F47+Data!G47+Data!H47+Data!I47+Data!J47+Data!K47+Data!L47+Data!M47+Data!N47+Data!O47+Data!P47+Data!Q47+Data!R47+Data!S47+Data!D48+Data!E48+Data!F48+Data!G48+Data!H48+Data!I48+Data!J48+Data!K48+Data!L48+Data!M48+Data!N48+Data!O48+Data!P48+Data!Q48+Data!R48+Data!S48+Data!D49+Data!E49+Data!F49+Data!G49+Data!H49+Data!I49+Data!J49+Data!K49+Data!L49+Data!M49+Data!N49+Data!O49+Data!P49+Data!Q49+Data!R49+Data!S49+Data!D50+Data!E50+Data!F50+Data!G50+Data!H50+Data!I50+Data!J50+Data!K50+Data!L50+Data!M50+Data!N50+Data!O50+Data!P50+Data!Q50+Data!R50+Data!S50+Data!D51+Data!E51+Data!F51+Data!G51+Data!H51+Data!I51+Data!J51+Data!K51+Data!L51+Data!M51+Data!N51+Data!O51+Data!P51+Data!Q51+Data!R51+Data!S51+Data!D52+Data!E52+Data!F52+Data!G52+Data!H52+Data!I52+Data!J52+Data!K52+Data!L52+Data!M52+Data!N52+Data!O52+Data!P52+Data!Q52+Data!R52+Data!S52+Data!D53+Data!E53+Data!F53+Data!G53+Data!H53+Data!I53+Data!J53+Data!K53+Data!L53+Data!M53+Data!N53+Data!O53+Data!P53+Data!Q53+Data!R53+Data!S53+Data!D54+Data!E54+Data!F54+Data!G54+Data!H54+Data!I54+Data!J54+Data!K54+Data!L54+Data!M54+Data!N54+Data!O54+Data!P54+Data!Q54+Data!R54+Data!S54+Data!D55+Data!E55+Data!F55+Data!G55+Data!H55+Data!I55+Data!J55+Data!K55+Data!L55+Data!M55+Data!N55+Data!O55+Data!P55+Data!Q55+Data!R55+Data!S55+Data!D56+Data!E56+Data!F56+Data!G56+Data!H56+Data!I56+Data!J56+Data!K56+Data!L56+Data!M56+Data!N56+Data!O56+Data!P56+Data!Q56+Data!R56+Data!S56+Data!D57+Data!E57+Data!F57+Data!G57+Data!H57+Data!I57+Data!J57+Data!K57+Data!L57+Data!M57+Data!N57+Data!O57+Data!P57+Data!Q57+Data!R57+Data!S57+Data!D58+Data!E58+Data!F58+Data!G58+Data!H58+Data!I58+Data!J58+Data!K58+Data!L58+Data!M58+Data!N58+Data!O58+Data!P58+Data!Q58+Data!R58+Data!S58)/(Data!AP47+Data!AP48+Data!AP49+Data!AP50+Data!AP51+Data!AP52+Data!AP53+Data!AP54+Data!AP55+Data!AP56+Data!AP57+Data!AP58)</f>
        <v>0.179593392753661</v>
      </c>
      <c r="D58" s="18" t="n">
        <f aca="false">(Data!D47+Data!E47+Data!G47+Data!H47+Data!I47+Data!J47+Data!K47+Data!L47+Data!M47+Data!D48+Data!E48+Data!G48+Data!H48+Data!I48+Data!J48+Data!K48+Data!L48+Data!M48+Data!D49+Data!E49+Data!G49+Data!H49+Data!I49+Data!J49+Data!K49+Data!L49+Data!M49+Data!D50+Data!E50+Data!G50+Data!H50+Data!I50+Data!J50+Data!K50+Data!L50+Data!M50+Data!D51+Data!E51+Data!G51+Data!H51+Data!I51+Data!J51+Data!K51+Data!L51+Data!M51+Data!D52+Data!E52+Data!G52+Data!H52+Data!I52+Data!J52+Data!K52+Data!L52+Data!M52+Data!D53+Data!E53+Data!G53+Data!H53+Data!I53+Data!J53+Data!K53+Data!L53+Data!M53+Data!D54+Data!E54+Data!G54+Data!H54+Data!I54+Data!J54+Data!K54+Data!L54+Data!M54+Data!D55+Data!E55+Data!G55+Data!H55+Data!I55+Data!J55+Data!K55+Data!L55+Data!M55+Data!D56+Data!E56+Data!G56+Data!H56+Data!I56+Data!J56+Data!K56+Data!L56+Data!M56+Data!D57+Data!E57+Data!G57+Data!H57+Data!I57+Data!J57+Data!K57+Data!L57+Data!M57+Data!D58+Data!E58+Data!G58+Data!H58+Data!I58+Data!J58+Data!K58+Data!L58+Data!M58)/(Data!AP47+Data!AP48+Data!AP49+Data!AP50+Data!AP51+Data!AP52+Data!AP53+Data!AP54+Data!AP55+Data!AP56+Data!AP57+Data!AP58)</f>
        <v>0.100988902456024</v>
      </c>
      <c r="E58" s="18" t="n">
        <f aca="false">(Data!D47+Data!D48+Data!D49+Data!D50+Data!D51+Data!D52+Data!D53+Data!D54+Data!D55+Data!D56+Data!D57+Data!D58)/(Data!AP47+Data!AP48+Data!AP49+Data!AP50+Data!AP51+Data!AP52+Data!AP53+Data!AP54+Data!AP55+Data!AP56+Data!AP57+Data!AP58)</f>
        <v>0.0309016307166286</v>
      </c>
      <c r="F58" s="18" t="n">
        <f aca="false">(Data!E47+Data!E48+Data!E49+Data!E50+Data!E51+Data!E52+Data!E53+Data!E54+Data!E55+Data!E56+Data!E57+Data!E58)/(Data!AP47+Data!AP48+Data!AP49+Data!AP50+Data!AP51+Data!AP52+Data!AP53+Data!AP54+Data!AP55+Data!AP56+Data!AP57+Data!AP58)</f>
        <v>0.0158739975712483</v>
      </c>
      <c r="G58" s="18" t="n">
        <f aca="false">(Data!K47+Data!K48+Data!K49+Data!K50+Data!K51+Data!K52+Data!K53+Data!K54+Data!K55+Data!K56+Data!K57+Data!K58)/(Data!AP47+Data!AP48+Data!AP49+Data!AP50+Data!AP51+Data!AP52+Data!AP53+Data!AP54+Data!AP55+Data!AP56+Data!AP57+Data!AP58)</f>
        <v>0.0175949455902065</v>
      </c>
      <c r="H58" s="18" t="n">
        <f aca="false">(Data!L47+Data!L48+Data!L49+Data!L50+Data!L51+Data!L52+Data!L53+Data!L54+Data!L55+Data!L56+Data!L57+Data!L58)/(Data!AP47+Data!AP48+Data!AP49+Data!AP50+Data!AP51+Data!AP52+Data!AP53+Data!AP54+Data!AP55+Data!AP56+Data!AP57+Data!AP58)</f>
        <v>0.00594228272644985</v>
      </c>
      <c r="I58" s="18" t="n">
        <f aca="false">(Data!G47+Data!G48+Data!G49+Data!G50+Data!G51+Data!G52+Data!G53+Data!G54+Data!G55+Data!G56+Data!G57+Data!G58)/(Data!AP47+Data!AP48+Data!AP49+Data!AP50+Data!AP51+Data!AP52+Data!AP53+Data!AP54+Data!AP55+Data!AP56+Data!AP57+Data!AP58)</f>
        <v>0.0159958032900644</v>
      </c>
      <c r="J58" s="18" t="n">
        <f aca="false">(Data!H47+Data!I47+Data!J47+Data!M47+Data!H48+Data!I48+Data!J48+Data!M48+Data!H49+Data!I49+Data!J49+Data!M49+Data!H50+Data!I50+Data!J50+Data!M50+Data!H51+Data!I51+Data!J51+Data!M51+Data!H52+Data!I52+Data!J52+Data!M52+Data!H53+Data!I53+Data!J53+Data!M53+Data!H54+Data!I54+Data!J54+Data!M54+Data!H55+Data!I55+Data!J55+Data!M55+Data!H56+Data!I56+Data!J56+Data!M56+Data!H57+Data!I57+Data!J57+Data!M57+Data!H58+Data!I58+Data!J58+Data!M58)/(Data!AP47+Data!AP48+Data!AP49+Data!AP50+Data!AP51+Data!AP52+Data!AP53+Data!AP54+Data!AP55+Data!AP56+Data!AP57+Data!AP58)</f>
        <v>0.0146802425614261</v>
      </c>
      <c r="K58" s="18" t="n">
        <f aca="false">(Data!F47+Data!F48+Data!F49+Data!F50+Data!F51+Data!F52+Data!F53+Data!F54+Data!F55+Data!F56+Data!F57+Data!F58)/(Data!AP47+Data!AP48+Data!AP49+Data!AP50+Data!AP51+Data!AP52+Data!AP53+Data!AP54+Data!AP55+Data!AP56+Data!AP57+Data!AP58)</f>
        <v>0.0567629391039192</v>
      </c>
      <c r="L58" s="18" t="n">
        <f aca="false">(Data!N47+Data!O47+Data!P47+Data!Q47+Data!R47+Data!S47+Data!N48+Data!O48+Data!P48+Data!Q48+Data!R48+Data!S48+Data!N49+Data!O49+Data!P49+Data!Q49+Data!R49+Data!S49+Data!N50+Data!O50+Data!P50+Data!Q50+Data!R50+Data!S50+Data!N51+Data!O51+Data!P51+Data!Q51+Data!R51+Data!S51+Data!N52+Data!O52+Data!P52+Data!Q52+Data!R52+Data!S52+Data!N53+Data!O53+Data!P53+Data!Q53+Data!R53+Data!S53+Data!N54+Data!O54+Data!P54+Data!Q54+Data!R54+Data!S54+Data!N55+Data!O55+Data!P55+Data!Q55+Data!R55+Data!S55+Data!N56+Data!O56+Data!P56+Data!Q56+Data!R56+Data!S56+Data!N57+Data!O57+Data!P57+Data!Q57+Data!R57+Data!S57+Data!N58+Data!O58+Data!P58+Data!Q58+Data!R58+Data!S58)/(Data!AP47+Data!AP48+Data!AP49+Data!AP50+Data!AP51+Data!AP52+Data!AP53+Data!AP54+Data!AP55+Data!AP56+Data!AP57+Data!AP58)</f>
        <v>0.0218415511937181</v>
      </c>
      <c r="M58" s="17" t="n">
        <f aca="false">(Data!T47+Data!U47+Data!V47+Data!W47+Data!X47+Data!Y47+Data!Z47+Data!AA47+Data!AB47+Data!AC47+Data!AD47+Data!AE47+Data!AF47+Data!AG47+Data!AH47+Data!AI47+Data!AJ47+Data!AK47+Data!AL47+Data!T48+Data!U48+Data!V48+Data!W48+Data!X48+Data!Y48+Data!Z48+Data!AA48+Data!AB48+Data!AC48+Data!AD48+Data!AE48+Data!AF48+Data!AG48+Data!AH48+Data!AI48+Data!AJ48+Data!AK48+Data!AL48+Data!T49+Data!U49+Data!V49+Data!W49+Data!X49+Data!Y49+Data!Z49+Data!AA49+Data!AB49+Data!AC49+Data!AD49+Data!AE49+Data!AF49+Data!AG49+Data!AH49+Data!AI49+Data!AJ49+Data!AK49+Data!AL49+Data!T50+Data!U50+Data!V50+Data!W50+Data!X50+Data!Y50+Data!Z50+Data!AA50+Data!AB50+Data!AC50+Data!AD50+Data!AE50+Data!AF50+Data!AG50+Data!AH50+Data!AI50+Data!AJ50+Data!AK50+Data!AL50+Data!T51+Data!U51+Data!V51+Data!W51+Data!X51+Data!Y51+Data!Z51+Data!AA51+Data!AB51+Data!AC51+Data!AD51+Data!AE51+Data!AF51+Data!AG51+Data!AH51+Data!AI51+Data!AJ51+Data!AK51+Data!AL51+Data!T52+Data!U52+Data!V52+Data!W52+Data!X52+Data!Y52+Data!Z52+Data!AA52+Data!AB52+Data!AC52+Data!AD52+Data!AE52+Data!AF52+Data!AG52+Data!AH52+Data!AI52+Data!AJ52+Data!AK52+Data!AL52+Data!T53+Data!U53+Data!V53+Data!W53+Data!X53+Data!Y53+Data!Z53+Data!AA53+Data!AB53+Data!AC53+Data!AD53+Data!AE53+Data!AF53+Data!AG53+Data!AH53+Data!AI53+Data!AJ53+Data!AK53+Data!AL53+Data!T54+Data!U54+Data!V54+Data!W54+Data!X54+Data!Y54+Data!Z54+Data!AA54+Data!AB54+Data!AC54+Data!AD54+Data!AE54+Data!AF54+Data!AG54+Data!AH54+Data!AI54+Data!AJ54+Data!AK54+Data!AL54+Data!T55+Data!U55+Data!V55+Data!W55+Data!X55+Data!Y55+Data!Z55+Data!AA55+Data!AB55+Data!AC55+Data!AD55+Data!AE55+Data!AF55+Data!AG55+Data!AH55+Data!AI55+Data!AJ55+Data!AK55+Data!AL55+Data!T56+Data!U56+Data!V56+Data!W56+Data!X56+Data!Y56+Data!Z56+Data!AA56+Data!AB56+Data!AC56+Data!AD56+Data!AE56+Data!AF56+Data!AG56+Data!AH56+Data!AI56+Data!AJ56+Data!AK56+Data!AL56+Data!T57+Data!U57+Data!V57+Data!W57+Data!X57+Data!Y57+Data!Z57+Data!AA57+Data!AB57+Data!AC57+Data!AD57+Data!AE57+Data!AF57+Data!AG57+Data!AH57+Data!AI57+Data!AJ57+Data!AK57+Data!AL57+Data!T58+Data!U58+Data!V58+Data!W58+Data!X58+Data!Y58+Data!Z58+Data!AA58+Data!AB58+Data!AC58+Data!AD58+Data!AE58+Data!AF58+Data!AG58+Data!AH58+Data!AI58+Data!AJ58+Data!AK58+Data!AL58)/(Data!AP47+Data!AP48+Data!AP49+Data!AP50+Data!AP51+Data!AP52+Data!AP53+Data!AP54+Data!AP55+Data!AP56+Data!AP57+Data!AP58)</f>
        <v>0.200264101216615</v>
      </c>
      <c r="N58" s="18" t="n">
        <f aca="false">(Data!T47+Data!U47+Data!V47+Data!W47+Data!T48+Data!U48+Data!V48+Data!W48+Data!T49+Data!U49+Data!V49+Data!W49+Data!T50+Data!U50+Data!V50+Data!W50+Data!T51+Data!U51+Data!V51+Data!W51+Data!T52+Data!U52+Data!V52+Data!W52+Data!T53+Data!U53+Data!V53+Data!W53+Data!T54+Data!U54+Data!V54+Data!W54+Data!T55+Data!U55+Data!V55+Data!W55+Data!T56+Data!U56+Data!V56+Data!W56+Data!T57+Data!U57+Data!V57+Data!W57+Data!T58+Data!U58+Data!V58+Data!W58)/(Data!AP47+Data!AP48+Data!AP49+Data!AP50+Data!AP51+Data!AP52+Data!AP53+Data!AP54+Data!AP55+Data!AP56+Data!AP57+Data!AP58)</f>
        <v>0.111129860319867</v>
      </c>
      <c r="O58" s="18" t="n">
        <f aca="false">(Data!T47+Data!T48+Data!T49+Data!T50+Data!T51+Data!T52+Data!T53+Data!T54+Data!T55+Data!T56+Data!T57+Data!T58)/(Data!AP47+Data!AP48+Data!AP49+Data!AP50+Data!AP51+Data!AP52+Data!AP53+Data!AP54+Data!AP55+Data!AP56+Data!AP57+Data!AP58)</f>
        <v>0.0806052292536963</v>
      </c>
      <c r="P58" s="18" t="n">
        <f aca="false">(Data!U47+Data!U48+Data!U49+Data!U50+Data!U51+Data!U52+Data!U53+Data!U54+Data!U55+Data!U56+Data!U57+Data!U58)/(Data!AP47+Data!AP48+Data!AP49+Data!AP50+Data!AP51+Data!AP52+Data!AP53+Data!AP54+Data!AP55+Data!AP56+Data!AP57+Data!AP58)</f>
        <v>0.0135648273292658</v>
      </c>
      <c r="Q58" s="18" t="n">
        <f aca="false">(Data!V47+Data!V48+Data!V49+Data!V50+Data!V51+Data!V52+Data!V53+Data!V54+Data!V55+Data!V56+Data!V57+Data!V58)/(Data!AP47+Data!AP48+Data!AP49+Data!AP50+Data!AP51+Data!AP52+Data!AP53+Data!AP54+Data!AP55+Data!AP56+Data!AP57+Data!AP58)</f>
        <v>0.0087189645448013</v>
      </c>
      <c r="R58" s="18" t="n">
        <f aca="false">(Data!W47+Data!W48+Data!W49+Data!W50+Data!W51+Data!W52+Data!W53+Data!W54+Data!W55+Data!W56+Data!W57+Data!W58)/(Data!AP47+Data!AP48+Data!AP49+Data!AP50+Data!AP51+Data!AP52+Data!AP53+Data!AP54+Data!AP55+Data!AP56+Data!AP57+Data!AP58)</f>
        <v>0.00824083919210395</v>
      </c>
      <c r="S58" s="18" t="n">
        <f aca="false">(Data!X47+Data!X48+Data!X49+Data!X50+Data!X51+Data!X52+Data!X53+Data!X54+Data!X55+Data!X56+Data!X57+Data!X58)/(Data!AP47+Data!AP48+Data!AP49+Data!AP50+Data!AP51+Data!AP52+Data!AP53+Data!AP54+Data!AP55+Data!AP56+Data!AP57+Data!AP58)</f>
        <v>0.01111207627973</v>
      </c>
      <c r="T58" s="18" t="n">
        <f aca="false">(Data!Y47+Data!Z47+Data!AA47+Data!Y48+Data!Z48+Data!AA48+Data!Y49+Data!Z49+Data!AA49+Data!Y50+Data!Z50+Data!AA50+Data!Y51+Data!Z51+Data!AA51+Data!Y52+Data!Z52+Data!AA52+Data!Y53+Data!Z53+Data!AA53+Data!Y54+Data!Z54+Data!AA54+Data!Y55+Data!Z55+Data!AA55+Data!Y56+Data!Z56+Data!AA56+Data!Y57+Data!Z57+Data!AA57+Data!Y58+Data!Z58+Data!AA58)/(Data!AP47+Data!AP48+Data!AP49+Data!AP50+Data!AP51+Data!AP52+Data!AP53+Data!AP54+Data!AP55+Data!AP56+Data!AP57+Data!AP58)</f>
        <v>0.0179219509847046</v>
      </c>
      <c r="U58" s="18" t="n">
        <f aca="false">(Data!Y47+Data!Y48+Data!Y49+Data!Y50+Data!Y51+Data!Y52+Data!Y53+Data!Y54+Data!Y55+Data!Y56+Data!Y57+Data!Y58)/(Data!AP47+Data!AP48+Data!AP49+Data!AP50+Data!AP51+Data!AP52+Data!AP53+Data!AP54+Data!AP55+Data!AP56+Data!AP57+Data!AP58)</f>
        <v>0.0118467433451898</v>
      </c>
      <c r="V58" s="18" t="n">
        <f aca="false">(Data!Z47+Data!Z48+Data!Z49+Data!Z50+Data!Z51+Data!Z52+Data!Z53+Data!Z54+Data!Z55+Data!Z56+Data!Z57+Data!Z58)/(Data!AP47+Data!AP48+Data!AP49+Data!AP50+Data!AP51+Data!AP52+Data!AP53+Data!AP54+Data!AP55+Data!AP56+Data!AP57+Data!AP58)</f>
        <v>0.00591204188754598</v>
      </c>
      <c r="W58" s="18" t="n">
        <f aca="false">(Data!AB47+Data!AB48+Data!AB49+Data!AB50+Data!AB51+Data!AB52+Data!AB53+Data!AB54+Data!AB55+Data!AB56+Data!AB57+Data!AB58)/(Data!AP47+Data!AP48+Data!AP49+Data!AP50+Data!AP51+Data!AP52+Data!AP53+Data!AP54+Data!AP55+Data!AP56+Data!AP57+Data!AP58)</f>
        <v>0.0255132017946159</v>
      </c>
      <c r="X58" s="18" t="n">
        <f aca="false">(Data!AC47+Data!AC48+Data!AC49+Data!AC50+Data!AC51+Data!AC52+Data!AC53+Data!AC54+Data!AC55+Data!AC56+Data!AC57+Data!AC58)/(Data!AP47+Data!AP48+Data!AP49+Data!AP50+Data!AP51+Data!AP52+Data!AP53+Data!AP54+Data!AP55+Data!AP56+Data!AP57+Data!AP58)</f>
        <v>0.00761761677809208</v>
      </c>
      <c r="Y58" s="18" t="n">
        <f aca="false">(Data!AD47+Data!AE47+Data!AF47+Data!AG47+Data!AH47+Data!AD48+Data!AE48+Data!AF48+Data!AG48+Data!AH48+Data!AD49+Data!AE49+Data!AF49+Data!AG49+Data!AH49+Data!AD50+Data!AE50+Data!AF50+Data!AG50+Data!AH50+Data!AD51+Data!AE51+Data!AF51+Data!AG51+Data!AH51+Data!AD52+Data!AE52+Data!AF52+Data!AG52+Data!AH52+Data!AD53+Data!AE53+Data!AF53+Data!AG53+Data!AH53+Data!AD54+Data!AE54+Data!AF54+Data!AG54+Data!AH54+Data!AD55+Data!AE55+Data!AF55+Data!AG55+Data!AH55+Data!AD56+Data!AE56+Data!AF56+Data!AG56+Data!AH56+Data!AD57+Data!AE57+Data!AF57+Data!AG57+Data!AH57+Data!AD58+Data!AE58+Data!AF58+Data!AG58+Data!AH58)/(Data!AP47+Data!AP48+Data!AP49+Data!AP50+Data!AP51+Data!AP52+Data!AP53+Data!AP54+Data!AP55+Data!AP56+Data!AP57+Data!AP58)</f>
        <v>0.00832768683809249</v>
      </c>
      <c r="Z58" s="18" t="n">
        <f aca="false">(Data!AI47+Data!AI48+Data!AI49+Data!AI50+Data!AI51+Data!AI52+Data!AI53+Data!AI54+Data!AI55+Data!AI56+Data!AI57+Data!AI58)/(Data!AP47+Data!AP48+Data!AP49+Data!AP50+Data!AP51+Data!AP52+Data!AP53+Data!AP54+Data!AP55+Data!AP56+Data!AP57+Data!AP58)</f>
        <v>0.00680823209673328</v>
      </c>
      <c r="AA58" s="18" t="n">
        <f aca="false">(Data!AJ47+Data!AJ48+Data!AJ49+Data!AJ50+Data!AJ51+Data!AJ52+Data!AJ53+Data!AJ54+Data!AJ55+Data!AJ56+Data!AJ57+Data!AJ58)/(Data!AP47+Data!AP48+Data!AP49+Data!AP50+Data!AP51+Data!AP52+Data!AP53+Data!AP54+Data!AP55+Data!AP56+Data!AP57+Data!AP58)</f>
        <v>-0.000157479800364288</v>
      </c>
      <c r="AB58" s="18" t="n">
        <f aca="false">(Data!AK47+Data!AK48+Data!AK49+Data!AK50+Data!AK51+Data!AK52+Data!AK53+Data!AK54+Data!AK55+Data!AK56+Data!AK57+Data!AK58)/(Data!AP47+Data!AP48+Data!AP49+Data!AP50+Data!AP51+Data!AP52+Data!AP53+Data!AP54+Data!AP55+Data!AP56+Data!AP57+Data!AP58)</f>
        <v>0.00210169618565873</v>
      </c>
      <c r="AC58" s="18" t="n">
        <f aca="false">(Data!AL47+Data!AL48+Data!AL49+Data!AL50+Data!AL51+Data!AL52+Data!AL53+Data!AL54+Data!AL55+Data!AL56+Data!AL57+Data!AL58)/(Data!AP47+Data!AP48+Data!AP49+Data!AP50+Data!AP51+Data!AP52+Data!AP53+Data!AP54+Data!AP55+Data!AP56+Data!AP57+Data!AP58)</f>
        <v>0.00988925973948493</v>
      </c>
      <c r="AD58" s="17" t="n">
        <f aca="false">(Data!AM47+Data!AM48+Data!AM49+Data!AM50+Data!AM51+Data!AM52+Data!AM53+Data!AM54+Data!AM55+Data!AM56+Data!AM57+Data!AM58)/(Data!AP47+Data!AP48+Data!AP49+Data!AP50+Data!AP51+Data!AP52+Data!AP53+Data!AP54+Data!AP55+Data!AP56+Data!AP57+Data!AP58)</f>
        <v>-0.020670708462954</v>
      </c>
      <c r="AE58" s="18" t="n">
        <f aca="false">(Data!AN47+Data!AN48+Data!AN49+Data!AN50+Data!AN51+Data!AN52+Data!AN53+Data!AN54+Data!AN55+Data!AN56+Data!AN57+Data!AN58)/(Data!AP47+Data!AP48+Data!AP49+Data!AP50+Data!AP51+Data!AP52+Data!AP53+Data!AP54+Data!AP55+Data!AP56+Data!AP57+Data!AP58)</f>
        <v>0.0311052299022293</v>
      </c>
      <c r="AF58" s="17" t="n">
        <f aca="false">(Data!AO47+Data!AO48+Data!AO49+Data!AO50+Data!AO51+Data!AO52+Data!AO53+Data!AO54+Data!AO55+Data!AO56+Data!AO57+Data!AO58)/(Data!AP47+Data!AP48+Data!AP49+Data!AP50+Data!AP51+Data!AP52+Data!AP53+Data!AP54+Data!AP55+Data!AP56+Data!AP57+Data!AP58)</f>
        <v>-0.0517758962470233</v>
      </c>
    </row>
    <row r="59" customFormat="false" ht="15" hidden="false" customHeight="false" outlineLevel="0" collapsed="false">
      <c r="B59" s="14" t="str">
        <f aca="false">Data!B59</f>
        <v>2020-05</v>
      </c>
      <c r="C59" s="17" t="n">
        <f aca="false">(Data!D48+Data!E48+Data!F48+Data!G48+Data!H48+Data!I48+Data!J48+Data!K48+Data!L48+Data!M48+Data!N48+Data!O48+Data!P48+Data!Q48+Data!R48+Data!S48+Data!D49+Data!E49+Data!F49+Data!G49+Data!H49+Data!I49+Data!J49+Data!K49+Data!L49+Data!M49+Data!N49+Data!O49+Data!P49+Data!Q49+Data!R49+Data!S49+Data!D50+Data!E50+Data!F50+Data!G50+Data!H50+Data!I50+Data!J50+Data!K50+Data!L50+Data!M50+Data!N50+Data!O50+Data!P50+Data!Q50+Data!R50+Data!S50+Data!D51+Data!E51+Data!F51+Data!G51+Data!H51+Data!I51+Data!J51+Data!K51+Data!L51+Data!M51+Data!N51+Data!O51+Data!P51+Data!Q51+Data!R51+Data!S51+Data!D52+Data!E52+Data!F52+Data!G52+Data!H52+Data!I52+Data!J52+Data!K52+Data!L52+Data!M52+Data!N52+Data!O52+Data!P52+Data!Q52+Data!R52+Data!S52+Data!D53+Data!E53+Data!F53+Data!G53+Data!H53+Data!I53+Data!J53+Data!K53+Data!L53+Data!M53+Data!N53+Data!O53+Data!P53+Data!Q53+Data!R53+Data!S53+Data!D54+Data!E54+Data!F54+Data!G54+Data!H54+Data!I54+Data!J54+Data!K54+Data!L54+Data!M54+Data!N54+Data!O54+Data!P54+Data!Q54+Data!R54+Data!S54+Data!D55+Data!E55+Data!F55+Data!G55+Data!H55+Data!I55+Data!J55+Data!K55+Data!L55+Data!M55+Data!N55+Data!O55+Data!P55+Data!Q55+Data!R55+Data!S55+Data!D56+Data!E56+Data!F56+Data!G56+Data!H56+Data!I56+Data!J56+Data!K56+Data!L56+Data!M56+Data!N56+Data!O56+Data!P56+Data!Q56+Data!R56+Data!S56+Data!D57+Data!E57+Data!F57+Data!G57+Data!H57+Data!I57+Data!J57+Data!K57+Data!L57+Data!M57+Data!N57+Data!O57+Data!P57+Data!Q57+Data!R57+Data!S57+Data!D58+Data!E58+Data!F58+Data!G58+Data!H58+Data!I58+Data!J58+Data!K58+Data!L58+Data!M58+Data!N58+Data!O58+Data!P58+Data!Q58+Data!R58+Data!S58+Data!D59+Data!E59+Data!F59+Data!G59+Data!H59+Data!I59+Data!J59+Data!K59+Data!L59+Data!M59+Data!N59+Data!O59+Data!P59+Data!Q59+Data!R59+Data!S59)/(Data!AP48+Data!AP49+Data!AP50+Data!AP51+Data!AP52+Data!AP53+Data!AP54+Data!AP55+Data!AP56+Data!AP57+Data!AP58+Data!AP59)</f>
        <v>0.178677690258859</v>
      </c>
      <c r="D59" s="18" t="n">
        <f aca="false">(Data!D48+Data!E48+Data!G48+Data!H48+Data!I48+Data!J48+Data!K48+Data!L48+Data!M48+Data!D49+Data!E49+Data!G49+Data!H49+Data!I49+Data!J49+Data!K49+Data!L49+Data!M49+Data!D50+Data!E50+Data!G50+Data!H50+Data!I50+Data!J50+Data!K50+Data!L50+Data!M50+Data!D51+Data!E51+Data!G51+Data!H51+Data!I51+Data!J51+Data!K51+Data!L51+Data!M51+Data!D52+Data!E52+Data!G52+Data!H52+Data!I52+Data!J52+Data!K52+Data!L52+Data!M52+Data!D53+Data!E53+Data!G53+Data!H53+Data!I53+Data!J53+Data!K53+Data!L53+Data!M53+Data!D54+Data!E54+Data!G54+Data!H54+Data!I54+Data!J54+Data!K54+Data!L54+Data!M54+Data!D55+Data!E55+Data!G55+Data!H55+Data!I55+Data!J55+Data!K55+Data!L55+Data!M55+Data!D56+Data!E56+Data!G56+Data!H56+Data!I56+Data!J56+Data!K56+Data!L56+Data!M56+Data!D57+Data!E57+Data!G57+Data!H57+Data!I57+Data!J57+Data!K57+Data!L57+Data!M57+Data!D58+Data!E58+Data!G58+Data!H58+Data!I58+Data!J58+Data!K58+Data!L58+Data!M58+Data!D59+Data!E59+Data!G59+Data!H59+Data!I59+Data!J59+Data!K59+Data!L59+Data!M59)/(Data!AP48+Data!AP49+Data!AP50+Data!AP51+Data!AP52+Data!AP53+Data!AP54+Data!AP55+Data!AP56+Data!AP57+Data!AP58+Data!AP59)</f>
        <v>0.10001121290335</v>
      </c>
      <c r="E59" s="18" t="n">
        <f aca="false">(Data!D48+Data!D49+Data!D50+Data!D51+Data!D52+Data!D53+Data!D54+Data!D55+Data!D56+Data!D57+Data!D58+Data!D59)/(Data!AP48+Data!AP49+Data!AP50+Data!AP51+Data!AP52+Data!AP53+Data!AP54+Data!AP55+Data!AP56+Data!AP57+Data!AP58+Data!AP59)</f>
        <v>0.030487149378516</v>
      </c>
      <c r="F59" s="18" t="n">
        <f aca="false">(Data!E48+Data!E49+Data!E50+Data!E51+Data!E52+Data!E53+Data!E54+Data!E55+Data!E56+Data!E57+Data!E58+Data!E59)/(Data!AP48+Data!AP49+Data!AP50+Data!AP51+Data!AP52+Data!AP53+Data!AP54+Data!AP55+Data!AP56+Data!AP57+Data!AP58+Data!AP59)</f>
        <v>0.015829447751837</v>
      </c>
      <c r="G59" s="18" t="n">
        <f aca="false">(Data!K48+Data!K49+Data!K50+Data!K51+Data!K52+Data!K53+Data!K54+Data!K55+Data!K56+Data!K57+Data!K58+Data!K59)/(Data!AP48+Data!AP49+Data!AP50+Data!AP51+Data!AP52+Data!AP53+Data!AP54+Data!AP55+Data!AP56+Data!AP57+Data!AP58+Data!AP59)</f>
        <v>0.0169129385645056</v>
      </c>
      <c r="H59" s="18" t="n">
        <f aca="false">(Data!L48+Data!L49+Data!L50+Data!L51+Data!L52+Data!L53+Data!L54+Data!L55+Data!L56+Data!L57+Data!L58+Data!L59)/(Data!AP48+Data!AP49+Data!AP50+Data!AP51+Data!AP52+Data!AP53+Data!AP54+Data!AP55+Data!AP56+Data!AP57+Data!AP58+Data!AP59)</f>
        <v>0.00588696396035478</v>
      </c>
      <c r="I59" s="18" t="n">
        <f aca="false">(Data!G48+Data!G49+Data!G50+Data!G51+Data!G52+Data!G53+Data!G54+Data!G55+Data!G56+Data!G57+Data!G58+Data!G59)/(Data!AP48+Data!AP49+Data!AP50+Data!AP51+Data!AP52+Data!AP53+Data!AP54+Data!AP55+Data!AP56+Data!AP57+Data!AP58+Data!AP59)</f>
        <v>0.0158253068627676</v>
      </c>
      <c r="J59" s="18" t="n">
        <f aca="false">(Data!H48+Data!I48+Data!J48+Data!M48+Data!H49+Data!I49+Data!J49+Data!M49+Data!H50+Data!I50+Data!J50+Data!M50+Data!H51+Data!I51+Data!J51+Data!M51+Data!H52+Data!I52+Data!J52+Data!M52+Data!H53+Data!I53+Data!J53+Data!M53+Data!H54+Data!I54+Data!J54+Data!M54+Data!H55+Data!I55+Data!J55+Data!M55+Data!H56+Data!I56+Data!J56+Data!M56+Data!H57+Data!I57+Data!J57+Data!M57+Data!H58+Data!I58+Data!J58+Data!M58+Data!H59+Data!I59+Data!J59+Data!M59)/(Data!AP48+Data!AP49+Data!AP50+Data!AP51+Data!AP52+Data!AP53+Data!AP54+Data!AP55+Data!AP56+Data!AP57+Data!AP58+Data!AP59)</f>
        <v>0.0150694063853686</v>
      </c>
      <c r="K59" s="18" t="n">
        <f aca="false">(Data!F48+Data!F49+Data!F50+Data!F51+Data!F52+Data!F53+Data!F54+Data!F55+Data!F56+Data!F57+Data!F58+Data!F59)/(Data!AP48+Data!AP49+Data!AP50+Data!AP51+Data!AP52+Data!AP53+Data!AP54+Data!AP55+Data!AP56+Data!AP57+Data!AP58+Data!AP59)</f>
        <v>0.0568462506264462</v>
      </c>
      <c r="L59" s="18" t="n">
        <f aca="false">(Data!N48+Data!O48+Data!P48+Data!Q48+Data!R48+Data!S48+Data!N49+Data!O49+Data!P49+Data!Q49+Data!R49+Data!S49+Data!N50+Data!O50+Data!P50+Data!Q50+Data!R50+Data!S50+Data!N51+Data!O51+Data!P51+Data!Q51+Data!R51+Data!S51+Data!N52+Data!O52+Data!P52+Data!Q52+Data!R52+Data!S52+Data!N53+Data!O53+Data!P53+Data!Q53+Data!R53+Data!S53+Data!N54+Data!O54+Data!P54+Data!Q54+Data!R54+Data!S54+Data!N55+Data!O55+Data!P55+Data!Q55+Data!R55+Data!S55+Data!N56+Data!O56+Data!P56+Data!Q56+Data!R56+Data!S56+Data!N57+Data!O57+Data!P57+Data!Q57+Data!R57+Data!S57+Data!N58+Data!O58+Data!P58+Data!Q58+Data!R58+Data!S58+Data!N59+Data!O59+Data!P59+Data!Q59+Data!R59+Data!S59)/(Data!AP48+Data!AP49+Data!AP50+Data!AP51+Data!AP52+Data!AP53+Data!AP54+Data!AP55+Data!AP56+Data!AP57+Data!AP58+Data!AP59)</f>
        <v>0.0218202267290635</v>
      </c>
      <c r="M59" s="17" t="n">
        <f aca="false">(Data!T48+Data!U48+Data!V48+Data!W48+Data!X48+Data!Y48+Data!Z48+Data!AA48+Data!AB48+Data!AC48+Data!AD48+Data!AE48+Data!AF48+Data!AG48+Data!AH48+Data!AI48+Data!AJ48+Data!AK48+Data!AL48+Data!T49+Data!U49+Data!V49+Data!W49+Data!X49+Data!Y49+Data!Z49+Data!AA49+Data!AB49+Data!AC49+Data!AD49+Data!AE49+Data!AF49+Data!AG49+Data!AH49+Data!AI49+Data!AJ49+Data!AK49+Data!AL49+Data!T50+Data!U50+Data!V50+Data!W50+Data!X50+Data!Y50+Data!Z50+Data!AA50+Data!AB50+Data!AC50+Data!AD50+Data!AE50+Data!AF50+Data!AG50+Data!AH50+Data!AI50+Data!AJ50+Data!AK50+Data!AL50+Data!T51+Data!U51+Data!V51+Data!W51+Data!X51+Data!Y51+Data!Z51+Data!AA51+Data!AB51+Data!AC51+Data!AD51+Data!AE51+Data!AF51+Data!AG51+Data!AH51+Data!AI51+Data!AJ51+Data!AK51+Data!AL51+Data!T52+Data!U52+Data!V52+Data!W52+Data!X52+Data!Y52+Data!Z52+Data!AA52+Data!AB52+Data!AC52+Data!AD52+Data!AE52+Data!AF52+Data!AG52+Data!AH52+Data!AI52+Data!AJ52+Data!AK52+Data!AL52+Data!T53+Data!U53+Data!V53+Data!W53+Data!X53+Data!Y53+Data!Z53+Data!AA53+Data!AB53+Data!AC53+Data!AD53+Data!AE53+Data!AF53+Data!AG53+Data!AH53+Data!AI53+Data!AJ53+Data!AK53+Data!AL53+Data!T54+Data!U54+Data!V54+Data!W54+Data!X54+Data!Y54+Data!Z54+Data!AA54+Data!AB54+Data!AC54+Data!AD54+Data!AE54+Data!AF54+Data!AG54+Data!AH54+Data!AI54+Data!AJ54+Data!AK54+Data!AL54+Data!T55+Data!U55+Data!V55+Data!W55+Data!X55+Data!Y55+Data!Z55+Data!AA55+Data!AB55+Data!AC55+Data!AD55+Data!AE55+Data!AF55+Data!AG55+Data!AH55+Data!AI55+Data!AJ55+Data!AK55+Data!AL55+Data!T56+Data!U56+Data!V56+Data!W56+Data!X56+Data!Y56+Data!Z56+Data!AA56+Data!AB56+Data!AC56+Data!AD56+Data!AE56+Data!AF56+Data!AG56+Data!AH56+Data!AI56+Data!AJ56+Data!AK56+Data!AL56+Data!T57+Data!U57+Data!V57+Data!W57+Data!X57+Data!Y57+Data!Z57+Data!AA57+Data!AB57+Data!AC57+Data!AD57+Data!AE57+Data!AF57+Data!AG57+Data!AH57+Data!AI57+Data!AJ57+Data!AK57+Data!AL57+Data!T58+Data!U58+Data!V58+Data!W58+Data!X58+Data!Y58+Data!Z58+Data!AA58+Data!AB58+Data!AC58+Data!AD58+Data!AE58+Data!AF58+Data!AG58+Data!AH58+Data!AI58+Data!AJ58+Data!AK58+Data!AL58+Data!T59+Data!U59+Data!V59+Data!W59+Data!X59+Data!Y59+Data!Z59+Data!AA59+Data!AB59+Data!AC59+Data!AD59+Data!AE59+Data!AF59+Data!AG59+Data!AH59+Data!AI59+Data!AJ59+Data!AK59+Data!AL59)/(Data!AP48+Data!AP49+Data!AP50+Data!AP51+Data!AP52+Data!AP53+Data!AP54+Data!AP55+Data!AP56+Data!AP57+Data!AP58+Data!AP59)</f>
        <v>0.210802624005073</v>
      </c>
      <c r="N59" s="18" t="n">
        <f aca="false">(Data!T48+Data!U48+Data!V48+Data!W48+Data!T49+Data!U49+Data!V49+Data!W49+Data!T50+Data!U50+Data!V50+Data!W50+Data!T51+Data!U51+Data!V51+Data!W51+Data!T52+Data!U52+Data!V52+Data!W52+Data!T53+Data!U53+Data!V53+Data!W53+Data!T54+Data!U54+Data!V54+Data!W54+Data!T55+Data!U55+Data!V55+Data!W55+Data!T56+Data!U56+Data!V56+Data!W56+Data!T57+Data!U57+Data!V57+Data!W57+Data!T58+Data!U58+Data!V58+Data!W58+Data!T59+Data!U59+Data!V59+Data!W59)/(Data!AP48+Data!AP49+Data!AP50+Data!AP51+Data!AP52+Data!AP53+Data!AP54+Data!AP55+Data!AP56+Data!AP57+Data!AP58+Data!AP59)</f>
        <v>0.113408202030621</v>
      </c>
      <c r="O59" s="18" t="n">
        <f aca="false">(Data!T48+Data!T49+Data!T50+Data!T51+Data!T52+Data!T53+Data!T54+Data!T55+Data!T56+Data!T57+Data!T58+Data!T59)/(Data!AP48+Data!AP49+Data!AP50+Data!AP51+Data!AP52+Data!AP53+Data!AP54+Data!AP55+Data!AP56+Data!AP57+Data!AP58+Data!AP59)</f>
        <v>0.0822781691672878</v>
      </c>
      <c r="P59" s="18" t="n">
        <f aca="false">(Data!U48+Data!U49+Data!U50+Data!U51+Data!U52+Data!U53+Data!U54+Data!U55+Data!U56+Data!U57+Data!U58+Data!U59)/(Data!AP48+Data!AP49+Data!AP50+Data!AP51+Data!AP52+Data!AP53+Data!AP54+Data!AP55+Data!AP56+Data!AP57+Data!AP58+Data!AP59)</f>
        <v>0.0137871947245303</v>
      </c>
      <c r="Q59" s="18" t="n">
        <f aca="false">(Data!V48+Data!V49+Data!V50+Data!V51+Data!V52+Data!V53+Data!V54+Data!V55+Data!V56+Data!V57+Data!V58+Data!V59)/(Data!AP48+Data!AP49+Data!AP50+Data!AP51+Data!AP52+Data!AP53+Data!AP54+Data!AP55+Data!AP56+Data!AP57+Data!AP58+Data!AP59)</f>
        <v>0.00888120320200427</v>
      </c>
      <c r="R59" s="18" t="n">
        <f aca="false">(Data!W48+Data!W49+Data!W50+Data!W51+Data!W52+Data!W53+Data!W54+Data!W55+Data!W56+Data!W57+Data!W58+Data!W59)/(Data!AP48+Data!AP49+Data!AP50+Data!AP51+Data!AP52+Data!AP53+Data!AP54+Data!AP55+Data!AP56+Data!AP57+Data!AP58+Data!AP59)</f>
        <v>0.00846163493679897</v>
      </c>
      <c r="S59" s="18" t="n">
        <f aca="false">(Data!X48+Data!X49+Data!X50+Data!X51+Data!X52+Data!X53+Data!X54+Data!X55+Data!X56+Data!X57+Data!X58+Data!X59)/(Data!AP48+Data!AP49+Data!AP50+Data!AP51+Data!AP52+Data!AP53+Data!AP54+Data!AP55+Data!AP56+Data!AP57+Data!AP58+Data!AP59)</f>
        <v>0.0152071850580419</v>
      </c>
      <c r="T59" s="18" t="n">
        <f aca="false">(Data!Y48+Data!Z48+Data!AA48+Data!Y49+Data!Z49+Data!AA49+Data!Y50+Data!Z50+Data!AA50+Data!Y51+Data!Z51+Data!AA51+Data!Y52+Data!Z52+Data!AA52+Data!Y53+Data!Z53+Data!AA53+Data!Y54+Data!Z54+Data!AA54+Data!Y55+Data!Z55+Data!AA55+Data!Y56+Data!Z56+Data!AA56+Data!Y57+Data!Z57+Data!AA57+Data!Y58+Data!Z58+Data!AA58+Data!Y59+Data!Z59+Data!AA59)/(Data!AP48+Data!AP49+Data!AP50+Data!AP51+Data!AP52+Data!AP53+Data!AP54+Data!AP55+Data!AP56+Data!AP57+Data!AP58+Data!AP59)</f>
        <v>0.0196065659905803</v>
      </c>
      <c r="U59" s="18" t="n">
        <f aca="false">(Data!Y48+Data!Y49+Data!Y50+Data!Y51+Data!Y52+Data!Y53+Data!Y54+Data!Y55+Data!Y56+Data!Y57+Data!Y58+Data!Y59)/(Data!AP48+Data!AP49+Data!AP50+Data!AP51+Data!AP52+Data!AP53+Data!AP54+Data!AP55+Data!AP56+Data!AP57+Data!AP58+Data!AP59)</f>
        <v>0.0132308516385473</v>
      </c>
      <c r="V59" s="18" t="n">
        <f aca="false">(Data!Z48+Data!Z49+Data!Z50+Data!Z51+Data!Z52+Data!Z53+Data!Z54+Data!Z55+Data!Z56+Data!Z57+Data!Z58+Data!Z59)/(Data!AP48+Data!AP49+Data!AP50+Data!AP51+Data!AP52+Data!AP53+Data!AP54+Data!AP55+Data!AP56+Data!AP57+Data!AP58+Data!AP59)</f>
        <v>0.00621677113522705</v>
      </c>
      <c r="W59" s="18" t="n">
        <f aca="false">(Data!AB48+Data!AB49+Data!AB50+Data!AB51+Data!AB52+Data!AB53+Data!AB54+Data!AB55+Data!AB56+Data!AB57+Data!AB58+Data!AB59)/(Data!AP48+Data!AP49+Data!AP50+Data!AP51+Data!AP52+Data!AP53+Data!AP54+Data!AP55+Data!AP56+Data!AP57+Data!AP58+Data!AP59)</f>
        <v>0.0257368385541351</v>
      </c>
      <c r="X59" s="18" t="n">
        <f aca="false">(Data!AC48+Data!AC49+Data!AC50+Data!AC51+Data!AC52+Data!AC53+Data!AC54+Data!AC55+Data!AC56+Data!AC57+Data!AC58+Data!AC59)/(Data!AP48+Data!AP49+Data!AP50+Data!AP51+Data!AP52+Data!AP53+Data!AP54+Data!AP55+Data!AP56+Data!AP57+Data!AP58+Data!AP59)</f>
        <v>0.00775935688149074</v>
      </c>
      <c r="Y59" s="18" t="n">
        <f aca="false">(Data!AD48+Data!AE48+Data!AF48+Data!AG48+Data!AH48+Data!AD49+Data!AE49+Data!AF49+Data!AG49+Data!AH49+Data!AD50+Data!AE50+Data!AF50+Data!AG50+Data!AH50+Data!AD51+Data!AE51+Data!AF51+Data!AG51+Data!AH51+Data!AD52+Data!AE52+Data!AF52+Data!AG52+Data!AH52+Data!AD53+Data!AE53+Data!AF53+Data!AG53+Data!AH53+Data!AD54+Data!AE54+Data!AF54+Data!AG54+Data!AH54+Data!AD55+Data!AE55+Data!AF55+Data!AG55+Data!AH55+Data!AD56+Data!AE56+Data!AF56+Data!AG56+Data!AH56+Data!AD57+Data!AE57+Data!AF57+Data!AG57+Data!AH57+Data!AD58+Data!AE58+Data!AF58+Data!AG58+Data!AH58+Data!AD59+Data!AE59+Data!AF59+Data!AG59+Data!AH59)/(Data!AP48+Data!AP49+Data!AP50+Data!AP51+Data!AP52+Data!AP53+Data!AP54+Data!AP55+Data!AP56+Data!AP57+Data!AP58+Data!AP59)</f>
        <v>0.00986652566471397</v>
      </c>
      <c r="Z59" s="18" t="n">
        <f aca="false">(Data!AI48+Data!AI49+Data!AI50+Data!AI51+Data!AI52+Data!AI53+Data!AI54+Data!AI55+Data!AI56+Data!AI57+Data!AI58+Data!AI59)/(Data!AP48+Data!AP49+Data!AP50+Data!AP51+Data!AP52+Data!AP53+Data!AP54+Data!AP55+Data!AP56+Data!AP57+Data!AP58+Data!AP59)</f>
        <v>0.00695209264876598</v>
      </c>
      <c r="AA59" s="18" t="n">
        <f aca="false">(Data!AJ48+Data!AJ49+Data!AJ50+Data!AJ51+Data!AJ52+Data!AJ53+Data!AJ54+Data!AJ55+Data!AJ56+Data!AJ57+Data!AJ58+Data!AJ59)/(Data!AP48+Data!AP49+Data!AP50+Data!AP51+Data!AP52+Data!AP53+Data!AP54+Data!AP55+Data!AP56+Data!AP57+Data!AP58+Data!AP59)</f>
        <v>-6.39119040209038E-005</v>
      </c>
      <c r="AB59" s="18" t="n">
        <f aca="false">(Data!AK48+Data!AK49+Data!AK50+Data!AK51+Data!AK52+Data!AK53+Data!AK54+Data!AK55+Data!AK56+Data!AK57+Data!AK58+Data!AK59)/(Data!AP48+Data!AP49+Data!AP50+Data!AP51+Data!AP52+Data!AP53+Data!AP54+Data!AP55+Data!AP56+Data!AP57+Data!AP58+Data!AP59)</f>
        <v>0.0022718004941043</v>
      </c>
      <c r="AC59" s="18" t="n">
        <f aca="false">(Data!AL48+Data!AL49+Data!AL50+Data!AL51+Data!AL52+Data!AL53+Data!AL54+Data!AL55+Data!AL56+Data!AL57+Data!AL58+Data!AL59)/(Data!AP48+Data!AP49+Data!AP50+Data!AP51+Data!AP52+Data!AP53+Data!AP54+Data!AP55+Data!AP56+Data!AP57+Data!AP58+Data!AP59)</f>
        <v>0.0100579685866405</v>
      </c>
      <c r="AD59" s="17" t="n">
        <f aca="false">(Data!AM48+Data!AM49+Data!AM50+Data!AM51+Data!AM52+Data!AM53+Data!AM54+Data!AM55+Data!AM56+Data!AM57+Data!AM58+Data!AM59)/(Data!AP48+Data!AP49+Data!AP50+Data!AP51+Data!AP52+Data!AP53+Data!AP54+Data!AP55+Data!AP56+Data!AP57+Data!AP58+Data!AP59)</f>
        <v>-0.032124933746214</v>
      </c>
      <c r="AE59" s="18" t="n">
        <f aca="false">(Data!AN48+Data!AN49+Data!AN50+Data!AN51+Data!AN52+Data!AN53+Data!AN54+Data!AN55+Data!AN56+Data!AN57+Data!AN58+Data!AN59)/(Data!AP48+Data!AP49+Data!AP50+Data!AP51+Data!AP52+Data!AP53+Data!AP54+Data!AP55+Data!AP56+Data!AP57+Data!AP58+Data!AP59)</f>
        <v>0.0305692560981449</v>
      </c>
      <c r="AF59" s="17" t="n">
        <f aca="false">(Data!AO48+Data!AO49+Data!AO50+Data!AO51+Data!AO52+Data!AO53+Data!AO54+Data!AO55+Data!AO56+Data!AO57+Data!AO58+Data!AO59)/(Data!AP48+Data!AP49+Data!AP50+Data!AP51+Data!AP52+Data!AP53+Data!AP54+Data!AP55+Data!AP56+Data!AP57+Data!AP58+Data!AP59)</f>
        <v>-0.0626941480171966</v>
      </c>
    </row>
    <row r="60" customFormat="false" ht="15" hidden="false" customHeight="false" outlineLevel="0" collapsed="false">
      <c r="B60" s="14" t="str">
        <f aca="false">Data!B60</f>
        <v>2020-06</v>
      </c>
      <c r="C60" s="17" t="n">
        <f aca="false">(Data!D49+Data!E49+Data!F49+Data!G49+Data!H49+Data!I49+Data!J49+Data!K49+Data!L49+Data!M49+Data!N49+Data!O49+Data!P49+Data!Q49+Data!R49+Data!S49+Data!D50+Data!E50+Data!F50+Data!G50+Data!H50+Data!I50+Data!J50+Data!K50+Data!L50+Data!M50+Data!N50+Data!O50+Data!P50+Data!Q50+Data!R50+Data!S50+Data!D51+Data!E51+Data!F51+Data!G51+Data!H51+Data!I51+Data!J51+Data!K51+Data!L51+Data!M51+Data!N51+Data!O51+Data!P51+Data!Q51+Data!R51+Data!S51+Data!D52+Data!E52+Data!F52+Data!G52+Data!H52+Data!I52+Data!J52+Data!K52+Data!L52+Data!M52+Data!N52+Data!O52+Data!P52+Data!Q52+Data!R52+Data!S52+Data!D53+Data!E53+Data!F53+Data!G53+Data!H53+Data!I53+Data!J53+Data!K53+Data!L53+Data!M53+Data!N53+Data!O53+Data!P53+Data!Q53+Data!R53+Data!S53+Data!D54+Data!E54+Data!F54+Data!G54+Data!H54+Data!I54+Data!J54+Data!K54+Data!L54+Data!M54+Data!N54+Data!O54+Data!P54+Data!Q54+Data!R54+Data!S54+Data!D55+Data!E55+Data!F55+Data!G55+Data!H55+Data!I55+Data!J55+Data!K55+Data!L55+Data!M55+Data!N55+Data!O55+Data!P55+Data!Q55+Data!R55+Data!S55+Data!D56+Data!E56+Data!F56+Data!G56+Data!H56+Data!I56+Data!J56+Data!K56+Data!L56+Data!M56+Data!N56+Data!O56+Data!P56+Data!Q56+Data!R56+Data!S56+Data!D57+Data!E57+Data!F57+Data!G57+Data!H57+Data!I57+Data!J57+Data!K57+Data!L57+Data!M57+Data!N57+Data!O57+Data!P57+Data!Q57+Data!R57+Data!S57+Data!D58+Data!E58+Data!F58+Data!G58+Data!H58+Data!I58+Data!J58+Data!K58+Data!L58+Data!M58+Data!N58+Data!O58+Data!P58+Data!Q58+Data!R58+Data!S58+Data!D59+Data!E59+Data!F59+Data!G59+Data!H59+Data!I59+Data!J59+Data!K59+Data!L59+Data!M59+Data!N59+Data!O59+Data!P59+Data!Q59+Data!R59+Data!S59+Data!D60+Data!E60+Data!F60+Data!G60+Data!H60+Data!I60+Data!J60+Data!K60+Data!L60+Data!M60+Data!N60+Data!O60+Data!P60+Data!Q60+Data!R60+Data!S60)/(Data!AP49+Data!AP50+Data!AP51+Data!AP52+Data!AP53+Data!AP54+Data!AP55+Data!AP56+Data!AP57+Data!AP58+Data!AP59+Data!AP60)</f>
        <v>0.178207083983121</v>
      </c>
      <c r="D60" s="18" t="n">
        <f aca="false">(Data!D49+Data!E49+Data!G49+Data!H49+Data!I49+Data!J49+Data!K49+Data!L49+Data!M49+Data!D50+Data!E50+Data!G50+Data!H50+Data!I50+Data!J50+Data!K50+Data!L50+Data!M50+Data!D51+Data!E51+Data!G51+Data!H51+Data!I51+Data!J51+Data!K51+Data!L51+Data!M51+Data!D52+Data!E52+Data!G52+Data!H52+Data!I52+Data!J52+Data!K52+Data!L52+Data!M52+Data!D53+Data!E53+Data!G53+Data!H53+Data!I53+Data!J53+Data!K53+Data!L53+Data!M53+Data!D54+Data!E54+Data!G54+Data!H54+Data!I54+Data!J54+Data!K54+Data!L54+Data!M54+Data!D55+Data!E55+Data!G55+Data!H55+Data!I55+Data!J55+Data!K55+Data!L55+Data!M55+Data!D56+Data!E56+Data!G56+Data!H56+Data!I56+Data!J56+Data!K56+Data!L56+Data!M56+Data!D57+Data!E57+Data!G57+Data!H57+Data!I57+Data!J57+Data!K57+Data!L57+Data!M57+Data!D58+Data!E58+Data!G58+Data!H58+Data!I58+Data!J58+Data!K58+Data!L58+Data!M58+Data!D59+Data!E59+Data!G59+Data!H59+Data!I59+Data!J59+Data!K59+Data!L59+Data!M59+Data!D60+Data!E60+Data!G60+Data!H60+Data!I60+Data!J60+Data!K60+Data!L60+Data!M60)/(Data!AP49+Data!AP50+Data!AP51+Data!AP52+Data!AP53+Data!AP54+Data!AP55+Data!AP56+Data!AP57+Data!AP58+Data!AP59+Data!AP60)</f>
        <v>0.101306361430984</v>
      </c>
      <c r="E60" s="18" t="n">
        <f aca="false">(Data!D49+Data!D50+Data!D51+Data!D52+Data!D53+Data!D54+Data!D55+Data!D56+Data!D57+Data!D58+Data!D59+Data!D60)/(Data!AP49+Data!AP50+Data!AP51+Data!AP52+Data!AP53+Data!AP54+Data!AP55+Data!AP56+Data!AP57+Data!AP58+Data!AP59+Data!AP60)</f>
        <v>0.030494007569293</v>
      </c>
      <c r="F60" s="18" t="n">
        <f aca="false">(Data!E49+Data!E50+Data!E51+Data!E52+Data!E53+Data!E54+Data!E55+Data!E56+Data!E57+Data!E58+Data!E59+Data!E60)/(Data!AP49+Data!AP50+Data!AP51+Data!AP52+Data!AP53+Data!AP54+Data!AP55+Data!AP56+Data!AP57+Data!AP58+Data!AP59+Data!AP60)</f>
        <v>0.0158085449113376</v>
      </c>
      <c r="G60" s="18" t="n">
        <f aca="false">(Data!K49+Data!K50+Data!K51+Data!K52+Data!K53+Data!K54+Data!K55+Data!K56+Data!K57+Data!K58+Data!K59+Data!K60)/(Data!AP49+Data!AP50+Data!AP51+Data!AP52+Data!AP53+Data!AP54+Data!AP55+Data!AP56+Data!AP57+Data!AP58+Data!AP59+Data!AP60)</f>
        <v>0.016954581033545</v>
      </c>
      <c r="H60" s="18" t="n">
        <f aca="false">(Data!L49+Data!L50+Data!L51+Data!L52+Data!L53+Data!L54+Data!L55+Data!L56+Data!L57+Data!L58+Data!L59+Data!L60)/(Data!AP49+Data!AP50+Data!AP51+Data!AP52+Data!AP53+Data!AP54+Data!AP55+Data!AP56+Data!AP57+Data!AP58+Data!AP59+Data!AP60)</f>
        <v>0.00592528849605022</v>
      </c>
      <c r="I60" s="18" t="n">
        <f aca="false">(Data!G49+Data!G50+Data!G51+Data!G52+Data!G53+Data!G54+Data!G55+Data!G56+Data!G57+Data!G58+Data!G59+Data!G60)/(Data!AP49+Data!AP50+Data!AP51+Data!AP52+Data!AP53+Data!AP54+Data!AP55+Data!AP56+Data!AP57+Data!AP58+Data!AP59+Data!AP60)</f>
        <v>0.0162543223024739</v>
      </c>
      <c r="J60" s="18" t="n">
        <f aca="false">(Data!H49+Data!I49+Data!J49+Data!M49+Data!H50+Data!I50+Data!J50+Data!M50+Data!H51+Data!I51+Data!J51+Data!M51+Data!H52+Data!I52+Data!J52+Data!M52+Data!H53+Data!I53+Data!J53+Data!M53+Data!H54+Data!I54+Data!J54+Data!M54+Data!H55+Data!I55+Data!J55+Data!M55+Data!H56+Data!I56+Data!J56+Data!M56+Data!H57+Data!I57+Data!J57+Data!M57+Data!H58+Data!I58+Data!J58+Data!M58+Data!H59+Data!I59+Data!J59+Data!M59+Data!H60+Data!I60+Data!J60+Data!M60)/(Data!AP49+Data!AP50+Data!AP51+Data!AP52+Data!AP53+Data!AP54+Data!AP55+Data!AP56+Data!AP57+Data!AP58+Data!AP59+Data!AP60)</f>
        <v>0.0158696171182839</v>
      </c>
      <c r="K60" s="18" t="n">
        <f aca="false">(Data!F49+Data!F50+Data!F51+Data!F52+Data!F53+Data!F54+Data!F55+Data!F56+Data!F57+Data!F58+Data!F59+Data!F60)/(Data!AP49+Data!AP50+Data!AP51+Data!AP52+Data!AP53+Data!AP54+Data!AP55+Data!AP56+Data!AP57+Data!AP58+Data!AP59+Data!AP60)</f>
        <v>0.0572040242864909</v>
      </c>
      <c r="L60" s="18" t="n">
        <f aca="false">(Data!N49+Data!O49+Data!P49+Data!Q49+Data!R49+Data!S49+Data!N50+Data!O50+Data!P50+Data!Q50+Data!R50+Data!S50+Data!N51+Data!O51+Data!P51+Data!Q51+Data!R51+Data!S51+Data!N52+Data!O52+Data!P52+Data!Q52+Data!R52+Data!S52+Data!N53+Data!O53+Data!P53+Data!Q53+Data!R53+Data!S53+Data!N54+Data!O54+Data!P54+Data!Q54+Data!R54+Data!S54+Data!N55+Data!O55+Data!P55+Data!Q55+Data!R55+Data!S55+Data!N56+Data!O56+Data!P56+Data!Q56+Data!R56+Data!S56+Data!N57+Data!O57+Data!P57+Data!Q57+Data!R57+Data!S57+Data!N58+Data!O58+Data!P58+Data!Q58+Data!R58+Data!S58+Data!N59+Data!O59+Data!P59+Data!Q59+Data!R59+Data!S59+Data!N60+Data!O60+Data!P60+Data!Q60+Data!R60+Data!S60)/(Data!AP49+Data!AP50+Data!AP51+Data!AP52+Data!AP53+Data!AP54+Data!AP55+Data!AP56+Data!AP57+Data!AP58+Data!AP59+Data!AP60)</f>
        <v>0.0196966982656464</v>
      </c>
      <c r="M60" s="17" t="n">
        <f aca="false">(Data!T49+Data!U49+Data!V49+Data!W49+Data!X49+Data!Y49+Data!Z49+Data!AA49+Data!AB49+Data!AC49+Data!AD49+Data!AE49+Data!AF49+Data!AG49+Data!AH49+Data!AI49+Data!AJ49+Data!AK49+Data!AL49+Data!T50+Data!U50+Data!V50+Data!W50+Data!X50+Data!Y50+Data!Z50+Data!AA50+Data!AB50+Data!AC50+Data!AD50+Data!AE50+Data!AF50+Data!AG50+Data!AH50+Data!AI50+Data!AJ50+Data!AK50+Data!AL50+Data!T51+Data!U51+Data!V51+Data!W51+Data!X51+Data!Y51+Data!Z51+Data!AA51+Data!AB51+Data!AC51+Data!AD51+Data!AE51+Data!AF51+Data!AG51+Data!AH51+Data!AI51+Data!AJ51+Data!AK51+Data!AL51+Data!T52+Data!U52+Data!V52+Data!W52+Data!X52+Data!Y52+Data!Z52+Data!AA52+Data!AB52+Data!AC52+Data!AD52+Data!AE52+Data!AF52+Data!AG52+Data!AH52+Data!AI52+Data!AJ52+Data!AK52+Data!AL52+Data!T53+Data!U53+Data!V53+Data!W53+Data!X53+Data!Y53+Data!Z53+Data!AA53+Data!AB53+Data!AC53+Data!AD53+Data!AE53+Data!AF53+Data!AG53+Data!AH53+Data!AI53+Data!AJ53+Data!AK53+Data!AL53+Data!T54+Data!U54+Data!V54+Data!W54+Data!X54+Data!Y54+Data!Z54+Data!AA54+Data!AB54+Data!AC54+Data!AD54+Data!AE54+Data!AF54+Data!AG54+Data!AH54+Data!AI54+Data!AJ54+Data!AK54+Data!AL54+Data!T55+Data!U55+Data!V55+Data!W55+Data!X55+Data!Y55+Data!Z55+Data!AA55+Data!AB55+Data!AC55+Data!AD55+Data!AE55+Data!AF55+Data!AG55+Data!AH55+Data!AI55+Data!AJ55+Data!AK55+Data!AL55+Data!T56+Data!U56+Data!V56+Data!W56+Data!X56+Data!Y56+Data!Z56+Data!AA56+Data!AB56+Data!AC56+Data!AD56+Data!AE56+Data!AF56+Data!AG56+Data!AH56+Data!AI56+Data!AJ56+Data!AK56+Data!AL56+Data!T57+Data!U57+Data!V57+Data!W57+Data!X57+Data!Y57+Data!Z57+Data!AA57+Data!AB57+Data!AC57+Data!AD57+Data!AE57+Data!AF57+Data!AG57+Data!AH57+Data!AI57+Data!AJ57+Data!AK57+Data!AL57+Data!T58+Data!U58+Data!V58+Data!W58+Data!X58+Data!Y58+Data!Z58+Data!AA58+Data!AB58+Data!AC58+Data!AD58+Data!AE58+Data!AF58+Data!AG58+Data!AH58+Data!AI58+Data!AJ58+Data!AK58+Data!AL58+Data!T59+Data!U59+Data!V59+Data!W59+Data!X59+Data!Y59+Data!Z59+Data!AA59+Data!AB59+Data!AC59+Data!AD59+Data!AE59+Data!AF59+Data!AG59+Data!AH59+Data!AI59+Data!AJ59+Data!AK59+Data!AL59+Data!T60+Data!U60+Data!V60+Data!W60+Data!X60+Data!Y60+Data!Z60+Data!AA60+Data!AB60+Data!AC60+Data!AD60+Data!AE60+Data!AF60+Data!AG60+Data!AH60+Data!AI60+Data!AJ60+Data!AK60+Data!AL60)/(Data!AP49+Data!AP50+Data!AP51+Data!AP52+Data!AP53+Data!AP54+Data!AP55+Data!AP56+Data!AP57+Data!AP58+Data!AP59+Data!AP60)</f>
        <v>0.220267686925512</v>
      </c>
      <c r="N60" s="18" t="n">
        <f aca="false">(Data!T49+Data!U49+Data!V49+Data!W49+Data!T50+Data!U50+Data!V50+Data!W50+Data!T51+Data!U51+Data!V51+Data!W51+Data!T52+Data!U52+Data!V52+Data!W52+Data!T53+Data!U53+Data!V53+Data!W53+Data!T54+Data!U54+Data!V54+Data!W54+Data!T55+Data!U55+Data!V55+Data!W55+Data!T56+Data!U56+Data!V56+Data!W56+Data!T57+Data!U57+Data!V57+Data!W57+Data!T58+Data!U58+Data!V58+Data!W58+Data!T59+Data!U59+Data!V59+Data!W59+Data!T60+Data!U60+Data!V60+Data!W60)/(Data!AP49+Data!AP50+Data!AP51+Data!AP52+Data!AP53+Data!AP54+Data!AP55+Data!AP56+Data!AP57+Data!AP58+Data!AP59+Data!AP60)</f>
        <v>0.116760447230771</v>
      </c>
      <c r="O60" s="18" t="n">
        <f aca="false">(Data!T49+Data!T50+Data!T51+Data!T52+Data!T53+Data!T54+Data!T55+Data!T56+Data!T57+Data!T58+Data!T59+Data!T60)/(Data!AP49+Data!AP50+Data!AP51+Data!AP52+Data!AP53+Data!AP54+Data!AP55+Data!AP56+Data!AP57+Data!AP58+Data!AP59+Data!AP60)</f>
        <v>0.08496415978595</v>
      </c>
      <c r="P60" s="18" t="n">
        <f aca="false">(Data!U49+Data!U50+Data!U51+Data!U52+Data!U53+Data!U54+Data!U55+Data!U56+Data!U57+Data!U58+Data!U59+Data!U60)/(Data!AP49+Data!AP50+Data!AP51+Data!AP52+Data!AP53+Data!AP54+Data!AP55+Data!AP56+Data!AP57+Data!AP58+Data!AP59+Data!AP60)</f>
        <v>0.0139175438767193</v>
      </c>
      <c r="Q60" s="18" t="n">
        <f aca="false">(Data!V49+Data!V50+Data!V51+Data!V52+Data!V53+Data!V54+Data!V55+Data!V56+Data!V57+Data!V58+Data!V59+Data!V60)/(Data!AP49+Data!AP50+Data!AP51+Data!AP52+Data!AP53+Data!AP54+Data!AP55+Data!AP56+Data!AP57+Data!AP58+Data!AP59+Data!AP60)</f>
        <v>0.00908368284022026</v>
      </c>
      <c r="R60" s="18" t="n">
        <f aca="false">(Data!W49+Data!W50+Data!W51+Data!W52+Data!W53+Data!W54+Data!W55+Data!W56+Data!W57+Data!W58+Data!W59+Data!W60)/(Data!AP49+Data!AP50+Data!AP51+Data!AP52+Data!AP53+Data!AP54+Data!AP55+Data!AP56+Data!AP57+Data!AP58+Data!AP59+Data!AP60)</f>
        <v>0.00879506072788127</v>
      </c>
      <c r="S60" s="18" t="n">
        <f aca="false">(Data!X49+Data!X50+Data!X51+Data!X52+Data!X53+Data!X54+Data!X55+Data!X56+Data!X57+Data!X58+Data!X59+Data!X60)/(Data!AP49+Data!AP50+Data!AP51+Data!AP52+Data!AP53+Data!AP54+Data!AP55+Data!AP56+Data!AP57+Data!AP58+Data!AP59+Data!AP60)</f>
        <v>0.0196708026555098</v>
      </c>
      <c r="T60" s="18" t="n">
        <f aca="false">(Data!Y49+Data!Z49+Data!AA49+Data!Y50+Data!Z50+Data!AA50+Data!Y51+Data!Z51+Data!AA51+Data!Y52+Data!Z52+Data!AA52+Data!Y53+Data!Z53+Data!AA53+Data!Y54+Data!Z54+Data!AA54+Data!Y55+Data!Z55+Data!AA55+Data!Y56+Data!Z56+Data!AA56+Data!Y57+Data!Z57+Data!AA57+Data!Y58+Data!Z58+Data!AA58+Data!Y59+Data!Z59+Data!AA59+Data!Y60+Data!Z60+Data!AA60)/(Data!AP49+Data!AP50+Data!AP51+Data!AP52+Data!AP53+Data!AP54+Data!AP55+Data!AP56+Data!AP57+Data!AP58+Data!AP59+Data!AP60)</f>
        <v>0.0206624595083265</v>
      </c>
      <c r="U60" s="18" t="n">
        <f aca="false">(Data!Y49+Data!Y50+Data!Y51+Data!Y52+Data!Y53+Data!Y54+Data!Y55+Data!Y56+Data!Y57+Data!Y58+Data!Y59+Data!Y60)/(Data!AP49+Data!AP50+Data!AP51+Data!AP52+Data!AP53+Data!AP54+Data!AP55+Data!AP56+Data!AP57+Data!AP58+Data!AP59+Data!AP60)</f>
        <v>0.0141843308105911</v>
      </c>
      <c r="V60" s="18" t="n">
        <f aca="false">(Data!Z49+Data!Z50+Data!Z51+Data!Z52+Data!Z53+Data!Z54+Data!Z55+Data!Z56+Data!Z57+Data!Z58+Data!Z59+Data!Z60)/(Data!AP49+Data!AP50+Data!AP51+Data!AP52+Data!AP53+Data!AP54+Data!AP55+Data!AP56+Data!AP57+Data!AP58+Data!AP59+Data!AP60)</f>
        <v>0.00632611110798926</v>
      </c>
      <c r="W60" s="18" t="n">
        <f aca="false">(Data!AB49+Data!AB50+Data!AB51+Data!AB52+Data!AB53+Data!AB54+Data!AB55+Data!AB56+Data!AB57+Data!AB58+Data!AB59+Data!AB60)/(Data!AP49+Data!AP50+Data!AP51+Data!AP52+Data!AP53+Data!AP54+Data!AP55+Data!AP56+Data!AP57+Data!AP58+Data!AP59+Data!AP60)</f>
        <v>0.0256917184606726</v>
      </c>
      <c r="X60" s="18" t="n">
        <f aca="false">(Data!AC49+Data!AC50+Data!AC51+Data!AC52+Data!AC53+Data!AC54+Data!AC55+Data!AC56+Data!AC57+Data!AC58+Data!AC59+Data!AC60)/(Data!AP49+Data!AP50+Data!AP51+Data!AP52+Data!AP53+Data!AP54+Data!AP55+Data!AP56+Data!AP57+Data!AP58+Data!AP59+Data!AP60)</f>
        <v>0.00780580698768524</v>
      </c>
      <c r="Y60" s="18" t="n">
        <f aca="false">(Data!AD49+Data!AE49+Data!AF49+Data!AG49+Data!AH49+Data!AD50+Data!AE50+Data!AF50+Data!AG50+Data!AH50+Data!AD51+Data!AE51+Data!AF51+Data!AG51+Data!AH51+Data!AD52+Data!AE52+Data!AF52+Data!AG52+Data!AH52+Data!AD53+Data!AE53+Data!AF53+Data!AG53+Data!AH53+Data!AD54+Data!AE54+Data!AF54+Data!AG54+Data!AH54+Data!AD55+Data!AE55+Data!AF55+Data!AG55+Data!AH55+Data!AD56+Data!AE56+Data!AF56+Data!AG56+Data!AH56+Data!AD57+Data!AE57+Data!AF57+Data!AG57+Data!AH57+Data!AD58+Data!AE58+Data!AF58+Data!AG58+Data!AH58+Data!AD59+Data!AE59+Data!AF59+Data!AG59+Data!AH59+Data!AD60+Data!AE60+Data!AF60+Data!AG60+Data!AH60)/(Data!AP49+Data!AP50+Data!AP51+Data!AP52+Data!AP53+Data!AP54+Data!AP55+Data!AP56+Data!AP57+Data!AP58+Data!AP59+Data!AP60)</f>
        <v>0.0103038425568827</v>
      </c>
      <c r="Z60" s="18" t="n">
        <f aca="false">(Data!AI49+Data!AI50+Data!AI51+Data!AI52+Data!AI53+Data!AI54+Data!AI55+Data!AI56+Data!AI57+Data!AI58+Data!AI59+Data!AI60)/(Data!AP49+Data!AP50+Data!AP51+Data!AP52+Data!AP53+Data!AP54+Data!AP55+Data!AP56+Data!AP57+Data!AP58+Data!AP59+Data!AP60)</f>
        <v>0.007093201229701</v>
      </c>
      <c r="AA60" s="18" t="n">
        <f aca="false">(Data!AJ49+Data!AJ50+Data!AJ51+Data!AJ52+Data!AJ53+Data!AJ54+Data!AJ55+Data!AJ56+Data!AJ57+Data!AJ58+Data!AJ59+Data!AJ60)/(Data!AP49+Data!AP50+Data!AP51+Data!AP52+Data!AP53+Data!AP54+Data!AP55+Data!AP56+Data!AP57+Data!AP58+Data!AP59+Data!AP60)</f>
        <v>-4.83522832471426E-005</v>
      </c>
      <c r="AB60" s="18" t="n">
        <f aca="false">(Data!AK49+Data!AK50+Data!AK51+Data!AK52+Data!AK53+Data!AK54+Data!AK55+Data!AK56+Data!AK57+Data!AK58+Data!AK59+Data!AK60)/(Data!AP49+Data!AP50+Data!AP51+Data!AP52+Data!AP53+Data!AP54+Data!AP55+Data!AP56+Data!AP57+Data!AP58+Data!AP59+Data!AP60)</f>
        <v>0.00259084543592722</v>
      </c>
      <c r="AC60" s="18" t="n">
        <f aca="false">(Data!AL49+Data!AL50+Data!AL51+Data!AL52+Data!AL53+Data!AL54+Data!AL55+Data!AL56+Data!AL57+Data!AL58+Data!AL59+Data!AL60)/(Data!AP49+Data!AP50+Data!AP51+Data!AP52+Data!AP53+Data!AP54+Data!AP55+Data!AP56+Data!AP57+Data!AP58+Data!AP59+Data!AP60)</f>
        <v>0.0097369151432832</v>
      </c>
      <c r="AD60" s="17" t="n">
        <f aca="false">(Data!AM49+Data!AM50+Data!AM51+Data!AM52+Data!AM53+Data!AM54+Data!AM55+Data!AM56+Data!AM57+Data!AM58+Data!AM59+Data!AM60)/(Data!AP49+Data!AP50+Data!AP51+Data!AP52+Data!AP53+Data!AP54+Data!AP55+Data!AP56+Data!AP57+Data!AP58+Data!AP59+Data!AP60)</f>
        <v>-0.042060602942391</v>
      </c>
      <c r="AE60" s="18" t="n">
        <f aca="false">(Data!AN49+Data!AN50+Data!AN51+Data!AN52+Data!AN53+Data!AN54+Data!AN55+Data!AN56+Data!AN57+Data!AN58+Data!AN59+Data!AN60)/(Data!AP49+Data!AP50+Data!AP51+Data!AP52+Data!AP53+Data!AP54+Data!AP55+Data!AP56+Data!AP57+Data!AP58+Data!AP59+Data!AP60)</f>
        <v>0.0291933435798378</v>
      </c>
      <c r="AF60" s="17" t="n">
        <f aca="false">(Data!AO49+Data!AO50+Data!AO51+Data!AO52+Data!AO53+Data!AO54+Data!AO55+Data!AO56+Data!AO57+Data!AO58+Data!AO59+Data!AO60)/(Data!AP49+Data!AP50+Data!AP51+Data!AP52+Data!AP53+Data!AP54+Data!AP55+Data!AP56+Data!AP57+Data!AP58+Data!AP59+Data!AP60)</f>
        <v>-0.0712539050892525</v>
      </c>
    </row>
    <row r="61" customFormat="false" ht="15" hidden="false" customHeight="false" outlineLevel="0" collapsed="false">
      <c r="B61" s="14" t="str">
        <f aca="false">Data!B61</f>
        <v>2020-07</v>
      </c>
      <c r="C61" s="17" t="n">
        <f aca="false">(Data!D50+Data!E50+Data!F50+Data!G50+Data!H50+Data!I50+Data!J50+Data!K50+Data!L50+Data!M50+Data!N50+Data!O50+Data!P50+Data!Q50+Data!R50+Data!S50+Data!D51+Data!E51+Data!F51+Data!G51+Data!H51+Data!I51+Data!J51+Data!K51+Data!L51+Data!M51+Data!N51+Data!O51+Data!P51+Data!Q51+Data!R51+Data!S51+Data!D52+Data!E52+Data!F52+Data!G52+Data!H52+Data!I52+Data!J52+Data!K52+Data!L52+Data!M52+Data!N52+Data!O52+Data!P52+Data!Q52+Data!R52+Data!S52+Data!D53+Data!E53+Data!F53+Data!G53+Data!H53+Data!I53+Data!J53+Data!K53+Data!L53+Data!M53+Data!N53+Data!O53+Data!P53+Data!Q53+Data!R53+Data!S53+Data!D54+Data!E54+Data!F54+Data!G54+Data!H54+Data!I54+Data!J54+Data!K54+Data!L54+Data!M54+Data!N54+Data!O54+Data!P54+Data!Q54+Data!R54+Data!S54+Data!D55+Data!E55+Data!F55+Data!G55+Data!H55+Data!I55+Data!J55+Data!K55+Data!L55+Data!M55+Data!N55+Data!O55+Data!P55+Data!Q55+Data!R55+Data!S55+Data!D56+Data!E56+Data!F56+Data!G56+Data!H56+Data!I56+Data!J56+Data!K56+Data!L56+Data!M56+Data!N56+Data!O56+Data!P56+Data!Q56+Data!R56+Data!S56+Data!D57+Data!E57+Data!F57+Data!G57+Data!H57+Data!I57+Data!J57+Data!K57+Data!L57+Data!M57+Data!N57+Data!O57+Data!P57+Data!Q57+Data!R57+Data!S57+Data!D58+Data!E58+Data!F58+Data!G58+Data!H58+Data!I58+Data!J58+Data!K58+Data!L58+Data!M58+Data!N58+Data!O58+Data!P58+Data!Q58+Data!R58+Data!S58+Data!D59+Data!E59+Data!F59+Data!G59+Data!H59+Data!I59+Data!J59+Data!K59+Data!L59+Data!M59+Data!N59+Data!O59+Data!P59+Data!Q59+Data!R59+Data!S59+Data!D60+Data!E60+Data!F60+Data!G60+Data!H60+Data!I60+Data!J60+Data!K60+Data!L60+Data!M60+Data!N60+Data!O60+Data!P60+Data!Q60+Data!R60+Data!S60+Data!D61+Data!E61+Data!F61+Data!G61+Data!H61+Data!I61+Data!J61+Data!K61+Data!L61+Data!M61+Data!N61+Data!O61+Data!P61+Data!Q61+Data!R61+Data!S61)/(Data!AP50+Data!AP51+Data!AP52+Data!AP53+Data!AP54+Data!AP55+Data!AP56+Data!AP57+Data!AP58+Data!AP59+Data!AP60+Data!AP61)</f>
        <v>0.177966137218815</v>
      </c>
      <c r="D61" s="18" t="n">
        <f aca="false">(Data!D50+Data!E50+Data!G50+Data!H50+Data!I50+Data!J50+Data!K50+Data!L50+Data!M50+Data!D51+Data!E51+Data!G51+Data!H51+Data!I51+Data!J51+Data!K51+Data!L51+Data!M51+Data!D52+Data!E52+Data!G52+Data!H52+Data!I52+Data!J52+Data!K52+Data!L52+Data!M52+Data!D53+Data!E53+Data!G53+Data!H53+Data!I53+Data!J53+Data!K53+Data!L53+Data!M53+Data!D54+Data!E54+Data!G54+Data!H54+Data!I54+Data!J54+Data!K54+Data!L54+Data!M54+Data!D55+Data!E55+Data!G55+Data!H55+Data!I55+Data!J55+Data!K55+Data!L55+Data!M55+Data!D56+Data!E56+Data!G56+Data!H56+Data!I56+Data!J56+Data!K56+Data!L56+Data!M56+Data!D57+Data!E57+Data!G57+Data!H57+Data!I57+Data!J57+Data!K57+Data!L57+Data!M57+Data!D58+Data!E58+Data!G58+Data!H58+Data!I58+Data!J58+Data!K58+Data!L58+Data!M58+Data!D59+Data!E59+Data!G59+Data!H59+Data!I59+Data!J59+Data!K59+Data!L59+Data!M59+Data!D60+Data!E60+Data!G60+Data!H60+Data!I60+Data!J60+Data!K60+Data!L60+Data!M60+Data!D61+Data!E61+Data!G61+Data!H61+Data!I61+Data!J61+Data!K61+Data!L61+Data!M61)/(Data!AP50+Data!AP51+Data!AP52+Data!AP53+Data!AP54+Data!AP55+Data!AP56+Data!AP57+Data!AP58+Data!AP59+Data!AP60+Data!AP61)</f>
        <v>0.102122899183647</v>
      </c>
      <c r="E61" s="18" t="n">
        <f aca="false">(Data!D50+Data!D51+Data!D52+Data!D53+Data!D54+Data!D55+Data!D56+Data!D57+Data!D58+Data!D59+Data!D60+Data!D61)/(Data!AP50+Data!AP51+Data!AP52+Data!AP53+Data!AP54+Data!AP55+Data!AP56+Data!AP57+Data!AP58+Data!AP59+Data!AP60+Data!AP61)</f>
        <v>0.0301598853240587</v>
      </c>
      <c r="F61" s="18" t="n">
        <f aca="false">(Data!E50+Data!E51+Data!E52+Data!E53+Data!E54+Data!E55+Data!E56+Data!E57+Data!E58+Data!E59+Data!E60+Data!E61)/(Data!AP50+Data!AP51+Data!AP52+Data!AP53+Data!AP54+Data!AP55+Data!AP56+Data!AP57+Data!AP58+Data!AP59+Data!AP60+Data!AP61)</f>
        <v>0.0155716575246147</v>
      </c>
      <c r="G61" s="18" t="n">
        <f aca="false">(Data!K50+Data!K51+Data!K52+Data!K53+Data!K54+Data!K55+Data!K56+Data!K57+Data!K58+Data!K59+Data!K60+Data!K61)/(Data!AP50+Data!AP51+Data!AP52+Data!AP53+Data!AP54+Data!AP55+Data!AP56+Data!AP57+Data!AP58+Data!AP59+Data!AP60+Data!AP61)</f>
        <v>0.0168679763055345</v>
      </c>
      <c r="H61" s="18" t="n">
        <f aca="false">(Data!L50+Data!L51+Data!L52+Data!L53+Data!L54+Data!L55+Data!L56+Data!L57+Data!L58+Data!L59+Data!L60+Data!L61)/(Data!AP50+Data!AP51+Data!AP52+Data!AP53+Data!AP54+Data!AP55+Data!AP56+Data!AP57+Data!AP58+Data!AP59+Data!AP60+Data!AP61)</f>
        <v>0.00588384849801723</v>
      </c>
      <c r="I61" s="18" t="n">
        <f aca="false">(Data!G50+Data!G51+Data!G52+Data!G53+Data!G54+Data!G55+Data!G56+Data!G57+Data!G58+Data!G59+Data!G60+Data!G61)/(Data!AP50+Data!AP51+Data!AP52+Data!AP53+Data!AP54+Data!AP55+Data!AP56+Data!AP57+Data!AP58+Data!AP59+Data!AP60+Data!AP61)</f>
        <v>0.0163228687291453</v>
      </c>
      <c r="J61" s="18" t="n">
        <f aca="false">(Data!H50+Data!I50+Data!J50+Data!M50+Data!H51+Data!I51+Data!J51+Data!M51+Data!H52+Data!I52+Data!J52+Data!M52+Data!H53+Data!I53+Data!J53+Data!M53+Data!H54+Data!I54+Data!J54+Data!M54+Data!H55+Data!I55+Data!J55+Data!M55+Data!H56+Data!I56+Data!J56+Data!M56+Data!H57+Data!I57+Data!J57+Data!M57+Data!H58+Data!I58+Data!J58+Data!M58+Data!H59+Data!I59+Data!J59+Data!M59+Data!H60+Data!I60+Data!J60+Data!M60+Data!H61+Data!I61+Data!J61+Data!M61)/(Data!AP50+Data!AP51+Data!AP52+Data!AP53+Data!AP54+Data!AP55+Data!AP56+Data!AP57+Data!AP58+Data!AP59+Data!AP60+Data!AP61)</f>
        <v>0.0173166628022764</v>
      </c>
      <c r="K61" s="18" t="n">
        <f aca="false">(Data!F50+Data!F51+Data!F52+Data!F53+Data!F54+Data!F55+Data!F56+Data!F57+Data!F58+Data!F59+Data!F60+Data!F61)/(Data!AP50+Data!AP51+Data!AP52+Data!AP53+Data!AP54+Data!AP55+Data!AP56+Data!AP57+Data!AP58+Data!AP59+Data!AP60+Data!AP61)</f>
        <v>0.0572789362437704</v>
      </c>
      <c r="L61" s="18" t="n">
        <f aca="false">(Data!N50+Data!O50+Data!P50+Data!Q50+Data!R50+Data!S50+Data!N51+Data!O51+Data!P51+Data!Q51+Data!R51+Data!S51+Data!N52+Data!O52+Data!P52+Data!Q52+Data!R52+Data!S52+Data!N53+Data!O53+Data!P53+Data!Q53+Data!R53+Data!S53+Data!N54+Data!O54+Data!P54+Data!Q54+Data!R54+Data!S54+Data!N55+Data!O55+Data!P55+Data!Q55+Data!R55+Data!S55+Data!N56+Data!O56+Data!P56+Data!Q56+Data!R56+Data!S56+Data!N57+Data!O57+Data!P57+Data!Q57+Data!R57+Data!S57+Data!N58+Data!O58+Data!P58+Data!Q58+Data!R58+Data!S58+Data!N59+Data!O59+Data!P59+Data!Q59+Data!R59+Data!S59+Data!N60+Data!O60+Data!P60+Data!Q60+Data!R60+Data!S60+Data!N61+Data!O61+Data!P61+Data!Q61+Data!R61+Data!S61)/(Data!AP50+Data!AP51+Data!AP52+Data!AP53+Data!AP54+Data!AP55+Data!AP56+Data!AP57+Data!AP58+Data!AP59+Data!AP60+Data!AP61)</f>
        <v>0.018564301791398</v>
      </c>
      <c r="M61" s="17" t="n">
        <f aca="false">(Data!T50+Data!U50+Data!V50+Data!W50+Data!X50+Data!Y50+Data!Z50+Data!AA50+Data!AB50+Data!AC50+Data!AD50+Data!AE50+Data!AF50+Data!AG50+Data!AH50+Data!AI50+Data!AJ50+Data!AK50+Data!AL50+Data!T51+Data!U51+Data!V51+Data!W51+Data!X51+Data!Y51+Data!Z51+Data!AA51+Data!AB51+Data!AC51+Data!AD51+Data!AE51+Data!AF51+Data!AG51+Data!AH51+Data!AI51+Data!AJ51+Data!AK51+Data!AL51+Data!T52+Data!U52+Data!V52+Data!W52+Data!X52+Data!Y52+Data!Z52+Data!AA52+Data!AB52+Data!AC52+Data!AD52+Data!AE52+Data!AF52+Data!AG52+Data!AH52+Data!AI52+Data!AJ52+Data!AK52+Data!AL52+Data!T53+Data!U53+Data!V53+Data!W53+Data!X53+Data!Y53+Data!Z53+Data!AA53+Data!AB53+Data!AC53+Data!AD53+Data!AE53+Data!AF53+Data!AG53+Data!AH53+Data!AI53+Data!AJ53+Data!AK53+Data!AL53+Data!T54+Data!U54+Data!V54+Data!W54+Data!X54+Data!Y54+Data!Z54+Data!AA54+Data!AB54+Data!AC54+Data!AD54+Data!AE54+Data!AF54+Data!AG54+Data!AH54+Data!AI54+Data!AJ54+Data!AK54+Data!AL54+Data!T55+Data!U55+Data!V55+Data!W55+Data!X55+Data!Y55+Data!Z55+Data!AA55+Data!AB55+Data!AC55+Data!AD55+Data!AE55+Data!AF55+Data!AG55+Data!AH55+Data!AI55+Data!AJ55+Data!AK55+Data!AL55+Data!T56+Data!U56+Data!V56+Data!W56+Data!X56+Data!Y56+Data!Z56+Data!AA56+Data!AB56+Data!AC56+Data!AD56+Data!AE56+Data!AF56+Data!AG56+Data!AH56+Data!AI56+Data!AJ56+Data!AK56+Data!AL56+Data!T57+Data!U57+Data!V57+Data!W57+Data!X57+Data!Y57+Data!Z57+Data!AA57+Data!AB57+Data!AC57+Data!AD57+Data!AE57+Data!AF57+Data!AG57+Data!AH57+Data!AI57+Data!AJ57+Data!AK57+Data!AL57+Data!T58+Data!U58+Data!V58+Data!W58+Data!X58+Data!Y58+Data!Z58+Data!AA58+Data!AB58+Data!AC58+Data!AD58+Data!AE58+Data!AF58+Data!AG58+Data!AH58+Data!AI58+Data!AJ58+Data!AK58+Data!AL58+Data!T59+Data!U59+Data!V59+Data!W59+Data!X59+Data!Y59+Data!Z59+Data!AA59+Data!AB59+Data!AC59+Data!AD59+Data!AE59+Data!AF59+Data!AG59+Data!AH59+Data!AI59+Data!AJ59+Data!AK59+Data!AL59+Data!T60+Data!U60+Data!V60+Data!W60+Data!X60+Data!Y60+Data!Z60+Data!AA60+Data!AB60+Data!AC60+Data!AD60+Data!AE60+Data!AF60+Data!AG60+Data!AH60+Data!AI60+Data!AJ60+Data!AK60+Data!AL60+Data!T61+Data!U61+Data!V61+Data!W61+Data!X61+Data!Y61+Data!Z61+Data!AA61+Data!AB61+Data!AC61+Data!AD61+Data!AE61+Data!AF61+Data!AG61+Data!AH61+Data!AI61+Data!AJ61+Data!AK61+Data!AL61)/(Data!AP50+Data!AP51+Data!AP52+Data!AP53+Data!AP54+Data!AP55+Data!AP56+Data!AP57+Data!AP58+Data!AP59+Data!AP60+Data!AP61)</f>
        <v>0.225910019507317</v>
      </c>
      <c r="N61" s="18" t="n">
        <f aca="false">(Data!T50+Data!U50+Data!V50+Data!W50+Data!T51+Data!U51+Data!V51+Data!W51+Data!T52+Data!U52+Data!V52+Data!W52+Data!T53+Data!U53+Data!V53+Data!W53+Data!T54+Data!U54+Data!V54+Data!W54+Data!T55+Data!U55+Data!V55+Data!W55+Data!T56+Data!U56+Data!V56+Data!W56+Data!T57+Data!U57+Data!V57+Data!W57+Data!T58+Data!U58+Data!V58+Data!W58+Data!T59+Data!U59+Data!V59+Data!W59+Data!T60+Data!U60+Data!V60+Data!W60+Data!T61+Data!U61+Data!V61+Data!W61)/(Data!AP50+Data!AP51+Data!AP52+Data!AP53+Data!AP54+Data!AP55+Data!AP56+Data!AP57+Data!AP58+Data!AP59+Data!AP60+Data!AP61)</f>
        <v>0.117536561608645</v>
      </c>
      <c r="O61" s="18" t="n">
        <f aca="false">(Data!T50+Data!T51+Data!T52+Data!T53+Data!T54+Data!T55+Data!T56+Data!T57+Data!T58+Data!T59+Data!T60+Data!T61)/(Data!AP50+Data!AP51+Data!AP52+Data!AP53+Data!AP54+Data!AP55+Data!AP56+Data!AP57+Data!AP58+Data!AP59+Data!AP60+Data!AP61)</f>
        <v>0.0855352499272773</v>
      </c>
      <c r="P61" s="18" t="n">
        <f aca="false">(Data!U50+Data!U51+Data!U52+Data!U53+Data!U54+Data!U55+Data!U56+Data!U57+Data!U58+Data!U59+Data!U60+Data!U61)/(Data!AP50+Data!AP51+Data!AP52+Data!AP53+Data!AP54+Data!AP55+Data!AP56+Data!AP57+Data!AP58+Data!AP59+Data!AP60+Data!AP61)</f>
        <v>0.0139397623750877</v>
      </c>
      <c r="Q61" s="18" t="n">
        <f aca="false">(Data!V50+Data!V51+Data!V52+Data!V53+Data!V54+Data!V55+Data!V56+Data!V57+Data!V58+Data!V59+Data!V60+Data!V61)/(Data!AP50+Data!AP51+Data!AP52+Data!AP53+Data!AP54+Data!AP55+Data!AP56+Data!AP57+Data!AP58+Data!AP59+Data!AP60+Data!AP61)</f>
        <v>0.0091442112174309</v>
      </c>
      <c r="R61" s="18" t="n">
        <f aca="false">(Data!W50+Data!W51+Data!W52+Data!W53+Data!W54+Data!W55+Data!W56+Data!W57+Data!W58+Data!W59+Data!W60+Data!W61)/(Data!AP50+Data!AP51+Data!AP52+Data!AP53+Data!AP54+Data!AP55+Data!AP56+Data!AP57+Data!AP58+Data!AP59+Data!AP60+Data!AP61)</f>
        <v>0.00891733808884914</v>
      </c>
      <c r="S61" s="18" t="n">
        <f aca="false">(Data!X50+Data!X51+Data!X52+Data!X53+Data!X54+Data!X55+Data!X56+Data!X57+Data!X58+Data!X59+Data!X60+Data!X61)/(Data!AP50+Data!AP51+Data!AP52+Data!AP53+Data!AP54+Data!AP55+Data!AP56+Data!AP57+Data!AP58+Data!AP59+Data!AP60+Data!AP61)</f>
        <v>0.0228965176298019</v>
      </c>
      <c r="T61" s="18" t="n">
        <f aca="false">(Data!Y50+Data!Z50+Data!AA50+Data!Y51+Data!Z51+Data!AA51+Data!Y52+Data!Z52+Data!AA52+Data!Y53+Data!Z53+Data!AA53+Data!Y54+Data!Z54+Data!AA54+Data!Y55+Data!Z55+Data!AA55+Data!Y56+Data!Z56+Data!AA56+Data!Y57+Data!Z57+Data!AA57+Data!Y58+Data!Z58+Data!AA58+Data!Y59+Data!Z59+Data!AA59+Data!Y60+Data!Z60+Data!AA60+Data!Y61+Data!Z61+Data!AA61)/(Data!AP50+Data!AP51+Data!AP52+Data!AP53+Data!AP54+Data!AP55+Data!AP56+Data!AP57+Data!AP58+Data!AP59+Data!AP60+Data!AP61)</f>
        <v>0.0211580410752649</v>
      </c>
      <c r="U61" s="18" t="n">
        <f aca="false">(Data!Y50+Data!Y51+Data!Y52+Data!Y53+Data!Y54+Data!Y55+Data!Y56+Data!Y57+Data!Y58+Data!Y59+Data!Y60+Data!Y61)/(Data!AP50+Data!AP51+Data!AP52+Data!AP53+Data!AP54+Data!AP55+Data!AP56+Data!AP57+Data!AP58+Data!AP59+Data!AP60+Data!AP61)</f>
        <v>0.0144589182770563</v>
      </c>
      <c r="V61" s="18" t="n">
        <f aca="false">(Data!Z50+Data!Z51+Data!Z52+Data!Z53+Data!Z54+Data!Z55+Data!Z56+Data!Z57+Data!Z58+Data!Z59+Data!Z60+Data!Z61)/(Data!AP50+Data!AP51+Data!AP52+Data!AP53+Data!AP54+Data!AP55+Data!AP56+Data!AP57+Data!AP58+Data!AP59+Data!AP60+Data!AP61)</f>
        <v>0.00655557249850518</v>
      </c>
      <c r="W61" s="18" t="n">
        <f aca="false">(Data!AB50+Data!AB51+Data!AB52+Data!AB53+Data!AB54+Data!AB55+Data!AB56+Data!AB57+Data!AB58+Data!AB59+Data!AB60+Data!AB61)/(Data!AP50+Data!AP51+Data!AP52+Data!AP53+Data!AP54+Data!AP55+Data!AP56+Data!AP57+Data!AP58+Data!AP59+Data!AP60+Data!AP61)</f>
        <v>0.0261898095964755</v>
      </c>
      <c r="X61" s="18" t="n">
        <f aca="false">(Data!AC50+Data!AC51+Data!AC52+Data!AC53+Data!AC54+Data!AC55+Data!AC56+Data!AC57+Data!AC58+Data!AC59+Data!AC60+Data!AC61)/(Data!AP50+Data!AP51+Data!AP52+Data!AP53+Data!AP54+Data!AP55+Data!AP56+Data!AP57+Data!AP58+Data!AP59+Data!AP60+Data!AP61)</f>
        <v>0.00771890935027965</v>
      </c>
      <c r="Y61" s="18" t="n">
        <f aca="false">(Data!AD50+Data!AE50+Data!AF50+Data!AG50+Data!AH50+Data!AD51+Data!AE51+Data!AF51+Data!AG51+Data!AH51+Data!AD52+Data!AE52+Data!AF52+Data!AG52+Data!AH52+Data!AD53+Data!AE53+Data!AF53+Data!AG53+Data!AH53+Data!AD54+Data!AE54+Data!AF54+Data!AG54+Data!AH54+Data!AD55+Data!AE55+Data!AF55+Data!AG55+Data!AH55+Data!AD56+Data!AE56+Data!AF56+Data!AG56+Data!AH56+Data!AD57+Data!AE57+Data!AF57+Data!AG57+Data!AH57+Data!AD58+Data!AE58+Data!AF58+Data!AG58+Data!AH58+Data!AD59+Data!AE59+Data!AF59+Data!AG59+Data!AH59+Data!AD60+Data!AE60+Data!AF60+Data!AG60+Data!AH60+Data!AD61+Data!AE61+Data!AF61+Data!AG61+Data!AH61)/(Data!AP50+Data!AP51+Data!AP52+Data!AP53+Data!AP54+Data!AP55+Data!AP56+Data!AP57+Data!AP58+Data!AP59+Data!AP60+Data!AP61)</f>
        <v>0.0106412882344338</v>
      </c>
      <c r="Z61" s="18" t="n">
        <f aca="false">(Data!AI50+Data!AI51+Data!AI52+Data!AI53+Data!AI54+Data!AI55+Data!AI56+Data!AI57+Data!AI58+Data!AI59+Data!AI60+Data!AI61)/(Data!AP50+Data!AP51+Data!AP52+Data!AP53+Data!AP54+Data!AP55+Data!AP56+Data!AP57+Data!AP58+Data!AP59+Data!AP60+Data!AP61)</f>
        <v>0.0072978067087394</v>
      </c>
      <c r="AA61" s="18" t="n">
        <f aca="false">(Data!AJ50+Data!AJ51+Data!AJ52+Data!AJ53+Data!AJ54+Data!AJ55+Data!AJ56+Data!AJ57+Data!AJ58+Data!AJ59+Data!AJ60+Data!AJ61)/(Data!AP50+Data!AP51+Data!AP52+Data!AP53+Data!AP54+Data!AP55+Data!AP56+Data!AP57+Data!AP58+Data!AP59+Data!AP60+Data!AP61)</f>
        <v>-8.60975362063883E-006</v>
      </c>
      <c r="AB61" s="18" t="n">
        <f aca="false">(Data!AK50+Data!AK51+Data!AK52+Data!AK53+Data!AK54+Data!AK55+Data!AK56+Data!AK57+Data!AK58+Data!AK59+Data!AK60+Data!AK61)/(Data!AP50+Data!AP51+Data!AP52+Data!AP53+Data!AP54+Data!AP55+Data!AP56+Data!AP57+Data!AP58+Data!AP59+Data!AP60+Data!AP61)</f>
        <v>0.00265168170159817</v>
      </c>
      <c r="AC61" s="18" t="n">
        <f aca="false">(Data!AL50+Data!AL51+Data!AL52+Data!AL53+Data!AL54+Data!AL55+Data!AL56+Data!AL57+Data!AL58+Data!AL59+Data!AL60+Data!AL61)/(Data!AP50+Data!AP51+Data!AP52+Data!AP53+Data!AP54+Data!AP55+Data!AP56+Data!AP57+Data!AP58+Data!AP59+Data!AP60+Data!AP61)</f>
        <v>0.00982801335569945</v>
      </c>
      <c r="AD61" s="17" t="n">
        <f aca="false">(Data!AM50+Data!AM51+Data!AM52+Data!AM53+Data!AM54+Data!AM55+Data!AM56+Data!AM57+Data!AM58+Data!AM59+Data!AM60+Data!AM61)/(Data!AP50+Data!AP51+Data!AP52+Data!AP53+Data!AP54+Data!AP55+Data!AP56+Data!AP57+Data!AP58+Data!AP59+Data!AP60+Data!AP61)</f>
        <v>-0.0479438822885019</v>
      </c>
      <c r="AE61" s="18" t="n">
        <f aca="false">(Data!AN50+Data!AN51+Data!AN52+Data!AN53+Data!AN54+Data!AN55+Data!AN56+Data!AN57+Data!AN58+Data!AN59+Data!AN60+Data!AN61)/(Data!AP50+Data!AP51+Data!AP52+Data!AP53+Data!AP54+Data!AP55+Data!AP56+Data!AP57+Data!AP58+Data!AP59+Data!AP60+Data!AP61)</f>
        <v>0.0267676832020466</v>
      </c>
      <c r="AF61" s="17" t="n">
        <f aca="false">(Data!AO50+Data!AO51+Data!AO52+Data!AO53+Data!AO54+Data!AO55+Data!AO56+Data!AO57+Data!AO58+Data!AO59+Data!AO60+Data!AO61)/(Data!AP50+Data!AP51+Data!AP52+Data!AP53+Data!AP54+Data!AP55+Data!AP56+Data!AP57+Data!AP58+Data!AP59+Data!AP60+Data!AP61)</f>
        <v>-0.0747114838815094</v>
      </c>
    </row>
    <row r="62" customFormat="false" ht="15" hidden="false" customHeight="false" outlineLevel="0" collapsed="false">
      <c r="B62" s="14" t="str">
        <f aca="false">Data!B62</f>
        <v>2020-08</v>
      </c>
      <c r="C62" s="17" t="n">
        <f aca="false">(Data!D51+Data!E51+Data!F51+Data!G51+Data!H51+Data!I51+Data!J51+Data!K51+Data!L51+Data!M51+Data!N51+Data!O51+Data!P51+Data!Q51+Data!R51+Data!S51+Data!D52+Data!E52+Data!F52+Data!G52+Data!H52+Data!I52+Data!J52+Data!K52+Data!L52+Data!M52+Data!N52+Data!O52+Data!P52+Data!Q52+Data!R52+Data!S52+Data!D53+Data!E53+Data!F53+Data!G53+Data!H53+Data!I53+Data!J53+Data!K53+Data!L53+Data!M53+Data!N53+Data!O53+Data!P53+Data!Q53+Data!R53+Data!S53+Data!D54+Data!E54+Data!F54+Data!G54+Data!H54+Data!I54+Data!J54+Data!K54+Data!L54+Data!M54+Data!N54+Data!O54+Data!P54+Data!Q54+Data!R54+Data!S54+Data!D55+Data!E55+Data!F55+Data!G55+Data!H55+Data!I55+Data!J55+Data!K55+Data!L55+Data!M55+Data!N55+Data!O55+Data!P55+Data!Q55+Data!R55+Data!S55+Data!D56+Data!E56+Data!F56+Data!G56+Data!H56+Data!I56+Data!J56+Data!K56+Data!L56+Data!M56+Data!N56+Data!O56+Data!P56+Data!Q56+Data!R56+Data!S56+Data!D57+Data!E57+Data!F57+Data!G57+Data!H57+Data!I57+Data!J57+Data!K57+Data!L57+Data!M57+Data!N57+Data!O57+Data!P57+Data!Q57+Data!R57+Data!S57+Data!D58+Data!E58+Data!F58+Data!G58+Data!H58+Data!I58+Data!J58+Data!K58+Data!L58+Data!M58+Data!N58+Data!O58+Data!P58+Data!Q58+Data!R58+Data!S58+Data!D59+Data!E59+Data!F59+Data!G59+Data!H59+Data!I59+Data!J59+Data!K59+Data!L59+Data!M59+Data!N59+Data!O59+Data!P59+Data!Q59+Data!R59+Data!S59+Data!D60+Data!E60+Data!F60+Data!G60+Data!H60+Data!I60+Data!J60+Data!K60+Data!L60+Data!M60+Data!N60+Data!O60+Data!P60+Data!Q60+Data!R60+Data!S60+Data!D61+Data!E61+Data!F61+Data!G61+Data!H61+Data!I61+Data!J61+Data!K61+Data!L61+Data!M61+Data!N61+Data!O61+Data!P61+Data!Q61+Data!R61+Data!S61+Data!D62+Data!E62+Data!F62+Data!G62+Data!H62+Data!I62+Data!J62+Data!K62+Data!L62+Data!M62+Data!N62+Data!O62+Data!P62+Data!Q62+Data!R62+Data!S62)/(Data!AP51+Data!AP52+Data!AP53+Data!AP54+Data!AP55+Data!AP56+Data!AP57+Data!AP58+Data!AP59+Data!AP60+Data!AP61+Data!AP62)</f>
        <v>0.178249270157945</v>
      </c>
      <c r="D62" s="18" t="n">
        <f aca="false">(Data!D51+Data!E51+Data!G51+Data!H51+Data!I51+Data!J51+Data!K51+Data!L51+Data!M51+Data!D52+Data!E52+Data!G52+Data!H52+Data!I52+Data!J52+Data!K52+Data!L52+Data!M52+Data!D53+Data!E53+Data!G53+Data!H53+Data!I53+Data!J53+Data!K53+Data!L53+Data!M53+Data!D54+Data!E54+Data!G54+Data!H54+Data!I54+Data!J54+Data!K54+Data!L54+Data!M54+Data!D55+Data!E55+Data!G55+Data!H55+Data!I55+Data!J55+Data!K55+Data!L55+Data!M55+Data!D56+Data!E56+Data!G56+Data!H56+Data!I56+Data!J56+Data!K56+Data!L56+Data!M56+Data!D57+Data!E57+Data!G57+Data!H57+Data!I57+Data!J57+Data!K57+Data!L57+Data!M57+Data!D58+Data!E58+Data!G58+Data!H58+Data!I58+Data!J58+Data!K58+Data!L58+Data!M58+Data!D59+Data!E59+Data!G59+Data!H59+Data!I59+Data!J59+Data!K59+Data!L59+Data!M59+Data!D60+Data!E60+Data!G60+Data!H60+Data!I60+Data!J60+Data!K60+Data!L60+Data!M60+Data!D61+Data!E61+Data!G61+Data!H61+Data!I61+Data!J61+Data!K61+Data!L61+Data!M61+Data!D62+Data!E62+Data!G62+Data!H62+Data!I62+Data!J62+Data!K62+Data!L62+Data!M62)/(Data!AP51+Data!AP52+Data!AP53+Data!AP54+Data!AP55+Data!AP56+Data!AP57+Data!AP58+Data!AP59+Data!AP60+Data!AP61+Data!AP62)</f>
        <v>0.102984616138879</v>
      </c>
      <c r="E62" s="18" t="n">
        <f aca="false">(Data!D51+Data!D52+Data!D53+Data!D54+Data!D55+Data!D56+Data!D57+Data!D58+Data!D59+Data!D60+Data!D61+Data!D62)/(Data!AP51+Data!AP52+Data!AP53+Data!AP54+Data!AP55+Data!AP56+Data!AP57+Data!AP58+Data!AP59+Data!AP60+Data!AP61+Data!AP62)</f>
        <v>0.0299117151046353</v>
      </c>
      <c r="F62" s="18" t="n">
        <f aca="false">(Data!E51+Data!E52+Data!E53+Data!E54+Data!E55+Data!E56+Data!E57+Data!E58+Data!E59+Data!E60+Data!E61+Data!E62)/(Data!AP51+Data!AP52+Data!AP53+Data!AP54+Data!AP55+Data!AP56+Data!AP57+Data!AP58+Data!AP59+Data!AP60+Data!AP61+Data!AP62)</f>
        <v>0.0158007246833825</v>
      </c>
      <c r="G62" s="18" t="n">
        <f aca="false">(Data!K51+Data!K52+Data!K53+Data!K54+Data!K55+Data!K56+Data!K57+Data!K58+Data!K59+Data!K60+Data!K61+Data!K62)/(Data!AP51+Data!AP52+Data!AP53+Data!AP54+Data!AP55+Data!AP56+Data!AP57+Data!AP58+Data!AP59+Data!AP60+Data!AP61+Data!AP62)</f>
        <v>0.0164779249354449</v>
      </c>
      <c r="H62" s="18" t="n">
        <f aca="false">(Data!L51+Data!L52+Data!L53+Data!L54+Data!L55+Data!L56+Data!L57+Data!L58+Data!L59+Data!L60+Data!L61+Data!L62)/(Data!AP51+Data!AP52+Data!AP53+Data!AP54+Data!AP55+Data!AP56+Data!AP57+Data!AP58+Data!AP59+Data!AP60+Data!AP61+Data!AP62)</f>
        <v>0.0058142152433688</v>
      </c>
      <c r="I62" s="18" t="n">
        <f aca="false">(Data!G51+Data!G52+Data!G53+Data!G54+Data!G55+Data!G56+Data!G57+Data!G58+Data!G59+Data!G60+Data!G61+Data!G62)/(Data!AP51+Data!AP52+Data!AP53+Data!AP54+Data!AP55+Data!AP56+Data!AP57+Data!AP58+Data!AP59+Data!AP60+Data!AP61+Data!AP62)</f>
        <v>0.0162918020751397</v>
      </c>
      <c r="J62" s="18" t="n">
        <f aca="false">(Data!H51+Data!I51+Data!J51+Data!M51+Data!H52+Data!I52+Data!J52+Data!M52+Data!H53+Data!I53+Data!J53+Data!M53+Data!H54+Data!I54+Data!J54+Data!M54+Data!H55+Data!I55+Data!J55+Data!M55+Data!H56+Data!I56+Data!J56+Data!M56+Data!H57+Data!I57+Data!J57+Data!M57+Data!H58+Data!I58+Data!J58+Data!M58+Data!H59+Data!I59+Data!J59+Data!M59+Data!H60+Data!I60+Data!J60+Data!M60+Data!H61+Data!I61+Data!J61+Data!M61+Data!H62+Data!I62+Data!J62+Data!M62)/(Data!AP51+Data!AP52+Data!AP53+Data!AP54+Data!AP55+Data!AP56+Data!AP57+Data!AP58+Data!AP59+Data!AP60+Data!AP61+Data!AP62)</f>
        <v>0.0186882340969081</v>
      </c>
      <c r="K62" s="18" t="n">
        <f aca="false">(Data!F51+Data!F52+Data!F53+Data!F54+Data!F55+Data!F56+Data!F57+Data!F58+Data!F59+Data!F60+Data!F61+Data!F62)/(Data!AP51+Data!AP52+Data!AP53+Data!AP54+Data!AP55+Data!AP56+Data!AP57+Data!AP58+Data!AP59+Data!AP60+Data!AP61+Data!AP62)</f>
        <v>0.057279751118432</v>
      </c>
      <c r="L62" s="18" t="n">
        <f aca="false">(Data!N51+Data!O51+Data!P51+Data!Q51+Data!R51+Data!S51+Data!N52+Data!O52+Data!P52+Data!Q52+Data!R52+Data!S52+Data!N53+Data!O53+Data!P53+Data!Q53+Data!R53+Data!S53+Data!N54+Data!O54+Data!P54+Data!Q54+Data!R54+Data!S54+Data!N55+Data!O55+Data!P55+Data!Q55+Data!R55+Data!S55+Data!N56+Data!O56+Data!P56+Data!Q56+Data!R56+Data!S56+Data!N57+Data!O57+Data!P57+Data!Q57+Data!R57+Data!S57+Data!N58+Data!O58+Data!P58+Data!Q58+Data!R58+Data!S58+Data!N59+Data!O59+Data!P59+Data!Q59+Data!R59+Data!S59+Data!N60+Data!O60+Data!P60+Data!Q60+Data!R60+Data!S60+Data!N61+Data!O61+Data!P61+Data!Q61+Data!R61+Data!S61+Data!N62+Data!O62+Data!P62+Data!Q62+Data!R62+Data!S62)/(Data!AP51+Data!AP52+Data!AP53+Data!AP54+Data!AP55+Data!AP56+Data!AP57+Data!AP58+Data!AP59+Data!AP60+Data!AP61+Data!AP62)</f>
        <v>0.017984902900634</v>
      </c>
      <c r="M62" s="17" t="n">
        <f aca="false">(Data!T51+Data!U51+Data!V51+Data!W51+Data!X51+Data!Y51+Data!Z51+Data!AA51+Data!AB51+Data!AC51+Data!AD51+Data!AE51+Data!AF51+Data!AG51+Data!AH51+Data!AI51+Data!AJ51+Data!AK51+Data!AL51+Data!T52+Data!U52+Data!V52+Data!W52+Data!X52+Data!Y52+Data!Z52+Data!AA52+Data!AB52+Data!AC52+Data!AD52+Data!AE52+Data!AF52+Data!AG52+Data!AH52+Data!AI52+Data!AJ52+Data!AK52+Data!AL52+Data!T53+Data!U53+Data!V53+Data!W53+Data!X53+Data!Y53+Data!Z53+Data!AA53+Data!AB53+Data!AC53+Data!AD53+Data!AE53+Data!AF53+Data!AG53+Data!AH53+Data!AI53+Data!AJ53+Data!AK53+Data!AL53+Data!T54+Data!U54+Data!V54+Data!W54+Data!X54+Data!Y54+Data!Z54+Data!AA54+Data!AB54+Data!AC54+Data!AD54+Data!AE54+Data!AF54+Data!AG54+Data!AH54+Data!AI54+Data!AJ54+Data!AK54+Data!AL54+Data!T55+Data!U55+Data!V55+Data!W55+Data!X55+Data!Y55+Data!Z55+Data!AA55+Data!AB55+Data!AC55+Data!AD55+Data!AE55+Data!AF55+Data!AG55+Data!AH55+Data!AI55+Data!AJ55+Data!AK55+Data!AL55+Data!T56+Data!U56+Data!V56+Data!W56+Data!X56+Data!Y56+Data!Z56+Data!AA56+Data!AB56+Data!AC56+Data!AD56+Data!AE56+Data!AF56+Data!AG56+Data!AH56+Data!AI56+Data!AJ56+Data!AK56+Data!AL56+Data!T57+Data!U57+Data!V57+Data!W57+Data!X57+Data!Y57+Data!Z57+Data!AA57+Data!AB57+Data!AC57+Data!AD57+Data!AE57+Data!AF57+Data!AG57+Data!AH57+Data!AI57+Data!AJ57+Data!AK57+Data!AL57+Data!T58+Data!U58+Data!V58+Data!W58+Data!X58+Data!Y58+Data!Z58+Data!AA58+Data!AB58+Data!AC58+Data!AD58+Data!AE58+Data!AF58+Data!AG58+Data!AH58+Data!AI58+Data!AJ58+Data!AK58+Data!AL58+Data!T59+Data!U59+Data!V59+Data!W59+Data!X59+Data!Y59+Data!Z59+Data!AA59+Data!AB59+Data!AC59+Data!AD59+Data!AE59+Data!AF59+Data!AG59+Data!AH59+Data!AI59+Data!AJ59+Data!AK59+Data!AL59+Data!T60+Data!U60+Data!V60+Data!W60+Data!X60+Data!Y60+Data!Z60+Data!AA60+Data!AB60+Data!AC60+Data!AD60+Data!AE60+Data!AF60+Data!AG60+Data!AH60+Data!AI60+Data!AJ60+Data!AK60+Data!AL60+Data!T61+Data!U61+Data!V61+Data!W61+Data!X61+Data!Y61+Data!Z61+Data!AA61+Data!AB61+Data!AC61+Data!AD61+Data!AE61+Data!AF61+Data!AG61+Data!AH61+Data!AI61+Data!AJ61+Data!AK61+Data!AL61+Data!T62+Data!U62+Data!V62+Data!W62+Data!X62+Data!Y62+Data!Z62+Data!AA62+Data!AB62+Data!AC62+Data!AD62+Data!AE62+Data!AF62+Data!AG62+Data!AH62+Data!AI62+Data!AJ62+Data!AK62+Data!AL62)/(Data!AP51+Data!AP52+Data!AP53+Data!AP54+Data!AP55+Data!AP56+Data!AP57+Data!AP58+Data!AP59+Data!AP60+Data!AP61+Data!AP62)</f>
        <v>0.229477543472068</v>
      </c>
      <c r="N62" s="18" t="n">
        <f aca="false">(Data!T51+Data!U51+Data!V51+Data!W51+Data!T52+Data!U52+Data!V52+Data!W52+Data!T53+Data!U53+Data!V53+Data!W53+Data!T54+Data!U54+Data!V54+Data!W54+Data!T55+Data!U55+Data!V55+Data!W55+Data!T56+Data!U56+Data!V56+Data!W56+Data!T57+Data!U57+Data!V57+Data!W57+Data!T58+Data!U58+Data!V58+Data!W58+Data!T59+Data!U59+Data!V59+Data!W59+Data!T60+Data!U60+Data!V60+Data!W60+Data!T61+Data!U61+Data!V61+Data!W61+Data!T62+Data!U62+Data!V62+Data!W62)/(Data!AP51+Data!AP52+Data!AP53+Data!AP54+Data!AP55+Data!AP56+Data!AP57+Data!AP58+Data!AP59+Data!AP60+Data!AP61+Data!AP62)</f>
        <v>0.118567756625751</v>
      </c>
      <c r="O62" s="18" t="n">
        <f aca="false">(Data!T51+Data!T52+Data!T53+Data!T54+Data!T55+Data!T56+Data!T57+Data!T58+Data!T59+Data!T60+Data!T61+Data!T62)/(Data!AP51+Data!AP52+Data!AP53+Data!AP54+Data!AP55+Data!AP56+Data!AP57+Data!AP58+Data!AP59+Data!AP60+Data!AP61+Data!AP62)</f>
        <v>0.0862280680068706</v>
      </c>
      <c r="P62" s="18" t="n">
        <f aca="false">(Data!U51+Data!U52+Data!U53+Data!U54+Data!U55+Data!U56+Data!U57+Data!U58+Data!U59+Data!U60+Data!U61+Data!U62)/(Data!AP51+Data!AP52+Data!AP53+Data!AP54+Data!AP55+Data!AP56+Data!AP57+Data!AP58+Data!AP59+Data!AP60+Data!AP61+Data!AP62)</f>
        <v>0.0140098332077708</v>
      </c>
      <c r="Q62" s="18" t="n">
        <f aca="false">(Data!V51+Data!V52+Data!V53+Data!V54+Data!V55+Data!V56+Data!V57+Data!V58+Data!V59+Data!V60+Data!V61+Data!V62)/(Data!AP51+Data!AP52+Data!AP53+Data!AP54+Data!AP55+Data!AP56+Data!AP57+Data!AP58+Data!AP59+Data!AP60+Data!AP61+Data!AP62)</f>
        <v>0.00927187620958665</v>
      </c>
      <c r="R62" s="18" t="n">
        <f aca="false">(Data!W51+Data!W52+Data!W53+Data!W54+Data!W55+Data!W56+Data!W57+Data!W58+Data!W59+Data!W60+Data!W61+Data!W62)/(Data!AP51+Data!AP52+Data!AP53+Data!AP54+Data!AP55+Data!AP56+Data!AP57+Data!AP58+Data!AP59+Data!AP60+Data!AP61+Data!AP62)</f>
        <v>0.00905797920152266</v>
      </c>
      <c r="S62" s="18" t="n">
        <f aca="false">(Data!X51+Data!X52+Data!X53+Data!X54+Data!X55+Data!X56+Data!X57+Data!X58+Data!X59+Data!X60+Data!X61+Data!X62)/(Data!AP51+Data!AP52+Data!AP53+Data!AP54+Data!AP55+Data!AP56+Data!AP57+Data!AP58+Data!AP59+Data!AP60+Data!AP61+Data!AP62)</f>
        <v>0.0259812924544896</v>
      </c>
      <c r="T62" s="18" t="n">
        <f aca="false">(Data!Y51+Data!Z51+Data!AA51+Data!Y52+Data!Z52+Data!AA52+Data!Y53+Data!Z53+Data!AA53+Data!Y54+Data!Z54+Data!AA54+Data!Y55+Data!Z55+Data!AA55+Data!Y56+Data!Z56+Data!AA56+Data!Y57+Data!Z57+Data!AA57+Data!Y58+Data!Z58+Data!AA58+Data!Y59+Data!Z59+Data!AA59+Data!Y60+Data!Z60+Data!AA60+Data!Y61+Data!Z61+Data!AA61+Data!Y62+Data!Z62+Data!AA62)/(Data!AP51+Data!AP52+Data!AP53+Data!AP54+Data!AP55+Data!AP56+Data!AP57+Data!AP58+Data!AP59+Data!AP60+Data!AP61+Data!AP62)</f>
        <v>0.0211053865146236</v>
      </c>
      <c r="U62" s="18" t="n">
        <f aca="false">(Data!Y51+Data!Y52+Data!Y53+Data!Y54+Data!Y55+Data!Y56+Data!Y57+Data!Y58+Data!Y59+Data!Y60+Data!Y61+Data!Y62)/(Data!AP51+Data!AP52+Data!AP53+Data!AP54+Data!AP55+Data!AP56+Data!AP57+Data!AP58+Data!AP59+Data!AP60+Data!AP61+Data!AP62)</f>
        <v>0.0142665737424641</v>
      </c>
      <c r="V62" s="18" t="n">
        <f aca="false">(Data!Z51+Data!Z52+Data!Z53+Data!Z54+Data!Z55+Data!Z56+Data!Z57+Data!Z58+Data!Z59+Data!Z60+Data!Z61+Data!Z62)/(Data!AP51+Data!AP52+Data!AP53+Data!AP54+Data!AP55+Data!AP56+Data!AP57+Data!AP58+Data!AP59+Data!AP60+Data!AP61+Data!AP62)</f>
        <v>0.00665565569386598</v>
      </c>
      <c r="W62" s="18" t="n">
        <f aca="false">(Data!AB51+Data!AB52+Data!AB53+Data!AB54+Data!AB55+Data!AB56+Data!AB57+Data!AB58+Data!AB59+Data!AB60+Data!AB61+Data!AB62)/(Data!AP51+Data!AP52+Data!AP53+Data!AP54+Data!AP55+Data!AP56+Data!AP57+Data!AP58+Data!AP59+Data!AP60+Data!AP61+Data!AP62)</f>
        <v>0.0260928699831481</v>
      </c>
      <c r="X62" s="18" t="n">
        <f aca="false">(Data!AC51+Data!AC52+Data!AC53+Data!AC54+Data!AC55+Data!AC56+Data!AC57+Data!AC58+Data!AC59+Data!AC60+Data!AC61+Data!AC62)/(Data!AP51+Data!AP52+Data!AP53+Data!AP54+Data!AP55+Data!AP56+Data!AP57+Data!AP58+Data!AP59+Data!AP60+Data!AP61+Data!AP62)</f>
        <v>0.0076128017209569</v>
      </c>
      <c r="Y62" s="18" t="n">
        <f aca="false">(Data!AD51+Data!AE51+Data!AF51+Data!AG51+Data!AH51+Data!AD52+Data!AE52+Data!AF52+Data!AG52+Data!AH52+Data!AD53+Data!AE53+Data!AF53+Data!AG53+Data!AH53+Data!AD54+Data!AE54+Data!AF54+Data!AG54+Data!AH54+Data!AD55+Data!AE55+Data!AF55+Data!AG55+Data!AH55+Data!AD56+Data!AE56+Data!AF56+Data!AG56+Data!AH56+Data!AD57+Data!AE57+Data!AF57+Data!AG57+Data!AH57+Data!AD58+Data!AE58+Data!AF58+Data!AG58+Data!AH58+Data!AD59+Data!AE59+Data!AF59+Data!AG59+Data!AH59+Data!AD60+Data!AE60+Data!AF60+Data!AG60+Data!AH60+Data!AD61+Data!AE61+Data!AF61+Data!AG61+Data!AH61+Data!AD62+Data!AE62+Data!AF62+Data!AG62+Data!AH62)/(Data!AP51+Data!AP52+Data!AP53+Data!AP54+Data!AP55+Data!AP56+Data!AP57+Data!AP58+Data!AP59+Data!AP60+Data!AP61+Data!AP62)</f>
        <v>0.010672005866082</v>
      </c>
      <c r="Z62" s="18" t="n">
        <f aca="false">(Data!AI51+Data!AI52+Data!AI53+Data!AI54+Data!AI55+Data!AI56+Data!AI57+Data!AI58+Data!AI59+Data!AI60+Data!AI61+Data!AI62)/(Data!AP51+Data!AP52+Data!AP53+Data!AP54+Data!AP55+Data!AP56+Data!AP57+Data!AP58+Data!AP59+Data!AP60+Data!AP61+Data!AP62)</f>
        <v>0.00741092815348111</v>
      </c>
      <c r="AA62" s="18" t="n">
        <f aca="false">(Data!AJ51+Data!AJ52+Data!AJ53+Data!AJ54+Data!AJ55+Data!AJ56+Data!AJ57+Data!AJ58+Data!AJ59+Data!AJ60+Data!AJ61+Data!AJ62)/(Data!AP51+Data!AP52+Data!AP53+Data!AP54+Data!AP55+Data!AP56+Data!AP57+Data!AP58+Data!AP59+Data!AP60+Data!AP61+Data!AP62)</f>
        <v>4.00781352939837E-007</v>
      </c>
      <c r="AB62" s="18" t="n">
        <f aca="false">(Data!AK51+Data!AK52+Data!AK53+Data!AK54+Data!AK55+Data!AK56+Data!AK57+Data!AK58+Data!AK59+Data!AK60+Data!AK61+Data!AK62)/(Data!AP51+Data!AP52+Data!AP53+Data!AP54+Data!AP55+Data!AP56+Data!AP57+Data!AP58+Data!AP59+Data!AP60+Data!AP61+Data!AP62)</f>
        <v>0.00251943181898569</v>
      </c>
      <c r="AC62" s="18" t="n">
        <f aca="false">(Data!AL51+Data!AL52+Data!AL53+Data!AL54+Data!AL55+Data!AL56+Data!AL57+Data!AL58+Data!AL59+Data!AL60+Data!AL61+Data!AL62)/(Data!AP51+Data!AP52+Data!AP53+Data!AP54+Data!AP55+Data!AP56+Data!AP57+Data!AP58+Data!AP59+Data!AP60+Data!AP61+Data!AP62)</f>
        <v>0.0095146695531976</v>
      </c>
      <c r="AD62" s="17" t="n">
        <f aca="false">(Data!AM51+Data!AM52+Data!AM53+Data!AM54+Data!AM55+Data!AM56+Data!AM57+Data!AM58+Data!AM59+Data!AM60+Data!AM61+Data!AM62)/(Data!AP51+Data!AP52+Data!AP53+Data!AP54+Data!AP55+Data!AP56+Data!AP57+Data!AP58+Data!AP59+Data!AP60+Data!AP61+Data!AP62)</f>
        <v>-0.0512282733141229</v>
      </c>
      <c r="AE62" s="18" t="n">
        <f aca="false">(Data!AN51+Data!AN52+Data!AN53+Data!AN54+Data!AN55+Data!AN56+Data!AN57+Data!AN58+Data!AN59+Data!AN60+Data!AN61+Data!AN62)/(Data!AP51+Data!AP52+Data!AP53+Data!AP54+Data!AP55+Data!AP56+Data!AP57+Data!AP58+Data!AP59+Data!AP60+Data!AP61+Data!AP62)</f>
        <v>0.0273936860203849</v>
      </c>
      <c r="AF62" s="17" t="n">
        <f aca="false">(Data!AO51+Data!AO52+Data!AO53+Data!AO54+Data!AO55+Data!AO56+Data!AO57+Data!AO58+Data!AO59+Data!AO60+Data!AO61+Data!AO62)/(Data!AP51+Data!AP52+Data!AP53+Data!AP54+Data!AP55+Data!AP56+Data!AP57+Data!AP58+Data!AP59+Data!AP60+Data!AP61+Data!AP62)</f>
        <v>-0.0786218791782372</v>
      </c>
    </row>
    <row r="63" customFormat="false" ht="15" hidden="false" customHeight="false" outlineLevel="0" collapsed="false">
      <c r="B63" s="14" t="str">
        <f aca="false">Data!B63</f>
        <v>2020-09</v>
      </c>
      <c r="C63" s="17" t="n">
        <f aca="false">(Data!D52+Data!E52+Data!F52+Data!G52+Data!H52+Data!I52+Data!J52+Data!K52+Data!L52+Data!M52+Data!N52+Data!O52+Data!P52+Data!Q52+Data!R52+Data!S52+Data!D53+Data!E53+Data!F53+Data!G53+Data!H53+Data!I53+Data!J53+Data!K53+Data!L53+Data!M53+Data!N53+Data!O53+Data!P53+Data!Q53+Data!R53+Data!S53+Data!D54+Data!E54+Data!F54+Data!G54+Data!H54+Data!I54+Data!J54+Data!K54+Data!L54+Data!M54+Data!N54+Data!O54+Data!P54+Data!Q54+Data!R54+Data!S54+Data!D55+Data!E55+Data!F55+Data!G55+Data!H55+Data!I55+Data!J55+Data!K55+Data!L55+Data!M55+Data!N55+Data!O55+Data!P55+Data!Q55+Data!R55+Data!S55+Data!D56+Data!E56+Data!F56+Data!G56+Data!H56+Data!I56+Data!J56+Data!K56+Data!L56+Data!M56+Data!N56+Data!O56+Data!P56+Data!Q56+Data!R56+Data!S56+Data!D57+Data!E57+Data!F57+Data!G57+Data!H57+Data!I57+Data!J57+Data!K57+Data!L57+Data!M57+Data!N57+Data!O57+Data!P57+Data!Q57+Data!R57+Data!S57+Data!D58+Data!E58+Data!F58+Data!G58+Data!H58+Data!I58+Data!J58+Data!K58+Data!L58+Data!M58+Data!N58+Data!O58+Data!P58+Data!Q58+Data!R58+Data!S58+Data!D59+Data!E59+Data!F59+Data!G59+Data!H59+Data!I59+Data!J59+Data!K59+Data!L59+Data!M59+Data!N59+Data!O59+Data!P59+Data!Q59+Data!R59+Data!S59+Data!D60+Data!E60+Data!F60+Data!G60+Data!H60+Data!I60+Data!J60+Data!K60+Data!L60+Data!M60+Data!N60+Data!O60+Data!P60+Data!Q60+Data!R60+Data!S60+Data!D61+Data!E61+Data!F61+Data!G61+Data!H61+Data!I61+Data!J61+Data!K61+Data!L61+Data!M61+Data!N61+Data!O61+Data!P61+Data!Q61+Data!R61+Data!S61+Data!D62+Data!E62+Data!F62+Data!G62+Data!H62+Data!I62+Data!J62+Data!K62+Data!L62+Data!M62+Data!N62+Data!O62+Data!P62+Data!Q62+Data!R62+Data!S62+Data!D63+Data!E63+Data!F63+Data!G63+Data!H63+Data!I63+Data!J63+Data!K63+Data!L63+Data!M63+Data!N63+Data!O63+Data!P63+Data!Q63+Data!R63+Data!S63)/(Data!AP52+Data!AP53+Data!AP54+Data!AP55+Data!AP56+Data!AP57+Data!AP58+Data!AP59+Data!AP60+Data!AP61+Data!AP62+Data!AP63)</f>
        <v>0.179278755369803</v>
      </c>
      <c r="D63" s="18" t="n">
        <f aca="false">(Data!D52+Data!E52+Data!G52+Data!H52+Data!I52+Data!J52+Data!K52+Data!L52+Data!M52+Data!D53+Data!E53+Data!G53+Data!H53+Data!I53+Data!J53+Data!K53+Data!L53+Data!M53+Data!D54+Data!E54+Data!G54+Data!H54+Data!I54+Data!J54+Data!K54+Data!L54+Data!M54+Data!D55+Data!E55+Data!G55+Data!H55+Data!I55+Data!J55+Data!K55+Data!L55+Data!M55+Data!D56+Data!E56+Data!G56+Data!H56+Data!I56+Data!J56+Data!K56+Data!L56+Data!M56+Data!D57+Data!E57+Data!G57+Data!H57+Data!I57+Data!J57+Data!K57+Data!L57+Data!M57+Data!D58+Data!E58+Data!G58+Data!H58+Data!I58+Data!J58+Data!K58+Data!L58+Data!M58+Data!D59+Data!E59+Data!G59+Data!H59+Data!I59+Data!J59+Data!K59+Data!L59+Data!M59+Data!D60+Data!E60+Data!G60+Data!H60+Data!I60+Data!J60+Data!K60+Data!L60+Data!M60+Data!D61+Data!E61+Data!G61+Data!H61+Data!I61+Data!J61+Data!K61+Data!L61+Data!M61+Data!D62+Data!E62+Data!G62+Data!H62+Data!I62+Data!J62+Data!K62+Data!L62+Data!M62+Data!D63+Data!E63+Data!G63+Data!H63+Data!I63+Data!J63+Data!K63+Data!L63+Data!M63)/(Data!AP52+Data!AP53+Data!AP54+Data!AP55+Data!AP56+Data!AP57+Data!AP58+Data!AP59+Data!AP60+Data!AP61+Data!AP62+Data!AP63)</f>
        <v>0.104409345094272</v>
      </c>
      <c r="E63" s="18" t="n">
        <f aca="false">(Data!D52+Data!D53+Data!D54+Data!D55+Data!D56+Data!D57+Data!D58+Data!D59+Data!D60+Data!D61+Data!D62+Data!D63)/(Data!AP52+Data!AP53+Data!AP54+Data!AP55+Data!AP56+Data!AP57+Data!AP58+Data!AP59+Data!AP60+Data!AP61+Data!AP62+Data!AP63)</f>
        <v>0.0298147005971923</v>
      </c>
      <c r="F63" s="18" t="n">
        <f aca="false">(Data!E52+Data!E53+Data!E54+Data!E55+Data!E56+Data!E57+Data!E58+Data!E59+Data!E60+Data!E61+Data!E62+Data!E63)/(Data!AP52+Data!AP53+Data!AP54+Data!AP55+Data!AP56+Data!AP57+Data!AP58+Data!AP59+Data!AP60+Data!AP61+Data!AP62+Data!AP63)</f>
        <v>0.0159930504650851</v>
      </c>
      <c r="G63" s="18" t="n">
        <f aca="false">(Data!K52+Data!K53+Data!K54+Data!K55+Data!K56+Data!K57+Data!K58+Data!K59+Data!K60+Data!K61+Data!K62+Data!K63)/(Data!AP52+Data!AP53+Data!AP54+Data!AP55+Data!AP56+Data!AP57+Data!AP58+Data!AP59+Data!AP60+Data!AP61+Data!AP62+Data!AP63)</f>
        <v>0.0167237285636659</v>
      </c>
      <c r="H63" s="18" t="n">
        <f aca="false">(Data!L52+Data!L53+Data!L54+Data!L55+Data!L56+Data!L57+Data!L58+Data!L59+Data!L60+Data!L61+Data!L62+Data!L63)/(Data!AP52+Data!AP53+Data!AP54+Data!AP55+Data!AP56+Data!AP57+Data!AP58+Data!AP59+Data!AP60+Data!AP61+Data!AP62+Data!AP63)</f>
        <v>0.00581696957142442</v>
      </c>
      <c r="I63" s="18" t="n">
        <f aca="false">(Data!G52+Data!G53+Data!G54+Data!G55+Data!G56+Data!G57+Data!G58+Data!G59+Data!G60+Data!G61+Data!G62+Data!G63)/(Data!AP52+Data!AP53+Data!AP54+Data!AP55+Data!AP56+Data!AP57+Data!AP58+Data!AP59+Data!AP60+Data!AP61+Data!AP62+Data!AP63)</f>
        <v>0.0163182024154675</v>
      </c>
      <c r="J63" s="18" t="n">
        <f aca="false">(Data!H52+Data!I52+Data!J52+Data!M52+Data!H53+Data!I53+Data!J53+Data!M53+Data!H54+Data!I54+Data!J54+Data!M54+Data!H55+Data!I55+Data!J55+Data!M55+Data!H56+Data!I56+Data!J56+Data!M56+Data!H57+Data!I57+Data!J57+Data!M57+Data!H58+Data!I58+Data!J58+Data!M58+Data!H59+Data!I59+Data!J59+Data!M59+Data!H60+Data!I60+Data!J60+Data!M60+Data!H61+Data!I61+Data!J61+Data!M61+Data!H62+Data!I62+Data!J62+Data!M62+Data!H63+Data!I63+Data!J63+Data!M63)/(Data!AP52+Data!AP53+Data!AP54+Data!AP55+Data!AP56+Data!AP57+Data!AP58+Data!AP59+Data!AP60+Data!AP61+Data!AP62+Data!AP63)</f>
        <v>0.0197426934814372</v>
      </c>
      <c r="K63" s="18" t="n">
        <f aca="false">(Data!F52+Data!F53+Data!F54+Data!F55+Data!F56+Data!F57+Data!F58+Data!F59+Data!F60+Data!F61+Data!F62+Data!F63)/(Data!AP52+Data!AP53+Data!AP54+Data!AP55+Data!AP56+Data!AP57+Data!AP58+Data!AP59+Data!AP60+Data!AP61+Data!AP62+Data!AP63)</f>
        <v>0.057456075024882</v>
      </c>
      <c r="L63" s="18" t="n">
        <f aca="false">(Data!N52+Data!O52+Data!P52+Data!Q52+Data!R52+Data!S52+Data!N53+Data!O53+Data!P53+Data!Q53+Data!R53+Data!S53+Data!N54+Data!O54+Data!P54+Data!Q54+Data!R54+Data!S54+Data!N55+Data!O55+Data!P55+Data!Q55+Data!R55+Data!S55+Data!N56+Data!O56+Data!P56+Data!Q56+Data!R56+Data!S56+Data!N57+Data!O57+Data!P57+Data!Q57+Data!R57+Data!S57+Data!N58+Data!O58+Data!P58+Data!Q58+Data!R58+Data!S58+Data!N59+Data!O59+Data!P59+Data!Q59+Data!R59+Data!S59+Data!N60+Data!O60+Data!P60+Data!Q60+Data!R60+Data!S60+Data!N61+Data!O61+Data!P61+Data!Q61+Data!R61+Data!S61+Data!N62+Data!O62+Data!P62+Data!Q62+Data!R62+Data!S62+Data!N63+Data!O63+Data!P63+Data!Q63+Data!R63+Data!S63)/(Data!AP52+Data!AP53+Data!AP54+Data!AP55+Data!AP56+Data!AP57+Data!AP58+Data!AP59+Data!AP60+Data!AP61+Data!AP62+Data!AP63)</f>
        <v>0.0174133352506487</v>
      </c>
      <c r="M63" s="17" t="n">
        <f aca="false">(Data!T52+Data!U52+Data!V52+Data!W52+Data!X52+Data!Y52+Data!Z52+Data!AA52+Data!AB52+Data!AC52+Data!AD52+Data!AE52+Data!AF52+Data!AG52+Data!AH52+Data!AI52+Data!AJ52+Data!AK52+Data!AL52+Data!T53+Data!U53+Data!V53+Data!W53+Data!X53+Data!Y53+Data!Z53+Data!AA53+Data!AB53+Data!AC53+Data!AD53+Data!AE53+Data!AF53+Data!AG53+Data!AH53+Data!AI53+Data!AJ53+Data!AK53+Data!AL53+Data!T54+Data!U54+Data!V54+Data!W54+Data!X54+Data!Y54+Data!Z54+Data!AA54+Data!AB54+Data!AC54+Data!AD54+Data!AE54+Data!AF54+Data!AG54+Data!AH54+Data!AI54+Data!AJ54+Data!AK54+Data!AL54+Data!T55+Data!U55+Data!V55+Data!W55+Data!X55+Data!Y55+Data!Z55+Data!AA55+Data!AB55+Data!AC55+Data!AD55+Data!AE55+Data!AF55+Data!AG55+Data!AH55+Data!AI55+Data!AJ55+Data!AK55+Data!AL55+Data!T56+Data!U56+Data!V56+Data!W56+Data!X56+Data!Y56+Data!Z56+Data!AA56+Data!AB56+Data!AC56+Data!AD56+Data!AE56+Data!AF56+Data!AG56+Data!AH56+Data!AI56+Data!AJ56+Data!AK56+Data!AL56+Data!T57+Data!U57+Data!V57+Data!W57+Data!X57+Data!Y57+Data!Z57+Data!AA57+Data!AB57+Data!AC57+Data!AD57+Data!AE57+Data!AF57+Data!AG57+Data!AH57+Data!AI57+Data!AJ57+Data!AK57+Data!AL57+Data!T58+Data!U58+Data!V58+Data!W58+Data!X58+Data!Y58+Data!Z58+Data!AA58+Data!AB58+Data!AC58+Data!AD58+Data!AE58+Data!AF58+Data!AG58+Data!AH58+Data!AI58+Data!AJ58+Data!AK58+Data!AL58+Data!T59+Data!U59+Data!V59+Data!W59+Data!X59+Data!Y59+Data!Z59+Data!AA59+Data!AB59+Data!AC59+Data!AD59+Data!AE59+Data!AF59+Data!AG59+Data!AH59+Data!AI59+Data!AJ59+Data!AK59+Data!AL59+Data!T60+Data!U60+Data!V60+Data!W60+Data!X60+Data!Y60+Data!Z60+Data!AA60+Data!AB60+Data!AC60+Data!AD60+Data!AE60+Data!AF60+Data!AG60+Data!AH60+Data!AI60+Data!AJ60+Data!AK60+Data!AL60+Data!T61+Data!U61+Data!V61+Data!W61+Data!X61+Data!Y61+Data!Z61+Data!AA61+Data!AB61+Data!AC61+Data!AD61+Data!AE61+Data!AF61+Data!AG61+Data!AH61+Data!AI61+Data!AJ61+Data!AK61+Data!AL61+Data!T62+Data!U62+Data!V62+Data!W62+Data!X62+Data!Y62+Data!Z62+Data!AA62+Data!AB62+Data!AC62+Data!AD62+Data!AE62+Data!AF62+Data!AG62+Data!AH62+Data!AI62+Data!AJ62+Data!AK62+Data!AL62+Data!T63+Data!U63+Data!V63+Data!W63+Data!X63+Data!Y63+Data!Z63+Data!AA63+Data!AB63+Data!AC63+Data!AD63+Data!AE63+Data!AF63+Data!AG63+Data!AH63+Data!AI63+Data!AJ63+Data!AK63+Data!AL63)/(Data!AP52+Data!AP53+Data!AP54+Data!AP55+Data!AP56+Data!AP57+Data!AP58+Data!AP59+Data!AP60+Data!AP61+Data!AP62+Data!AP63)</f>
        <v>0.235089615763595</v>
      </c>
      <c r="N63" s="18" t="n">
        <f aca="false">(Data!T52+Data!U52+Data!V52+Data!W52+Data!T53+Data!U53+Data!V53+Data!W53+Data!T54+Data!U54+Data!V54+Data!W54+Data!T55+Data!U55+Data!V55+Data!W55+Data!T56+Data!U56+Data!V56+Data!W56+Data!T57+Data!U57+Data!V57+Data!W57+Data!T58+Data!U58+Data!V58+Data!W58+Data!T59+Data!U59+Data!V59+Data!W59+Data!T60+Data!U60+Data!V60+Data!W60+Data!T61+Data!U61+Data!V61+Data!W61+Data!T62+Data!U62+Data!V62+Data!W62+Data!T63+Data!U63+Data!V63+Data!W63)/(Data!AP52+Data!AP53+Data!AP54+Data!AP55+Data!AP56+Data!AP57+Data!AP58+Data!AP59+Data!AP60+Data!AP61+Data!AP62+Data!AP63)</f>
        <v>0.118792081802429</v>
      </c>
      <c r="O63" s="18" t="n">
        <f aca="false">(Data!T52+Data!T53+Data!T54+Data!T55+Data!T56+Data!T57+Data!T58+Data!T59+Data!T60+Data!T61+Data!T62+Data!T63)/(Data!AP52+Data!AP53+Data!AP54+Data!AP55+Data!AP56+Data!AP57+Data!AP58+Data!AP59+Data!AP60+Data!AP61+Data!AP62+Data!AP63)</f>
        <v>0.0864934451162527</v>
      </c>
      <c r="P63" s="18" t="n">
        <f aca="false">(Data!U52+Data!U53+Data!U54+Data!U55+Data!U56+Data!U57+Data!U58+Data!U59+Data!U60+Data!U61+Data!U62+Data!U63)/(Data!AP52+Data!AP53+Data!AP54+Data!AP55+Data!AP56+Data!AP57+Data!AP58+Data!AP59+Data!AP60+Data!AP61+Data!AP62+Data!AP63)</f>
        <v>0.0139271781131028</v>
      </c>
      <c r="Q63" s="18" t="n">
        <f aca="false">(Data!V52+Data!V53+Data!V54+Data!V55+Data!V56+Data!V57+Data!V58+Data!V59+Data!V60+Data!V61+Data!V62+Data!V63)/(Data!AP52+Data!AP53+Data!AP54+Data!AP55+Data!AP56+Data!AP57+Data!AP58+Data!AP59+Data!AP60+Data!AP61+Data!AP62+Data!AP63)</f>
        <v>0.00922110179413315</v>
      </c>
      <c r="R63" s="18" t="n">
        <f aca="false">(Data!W52+Data!W53+Data!W54+Data!W55+Data!W56+Data!W57+Data!W58+Data!W59+Data!W60+Data!W61+Data!W62+Data!W63)/(Data!AP52+Data!AP53+Data!AP54+Data!AP55+Data!AP56+Data!AP57+Data!AP58+Data!AP59+Data!AP60+Data!AP61+Data!AP62+Data!AP63)</f>
        <v>0.00915035677894056</v>
      </c>
      <c r="S63" s="18" t="n">
        <f aca="false">(Data!X52+Data!X53+Data!X54+Data!X55+Data!X56+Data!X57+Data!X58+Data!X59+Data!X60+Data!X61+Data!X62+Data!X63)/(Data!AP52+Data!AP53+Data!AP54+Data!AP55+Data!AP56+Data!AP57+Data!AP58+Data!AP59+Data!AP60+Data!AP61+Data!AP62+Data!AP63)</f>
        <v>0.0288687218357087</v>
      </c>
      <c r="T63" s="18" t="n">
        <f aca="false">(Data!Y52+Data!Z52+Data!AA52+Data!Y53+Data!Z53+Data!AA53+Data!Y54+Data!Z54+Data!AA54+Data!Y55+Data!Z55+Data!AA55+Data!Y56+Data!Z56+Data!AA56+Data!Y57+Data!Z57+Data!AA57+Data!Y58+Data!Z58+Data!AA58+Data!Y59+Data!Z59+Data!AA59+Data!Y60+Data!Z60+Data!AA60+Data!Y61+Data!Z61+Data!AA61+Data!Y62+Data!Z62+Data!AA62+Data!Y63+Data!Z63+Data!AA63)/(Data!AP52+Data!AP53+Data!AP54+Data!AP55+Data!AP56+Data!AP57+Data!AP58+Data!AP59+Data!AP60+Data!AP61+Data!AP62+Data!AP63)</f>
        <v>0.0232399340046966</v>
      </c>
      <c r="U63" s="18" t="n">
        <f aca="false">(Data!Y52+Data!Y53+Data!Y54+Data!Y55+Data!Y56+Data!Y57+Data!Y58+Data!Y59+Data!Y60+Data!Y61+Data!Y62+Data!Y63)/(Data!AP52+Data!AP53+Data!AP54+Data!AP55+Data!AP56+Data!AP57+Data!AP58+Data!AP59+Data!AP60+Data!AP61+Data!AP62+Data!AP63)</f>
        <v>0.0162443131773774</v>
      </c>
      <c r="V63" s="18" t="n">
        <f aca="false">(Data!Z52+Data!Z53+Data!Z54+Data!Z55+Data!Z56+Data!Z57+Data!Z58+Data!Z59+Data!Z60+Data!Z61+Data!Z62+Data!Z63)/(Data!AP52+Data!AP53+Data!AP54+Data!AP55+Data!AP56+Data!AP57+Data!AP58+Data!AP59+Data!AP60+Data!AP61+Data!AP62+Data!AP63)</f>
        <v>0.00679847805164916</v>
      </c>
      <c r="W63" s="18" t="n">
        <f aca="false">(Data!AB52+Data!AB53+Data!AB54+Data!AB55+Data!AB56+Data!AB57+Data!AB58+Data!AB59+Data!AB60+Data!AB61+Data!AB62+Data!AB63)/(Data!AP52+Data!AP53+Data!AP54+Data!AP55+Data!AP56+Data!AP57+Data!AP58+Data!AP59+Data!AP60+Data!AP61+Data!AP62+Data!AP63)</f>
        <v>0.0259383060952868</v>
      </c>
      <c r="X63" s="18" t="n">
        <f aca="false">(Data!AC52+Data!AC53+Data!AC54+Data!AC55+Data!AC56+Data!AC57+Data!AC58+Data!AC59+Data!AC60+Data!AC61+Data!AC62+Data!AC63)/(Data!AP52+Data!AP53+Data!AP54+Data!AP55+Data!AP56+Data!AP57+Data!AP58+Data!AP59+Data!AP60+Data!AP61+Data!AP62+Data!AP63)</f>
        <v>0.00754648867895213</v>
      </c>
      <c r="Y63" s="18" t="n">
        <f aca="false">(Data!AD52+Data!AE52+Data!AF52+Data!AG52+Data!AH52+Data!AD53+Data!AE53+Data!AF53+Data!AG53+Data!AH53+Data!AD54+Data!AE54+Data!AF54+Data!AG54+Data!AH54+Data!AD55+Data!AE55+Data!AF55+Data!AG55+Data!AH55+Data!AD56+Data!AE56+Data!AF56+Data!AG56+Data!AH56+Data!AD57+Data!AE57+Data!AF57+Data!AG57+Data!AH57+Data!AD58+Data!AE58+Data!AF58+Data!AG58+Data!AH58+Data!AD59+Data!AE59+Data!AF59+Data!AG59+Data!AH59+Data!AD60+Data!AE60+Data!AF60+Data!AG60+Data!AH60+Data!AD61+Data!AE61+Data!AF61+Data!AG61+Data!AH61+Data!AD62+Data!AE62+Data!AF62+Data!AG62+Data!AH62+Data!AD63+Data!AE63+Data!AF63+Data!AG63+Data!AH63)/(Data!AP52+Data!AP53+Data!AP54+Data!AP55+Data!AP56+Data!AP57+Data!AP58+Data!AP59+Data!AP60+Data!AP61+Data!AP62+Data!AP63)</f>
        <v>0.0111168323845772</v>
      </c>
      <c r="Z63" s="18" t="n">
        <f aca="false">(Data!AI52+Data!AI53+Data!AI54+Data!AI55+Data!AI56+Data!AI57+Data!AI58+Data!AI59+Data!AI60+Data!AI61+Data!AI62+Data!AI63)/(Data!AP52+Data!AP53+Data!AP54+Data!AP55+Data!AP56+Data!AP57+Data!AP58+Data!AP59+Data!AP60+Data!AP61+Data!AP62+Data!AP63)</f>
        <v>0.00752605123011872</v>
      </c>
      <c r="AA63" s="18" t="n">
        <f aca="false">(Data!AJ52+Data!AJ53+Data!AJ54+Data!AJ55+Data!AJ56+Data!AJ57+Data!AJ58+Data!AJ59+Data!AJ60+Data!AJ61+Data!AJ62+Data!AJ63)/(Data!AP52+Data!AP53+Data!AP54+Data!AP55+Data!AP56+Data!AP57+Data!AP58+Data!AP59+Data!AP60+Data!AP61+Data!AP62+Data!AP63)</f>
        <v>3.19531651953194E-005</v>
      </c>
      <c r="AB63" s="18" t="n">
        <f aca="false">(Data!AK52+Data!AK53+Data!AK54+Data!AK55+Data!AK56+Data!AK57+Data!AK58+Data!AK59+Data!AK60+Data!AK61+Data!AK62+Data!AK63)/(Data!AP52+Data!AP53+Data!AP54+Data!AP55+Data!AP56+Data!AP57+Data!AP58+Data!AP59+Data!AP60+Data!AP61+Data!AP62+Data!AP63)</f>
        <v>0.0024510789597059</v>
      </c>
      <c r="AC63" s="18" t="n">
        <f aca="false">(Data!AL52+Data!AL53+Data!AL54+Data!AL55+Data!AL56+Data!AL57+Data!AL58+Data!AL59+Data!AL60+Data!AL61+Data!AL62+Data!AL63)/(Data!AP52+Data!AP53+Data!AP54+Data!AP55+Data!AP56+Data!AP57+Data!AP58+Data!AP59+Data!AP60+Data!AP61+Data!AP62+Data!AP63)</f>
        <v>0.00957816760692463</v>
      </c>
      <c r="AD63" s="17" t="n">
        <f aca="false">(Data!AM52+Data!AM53+Data!AM54+Data!AM55+Data!AM56+Data!AM57+Data!AM58+Data!AM59+Data!AM60+Data!AM61+Data!AM62+Data!AM63)/(Data!AP52+Data!AP53+Data!AP54+Data!AP55+Data!AP56+Data!AP57+Data!AP58+Data!AP59+Data!AP60+Data!AP61+Data!AP62+Data!AP63)</f>
        <v>-0.0558108603937922</v>
      </c>
      <c r="AE63" s="18" t="n">
        <f aca="false">(Data!AN52+Data!AN53+Data!AN54+Data!AN55+Data!AN56+Data!AN57+Data!AN58+Data!AN59+Data!AN60+Data!AN61+Data!AN62+Data!AN63)/(Data!AP52+Data!AP53+Data!AP54+Data!AP55+Data!AP56+Data!AP57+Data!AP58+Data!AP59+Data!AP60+Data!AP61+Data!AP62+Data!AP63)</f>
        <v>0.026627244634904</v>
      </c>
      <c r="AF63" s="17" t="n">
        <f aca="false">(Data!AO52+Data!AO53+Data!AO54+Data!AO55+Data!AO56+Data!AO57+Data!AO58+Data!AO59+Data!AO60+Data!AO61+Data!AO62+Data!AO63)/(Data!AP52+Data!AP53+Data!AP54+Data!AP55+Data!AP56+Data!AP57+Data!AP58+Data!AP59+Data!AP60+Data!AP61+Data!AP62+Data!AP63)</f>
        <v>-0.0824380264231237</v>
      </c>
    </row>
    <row r="64" customFormat="false" ht="15" hidden="false" customHeight="false" outlineLevel="0" collapsed="false">
      <c r="B64" s="14" t="str">
        <f aca="false">Data!B64</f>
        <v>2020-10</v>
      </c>
      <c r="C64" s="17" t="n">
        <f aca="false">(Data!D53+Data!E53+Data!F53+Data!G53+Data!H53+Data!I53+Data!J53+Data!K53+Data!L53+Data!M53+Data!N53+Data!O53+Data!P53+Data!Q53+Data!R53+Data!S53+Data!D54+Data!E54+Data!F54+Data!G54+Data!H54+Data!I54+Data!J54+Data!K54+Data!L54+Data!M54+Data!N54+Data!O54+Data!P54+Data!Q54+Data!R54+Data!S54+Data!D55+Data!E55+Data!F55+Data!G55+Data!H55+Data!I55+Data!J55+Data!K55+Data!L55+Data!M55+Data!N55+Data!O55+Data!P55+Data!Q55+Data!R55+Data!S55+Data!D56+Data!E56+Data!F56+Data!G56+Data!H56+Data!I56+Data!J56+Data!K56+Data!L56+Data!M56+Data!N56+Data!O56+Data!P56+Data!Q56+Data!R56+Data!S56+Data!D57+Data!E57+Data!F57+Data!G57+Data!H57+Data!I57+Data!J57+Data!K57+Data!L57+Data!M57+Data!N57+Data!O57+Data!P57+Data!Q57+Data!R57+Data!S57+Data!D58+Data!E58+Data!F58+Data!G58+Data!H58+Data!I58+Data!J58+Data!K58+Data!L58+Data!M58+Data!N58+Data!O58+Data!P58+Data!Q58+Data!R58+Data!S58+Data!D59+Data!E59+Data!F59+Data!G59+Data!H59+Data!I59+Data!J59+Data!K59+Data!L59+Data!M59+Data!N59+Data!O59+Data!P59+Data!Q59+Data!R59+Data!S59+Data!D60+Data!E60+Data!F60+Data!G60+Data!H60+Data!I60+Data!J60+Data!K60+Data!L60+Data!M60+Data!N60+Data!O60+Data!P60+Data!Q60+Data!R60+Data!S60+Data!D61+Data!E61+Data!F61+Data!G61+Data!H61+Data!I61+Data!J61+Data!K61+Data!L61+Data!M61+Data!N61+Data!O61+Data!P61+Data!Q61+Data!R61+Data!S61+Data!D62+Data!E62+Data!F62+Data!G62+Data!H62+Data!I62+Data!J62+Data!K62+Data!L62+Data!M62+Data!N62+Data!O62+Data!P62+Data!Q62+Data!R62+Data!S62+Data!D63+Data!E63+Data!F63+Data!G63+Data!H63+Data!I63+Data!J63+Data!K63+Data!L63+Data!M63+Data!N63+Data!O63+Data!P63+Data!Q63+Data!R63+Data!S63+Data!D64+Data!E64+Data!F64+Data!G64+Data!H64+Data!I64+Data!J64+Data!K64+Data!L64+Data!M64+Data!N64+Data!O64+Data!P64+Data!Q64+Data!R64+Data!S64)/(Data!AP53+Data!AP54+Data!AP55+Data!AP56+Data!AP57+Data!AP58+Data!AP59+Data!AP60+Data!AP61+Data!AP62+Data!AP63+Data!AP64)</f>
        <v>0.179584714340519</v>
      </c>
      <c r="D64" s="18" t="n">
        <f aca="false">(Data!D53+Data!E53+Data!G53+Data!H53+Data!I53+Data!J53+Data!K53+Data!L53+Data!M53+Data!D54+Data!E54+Data!G54+Data!H54+Data!I54+Data!J54+Data!K54+Data!L54+Data!M54+Data!D55+Data!E55+Data!G55+Data!H55+Data!I55+Data!J55+Data!K55+Data!L55+Data!M55+Data!D56+Data!E56+Data!G56+Data!H56+Data!I56+Data!J56+Data!K56+Data!L56+Data!M56+Data!D57+Data!E57+Data!G57+Data!H57+Data!I57+Data!J57+Data!K57+Data!L57+Data!M57+Data!D58+Data!E58+Data!G58+Data!H58+Data!I58+Data!J58+Data!K58+Data!L58+Data!M58+Data!D59+Data!E59+Data!G59+Data!H59+Data!I59+Data!J59+Data!K59+Data!L59+Data!M59+Data!D60+Data!E60+Data!G60+Data!H60+Data!I60+Data!J60+Data!K60+Data!L60+Data!M60+Data!D61+Data!E61+Data!G61+Data!H61+Data!I61+Data!J61+Data!K61+Data!L61+Data!M61+Data!D62+Data!E62+Data!G62+Data!H62+Data!I62+Data!J62+Data!K62+Data!L62+Data!M62+Data!D63+Data!E63+Data!G63+Data!H63+Data!I63+Data!J63+Data!K63+Data!L63+Data!M63+Data!D64+Data!E64+Data!G64+Data!H64+Data!I64+Data!J64+Data!K64+Data!L64+Data!M64)/(Data!AP53+Data!AP54+Data!AP55+Data!AP56+Data!AP57+Data!AP58+Data!AP59+Data!AP60+Data!AP61+Data!AP62+Data!AP63+Data!AP64)</f>
        <v>0.10538358525378</v>
      </c>
      <c r="E64" s="18" t="n">
        <f aca="false">(Data!D53+Data!D54+Data!D55+Data!D56+Data!D57+Data!D58+Data!D59+Data!D60+Data!D61+Data!D62+Data!D63+Data!D64)/(Data!AP53+Data!AP54+Data!AP55+Data!AP56+Data!AP57+Data!AP58+Data!AP59+Data!AP60+Data!AP61+Data!AP62+Data!AP63+Data!AP64)</f>
        <v>0.0299127159281769</v>
      </c>
      <c r="F64" s="18" t="n">
        <f aca="false">(Data!E53+Data!E54+Data!E55+Data!E56+Data!E57+Data!E58+Data!E59+Data!E60+Data!E61+Data!E62+Data!E63+Data!E64)/(Data!AP53+Data!AP54+Data!AP55+Data!AP56+Data!AP57+Data!AP58+Data!AP59+Data!AP60+Data!AP61+Data!AP62+Data!AP63+Data!AP64)</f>
        <v>0.0165829477627388</v>
      </c>
      <c r="G64" s="18" t="n">
        <f aca="false">(Data!K53+Data!K54+Data!K55+Data!K56+Data!K57+Data!K58+Data!K59+Data!K60+Data!K61+Data!K62+Data!K63+Data!K64)/(Data!AP53+Data!AP54+Data!AP55+Data!AP56+Data!AP57+Data!AP58+Data!AP59+Data!AP60+Data!AP61+Data!AP62+Data!AP63+Data!AP64)</f>
        <v>0.0163998995810773</v>
      </c>
      <c r="H64" s="18" t="n">
        <f aca="false">(Data!L53+Data!L54+Data!L55+Data!L56+Data!L57+Data!L58+Data!L59+Data!L60+Data!L61+Data!L62+Data!L63+Data!L64)/(Data!AP53+Data!AP54+Data!AP55+Data!AP56+Data!AP57+Data!AP58+Data!AP59+Data!AP60+Data!AP61+Data!AP62+Data!AP63+Data!AP64)</f>
        <v>0.00577832752954636</v>
      </c>
      <c r="I64" s="18" t="n">
        <f aca="false">(Data!G53+Data!G54+Data!G55+Data!G56+Data!G57+Data!G58+Data!G59+Data!G60+Data!G61+Data!G62+Data!G63+Data!G64)/(Data!AP53+Data!AP54+Data!AP55+Data!AP56+Data!AP57+Data!AP58+Data!AP59+Data!AP60+Data!AP61+Data!AP62+Data!AP63+Data!AP64)</f>
        <v>0.0163277359851496</v>
      </c>
      <c r="J64" s="18" t="n">
        <f aca="false">(Data!H53+Data!I53+Data!J53+Data!M53+Data!H54+Data!I54+Data!J54+Data!M54+Data!H55+Data!I55+Data!J55+Data!M55+Data!H56+Data!I56+Data!J56+Data!M56+Data!H57+Data!I57+Data!J57+Data!M57+Data!H58+Data!I58+Data!J58+Data!M58+Data!H59+Data!I59+Data!J59+Data!M59+Data!H60+Data!I60+Data!J60+Data!M60+Data!H61+Data!I61+Data!J61+Data!M61+Data!H62+Data!I62+Data!J62+Data!M62+Data!H63+Data!I63+Data!J63+Data!M63+Data!H64+Data!I64+Data!J64+Data!M64)/(Data!AP53+Data!AP54+Data!AP55+Data!AP56+Data!AP57+Data!AP58+Data!AP59+Data!AP60+Data!AP61+Data!AP62+Data!AP63+Data!AP64)</f>
        <v>0.0203819584670906</v>
      </c>
      <c r="K64" s="18" t="n">
        <f aca="false">(Data!F53+Data!F54+Data!F55+Data!F56+Data!F57+Data!F58+Data!F59+Data!F60+Data!F61+Data!F62+Data!F63+Data!F64)/(Data!AP53+Data!AP54+Data!AP55+Data!AP56+Data!AP57+Data!AP58+Data!AP59+Data!AP60+Data!AP61+Data!AP62+Data!AP63+Data!AP64)</f>
        <v>0.0574155222131736</v>
      </c>
      <c r="L64" s="18" t="n">
        <f aca="false">(Data!N53+Data!O53+Data!P53+Data!Q53+Data!R53+Data!S53+Data!N54+Data!O54+Data!P54+Data!Q54+Data!R54+Data!S54+Data!N55+Data!O55+Data!P55+Data!Q55+Data!R55+Data!S55+Data!N56+Data!O56+Data!P56+Data!Q56+Data!R56+Data!S56+Data!N57+Data!O57+Data!P57+Data!Q57+Data!R57+Data!S57+Data!N58+Data!O58+Data!P58+Data!Q58+Data!R58+Data!S58+Data!N59+Data!O59+Data!P59+Data!Q59+Data!R59+Data!S59+Data!N60+Data!O60+Data!P60+Data!Q60+Data!R60+Data!S60+Data!N61+Data!O61+Data!P61+Data!Q61+Data!R61+Data!S61+Data!N62+Data!O62+Data!P62+Data!Q62+Data!R62+Data!S62+Data!N63+Data!O63+Data!P63+Data!Q63+Data!R63+Data!S63+Data!N64+Data!O64+Data!P64+Data!Q64+Data!R64+Data!S64)/(Data!AP53+Data!AP54+Data!AP55+Data!AP56+Data!AP57+Data!AP58+Data!AP59+Data!AP60+Data!AP61+Data!AP62+Data!AP63+Data!AP64)</f>
        <v>0.016785606873566</v>
      </c>
      <c r="M64" s="17" t="n">
        <f aca="false">(Data!T53+Data!U53+Data!V53+Data!W53+Data!X53+Data!Y53+Data!Z53+Data!AA53+Data!AB53+Data!AC53+Data!AD53+Data!AE53+Data!AF53+Data!AG53+Data!AH53+Data!AI53+Data!AJ53+Data!AK53+Data!AL53+Data!T54+Data!U54+Data!V54+Data!W54+Data!X54+Data!Y54+Data!Z54+Data!AA54+Data!AB54+Data!AC54+Data!AD54+Data!AE54+Data!AF54+Data!AG54+Data!AH54+Data!AI54+Data!AJ54+Data!AK54+Data!AL54+Data!T55+Data!U55+Data!V55+Data!W55+Data!X55+Data!Y55+Data!Z55+Data!AA55+Data!AB55+Data!AC55+Data!AD55+Data!AE55+Data!AF55+Data!AG55+Data!AH55+Data!AI55+Data!AJ55+Data!AK55+Data!AL55+Data!T56+Data!U56+Data!V56+Data!W56+Data!X56+Data!Y56+Data!Z56+Data!AA56+Data!AB56+Data!AC56+Data!AD56+Data!AE56+Data!AF56+Data!AG56+Data!AH56+Data!AI56+Data!AJ56+Data!AK56+Data!AL56+Data!T57+Data!U57+Data!V57+Data!W57+Data!X57+Data!Y57+Data!Z57+Data!AA57+Data!AB57+Data!AC57+Data!AD57+Data!AE57+Data!AF57+Data!AG57+Data!AH57+Data!AI57+Data!AJ57+Data!AK57+Data!AL57+Data!T58+Data!U58+Data!V58+Data!W58+Data!X58+Data!Y58+Data!Z58+Data!AA58+Data!AB58+Data!AC58+Data!AD58+Data!AE58+Data!AF58+Data!AG58+Data!AH58+Data!AI58+Data!AJ58+Data!AK58+Data!AL58+Data!T59+Data!U59+Data!V59+Data!W59+Data!X59+Data!Y59+Data!Z59+Data!AA59+Data!AB59+Data!AC59+Data!AD59+Data!AE59+Data!AF59+Data!AG59+Data!AH59+Data!AI59+Data!AJ59+Data!AK59+Data!AL59+Data!T60+Data!U60+Data!V60+Data!W60+Data!X60+Data!Y60+Data!Z60+Data!AA60+Data!AB60+Data!AC60+Data!AD60+Data!AE60+Data!AF60+Data!AG60+Data!AH60+Data!AI60+Data!AJ60+Data!AK60+Data!AL60+Data!T61+Data!U61+Data!V61+Data!W61+Data!X61+Data!Y61+Data!Z61+Data!AA61+Data!AB61+Data!AC61+Data!AD61+Data!AE61+Data!AF61+Data!AG61+Data!AH61+Data!AI61+Data!AJ61+Data!AK61+Data!AL61+Data!T62+Data!U62+Data!V62+Data!W62+Data!X62+Data!Y62+Data!Z62+Data!AA62+Data!AB62+Data!AC62+Data!AD62+Data!AE62+Data!AF62+Data!AG62+Data!AH62+Data!AI62+Data!AJ62+Data!AK62+Data!AL62+Data!T63+Data!U63+Data!V63+Data!W63+Data!X63+Data!Y63+Data!Z63+Data!AA63+Data!AB63+Data!AC63+Data!AD63+Data!AE63+Data!AF63+Data!AG63+Data!AH63+Data!AI63+Data!AJ63+Data!AK63+Data!AL63+Data!T64+Data!U64+Data!V64+Data!W64+Data!X64+Data!Y64+Data!Z64+Data!AA64+Data!AB64+Data!AC64+Data!AD64+Data!AE64+Data!AF64+Data!AG64+Data!AH64+Data!AI64+Data!AJ64+Data!AK64+Data!AL64)/(Data!AP53+Data!AP54+Data!AP55+Data!AP56+Data!AP57+Data!AP58+Data!AP59+Data!AP60+Data!AP61+Data!AP62+Data!AP63+Data!AP64)</f>
        <v>0.237769339437786</v>
      </c>
      <c r="N64" s="18" t="n">
        <f aca="false">(Data!T53+Data!U53+Data!V53+Data!W53+Data!T54+Data!U54+Data!V54+Data!W54+Data!T55+Data!U55+Data!V55+Data!W55+Data!T56+Data!U56+Data!V56+Data!W56+Data!T57+Data!U57+Data!V57+Data!W57+Data!T58+Data!U58+Data!V58+Data!W58+Data!T59+Data!U59+Data!V59+Data!W59+Data!T60+Data!U60+Data!V60+Data!W60+Data!T61+Data!U61+Data!V61+Data!W61+Data!T62+Data!U62+Data!V62+Data!W62+Data!T63+Data!U63+Data!V63+Data!W63+Data!T64+Data!U64+Data!V64+Data!W64)/(Data!AP53+Data!AP54+Data!AP55+Data!AP56+Data!AP57+Data!AP58+Data!AP59+Data!AP60+Data!AP61+Data!AP62+Data!AP63+Data!AP64)</f>
        <v>0.119307460546395</v>
      </c>
      <c r="O64" s="18" t="n">
        <f aca="false">(Data!T53+Data!T54+Data!T55+Data!T56+Data!T57+Data!T58+Data!T59+Data!T60+Data!T61+Data!T62+Data!T63+Data!T64)/(Data!AP53+Data!AP54+Data!AP55+Data!AP56+Data!AP57+Data!AP58+Data!AP59+Data!AP60+Data!AP61+Data!AP62+Data!AP63+Data!AP64)</f>
        <v>0.0869235749016133</v>
      </c>
      <c r="P64" s="18" t="n">
        <f aca="false">(Data!U53+Data!U54+Data!U55+Data!U56+Data!U57+Data!U58+Data!U59+Data!U60+Data!U61+Data!U62+Data!U63+Data!U64)/(Data!AP53+Data!AP54+Data!AP55+Data!AP56+Data!AP57+Data!AP58+Data!AP59+Data!AP60+Data!AP61+Data!AP62+Data!AP63+Data!AP64)</f>
        <v>0.0138026651096002</v>
      </c>
      <c r="Q64" s="18" t="n">
        <f aca="false">(Data!V53+Data!V54+Data!V55+Data!V56+Data!V57+Data!V58+Data!V59+Data!V60+Data!V61+Data!V62+Data!V63+Data!V64)/(Data!AP53+Data!AP54+Data!AP55+Data!AP56+Data!AP57+Data!AP58+Data!AP59+Data!AP60+Data!AP61+Data!AP62+Data!AP63+Data!AP64)</f>
        <v>0.00920912281143136</v>
      </c>
      <c r="R64" s="18" t="n">
        <f aca="false">(Data!W53+Data!W54+Data!W55+Data!W56+Data!W57+Data!W58+Data!W59+Data!W60+Data!W61+Data!W62+Data!W63+Data!W64)/(Data!AP53+Data!AP54+Data!AP55+Data!AP56+Data!AP57+Data!AP58+Data!AP59+Data!AP60+Data!AP61+Data!AP62+Data!AP63+Data!AP64)</f>
        <v>0.00937209772375054</v>
      </c>
      <c r="S64" s="18" t="n">
        <f aca="false">(Data!X53+Data!X54+Data!X55+Data!X56+Data!X57+Data!X58+Data!X59+Data!X60+Data!X61+Data!X62+Data!X63+Data!X64)/(Data!AP53+Data!AP54+Data!AP55+Data!AP56+Data!AP57+Data!AP58+Data!AP59+Data!AP60+Data!AP61+Data!AP62+Data!AP63+Data!AP64)</f>
        <v>0.0298728390879286</v>
      </c>
      <c r="T64" s="18" t="n">
        <f aca="false">(Data!Y53+Data!Z53+Data!AA53+Data!Y54+Data!Z54+Data!AA54+Data!Y55+Data!Z55+Data!AA55+Data!Y56+Data!Z56+Data!AA56+Data!Y57+Data!Z57+Data!AA57+Data!Y58+Data!Z58+Data!AA58+Data!Y59+Data!Z59+Data!AA59+Data!Y60+Data!Z60+Data!AA60+Data!Y61+Data!Z61+Data!AA61+Data!Y62+Data!Z62+Data!AA62+Data!Y63+Data!Z63+Data!AA63+Data!Y64+Data!Z64+Data!AA64)/(Data!AP53+Data!AP54+Data!AP55+Data!AP56+Data!AP57+Data!AP58+Data!AP59+Data!AP60+Data!AP61+Data!AP62+Data!AP63+Data!AP64)</f>
        <v>0.0243977296576617</v>
      </c>
      <c r="U64" s="18" t="n">
        <f aca="false">(Data!Y53+Data!Y54+Data!Y55+Data!Y56+Data!Y57+Data!Y58+Data!Y59+Data!Y60+Data!Y61+Data!Y62+Data!Y63+Data!Y64)/(Data!AP53+Data!AP54+Data!AP55+Data!AP56+Data!AP57+Data!AP58+Data!AP59+Data!AP60+Data!AP61+Data!AP62+Data!AP63+Data!AP64)</f>
        <v>0.0171933909094965</v>
      </c>
      <c r="V64" s="18" t="n">
        <f aca="false">(Data!Z53+Data!Z54+Data!Z55+Data!Z56+Data!Z57+Data!Z58+Data!Z59+Data!Z60+Data!Z61+Data!Z62+Data!Z63+Data!Z64)/(Data!AP53+Data!AP54+Data!AP55+Data!AP56+Data!AP57+Data!AP58+Data!AP59+Data!AP60+Data!AP61+Data!AP62+Data!AP63+Data!AP64)</f>
        <v>0.0069658482736366</v>
      </c>
      <c r="W64" s="18" t="n">
        <f aca="false">(Data!AB53+Data!AB54+Data!AB55+Data!AB56+Data!AB57+Data!AB58+Data!AB59+Data!AB60+Data!AB61+Data!AB62+Data!AB63+Data!AB64)/(Data!AP53+Data!AP54+Data!AP55+Data!AP56+Data!AP57+Data!AP58+Data!AP59+Data!AP60+Data!AP61+Data!AP62+Data!AP63+Data!AP64)</f>
        <v>0.0258717471979707</v>
      </c>
      <c r="X64" s="18" t="n">
        <f aca="false">(Data!AC53+Data!AC54+Data!AC55+Data!AC56+Data!AC57+Data!AC58+Data!AC59+Data!AC60+Data!AC61+Data!AC62+Data!AC63+Data!AC64)/(Data!AP53+Data!AP54+Data!AP55+Data!AP56+Data!AP57+Data!AP58+Data!AP59+Data!AP60+Data!AP61+Data!AP62+Data!AP63+Data!AP64)</f>
        <v>0.00751171790903568</v>
      </c>
      <c r="Y64" s="18" t="n">
        <f aca="false">(Data!AD53+Data!AE53+Data!AF53+Data!AG53+Data!AH53+Data!AD54+Data!AE54+Data!AF54+Data!AG54+Data!AH54+Data!AD55+Data!AE55+Data!AF55+Data!AG55+Data!AH55+Data!AD56+Data!AE56+Data!AF56+Data!AG56+Data!AH56+Data!AD57+Data!AE57+Data!AF57+Data!AG57+Data!AH57+Data!AD58+Data!AE58+Data!AF58+Data!AG58+Data!AH58+Data!AD59+Data!AE59+Data!AF59+Data!AG59+Data!AH59+Data!AD60+Data!AE60+Data!AF60+Data!AG60+Data!AH60+Data!AD61+Data!AE61+Data!AF61+Data!AG61+Data!AH61+Data!AD62+Data!AE62+Data!AF62+Data!AG62+Data!AH62+Data!AD63+Data!AE63+Data!AF63+Data!AG63+Data!AH63+Data!AD64+Data!AE64+Data!AF64+Data!AG64+Data!AH64)/(Data!AP53+Data!AP54+Data!AP55+Data!AP56+Data!AP57+Data!AP58+Data!AP59+Data!AP60+Data!AP61+Data!AP62+Data!AP63+Data!AP64)</f>
        <v>0.0114299353223036</v>
      </c>
      <c r="Z64" s="18" t="n">
        <f aca="false">(Data!AI53+Data!AI54+Data!AI55+Data!AI56+Data!AI57+Data!AI58+Data!AI59+Data!AI60+Data!AI61+Data!AI62+Data!AI63+Data!AI64)/(Data!AP53+Data!AP54+Data!AP55+Data!AP56+Data!AP57+Data!AP58+Data!AP59+Data!AP60+Data!AP61+Data!AP62+Data!AP63+Data!AP64)</f>
        <v>0.00758045248198542</v>
      </c>
      <c r="AA64" s="18" t="n">
        <f aca="false">(Data!AJ53+Data!AJ54+Data!AJ55+Data!AJ56+Data!AJ57+Data!AJ58+Data!AJ59+Data!AJ60+Data!AJ61+Data!AJ62+Data!AJ63+Data!AJ64)/(Data!AP53+Data!AP54+Data!AP55+Data!AP56+Data!AP57+Data!AP58+Data!AP59+Data!AP60+Data!AP61+Data!AP62+Data!AP63+Data!AP64)</f>
        <v>-4.13409174748176E-005</v>
      </c>
      <c r="AB64" s="18" t="n">
        <f aca="false">(Data!AK53+Data!AK54+Data!AK55+Data!AK56+Data!AK57+Data!AK58+Data!AK59+Data!AK60+Data!AK61+Data!AK62+Data!AK63+Data!AK64)/(Data!AP53+Data!AP54+Data!AP55+Data!AP56+Data!AP57+Data!AP58+Data!AP59+Data!AP60+Data!AP61+Data!AP62+Data!AP63+Data!AP64)</f>
        <v>0.0024491315015114</v>
      </c>
      <c r="AC64" s="18" t="n">
        <f aca="false">(Data!AL53+Data!AL54+Data!AL55+Data!AL56+Data!AL57+Data!AL58+Data!AL59+Data!AL60+Data!AL61+Data!AL62+Data!AL63+Data!AL64)/(Data!AP53+Data!AP54+Data!AP55+Data!AP56+Data!AP57+Data!AP58+Data!AP59+Data!AP60+Data!AP61+Data!AP62+Data!AP63+Data!AP64)</f>
        <v>0.00938966665046863</v>
      </c>
      <c r="AD64" s="17" t="n">
        <f aca="false">(Data!AM53+Data!AM54+Data!AM55+Data!AM56+Data!AM57+Data!AM58+Data!AM59+Data!AM60+Data!AM61+Data!AM62+Data!AM63+Data!AM64)/(Data!AP53+Data!AP54+Data!AP55+Data!AP56+Data!AP57+Data!AP58+Data!AP59+Data!AP60+Data!AP61+Data!AP62+Data!AP63+Data!AP64)</f>
        <v>-0.0581846250972671</v>
      </c>
      <c r="AE64" s="18" t="n">
        <f aca="false">(Data!AN53+Data!AN54+Data!AN55+Data!AN56+Data!AN57+Data!AN58+Data!AN59+Data!AN60+Data!AN61+Data!AN62+Data!AN63+Data!AN64)/(Data!AP53+Data!AP54+Data!AP55+Data!AP56+Data!AP57+Data!AP58+Data!AP59+Data!AP60+Data!AP61+Data!AP62+Data!AP63+Data!AP64)</f>
        <v>0.0244957457751416</v>
      </c>
      <c r="AF64" s="17" t="n">
        <f aca="false">(Data!AO53+Data!AO54+Data!AO55+Data!AO56+Data!AO57+Data!AO58+Data!AO59+Data!AO60+Data!AO61+Data!AO62+Data!AO63+Data!AO64)/(Data!AP53+Data!AP54+Data!AP55+Data!AP56+Data!AP57+Data!AP58+Data!AP59+Data!AP60+Data!AP61+Data!AP62+Data!AP63+Data!AP64)</f>
        <v>-0.0826802938157125</v>
      </c>
    </row>
    <row r="65" customFormat="false" ht="15" hidden="false" customHeight="false" outlineLevel="0" collapsed="false">
      <c r="B65" s="14" t="str">
        <f aca="false">Data!B65</f>
        <v>2020-11</v>
      </c>
      <c r="C65" s="17" t="n">
        <f aca="false">(Data!D54+Data!E54+Data!F54+Data!G54+Data!H54+Data!I54+Data!J54+Data!K54+Data!L54+Data!M54+Data!N54+Data!O54+Data!P54+Data!Q54+Data!R54+Data!S54+Data!D55+Data!E55+Data!F55+Data!G55+Data!H55+Data!I55+Data!J55+Data!K55+Data!L55+Data!M55+Data!N55+Data!O55+Data!P55+Data!Q55+Data!R55+Data!S55+Data!D56+Data!E56+Data!F56+Data!G56+Data!H56+Data!I56+Data!J56+Data!K56+Data!L56+Data!M56+Data!N56+Data!O56+Data!P56+Data!Q56+Data!R56+Data!S56+Data!D57+Data!E57+Data!F57+Data!G57+Data!H57+Data!I57+Data!J57+Data!K57+Data!L57+Data!M57+Data!N57+Data!O57+Data!P57+Data!Q57+Data!R57+Data!S57+Data!D58+Data!E58+Data!F58+Data!G58+Data!H58+Data!I58+Data!J58+Data!K58+Data!L58+Data!M58+Data!N58+Data!O58+Data!P58+Data!Q58+Data!R58+Data!S58+Data!D59+Data!E59+Data!F59+Data!G59+Data!H59+Data!I59+Data!J59+Data!K59+Data!L59+Data!M59+Data!N59+Data!O59+Data!P59+Data!Q59+Data!R59+Data!S59+Data!D60+Data!E60+Data!F60+Data!G60+Data!H60+Data!I60+Data!J60+Data!K60+Data!L60+Data!M60+Data!N60+Data!O60+Data!P60+Data!Q60+Data!R60+Data!S60+Data!D61+Data!E61+Data!F61+Data!G61+Data!H61+Data!I61+Data!J61+Data!K61+Data!L61+Data!M61+Data!N61+Data!O61+Data!P61+Data!Q61+Data!R61+Data!S61+Data!D62+Data!E62+Data!F62+Data!G62+Data!H62+Data!I62+Data!J62+Data!K62+Data!L62+Data!M62+Data!N62+Data!O62+Data!P62+Data!Q62+Data!R62+Data!S62+Data!D63+Data!E63+Data!F63+Data!G63+Data!H63+Data!I63+Data!J63+Data!K63+Data!L63+Data!M63+Data!N63+Data!O63+Data!P63+Data!Q63+Data!R63+Data!S63+Data!D64+Data!E64+Data!F64+Data!G64+Data!H64+Data!I64+Data!J64+Data!K64+Data!L64+Data!M64+Data!N64+Data!O64+Data!P64+Data!Q64+Data!R64+Data!S64+Data!D65+Data!E65+Data!F65+Data!G65+Data!H65+Data!I65+Data!J65+Data!K65+Data!L65+Data!M65+Data!N65+Data!O65+Data!P65+Data!Q65+Data!R65+Data!S65)/(Data!AP54+Data!AP55+Data!AP56+Data!AP57+Data!AP58+Data!AP59+Data!AP60+Data!AP61+Data!AP62+Data!AP63+Data!AP64+Data!AP65)</f>
        <v>0.179507138372165</v>
      </c>
      <c r="D65" s="18" t="n">
        <f aca="false">(Data!D54+Data!E54+Data!G54+Data!H54+Data!I54+Data!J54+Data!K54+Data!L54+Data!M54+Data!D55+Data!E55+Data!G55+Data!H55+Data!I55+Data!J55+Data!K55+Data!L55+Data!M55+Data!D56+Data!E56+Data!G56+Data!H56+Data!I56+Data!J56+Data!K56+Data!L56+Data!M56+Data!D57+Data!E57+Data!G57+Data!H57+Data!I57+Data!J57+Data!K57+Data!L57+Data!M57+Data!D58+Data!E58+Data!G58+Data!H58+Data!I58+Data!J58+Data!K58+Data!L58+Data!M58+Data!D59+Data!E59+Data!G59+Data!H59+Data!I59+Data!J59+Data!K59+Data!L59+Data!M59+Data!D60+Data!E60+Data!G60+Data!H60+Data!I60+Data!J60+Data!K60+Data!L60+Data!M60+Data!D61+Data!E61+Data!G61+Data!H61+Data!I61+Data!J61+Data!K61+Data!L61+Data!M61+Data!D62+Data!E62+Data!G62+Data!H62+Data!I62+Data!J62+Data!K62+Data!L62+Data!M62+Data!D63+Data!E63+Data!G63+Data!H63+Data!I63+Data!J63+Data!K63+Data!L63+Data!M63+Data!D64+Data!E64+Data!G64+Data!H64+Data!I64+Data!J64+Data!K64+Data!L64+Data!M64+Data!D65+Data!E65+Data!G65+Data!H65+Data!I65+Data!J65+Data!K65+Data!L65+Data!M65)/(Data!AP54+Data!AP55+Data!AP56+Data!AP57+Data!AP58+Data!AP59+Data!AP60+Data!AP61+Data!AP62+Data!AP63+Data!AP64+Data!AP65)</f>
        <v>0.105803035687564</v>
      </c>
      <c r="E65" s="18" t="n">
        <f aca="false">(Data!D54+Data!D55+Data!D56+Data!D57+Data!D58+Data!D59+Data!D60+Data!D61+Data!D62+Data!D63+Data!D64+Data!D65)/(Data!AP54+Data!AP55+Data!AP56+Data!AP57+Data!AP58+Data!AP59+Data!AP60+Data!AP61+Data!AP62+Data!AP63+Data!AP64+Data!AP65)</f>
        <v>0.0301568270089131</v>
      </c>
      <c r="F65" s="18" t="n">
        <f aca="false">(Data!E54+Data!E55+Data!E56+Data!E57+Data!E58+Data!E59+Data!E60+Data!E61+Data!E62+Data!E63+Data!E64+Data!E65)/(Data!AP54+Data!AP55+Data!AP56+Data!AP57+Data!AP58+Data!AP59+Data!AP60+Data!AP61+Data!AP62+Data!AP63+Data!AP64+Data!AP65)</f>
        <v>0.0171679138279192</v>
      </c>
      <c r="G65" s="18" t="n">
        <f aca="false">(Data!K54+Data!K55+Data!K56+Data!K57+Data!K58+Data!K59+Data!K60+Data!K61+Data!K62+Data!K63+Data!K64+Data!K65)/(Data!AP54+Data!AP55+Data!AP56+Data!AP57+Data!AP58+Data!AP59+Data!AP60+Data!AP61+Data!AP62+Data!AP63+Data!AP64+Data!AP65)</f>
        <v>0.0155302116254658</v>
      </c>
      <c r="H65" s="18" t="n">
        <f aca="false">(Data!L54+Data!L55+Data!L56+Data!L57+Data!L58+Data!L59+Data!L60+Data!L61+Data!L62+Data!L63+Data!L64+Data!L65)/(Data!AP54+Data!AP55+Data!AP56+Data!AP57+Data!AP58+Data!AP59+Data!AP60+Data!AP61+Data!AP62+Data!AP63+Data!AP64+Data!AP65)</f>
        <v>0.00581353551152469</v>
      </c>
      <c r="I65" s="18" t="n">
        <f aca="false">(Data!G54+Data!G55+Data!G56+Data!G57+Data!G58+Data!G59+Data!G60+Data!G61+Data!G62+Data!G63+Data!G64+Data!G65)/(Data!AP54+Data!AP55+Data!AP56+Data!AP57+Data!AP58+Data!AP59+Data!AP60+Data!AP61+Data!AP62+Data!AP63+Data!AP64+Data!AP65)</f>
        <v>0.0163288709478742</v>
      </c>
      <c r="J65" s="18" t="n">
        <f aca="false">(Data!H54+Data!I54+Data!J54+Data!M54+Data!H55+Data!I55+Data!J55+Data!M55+Data!H56+Data!I56+Data!J56+Data!M56+Data!H57+Data!I57+Data!J57+Data!M57+Data!H58+Data!I58+Data!J58+Data!M58+Data!H59+Data!I59+Data!J59+Data!M59+Data!H60+Data!I60+Data!J60+Data!M60+Data!H61+Data!I61+Data!J61+Data!M61+Data!H62+Data!I62+Data!J62+Data!M62+Data!H63+Data!I63+Data!J63+Data!M63+Data!H64+Data!I64+Data!J64+Data!M64+Data!H65+Data!I65+Data!J65+Data!M65)/(Data!AP54+Data!AP55+Data!AP56+Data!AP57+Data!AP58+Data!AP59+Data!AP60+Data!AP61+Data!AP62+Data!AP63+Data!AP64+Data!AP65)</f>
        <v>0.020805676765867</v>
      </c>
      <c r="K65" s="18" t="n">
        <f aca="false">(Data!F54+Data!F55+Data!F56+Data!F57+Data!F58+Data!F59+Data!F60+Data!F61+Data!F62+Data!F63+Data!F64+Data!F65)/(Data!AP54+Data!AP55+Data!AP56+Data!AP57+Data!AP58+Data!AP59+Data!AP60+Data!AP61+Data!AP62+Data!AP63+Data!AP64+Data!AP65)</f>
        <v>0.0570253540230861</v>
      </c>
      <c r="L65" s="18" t="n">
        <f aca="false">(Data!N54+Data!O54+Data!P54+Data!Q54+Data!R54+Data!S54+Data!N55+Data!O55+Data!P55+Data!Q55+Data!R55+Data!S55+Data!N56+Data!O56+Data!P56+Data!Q56+Data!R56+Data!S56+Data!N57+Data!O57+Data!P57+Data!Q57+Data!R57+Data!S57+Data!N58+Data!O58+Data!P58+Data!Q58+Data!R58+Data!S58+Data!N59+Data!O59+Data!P59+Data!Q59+Data!R59+Data!S59+Data!N60+Data!O60+Data!P60+Data!Q60+Data!R60+Data!S60+Data!N61+Data!O61+Data!P61+Data!Q61+Data!R61+Data!S61+Data!N62+Data!O62+Data!P62+Data!Q62+Data!R62+Data!S62+Data!N63+Data!O63+Data!P63+Data!Q63+Data!R63+Data!S63+Data!N64+Data!O64+Data!P64+Data!Q64+Data!R64+Data!S64+Data!N65+Data!O65+Data!P65+Data!Q65+Data!R65+Data!S65)/(Data!AP54+Data!AP55+Data!AP56+Data!AP57+Data!AP58+Data!AP59+Data!AP60+Data!AP61+Data!AP62+Data!AP63+Data!AP64+Data!AP65)</f>
        <v>0.0166787486615151</v>
      </c>
      <c r="M65" s="17" t="n">
        <f aca="false">(Data!T54+Data!U54+Data!V54+Data!W54+Data!X54+Data!Y54+Data!Z54+Data!AA54+Data!AB54+Data!AC54+Data!AD54+Data!AE54+Data!AF54+Data!AG54+Data!AH54+Data!AI54+Data!AJ54+Data!AK54+Data!AL54+Data!T55+Data!U55+Data!V55+Data!W55+Data!X55+Data!Y55+Data!Z55+Data!AA55+Data!AB55+Data!AC55+Data!AD55+Data!AE55+Data!AF55+Data!AG55+Data!AH55+Data!AI55+Data!AJ55+Data!AK55+Data!AL55+Data!T56+Data!U56+Data!V56+Data!W56+Data!X56+Data!Y56+Data!Z56+Data!AA56+Data!AB56+Data!AC56+Data!AD56+Data!AE56+Data!AF56+Data!AG56+Data!AH56+Data!AI56+Data!AJ56+Data!AK56+Data!AL56+Data!T57+Data!U57+Data!V57+Data!W57+Data!X57+Data!Y57+Data!Z57+Data!AA57+Data!AB57+Data!AC57+Data!AD57+Data!AE57+Data!AF57+Data!AG57+Data!AH57+Data!AI57+Data!AJ57+Data!AK57+Data!AL57+Data!T58+Data!U58+Data!V58+Data!W58+Data!X58+Data!Y58+Data!Z58+Data!AA58+Data!AB58+Data!AC58+Data!AD58+Data!AE58+Data!AF58+Data!AG58+Data!AH58+Data!AI58+Data!AJ58+Data!AK58+Data!AL58+Data!T59+Data!U59+Data!V59+Data!W59+Data!X59+Data!Y59+Data!Z59+Data!AA59+Data!AB59+Data!AC59+Data!AD59+Data!AE59+Data!AF59+Data!AG59+Data!AH59+Data!AI59+Data!AJ59+Data!AK59+Data!AL59+Data!T60+Data!U60+Data!V60+Data!W60+Data!X60+Data!Y60+Data!Z60+Data!AA60+Data!AB60+Data!AC60+Data!AD60+Data!AE60+Data!AF60+Data!AG60+Data!AH60+Data!AI60+Data!AJ60+Data!AK60+Data!AL60+Data!T61+Data!U61+Data!V61+Data!W61+Data!X61+Data!Y61+Data!Z61+Data!AA61+Data!AB61+Data!AC61+Data!AD61+Data!AE61+Data!AF61+Data!AG61+Data!AH61+Data!AI61+Data!AJ61+Data!AK61+Data!AL61+Data!T62+Data!U62+Data!V62+Data!W62+Data!X62+Data!Y62+Data!Z62+Data!AA62+Data!AB62+Data!AC62+Data!AD62+Data!AE62+Data!AF62+Data!AG62+Data!AH62+Data!AI62+Data!AJ62+Data!AK62+Data!AL62+Data!T63+Data!U63+Data!V63+Data!W63+Data!X63+Data!Y63+Data!Z63+Data!AA63+Data!AB63+Data!AC63+Data!AD63+Data!AE63+Data!AF63+Data!AG63+Data!AH63+Data!AI63+Data!AJ63+Data!AK63+Data!AL63+Data!T64+Data!U64+Data!V64+Data!W64+Data!X64+Data!Y64+Data!Z64+Data!AA64+Data!AB64+Data!AC64+Data!AD64+Data!AE64+Data!AF64+Data!AG64+Data!AH64+Data!AI64+Data!AJ64+Data!AK64+Data!AL64+Data!T65+Data!U65+Data!V65+Data!W65+Data!X65+Data!Y65+Data!Z65+Data!AA65+Data!AB65+Data!AC65+Data!AD65+Data!AE65+Data!AF65+Data!AG65+Data!AH65+Data!AI65+Data!AJ65+Data!AK65+Data!AL65)/(Data!AP54+Data!AP55+Data!AP56+Data!AP57+Data!AP58+Data!AP59+Data!AP60+Data!AP61+Data!AP62+Data!AP63+Data!AP64+Data!AP65)</f>
        <v>0.238422375021116</v>
      </c>
      <c r="N65" s="18" t="n">
        <f aca="false">(Data!T54+Data!U54+Data!V54+Data!W54+Data!T55+Data!U55+Data!V55+Data!W55+Data!T56+Data!U56+Data!V56+Data!W56+Data!T57+Data!U57+Data!V57+Data!W57+Data!T58+Data!U58+Data!V58+Data!W58+Data!T59+Data!U59+Data!V59+Data!W59+Data!T60+Data!U60+Data!V60+Data!W60+Data!T61+Data!U61+Data!V61+Data!W61+Data!T62+Data!U62+Data!V62+Data!W62+Data!T63+Data!U63+Data!V63+Data!W63+Data!T64+Data!U64+Data!V64+Data!W64+Data!T65+Data!U65+Data!V65+Data!W65)/(Data!AP54+Data!AP55+Data!AP56+Data!AP57+Data!AP58+Data!AP59+Data!AP60+Data!AP61+Data!AP62+Data!AP63+Data!AP64+Data!AP65)</f>
        <v>0.119490874754973</v>
      </c>
      <c r="O65" s="18" t="n">
        <f aca="false">(Data!T54+Data!T55+Data!T56+Data!T57+Data!T58+Data!T59+Data!T60+Data!T61+Data!T62+Data!T63+Data!T64+Data!T65)/(Data!AP54+Data!AP55+Data!AP56+Data!AP57+Data!AP58+Data!AP59+Data!AP60+Data!AP61+Data!AP62+Data!AP63+Data!AP64+Data!AP65)</f>
        <v>0.086881510174302</v>
      </c>
      <c r="P65" s="18" t="n">
        <f aca="false">(Data!U54+Data!U55+Data!U56+Data!U57+Data!U58+Data!U59+Data!U60+Data!U61+Data!U62+Data!U63+Data!U64+Data!U65)/(Data!AP54+Data!AP55+Data!AP56+Data!AP57+Data!AP58+Data!AP59+Data!AP60+Data!AP61+Data!AP62+Data!AP63+Data!AP64+Data!AP65)</f>
        <v>0.0138489208211191</v>
      </c>
      <c r="Q65" s="18" t="n">
        <f aca="false">(Data!V54+Data!V55+Data!V56+Data!V57+Data!V58+Data!V59+Data!V60+Data!V61+Data!V62+Data!V63+Data!V64+Data!V65)/(Data!AP54+Data!AP55+Data!AP56+Data!AP57+Data!AP58+Data!AP59+Data!AP60+Data!AP61+Data!AP62+Data!AP63+Data!AP64+Data!AP65)</f>
        <v>0.00924659038746622</v>
      </c>
      <c r="R65" s="18" t="n">
        <f aca="false">(Data!W54+Data!W55+Data!W56+Data!W57+Data!W58+Data!W59+Data!W60+Data!W61+Data!W62+Data!W63+Data!W64+Data!W65)/(Data!AP54+Data!AP55+Data!AP56+Data!AP57+Data!AP58+Data!AP59+Data!AP60+Data!AP61+Data!AP62+Data!AP63+Data!AP64+Data!AP65)</f>
        <v>0.00951385337208596</v>
      </c>
      <c r="S65" s="18" t="n">
        <f aca="false">(Data!X54+Data!X55+Data!X56+Data!X57+Data!X58+Data!X59+Data!X60+Data!X61+Data!X62+Data!X63+Data!X64+Data!X65)/(Data!AP54+Data!AP55+Data!AP56+Data!AP57+Data!AP58+Data!AP59+Data!AP60+Data!AP61+Data!AP62+Data!AP63+Data!AP64+Data!AP65)</f>
        <v>0.0304692245579502</v>
      </c>
      <c r="T65" s="18" t="n">
        <f aca="false">(Data!Y54+Data!Z54+Data!AA54+Data!Y55+Data!Z55+Data!AA55+Data!Y56+Data!Z56+Data!AA56+Data!Y57+Data!Z57+Data!AA57+Data!Y58+Data!Z58+Data!AA58+Data!Y59+Data!Z59+Data!AA59+Data!Y60+Data!Z60+Data!AA60+Data!Y61+Data!Z61+Data!AA61+Data!Y62+Data!Z62+Data!AA62+Data!Y63+Data!Z63+Data!AA63+Data!Y64+Data!Z64+Data!AA64+Data!Y65+Data!Z65+Data!AA65)/(Data!AP54+Data!AP55+Data!AP56+Data!AP57+Data!AP58+Data!AP59+Data!AP60+Data!AP61+Data!AP62+Data!AP63+Data!AP64+Data!AP65)</f>
        <v>0.0244577304305601</v>
      </c>
      <c r="U65" s="18" t="n">
        <f aca="false">(Data!Y54+Data!Y55+Data!Y56+Data!Y57+Data!Y58+Data!Y59+Data!Y60+Data!Y61+Data!Y62+Data!Y63+Data!Y64+Data!Y65)/(Data!AP54+Data!AP55+Data!AP56+Data!AP57+Data!AP58+Data!AP59+Data!AP60+Data!AP61+Data!AP62+Data!AP63+Data!AP64+Data!AP65)</f>
        <v>0.017165877682156</v>
      </c>
      <c r="V65" s="18" t="n">
        <f aca="false">(Data!Z54+Data!Z55+Data!Z56+Data!Z57+Data!Z58+Data!Z59+Data!Z60+Data!Z61+Data!Z62+Data!Z63+Data!Z64+Data!Z65)/(Data!AP54+Data!AP55+Data!AP56+Data!AP57+Data!AP58+Data!AP59+Data!AP60+Data!AP61+Data!AP62+Data!AP63+Data!AP64+Data!AP65)</f>
        <v>0.00705045635625748</v>
      </c>
      <c r="W65" s="18" t="n">
        <f aca="false">(Data!AB54+Data!AB55+Data!AB56+Data!AB57+Data!AB58+Data!AB59+Data!AB60+Data!AB61+Data!AB62+Data!AB63+Data!AB64+Data!AB65)/(Data!AP54+Data!AP55+Data!AP56+Data!AP57+Data!AP58+Data!AP59+Data!AP60+Data!AP61+Data!AP62+Data!AP63+Data!AP64+Data!AP65)</f>
        <v>0.0257884648060116</v>
      </c>
      <c r="X65" s="18" t="n">
        <f aca="false">(Data!AC54+Data!AC55+Data!AC56+Data!AC57+Data!AC58+Data!AC59+Data!AC60+Data!AC61+Data!AC62+Data!AC63+Data!AC64+Data!AC65)/(Data!AP54+Data!AP55+Data!AP56+Data!AP57+Data!AP58+Data!AP59+Data!AP60+Data!AP61+Data!AP62+Data!AP63+Data!AP64+Data!AP65)</f>
        <v>0.00742095947235138</v>
      </c>
      <c r="Y65" s="18" t="n">
        <f aca="false">(Data!AD54+Data!AE54+Data!AF54+Data!AG54+Data!AH54+Data!AD55+Data!AE55+Data!AF55+Data!AG55+Data!AH55+Data!AD56+Data!AE56+Data!AF56+Data!AG56+Data!AH56+Data!AD57+Data!AE57+Data!AF57+Data!AG57+Data!AH57+Data!AD58+Data!AE58+Data!AF58+Data!AG58+Data!AH58+Data!AD59+Data!AE59+Data!AF59+Data!AG59+Data!AH59+Data!AD60+Data!AE60+Data!AF60+Data!AG60+Data!AH60+Data!AD61+Data!AE61+Data!AF61+Data!AG61+Data!AH61+Data!AD62+Data!AE62+Data!AF62+Data!AG62+Data!AH62+Data!AD63+Data!AE63+Data!AF63+Data!AG63+Data!AH63+Data!AD64+Data!AE64+Data!AF64+Data!AG64+Data!AH64+Data!AD65+Data!AE65+Data!AF65+Data!AG65+Data!AH65)/(Data!AP54+Data!AP55+Data!AP56+Data!AP57+Data!AP58+Data!AP59+Data!AP60+Data!AP61+Data!AP62+Data!AP63+Data!AP64+Data!AP65)</f>
        <v>0.0110770477221679</v>
      </c>
      <c r="Z65" s="18" t="n">
        <f aca="false">(Data!AI54+Data!AI55+Data!AI56+Data!AI57+Data!AI58+Data!AI59+Data!AI60+Data!AI61+Data!AI62+Data!AI63+Data!AI64+Data!AI65)/(Data!AP54+Data!AP55+Data!AP56+Data!AP57+Data!AP58+Data!AP59+Data!AP60+Data!AP61+Data!AP62+Data!AP63+Data!AP64+Data!AP65)</f>
        <v>0.00754463647426345</v>
      </c>
      <c r="AA65" s="18" t="n">
        <f aca="false">(Data!AJ54+Data!AJ55+Data!AJ56+Data!AJ57+Data!AJ58+Data!AJ59+Data!AJ60+Data!AJ61+Data!AJ62+Data!AJ63+Data!AJ64+Data!AJ65)/(Data!AP54+Data!AP55+Data!AP56+Data!AP57+Data!AP58+Data!AP59+Data!AP60+Data!AP61+Data!AP62+Data!AP63+Data!AP64+Data!AP65)</f>
        <v>-1.65531109266459E-005</v>
      </c>
      <c r="AB65" s="18" t="n">
        <f aca="false">(Data!AK54+Data!AK55+Data!AK56+Data!AK57+Data!AK58+Data!AK59+Data!AK60+Data!AK61+Data!AK62+Data!AK63+Data!AK64+Data!AK65)/(Data!AP54+Data!AP55+Data!AP56+Data!AP57+Data!AP58+Data!AP59+Data!AP60+Data!AP61+Data!AP62+Data!AP63+Data!AP64+Data!AP65)</f>
        <v>0.00270173918933037</v>
      </c>
      <c r="AC65" s="18" t="n">
        <f aca="false">(Data!AL54+Data!AL55+Data!AL56+Data!AL57+Data!AL58+Data!AL59+Data!AL60+Data!AL61+Data!AL62+Data!AL63+Data!AL64+Data!AL65)/(Data!AP54+Data!AP55+Data!AP56+Data!AP57+Data!AP58+Data!AP59+Data!AP60+Data!AP61+Data!AP62+Data!AP63+Data!AP64+Data!AP65)</f>
        <v>0.00948825072443404</v>
      </c>
      <c r="AD65" s="17" t="n">
        <f aca="false">(Data!AM54+Data!AM55+Data!AM56+Data!AM57+Data!AM58+Data!AM59+Data!AM60+Data!AM61+Data!AM62+Data!AM63+Data!AM64+Data!AM65)/(Data!AP54+Data!AP55+Data!AP56+Data!AP57+Data!AP58+Data!AP59+Data!AP60+Data!AP61+Data!AP62+Data!AP63+Data!AP64+Data!AP65)</f>
        <v>-0.0589152366489504</v>
      </c>
      <c r="AE65" s="18" t="n">
        <f aca="false">(Data!AN54+Data!AN55+Data!AN56+Data!AN57+Data!AN58+Data!AN59+Data!AN60+Data!AN61+Data!AN62+Data!AN63+Data!AN64+Data!AN65)/(Data!AP54+Data!AP55+Data!AP56+Data!AP57+Data!AP58+Data!AP59+Data!AP60+Data!AP61+Data!AP62+Data!AP63+Data!AP64+Data!AP65)</f>
        <v>0.0240134358837522</v>
      </c>
      <c r="AF65" s="17" t="n">
        <f aca="false">(Data!AO54+Data!AO55+Data!AO56+Data!AO57+Data!AO58+Data!AO59+Data!AO60+Data!AO61+Data!AO62+Data!AO63+Data!AO64+Data!AO65)/(Data!AP54+Data!AP55+Data!AP56+Data!AP57+Data!AP58+Data!AP59+Data!AP60+Data!AP61+Data!AP62+Data!AP63+Data!AP64+Data!AP65)</f>
        <v>-0.0829285594134936</v>
      </c>
    </row>
    <row r="66" customFormat="false" ht="15" hidden="false" customHeight="false" outlineLevel="0" collapsed="false">
      <c r="B66" s="14" t="str">
        <f aca="false">Data!B66</f>
        <v>2020-12</v>
      </c>
      <c r="C66" s="17" t="n">
        <f aca="false">(Data!D55+Data!E55+Data!F55+Data!G55+Data!H55+Data!I55+Data!J55+Data!K55+Data!L55+Data!M55+Data!N55+Data!O55+Data!P55+Data!Q55+Data!R55+Data!S55+Data!D56+Data!E56+Data!F56+Data!G56+Data!H56+Data!I56+Data!J56+Data!K56+Data!L56+Data!M56+Data!N56+Data!O56+Data!P56+Data!Q56+Data!R56+Data!S56+Data!D57+Data!E57+Data!F57+Data!G57+Data!H57+Data!I57+Data!J57+Data!K57+Data!L57+Data!M57+Data!N57+Data!O57+Data!P57+Data!Q57+Data!R57+Data!S57+Data!D58+Data!E58+Data!F58+Data!G58+Data!H58+Data!I58+Data!J58+Data!K58+Data!L58+Data!M58+Data!N58+Data!O58+Data!P58+Data!Q58+Data!R58+Data!S58+Data!D59+Data!E59+Data!F59+Data!G59+Data!H59+Data!I59+Data!J59+Data!K59+Data!L59+Data!M59+Data!N59+Data!O59+Data!P59+Data!Q59+Data!R59+Data!S59+Data!D60+Data!E60+Data!F60+Data!G60+Data!H60+Data!I60+Data!J60+Data!K60+Data!L60+Data!M60+Data!N60+Data!O60+Data!P60+Data!Q60+Data!R60+Data!S60+Data!D61+Data!E61+Data!F61+Data!G61+Data!H61+Data!I61+Data!J61+Data!K61+Data!L61+Data!M61+Data!N61+Data!O61+Data!P61+Data!Q61+Data!R61+Data!S61+Data!D62+Data!E62+Data!F62+Data!G62+Data!H62+Data!I62+Data!J62+Data!K62+Data!L62+Data!M62+Data!N62+Data!O62+Data!P62+Data!Q62+Data!R62+Data!S62+Data!D63+Data!E63+Data!F63+Data!G63+Data!H63+Data!I63+Data!J63+Data!K63+Data!L63+Data!M63+Data!N63+Data!O63+Data!P63+Data!Q63+Data!R63+Data!S63+Data!D64+Data!E64+Data!F64+Data!G64+Data!H64+Data!I64+Data!J64+Data!K64+Data!L64+Data!M64+Data!N64+Data!O64+Data!P64+Data!Q64+Data!R64+Data!S64+Data!D65+Data!E65+Data!F65+Data!G65+Data!H65+Data!I65+Data!J65+Data!K65+Data!L65+Data!M65+Data!N65+Data!O65+Data!P65+Data!Q65+Data!R65+Data!S65+Data!D66+Data!E66+Data!F66+Data!G66+Data!H66+Data!I66+Data!J66+Data!K66+Data!L66+Data!M66+Data!N66+Data!O66+Data!P66+Data!Q66+Data!R66+Data!S66)/(Data!AP55+Data!AP56+Data!AP57+Data!AP58+Data!AP59+Data!AP60+Data!AP61+Data!AP62+Data!AP63+Data!AP64+Data!AP65+Data!AP66)</f>
        <v>0.177930873562925</v>
      </c>
      <c r="D66" s="18" t="n">
        <f aca="false">(Data!D55+Data!E55+Data!G55+Data!H55+Data!I55+Data!J55+Data!K55+Data!L55+Data!M55+Data!D56+Data!E56+Data!G56+Data!H56+Data!I56+Data!J56+Data!K56+Data!L56+Data!M56+Data!D57+Data!E57+Data!G57+Data!H57+Data!I57+Data!J57+Data!K57+Data!L57+Data!M57+Data!D58+Data!E58+Data!G58+Data!H58+Data!I58+Data!J58+Data!K58+Data!L58+Data!M58+Data!D59+Data!E59+Data!G59+Data!H59+Data!I59+Data!J59+Data!K59+Data!L59+Data!M59+Data!D60+Data!E60+Data!G60+Data!H60+Data!I60+Data!J60+Data!K60+Data!L60+Data!M60+Data!D61+Data!E61+Data!G61+Data!H61+Data!I61+Data!J61+Data!K61+Data!L61+Data!M61+Data!D62+Data!E62+Data!G62+Data!H62+Data!I62+Data!J62+Data!K62+Data!L62+Data!M62+Data!D63+Data!E63+Data!G63+Data!H63+Data!I63+Data!J63+Data!K63+Data!L63+Data!M63+Data!D64+Data!E64+Data!G64+Data!H64+Data!I64+Data!J64+Data!K64+Data!L64+Data!M64+Data!D65+Data!E65+Data!G65+Data!H65+Data!I65+Data!J65+Data!K65+Data!L65+Data!M65+Data!D66+Data!E66+Data!G66+Data!H66+Data!I66+Data!J66+Data!K66+Data!L66+Data!M66)/(Data!AP55+Data!AP56+Data!AP57+Data!AP58+Data!AP59+Data!AP60+Data!AP61+Data!AP62+Data!AP63+Data!AP64+Data!AP65+Data!AP66)</f>
        <v>0.105410569322377</v>
      </c>
      <c r="E66" s="18" t="n">
        <f aca="false">(Data!D55+Data!D56+Data!D57+Data!D58+Data!D59+Data!D60+Data!D61+Data!D62+Data!D63+Data!D64+Data!D65+Data!D66)/(Data!AP55+Data!AP56+Data!AP57+Data!AP58+Data!AP59+Data!AP60+Data!AP61+Data!AP62+Data!AP63+Data!AP64+Data!AP65+Data!AP66)</f>
        <v>0.0306689342163648</v>
      </c>
      <c r="F66" s="18" t="n">
        <f aca="false">(Data!E55+Data!E56+Data!E57+Data!E58+Data!E59+Data!E60+Data!E61+Data!E62+Data!E63+Data!E64+Data!E65+Data!E66)/(Data!AP55+Data!AP56+Data!AP57+Data!AP58+Data!AP59+Data!AP60+Data!AP61+Data!AP62+Data!AP63+Data!AP64+Data!AP65+Data!AP66)</f>
        <v>0.0176281248182773</v>
      </c>
      <c r="G66" s="18" t="n">
        <f aca="false">(Data!K55+Data!K56+Data!K57+Data!K58+Data!K59+Data!K60+Data!K61+Data!K62+Data!K63+Data!K64+Data!K65+Data!K66)/(Data!AP55+Data!AP56+Data!AP57+Data!AP58+Data!AP59+Data!AP60+Data!AP61+Data!AP62+Data!AP63+Data!AP64+Data!AP65+Data!AP66)</f>
        <v>0.0138481284001329</v>
      </c>
      <c r="H66" s="18" t="n">
        <f aca="false">(Data!L55+Data!L56+Data!L57+Data!L58+Data!L59+Data!L60+Data!L61+Data!L62+Data!L63+Data!L64+Data!L65+Data!L66)/(Data!AP55+Data!AP56+Data!AP57+Data!AP58+Data!AP59+Data!AP60+Data!AP61+Data!AP62+Data!AP63+Data!AP64+Data!AP65+Data!AP66)</f>
        <v>0.00592492102853155</v>
      </c>
      <c r="I66" s="18" t="n">
        <f aca="false">(Data!G55+Data!G56+Data!G57+Data!G58+Data!G59+Data!G60+Data!G61+Data!G62+Data!G63+Data!G64+Data!G65+Data!G66)/(Data!AP55+Data!AP56+Data!AP57+Data!AP58+Data!AP59+Data!AP60+Data!AP61+Data!AP62+Data!AP63+Data!AP64+Data!AP65+Data!AP66)</f>
        <v>0.0162013602032908</v>
      </c>
      <c r="J66" s="18" t="n">
        <f aca="false">(Data!H55+Data!I55+Data!J55+Data!M55+Data!H56+Data!I56+Data!J56+Data!M56+Data!H57+Data!I57+Data!J57+Data!M57+Data!H58+Data!I58+Data!J58+Data!M58+Data!H59+Data!I59+Data!J59+Data!M59+Data!H60+Data!I60+Data!J60+Data!M60+Data!H61+Data!I61+Data!J61+Data!M61+Data!H62+Data!I62+Data!J62+Data!M62+Data!H63+Data!I63+Data!J63+Data!M63+Data!H64+Data!I64+Data!J64+Data!M64+Data!H65+Data!I65+Data!J65+Data!M65+Data!H66+Data!I66+Data!J66+Data!M66)/(Data!AP55+Data!AP56+Data!AP57+Data!AP58+Data!AP59+Data!AP60+Data!AP61+Data!AP62+Data!AP63+Data!AP64+Data!AP65+Data!AP66)</f>
        <v>0.0211391006557792</v>
      </c>
      <c r="K66" s="18" t="n">
        <f aca="false">(Data!F55+Data!F56+Data!F57+Data!F58+Data!F59+Data!F60+Data!F61+Data!F62+Data!F63+Data!F64+Data!F65+Data!F66)/(Data!AP55+Data!AP56+Data!AP57+Data!AP58+Data!AP59+Data!AP60+Data!AP61+Data!AP62+Data!AP63+Data!AP64+Data!AP65+Data!AP66)</f>
        <v>0.0563406641415146</v>
      </c>
      <c r="L66" s="18" t="n">
        <f aca="false">(Data!N55+Data!O55+Data!P55+Data!Q55+Data!R55+Data!S55+Data!N56+Data!O56+Data!P56+Data!Q56+Data!R56+Data!S56+Data!N57+Data!O57+Data!P57+Data!Q57+Data!R57+Data!S57+Data!N58+Data!O58+Data!P58+Data!Q58+Data!R58+Data!S58+Data!N59+Data!O59+Data!P59+Data!Q59+Data!R59+Data!S59+Data!N60+Data!O60+Data!P60+Data!Q60+Data!R60+Data!S60+Data!N61+Data!O61+Data!P61+Data!Q61+Data!R61+Data!S61+Data!N62+Data!O62+Data!P62+Data!Q62+Data!R62+Data!S62+Data!N63+Data!O63+Data!P63+Data!Q63+Data!R63+Data!S63+Data!N64+Data!O64+Data!P64+Data!Q64+Data!R64+Data!S64+Data!N65+Data!O65+Data!P65+Data!Q65+Data!R65+Data!S65+Data!N66+Data!O66+Data!P66+Data!Q66+Data!R66+Data!S66)/(Data!AP55+Data!AP56+Data!AP57+Data!AP58+Data!AP59+Data!AP60+Data!AP61+Data!AP62+Data!AP63+Data!AP64+Data!AP65+Data!AP66)</f>
        <v>0.0161796400990341</v>
      </c>
      <c r="M66" s="17" t="n">
        <f aca="false">(Data!T55+Data!U55+Data!V55+Data!W55+Data!X55+Data!Y55+Data!Z55+Data!AA55+Data!AB55+Data!AC55+Data!AD55+Data!AE55+Data!AF55+Data!AG55+Data!AH55+Data!AI55+Data!AJ55+Data!AK55+Data!AL55+Data!T56+Data!U56+Data!V56+Data!W56+Data!X56+Data!Y56+Data!Z56+Data!AA56+Data!AB56+Data!AC56+Data!AD56+Data!AE56+Data!AF56+Data!AG56+Data!AH56+Data!AI56+Data!AJ56+Data!AK56+Data!AL56+Data!T57+Data!U57+Data!V57+Data!W57+Data!X57+Data!Y57+Data!Z57+Data!AA57+Data!AB57+Data!AC57+Data!AD57+Data!AE57+Data!AF57+Data!AG57+Data!AH57+Data!AI57+Data!AJ57+Data!AK57+Data!AL57+Data!T58+Data!U58+Data!V58+Data!W58+Data!X58+Data!Y58+Data!Z58+Data!AA58+Data!AB58+Data!AC58+Data!AD58+Data!AE58+Data!AF58+Data!AG58+Data!AH58+Data!AI58+Data!AJ58+Data!AK58+Data!AL58+Data!T59+Data!U59+Data!V59+Data!W59+Data!X59+Data!Y59+Data!Z59+Data!AA59+Data!AB59+Data!AC59+Data!AD59+Data!AE59+Data!AF59+Data!AG59+Data!AH59+Data!AI59+Data!AJ59+Data!AK59+Data!AL59+Data!T60+Data!U60+Data!V60+Data!W60+Data!X60+Data!Y60+Data!Z60+Data!AA60+Data!AB60+Data!AC60+Data!AD60+Data!AE60+Data!AF60+Data!AG60+Data!AH60+Data!AI60+Data!AJ60+Data!AK60+Data!AL60+Data!T61+Data!U61+Data!V61+Data!W61+Data!X61+Data!Y61+Data!Z61+Data!AA61+Data!AB61+Data!AC61+Data!AD61+Data!AE61+Data!AF61+Data!AG61+Data!AH61+Data!AI61+Data!AJ61+Data!AK61+Data!AL61+Data!T62+Data!U62+Data!V62+Data!W62+Data!X62+Data!Y62+Data!Z62+Data!AA62+Data!AB62+Data!AC62+Data!AD62+Data!AE62+Data!AF62+Data!AG62+Data!AH62+Data!AI62+Data!AJ62+Data!AK62+Data!AL62+Data!T63+Data!U63+Data!V63+Data!W63+Data!X63+Data!Y63+Data!Z63+Data!AA63+Data!AB63+Data!AC63+Data!AD63+Data!AE63+Data!AF63+Data!AG63+Data!AH63+Data!AI63+Data!AJ63+Data!AK63+Data!AL63+Data!T64+Data!U64+Data!V64+Data!W64+Data!X64+Data!Y64+Data!Z64+Data!AA64+Data!AB64+Data!AC64+Data!AD64+Data!AE64+Data!AF64+Data!AG64+Data!AH64+Data!AI64+Data!AJ64+Data!AK64+Data!AL64+Data!T65+Data!U65+Data!V65+Data!W65+Data!X65+Data!Y65+Data!Z65+Data!AA65+Data!AB65+Data!AC65+Data!AD65+Data!AE65+Data!AF65+Data!AG65+Data!AH65+Data!AI65+Data!AJ65+Data!AK65+Data!AL65+Data!T66+Data!U66+Data!V66+Data!W66+Data!X66+Data!Y66+Data!Z66+Data!AA66+Data!AB66+Data!AC66+Data!AD66+Data!AE66+Data!AF66+Data!AG66+Data!AH66+Data!AI66+Data!AJ66+Data!AK66+Data!AL66)/(Data!AP55+Data!AP56+Data!AP57+Data!AP58+Data!AP59+Data!AP60+Data!AP61+Data!AP62+Data!AP63+Data!AP64+Data!AP65+Data!AP66)</f>
        <v>0.242244359527389</v>
      </c>
      <c r="N66" s="18" t="n">
        <f aca="false">(Data!T55+Data!U55+Data!V55+Data!W55+Data!T56+Data!U56+Data!V56+Data!W56+Data!T57+Data!U57+Data!V57+Data!W57+Data!T58+Data!U58+Data!V58+Data!W58+Data!T59+Data!U59+Data!V59+Data!W59+Data!T60+Data!U60+Data!V60+Data!W60+Data!T61+Data!U61+Data!V61+Data!W61+Data!T62+Data!U62+Data!V62+Data!W62+Data!T63+Data!U63+Data!V63+Data!W63+Data!T64+Data!U64+Data!V64+Data!W64+Data!T65+Data!U65+Data!V65+Data!W65+Data!T66+Data!U66+Data!V66+Data!W66)/(Data!AP55+Data!AP56+Data!AP57+Data!AP58+Data!AP59+Data!AP60+Data!AP61+Data!AP62+Data!AP63+Data!AP64+Data!AP65+Data!AP66)</f>
        <v>0.120110743233659</v>
      </c>
      <c r="O66" s="18" t="n">
        <f aca="false">(Data!T55+Data!T56+Data!T57+Data!T58+Data!T59+Data!T60+Data!T61+Data!T62+Data!T63+Data!T64+Data!T65+Data!T66)/(Data!AP55+Data!AP56+Data!AP57+Data!AP58+Data!AP59+Data!AP60+Data!AP61+Data!AP62+Data!AP63+Data!AP64+Data!AP65+Data!AP66)</f>
        <v>0.0871948991458028</v>
      </c>
      <c r="P66" s="18" t="n">
        <f aca="false">(Data!U55+Data!U56+Data!U57+Data!U58+Data!U59+Data!U60+Data!U61+Data!U62+Data!U63+Data!U64+Data!U65+Data!U66)/(Data!AP55+Data!AP56+Data!AP57+Data!AP58+Data!AP59+Data!AP60+Data!AP61+Data!AP62+Data!AP63+Data!AP64+Data!AP65+Data!AP66)</f>
        <v>0.0143186939075845</v>
      </c>
      <c r="Q66" s="18" t="n">
        <f aca="false">(Data!V55+Data!V56+Data!V57+Data!V58+Data!V59+Data!V60+Data!V61+Data!V62+Data!V63+Data!V64+Data!V65+Data!V66)/(Data!AP55+Data!AP56+Data!AP57+Data!AP58+Data!AP59+Data!AP60+Data!AP61+Data!AP62+Data!AP63+Data!AP64+Data!AP65+Data!AP66)</f>
        <v>0.00886716824780371</v>
      </c>
      <c r="R66" s="18" t="n">
        <f aca="false">(Data!W55+Data!W56+Data!W57+Data!W58+Data!W59+Data!W60+Data!W61+Data!W62+Data!W63+Data!W64+Data!W65+Data!W66)/(Data!AP55+Data!AP56+Data!AP57+Data!AP58+Data!AP59+Data!AP60+Data!AP61+Data!AP62+Data!AP63+Data!AP64+Data!AP65+Data!AP66)</f>
        <v>0.00972998193246798</v>
      </c>
      <c r="S66" s="18" t="n">
        <f aca="false">(Data!X55+Data!X56+Data!X57+Data!X58+Data!X59+Data!X60+Data!X61+Data!X62+Data!X63+Data!X64+Data!X65+Data!X66)/(Data!AP55+Data!AP56+Data!AP57+Data!AP58+Data!AP59+Data!AP60+Data!AP61+Data!AP62+Data!AP63+Data!AP64+Data!AP65+Data!AP66)</f>
        <v>0.0304989220297457</v>
      </c>
      <c r="T66" s="18" t="n">
        <f aca="false">(Data!Y55+Data!Z55+Data!AA55+Data!Y56+Data!Z56+Data!AA56+Data!Y57+Data!Z57+Data!AA57+Data!Y58+Data!Z58+Data!AA58+Data!Y59+Data!Z59+Data!AA59+Data!Y60+Data!Z60+Data!AA60+Data!Y61+Data!Z61+Data!AA61+Data!Y62+Data!Z62+Data!AA62+Data!Y63+Data!Z63+Data!AA63+Data!Y64+Data!Z64+Data!AA64+Data!Y65+Data!Z65+Data!AA65+Data!Y66+Data!Z66+Data!AA66)/(Data!AP55+Data!AP56+Data!AP57+Data!AP58+Data!AP59+Data!AP60+Data!AP61+Data!AP62+Data!AP63+Data!AP64+Data!AP65+Data!AP66)</f>
        <v>0.025608774699106</v>
      </c>
      <c r="U66" s="18" t="n">
        <f aca="false">(Data!Y55+Data!Y56+Data!Y57+Data!Y58+Data!Y59+Data!Y60+Data!Y61+Data!Y62+Data!Y63+Data!Y64+Data!Y65+Data!Y66)/(Data!AP55+Data!AP56+Data!AP57+Data!AP58+Data!AP59+Data!AP60+Data!AP61+Data!AP62+Data!AP63+Data!AP64+Data!AP65+Data!AP66)</f>
        <v>0.0180941698979394</v>
      </c>
      <c r="V66" s="18" t="n">
        <f aca="false">(Data!Z55+Data!Z56+Data!Z57+Data!Z58+Data!Z59+Data!Z60+Data!Z61+Data!Z62+Data!Z63+Data!Z64+Data!Z65+Data!Z66)/(Data!AP55+Data!AP56+Data!AP57+Data!AP58+Data!AP59+Data!AP60+Data!AP61+Data!AP62+Data!AP63+Data!AP64+Data!AP65+Data!AP66)</f>
        <v>0.00724363639391569</v>
      </c>
      <c r="W66" s="18" t="n">
        <f aca="false">(Data!AB55+Data!AB56+Data!AB57+Data!AB58+Data!AB59+Data!AB60+Data!AB61+Data!AB62+Data!AB63+Data!AB64+Data!AB65+Data!AB66)/(Data!AP55+Data!AP56+Data!AP57+Data!AP58+Data!AP59+Data!AP60+Data!AP61+Data!AP62+Data!AP63+Data!AP64+Data!AP65+Data!AP66)</f>
        <v>0.0255800350687696</v>
      </c>
      <c r="X66" s="18" t="n">
        <f aca="false">(Data!AC55+Data!AC56+Data!AC57+Data!AC58+Data!AC59+Data!AC60+Data!AC61+Data!AC62+Data!AC63+Data!AC64+Data!AC65+Data!AC66)/(Data!AP55+Data!AP56+Data!AP57+Data!AP58+Data!AP59+Data!AP60+Data!AP61+Data!AP62+Data!AP63+Data!AP64+Data!AP65+Data!AP66)</f>
        <v>0.00775275416763696</v>
      </c>
      <c r="Y66" s="18" t="n">
        <f aca="false">(Data!AD55+Data!AE55+Data!AF55+Data!AG55+Data!AH55+Data!AD56+Data!AE56+Data!AF56+Data!AG56+Data!AH56+Data!AD57+Data!AE57+Data!AF57+Data!AG57+Data!AH57+Data!AD58+Data!AE58+Data!AF58+Data!AG58+Data!AH58+Data!AD59+Data!AE59+Data!AF59+Data!AG59+Data!AH59+Data!AD60+Data!AE60+Data!AF60+Data!AG60+Data!AH60+Data!AD61+Data!AE61+Data!AF61+Data!AG61+Data!AH61+Data!AD62+Data!AE62+Data!AF62+Data!AG62+Data!AH62+Data!AD63+Data!AE63+Data!AF63+Data!AG63+Data!AH63+Data!AD64+Data!AE64+Data!AF64+Data!AG64+Data!AH64+Data!AD65+Data!AE65+Data!AF65+Data!AG65+Data!AH65+Data!AD66+Data!AE66+Data!AF66+Data!AG66+Data!AH66)/(Data!AP55+Data!AP56+Data!AP57+Data!AP58+Data!AP59+Data!AP60+Data!AP61+Data!AP62+Data!AP63+Data!AP64+Data!AP65+Data!AP66)</f>
        <v>0.0118975086818026</v>
      </c>
      <c r="Z66" s="18" t="n">
        <f aca="false">(Data!AI55+Data!AI56+Data!AI57+Data!AI58+Data!AI59+Data!AI60+Data!AI61+Data!AI62+Data!AI63+Data!AI64+Data!AI65+Data!AI66)/(Data!AP55+Data!AP56+Data!AP57+Data!AP58+Data!AP59+Data!AP60+Data!AP61+Data!AP62+Data!AP63+Data!AP64+Data!AP65+Data!AP66)</f>
        <v>0.00754066157598566</v>
      </c>
      <c r="AA66" s="18" t="n">
        <f aca="false">(Data!AJ55+Data!AJ56+Data!AJ57+Data!AJ58+Data!AJ59+Data!AJ60+Data!AJ61+Data!AJ62+Data!AJ63+Data!AJ64+Data!AJ65+Data!AJ66)/(Data!AP55+Data!AP56+Data!AP57+Data!AP58+Data!AP59+Data!AP60+Data!AP61+Data!AP62+Data!AP63+Data!AP64+Data!AP65+Data!AP66)</f>
        <v>0</v>
      </c>
      <c r="AB66" s="18" t="n">
        <f aca="false">(Data!AK55+Data!AK56+Data!AK57+Data!AK58+Data!AK59+Data!AK60+Data!AK61+Data!AK62+Data!AK63+Data!AK64+Data!AK65+Data!AK66)/(Data!AP55+Data!AP56+Data!AP57+Data!AP58+Data!AP59+Data!AP60+Data!AP61+Data!AP62+Data!AP63+Data!AP64+Data!AP65+Data!AP66)</f>
        <v>0.00297782261846093</v>
      </c>
      <c r="AC66" s="18" t="n">
        <f aca="false">(Data!AL55+Data!AL56+Data!AL57+Data!AL58+Data!AL59+Data!AL60+Data!AL61+Data!AL62+Data!AL63+Data!AL64+Data!AL65+Data!AL66)/(Data!AP55+Data!AP56+Data!AP57+Data!AP58+Data!AP59+Data!AP60+Data!AP61+Data!AP62+Data!AP63+Data!AP64+Data!AP65+Data!AP66)</f>
        <v>0.0102771374522227</v>
      </c>
      <c r="AD66" s="17" t="n">
        <f aca="false">(Data!AM55+Data!AM56+Data!AM57+Data!AM58+Data!AM59+Data!AM60+Data!AM61+Data!AM62+Data!AM63+Data!AM64+Data!AM65+Data!AM66)/(Data!AP55+Data!AP56+Data!AP57+Data!AP58+Data!AP59+Data!AP60+Data!AP61+Data!AP62+Data!AP63+Data!AP64+Data!AP65+Data!AP66)</f>
        <v>-0.064313485964464</v>
      </c>
      <c r="AE66" s="18" t="n">
        <f aca="false">(Data!AN55+Data!AN56+Data!AN57+Data!AN58+Data!AN59+Data!AN60+Data!AN61+Data!AN62+Data!AN63+Data!AN64+Data!AN65+Data!AN66)/(Data!AP55+Data!AP56+Data!AP57+Data!AP58+Data!AP59+Data!AP60+Data!AP61+Data!AP62+Data!AP63+Data!AP64+Data!AP65+Data!AP66)</f>
        <v>0.0199514409448446</v>
      </c>
      <c r="AF66" s="17" t="n">
        <f aca="false">(Data!AO55+Data!AO56+Data!AO57+Data!AO58+Data!AO59+Data!AO60+Data!AO61+Data!AO62+Data!AO63+Data!AO64+Data!AO65+Data!AO66)/(Data!AP55+Data!AP56+Data!AP57+Data!AP58+Data!AP59+Data!AP60+Data!AP61+Data!AP62+Data!AP63+Data!AP64+Data!AP65+Data!AP66)</f>
        <v>-0.0842647799035268</v>
      </c>
    </row>
    <row r="67" customFormat="false" ht="15" hidden="false" customHeight="false" outlineLevel="0" collapsed="false">
      <c r="B67" s="14" t="str">
        <f aca="false">Data!B67</f>
        <v>2021-01</v>
      </c>
      <c r="C67" s="17" t="n">
        <f aca="false">(Data!D56+Data!E56+Data!F56+Data!G56+Data!H56+Data!I56+Data!J56+Data!K56+Data!L56+Data!M56+Data!N56+Data!O56+Data!P56+Data!Q56+Data!R56+Data!S56+Data!D57+Data!E57+Data!F57+Data!G57+Data!H57+Data!I57+Data!J57+Data!K57+Data!L57+Data!M57+Data!N57+Data!O57+Data!P57+Data!Q57+Data!R57+Data!S57+Data!D58+Data!E58+Data!F58+Data!G58+Data!H58+Data!I58+Data!J58+Data!K58+Data!L58+Data!M58+Data!N58+Data!O58+Data!P58+Data!Q58+Data!R58+Data!S58+Data!D59+Data!E59+Data!F59+Data!G59+Data!H59+Data!I59+Data!J59+Data!K59+Data!L59+Data!M59+Data!N59+Data!O59+Data!P59+Data!Q59+Data!R59+Data!S59+Data!D60+Data!E60+Data!F60+Data!G60+Data!H60+Data!I60+Data!J60+Data!K60+Data!L60+Data!M60+Data!N60+Data!O60+Data!P60+Data!Q60+Data!R60+Data!S60+Data!D61+Data!E61+Data!F61+Data!G61+Data!H61+Data!I61+Data!J61+Data!K61+Data!L61+Data!M61+Data!N61+Data!O61+Data!P61+Data!Q61+Data!R61+Data!S61+Data!D62+Data!E62+Data!F62+Data!G62+Data!H62+Data!I62+Data!J62+Data!K62+Data!L62+Data!M62+Data!N62+Data!O62+Data!P62+Data!Q62+Data!R62+Data!S62+Data!D63+Data!E63+Data!F63+Data!G63+Data!H63+Data!I63+Data!J63+Data!K63+Data!L63+Data!M63+Data!N63+Data!O63+Data!P63+Data!Q63+Data!R63+Data!S63+Data!D64+Data!E64+Data!F64+Data!G64+Data!H64+Data!I64+Data!J64+Data!K64+Data!L64+Data!M64+Data!N64+Data!O64+Data!P64+Data!Q64+Data!R64+Data!S64+Data!D65+Data!E65+Data!F65+Data!G65+Data!H65+Data!I65+Data!J65+Data!K65+Data!L65+Data!M65+Data!N65+Data!O65+Data!P65+Data!Q65+Data!R65+Data!S65+Data!D66+Data!E66+Data!F66+Data!G66+Data!H66+Data!I66+Data!J66+Data!K66+Data!L66+Data!M66+Data!N66+Data!O66+Data!P66+Data!Q66+Data!R66+Data!S66+Data!D67+Data!E67+Data!F67+Data!G67+Data!H67+Data!I67+Data!J67+Data!K67+Data!L67+Data!M67+Data!N67+Data!O67+Data!P67+Data!Q67+Data!R67+Data!S67)/(Data!AP56+Data!AP57+Data!AP58+Data!AP59+Data!AP60+Data!AP61+Data!AP62+Data!AP63+Data!AP64+Data!AP65+Data!AP66+Data!AP67)</f>
        <v>0.180327111169846</v>
      </c>
      <c r="D67" s="18" t="n">
        <f aca="false">(Data!D56+Data!E56+Data!G56+Data!H56+Data!I56+Data!J56+Data!K56+Data!L56+Data!M56+Data!D57+Data!E57+Data!G57+Data!H57+Data!I57+Data!J57+Data!K57+Data!L57+Data!M57+Data!D58+Data!E58+Data!G58+Data!H58+Data!I58+Data!J58+Data!K58+Data!L58+Data!M58+Data!D59+Data!E59+Data!G59+Data!H59+Data!I59+Data!J59+Data!K59+Data!L59+Data!M59+Data!D60+Data!E60+Data!G60+Data!H60+Data!I60+Data!J60+Data!K60+Data!L60+Data!M60+Data!D61+Data!E61+Data!G61+Data!H61+Data!I61+Data!J61+Data!K61+Data!L61+Data!M61+Data!D62+Data!E62+Data!G62+Data!H62+Data!I62+Data!J62+Data!K62+Data!L62+Data!M62+Data!D63+Data!E63+Data!G63+Data!H63+Data!I63+Data!J63+Data!K63+Data!L63+Data!M63+Data!D64+Data!E64+Data!G64+Data!H64+Data!I64+Data!J64+Data!K64+Data!L64+Data!M64+Data!D65+Data!E65+Data!G65+Data!H65+Data!I65+Data!J65+Data!K65+Data!L65+Data!M65+Data!D66+Data!E66+Data!G66+Data!H66+Data!I66+Data!J66+Data!K66+Data!L66+Data!M66+Data!D67+Data!E67+Data!G67+Data!H67+Data!I67+Data!J67+Data!K67+Data!L67+Data!M67)/(Data!AP56+Data!AP57+Data!AP58+Data!AP59+Data!AP60+Data!AP61+Data!AP62+Data!AP63+Data!AP64+Data!AP65+Data!AP66+Data!AP67)</f>
        <v>0.108043438434616</v>
      </c>
      <c r="E67" s="18" t="n">
        <f aca="false">(Data!D56+Data!D57+Data!D58+Data!D59+Data!D60+Data!D61+Data!D62+Data!D63+Data!D64+Data!D65+Data!D66+Data!D67)/(Data!AP56+Data!AP57+Data!AP58+Data!AP59+Data!AP60+Data!AP61+Data!AP62+Data!AP63+Data!AP64+Data!AP65+Data!AP66+Data!AP67)</f>
        <v>0.0310434202645588</v>
      </c>
      <c r="F67" s="18" t="n">
        <f aca="false">(Data!E56+Data!E57+Data!E58+Data!E59+Data!E60+Data!E61+Data!E62+Data!E63+Data!E64+Data!E65+Data!E66+Data!E67)/(Data!AP56+Data!AP57+Data!AP58+Data!AP59+Data!AP60+Data!AP61+Data!AP62+Data!AP63+Data!AP64+Data!AP65+Data!AP66+Data!AP67)</f>
        <v>0.0179583922326125</v>
      </c>
      <c r="G67" s="18" t="n">
        <f aca="false">(Data!K56+Data!K57+Data!K58+Data!K59+Data!K60+Data!K61+Data!K62+Data!K63+Data!K64+Data!K65+Data!K66+Data!K67)/(Data!AP56+Data!AP57+Data!AP58+Data!AP59+Data!AP60+Data!AP61+Data!AP62+Data!AP63+Data!AP64+Data!AP65+Data!AP66+Data!AP67)</f>
        <v>0.0153629958921562</v>
      </c>
      <c r="H67" s="18" t="n">
        <f aca="false">(Data!L56+Data!L57+Data!L58+Data!L59+Data!L60+Data!L61+Data!L62+Data!L63+Data!L64+Data!L65+Data!L66+Data!L67)/(Data!AP56+Data!AP57+Data!AP58+Data!AP59+Data!AP60+Data!AP61+Data!AP62+Data!AP63+Data!AP64+Data!AP65+Data!AP66+Data!AP67)</f>
        <v>0.00599769566353397</v>
      </c>
      <c r="I67" s="18" t="n">
        <f aca="false">(Data!G56+Data!G57+Data!G58+Data!G59+Data!G60+Data!G61+Data!G62+Data!G63+Data!G64+Data!G65+Data!G66+Data!G67)/(Data!AP56+Data!AP57+Data!AP58+Data!AP59+Data!AP60+Data!AP61+Data!AP62+Data!AP63+Data!AP64+Data!AP65+Data!AP66+Data!AP67)</f>
        <v>0.0162772313205326</v>
      </c>
      <c r="J67" s="18" t="n">
        <f aca="false">(Data!H56+Data!I56+Data!J56+Data!M56+Data!H57+Data!I57+Data!J57+Data!M57+Data!H58+Data!I58+Data!J58+Data!M58+Data!H59+Data!I59+Data!J59+Data!M59+Data!H60+Data!I60+Data!J60+Data!M60+Data!H61+Data!I61+Data!J61+Data!M61+Data!H62+Data!I62+Data!J62+Data!M62+Data!H63+Data!I63+Data!J63+Data!M63+Data!H64+Data!I64+Data!J64+Data!M64+Data!H65+Data!I65+Data!J65+Data!M65+Data!H66+Data!I66+Data!J66+Data!M66+Data!H67+Data!I67+Data!J67+Data!M67)/(Data!AP56+Data!AP57+Data!AP58+Data!AP59+Data!AP60+Data!AP61+Data!AP62+Data!AP63+Data!AP64+Data!AP65+Data!AP66+Data!AP67)</f>
        <v>0.0214037030612222</v>
      </c>
      <c r="K67" s="18" t="n">
        <f aca="false">(Data!F56+Data!F57+Data!F58+Data!F59+Data!F60+Data!F61+Data!F62+Data!F63+Data!F64+Data!F65+Data!F66+Data!F67)/(Data!AP56+Data!AP57+Data!AP58+Data!AP59+Data!AP60+Data!AP61+Data!AP62+Data!AP63+Data!AP64+Data!AP65+Data!AP66+Data!AP67)</f>
        <v>0.0560202550683413</v>
      </c>
      <c r="L67" s="18" t="n">
        <f aca="false">(Data!N56+Data!O56+Data!P56+Data!Q56+Data!R56+Data!S56+Data!N57+Data!O57+Data!P57+Data!Q57+Data!R57+Data!S57+Data!N58+Data!O58+Data!P58+Data!Q58+Data!R58+Data!S58+Data!N59+Data!O59+Data!P59+Data!Q59+Data!R59+Data!S59+Data!N60+Data!O60+Data!P60+Data!Q60+Data!R60+Data!S60+Data!N61+Data!O61+Data!P61+Data!Q61+Data!R61+Data!S61+Data!N62+Data!O62+Data!P62+Data!Q62+Data!R62+Data!S62+Data!N63+Data!O63+Data!P63+Data!Q63+Data!R63+Data!S63+Data!N64+Data!O64+Data!P64+Data!Q64+Data!R64+Data!S64+Data!N65+Data!O65+Data!P65+Data!Q65+Data!R65+Data!S65+Data!N66+Data!O66+Data!P66+Data!Q66+Data!R66+Data!S66+Data!N67+Data!O67+Data!P67+Data!Q67+Data!R67+Data!S67)/(Data!AP56+Data!AP57+Data!AP58+Data!AP59+Data!AP60+Data!AP61+Data!AP62+Data!AP63+Data!AP64+Data!AP65+Data!AP66+Data!AP67)</f>
        <v>0.0162634176668887</v>
      </c>
      <c r="M67" s="17" t="n">
        <f aca="false">(Data!T56+Data!U56+Data!V56+Data!W56+Data!X56+Data!Y56+Data!Z56+Data!AA56+Data!AB56+Data!AC56+Data!AD56+Data!AE56+Data!AF56+Data!AG56+Data!AH56+Data!AI56+Data!AJ56+Data!AK56+Data!AL56+Data!T57+Data!U57+Data!V57+Data!W57+Data!X57+Data!Y57+Data!Z57+Data!AA57+Data!AB57+Data!AC57+Data!AD57+Data!AE57+Data!AF57+Data!AG57+Data!AH57+Data!AI57+Data!AJ57+Data!AK57+Data!AL57+Data!T58+Data!U58+Data!V58+Data!W58+Data!X58+Data!Y58+Data!Z58+Data!AA58+Data!AB58+Data!AC58+Data!AD58+Data!AE58+Data!AF58+Data!AG58+Data!AH58+Data!AI58+Data!AJ58+Data!AK58+Data!AL58+Data!T59+Data!U59+Data!V59+Data!W59+Data!X59+Data!Y59+Data!Z59+Data!AA59+Data!AB59+Data!AC59+Data!AD59+Data!AE59+Data!AF59+Data!AG59+Data!AH59+Data!AI59+Data!AJ59+Data!AK59+Data!AL59+Data!T60+Data!U60+Data!V60+Data!W60+Data!X60+Data!Y60+Data!Z60+Data!AA60+Data!AB60+Data!AC60+Data!AD60+Data!AE60+Data!AF60+Data!AG60+Data!AH60+Data!AI60+Data!AJ60+Data!AK60+Data!AL60+Data!T61+Data!U61+Data!V61+Data!W61+Data!X61+Data!Y61+Data!Z61+Data!AA61+Data!AB61+Data!AC61+Data!AD61+Data!AE61+Data!AF61+Data!AG61+Data!AH61+Data!AI61+Data!AJ61+Data!AK61+Data!AL61+Data!T62+Data!U62+Data!V62+Data!W62+Data!X62+Data!Y62+Data!Z62+Data!AA62+Data!AB62+Data!AC62+Data!AD62+Data!AE62+Data!AF62+Data!AG62+Data!AH62+Data!AI62+Data!AJ62+Data!AK62+Data!AL62+Data!T63+Data!U63+Data!V63+Data!W63+Data!X63+Data!Y63+Data!Z63+Data!AA63+Data!AB63+Data!AC63+Data!AD63+Data!AE63+Data!AF63+Data!AG63+Data!AH63+Data!AI63+Data!AJ63+Data!AK63+Data!AL63+Data!T64+Data!U64+Data!V64+Data!W64+Data!X64+Data!Y64+Data!Z64+Data!AA64+Data!AB64+Data!AC64+Data!AD64+Data!AE64+Data!AF64+Data!AG64+Data!AH64+Data!AI64+Data!AJ64+Data!AK64+Data!AL64+Data!T65+Data!U65+Data!V65+Data!W65+Data!X65+Data!Y65+Data!Z65+Data!AA65+Data!AB65+Data!AC65+Data!AD65+Data!AE65+Data!AF65+Data!AG65+Data!AH65+Data!AI65+Data!AJ65+Data!AK65+Data!AL65+Data!T66+Data!U66+Data!V66+Data!W66+Data!X66+Data!Y66+Data!Z66+Data!AA66+Data!AB66+Data!AC66+Data!AD66+Data!AE66+Data!AF66+Data!AG66+Data!AH66+Data!AI66+Data!AJ66+Data!AK66+Data!AL66+Data!T67+Data!U67+Data!V67+Data!W67+Data!X67+Data!Y67+Data!Z67+Data!AA67+Data!AB67+Data!AC67+Data!AD67+Data!AE67+Data!AF67+Data!AG67+Data!AH67+Data!AI67+Data!AJ67+Data!AK67+Data!AL67)/(Data!AP56+Data!AP57+Data!AP58+Data!AP59+Data!AP60+Data!AP61+Data!AP62+Data!AP63+Data!AP64+Data!AP65+Data!AP66+Data!AP67)</f>
        <v>0.241796727671029</v>
      </c>
      <c r="N67" s="18" t="n">
        <f aca="false">(Data!T56+Data!U56+Data!V56+Data!W56+Data!T57+Data!U57+Data!V57+Data!W57+Data!T58+Data!U58+Data!V58+Data!W58+Data!T59+Data!U59+Data!V59+Data!W59+Data!T60+Data!U60+Data!V60+Data!W60+Data!T61+Data!U61+Data!V61+Data!W61+Data!T62+Data!U62+Data!V62+Data!W62+Data!T63+Data!U63+Data!V63+Data!W63+Data!T64+Data!U64+Data!V64+Data!W64+Data!T65+Data!U65+Data!V65+Data!W65+Data!T66+Data!U66+Data!V66+Data!W66+Data!T67+Data!U67+Data!V67+Data!W67)/(Data!AP56+Data!AP57+Data!AP58+Data!AP59+Data!AP60+Data!AP61+Data!AP62+Data!AP63+Data!AP64+Data!AP65+Data!AP66+Data!AP67)</f>
        <v>0.11913598078166</v>
      </c>
      <c r="O67" s="18" t="n">
        <f aca="false">(Data!T56+Data!T57+Data!T58+Data!T59+Data!T60+Data!T61+Data!T62+Data!T63+Data!T64+Data!T65+Data!T66+Data!T67)/(Data!AP56+Data!AP57+Data!AP58+Data!AP59+Data!AP60+Data!AP61+Data!AP62+Data!AP63+Data!AP64+Data!AP65+Data!AP66+Data!AP67)</f>
        <v>0.0865698104444833</v>
      </c>
      <c r="P67" s="18" t="n">
        <f aca="false">(Data!U56+Data!U57+Data!U58+Data!U59+Data!U60+Data!U61+Data!U62+Data!U63+Data!U64+Data!U65+Data!U66+Data!U67)/(Data!AP56+Data!AP57+Data!AP58+Data!AP59+Data!AP60+Data!AP61+Data!AP62+Data!AP63+Data!AP64+Data!AP65+Data!AP66+Data!AP67)</f>
        <v>0.0142278847822589</v>
      </c>
      <c r="Q67" s="18" t="n">
        <f aca="false">(Data!V56+Data!V57+Data!V58+Data!V59+Data!V60+Data!V61+Data!V62+Data!V63+Data!V64+Data!V65+Data!V66+Data!V67)/(Data!AP56+Data!AP57+Data!AP58+Data!AP59+Data!AP60+Data!AP61+Data!AP62+Data!AP63+Data!AP64+Data!AP65+Data!AP66+Data!AP67)</f>
        <v>0.00855111563012663</v>
      </c>
      <c r="R67" s="18" t="n">
        <f aca="false">(Data!W56+Data!W57+Data!W58+Data!W59+Data!W60+Data!W61+Data!W62+Data!W63+Data!W64+Data!W65+Data!W66+Data!W67)/(Data!AP56+Data!AP57+Data!AP58+Data!AP59+Data!AP60+Data!AP61+Data!AP62+Data!AP63+Data!AP64+Data!AP65+Data!AP66+Data!AP67)</f>
        <v>0.00978716992479138</v>
      </c>
      <c r="S67" s="18" t="n">
        <f aca="false">(Data!X56+Data!X57+Data!X58+Data!X59+Data!X60+Data!X61+Data!X62+Data!X63+Data!X64+Data!X65+Data!X66+Data!X67)/(Data!AP56+Data!AP57+Data!AP58+Data!AP59+Data!AP60+Data!AP61+Data!AP62+Data!AP63+Data!AP64+Data!AP65+Data!AP66+Data!AP67)</f>
        <v>0.029900706291028</v>
      </c>
      <c r="T67" s="18" t="n">
        <f aca="false">(Data!Y56+Data!Z56+Data!AA56+Data!Y57+Data!Z57+Data!AA57+Data!Y58+Data!Z58+Data!AA58+Data!Y59+Data!Z59+Data!AA59+Data!Y60+Data!Z60+Data!AA60+Data!Y61+Data!Z61+Data!AA61+Data!Y62+Data!Z62+Data!AA62+Data!Y63+Data!Z63+Data!AA63+Data!Y64+Data!Z64+Data!AA64+Data!Y65+Data!Z65+Data!AA65+Data!Y66+Data!Z66+Data!AA66+Data!Y67+Data!Z67+Data!AA67)/(Data!AP56+Data!AP57+Data!AP58+Data!AP59+Data!AP60+Data!AP61+Data!AP62+Data!AP63+Data!AP64+Data!AP65+Data!AP66+Data!AP67)</f>
        <v>0.0258006568350529</v>
      </c>
      <c r="U67" s="18" t="n">
        <f aca="false">(Data!Y56+Data!Y57+Data!Y58+Data!Y59+Data!Y60+Data!Y61+Data!Y62+Data!Y63+Data!Y64+Data!Y65+Data!Y66+Data!Y67)/(Data!AP56+Data!AP57+Data!AP58+Data!AP59+Data!AP60+Data!AP61+Data!AP62+Data!AP63+Data!AP64+Data!AP65+Data!AP66+Data!AP67)</f>
        <v>0.0181582797272015</v>
      </c>
      <c r="V67" s="18" t="n">
        <f aca="false">(Data!Z56+Data!Z57+Data!Z58+Data!Z59+Data!Z60+Data!Z61+Data!Z62+Data!Z63+Data!Z64+Data!Z65+Data!Z66+Data!Z67)/(Data!AP56+Data!AP57+Data!AP58+Data!AP59+Data!AP60+Data!AP61+Data!AP62+Data!AP63+Data!AP64+Data!AP65+Data!AP66+Data!AP67)</f>
        <v>0.00725209677466635</v>
      </c>
      <c r="W67" s="18" t="n">
        <f aca="false">(Data!AB56+Data!AB57+Data!AB58+Data!AB59+Data!AB60+Data!AB61+Data!AB62+Data!AB63+Data!AB64+Data!AB65+Data!AB66+Data!AB67)/(Data!AP56+Data!AP57+Data!AP58+Data!AP59+Data!AP60+Data!AP61+Data!AP62+Data!AP63+Data!AP64+Data!AP65+Data!AP66+Data!AP67)</f>
        <v>0.0257890205273322</v>
      </c>
      <c r="X67" s="18" t="n">
        <f aca="false">(Data!AC56+Data!AC57+Data!AC58+Data!AC59+Data!AC60+Data!AC61+Data!AC62+Data!AC63+Data!AC64+Data!AC65+Data!AC66+Data!AC67)/(Data!AP56+Data!AP57+Data!AP58+Data!AP59+Data!AP60+Data!AP61+Data!AP62+Data!AP63+Data!AP64+Data!AP65+Data!AP66+Data!AP67)</f>
        <v>0.00786642957276837</v>
      </c>
      <c r="Y67" s="18" t="n">
        <f aca="false">(Data!AD56+Data!AE56+Data!AF56+Data!AG56+Data!AH56+Data!AD57+Data!AE57+Data!AF57+Data!AG57+Data!AH57+Data!AD58+Data!AE58+Data!AF58+Data!AG58+Data!AH58+Data!AD59+Data!AE59+Data!AF59+Data!AG59+Data!AH59+Data!AD60+Data!AE60+Data!AF60+Data!AG60+Data!AH60+Data!AD61+Data!AE61+Data!AF61+Data!AG61+Data!AH61+Data!AD62+Data!AE62+Data!AF62+Data!AG62+Data!AH62+Data!AD63+Data!AE63+Data!AF63+Data!AG63+Data!AH63+Data!AD64+Data!AE64+Data!AF64+Data!AG64+Data!AH64+Data!AD65+Data!AE65+Data!AF65+Data!AG65+Data!AH65+Data!AD66+Data!AE66+Data!AF66+Data!AG66+Data!AH66+Data!AD67+Data!AE67+Data!AF67+Data!AG67+Data!AH67)/(Data!AP56+Data!AP57+Data!AP58+Data!AP59+Data!AP60+Data!AP61+Data!AP62+Data!AP63+Data!AP64+Data!AP65+Data!AP66+Data!AP67)</f>
        <v>0.0115597793656458</v>
      </c>
      <c r="Z67" s="18" t="n">
        <f aca="false">(Data!AI56+Data!AI57+Data!AI58+Data!AI59+Data!AI60+Data!AI61+Data!AI62+Data!AI63+Data!AI64+Data!AI65+Data!AI66+Data!AI67)/(Data!AP56+Data!AP57+Data!AP58+Data!AP59+Data!AP60+Data!AP61+Data!AP62+Data!AP63+Data!AP64+Data!AP65+Data!AP66+Data!AP67)</f>
        <v>0.00747443591820115</v>
      </c>
      <c r="AA67" s="18" t="n">
        <f aca="false">(Data!AJ56+Data!AJ57+Data!AJ58+Data!AJ59+Data!AJ60+Data!AJ61+Data!AJ62+Data!AJ63+Data!AJ64+Data!AJ65+Data!AJ66+Data!AJ67)/(Data!AP56+Data!AP57+Data!AP58+Data!AP59+Data!AP60+Data!AP61+Data!AP62+Data!AP63+Data!AP64+Data!AP65+Data!AP66+Data!AP67)</f>
        <v>0</v>
      </c>
      <c r="AB67" s="18" t="n">
        <f aca="false">(Data!AK56+Data!AK57+Data!AK58+Data!AK59+Data!AK60+Data!AK61+Data!AK62+Data!AK63+Data!AK64+Data!AK65+Data!AK66+Data!AK67)/(Data!AP56+Data!AP57+Data!AP58+Data!AP59+Data!AP60+Data!AP61+Data!AP62+Data!AP63+Data!AP64+Data!AP65+Data!AP66+Data!AP67)</f>
        <v>0.00349678185846638</v>
      </c>
      <c r="AC67" s="18" t="n">
        <f aca="false">(Data!AL56+Data!AL57+Data!AL58+Data!AL59+Data!AL60+Data!AL61+Data!AL62+Data!AL63+Data!AL64+Data!AL65+Data!AL66+Data!AL67)/(Data!AP56+Data!AP57+Data!AP58+Data!AP59+Data!AP60+Data!AP61+Data!AP62+Data!AP63+Data!AP64+Data!AP65+Data!AP66+Data!AP67)</f>
        <v>0.0107729365208743</v>
      </c>
      <c r="AD67" s="17" t="n">
        <f aca="false">(Data!AM56+Data!AM57+Data!AM58+Data!AM59+Data!AM60+Data!AM61+Data!AM62+Data!AM63+Data!AM64+Data!AM65+Data!AM66+Data!AM67)/(Data!AP56+Data!AP57+Data!AP58+Data!AP59+Data!AP60+Data!AP61+Data!AP62+Data!AP63+Data!AP64+Data!AP65+Data!AP66+Data!AP67)</f>
        <v>-0.061469616501183</v>
      </c>
      <c r="AE67" s="18" t="n">
        <f aca="false">(Data!AN56+Data!AN57+Data!AN58+Data!AN59+Data!AN60+Data!AN61+Data!AN62+Data!AN63+Data!AN64+Data!AN65+Data!AN66+Data!AN67)/(Data!AP56+Data!AP57+Data!AP58+Data!AP59+Data!AP60+Data!AP61+Data!AP62+Data!AP63+Data!AP64+Data!AP65+Data!AP66+Data!AP67)</f>
        <v>0.0172376907320328</v>
      </c>
      <c r="AF67" s="17" t="n">
        <f aca="false">(Data!AO56+Data!AO57+Data!AO58+Data!AO59+Data!AO60+Data!AO61+Data!AO62+Data!AO63+Data!AO64+Data!AO65+Data!AO66+Data!AO67)/(Data!AP56+Data!AP57+Data!AP58+Data!AP59+Data!AP60+Data!AP61+Data!AP62+Data!AP63+Data!AP64+Data!AP65+Data!AP66+Data!AP67)</f>
        <v>-0.078707164456434</v>
      </c>
    </row>
    <row r="68" customFormat="false" ht="15" hidden="false" customHeight="false" outlineLevel="0" collapsed="false">
      <c r="B68" s="14" t="str">
        <f aca="false">Data!B68</f>
        <v>2021-02</v>
      </c>
      <c r="C68" s="17" t="n">
        <f aca="false">(Data!D57+Data!E57+Data!F57+Data!G57+Data!H57+Data!I57+Data!J57+Data!K57+Data!L57+Data!M57+Data!N57+Data!O57+Data!P57+Data!Q57+Data!R57+Data!S57+Data!D58+Data!E58+Data!F58+Data!G58+Data!H58+Data!I58+Data!J58+Data!K58+Data!L58+Data!M58+Data!N58+Data!O58+Data!P58+Data!Q58+Data!R58+Data!S58+Data!D59+Data!E59+Data!F59+Data!G59+Data!H59+Data!I59+Data!J59+Data!K59+Data!L59+Data!M59+Data!N59+Data!O59+Data!P59+Data!Q59+Data!R59+Data!S59+Data!D60+Data!E60+Data!F60+Data!G60+Data!H60+Data!I60+Data!J60+Data!K60+Data!L60+Data!M60+Data!N60+Data!O60+Data!P60+Data!Q60+Data!R60+Data!S60+Data!D61+Data!E61+Data!F61+Data!G61+Data!H61+Data!I61+Data!J61+Data!K61+Data!L61+Data!M61+Data!N61+Data!O61+Data!P61+Data!Q61+Data!R61+Data!S61+Data!D62+Data!E62+Data!F62+Data!G62+Data!H62+Data!I62+Data!J62+Data!K62+Data!L62+Data!M62+Data!N62+Data!O62+Data!P62+Data!Q62+Data!R62+Data!S62+Data!D63+Data!E63+Data!F63+Data!G63+Data!H63+Data!I63+Data!J63+Data!K63+Data!L63+Data!M63+Data!N63+Data!O63+Data!P63+Data!Q63+Data!R63+Data!S63+Data!D64+Data!E64+Data!F64+Data!G64+Data!H64+Data!I64+Data!J64+Data!K64+Data!L64+Data!M64+Data!N64+Data!O64+Data!P64+Data!Q64+Data!R64+Data!S64+Data!D65+Data!E65+Data!F65+Data!G65+Data!H65+Data!I65+Data!J65+Data!K65+Data!L65+Data!M65+Data!N65+Data!O65+Data!P65+Data!Q65+Data!R65+Data!S65+Data!D66+Data!E66+Data!F66+Data!G66+Data!H66+Data!I66+Data!J66+Data!K66+Data!L66+Data!M66+Data!N66+Data!O66+Data!P66+Data!Q66+Data!R66+Data!S66+Data!D67+Data!E67+Data!F67+Data!G67+Data!H67+Data!I67+Data!J67+Data!K67+Data!L67+Data!M67+Data!N67+Data!O67+Data!P67+Data!Q67+Data!R67+Data!S67+Data!D68+Data!E68+Data!F68+Data!G68+Data!H68+Data!I68+Data!J68+Data!K68+Data!L68+Data!M68+Data!N68+Data!O68+Data!P68+Data!Q68+Data!R68+Data!S68)/(Data!AP57+Data!AP58+Data!AP59+Data!AP60+Data!AP61+Data!AP62+Data!AP63+Data!AP64+Data!AP65+Data!AP66+Data!AP67+Data!AP68)</f>
        <v>0.180430889940027</v>
      </c>
      <c r="D68" s="18" t="n">
        <f aca="false">(Data!D57+Data!E57+Data!G57+Data!H57+Data!I57+Data!J57+Data!K57+Data!L57+Data!M57+Data!D58+Data!E58+Data!G58+Data!H58+Data!I58+Data!J58+Data!K58+Data!L58+Data!M58+Data!D59+Data!E59+Data!G59+Data!H59+Data!I59+Data!J59+Data!K59+Data!L59+Data!M59+Data!D60+Data!E60+Data!G60+Data!H60+Data!I60+Data!J60+Data!K60+Data!L60+Data!M60+Data!D61+Data!E61+Data!G61+Data!H61+Data!I61+Data!J61+Data!K61+Data!L61+Data!M61+Data!D62+Data!E62+Data!G62+Data!H62+Data!I62+Data!J62+Data!K62+Data!L62+Data!M62+Data!D63+Data!E63+Data!G63+Data!H63+Data!I63+Data!J63+Data!K63+Data!L63+Data!M63+Data!D64+Data!E64+Data!G64+Data!H64+Data!I64+Data!J64+Data!K64+Data!L64+Data!M64+Data!D65+Data!E65+Data!G65+Data!H65+Data!I65+Data!J65+Data!K65+Data!L65+Data!M65+Data!D66+Data!E66+Data!G66+Data!H66+Data!I66+Data!J66+Data!K66+Data!L66+Data!M66+Data!D67+Data!E67+Data!G67+Data!H67+Data!I67+Data!J67+Data!K67+Data!L67+Data!M67+Data!D68+Data!E68+Data!G68+Data!H68+Data!I68+Data!J68+Data!K68+Data!L68+Data!M68)/(Data!AP57+Data!AP58+Data!AP59+Data!AP60+Data!AP61+Data!AP62+Data!AP63+Data!AP64+Data!AP65+Data!AP66+Data!AP67+Data!AP68)</f>
        <v>0.109461944807794</v>
      </c>
      <c r="E68" s="18" t="n">
        <f aca="false">(Data!D57+Data!D58+Data!D59+Data!D60+Data!D61+Data!D62+Data!D63+Data!D64+Data!D65+Data!D66+Data!D67+Data!D68)/(Data!AP57+Data!AP58+Data!AP59+Data!AP60+Data!AP61+Data!AP62+Data!AP63+Data!AP64+Data!AP65+Data!AP66+Data!AP67+Data!AP68)</f>
        <v>0.0309221625167794</v>
      </c>
      <c r="F68" s="18" t="n">
        <f aca="false">(Data!E57+Data!E58+Data!E59+Data!E60+Data!E61+Data!E62+Data!E63+Data!E64+Data!E65+Data!E66+Data!E67+Data!E68)/(Data!AP57+Data!AP58+Data!AP59+Data!AP60+Data!AP61+Data!AP62+Data!AP63+Data!AP64+Data!AP65+Data!AP66+Data!AP67+Data!AP68)</f>
        <v>0.018375352327508</v>
      </c>
      <c r="G68" s="18" t="n">
        <f aca="false">(Data!K57+Data!K58+Data!K59+Data!K60+Data!K61+Data!K62+Data!K63+Data!K64+Data!K65+Data!K66+Data!K67+Data!K68)/(Data!AP57+Data!AP58+Data!AP59+Data!AP60+Data!AP61+Data!AP62+Data!AP63+Data!AP64+Data!AP65+Data!AP66+Data!AP67+Data!AP68)</f>
        <v>0.0162760964390965</v>
      </c>
      <c r="H68" s="18" t="n">
        <f aca="false">(Data!L57+Data!L58+Data!L59+Data!L60+Data!L61+Data!L62+Data!L63+Data!L64+Data!L65+Data!L66+Data!L67+Data!L68)/(Data!AP57+Data!AP58+Data!AP59+Data!AP60+Data!AP61+Data!AP62+Data!AP63+Data!AP64+Data!AP65+Data!AP66+Data!AP67+Data!AP68)</f>
        <v>0.0060832527275166</v>
      </c>
      <c r="I68" s="18" t="n">
        <f aca="false">(Data!G57+Data!G58+Data!G59+Data!G60+Data!G61+Data!G62+Data!G63+Data!G64+Data!G65+Data!G66+Data!G67+Data!G68)/(Data!AP57+Data!AP58+Data!AP59+Data!AP60+Data!AP61+Data!AP62+Data!AP63+Data!AP64+Data!AP65+Data!AP66+Data!AP67+Data!AP68)</f>
        <v>0.0157421227620307</v>
      </c>
      <c r="J68" s="18" t="n">
        <f aca="false">(Data!H57+Data!I57+Data!J57+Data!M57+Data!H58+Data!I58+Data!J58+Data!M58+Data!H59+Data!I59+Data!J59+Data!M59+Data!H60+Data!I60+Data!J60+Data!M60+Data!H61+Data!I61+Data!J61+Data!M61+Data!H62+Data!I62+Data!J62+Data!M62+Data!H63+Data!I63+Data!J63+Data!M63+Data!H64+Data!I64+Data!J64+Data!M64+Data!H65+Data!I65+Data!J65+Data!M65+Data!H66+Data!I66+Data!J66+Data!M66+Data!H67+Data!I67+Data!J67+Data!M67+Data!H68+Data!I68+Data!J68+Data!M68)/(Data!AP57+Data!AP58+Data!AP59+Data!AP60+Data!AP61+Data!AP62+Data!AP63+Data!AP64+Data!AP65+Data!AP66+Data!AP67+Data!AP68)</f>
        <v>0.0220629580348627</v>
      </c>
      <c r="K68" s="18" t="n">
        <f aca="false">(Data!F57+Data!F58+Data!F59+Data!F60+Data!F61+Data!F62+Data!F63+Data!F64+Data!F65+Data!F66+Data!F67+Data!F68)/(Data!AP57+Data!AP58+Data!AP59+Data!AP60+Data!AP61+Data!AP62+Data!AP63+Data!AP64+Data!AP65+Data!AP66+Data!AP67+Data!AP68)</f>
        <v>0.0553343906301821</v>
      </c>
      <c r="L68" s="18" t="n">
        <f aca="false">(Data!N57+Data!O57+Data!P57+Data!Q57+Data!R57+Data!S57+Data!N58+Data!O58+Data!P58+Data!Q58+Data!R58+Data!S58+Data!N59+Data!O59+Data!P59+Data!Q59+Data!R59+Data!S59+Data!N60+Data!O60+Data!P60+Data!Q60+Data!R60+Data!S60+Data!N61+Data!O61+Data!P61+Data!Q61+Data!R61+Data!S61+Data!N62+Data!O62+Data!P62+Data!Q62+Data!R62+Data!S62+Data!N63+Data!O63+Data!P63+Data!Q63+Data!R63+Data!S63+Data!N64+Data!O64+Data!P64+Data!Q64+Data!R64+Data!S64+Data!N65+Data!O65+Data!P65+Data!Q65+Data!R65+Data!S65+Data!N66+Data!O66+Data!P66+Data!Q66+Data!R66+Data!S66+Data!N67+Data!O67+Data!P67+Data!Q67+Data!R67+Data!S67+Data!N68+Data!O68+Data!P68+Data!Q68+Data!R68+Data!S68)/(Data!AP57+Data!AP58+Data!AP59+Data!AP60+Data!AP61+Data!AP62+Data!AP63+Data!AP64+Data!AP65+Data!AP66+Data!AP67+Data!AP68)</f>
        <v>0.0156345545020514</v>
      </c>
      <c r="M68" s="17" t="n">
        <f aca="false">(Data!T57+Data!U57+Data!V57+Data!W57+Data!X57+Data!Y57+Data!Z57+Data!AA57+Data!AB57+Data!AC57+Data!AD57+Data!AE57+Data!AF57+Data!AG57+Data!AH57+Data!AI57+Data!AJ57+Data!AK57+Data!AL57+Data!T58+Data!U58+Data!V58+Data!W58+Data!X58+Data!Y58+Data!Z58+Data!AA58+Data!AB58+Data!AC58+Data!AD58+Data!AE58+Data!AF58+Data!AG58+Data!AH58+Data!AI58+Data!AJ58+Data!AK58+Data!AL58+Data!T59+Data!U59+Data!V59+Data!W59+Data!X59+Data!Y59+Data!Z59+Data!AA59+Data!AB59+Data!AC59+Data!AD59+Data!AE59+Data!AF59+Data!AG59+Data!AH59+Data!AI59+Data!AJ59+Data!AK59+Data!AL59+Data!T60+Data!U60+Data!V60+Data!W60+Data!X60+Data!Y60+Data!Z60+Data!AA60+Data!AB60+Data!AC60+Data!AD60+Data!AE60+Data!AF60+Data!AG60+Data!AH60+Data!AI60+Data!AJ60+Data!AK60+Data!AL60+Data!T61+Data!U61+Data!V61+Data!W61+Data!X61+Data!Y61+Data!Z61+Data!AA61+Data!AB61+Data!AC61+Data!AD61+Data!AE61+Data!AF61+Data!AG61+Data!AH61+Data!AI61+Data!AJ61+Data!AK61+Data!AL61+Data!T62+Data!U62+Data!V62+Data!W62+Data!X62+Data!Y62+Data!Z62+Data!AA62+Data!AB62+Data!AC62+Data!AD62+Data!AE62+Data!AF62+Data!AG62+Data!AH62+Data!AI62+Data!AJ62+Data!AK62+Data!AL62+Data!T63+Data!U63+Data!V63+Data!W63+Data!X63+Data!Y63+Data!Z63+Data!AA63+Data!AB63+Data!AC63+Data!AD63+Data!AE63+Data!AF63+Data!AG63+Data!AH63+Data!AI63+Data!AJ63+Data!AK63+Data!AL63+Data!T64+Data!U64+Data!V64+Data!W64+Data!X64+Data!Y64+Data!Z64+Data!AA64+Data!AB64+Data!AC64+Data!AD64+Data!AE64+Data!AF64+Data!AG64+Data!AH64+Data!AI64+Data!AJ64+Data!AK64+Data!AL64+Data!T65+Data!U65+Data!V65+Data!W65+Data!X65+Data!Y65+Data!Z65+Data!AA65+Data!AB65+Data!AC65+Data!AD65+Data!AE65+Data!AF65+Data!AG65+Data!AH65+Data!AI65+Data!AJ65+Data!AK65+Data!AL65+Data!T66+Data!U66+Data!V66+Data!W66+Data!X66+Data!Y66+Data!Z66+Data!AA66+Data!AB66+Data!AC66+Data!AD66+Data!AE66+Data!AF66+Data!AG66+Data!AH66+Data!AI66+Data!AJ66+Data!AK66+Data!AL66+Data!T67+Data!U67+Data!V67+Data!W67+Data!X67+Data!Y67+Data!Z67+Data!AA67+Data!AB67+Data!AC67+Data!AD67+Data!AE67+Data!AF67+Data!AG67+Data!AH67+Data!AI67+Data!AJ67+Data!AK67+Data!AL67+Data!T68+Data!U68+Data!V68+Data!W68+Data!X68+Data!Y68+Data!Z68+Data!AA68+Data!AB68+Data!AC68+Data!AD68+Data!AE68+Data!AF68+Data!AG68+Data!AH68+Data!AI68+Data!AJ68+Data!AK68+Data!AL68)/(Data!AP57+Data!AP58+Data!AP59+Data!AP60+Data!AP61+Data!AP62+Data!AP63+Data!AP64+Data!AP65+Data!AP66+Data!AP67+Data!AP68)</f>
        <v>0.239597853069022</v>
      </c>
      <c r="N68" s="18" t="n">
        <f aca="false">(Data!T57+Data!U57+Data!V57+Data!W57+Data!T58+Data!U58+Data!V58+Data!W58+Data!T59+Data!U59+Data!V59+Data!W59+Data!T60+Data!U60+Data!V60+Data!W60+Data!T61+Data!U61+Data!V61+Data!W61+Data!T62+Data!U62+Data!V62+Data!W62+Data!T63+Data!U63+Data!V63+Data!W63+Data!T64+Data!U64+Data!V64+Data!W64+Data!T65+Data!U65+Data!V65+Data!W65+Data!T66+Data!U66+Data!V66+Data!W66+Data!T67+Data!U67+Data!V67+Data!W67+Data!T68+Data!U68+Data!V68+Data!W68)/(Data!AP57+Data!AP58+Data!AP59+Data!AP60+Data!AP61+Data!AP62+Data!AP63+Data!AP64+Data!AP65+Data!AP66+Data!AP67+Data!AP68)</f>
        <v>0.117387601828946</v>
      </c>
      <c r="O68" s="18" t="n">
        <f aca="false">(Data!T57+Data!T58+Data!T59+Data!T60+Data!T61+Data!T62+Data!T63+Data!T64+Data!T65+Data!T66+Data!T67+Data!T68)/(Data!AP57+Data!AP58+Data!AP59+Data!AP60+Data!AP61+Data!AP62+Data!AP63+Data!AP64+Data!AP65+Data!AP66+Data!AP67+Data!AP68)</f>
        <v>0.0854066775622582</v>
      </c>
      <c r="P68" s="18" t="n">
        <f aca="false">(Data!U57+Data!U58+Data!U59+Data!U60+Data!U61+Data!U62+Data!U63+Data!U64+Data!U65+Data!U66+Data!U67+Data!U68)/(Data!AP57+Data!AP58+Data!AP59+Data!AP60+Data!AP61+Data!AP62+Data!AP63+Data!AP64+Data!AP65+Data!AP66+Data!AP67+Data!AP68)</f>
        <v>0.013969646470468</v>
      </c>
      <c r="Q68" s="18" t="n">
        <f aca="false">(Data!V57+Data!V58+Data!V59+Data!V60+Data!V61+Data!V62+Data!V63+Data!V64+Data!V65+Data!V66+Data!V67+Data!V68)/(Data!AP57+Data!AP58+Data!AP59+Data!AP60+Data!AP61+Data!AP62+Data!AP63+Data!AP64+Data!AP65+Data!AP66+Data!AP67+Data!AP68)</f>
        <v>0.00841829547921502</v>
      </c>
      <c r="R68" s="18" t="n">
        <f aca="false">(Data!W57+Data!W58+Data!W59+Data!W60+Data!W61+Data!W62+Data!W63+Data!W64+Data!W65+Data!W66+Data!W67+Data!W68)/(Data!AP57+Data!AP58+Data!AP59+Data!AP60+Data!AP61+Data!AP62+Data!AP63+Data!AP64+Data!AP65+Data!AP66+Data!AP67+Data!AP68)</f>
        <v>0.00959298231700506</v>
      </c>
      <c r="S68" s="18" t="n">
        <f aca="false">(Data!X57+Data!X58+Data!X59+Data!X60+Data!X61+Data!X62+Data!X63+Data!X64+Data!X65+Data!X66+Data!X67+Data!X68)/(Data!AP57+Data!AP58+Data!AP59+Data!AP60+Data!AP61+Data!AP62+Data!AP63+Data!AP64+Data!AP65+Data!AP66+Data!AP67+Data!AP68)</f>
        <v>0.0295801664592142</v>
      </c>
      <c r="T68" s="18" t="n">
        <f aca="false">(Data!Y57+Data!Z57+Data!AA57+Data!Y58+Data!Z58+Data!AA58+Data!Y59+Data!Z59+Data!AA59+Data!Y60+Data!Z60+Data!AA60+Data!Y61+Data!Z61+Data!AA61+Data!Y62+Data!Z62+Data!AA62+Data!Y63+Data!Z63+Data!AA63+Data!Y64+Data!Z64+Data!AA64+Data!Y65+Data!Z65+Data!AA65+Data!Y66+Data!Z66+Data!AA66+Data!Y67+Data!Z67+Data!AA67+Data!Y68+Data!Z68+Data!AA68)/(Data!AP57+Data!AP58+Data!AP59+Data!AP60+Data!AP61+Data!AP62+Data!AP63+Data!AP64+Data!AP65+Data!AP66+Data!AP67+Data!AP68)</f>
        <v>0.0259616599776118</v>
      </c>
      <c r="U68" s="18" t="n">
        <f aca="false">(Data!Y57+Data!Y58+Data!Y59+Data!Y60+Data!Y61+Data!Y62+Data!Y63+Data!Y64+Data!Y65+Data!Y66+Data!Y67+Data!Y68)/(Data!AP57+Data!AP58+Data!AP59+Data!AP60+Data!AP61+Data!AP62+Data!AP63+Data!AP64+Data!AP65+Data!AP66+Data!AP67+Data!AP68)</f>
        <v>0.0181638417039532</v>
      </c>
      <c r="V68" s="18" t="n">
        <f aca="false">(Data!Z57+Data!Z58+Data!Z59+Data!Z60+Data!Z61+Data!Z62+Data!Z63+Data!Z64+Data!Z65+Data!Z66+Data!Z67+Data!Z68)/(Data!AP57+Data!AP58+Data!AP59+Data!AP60+Data!AP61+Data!AP62+Data!AP63+Data!AP64+Data!AP65+Data!AP66+Data!AP67+Data!AP68)</f>
        <v>0.00738135817242255</v>
      </c>
      <c r="W68" s="18" t="n">
        <f aca="false">(Data!AB57+Data!AB58+Data!AB59+Data!AB60+Data!AB61+Data!AB62+Data!AB63+Data!AB64+Data!AB65+Data!AB66+Data!AB67+Data!AB68)/(Data!AP57+Data!AP58+Data!AP59+Data!AP60+Data!AP61+Data!AP62+Data!AP63+Data!AP64+Data!AP65+Data!AP66+Data!AP67+Data!AP68)</f>
        <v>0.0253614877919167</v>
      </c>
      <c r="X68" s="18" t="n">
        <f aca="false">(Data!AC57+Data!AC58+Data!AC59+Data!AC60+Data!AC61+Data!AC62+Data!AC63+Data!AC64+Data!AC65+Data!AC66+Data!AC67+Data!AC68)/(Data!AP57+Data!AP58+Data!AP59+Data!AP60+Data!AP61+Data!AP62+Data!AP63+Data!AP64+Data!AP65+Data!AP66+Data!AP67+Data!AP68)</f>
        <v>0.00797717928243311</v>
      </c>
      <c r="Y68" s="18" t="n">
        <f aca="false">(Data!AD57+Data!AE57+Data!AF57+Data!AG57+Data!AH57+Data!AD58+Data!AE58+Data!AF58+Data!AG58+Data!AH58+Data!AD59+Data!AE59+Data!AF59+Data!AG59+Data!AH59+Data!AD60+Data!AE60+Data!AF60+Data!AG60+Data!AH60+Data!AD61+Data!AE61+Data!AF61+Data!AG61+Data!AH61+Data!AD62+Data!AE62+Data!AF62+Data!AG62+Data!AH62+Data!AD63+Data!AE63+Data!AF63+Data!AG63+Data!AH63+Data!AD64+Data!AE64+Data!AF64+Data!AG64+Data!AH64+Data!AD65+Data!AE65+Data!AF65+Data!AG65+Data!AH65+Data!AD66+Data!AE66+Data!AF66+Data!AG66+Data!AH66+Data!AD67+Data!AE67+Data!AF67+Data!AG67+Data!AH67+Data!AD68+Data!AE68+Data!AF68+Data!AG68+Data!AH68)/(Data!AP57+Data!AP58+Data!AP59+Data!AP60+Data!AP61+Data!AP62+Data!AP63+Data!AP64+Data!AP65+Data!AP66+Data!AP67+Data!AP68)</f>
        <v>0.0113409406424087</v>
      </c>
      <c r="Z68" s="18" t="n">
        <f aca="false">(Data!AI57+Data!AI58+Data!AI59+Data!AI60+Data!AI61+Data!AI62+Data!AI63+Data!AI64+Data!AI65+Data!AI66+Data!AI67+Data!AI68)/(Data!AP57+Data!AP58+Data!AP59+Data!AP60+Data!AP61+Data!AP62+Data!AP63+Data!AP64+Data!AP65+Data!AP66+Data!AP67+Data!AP68)</f>
        <v>0.00737980421682092</v>
      </c>
      <c r="AA68" s="18" t="n">
        <f aca="false">(Data!AJ57+Data!AJ58+Data!AJ59+Data!AJ60+Data!AJ61+Data!AJ62+Data!AJ63+Data!AJ64+Data!AJ65+Data!AJ66+Data!AJ67+Data!AJ68)/(Data!AP57+Data!AP58+Data!AP59+Data!AP60+Data!AP61+Data!AP62+Data!AP63+Data!AP64+Data!AP65+Data!AP66+Data!AP67+Data!AP68)</f>
        <v>0</v>
      </c>
      <c r="AB68" s="18" t="n">
        <f aca="false">(Data!AK57+Data!AK58+Data!AK59+Data!AK60+Data!AK61+Data!AK62+Data!AK63+Data!AK64+Data!AK65+Data!AK66+Data!AK67+Data!AK68)/(Data!AP57+Data!AP58+Data!AP59+Data!AP60+Data!AP61+Data!AP62+Data!AP63+Data!AP64+Data!AP65+Data!AP66+Data!AP67+Data!AP68)</f>
        <v>0.00350631088716488</v>
      </c>
      <c r="AC68" s="18" t="n">
        <f aca="false">(Data!AL57+Data!AL58+Data!AL59+Data!AL60+Data!AL61+Data!AL62+Data!AL63+Data!AL64+Data!AL65+Data!AL66+Data!AL67+Data!AL68)/(Data!AP57+Data!AP58+Data!AP59+Data!AP60+Data!AP61+Data!AP62+Data!AP63+Data!AP64+Data!AP65+Data!AP66+Data!AP67+Data!AP68)</f>
        <v>0.0111027019825059</v>
      </c>
      <c r="AD68" s="17" t="n">
        <f aca="false">(Data!AM57+Data!AM58+Data!AM59+Data!AM60+Data!AM61+Data!AM62+Data!AM63+Data!AM64+Data!AM65+Data!AM66+Data!AM67+Data!AM68)/(Data!AP57+Data!AP58+Data!AP59+Data!AP60+Data!AP61+Data!AP62+Data!AP63+Data!AP64+Data!AP65+Data!AP66+Data!AP67+Data!AP68)</f>
        <v>-0.0591669631289953</v>
      </c>
      <c r="AE68" s="18" t="n">
        <f aca="false">(Data!AN57+Data!AN58+Data!AN59+Data!AN60+Data!AN61+Data!AN62+Data!AN63+Data!AN64+Data!AN65+Data!AN66+Data!AN67+Data!AN68)/(Data!AP57+Data!AP58+Data!AP59+Data!AP60+Data!AP61+Data!AP62+Data!AP63+Data!AP64+Data!AP65+Data!AP66+Data!AP67+Data!AP68)</f>
        <v>0.0168657707913939</v>
      </c>
      <c r="AF68" s="17" t="n">
        <f aca="false">(Data!AO57+Data!AO58+Data!AO59+Data!AO60+Data!AO61+Data!AO62+Data!AO63+Data!AO64+Data!AO65+Data!AO66+Data!AO67+Data!AO68)/(Data!AP57+Data!AP58+Data!AP59+Data!AP60+Data!AP61+Data!AP62+Data!AP63+Data!AP64+Data!AP65+Data!AP66+Data!AP67+Data!AP68)</f>
        <v>-0.0760326303233491</v>
      </c>
    </row>
    <row r="69" customFormat="false" ht="15" hidden="false" customHeight="false" outlineLevel="0" collapsed="false">
      <c r="B69" s="14" t="str">
        <f aca="false">Data!B69</f>
        <v>2021-03</v>
      </c>
      <c r="C69" s="17" t="n">
        <f aca="false">(Data!D58+Data!E58+Data!F58+Data!G58+Data!H58+Data!I58+Data!J58+Data!K58+Data!L58+Data!M58+Data!N58+Data!O58+Data!P58+Data!Q58+Data!R58+Data!S58+Data!D59+Data!E59+Data!F59+Data!G59+Data!H59+Data!I59+Data!J59+Data!K59+Data!L59+Data!M59+Data!N59+Data!O59+Data!P59+Data!Q59+Data!R59+Data!S59+Data!D60+Data!E60+Data!F60+Data!G60+Data!H60+Data!I60+Data!J60+Data!K60+Data!L60+Data!M60+Data!N60+Data!O60+Data!P60+Data!Q60+Data!R60+Data!S60+Data!D61+Data!E61+Data!F61+Data!G61+Data!H61+Data!I61+Data!J61+Data!K61+Data!L61+Data!M61+Data!N61+Data!O61+Data!P61+Data!Q61+Data!R61+Data!S61+Data!D62+Data!E62+Data!F62+Data!G62+Data!H62+Data!I62+Data!J62+Data!K62+Data!L62+Data!M62+Data!N62+Data!O62+Data!P62+Data!Q62+Data!R62+Data!S62+Data!D63+Data!E63+Data!F63+Data!G63+Data!H63+Data!I63+Data!J63+Data!K63+Data!L63+Data!M63+Data!N63+Data!O63+Data!P63+Data!Q63+Data!R63+Data!S63+Data!D64+Data!E64+Data!F64+Data!G64+Data!H64+Data!I64+Data!J64+Data!K64+Data!L64+Data!M64+Data!N64+Data!O64+Data!P64+Data!Q64+Data!R64+Data!S64+Data!D65+Data!E65+Data!F65+Data!G65+Data!H65+Data!I65+Data!J65+Data!K65+Data!L65+Data!M65+Data!N65+Data!O65+Data!P65+Data!Q65+Data!R65+Data!S65+Data!D66+Data!E66+Data!F66+Data!G66+Data!H66+Data!I66+Data!J66+Data!K66+Data!L66+Data!M66+Data!N66+Data!O66+Data!P66+Data!Q66+Data!R66+Data!S66+Data!D67+Data!E67+Data!F67+Data!G67+Data!H67+Data!I67+Data!J67+Data!K67+Data!L67+Data!M67+Data!N67+Data!O67+Data!P67+Data!Q67+Data!R67+Data!S67+Data!D68+Data!E68+Data!F68+Data!G68+Data!H68+Data!I68+Data!J68+Data!K68+Data!L68+Data!M68+Data!N68+Data!O68+Data!P68+Data!Q68+Data!R68+Data!S68+Data!D69+Data!E69+Data!F69+Data!G69+Data!H69+Data!I69+Data!J69+Data!K69+Data!L69+Data!M69+Data!N69+Data!O69+Data!P69+Data!Q69+Data!R69+Data!S69)/(Data!AP58+Data!AP59+Data!AP60+Data!AP61+Data!AP62+Data!AP63+Data!AP64+Data!AP65+Data!AP66+Data!AP67+Data!AP68+Data!AP69)</f>
        <v>0.180528681761852</v>
      </c>
      <c r="D69" s="18" t="n">
        <f aca="false">(Data!D58+Data!E58+Data!G58+Data!H58+Data!I58+Data!J58+Data!K58+Data!L58+Data!M58+Data!D59+Data!E59+Data!G59+Data!H59+Data!I59+Data!J59+Data!K59+Data!L59+Data!M59+Data!D60+Data!E60+Data!G60+Data!H60+Data!I60+Data!J60+Data!K60+Data!L60+Data!M60+Data!D61+Data!E61+Data!G61+Data!H61+Data!I61+Data!J61+Data!K61+Data!L61+Data!M61+Data!D62+Data!E62+Data!G62+Data!H62+Data!I62+Data!J62+Data!K62+Data!L62+Data!M62+Data!D63+Data!E63+Data!G63+Data!H63+Data!I63+Data!J63+Data!K63+Data!L63+Data!M63+Data!D64+Data!E64+Data!G64+Data!H64+Data!I64+Data!J64+Data!K64+Data!L64+Data!M64+Data!D65+Data!E65+Data!G65+Data!H65+Data!I65+Data!J65+Data!K65+Data!L65+Data!M65+Data!D66+Data!E66+Data!G66+Data!H66+Data!I66+Data!J66+Data!K66+Data!L66+Data!M66+Data!D67+Data!E67+Data!G67+Data!H67+Data!I67+Data!J67+Data!K67+Data!L67+Data!M67+Data!D68+Data!E68+Data!G68+Data!H68+Data!I68+Data!J68+Data!K68+Data!L68+Data!M68+Data!D69+Data!E69+Data!G69+Data!H69+Data!I69+Data!J69+Data!K69+Data!L69+Data!M69)/(Data!AP58+Data!AP59+Data!AP60+Data!AP61+Data!AP62+Data!AP63+Data!AP64+Data!AP65+Data!AP66+Data!AP67+Data!AP68+Data!AP69)</f>
        <v>0.11108132693065</v>
      </c>
      <c r="E69" s="18" t="n">
        <f aca="false">(Data!D58+Data!D59+Data!D60+Data!D61+Data!D62+Data!D63+Data!D64+Data!D65+Data!D66+Data!D67+Data!D68+Data!D69)/(Data!AP58+Data!AP59+Data!AP60+Data!AP61+Data!AP62+Data!AP63+Data!AP64+Data!AP65+Data!AP66+Data!AP67+Data!AP68+Data!AP69)</f>
        <v>0.0313379770637403</v>
      </c>
      <c r="F69" s="18" t="n">
        <f aca="false">(Data!E58+Data!E59+Data!E60+Data!E61+Data!E62+Data!E63+Data!E64+Data!E65+Data!E66+Data!E67+Data!E68+Data!E69)/(Data!AP58+Data!AP59+Data!AP60+Data!AP61+Data!AP62+Data!AP63+Data!AP64+Data!AP65+Data!AP66+Data!AP67+Data!AP68+Data!AP69)</f>
        <v>0.0184547769834228</v>
      </c>
      <c r="G69" s="18" t="n">
        <f aca="false">(Data!K58+Data!K59+Data!K60+Data!K61+Data!K62+Data!K63+Data!K64+Data!K65+Data!K66+Data!K67+Data!K68+Data!K69)/(Data!AP58+Data!AP59+Data!AP60+Data!AP61+Data!AP62+Data!AP63+Data!AP64+Data!AP65+Data!AP66+Data!AP67+Data!AP68+Data!AP69)</f>
        <v>0.0170075736694407</v>
      </c>
      <c r="H69" s="18" t="n">
        <f aca="false">(Data!L58+Data!L59+Data!L60+Data!L61+Data!L62+Data!L63+Data!L64+Data!L65+Data!L66+Data!L67+Data!L68+Data!L69)/(Data!AP58+Data!AP59+Data!AP60+Data!AP61+Data!AP62+Data!AP63+Data!AP64+Data!AP65+Data!AP66+Data!AP67+Data!AP68+Data!AP69)</f>
        <v>0.00620746826346727</v>
      </c>
      <c r="I69" s="18" t="n">
        <f aca="false">(Data!G58+Data!G59+Data!G60+Data!G61+Data!G62+Data!G63+Data!G64+Data!G65+Data!G66+Data!G67+Data!G68+Data!G69)/(Data!AP58+Data!AP59+Data!AP60+Data!AP61+Data!AP62+Data!AP63+Data!AP64+Data!AP65+Data!AP66+Data!AP67+Data!AP68+Data!AP69)</f>
        <v>0.0162515075964195</v>
      </c>
      <c r="J69" s="18" t="n">
        <f aca="false">(Data!H58+Data!I58+Data!J58+Data!M58+Data!H59+Data!I59+Data!J59+Data!M59+Data!H60+Data!I60+Data!J60+Data!M60+Data!H61+Data!I61+Data!J61+Data!M61+Data!H62+Data!I62+Data!J62+Data!M62+Data!H63+Data!I63+Data!J63+Data!M63+Data!H64+Data!I64+Data!J64+Data!M64+Data!H65+Data!I65+Data!J65+Data!M65+Data!H66+Data!I66+Data!J66+Data!M66+Data!H67+Data!I67+Data!J67+Data!M67+Data!H68+Data!I68+Data!J68+Data!M68+Data!H69+Data!I69+Data!J69+Data!M69)/(Data!AP58+Data!AP59+Data!AP60+Data!AP61+Data!AP62+Data!AP63+Data!AP64+Data!AP65+Data!AP66+Data!AP67+Data!AP68+Data!AP69)</f>
        <v>0.0218220233541591</v>
      </c>
      <c r="K69" s="18" t="n">
        <f aca="false">(Data!F58+Data!F59+Data!F60+Data!F61+Data!F62+Data!F63+Data!F64+Data!F65+Data!F66+Data!F67+Data!F68+Data!F69)/(Data!AP58+Data!AP59+Data!AP60+Data!AP61+Data!AP62+Data!AP63+Data!AP64+Data!AP65+Data!AP66+Data!AP67+Data!AP68+Data!AP69)</f>
        <v>0.0545533837653677</v>
      </c>
      <c r="L69" s="18" t="n">
        <f aca="false">(Data!N58+Data!O58+Data!P58+Data!Q58+Data!R58+Data!S58+Data!N59+Data!O59+Data!P59+Data!Q59+Data!R59+Data!S59+Data!N60+Data!O60+Data!P60+Data!Q60+Data!R60+Data!S60+Data!N61+Data!O61+Data!P61+Data!Q61+Data!R61+Data!S61+Data!N62+Data!O62+Data!P62+Data!Q62+Data!R62+Data!S62+Data!N63+Data!O63+Data!P63+Data!Q63+Data!R63+Data!S63+Data!N64+Data!O64+Data!P64+Data!Q64+Data!R64+Data!S64+Data!N65+Data!O65+Data!P65+Data!Q65+Data!R65+Data!S65+Data!N66+Data!O66+Data!P66+Data!Q66+Data!R66+Data!S66+Data!N67+Data!O67+Data!P67+Data!Q67+Data!R67+Data!S67+Data!N68+Data!O68+Data!P68+Data!Q68+Data!R68+Data!S68+Data!N69+Data!O69+Data!P69+Data!Q69+Data!R69+Data!S69)/(Data!AP58+Data!AP59+Data!AP60+Data!AP61+Data!AP62+Data!AP63+Data!AP64+Data!AP65+Data!AP66+Data!AP67+Data!AP68+Data!AP69)</f>
        <v>0.0148939710658344</v>
      </c>
      <c r="M69" s="17" t="n">
        <f aca="false">(Data!T58+Data!U58+Data!V58+Data!W58+Data!X58+Data!Y58+Data!Z58+Data!AA58+Data!AB58+Data!AC58+Data!AD58+Data!AE58+Data!AF58+Data!AG58+Data!AH58+Data!AI58+Data!AJ58+Data!AK58+Data!AL58+Data!T59+Data!U59+Data!V59+Data!W59+Data!X59+Data!Y59+Data!Z59+Data!AA59+Data!AB59+Data!AC59+Data!AD59+Data!AE59+Data!AF59+Data!AG59+Data!AH59+Data!AI59+Data!AJ59+Data!AK59+Data!AL59+Data!T60+Data!U60+Data!V60+Data!W60+Data!X60+Data!Y60+Data!Z60+Data!AA60+Data!AB60+Data!AC60+Data!AD60+Data!AE60+Data!AF60+Data!AG60+Data!AH60+Data!AI60+Data!AJ60+Data!AK60+Data!AL60+Data!T61+Data!U61+Data!V61+Data!W61+Data!X61+Data!Y61+Data!Z61+Data!AA61+Data!AB61+Data!AC61+Data!AD61+Data!AE61+Data!AF61+Data!AG61+Data!AH61+Data!AI61+Data!AJ61+Data!AK61+Data!AL61+Data!T62+Data!U62+Data!V62+Data!W62+Data!X62+Data!Y62+Data!Z62+Data!AA62+Data!AB62+Data!AC62+Data!AD62+Data!AE62+Data!AF62+Data!AG62+Data!AH62+Data!AI62+Data!AJ62+Data!AK62+Data!AL62+Data!T63+Data!U63+Data!V63+Data!W63+Data!X63+Data!Y63+Data!Z63+Data!AA63+Data!AB63+Data!AC63+Data!AD63+Data!AE63+Data!AF63+Data!AG63+Data!AH63+Data!AI63+Data!AJ63+Data!AK63+Data!AL63+Data!T64+Data!U64+Data!V64+Data!W64+Data!X64+Data!Y64+Data!Z64+Data!AA64+Data!AB64+Data!AC64+Data!AD64+Data!AE64+Data!AF64+Data!AG64+Data!AH64+Data!AI64+Data!AJ64+Data!AK64+Data!AL64+Data!T65+Data!U65+Data!V65+Data!W65+Data!X65+Data!Y65+Data!Z65+Data!AA65+Data!AB65+Data!AC65+Data!AD65+Data!AE65+Data!AF65+Data!AG65+Data!AH65+Data!AI65+Data!AJ65+Data!AK65+Data!AL65+Data!T66+Data!U66+Data!V66+Data!W66+Data!X66+Data!Y66+Data!Z66+Data!AA66+Data!AB66+Data!AC66+Data!AD66+Data!AE66+Data!AF66+Data!AG66+Data!AH66+Data!AI66+Data!AJ66+Data!AK66+Data!AL66+Data!T67+Data!U67+Data!V67+Data!W67+Data!X67+Data!Y67+Data!Z67+Data!AA67+Data!AB67+Data!AC67+Data!AD67+Data!AE67+Data!AF67+Data!AG67+Data!AH67+Data!AI67+Data!AJ67+Data!AK67+Data!AL67+Data!T68+Data!U68+Data!V68+Data!W68+Data!X68+Data!Y68+Data!Z68+Data!AA68+Data!AB68+Data!AC68+Data!AD68+Data!AE68+Data!AF68+Data!AG68+Data!AH68+Data!AI68+Data!AJ68+Data!AK68+Data!AL68+Data!T69+Data!U69+Data!V69+Data!W69+Data!X69+Data!Y69+Data!Z69+Data!AA69+Data!AB69+Data!AC69+Data!AD69+Data!AE69+Data!AF69+Data!AG69+Data!AH69+Data!AI69+Data!AJ69+Data!AK69+Data!AL69)/(Data!AP58+Data!AP59+Data!AP60+Data!AP61+Data!AP62+Data!AP63+Data!AP64+Data!AP65+Data!AP66+Data!AP67+Data!AP68+Data!AP69)</f>
        <v>0.235678926634602</v>
      </c>
      <c r="N69" s="18" t="n">
        <f aca="false">(Data!T58+Data!U58+Data!V58+Data!W58+Data!T59+Data!U59+Data!V59+Data!W59+Data!T60+Data!U60+Data!V60+Data!W60+Data!T61+Data!U61+Data!V61+Data!W61+Data!T62+Data!U62+Data!V62+Data!W62+Data!T63+Data!U63+Data!V63+Data!W63+Data!T64+Data!U64+Data!V64+Data!W64+Data!T65+Data!U65+Data!V65+Data!W65+Data!T66+Data!U66+Data!V66+Data!W66+Data!T67+Data!U67+Data!V67+Data!W67+Data!T68+Data!U68+Data!V68+Data!W68+Data!T69+Data!U69+Data!V69+Data!W69)/(Data!AP58+Data!AP59+Data!AP60+Data!AP61+Data!AP62+Data!AP63+Data!AP64+Data!AP65+Data!AP66+Data!AP67+Data!AP68+Data!AP69)</f>
        <v>0.114986872448902</v>
      </c>
      <c r="O69" s="18" t="n">
        <f aca="false">(Data!T58+Data!T59+Data!T60+Data!T61+Data!T62+Data!T63+Data!T64+Data!T65+Data!T66+Data!T67+Data!T68+Data!T69)/(Data!AP58+Data!AP59+Data!AP60+Data!AP61+Data!AP62+Data!AP63+Data!AP64+Data!AP65+Data!AP66+Data!AP67+Data!AP68+Data!AP69)</f>
        <v>0.0836932313649696</v>
      </c>
      <c r="P69" s="18" t="n">
        <f aca="false">(Data!U58+Data!U59+Data!U60+Data!U61+Data!U62+Data!U63+Data!U64+Data!U65+Data!U66+Data!U67+Data!U68+Data!U69)/(Data!AP58+Data!AP59+Data!AP60+Data!AP61+Data!AP62+Data!AP63+Data!AP64+Data!AP65+Data!AP66+Data!AP67+Data!AP68+Data!AP69)</f>
        <v>0.0136188059442574</v>
      </c>
      <c r="Q69" s="18" t="n">
        <f aca="false">(Data!V58+Data!V59+Data!V60+Data!V61+Data!V62+Data!V63+Data!V64+Data!V65+Data!V66+Data!V67+Data!V68+Data!V69)/(Data!AP58+Data!AP59+Data!AP60+Data!AP61+Data!AP62+Data!AP63+Data!AP64+Data!AP65+Data!AP66+Data!AP67+Data!AP68+Data!AP69)</f>
        <v>0.00823259787221303</v>
      </c>
      <c r="R69" s="18" t="n">
        <f aca="false">(Data!W58+Data!W59+Data!W60+Data!W61+Data!W62+Data!W63+Data!W64+Data!W65+Data!W66+Data!W67+Data!W68+Data!W69)/(Data!AP58+Data!AP59+Data!AP60+Data!AP61+Data!AP62+Data!AP63+Data!AP64+Data!AP65+Data!AP66+Data!AP67+Data!AP68+Data!AP69)</f>
        <v>0.00944223726746156</v>
      </c>
      <c r="S69" s="18" t="n">
        <f aca="false">(Data!X58+Data!X59+Data!X60+Data!X61+Data!X62+Data!X63+Data!X64+Data!X65+Data!X66+Data!X67+Data!X68+Data!X69)/(Data!AP58+Data!AP59+Data!AP60+Data!AP61+Data!AP62+Data!AP63+Data!AP64+Data!AP65+Data!AP66+Data!AP67+Data!AP68+Data!AP69)</f>
        <v>0.0292386004401921</v>
      </c>
      <c r="T69" s="18" t="n">
        <f aca="false">(Data!Y58+Data!Z58+Data!AA58+Data!Y59+Data!Z59+Data!AA59+Data!Y60+Data!Z60+Data!AA60+Data!Y61+Data!Z61+Data!AA61+Data!Y62+Data!Z62+Data!AA62+Data!Y63+Data!Z63+Data!AA63+Data!Y64+Data!Z64+Data!AA64+Data!Y65+Data!Z65+Data!AA65+Data!Y66+Data!Z66+Data!AA66+Data!Y67+Data!Z67+Data!AA67+Data!Y68+Data!Z68+Data!AA68+Data!Y69+Data!Z69+Data!AA69)/(Data!AP58+Data!AP59+Data!AP60+Data!AP61+Data!AP62+Data!AP63+Data!AP64+Data!AP65+Data!AP66+Data!AP67+Data!AP68+Data!AP69)</f>
        <v>0.0257918013278251</v>
      </c>
      <c r="U69" s="18" t="n">
        <f aca="false">(Data!Y58+Data!Y59+Data!Y60+Data!Y61+Data!Y62+Data!Y63+Data!Y64+Data!Y65+Data!Y66+Data!Y67+Data!Y68+Data!Y69)/(Data!AP58+Data!AP59+Data!AP60+Data!AP61+Data!AP62+Data!AP63+Data!AP64+Data!AP65+Data!AP66+Data!AP67+Data!AP68+Data!AP69)</f>
        <v>0.0179485111616327</v>
      </c>
      <c r="V69" s="18" t="n">
        <f aca="false">(Data!Z58+Data!Z59+Data!Z60+Data!Z61+Data!Z62+Data!Z63+Data!Z64+Data!Z65+Data!Z66+Data!Z67+Data!Z68+Data!Z69)/(Data!AP58+Data!AP59+Data!AP60+Data!AP61+Data!AP62+Data!AP63+Data!AP64+Data!AP65+Data!AP66+Data!AP67+Data!AP68+Data!AP69)</f>
        <v>0.00739286711926938</v>
      </c>
      <c r="W69" s="18" t="n">
        <f aca="false">(Data!AB58+Data!AB59+Data!AB60+Data!AB61+Data!AB62+Data!AB63+Data!AB64+Data!AB65+Data!AB66+Data!AB67+Data!AB68+Data!AB69)/(Data!AP58+Data!AP59+Data!AP60+Data!AP61+Data!AP62+Data!AP63+Data!AP64+Data!AP65+Data!AP66+Data!AP67+Data!AP68+Data!AP69)</f>
        <v>0.024739708858582</v>
      </c>
      <c r="X69" s="18" t="n">
        <f aca="false">(Data!AC58+Data!AC59+Data!AC60+Data!AC61+Data!AC62+Data!AC63+Data!AC64+Data!AC65+Data!AC66+Data!AC67+Data!AC68+Data!AC69)/(Data!AP58+Data!AP59+Data!AP60+Data!AP61+Data!AP62+Data!AP63+Data!AP64+Data!AP65+Data!AP66+Data!AP67+Data!AP68+Data!AP69)</f>
        <v>0.00823753883032181</v>
      </c>
      <c r="Y69" s="18" t="n">
        <f aca="false">(Data!AD58+Data!AE58+Data!AF58+Data!AG58+Data!AH58+Data!AD59+Data!AE59+Data!AF59+Data!AG59+Data!AH59+Data!AD60+Data!AE60+Data!AF60+Data!AG60+Data!AH60+Data!AD61+Data!AE61+Data!AF61+Data!AG61+Data!AH61+Data!AD62+Data!AE62+Data!AF62+Data!AG62+Data!AH62+Data!AD63+Data!AE63+Data!AF63+Data!AG63+Data!AH63+Data!AD64+Data!AE64+Data!AF64+Data!AG64+Data!AH64+Data!AD65+Data!AE65+Data!AF65+Data!AG65+Data!AH65+Data!AD66+Data!AE66+Data!AF66+Data!AG66+Data!AH66+Data!AD67+Data!AE67+Data!AF67+Data!AG67+Data!AH67+Data!AD68+Data!AE68+Data!AF68+Data!AG68+Data!AH68+Data!AD69+Data!AE69+Data!AF69+Data!AG69+Data!AH69)/(Data!AP58+Data!AP59+Data!AP60+Data!AP61+Data!AP62+Data!AP63+Data!AP64+Data!AP65+Data!AP66+Data!AP67+Data!AP68+Data!AP69)</f>
        <v>0.0109202801186326</v>
      </c>
      <c r="Z69" s="18" t="n">
        <f aca="false">(Data!AI58+Data!AI59+Data!AI60+Data!AI61+Data!AI62+Data!AI63+Data!AI64+Data!AI65+Data!AI66+Data!AI67+Data!AI68+Data!AI69)/(Data!AP58+Data!AP59+Data!AP60+Data!AP61+Data!AP62+Data!AP63+Data!AP64+Data!AP65+Data!AP66+Data!AP67+Data!AP68+Data!AP69)</f>
        <v>0.00683231707986806</v>
      </c>
      <c r="AA69" s="18" t="n">
        <f aca="false">(Data!AJ58+Data!AJ59+Data!AJ60+Data!AJ61+Data!AJ62+Data!AJ63+Data!AJ64+Data!AJ65+Data!AJ66+Data!AJ67+Data!AJ68+Data!AJ69)/(Data!AP58+Data!AP59+Data!AP60+Data!AP61+Data!AP62+Data!AP63+Data!AP64+Data!AP65+Data!AP66+Data!AP67+Data!AP68+Data!AP69)</f>
        <v>0</v>
      </c>
      <c r="AB69" s="18" t="n">
        <f aca="false">(Data!AK58+Data!AK59+Data!AK60+Data!AK61+Data!AK62+Data!AK63+Data!AK64+Data!AK65+Data!AK66+Data!AK67+Data!AK68+Data!AK69)/(Data!AP58+Data!AP59+Data!AP60+Data!AP61+Data!AP62+Data!AP63+Data!AP64+Data!AP65+Data!AP66+Data!AP67+Data!AP68+Data!AP69)</f>
        <v>0.00348616097327384</v>
      </c>
      <c r="AC69" s="18" t="n">
        <f aca="false">(Data!AL58+Data!AL59+Data!AL60+Data!AL61+Data!AL62+Data!AL63+Data!AL64+Data!AL65+Data!AL66+Data!AL67+Data!AL68+Data!AL69)/(Data!AP58+Data!AP59+Data!AP60+Data!AP61+Data!AP62+Data!AP63+Data!AP64+Data!AP65+Data!AP66+Data!AP67+Data!AP68+Data!AP69)</f>
        <v>0.0114456465570043</v>
      </c>
      <c r="AD69" s="17" t="n">
        <f aca="false">(Data!AM58+Data!AM59+Data!AM60+Data!AM61+Data!AM62+Data!AM63+Data!AM64+Data!AM65+Data!AM66+Data!AM67+Data!AM68+Data!AM69)/(Data!AP58+Data!AP59+Data!AP60+Data!AP61+Data!AP62+Data!AP63+Data!AP64+Data!AP65+Data!AP66+Data!AP67+Data!AP68+Data!AP69)</f>
        <v>-0.0551502448727496</v>
      </c>
      <c r="AE69" s="18" t="n">
        <f aca="false">(Data!AN58+Data!AN59+Data!AN60+Data!AN61+Data!AN62+Data!AN63+Data!AN64+Data!AN65+Data!AN66+Data!AN67+Data!AN68+Data!AN69)/(Data!AP58+Data!AP59+Data!AP60+Data!AP61+Data!AP62+Data!AP63+Data!AP64+Data!AP65+Data!AP66+Data!AP67+Data!AP68+Data!AP69)</f>
        <v>0.0162296546340458</v>
      </c>
      <c r="AF69" s="17" t="n">
        <f aca="false">(Data!AO58+Data!AO59+Data!AO60+Data!AO61+Data!AO62+Data!AO63+Data!AO64+Data!AO65+Data!AO66+Data!AO67+Data!AO68+Data!AO69)/(Data!AP58+Data!AP59+Data!AP60+Data!AP61+Data!AP62+Data!AP63+Data!AP64+Data!AP65+Data!AP66+Data!AP67+Data!AP68+Data!AP69)</f>
        <v>-0.0713798000244174</v>
      </c>
    </row>
    <row r="70" customFormat="false" ht="15" hidden="false" customHeight="false" outlineLevel="0" collapsed="false">
      <c r="B70" s="14" t="str">
        <f aca="false">Data!B70</f>
        <v>2021-04</v>
      </c>
      <c r="C70" s="17" t="n">
        <f aca="false">(Data!D59+Data!E59+Data!F59+Data!G59+Data!H59+Data!I59+Data!J59+Data!K59+Data!L59+Data!M59+Data!N59+Data!O59+Data!P59+Data!Q59+Data!R59+Data!S59+Data!D60+Data!E60+Data!F60+Data!G60+Data!H60+Data!I60+Data!J60+Data!K60+Data!L60+Data!M60+Data!N60+Data!O60+Data!P60+Data!Q60+Data!R60+Data!S60+Data!D61+Data!E61+Data!F61+Data!G61+Data!H61+Data!I61+Data!J61+Data!K61+Data!L61+Data!M61+Data!N61+Data!O61+Data!P61+Data!Q61+Data!R61+Data!S61+Data!D62+Data!E62+Data!F62+Data!G62+Data!H62+Data!I62+Data!J62+Data!K62+Data!L62+Data!M62+Data!N62+Data!O62+Data!P62+Data!Q62+Data!R62+Data!S62+Data!D63+Data!E63+Data!F63+Data!G63+Data!H63+Data!I63+Data!J63+Data!K63+Data!L63+Data!M63+Data!N63+Data!O63+Data!P63+Data!Q63+Data!R63+Data!S63+Data!D64+Data!E64+Data!F64+Data!G64+Data!H64+Data!I64+Data!J64+Data!K64+Data!L64+Data!M64+Data!N64+Data!O64+Data!P64+Data!Q64+Data!R64+Data!S64+Data!D65+Data!E65+Data!F65+Data!G65+Data!H65+Data!I65+Data!J65+Data!K65+Data!L65+Data!M65+Data!N65+Data!O65+Data!P65+Data!Q65+Data!R65+Data!S65+Data!D66+Data!E66+Data!F66+Data!G66+Data!H66+Data!I66+Data!J66+Data!K66+Data!L66+Data!M66+Data!N66+Data!O66+Data!P66+Data!Q66+Data!R66+Data!S66+Data!D67+Data!E67+Data!F67+Data!G67+Data!H67+Data!I67+Data!J67+Data!K67+Data!L67+Data!M67+Data!N67+Data!O67+Data!P67+Data!Q67+Data!R67+Data!S67+Data!D68+Data!E68+Data!F68+Data!G68+Data!H68+Data!I68+Data!J68+Data!K68+Data!L68+Data!M68+Data!N68+Data!O68+Data!P68+Data!Q68+Data!R68+Data!S68+Data!D69+Data!E69+Data!F69+Data!G69+Data!H69+Data!I69+Data!J69+Data!K69+Data!L69+Data!M69+Data!N69+Data!O69+Data!P69+Data!Q69+Data!R69+Data!S69+Data!D70+Data!E70+Data!F70+Data!G70+Data!H70+Data!I70+Data!J70+Data!K70+Data!L70+Data!M70+Data!N70+Data!O70+Data!P70+Data!Q70+Data!R70+Data!S70)/(Data!AP59+Data!AP60+Data!AP61+Data!AP62+Data!AP63+Data!AP64+Data!AP65+Data!AP66+Data!AP67+Data!AP68+Data!AP69+Data!AP70)</f>
        <v>0.18031950650858</v>
      </c>
      <c r="D70" s="18" t="n">
        <f aca="false">(Data!D59+Data!E59+Data!G59+Data!H59+Data!I59+Data!J59+Data!K59+Data!L59+Data!M59+Data!D60+Data!E60+Data!G60+Data!H60+Data!I60+Data!J60+Data!K60+Data!L60+Data!M60+Data!D61+Data!E61+Data!G61+Data!H61+Data!I61+Data!J61+Data!K61+Data!L61+Data!M61+Data!D62+Data!E62+Data!G62+Data!H62+Data!I62+Data!J62+Data!K62+Data!L62+Data!M62+Data!D63+Data!E63+Data!G63+Data!H63+Data!I63+Data!J63+Data!K63+Data!L63+Data!M63+Data!D64+Data!E64+Data!G64+Data!H64+Data!I64+Data!J64+Data!K64+Data!L64+Data!M64+Data!D65+Data!E65+Data!G65+Data!H65+Data!I65+Data!J65+Data!K65+Data!L65+Data!M65+Data!D66+Data!E66+Data!G66+Data!H66+Data!I66+Data!J66+Data!K66+Data!L66+Data!M66+Data!D67+Data!E67+Data!G67+Data!H67+Data!I67+Data!J67+Data!K67+Data!L67+Data!M67+Data!D68+Data!E68+Data!G68+Data!H68+Data!I68+Data!J68+Data!K68+Data!L68+Data!M68+Data!D69+Data!E69+Data!G69+Data!H69+Data!I69+Data!J69+Data!K69+Data!L69+Data!M69+Data!D70+Data!E70+Data!G70+Data!H70+Data!I70+Data!J70+Data!K70+Data!L70+Data!M70)/(Data!AP59+Data!AP60+Data!AP61+Data!AP62+Data!AP63+Data!AP64+Data!AP65+Data!AP66+Data!AP67+Data!AP68+Data!AP69+Data!AP70)</f>
        <v>0.111909112670894</v>
      </c>
      <c r="E70" s="18" t="n">
        <f aca="false">(Data!D59+Data!D60+Data!D61+Data!D62+Data!D63+Data!D64+Data!D65+Data!D66+Data!D67+Data!D68+Data!D69+Data!D70)/(Data!AP59+Data!AP60+Data!AP61+Data!AP62+Data!AP63+Data!AP64+Data!AP65+Data!AP66+Data!AP67+Data!AP68+Data!AP69+Data!AP70)</f>
        <v>0.0315467601340515</v>
      </c>
      <c r="F70" s="18" t="n">
        <f aca="false">(Data!E59+Data!E60+Data!E61+Data!E62+Data!E63+Data!E64+Data!E65+Data!E66+Data!E67+Data!E68+Data!E69+Data!E70)/(Data!AP59+Data!AP60+Data!AP61+Data!AP62+Data!AP63+Data!AP64+Data!AP65+Data!AP66+Data!AP67+Data!AP68+Data!AP69+Data!AP70)</f>
        <v>0.0183099010593413</v>
      </c>
      <c r="G70" s="18" t="n">
        <f aca="false">(Data!K59+Data!K60+Data!K61+Data!K62+Data!K63+Data!K64+Data!K65+Data!K66+Data!K67+Data!K68+Data!K69+Data!K70)/(Data!AP59+Data!AP60+Data!AP61+Data!AP62+Data!AP63+Data!AP64+Data!AP65+Data!AP66+Data!AP67+Data!AP68+Data!AP69+Data!AP70)</f>
        <v>0.0176938641267716</v>
      </c>
      <c r="H70" s="18" t="n">
        <f aca="false">(Data!L59+Data!L60+Data!L61+Data!L62+Data!L63+Data!L64+Data!L65+Data!L66+Data!L67+Data!L68+Data!L69+Data!L70)/(Data!AP59+Data!AP60+Data!AP61+Data!AP62+Data!AP63+Data!AP64+Data!AP65+Data!AP66+Data!AP67+Data!AP68+Data!AP69+Data!AP70)</f>
        <v>0.00630169045438973</v>
      </c>
      <c r="I70" s="18" t="n">
        <f aca="false">(Data!G59+Data!G60+Data!G61+Data!G62+Data!G63+Data!G64+Data!G65+Data!G66+Data!G67+Data!G68+Data!G69+Data!G70)/(Data!AP59+Data!AP60+Data!AP61+Data!AP62+Data!AP63+Data!AP64+Data!AP65+Data!AP66+Data!AP67+Data!AP68+Data!AP69+Data!AP70)</f>
        <v>0.0160444262611498</v>
      </c>
      <c r="J70" s="18" t="n">
        <f aca="false">(Data!H59+Data!I59+Data!J59+Data!M59+Data!H60+Data!I60+Data!J60+Data!M60+Data!H61+Data!I61+Data!J61+Data!M61+Data!H62+Data!I62+Data!J62+Data!M62+Data!H63+Data!I63+Data!J63+Data!M63+Data!H64+Data!I64+Data!J64+Data!M64+Data!H65+Data!I65+Data!J65+Data!M65+Data!H66+Data!I66+Data!J66+Data!M66+Data!H67+Data!I67+Data!J67+Data!M67+Data!H68+Data!I68+Data!J68+Data!M68+Data!H69+Data!I69+Data!J69+Data!M69+Data!H70+Data!I70+Data!J70+Data!M70)/(Data!AP59+Data!AP60+Data!AP61+Data!AP62+Data!AP63+Data!AP64+Data!AP65+Data!AP66+Data!AP67+Data!AP68+Data!AP69+Data!AP70)</f>
        <v>0.02201247063519</v>
      </c>
      <c r="K70" s="18" t="n">
        <f aca="false">(Data!F59+Data!F60+Data!F61+Data!F62+Data!F63+Data!F64+Data!F65+Data!F66+Data!F67+Data!F68+Data!F69+Data!F70)/(Data!AP59+Data!AP60+Data!AP61+Data!AP62+Data!AP63+Data!AP64+Data!AP65+Data!AP66+Data!AP67+Data!AP68+Data!AP69+Data!AP70)</f>
        <v>0.0538271972500873</v>
      </c>
      <c r="L70" s="18" t="n">
        <f aca="false">(Data!N59+Data!O59+Data!P59+Data!Q59+Data!R59+Data!S59+Data!N60+Data!O60+Data!P60+Data!Q60+Data!R60+Data!S60+Data!N61+Data!O61+Data!P61+Data!Q61+Data!R61+Data!S61+Data!N62+Data!O62+Data!P62+Data!Q62+Data!R62+Data!S62+Data!N63+Data!O63+Data!P63+Data!Q63+Data!R63+Data!S63+Data!N64+Data!O64+Data!P64+Data!Q64+Data!R64+Data!S64+Data!N65+Data!O65+Data!P65+Data!Q65+Data!R65+Data!S65+Data!N66+Data!O66+Data!P66+Data!Q66+Data!R66+Data!S66+Data!N67+Data!O67+Data!P67+Data!Q67+Data!R67+Data!S67+Data!N68+Data!O68+Data!P68+Data!Q68+Data!R68+Data!S68+Data!N69+Data!O69+Data!P69+Data!Q69+Data!R69+Data!S69+Data!N70+Data!O70+Data!P70+Data!Q70+Data!R70+Data!S70)/(Data!AP59+Data!AP60+Data!AP61+Data!AP62+Data!AP63+Data!AP64+Data!AP65+Data!AP66+Data!AP67+Data!AP68+Data!AP69+Data!AP70)</f>
        <v>0.0145831965875985</v>
      </c>
      <c r="M70" s="17" t="n">
        <f aca="false">(Data!T59+Data!U59+Data!V59+Data!W59+Data!X59+Data!Y59+Data!Z59+Data!AA59+Data!AB59+Data!AC59+Data!AD59+Data!AE59+Data!AF59+Data!AG59+Data!AH59+Data!AI59+Data!AJ59+Data!AK59+Data!AL59+Data!T60+Data!U60+Data!V60+Data!W60+Data!X60+Data!Y60+Data!Z60+Data!AA60+Data!AB60+Data!AC60+Data!AD60+Data!AE60+Data!AF60+Data!AG60+Data!AH60+Data!AI60+Data!AJ60+Data!AK60+Data!AL60+Data!T61+Data!U61+Data!V61+Data!W61+Data!X61+Data!Y61+Data!Z61+Data!AA61+Data!AB61+Data!AC61+Data!AD61+Data!AE61+Data!AF61+Data!AG61+Data!AH61+Data!AI61+Data!AJ61+Data!AK61+Data!AL61+Data!T62+Data!U62+Data!V62+Data!W62+Data!X62+Data!Y62+Data!Z62+Data!AA62+Data!AB62+Data!AC62+Data!AD62+Data!AE62+Data!AF62+Data!AG62+Data!AH62+Data!AI62+Data!AJ62+Data!AK62+Data!AL62+Data!T63+Data!U63+Data!V63+Data!W63+Data!X63+Data!Y63+Data!Z63+Data!AA63+Data!AB63+Data!AC63+Data!AD63+Data!AE63+Data!AF63+Data!AG63+Data!AH63+Data!AI63+Data!AJ63+Data!AK63+Data!AL63+Data!T64+Data!U64+Data!V64+Data!W64+Data!X64+Data!Y64+Data!Z64+Data!AA64+Data!AB64+Data!AC64+Data!AD64+Data!AE64+Data!AF64+Data!AG64+Data!AH64+Data!AI64+Data!AJ64+Data!AK64+Data!AL64+Data!T65+Data!U65+Data!V65+Data!W65+Data!X65+Data!Y65+Data!Z65+Data!AA65+Data!AB65+Data!AC65+Data!AD65+Data!AE65+Data!AF65+Data!AG65+Data!AH65+Data!AI65+Data!AJ65+Data!AK65+Data!AL65+Data!T66+Data!U66+Data!V66+Data!W66+Data!X66+Data!Y66+Data!Z66+Data!AA66+Data!AB66+Data!AC66+Data!AD66+Data!AE66+Data!AF66+Data!AG66+Data!AH66+Data!AI66+Data!AJ66+Data!AK66+Data!AL66+Data!T67+Data!U67+Data!V67+Data!W67+Data!X67+Data!Y67+Data!Z67+Data!AA67+Data!AB67+Data!AC67+Data!AD67+Data!AE67+Data!AF67+Data!AG67+Data!AH67+Data!AI67+Data!AJ67+Data!AK67+Data!AL67+Data!T68+Data!U68+Data!V68+Data!W68+Data!X68+Data!Y68+Data!Z68+Data!AA68+Data!AB68+Data!AC68+Data!AD68+Data!AE68+Data!AF68+Data!AG68+Data!AH68+Data!AI68+Data!AJ68+Data!AK68+Data!AL68+Data!T69+Data!U69+Data!V69+Data!W69+Data!X69+Data!Y69+Data!Z69+Data!AA69+Data!AB69+Data!AC69+Data!AD69+Data!AE69+Data!AF69+Data!AG69+Data!AH69+Data!AI69+Data!AJ69+Data!AK69+Data!AL69+Data!T70+Data!U70+Data!V70+Data!W70+Data!X70+Data!Y70+Data!Z70+Data!AA70+Data!AB70+Data!AC70+Data!AD70+Data!AE70+Data!AF70+Data!AG70+Data!AH70+Data!AI70+Data!AJ70+Data!AK70+Data!AL70)/(Data!AP59+Data!AP60+Data!AP61+Data!AP62+Data!AP63+Data!AP64+Data!AP65+Data!AP66+Data!AP67+Data!AP68+Data!AP69+Data!AP70)</f>
        <v>0.225752788090805</v>
      </c>
      <c r="N70" s="18" t="n">
        <f aca="false">(Data!T59+Data!U59+Data!V59+Data!W59+Data!T60+Data!U60+Data!V60+Data!W60+Data!T61+Data!U61+Data!V61+Data!W61+Data!T62+Data!U62+Data!V62+Data!W62+Data!T63+Data!U63+Data!V63+Data!W63+Data!T64+Data!U64+Data!V64+Data!W64+Data!T65+Data!U65+Data!V65+Data!W65+Data!T66+Data!U66+Data!V66+Data!W66+Data!T67+Data!U67+Data!V67+Data!W67+Data!T68+Data!U68+Data!V68+Data!W68+Data!T69+Data!U69+Data!V69+Data!W69+Data!T70+Data!U70+Data!V70+Data!W70)/(Data!AP59+Data!AP60+Data!AP61+Data!AP62+Data!AP63+Data!AP64+Data!AP65+Data!AP66+Data!AP67+Data!AP68+Data!AP69+Data!AP70)</f>
        <v>0.111032085750823</v>
      </c>
      <c r="O70" s="18" t="n">
        <f aca="false">(Data!T59+Data!T60+Data!T61+Data!T62+Data!T63+Data!T64+Data!T65+Data!T66+Data!T67+Data!T68+Data!T69+Data!T70)/(Data!AP59+Data!AP60+Data!AP61+Data!AP62+Data!AP63+Data!AP64+Data!AP65+Data!AP66+Data!AP67+Data!AP68+Data!AP69+Data!AP70)</f>
        <v>0.0810090923252567</v>
      </c>
      <c r="P70" s="18" t="n">
        <f aca="false">(Data!U59+Data!U60+Data!U61+Data!U62+Data!U63+Data!U64+Data!U65+Data!U66+Data!U67+Data!U68+Data!U69+Data!U70)/(Data!AP59+Data!AP60+Data!AP61+Data!AP62+Data!AP63+Data!AP64+Data!AP65+Data!AP66+Data!AP67+Data!AP68+Data!AP69+Data!AP70)</f>
        <v>0.0131604633300243</v>
      </c>
      <c r="Q70" s="18" t="n">
        <f aca="false">(Data!V59+Data!V60+Data!V61+Data!V62+Data!V63+Data!V64+Data!V65+Data!V66+Data!V67+Data!V68+Data!V69+Data!V70)/(Data!AP59+Data!AP60+Data!AP61+Data!AP62+Data!AP63+Data!AP64+Data!AP65+Data!AP66+Data!AP67+Data!AP68+Data!AP69+Data!AP70)</f>
        <v>0.00791498882746171</v>
      </c>
      <c r="R70" s="18" t="n">
        <f aca="false">(Data!W59+Data!W60+Data!W61+Data!W62+Data!W63+Data!W64+Data!W65+Data!W66+Data!W67+Data!W68+Data!W69+Data!W70)/(Data!AP59+Data!AP60+Data!AP61+Data!AP62+Data!AP63+Data!AP64+Data!AP65+Data!AP66+Data!AP67+Data!AP68+Data!AP69+Data!AP70)</f>
        <v>0.0089475412680801</v>
      </c>
      <c r="S70" s="18" t="n">
        <f aca="false">(Data!X59+Data!X60+Data!X61+Data!X62+Data!X63+Data!X64+Data!X65+Data!X66+Data!X67+Data!X68+Data!X69+Data!X70)/(Data!AP59+Data!AP60+Data!AP61+Data!AP62+Data!AP63+Data!AP64+Data!AP65+Data!AP66+Data!AP67+Data!AP68+Data!AP69+Data!AP70)</f>
        <v>0.0262069144174652</v>
      </c>
      <c r="T70" s="18" t="n">
        <f aca="false">(Data!Y59+Data!Z59+Data!AA59+Data!Y60+Data!Z60+Data!AA60+Data!Y61+Data!Z61+Data!AA61+Data!Y62+Data!Z62+Data!AA62+Data!Y63+Data!Z63+Data!AA63+Data!Y64+Data!Z64+Data!AA64+Data!Y65+Data!Z65+Data!AA65+Data!Y66+Data!Z66+Data!AA66+Data!Y67+Data!Z67+Data!AA67+Data!Y68+Data!Z68+Data!AA68+Data!Y69+Data!Z69+Data!AA69+Data!Y70+Data!Z70+Data!AA70)/(Data!AP59+Data!AP60+Data!AP61+Data!AP62+Data!AP63+Data!AP64+Data!AP65+Data!AP66+Data!AP67+Data!AP68+Data!AP69+Data!AP70)</f>
        <v>0.024676108364344</v>
      </c>
      <c r="U70" s="18" t="n">
        <f aca="false">(Data!Y59+Data!Y60+Data!Y61+Data!Y62+Data!Y63+Data!Y64+Data!Y65+Data!Y66+Data!Y67+Data!Y68+Data!Y69+Data!Y70)/(Data!AP59+Data!AP60+Data!AP61+Data!AP62+Data!AP63+Data!AP64+Data!AP65+Data!AP66+Data!AP67+Data!AP68+Data!AP69+Data!AP70)</f>
        <v>0.0172144030503948</v>
      </c>
      <c r="V70" s="18" t="n">
        <f aca="false">(Data!Z59+Data!Z60+Data!Z61+Data!Z62+Data!Z63+Data!Z64+Data!Z65+Data!Z66+Data!Z67+Data!Z68+Data!Z69+Data!Z70)/(Data!AP59+Data!AP60+Data!AP61+Data!AP62+Data!AP63+Data!AP64+Data!AP65+Data!AP66+Data!AP67+Data!AP68+Data!AP69+Data!AP70)</f>
        <v>0.00700851607737383</v>
      </c>
      <c r="W70" s="18" t="n">
        <f aca="false">(Data!AB59+Data!AB60+Data!AB61+Data!AB62+Data!AB63+Data!AB64+Data!AB65+Data!AB66+Data!AB67+Data!AB68+Data!AB69+Data!AB70)/(Data!AP59+Data!AP60+Data!AP61+Data!AP62+Data!AP63+Data!AP64+Data!AP65+Data!AP66+Data!AP67+Data!AP68+Data!AP69+Data!AP70)</f>
        <v>0.0237661787932296</v>
      </c>
      <c r="X70" s="18" t="n">
        <f aca="false">(Data!AC59+Data!AC60+Data!AC61+Data!AC62+Data!AC63+Data!AC64+Data!AC65+Data!AC66+Data!AC67+Data!AC68+Data!AC69+Data!AC70)/(Data!AP59+Data!AP60+Data!AP61+Data!AP62+Data!AP63+Data!AP64+Data!AP65+Data!AP66+Data!AP67+Data!AP68+Data!AP69+Data!AP70)</f>
        <v>0.00809640908006207</v>
      </c>
      <c r="Y70" s="18" t="n">
        <f aca="false">(Data!AD59+Data!AE59+Data!AF59+Data!AG59+Data!AH59+Data!AD60+Data!AE60+Data!AF60+Data!AG60+Data!AH60+Data!AD61+Data!AE61+Data!AF61+Data!AG61+Data!AH61+Data!AD62+Data!AE62+Data!AF62+Data!AG62+Data!AH62+Data!AD63+Data!AE63+Data!AF63+Data!AG63+Data!AH63+Data!AD64+Data!AE64+Data!AF64+Data!AG64+Data!AH64+Data!AD65+Data!AE65+Data!AF65+Data!AG65+Data!AH65+Data!AD66+Data!AE66+Data!AF66+Data!AG66+Data!AH66+Data!AD67+Data!AE67+Data!AF67+Data!AG67+Data!AH67+Data!AD68+Data!AE68+Data!AF68+Data!AG68+Data!AH68+Data!AD69+Data!AE69+Data!AF69+Data!AG69+Data!AH69+Data!AD70+Data!AE70+Data!AF70+Data!AG70+Data!AH70)/(Data!AP59+Data!AP60+Data!AP61+Data!AP62+Data!AP63+Data!AP64+Data!AP65+Data!AP66+Data!AP67+Data!AP68+Data!AP69+Data!AP70)</f>
        <v>0.00947728337756983</v>
      </c>
      <c r="Z70" s="18" t="n">
        <f aca="false">(Data!AI59+Data!AI60+Data!AI61+Data!AI62+Data!AI63+Data!AI64+Data!AI65+Data!AI66+Data!AI67+Data!AI68+Data!AI69+Data!AI70)/(Data!AP59+Data!AP60+Data!AP61+Data!AP62+Data!AP63+Data!AP64+Data!AP65+Data!AP66+Data!AP67+Data!AP68+Data!AP69+Data!AP70)</f>
        <v>0.00701715812994011</v>
      </c>
      <c r="AA70" s="18" t="n">
        <f aca="false">(Data!AJ59+Data!AJ60+Data!AJ61+Data!AJ62+Data!AJ63+Data!AJ64+Data!AJ65+Data!AJ66+Data!AJ67+Data!AJ68+Data!AJ69+Data!AJ70)/(Data!AP59+Data!AP60+Data!AP61+Data!AP62+Data!AP63+Data!AP64+Data!AP65+Data!AP66+Data!AP67+Data!AP68+Data!AP69+Data!AP70)</f>
        <v>0</v>
      </c>
      <c r="AB70" s="18" t="n">
        <f aca="false">(Data!AK59+Data!AK60+Data!AK61+Data!AK62+Data!AK63+Data!AK64+Data!AK65+Data!AK66+Data!AK67+Data!AK68+Data!AK69+Data!AK70)/(Data!AP59+Data!AP60+Data!AP61+Data!AP62+Data!AP63+Data!AP64+Data!AP65+Data!AP66+Data!AP67+Data!AP68+Data!AP69+Data!AP70)</f>
        <v>0.00387519064765423</v>
      </c>
      <c r="AC70" s="18" t="n">
        <f aca="false">(Data!AL59+Data!AL60+Data!AL61+Data!AL62+Data!AL63+Data!AL64+Data!AL65+Data!AL66+Data!AL67+Data!AL68+Data!AL69+Data!AL70)/(Data!AP59+Data!AP60+Data!AP61+Data!AP62+Data!AP63+Data!AP64+Data!AP65+Data!AP66+Data!AP67+Data!AP68+Data!AP69+Data!AP70)</f>
        <v>0.0116054595297176</v>
      </c>
      <c r="AD70" s="17" t="n">
        <f aca="false">(Data!AM59+Data!AM60+Data!AM61+Data!AM62+Data!AM63+Data!AM64+Data!AM65+Data!AM66+Data!AM67+Data!AM68+Data!AM69+Data!AM70)/(Data!AP59+Data!AP60+Data!AP61+Data!AP62+Data!AP63+Data!AP64+Data!AP65+Data!AP66+Data!AP67+Data!AP68+Data!AP69+Data!AP70)</f>
        <v>-0.0454332815822256</v>
      </c>
      <c r="AE70" s="18" t="n">
        <f aca="false">(Data!AN59+Data!AN60+Data!AN61+Data!AN62+Data!AN63+Data!AN64+Data!AN65+Data!AN66+Data!AN67+Data!AN68+Data!AN69+Data!AN70)/(Data!AP59+Data!AP60+Data!AP61+Data!AP62+Data!AP63+Data!AP64+Data!AP65+Data!AP66+Data!AP67+Data!AP68+Data!AP69+Data!AP70)</f>
        <v>0.0156431207656177</v>
      </c>
      <c r="AF70" s="17" t="n">
        <f aca="false">(Data!AO59+Data!AO60+Data!AO61+Data!AO62+Data!AO63+Data!AO64+Data!AO65+Data!AO66+Data!AO67+Data!AO68+Data!AO69+Data!AO70)/(Data!AP59+Data!AP60+Data!AP61+Data!AP62+Data!AP63+Data!AP64+Data!AP65+Data!AP66+Data!AP67+Data!AP68+Data!AP69+Data!AP70)</f>
        <v>-0.0610763394965519</v>
      </c>
    </row>
    <row r="71" customFormat="false" ht="15" hidden="false" customHeight="false" outlineLevel="0" collapsed="false">
      <c r="B71" s="14" t="str">
        <f aca="false">Data!B71</f>
        <v>2021-05</v>
      </c>
      <c r="C71" s="17" t="n">
        <f aca="false">(Data!D60+Data!E60+Data!F60+Data!G60+Data!H60+Data!I60+Data!J60+Data!K60+Data!L60+Data!M60+Data!N60+Data!O60+Data!P60+Data!Q60+Data!R60+Data!S60+Data!D61+Data!E61+Data!F61+Data!G61+Data!H61+Data!I61+Data!J61+Data!K61+Data!L61+Data!M61+Data!N61+Data!O61+Data!P61+Data!Q61+Data!R61+Data!S61+Data!D62+Data!E62+Data!F62+Data!G62+Data!H62+Data!I62+Data!J62+Data!K62+Data!L62+Data!M62+Data!N62+Data!O62+Data!P62+Data!Q62+Data!R62+Data!S62+Data!D63+Data!E63+Data!F63+Data!G63+Data!H63+Data!I63+Data!J63+Data!K63+Data!L63+Data!M63+Data!N63+Data!O63+Data!P63+Data!Q63+Data!R63+Data!S63+Data!D64+Data!E64+Data!F64+Data!G64+Data!H64+Data!I64+Data!J64+Data!K64+Data!L64+Data!M64+Data!N64+Data!O64+Data!P64+Data!Q64+Data!R64+Data!S64+Data!D65+Data!E65+Data!F65+Data!G65+Data!H65+Data!I65+Data!J65+Data!K65+Data!L65+Data!M65+Data!N65+Data!O65+Data!P65+Data!Q65+Data!R65+Data!S65+Data!D66+Data!E66+Data!F66+Data!G66+Data!H66+Data!I66+Data!J66+Data!K66+Data!L66+Data!M66+Data!N66+Data!O66+Data!P66+Data!Q66+Data!R66+Data!S66+Data!D67+Data!E67+Data!F67+Data!G67+Data!H67+Data!I67+Data!J67+Data!K67+Data!L67+Data!M67+Data!N67+Data!O67+Data!P67+Data!Q67+Data!R67+Data!S67+Data!D68+Data!E68+Data!F68+Data!G68+Data!H68+Data!I68+Data!J68+Data!K68+Data!L68+Data!M68+Data!N68+Data!O68+Data!P68+Data!Q68+Data!R68+Data!S68+Data!D69+Data!E69+Data!F69+Data!G69+Data!H69+Data!I69+Data!J69+Data!K69+Data!L69+Data!M69+Data!N69+Data!O69+Data!P69+Data!Q69+Data!R69+Data!S69+Data!D70+Data!E70+Data!F70+Data!G70+Data!H70+Data!I70+Data!J70+Data!K70+Data!L70+Data!M70+Data!N70+Data!O70+Data!P70+Data!Q70+Data!R70+Data!S70+Data!D71+Data!E71+Data!F71+Data!G71+Data!H71+Data!I71+Data!J71+Data!K71+Data!L71+Data!M71+Data!N71+Data!O71+Data!P71+Data!Q71+Data!R71+Data!S71)/(Data!AP60+Data!AP61+Data!AP62+Data!AP63+Data!AP64+Data!AP65+Data!AP66+Data!AP67+Data!AP68+Data!AP69+Data!AP70+Data!AP71)</f>
        <v>0.181055689183014</v>
      </c>
      <c r="D71" s="18" t="n">
        <f aca="false">(Data!D60+Data!E60+Data!G60+Data!H60+Data!I60+Data!J60+Data!K60+Data!L60+Data!M60+Data!D61+Data!E61+Data!G61+Data!H61+Data!I61+Data!J61+Data!K61+Data!L61+Data!M61+Data!D62+Data!E62+Data!G62+Data!H62+Data!I62+Data!J62+Data!K62+Data!L62+Data!M62+Data!D63+Data!E63+Data!G63+Data!H63+Data!I63+Data!J63+Data!K63+Data!L63+Data!M63+Data!D64+Data!E64+Data!G64+Data!H64+Data!I64+Data!J64+Data!K64+Data!L64+Data!M64+Data!D65+Data!E65+Data!G65+Data!H65+Data!I65+Data!J65+Data!K65+Data!L65+Data!M65+Data!D66+Data!E66+Data!G66+Data!H66+Data!I66+Data!J66+Data!K66+Data!L66+Data!M66+Data!D67+Data!E67+Data!G67+Data!H67+Data!I67+Data!J67+Data!K67+Data!L67+Data!M67+Data!D68+Data!E68+Data!G68+Data!H68+Data!I68+Data!J68+Data!K68+Data!L68+Data!M68+Data!D69+Data!E69+Data!G69+Data!H69+Data!I69+Data!J69+Data!K69+Data!L69+Data!M69+Data!D70+Data!E70+Data!G70+Data!H70+Data!I70+Data!J70+Data!K70+Data!L70+Data!M70+Data!D71+Data!E71+Data!G71+Data!H71+Data!I71+Data!J71+Data!K71+Data!L71+Data!M71)/(Data!AP60+Data!AP61+Data!AP62+Data!AP63+Data!AP64+Data!AP65+Data!AP66+Data!AP67+Data!AP68+Data!AP69+Data!AP70+Data!AP71)</f>
        <v>0.111132402617336</v>
      </c>
      <c r="E71" s="18" t="n">
        <f aca="false">(Data!D60+Data!D61+Data!D62+Data!D63+Data!D64+Data!D65+Data!D66+Data!D67+Data!D68+Data!D69+Data!D70+Data!D71)/(Data!AP60+Data!AP61+Data!AP62+Data!AP63+Data!AP64+Data!AP65+Data!AP66+Data!AP67+Data!AP68+Data!AP69+Data!AP70+Data!AP71)</f>
        <v>0.0311931585274698</v>
      </c>
      <c r="F71" s="18" t="n">
        <f aca="false">(Data!E60+Data!E61+Data!E62+Data!E63+Data!E64+Data!E65+Data!E66+Data!E67+Data!E68+Data!E69+Data!E70+Data!E71)/(Data!AP60+Data!AP61+Data!AP62+Data!AP63+Data!AP64+Data!AP65+Data!AP66+Data!AP67+Data!AP68+Data!AP69+Data!AP70+Data!AP71)</f>
        <v>0.0180742510265386</v>
      </c>
      <c r="G71" s="18" t="n">
        <f aca="false">(Data!K60+Data!K61+Data!K62+Data!K63+Data!K64+Data!K65+Data!K66+Data!K67+Data!K68+Data!K69+Data!K70+Data!K71)/(Data!AP60+Data!AP61+Data!AP62+Data!AP63+Data!AP64+Data!AP65+Data!AP66+Data!AP67+Data!AP68+Data!AP69+Data!AP70+Data!AP71)</f>
        <v>0.0185806673703909</v>
      </c>
      <c r="H71" s="18" t="n">
        <f aca="false">(Data!L60+Data!L61+Data!L62+Data!L63+Data!L64+Data!L65+Data!L66+Data!L67+Data!L68+Data!L69+Data!L70+Data!L71)/(Data!AP60+Data!AP61+Data!AP62+Data!AP63+Data!AP64+Data!AP65+Data!AP66+Data!AP67+Data!AP68+Data!AP69+Data!AP70+Data!AP71)</f>
        <v>0.00621412282268828</v>
      </c>
      <c r="I71" s="18" t="n">
        <f aca="false">(Data!G60+Data!G61+Data!G62+Data!G63+Data!G64+Data!G65+Data!G66+Data!G67+Data!G68+Data!G69+Data!G70+Data!G71)/(Data!AP60+Data!AP61+Data!AP62+Data!AP63+Data!AP64+Data!AP65+Data!AP66+Data!AP67+Data!AP68+Data!AP69+Data!AP70+Data!AP71)</f>
        <v>0.0157322713948851</v>
      </c>
      <c r="J71" s="18" t="n">
        <f aca="false">(Data!H60+Data!I60+Data!J60+Data!M60+Data!H61+Data!I61+Data!J61+Data!M61+Data!H62+Data!I62+Data!J62+Data!M62+Data!H63+Data!I63+Data!J63+Data!M63+Data!H64+Data!I64+Data!J64+Data!M64+Data!H65+Data!I65+Data!J65+Data!M65+Data!H66+Data!I66+Data!J66+Data!M66+Data!H67+Data!I67+Data!J67+Data!M67+Data!H68+Data!I68+Data!J68+Data!M68+Data!H69+Data!I69+Data!J69+Data!M69+Data!H70+Data!I70+Data!J70+Data!M70+Data!H71+Data!I71+Data!J71+Data!M71)/(Data!AP60+Data!AP61+Data!AP62+Data!AP63+Data!AP64+Data!AP65+Data!AP66+Data!AP67+Data!AP68+Data!AP69+Data!AP70+Data!AP71)</f>
        <v>0.0213379314753629</v>
      </c>
      <c r="K71" s="18" t="n">
        <f aca="false">(Data!F60+Data!F61+Data!F62+Data!F63+Data!F64+Data!F65+Data!F66+Data!F67+Data!F68+Data!F69+Data!F70+Data!F71)/(Data!AP60+Data!AP61+Data!AP62+Data!AP63+Data!AP64+Data!AP65+Data!AP66+Data!AP67+Data!AP68+Data!AP69+Data!AP70+Data!AP71)</f>
        <v>0.0528074139023869</v>
      </c>
      <c r="L71" s="18" t="n">
        <f aca="false">(Data!N60+Data!O60+Data!P60+Data!Q60+Data!R60+Data!S60+Data!N61+Data!O61+Data!P61+Data!Q61+Data!R61+Data!S61+Data!N62+Data!O62+Data!P62+Data!Q62+Data!R62+Data!S62+Data!N63+Data!O63+Data!P63+Data!Q63+Data!R63+Data!S63+Data!N64+Data!O64+Data!P64+Data!Q64+Data!R64+Data!S64+Data!N65+Data!O65+Data!P65+Data!Q65+Data!R65+Data!S65+Data!N66+Data!O66+Data!P66+Data!Q66+Data!R66+Data!S66+Data!N67+Data!O67+Data!P67+Data!Q67+Data!R67+Data!S67+Data!N68+Data!O68+Data!P68+Data!Q68+Data!R68+Data!S68+Data!N69+Data!O69+Data!P69+Data!Q69+Data!R69+Data!S69+Data!N70+Data!O70+Data!P70+Data!Q70+Data!R70+Data!S70+Data!N71+Data!O71+Data!P71+Data!Q71+Data!R71+Data!S71)/(Data!AP60+Data!AP61+Data!AP62+Data!AP63+Data!AP64+Data!AP65+Data!AP66+Data!AP67+Data!AP68+Data!AP69+Data!AP70+Data!AP71)</f>
        <v>0.0171158726632911</v>
      </c>
      <c r="M71" s="17" t="n">
        <f aca="false">(Data!T60+Data!U60+Data!V60+Data!W60+Data!X60+Data!Y60+Data!Z60+Data!AA60+Data!AB60+Data!AC60+Data!AD60+Data!AE60+Data!AF60+Data!AG60+Data!AH60+Data!AI60+Data!AJ60+Data!AK60+Data!AL60+Data!T61+Data!U61+Data!V61+Data!W61+Data!X61+Data!Y61+Data!Z61+Data!AA61+Data!AB61+Data!AC61+Data!AD61+Data!AE61+Data!AF61+Data!AG61+Data!AH61+Data!AI61+Data!AJ61+Data!AK61+Data!AL61+Data!T62+Data!U62+Data!V62+Data!W62+Data!X62+Data!Y62+Data!Z62+Data!AA62+Data!AB62+Data!AC62+Data!AD62+Data!AE62+Data!AF62+Data!AG62+Data!AH62+Data!AI62+Data!AJ62+Data!AK62+Data!AL62+Data!T63+Data!U63+Data!V63+Data!W63+Data!X63+Data!Y63+Data!Z63+Data!AA63+Data!AB63+Data!AC63+Data!AD63+Data!AE63+Data!AF63+Data!AG63+Data!AH63+Data!AI63+Data!AJ63+Data!AK63+Data!AL63+Data!T64+Data!U64+Data!V64+Data!W64+Data!X64+Data!Y64+Data!Z64+Data!AA64+Data!AB64+Data!AC64+Data!AD64+Data!AE64+Data!AF64+Data!AG64+Data!AH64+Data!AI64+Data!AJ64+Data!AK64+Data!AL64+Data!T65+Data!U65+Data!V65+Data!W65+Data!X65+Data!Y65+Data!Z65+Data!AA65+Data!AB65+Data!AC65+Data!AD65+Data!AE65+Data!AF65+Data!AG65+Data!AH65+Data!AI65+Data!AJ65+Data!AK65+Data!AL65+Data!T66+Data!U66+Data!V66+Data!W66+Data!X66+Data!Y66+Data!Z66+Data!AA66+Data!AB66+Data!AC66+Data!AD66+Data!AE66+Data!AF66+Data!AG66+Data!AH66+Data!AI66+Data!AJ66+Data!AK66+Data!AL66+Data!T67+Data!U67+Data!V67+Data!W67+Data!X67+Data!Y67+Data!Z67+Data!AA67+Data!AB67+Data!AC67+Data!AD67+Data!AE67+Data!AF67+Data!AG67+Data!AH67+Data!AI67+Data!AJ67+Data!AK67+Data!AL67+Data!T68+Data!U68+Data!V68+Data!W68+Data!X68+Data!Y68+Data!Z68+Data!AA68+Data!AB68+Data!AC68+Data!AD68+Data!AE68+Data!AF68+Data!AG68+Data!AH68+Data!AI68+Data!AJ68+Data!AK68+Data!AL68+Data!T69+Data!U69+Data!V69+Data!W69+Data!X69+Data!Y69+Data!Z69+Data!AA69+Data!AB69+Data!AC69+Data!AD69+Data!AE69+Data!AF69+Data!AG69+Data!AH69+Data!AI69+Data!AJ69+Data!AK69+Data!AL69+Data!T70+Data!U70+Data!V70+Data!W70+Data!X70+Data!Y70+Data!Z70+Data!AA70+Data!AB70+Data!AC70+Data!AD70+Data!AE70+Data!AF70+Data!AG70+Data!AH70+Data!AI70+Data!AJ70+Data!AK70+Data!AL70+Data!T71+Data!U71+Data!V71+Data!W71+Data!X71+Data!Y71+Data!Z71+Data!AA71+Data!AB71+Data!AC71+Data!AD71+Data!AE71+Data!AF71+Data!AG71+Data!AH71+Data!AI71+Data!AJ71+Data!AK71+Data!AL71)/(Data!AP60+Data!AP61+Data!AP62+Data!AP63+Data!AP64+Data!AP65+Data!AP66+Data!AP67+Data!AP68+Data!AP69+Data!AP70+Data!AP71)</f>
        <v>0.215625400349492</v>
      </c>
      <c r="N71" s="18" t="n">
        <f aca="false">(Data!T60+Data!U60+Data!V60+Data!W60+Data!T61+Data!U61+Data!V61+Data!W61+Data!T62+Data!U62+Data!V62+Data!W62+Data!T63+Data!U63+Data!V63+Data!W63+Data!T64+Data!U64+Data!V64+Data!W64+Data!T65+Data!U65+Data!V65+Data!W65+Data!T66+Data!U66+Data!V66+Data!W66+Data!T67+Data!U67+Data!V67+Data!W67+Data!T68+Data!U68+Data!V68+Data!W68+Data!T69+Data!U69+Data!V69+Data!W69+Data!T70+Data!U70+Data!V70+Data!W70+Data!T71+Data!U71+Data!V71+Data!W71)/(Data!AP60+Data!AP61+Data!AP62+Data!AP63+Data!AP64+Data!AP65+Data!AP66+Data!AP67+Data!AP68+Data!AP69+Data!AP70+Data!AP71)</f>
        <v>0.106774311519452</v>
      </c>
      <c r="O71" s="18" t="n">
        <f aca="false">(Data!T60+Data!T61+Data!T62+Data!T63+Data!T64+Data!T65+Data!T66+Data!T67+Data!T68+Data!T69+Data!T70+Data!T71)/(Data!AP60+Data!AP61+Data!AP62+Data!AP63+Data!AP64+Data!AP65+Data!AP66+Data!AP67+Data!AP68+Data!AP69+Data!AP70+Data!AP71)</f>
        <v>0.0779156196424236</v>
      </c>
      <c r="P71" s="18" t="n">
        <f aca="false">(Data!U60+Data!U61+Data!U62+Data!U63+Data!U64+Data!U65+Data!U66+Data!U67+Data!U68+Data!U69+Data!U70+Data!U71)/(Data!AP60+Data!AP61+Data!AP62+Data!AP63+Data!AP64+Data!AP65+Data!AP66+Data!AP67+Data!AP68+Data!AP69+Data!AP70+Data!AP71)</f>
        <v>0.0126367752420216</v>
      </c>
      <c r="Q71" s="18" t="n">
        <f aca="false">(Data!V60+Data!V61+Data!V62+Data!V63+Data!V64+Data!V65+Data!V66+Data!V67+Data!V68+Data!V69+Data!V70+Data!V71)/(Data!AP60+Data!AP61+Data!AP62+Data!AP63+Data!AP64+Data!AP65+Data!AP66+Data!AP67+Data!AP68+Data!AP69+Data!AP70+Data!AP71)</f>
        <v>0.00765315451153585</v>
      </c>
      <c r="R71" s="18" t="n">
        <f aca="false">(Data!W60+Data!W61+Data!W62+Data!W63+Data!W64+Data!W65+Data!W66+Data!W67+Data!W68+Data!W69+Data!W70+Data!W71)/(Data!AP60+Data!AP61+Data!AP62+Data!AP63+Data!AP64+Data!AP65+Data!AP66+Data!AP67+Data!AP68+Data!AP69+Data!AP70+Data!AP71)</f>
        <v>0.0085687621234714</v>
      </c>
      <c r="S71" s="18" t="n">
        <f aca="false">(Data!X60+Data!X61+Data!X62+Data!X63+Data!X64+Data!X65+Data!X66+Data!X67+Data!X68+Data!X69+Data!X70+Data!X71)/(Data!AP60+Data!AP61+Data!AP62+Data!AP63+Data!AP64+Data!AP65+Data!AP66+Data!AP67+Data!AP68+Data!AP69+Data!AP70+Data!AP71)</f>
        <v>0.0234344673349653</v>
      </c>
      <c r="T71" s="18" t="n">
        <f aca="false">(Data!Y60+Data!Z60+Data!AA60+Data!Y61+Data!Z61+Data!AA61+Data!Y62+Data!Z62+Data!AA62+Data!Y63+Data!Z63+Data!AA63+Data!Y64+Data!Z64+Data!AA64+Data!Y65+Data!Z65+Data!AA65+Data!Y66+Data!Z66+Data!AA66+Data!Y67+Data!Z67+Data!AA67+Data!Y68+Data!Z68+Data!AA68+Data!Y69+Data!Z69+Data!AA69+Data!Y70+Data!Z70+Data!AA70+Data!Y71+Data!Z71+Data!AA71)/(Data!AP60+Data!AP61+Data!AP62+Data!AP63+Data!AP64+Data!AP65+Data!AP66+Data!AP67+Data!AP68+Data!AP69+Data!AP70+Data!AP71)</f>
        <v>0.0244512339852733</v>
      </c>
      <c r="U71" s="18" t="n">
        <f aca="false">(Data!Y60+Data!Y61+Data!Y62+Data!Y63+Data!Y64+Data!Y65+Data!Y66+Data!Y67+Data!Y68+Data!Y69+Data!Y70+Data!Y71)/(Data!AP60+Data!AP61+Data!AP62+Data!AP63+Data!AP64+Data!AP65+Data!AP66+Data!AP67+Data!AP68+Data!AP69+Data!AP70+Data!AP71)</f>
        <v>0.0171372284602809</v>
      </c>
      <c r="V71" s="18" t="n">
        <f aca="false">(Data!Z60+Data!Z61+Data!Z62+Data!Z63+Data!Z64+Data!Z65+Data!Z66+Data!Z67+Data!Z68+Data!Z69+Data!Z70+Data!Z71)/(Data!AP60+Data!AP61+Data!AP62+Data!AP63+Data!AP64+Data!AP65+Data!AP66+Data!AP67+Data!AP68+Data!AP69+Data!AP70+Data!AP71)</f>
        <v>0.00684891057780858</v>
      </c>
      <c r="W71" s="18" t="n">
        <f aca="false">(Data!AB60+Data!AB61+Data!AB62+Data!AB63+Data!AB64+Data!AB65+Data!AB66+Data!AB67+Data!AB68+Data!AB69+Data!AB70+Data!AB71)/(Data!AP60+Data!AP61+Data!AP62+Data!AP63+Data!AP64+Data!AP65+Data!AP66+Data!AP67+Data!AP68+Data!AP69+Data!AP70+Data!AP71)</f>
        <v>0.023040154135976</v>
      </c>
      <c r="X71" s="18" t="n">
        <f aca="false">(Data!AC60+Data!AC61+Data!AC62+Data!AC63+Data!AC64+Data!AC65+Data!AC66+Data!AC67+Data!AC68+Data!AC69+Data!AC70+Data!AC71)/(Data!AP60+Data!AP61+Data!AP62+Data!AP63+Data!AP64+Data!AP65+Data!AP66+Data!AP67+Data!AP68+Data!AP69+Data!AP70+Data!AP71)</f>
        <v>0.00778188086679812</v>
      </c>
      <c r="Y71" s="18" t="n">
        <f aca="false">(Data!AD60+Data!AE60+Data!AF60+Data!AG60+Data!AH60+Data!AD61+Data!AE61+Data!AF61+Data!AG61+Data!AH61+Data!AD62+Data!AE62+Data!AF62+Data!AG62+Data!AH62+Data!AD63+Data!AE63+Data!AF63+Data!AG63+Data!AH63+Data!AD64+Data!AE64+Data!AF64+Data!AG64+Data!AH64+Data!AD65+Data!AE65+Data!AF65+Data!AG65+Data!AH65+Data!AD66+Data!AE66+Data!AF66+Data!AG66+Data!AH66+Data!AD67+Data!AE67+Data!AF67+Data!AG67+Data!AH67+Data!AD68+Data!AE68+Data!AF68+Data!AG68+Data!AH68+Data!AD69+Data!AE69+Data!AF69+Data!AG69+Data!AH69+Data!AD70+Data!AE70+Data!AF70+Data!AG70+Data!AH70+Data!AD71+Data!AE71+Data!AF71+Data!AG71+Data!AH71)/(Data!AP60+Data!AP61+Data!AP62+Data!AP63+Data!AP64+Data!AP65+Data!AP66+Data!AP67+Data!AP68+Data!AP69+Data!AP70+Data!AP71)</f>
        <v>0.00815185082351238</v>
      </c>
      <c r="Z71" s="18" t="n">
        <f aca="false">(Data!AI60+Data!AI61+Data!AI62+Data!AI63+Data!AI64+Data!AI65+Data!AI66+Data!AI67+Data!AI68+Data!AI69+Data!AI70+Data!AI71)/(Data!AP60+Data!AP61+Data!AP62+Data!AP63+Data!AP64+Data!AP65+Data!AP66+Data!AP67+Data!AP68+Data!AP69+Data!AP70+Data!AP71)</f>
        <v>0.00679883389594759</v>
      </c>
      <c r="AA71" s="18" t="n">
        <f aca="false">(Data!AJ60+Data!AJ61+Data!AJ62+Data!AJ63+Data!AJ64+Data!AJ65+Data!AJ66+Data!AJ67+Data!AJ68+Data!AJ69+Data!AJ70+Data!AJ71)/(Data!AP60+Data!AP61+Data!AP62+Data!AP63+Data!AP64+Data!AP65+Data!AP66+Data!AP67+Data!AP68+Data!AP69+Data!AP70+Data!AP71)</f>
        <v>0</v>
      </c>
      <c r="AB71" s="18" t="n">
        <f aca="false">(Data!AK60+Data!AK61+Data!AK62+Data!AK63+Data!AK64+Data!AK65+Data!AK66+Data!AK67+Data!AK68+Data!AK69+Data!AK70+Data!AK71)/(Data!AP60+Data!AP61+Data!AP62+Data!AP63+Data!AP64+Data!AP65+Data!AP66+Data!AP67+Data!AP68+Data!AP69+Data!AP70+Data!AP71)</f>
        <v>0.00369544023921111</v>
      </c>
      <c r="AC71" s="18" t="n">
        <f aca="false">(Data!AL60+Data!AL61+Data!AL62+Data!AL63+Data!AL64+Data!AL65+Data!AL66+Data!AL67+Data!AL68+Data!AL69+Data!AL70+Data!AL71)/(Data!AP60+Data!AP61+Data!AP62+Data!AP63+Data!AP64+Data!AP65+Data!AP66+Data!AP67+Data!AP68+Data!AP69+Data!AP70+Data!AP71)</f>
        <v>0.0114972275483556</v>
      </c>
      <c r="AD71" s="17" t="n">
        <f aca="false">(Data!AM60+Data!AM61+Data!AM62+Data!AM63+Data!AM64+Data!AM65+Data!AM66+Data!AM67+Data!AM68+Data!AM69+Data!AM70+Data!AM71)/(Data!AP60+Data!AP61+Data!AP62+Data!AP63+Data!AP64+Data!AP65+Data!AP66+Data!AP67+Data!AP68+Data!AP69+Data!AP70+Data!AP71)</f>
        <v>-0.0345697111664781</v>
      </c>
      <c r="AE71" s="18" t="n">
        <f aca="false">(Data!AN60+Data!AN61+Data!AN62+Data!AN63+Data!AN64+Data!AN65+Data!AN66+Data!AN67+Data!AN68+Data!AN69+Data!AN70+Data!AN71)/(Data!AP60+Data!AP61+Data!AP62+Data!AP63+Data!AP64+Data!AP65+Data!AP66+Data!AP67+Data!AP68+Data!AP69+Data!AP70+Data!AP71)</f>
        <v>0.0157116550645501</v>
      </c>
      <c r="AF71" s="17" t="n">
        <f aca="false">(Data!AO60+Data!AO61+Data!AO62+Data!AO63+Data!AO64+Data!AO65+Data!AO66+Data!AO67+Data!AO68+Data!AO69+Data!AO70+Data!AO71)/(Data!AP60+Data!AP61+Data!AP62+Data!AP63+Data!AP64+Data!AP65+Data!AP66+Data!AP67+Data!AP68+Data!AP69+Data!AP70+Data!AP71)</f>
        <v>-0.0502813070736959</v>
      </c>
    </row>
    <row r="72" customFormat="false" ht="15" hidden="false" customHeight="false" outlineLevel="0" collapsed="false">
      <c r="B72" s="14" t="str">
        <f aca="false">Data!B72</f>
        <v>2021-06</v>
      </c>
      <c r="C72" s="17" t="n">
        <f aca="false">(Data!D61+Data!E61+Data!F61+Data!G61+Data!H61+Data!I61+Data!J61+Data!K61+Data!L61+Data!M61+Data!N61+Data!O61+Data!P61+Data!Q61+Data!R61+Data!S61+Data!D62+Data!E62+Data!F62+Data!G62+Data!H62+Data!I62+Data!J62+Data!K62+Data!L62+Data!M62+Data!N62+Data!O62+Data!P62+Data!Q62+Data!R62+Data!S62+Data!D63+Data!E63+Data!F63+Data!G63+Data!H63+Data!I63+Data!J63+Data!K63+Data!L63+Data!M63+Data!N63+Data!O63+Data!P63+Data!Q63+Data!R63+Data!S63+Data!D64+Data!E64+Data!F64+Data!G64+Data!H64+Data!I64+Data!J64+Data!K64+Data!L64+Data!M64+Data!N64+Data!O64+Data!P64+Data!Q64+Data!R64+Data!S64+Data!D65+Data!E65+Data!F65+Data!G65+Data!H65+Data!I65+Data!J65+Data!K65+Data!L65+Data!M65+Data!N65+Data!O65+Data!P65+Data!Q65+Data!R65+Data!S65+Data!D66+Data!E66+Data!F66+Data!G66+Data!H66+Data!I66+Data!J66+Data!K66+Data!L66+Data!M66+Data!N66+Data!O66+Data!P66+Data!Q66+Data!R66+Data!S66+Data!D67+Data!E67+Data!F67+Data!G67+Data!H67+Data!I67+Data!J67+Data!K67+Data!L67+Data!M67+Data!N67+Data!O67+Data!P67+Data!Q67+Data!R67+Data!S67+Data!D68+Data!E68+Data!F68+Data!G68+Data!H68+Data!I68+Data!J68+Data!K68+Data!L68+Data!M68+Data!N68+Data!O68+Data!P68+Data!Q68+Data!R68+Data!S68+Data!D69+Data!E69+Data!F69+Data!G69+Data!H69+Data!I69+Data!J69+Data!K69+Data!L69+Data!M69+Data!N69+Data!O69+Data!P69+Data!Q69+Data!R69+Data!S69+Data!D70+Data!E70+Data!F70+Data!G70+Data!H70+Data!I70+Data!J70+Data!K70+Data!L70+Data!M70+Data!N70+Data!O70+Data!P70+Data!Q70+Data!R70+Data!S70+Data!D71+Data!E71+Data!F71+Data!G71+Data!H71+Data!I71+Data!J71+Data!K71+Data!L71+Data!M71+Data!N71+Data!O71+Data!P71+Data!Q71+Data!R71+Data!S71+Data!D72+Data!E72+Data!F72+Data!G72+Data!H72+Data!I72+Data!J72+Data!K72+Data!L72+Data!M72+Data!N72+Data!O72+Data!P72+Data!Q72+Data!R72+Data!S72)/(Data!AP61+Data!AP62+Data!AP63+Data!AP64+Data!AP65+Data!AP66+Data!AP67+Data!AP68+Data!AP69+Data!AP70+Data!AP71+Data!AP72)</f>
        <v>0.181473845159558</v>
      </c>
      <c r="D72" s="18" t="n">
        <f aca="false">(Data!D61+Data!E61+Data!G61+Data!H61+Data!I61+Data!J61+Data!K61+Data!L61+Data!M61+Data!D62+Data!E62+Data!G62+Data!H62+Data!I62+Data!J62+Data!K62+Data!L62+Data!M62+Data!D63+Data!E63+Data!G63+Data!H63+Data!I63+Data!J63+Data!K63+Data!L63+Data!M63+Data!D64+Data!E64+Data!G64+Data!H64+Data!I64+Data!J64+Data!K64+Data!L64+Data!M64+Data!D65+Data!E65+Data!G65+Data!H65+Data!I65+Data!J65+Data!K65+Data!L65+Data!M65+Data!D66+Data!E66+Data!G66+Data!H66+Data!I66+Data!J66+Data!K66+Data!L66+Data!M66+Data!D67+Data!E67+Data!G67+Data!H67+Data!I67+Data!J67+Data!K67+Data!L67+Data!M67+Data!D68+Data!E68+Data!G68+Data!H68+Data!I68+Data!J68+Data!K68+Data!L68+Data!M68+Data!D69+Data!E69+Data!G69+Data!H69+Data!I69+Data!J69+Data!K69+Data!L69+Data!M69+Data!D70+Data!E70+Data!G70+Data!H70+Data!I70+Data!J70+Data!K70+Data!L70+Data!M70+Data!D71+Data!E71+Data!G71+Data!H71+Data!I71+Data!J71+Data!K71+Data!L71+Data!M71+Data!D72+Data!E72+Data!G72+Data!H72+Data!I72+Data!J72+Data!K72+Data!L72+Data!M72)/(Data!AP61+Data!AP62+Data!AP63+Data!AP64+Data!AP65+Data!AP66+Data!AP67+Data!AP68+Data!AP69+Data!AP70+Data!AP71+Data!AP72)</f>
        <v>0.110777709428932</v>
      </c>
      <c r="E72" s="18" t="n">
        <f aca="false">(Data!D61+Data!D62+Data!D63+Data!D64+Data!D65+Data!D66+Data!D67+Data!D68+Data!D69+Data!D70+Data!D71+Data!D72)/(Data!AP61+Data!AP62+Data!AP63+Data!AP64+Data!AP65+Data!AP66+Data!AP67+Data!AP68+Data!AP69+Data!AP70+Data!AP71+Data!AP72)</f>
        <v>0.0311693989540693</v>
      </c>
      <c r="F72" s="18" t="n">
        <f aca="false">(Data!E61+Data!E62+Data!E63+Data!E64+Data!E65+Data!E66+Data!E67+Data!E68+Data!E69+Data!E70+Data!E71+Data!E72)/(Data!AP61+Data!AP62+Data!AP63+Data!AP64+Data!AP65+Data!AP66+Data!AP67+Data!AP68+Data!AP69+Data!AP70+Data!AP71+Data!AP72)</f>
        <v>0.0178955685314877</v>
      </c>
      <c r="G72" s="18" t="n">
        <f aca="false">(Data!K61+Data!K62+Data!K63+Data!K64+Data!K65+Data!K66+Data!K67+Data!K68+Data!K69+Data!K70+Data!K71+Data!K72)/(Data!AP61+Data!AP62+Data!AP63+Data!AP64+Data!AP65+Data!AP66+Data!AP67+Data!AP68+Data!AP69+Data!AP70+Data!AP71+Data!AP72)</f>
        <v>0.0189412991477602</v>
      </c>
      <c r="H72" s="18" t="n">
        <f aca="false">(Data!L61+Data!L62+Data!L63+Data!L64+Data!L65+Data!L66+Data!L67+Data!L68+Data!L69+Data!L70+Data!L71+Data!L72)/(Data!AP61+Data!AP62+Data!AP63+Data!AP64+Data!AP65+Data!AP66+Data!AP67+Data!AP68+Data!AP69+Data!AP70+Data!AP71+Data!AP72)</f>
        <v>0.0062675836082625</v>
      </c>
      <c r="I72" s="18" t="n">
        <f aca="false">(Data!G61+Data!G62+Data!G63+Data!G64+Data!G65+Data!G66+Data!G67+Data!G68+Data!G69+Data!G70+Data!G71+Data!G72)/(Data!AP61+Data!AP62+Data!AP63+Data!AP64+Data!AP65+Data!AP66+Data!AP67+Data!AP68+Data!AP69+Data!AP70+Data!AP71+Data!AP72)</f>
        <v>0.0156173147205056</v>
      </c>
      <c r="J72" s="18" t="n">
        <f aca="false">(Data!H61+Data!I61+Data!J61+Data!M61+Data!H62+Data!I62+Data!J62+Data!M62+Data!H63+Data!I63+Data!J63+Data!M63+Data!H64+Data!I64+Data!J64+Data!M64+Data!H65+Data!I65+Data!J65+Data!M65+Data!H66+Data!I66+Data!J66+Data!M66+Data!H67+Data!I67+Data!J67+Data!M67+Data!H68+Data!I68+Data!J68+Data!M68+Data!H69+Data!I69+Data!J69+Data!M69+Data!H70+Data!I70+Data!J70+Data!M70+Data!H71+Data!I71+Data!J71+Data!M71+Data!H72+Data!I72+Data!J72+Data!M72)/(Data!AP61+Data!AP62+Data!AP63+Data!AP64+Data!AP65+Data!AP66+Data!AP67+Data!AP68+Data!AP69+Data!AP70+Data!AP71+Data!AP72)</f>
        <v>0.0208865444668468</v>
      </c>
      <c r="K72" s="18" t="n">
        <f aca="false">(Data!F61+Data!F62+Data!F63+Data!F64+Data!F65+Data!F66+Data!F67+Data!F68+Data!F69+Data!F70+Data!F71+Data!F72)/(Data!AP61+Data!AP62+Data!AP63+Data!AP64+Data!AP65+Data!AP66+Data!AP67+Data!AP68+Data!AP69+Data!AP70+Data!AP71+Data!AP72)</f>
        <v>0.0516586838788195</v>
      </c>
      <c r="L72" s="18" t="n">
        <f aca="false">(Data!N61+Data!O61+Data!P61+Data!Q61+Data!R61+Data!S61+Data!N62+Data!O62+Data!P62+Data!Q62+Data!R62+Data!S62+Data!N63+Data!O63+Data!P63+Data!Q63+Data!R63+Data!S63+Data!N64+Data!O64+Data!P64+Data!Q64+Data!R64+Data!S64+Data!N65+Data!O65+Data!P65+Data!Q65+Data!R65+Data!S65+Data!N66+Data!O66+Data!P66+Data!Q66+Data!R66+Data!S66+Data!N67+Data!O67+Data!P67+Data!Q67+Data!R67+Data!S67+Data!N68+Data!O68+Data!P68+Data!Q68+Data!R68+Data!S68+Data!N69+Data!O69+Data!P69+Data!Q69+Data!R69+Data!S69+Data!N70+Data!O70+Data!P70+Data!Q70+Data!R70+Data!S70+Data!N71+Data!O71+Data!P71+Data!Q71+Data!R71+Data!S71+Data!N72+Data!O72+Data!P72+Data!Q72+Data!R72+Data!S72)/(Data!AP61+Data!AP62+Data!AP63+Data!AP64+Data!AP65+Data!AP66+Data!AP67+Data!AP68+Data!AP69+Data!AP70+Data!AP71+Data!AP72)</f>
        <v>0.0190374518518066</v>
      </c>
      <c r="M72" s="17" t="n">
        <f aca="false">(Data!T61+Data!U61+Data!V61+Data!W61+Data!X61+Data!Y61+Data!Z61+Data!AA61+Data!AB61+Data!AC61+Data!AD61+Data!AE61+Data!AF61+Data!AG61+Data!AH61+Data!AI61+Data!AJ61+Data!AK61+Data!AL61+Data!T62+Data!U62+Data!V62+Data!W62+Data!X62+Data!Y62+Data!Z62+Data!AA62+Data!AB62+Data!AC62+Data!AD62+Data!AE62+Data!AF62+Data!AG62+Data!AH62+Data!AI62+Data!AJ62+Data!AK62+Data!AL62+Data!T63+Data!U63+Data!V63+Data!W63+Data!X63+Data!Y63+Data!Z63+Data!AA63+Data!AB63+Data!AC63+Data!AD63+Data!AE63+Data!AF63+Data!AG63+Data!AH63+Data!AI63+Data!AJ63+Data!AK63+Data!AL63+Data!T64+Data!U64+Data!V64+Data!W64+Data!X64+Data!Y64+Data!Z64+Data!AA64+Data!AB64+Data!AC64+Data!AD64+Data!AE64+Data!AF64+Data!AG64+Data!AH64+Data!AI64+Data!AJ64+Data!AK64+Data!AL64+Data!T65+Data!U65+Data!V65+Data!W65+Data!X65+Data!Y65+Data!Z65+Data!AA65+Data!AB65+Data!AC65+Data!AD65+Data!AE65+Data!AF65+Data!AG65+Data!AH65+Data!AI65+Data!AJ65+Data!AK65+Data!AL65+Data!T66+Data!U66+Data!V66+Data!W66+Data!X66+Data!Y66+Data!Z66+Data!AA66+Data!AB66+Data!AC66+Data!AD66+Data!AE66+Data!AF66+Data!AG66+Data!AH66+Data!AI66+Data!AJ66+Data!AK66+Data!AL66+Data!T67+Data!U67+Data!V67+Data!W67+Data!X67+Data!Y67+Data!Z67+Data!AA67+Data!AB67+Data!AC67+Data!AD67+Data!AE67+Data!AF67+Data!AG67+Data!AH67+Data!AI67+Data!AJ67+Data!AK67+Data!AL67+Data!T68+Data!U68+Data!V68+Data!W68+Data!X68+Data!Y68+Data!Z68+Data!AA68+Data!AB68+Data!AC68+Data!AD68+Data!AE68+Data!AF68+Data!AG68+Data!AH68+Data!AI68+Data!AJ68+Data!AK68+Data!AL68+Data!T69+Data!U69+Data!V69+Data!W69+Data!X69+Data!Y69+Data!Z69+Data!AA69+Data!AB69+Data!AC69+Data!AD69+Data!AE69+Data!AF69+Data!AG69+Data!AH69+Data!AI69+Data!AJ69+Data!AK69+Data!AL69+Data!T70+Data!U70+Data!V70+Data!W70+Data!X70+Data!Y70+Data!Z70+Data!AA70+Data!AB70+Data!AC70+Data!AD70+Data!AE70+Data!AF70+Data!AG70+Data!AH70+Data!AI70+Data!AJ70+Data!AK70+Data!AL70+Data!T71+Data!U71+Data!V71+Data!W71+Data!X71+Data!Y71+Data!Z71+Data!AA71+Data!AB71+Data!AC71+Data!AD71+Data!AE71+Data!AF71+Data!AG71+Data!AH71+Data!AI71+Data!AJ71+Data!AK71+Data!AL71+Data!T72+Data!U72+Data!V72+Data!W72+Data!X72+Data!Y72+Data!Z72+Data!AA72+Data!AB72+Data!AC72+Data!AD72+Data!AE72+Data!AF72+Data!AG72+Data!AH72+Data!AI72+Data!AJ72+Data!AK72+Data!AL72)/(Data!AP61+Data!AP62+Data!AP63+Data!AP64+Data!AP65+Data!AP66+Data!AP67+Data!AP68+Data!AP69+Data!AP70+Data!AP71+Data!AP72)</f>
        <v>0.211367625702319</v>
      </c>
      <c r="N72" s="18" t="n">
        <f aca="false">(Data!T61+Data!U61+Data!V61+Data!W61+Data!T62+Data!U62+Data!V62+Data!W62+Data!T63+Data!U63+Data!V63+Data!W63+Data!T64+Data!U64+Data!V64+Data!W64+Data!T65+Data!U65+Data!V65+Data!W65+Data!T66+Data!U66+Data!V66+Data!W66+Data!T67+Data!U67+Data!V67+Data!W67+Data!T68+Data!U68+Data!V68+Data!W68+Data!T69+Data!U69+Data!V69+Data!W69+Data!T70+Data!U70+Data!V70+Data!W70+Data!T71+Data!U71+Data!V71+Data!W71+Data!T72+Data!U72+Data!V72+Data!W72)/(Data!AP61+Data!AP62+Data!AP63+Data!AP64+Data!AP65+Data!AP66+Data!AP67+Data!AP68+Data!AP69+Data!AP70+Data!AP71+Data!AP72)</f>
        <v>0.105105203600515</v>
      </c>
      <c r="O72" s="18" t="n">
        <f aca="false">(Data!T61+Data!T62+Data!T63+Data!T64+Data!T65+Data!T66+Data!T67+Data!T68+Data!T69+Data!T70+Data!T71+Data!T72)/(Data!AP61+Data!AP62+Data!AP63+Data!AP64+Data!AP65+Data!AP66+Data!AP67+Data!AP68+Data!AP69+Data!AP70+Data!AP71+Data!AP72)</f>
        <v>0.0767253804039749</v>
      </c>
      <c r="P72" s="18" t="n">
        <f aca="false">(Data!U61+Data!U62+Data!U63+Data!U64+Data!U65+Data!U66+Data!U67+Data!U68+Data!U69+Data!U70+Data!U71+Data!U72)/(Data!AP61+Data!AP62+Data!AP63+Data!AP64+Data!AP65+Data!AP66+Data!AP67+Data!AP68+Data!AP69+Data!AP70+Data!AP71+Data!AP72)</f>
        <v>0.0125991384276572</v>
      </c>
      <c r="Q72" s="18" t="n">
        <f aca="false">(Data!V61+Data!V62+Data!V63+Data!V64+Data!V65+Data!V66+Data!V67+Data!V68+Data!V69+Data!V70+Data!V71+Data!V72)/(Data!AP61+Data!AP62+Data!AP63+Data!AP64+Data!AP65+Data!AP66+Data!AP67+Data!AP68+Data!AP69+Data!AP70+Data!AP71+Data!AP72)</f>
        <v>0.00749274703546218</v>
      </c>
      <c r="R72" s="18" t="n">
        <f aca="false">(Data!W61+Data!W62+Data!W63+Data!W64+Data!W65+Data!W66+Data!W67+Data!W68+Data!W69+Data!W70+Data!W71+Data!W72)/(Data!AP61+Data!AP62+Data!AP63+Data!AP64+Data!AP65+Data!AP66+Data!AP67+Data!AP68+Data!AP69+Data!AP70+Data!AP71+Data!AP72)</f>
        <v>0.00828793773342035</v>
      </c>
      <c r="S72" s="18" t="n">
        <f aca="false">(Data!X61+Data!X62+Data!X63+Data!X64+Data!X65+Data!X66+Data!X67+Data!X68+Data!X69+Data!X70+Data!X71+Data!X72)/(Data!AP61+Data!AP62+Data!AP63+Data!AP64+Data!AP65+Data!AP66+Data!AP67+Data!AP68+Data!AP69+Data!AP70+Data!AP71+Data!AP72)</f>
        <v>0.0205295257828466</v>
      </c>
      <c r="T72" s="18" t="n">
        <f aca="false">(Data!Y61+Data!Z61+Data!AA61+Data!Y62+Data!Z62+Data!AA62+Data!Y63+Data!Z63+Data!AA63+Data!Y64+Data!Z64+Data!AA64+Data!Y65+Data!Z65+Data!AA65+Data!Y66+Data!Z66+Data!AA66+Data!Y67+Data!Z67+Data!AA67+Data!Y68+Data!Z68+Data!AA68+Data!Y69+Data!Z69+Data!AA69+Data!Y70+Data!Z70+Data!AA70+Data!Y71+Data!Z71+Data!AA71+Data!Y72+Data!Z72+Data!AA72)/(Data!AP61+Data!AP62+Data!AP63+Data!AP64+Data!AP65+Data!AP66+Data!AP67+Data!AP68+Data!AP69+Data!AP70+Data!AP71+Data!AP72)</f>
        <v>0.0252048530734317</v>
      </c>
      <c r="U72" s="18" t="n">
        <f aca="false">(Data!Y61+Data!Y62+Data!Y63+Data!Y64+Data!Y65+Data!Y66+Data!Y67+Data!Y68+Data!Y69+Data!Y70+Data!Y71+Data!Y72)/(Data!AP61+Data!AP62+Data!AP63+Data!AP64+Data!AP65+Data!AP66+Data!AP67+Data!AP68+Data!AP69+Data!AP70+Data!AP71+Data!AP72)</f>
        <v>0.0176255797978904</v>
      </c>
      <c r="V72" s="18" t="n">
        <f aca="false">(Data!Z61+Data!Z62+Data!Z63+Data!Z64+Data!Z65+Data!Z66+Data!Z67+Data!Z68+Data!Z69+Data!Z70+Data!Z71+Data!Z72)/(Data!AP61+Data!AP62+Data!AP63+Data!AP64+Data!AP65+Data!AP66+Data!AP67+Data!AP68+Data!AP69+Data!AP70+Data!AP71+Data!AP72)</f>
        <v>0.00711157823982282</v>
      </c>
      <c r="W72" s="18" t="n">
        <f aca="false">(Data!AB61+Data!AB62+Data!AB63+Data!AB64+Data!AB65+Data!AB66+Data!AB67+Data!AB68+Data!AB69+Data!AB70+Data!AB71+Data!AB72)/(Data!AP61+Data!AP62+Data!AP63+Data!AP64+Data!AP65+Data!AP66+Data!AP67+Data!AP68+Data!AP69+Data!AP70+Data!AP71+Data!AP72)</f>
        <v>0.0227325868360368</v>
      </c>
      <c r="X72" s="18" t="n">
        <f aca="false">(Data!AC61+Data!AC62+Data!AC63+Data!AC64+Data!AC65+Data!AC66+Data!AC67+Data!AC68+Data!AC69+Data!AC70+Data!AC71+Data!AC72)/(Data!AP61+Data!AP62+Data!AP63+Data!AP64+Data!AP65+Data!AP66+Data!AP67+Data!AP68+Data!AP69+Data!AP70+Data!AP71+Data!AP72)</f>
        <v>0.00768135856784669</v>
      </c>
      <c r="Y72" s="18" t="n">
        <f aca="false">(Data!AD61+Data!AE61+Data!AF61+Data!AG61+Data!AH61+Data!AD62+Data!AE62+Data!AF62+Data!AG62+Data!AH62+Data!AD63+Data!AE63+Data!AF63+Data!AG63+Data!AH63+Data!AD64+Data!AE64+Data!AF64+Data!AG64+Data!AH64+Data!AD65+Data!AE65+Data!AF65+Data!AG65+Data!AH65+Data!AD66+Data!AE66+Data!AF66+Data!AG66+Data!AH66+Data!AD67+Data!AE67+Data!AF67+Data!AG67+Data!AH67+Data!AD68+Data!AE68+Data!AF68+Data!AG68+Data!AH68+Data!AD69+Data!AE69+Data!AF69+Data!AG69+Data!AH69+Data!AD70+Data!AE70+Data!AF70+Data!AG70+Data!AH70+Data!AD71+Data!AE71+Data!AF71+Data!AG71+Data!AH71+Data!AD72+Data!AE72+Data!AF72+Data!AG72+Data!AH72)/(Data!AP61+Data!AP62+Data!AP63+Data!AP64+Data!AP65+Data!AP66+Data!AP67+Data!AP68+Data!AP69+Data!AP70+Data!AP71+Data!AP72)</f>
        <v>0.00802091529395255</v>
      </c>
      <c r="Z72" s="18" t="n">
        <f aca="false">(Data!AI61+Data!AI62+Data!AI63+Data!AI64+Data!AI65+Data!AI66+Data!AI67+Data!AI68+Data!AI69+Data!AI70+Data!AI71+Data!AI72)/(Data!AP61+Data!AP62+Data!AP63+Data!AP64+Data!AP65+Data!AP66+Data!AP67+Data!AP68+Data!AP69+Data!AP70+Data!AP71+Data!AP72)</f>
        <v>0.00666601847444804</v>
      </c>
      <c r="AA72" s="18" t="n">
        <f aca="false">(Data!AJ61+Data!AJ62+Data!AJ63+Data!AJ64+Data!AJ65+Data!AJ66+Data!AJ67+Data!AJ68+Data!AJ69+Data!AJ70+Data!AJ71+Data!AJ72)/(Data!AP61+Data!AP62+Data!AP63+Data!AP64+Data!AP65+Data!AP66+Data!AP67+Data!AP68+Data!AP69+Data!AP70+Data!AP71+Data!AP72)</f>
        <v>0</v>
      </c>
      <c r="AB72" s="18" t="n">
        <f aca="false">(Data!AK61+Data!AK62+Data!AK63+Data!AK64+Data!AK65+Data!AK66+Data!AK67+Data!AK68+Data!AK69+Data!AK70+Data!AK71+Data!AK72)/(Data!AP61+Data!AP62+Data!AP63+Data!AP64+Data!AP65+Data!AP66+Data!AP67+Data!AP68+Data!AP69+Data!AP70+Data!AP71+Data!AP72)</f>
        <v>0.00362738594566894</v>
      </c>
      <c r="AC72" s="18" t="n">
        <f aca="false">(Data!AL61+Data!AL62+Data!AL63+Data!AL64+Data!AL65+Data!AL66+Data!AL67+Data!AL68+Data!AL69+Data!AL70+Data!AL71+Data!AL72)/(Data!AP61+Data!AP62+Data!AP63+Data!AP64+Data!AP65+Data!AP66+Data!AP67+Data!AP68+Data!AP69+Data!AP70+Data!AP71+Data!AP72)</f>
        <v>0.0117997781275736</v>
      </c>
      <c r="AD72" s="17" t="n">
        <f aca="false">(Data!AM61+Data!AM62+Data!AM63+Data!AM64+Data!AM65+Data!AM66+Data!AM67+Data!AM68+Data!AM69+Data!AM70+Data!AM71+Data!AM72)/(Data!AP61+Data!AP62+Data!AP63+Data!AP64+Data!AP65+Data!AP66+Data!AP67+Data!AP68+Data!AP69+Data!AP70+Data!AP71+Data!AP72)</f>
        <v>-0.0298937805427614</v>
      </c>
      <c r="AE72" s="18" t="n">
        <f aca="false">(Data!AN61+Data!AN62+Data!AN63+Data!AN64+Data!AN65+Data!AN66+Data!AN67+Data!AN68+Data!AN69+Data!AN70+Data!AN71+Data!AN72)/(Data!AP61+Data!AP62+Data!AP63+Data!AP64+Data!AP65+Data!AP66+Data!AP67+Data!AP68+Data!AP69+Data!AP70+Data!AP71+Data!AP72)</f>
        <v>0.0154206158390322</v>
      </c>
      <c r="AF72" s="17" t="n">
        <f aca="false">(Data!AO61+Data!AO62+Data!AO63+Data!AO64+Data!AO65+Data!AO66+Data!AO67+Data!AO68+Data!AO69+Data!AO70+Data!AO71+Data!AO72)/(Data!AP61+Data!AP62+Data!AP63+Data!AP64+Data!AP65+Data!AP66+Data!AP67+Data!AP68+Data!AP69+Data!AP70+Data!AP71+Data!AP72)</f>
        <v>-0.0453143404139798</v>
      </c>
    </row>
    <row r="73" customFormat="false" ht="15" hidden="false" customHeight="false" outlineLevel="0" collapsed="false">
      <c r="B73" s="14" t="str">
        <f aca="false">Data!B73</f>
        <v>2021-07</v>
      </c>
      <c r="C73" s="17" t="n">
        <f aca="false">(Data!D62+Data!E62+Data!F62+Data!G62+Data!H62+Data!I62+Data!J62+Data!K62+Data!L62+Data!M62+Data!N62+Data!O62+Data!P62+Data!Q62+Data!R62+Data!S62+Data!D63+Data!E63+Data!F63+Data!G63+Data!H63+Data!I63+Data!J63+Data!K63+Data!L63+Data!M63+Data!N63+Data!O63+Data!P63+Data!Q63+Data!R63+Data!S63+Data!D64+Data!E64+Data!F64+Data!G64+Data!H64+Data!I64+Data!J64+Data!K64+Data!L64+Data!M64+Data!N64+Data!O64+Data!P64+Data!Q64+Data!R64+Data!S64+Data!D65+Data!E65+Data!F65+Data!G65+Data!H65+Data!I65+Data!J65+Data!K65+Data!L65+Data!M65+Data!N65+Data!O65+Data!P65+Data!Q65+Data!R65+Data!S65+Data!D66+Data!E66+Data!F66+Data!G66+Data!H66+Data!I66+Data!J66+Data!K66+Data!L66+Data!M66+Data!N66+Data!O66+Data!P66+Data!Q66+Data!R66+Data!S66+Data!D67+Data!E67+Data!F67+Data!G67+Data!H67+Data!I67+Data!J67+Data!K67+Data!L67+Data!M67+Data!N67+Data!O67+Data!P67+Data!Q67+Data!R67+Data!S67+Data!D68+Data!E68+Data!F68+Data!G68+Data!H68+Data!I68+Data!J68+Data!K68+Data!L68+Data!M68+Data!N68+Data!O68+Data!P68+Data!Q68+Data!R68+Data!S68+Data!D69+Data!E69+Data!F69+Data!G69+Data!H69+Data!I69+Data!J69+Data!K69+Data!L69+Data!M69+Data!N69+Data!O69+Data!P69+Data!Q69+Data!R69+Data!S69+Data!D70+Data!E70+Data!F70+Data!G70+Data!H70+Data!I70+Data!J70+Data!K70+Data!L70+Data!M70+Data!N70+Data!O70+Data!P70+Data!Q70+Data!R70+Data!S70+Data!D71+Data!E71+Data!F71+Data!G71+Data!H71+Data!I71+Data!J71+Data!K71+Data!L71+Data!M71+Data!N71+Data!O71+Data!P71+Data!Q71+Data!R71+Data!S71+Data!D72+Data!E72+Data!F72+Data!G72+Data!H72+Data!I72+Data!J72+Data!K72+Data!L72+Data!M72+Data!N72+Data!O72+Data!P72+Data!Q72+Data!R72+Data!S72+Data!D73+Data!E73+Data!F73+Data!G73+Data!H73+Data!I73+Data!J73+Data!K73+Data!L73+Data!M73+Data!N73+Data!O73+Data!P73+Data!Q73+Data!R73+Data!S73)/(Data!AP62+Data!AP63+Data!AP64+Data!AP65+Data!AP66+Data!AP67+Data!AP68+Data!AP69+Data!AP70+Data!AP71+Data!AP72+Data!AP73)</f>
        <v>0.181868493115953</v>
      </c>
      <c r="D73" s="18" t="n">
        <f aca="false">(Data!D62+Data!E62+Data!G62+Data!H62+Data!I62+Data!J62+Data!K62+Data!L62+Data!M62+Data!D63+Data!E63+Data!G63+Data!H63+Data!I63+Data!J63+Data!K63+Data!L63+Data!M63+Data!D64+Data!E64+Data!G64+Data!H64+Data!I64+Data!J64+Data!K64+Data!L64+Data!M64+Data!D65+Data!E65+Data!G65+Data!H65+Data!I65+Data!J65+Data!K65+Data!L65+Data!M65+Data!D66+Data!E66+Data!G66+Data!H66+Data!I66+Data!J66+Data!K66+Data!L66+Data!M66+Data!D67+Data!E67+Data!G67+Data!H67+Data!I67+Data!J67+Data!K67+Data!L67+Data!M67+Data!D68+Data!E68+Data!G68+Data!H68+Data!I68+Data!J68+Data!K68+Data!L68+Data!M68+Data!D69+Data!E69+Data!G69+Data!H69+Data!I69+Data!J69+Data!K69+Data!L69+Data!M69+Data!D70+Data!E70+Data!G70+Data!H70+Data!I70+Data!J70+Data!K70+Data!L70+Data!M70+Data!D71+Data!E71+Data!G71+Data!H71+Data!I71+Data!J71+Data!K71+Data!L71+Data!M71+Data!D72+Data!E72+Data!G72+Data!H72+Data!I72+Data!J72+Data!K72+Data!L72+Data!M72+Data!D73+Data!E73+Data!G73+Data!H73+Data!I73+Data!J73+Data!K73+Data!L73+Data!M73)/(Data!AP62+Data!AP63+Data!AP64+Data!AP65+Data!AP66+Data!AP67+Data!AP68+Data!AP69+Data!AP70+Data!AP71+Data!AP72+Data!AP73)</f>
        <v>0.110311277445788</v>
      </c>
      <c r="E73" s="18" t="n">
        <f aca="false">(Data!D62+Data!D63+Data!D64+Data!D65+Data!D66+Data!D67+Data!D68+Data!D69+Data!D70+Data!D71+Data!D72+Data!D73)/(Data!AP62+Data!AP63+Data!AP64+Data!AP65+Data!AP66+Data!AP67+Data!AP68+Data!AP69+Data!AP70+Data!AP71+Data!AP72+Data!AP73)</f>
        <v>0.0313426951272834</v>
      </c>
      <c r="F73" s="18" t="n">
        <f aca="false">(Data!E62+Data!E63+Data!E64+Data!E65+Data!E66+Data!E67+Data!E68+Data!E69+Data!E70+Data!E71+Data!E72+Data!E73)/(Data!AP62+Data!AP63+Data!AP64+Data!AP65+Data!AP66+Data!AP67+Data!AP68+Data!AP69+Data!AP70+Data!AP71+Data!AP72+Data!AP73)</f>
        <v>0.0178451083195201</v>
      </c>
      <c r="G73" s="18" t="n">
        <f aca="false">(Data!K62+Data!K63+Data!K64+Data!K65+Data!K66+Data!K67+Data!K68+Data!K69+Data!K70+Data!K71+Data!K72+Data!K73)/(Data!AP62+Data!AP63+Data!AP64+Data!AP65+Data!AP66+Data!AP67+Data!AP68+Data!AP69+Data!AP70+Data!AP71+Data!AP72+Data!AP73)</f>
        <v>0.0191907493813997</v>
      </c>
      <c r="H73" s="18" t="n">
        <f aca="false">(Data!L62+Data!L63+Data!L64+Data!L65+Data!L66+Data!L67+Data!L68+Data!L69+Data!L70+Data!L71+Data!L72+Data!L73)/(Data!AP62+Data!AP63+Data!AP64+Data!AP65+Data!AP66+Data!AP67+Data!AP68+Data!AP69+Data!AP70+Data!AP71+Data!AP72+Data!AP73)</f>
        <v>0.00631505395715882</v>
      </c>
      <c r="I73" s="18" t="n">
        <f aca="false">(Data!G62+Data!G63+Data!G64+Data!G65+Data!G66+Data!G67+Data!G68+Data!G69+Data!G70+Data!G71+Data!G72+Data!G73)/(Data!AP62+Data!AP63+Data!AP64+Data!AP65+Data!AP66+Data!AP67+Data!AP68+Data!AP69+Data!AP70+Data!AP71+Data!AP72+Data!AP73)</f>
        <v>0.015703625848049</v>
      </c>
      <c r="J73" s="18" t="n">
        <f aca="false">(Data!H62+Data!I62+Data!J62+Data!M62+Data!H63+Data!I63+Data!J63+Data!M63+Data!H64+Data!I64+Data!J64+Data!M64+Data!H65+Data!I65+Data!J65+Data!M65+Data!H66+Data!I66+Data!J66+Data!M66+Data!H67+Data!I67+Data!J67+Data!M67+Data!H68+Data!I68+Data!J68+Data!M68+Data!H69+Data!I69+Data!J69+Data!M69+Data!H70+Data!I70+Data!J70+Data!M70+Data!H71+Data!I71+Data!J71+Data!M71+Data!H72+Data!I72+Data!J72+Data!M72+Data!H73+Data!I73+Data!J73+Data!M73)/(Data!AP62+Data!AP63+Data!AP64+Data!AP65+Data!AP66+Data!AP67+Data!AP68+Data!AP69+Data!AP70+Data!AP71+Data!AP72+Data!AP73)</f>
        <v>0.0199140448123771</v>
      </c>
      <c r="K73" s="18" t="n">
        <f aca="false">(Data!F62+Data!F63+Data!F64+Data!F65+Data!F66+Data!F67+Data!F68+Data!F69+Data!F70+Data!F71+Data!F72+Data!F73)/(Data!AP62+Data!AP63+Data!AP64+Data!AP65+Data!AP66+Data!AP67+Data!AP68+Data!AP69+Data!AP70+Data!AP71+Data!AP72+Data!AP73)</f>
        <v>0.0521054878087936</v>
      </c>
      <c r="L73" s="18" t="n">
        <f aca="false">(Data!N62+Data!O62+Data!P62+Data!Q62+Data!R62+Data!S62+Data!N63+Data!O63+Data!P63+Data!Q63+Data!R63+Data!S63+Data!N64+Data!O64+Data!P64+Data!Q64+Data!R64+Data!S64+Data!N65+Data!O65+Data!P65+Data!Q65+Data!R65+Data!S65+Data!N66+Data!O66+Data!P66+Data!Q66+Data!R66+Data!S66+Data!N67+Data!O67+Data!P67+Data!Q67+Data!R67+Data!S67+Data!N68+Data!O68+Data!P68+Data!Q68+Data!R68+Data!S68+Data!N69+Data!O69+Data!P69+Data!Q69+Data!R69+Data!S69+Data!N70+Data!O70+Data!P70+Data!Q70+Data!R70+Data!S70+Data!N71+Data!O71+Data!P71+Data!Q71+Data!R71+Data!S71+Data!N72+Data!O72+Data!P72+Data!Q72+Data!R72+Data!S72+Data!N73+Data!O73+Data!P73+Data!Q73+Data!R73+Data!S73)/(Data!AP62+Data!AP63+Data!AP64+Data!AP65+Data!AP66+Data!AP67+Data!AP68+Data!AP69+Data!AP70+Data!AP71+Data!AP72+Data!AP73)</f>
        <v>0.0194517278613715</v>
      </c>
      <c r="M73" s="17" t="n">
        <f aca="false">(Data!T62+Data!U62+Data!V62+Data!W62+Data!X62+Data!Y62+Data!Z62+Data!AA62+Data!AB62+Data!AC62+Data!AD62+Data!AE62+Data!AF62+Data!AG62+Data!AH62+Data!AI62+Data!AJ62+Data!AK62+Data!AL62+Data!T63+Data!U63+Data!V63+Data!W63+Data!X63+Data!Y63+Data!Z63+Data!AA63+Data!AB63+Data!AC63+Data!AD63+Data!AE63+Data!AF63+Data!AG63+Data!AH63+Data!AI63+Data!AJ63+Data!AK63+Data!AL63+Data!T64+Data!U64+Data!V64+Data!W64+Data!X64+Data!Y64+Data!Z64+Data!AA64+Data!AB64+Data!AC64+Data!AD64+Data!AE64+Data!AF64+Data!AG64+Data!AH64+Data!AI64+Data!AJ64+Data!AK64+Data!AL64+Data!T65+Data!U65+Data!V65+Data!W65+Data!X65+Data!Y65+Data!Z65+Data!AA65+Data!AB65+Data!AC65+Data!AD65+Data!AE65+Data!AF65+Data!AG65+Data!AH65+Data!AI65+Data!AJ65+Data!AK65+Data!AL65+Data!T66+Data!U66+Data!V66+Data!W66+Data!X66+Data!Y66+Data!Z66+Data!AA66+Data!AB66+Data!AC66+Data!AD66+Data!AE66+Data!AF66+Data!AG66+Data!AH66+Data!AI66+Data!AJ66+Data!AK66+Data!AL66+Data!T67+Data!U67+Data!V67+Data!W67+Data!X67+Data!Y67+Data!Z67+Data!AA67+Data!AB67+Data!AC67+Data!AD67+Data!AE67+Data!AF67+Data!AG67+Data!AH67+Data!AI67+Data!AJ67+Data!AK67+Data!AL67+Data!T68+Data!U68+Data!V68+Data!W68+Data!X68+Data!Y68+Data!Z68+Data!AA68+Data!AB68+Data!AC68+Data!AD68+Data!AE68+Data!AF68+Data!AG68+Data!AH68+Data!AI68+Data!AJ68+Data!AK68+Data!AL68+Data!T69+Data!U69+Data!V69+Data!W69+Data!X69+Data!Y69+Data!Z69+Data!AA69+Data!AB69+Data!AC69+Data!AD69+Data!AE69+Data!AF69+Data!AG69+Data!AH69+Data!AI69+Data!AJ69+Data!AK69+Data!AL69+Data!T70+Data!U70+Data!V70+Data!W70+Data!X70+Data!Y70+Data!Z70+Data!AA70+Data!AB70+Data!AC70+Data!AD70+Data!AE70+Data!AF70+Data!AG70+Data!AH70+Data!AI70+Data!AJ70+Data!AK70+Data!AL70+Data!T71+Data!U71+Data!V71+Data!W71+Data!X71+Data!Y71+Data!Z71+Data!AA71+Data!AB71+Data!AC71+Data!AD71+Data!AE71+Data!AF71+Data!AG71+Data!AH71+Data!AI71+Data!AJ71+Data!AK71+Data!AL71+Data!T72+Data!U72+Data!V72+Data!W72+Data!X72+Data!Y72+Data!Z72+Data!AA72+Data!AB72+Data!AC72+Data!AD72+Data!AE72+Data!AF72+Data!AG72+Data!AH72+Data!AI72+Data!AJ72+Data!AK72+Data!AL72+Data!T73+Data!U73+Data!V73+Data!W73+Data!X73+Data!Y73+Data!Z73+Data!AA73+Data!AB73+Data!AC73+Data!AD73+Data!AE73+Data!AF73+Data!AG73+Data!AH73+Data!AI73+Data!AJ73+Data!AK73+Data!AL73)/(Data!AP62+Data!AP63+Data!AP64+Data!AP65+Data!AP66+Data!AP67+Data!AP68+Data!AP69+Data!AP70+Data!AP71+Data!AP72+Data!AP73)</f>
        <v>0.208890734531235</v>
      </c>
      <c r="N73" s="18" t="n">
        <f aca="false">(Data!T62+Data!U62+Data!V62+Data!W62+Data!T63+Data!U63+Data!V63+Data!W63+Data!T64+Data!U64+Data!V64+Data!W64+Data!T65+Data!U65+Data!V65+Data!W65+Data!T66+Data!U66+Data!V66+Data!W66+Data!T67+Data!U67+Data!V67+Data!W67+Data!T68+Data!U68+Data!V68+Data!W68+Data!T69+Data!U69+Data!V69+Data!W69+Data!T70+Data!U70+Data!V70+Data!W70+Data!T71+Data!U71+Data!V71+Data!W71+Data!T72+Data!U72+Data!V72+Data!W72+Data!T73+Data!U73+Data!V73+Data!W73)/(Data!AP62+Data!AP63+Data!AP64+Data!AP65+Data!AP66+Data!AP67+Data!AP68+Data!AP69+Data!AP70+Data!AP71+Data!AP72+Data!AP73)</f>
        <v>0.103312741504479</v>
      </c>
      <c r="O73" s="18" t="n">
        <f aca="false">(Data!T62+Data!T63+Data!T64+Data!T65+Data!T66+Data!T67+Data!T68+Data!T69+Data!T70+Data!T71+Data!T72+Data!T73)/(Data!AP62+Data!AP63+Data!AP64+Data!AP65+Data!AP66+Data!AP67+Data!AP68+Data!AP69+Data!AP70+Data!AP71+Data!AP72+Data!AP73)</f>
        <v>0.0753022715539989</v>
      </c>
      <c r="P73" s="18" t="n">
        <f aca="false">(Data!U62+Data!U63+Data!U64+Data!U65+Data!U66+Data!U67+Data!U68+Data!U69+Data!U70+Data!U71+Data!U72+Data!U73)/(Data!AP62+Data!AP63+Data!AP64+Data!AP65+Data!AP66+Data!AP67+Data!AP68+Data!AP69+Data!AP70+Data!AP71+Data!AP72+Data!AP73)</f>
        <v>0.0125650169368208</v>
      </c>
      <c r="Q73" s="18" t="n">
        <f aca="false">(Data!V62+Data!V63+Data!V64+Data!V65+Data!V66+Data!V67+Data!V68+Data!V69+Data!V70+Data!V71+Data!V72+Data!V73)/(Data!AP62+Data!AP63+Data!AP64+Data!AP65+Data!AP66+Data!AP67+Data!AP68+Data!AP69+Data!AP70+Data!AP71+Data!AP72+Data!AP73)</f>
        <v>0.00732439163530502</v>
      </c>
      <c r="R73" s="18" t="n">
        <f aca="false">(Data!W62+Data!W63+Data!W64+Data!W65+Data!W66+Data!W67+Data!W68+Data!W69+Data!W70+Data!W71+Data!W72+Data!W73)/(Data!AP62+Data!AP63+Data!AP64+Data!AP65+Data!AP66+Data!AP67+Data!AP68+Data!AP69+Data!AP70+Data!AP71+Data!AP72+Data!AP73)</f>
        <v>0.00812106137835392</v>
      </c>
      <c r="S73" s="18" t="n">
        <f aca="false">(Data!X62+Data!X63+Data!X64+Data!X65+Data!X66+Data!X67+Data!X68+Data!X69+Data!X70+Data!X71+Data!X72+Data!X73)/(Data!AP62+Data!AP63+Data!AP64+Data!AP65+Data!AP66+Data!AP67+Data!AP68+Data!AP69+Data!AP70+Data!AP71+Data!AP72+Data!AP73)</f>
        <v>0.018773269318834</v>
      </c>
      <c r="T73" s="18" t="n">
        <f aca="false">(Data!Y62+Data!Z62+Data!AA62+Data!Y63+Data!Z63+Data!AA63+Data!Y64+Data!Z64+Data!AA64+Data!Y65+Data!Z65+Data!AA65+Data!Y66+Data!Z66+Data!AA66+Data!Y67+Data!Z67+Data!AA67+Data!Y68+Data!Z68+Data!AA68+Data!Y69+Data!Z69+Data!AA69+Data!Y70+Data!Z70+Data!AA70+Data!Y71+Data!Z71+Data!AA71+Data!Y72+Data!Z72+Data!AA72+Data!Y73+Data!Z73+Data!AA73)/(Data!AP62+Data!AP63+Data!AP64+Data!AP65+Data!AP66+Data!AP67+Data!AP68+Data!AP69+Data!AP70+Data!AP71+Data!AP72+Data!AP73)</f>
        <v>0.0262987856617</v>
      </c>
      <c r="U73" s="18" t="n">
        <f aca="false">(Data!Y62+Data!Y63+Data!Y64+Data!Y65+Data!Y66+Data!Y67+Data!Y68+Data!Y69+Data!Y70+Data!Y71+Data!Y72+Data!Y73)/(Data!AP62+Data!AP63+Data!AP64+Data!AP65+Data!AP66+Data!AP67+Data!AP68+Data!AP69+Data!AP70+Data!AP71+Data!AP72+Data!AP73)</f>
        <v>0.0187420598517912</v>
      </c>
      <c r="V73" s="18" t="n">
        <f aca="false">(Data!Z62+Data!Z63+Data!Z64+Data!Z65+Data!Z66+Data!Z67+Data!Z68+Data!Z69+Data!Z70+Data!Z71+Data!Z72+Data!Z73)/(Data!AP62+Data!AP63+Data!AP64+Data!AP65+Data!AP66+Data!AP67+Data!AP68+Data!AP69+Data!AP70+Data!AP71+Data!AP72+Data!AP73)</f>
        <v>0.00706731433871359</v>
      </c>
      <c r="W73" s="18" t="n">
        <f aca="false">(Data!AB62+Data!AB63+Data!AB64+Data!AB65+Data!AB66+Data!AB67+Data!AB68+Data!AB69+Data!AB70+Data!AB71+Data!AB72+Data!AB73)/(Data!AP62+Data!AP63+Data!AP64+Data!AP65+Data!AP66+Data!AP67+Data!AP68+Data!AP69+Data!AP70+Data!AP71+Data!AP72+Data!AP73)</f>
        <v>0.022726664427439</v>
      </c>
      <c r="X73" s="18" t="n">
        <f aca="false">(Data!AC62+Data!AC63+Data!AC64+Data!AC65+Data!AC66+Data!AC67+Data!AC68+Data!AC69+Data!AC70+Data!AC71+Data!AC72+Data!AC73)/(Data!AP62+Data!AP63+Data!AP64+Data!AP65+Data!AP66+Data!AP67+Data!AP68+Data!AP69+Data!AP70+Data!AP71+Data!AP72+Data!AP73)</f>
        <v>0.00800947684550226</v>
      </c>
      <c r="Y73" s="18" t="n">
        <f aca="false">(Data!AD62+Data!AE62+Data!AF62+Data!AG62+Data!AH62+Data!AD63+Data!AE63+Data!AF63+Data!AG63+Data!AH63+Data!AD64+Data!AE64+Data!AF64+Data!AG64+Data!AH64+Data!AD65+Data!AE65+Data!AF65+Data!AG65+Data!AH65+Data!AD66+Data!AE66+Data!AF66+Data!AG66+Data!AH66+Data!AD67+Data!AE67+Data!AF67+Data!AG67+Data!AH67+Data!AD68+Data!AE68+Data!AF68+Data!AG68+Data!AH68+Data!AD69+Data!AE69+Data!AF69+Data!AG69+Data!AH69+Data!AD70+Data!AE70+Data!AF70+Data!AG70+Data!AH70+Data!AD71+Data!AE71+Data!AF71+Data!AG71+Data!AH71+Data!AD72+Data!AE72+Data!AF72+Data!AG72+Data!AH72+Data!AD73+Data!AE73+Data!AF73+Data!AG73+Data!AH73)/(Data!AP62+Data!AP63+Data!AP64+Data!AP65+Data!AP66+Data!AP67+Data!AP68+Data!AP69+Data!AP70+Data!AP71+Data!AP72+Data!AP73)</f>
        <v>0.00762798920768542</v>
      </c>
      <c r="Z73" s="18" t="n">
        <f aca="false">(Data!AI62+Data!AI63+Data!AI64+Data!AI65+Data!AI66+Data!AI67+Data!AI68+Data!AI69+Data!AI70+Data!AI71+Data!AI72+Data!AI73)/(Data!AP62+Data!AP63+Data!AP64+Data!AP65+Data!AP66+Data!AP67+Data!AP68+Data!AP69+Data!AP70+Data!AP71+Data!AP72+Data!AP73)</f>
        <v>0.00666290056842867</v>
      </c>
      <c r="AA73" s="18" t="n">
        <f aca="false">(Data!AJ62+Data!AJ63+Data!AJ64+Data!AJ65+Data!AJ66+Data!AJ67+Data!AJ68+Data!AJ69+Data!AJ70+Data!AJ71+Data!AJ72+Data!AJ73)/(Data!AP62+Data!AP63+Data!AP64+Data!AP65+Data!AP66+Data!AP67+Data!AP68+Data!AP69+Data!AP70+Data!AP71+Data!AP72+Data!AP73)</f>
        <v>0</v>
      </c>
      <c r="AB73" s="18" t="n">
        <f aca="false">(Data!AK62+Data!AK63+Data!AK64+Data!AK65+Data!AK66+Data!AK67+Data!AK68+Data!AK69+Data!AK70+Data!AK71+Data!AK72+Data!AK73)/(Data!AP62+Data!AP63+Data!AP64+Data!AP65+Data!AP66+Data!AP67+Data!AP68+Data!AP69+Data!AP70+Data!AP71+Data!AP72+Data!AP73)</f>
        <v>0.00355042424176207</v>
      </c>
      <c r="AC73" s="18" t="n">
        <f aca="false">(Data!AL62+Data!AL63+Data!AL64+Data!AL65+Data!AL66+Data!AL67+Data!AL68+Data!AL69+Data!AL70+Data!AL71+Data!AL72+Data!AL73)/(Data!AP62+Data!AP63+Data!AP64+Data!AP65+Data!AP66+Data!AP67+Data!AP68+Data!AP69+Data!AP70+Data!AP71+Data!AP72+Data!AP73)</f>
        <v>0.0119284827554051</v>
      </c>
      <c r="AD73" s="17" t="n">
        <f aca="false">(Data!AM62+Data!AM63+Data!AM64+Data!AM65+Data!AM66+Data!AM67+Data!AM68+Data!AM69+Data!AM70+Data!AM71+Data!AM72+Data!AM73)/(Data!AP62+Data!AP63+Data!AP64+Data!AP65+Data!AP66+Data!AP67+Data!AP68+Data!AP69+Data!AP70+Data!AP71+Data!AP72+Data!AP73)</f>
        <v>-0.027022241415282</v>
      </c>
      <c r="AE73" s="18" t="n">
        <f aca="false">(Data!AN62+Data!AN63+Data!AN64+Data!AN65+Data!AN66+Data!AN67+Data!AN68+Data!AN69+Data!AN70+Data!AN71+Data!AN72+Data!AN73)/(Data!AP62+Data!AP63+Data!AP64+Data!AP65+Data!AP66+Data!AP67+Data!AP68+Data!AP69+Data!AP70+Data!AP71+Data!AP72+Data!AP73)</f>
        <v>0.0155532165244326</v>
      </c>
      <c r="AF73" s="17" t="n">
        <f aca="false">(Data!AO62+Data!AO63+Data!AO64+Data!AO65+Data!AO66+Data!AO67+Data!AO68+Data!AO69+Data!AO70+Data!AO71+Data!AO72+Data!AO73)/(Data!AP62+Data!AP63+Data!AP64+Data!AP65+Data!AP66+Data!AP67+Data!AP68+Data!AP69+Data!AP70+Data!AP71+Data!AP72+Data!AP73)</f>
        <v>-0.0425754579397146</v>
      </c>
    </row>
    <row r="74" customFormat="false" ht="15" hidden="false" customHeight="false" outlineLevel="0" collapsed="false">
      <c r="B74" s="14" t="str">
        <f aca="false">Data!B74</f>
        <v>2021-08</v>
      </c>
      <c r="C74" s="17" t="n">
        <f aca="false">(Data!D63+Data!E63+Data!F63+Data!G63+Data!H63+Data!I63+Data!J63+Data!K63+Data!L63+Data!M63+Data!N63+Data!O63+Data!P63+Data!Q63+Data!R63+Data!S63+Data!D64+Data!E64+Data!F64+Data!G64+Data!H64+Data!I64+Data!J64+Data!K64+Data!L64+Data!M64+Data!N64+Data!O64+Data!P64+Data!Q64+Data!R64+Data!S64+Data!D65+Data!E65+Data!F65+Data!G65+Data!H65+Data!I65+Data!J65+Data!K65+Data!L65+Data!M65+Data!N65+Data!O65+Data!P65+Data!Q65+Data!R65+Data!S65+Data!D66+Data!E66+Data!F66+Data!G66+Data!H66+Data!I66+Data!J66+Data!K66+Data!L66+Data!M66+Data!N66+Data!O66+Data!P66+Data!Q66+Data!R66+Data!S66+Data!D67+Data!E67+Data!F67+Data!G67+Data!H67+Data!I67+Data!J67+Data!K67+Data!L67+Data!M67+Data!N67+Data!O67+Data!P67+Data!Q67+Data!R67+Data!S67+Data!D68+Data!E68+Data!F68+Data!G68+Data!H68+Data!I68+Data!J68+Data!K68+Data!L68+Data!M68+Data!N68+Data!O68+Data!P68+Data!Q68+Data!R68+Data!S68+Data!D69+Data!E69+Data!F69+Data!G69+Data!H69+Data!I69+Data!J69+Data!K69+Data!L69+Data!M69+Data!N69+Data!O69+Data!P69+Data!Q69+Data!R69+Data!S69+Data!D70+Data!E70+Data!F70+Data!G70+Data!H70+Data!I70+Data!J70+Data!K70+Data!L70+Data!M70+Data!N70+Data!O70+Data!P70+Data!Q70+Data!R70+Data!S70+Data!D71+Data!E71+Data!F71+Data!G71+Data!H71+Data!I71+Data!J71+Data!K71+Data!L71+Data!M71+Data!N71+Data!O71+Data!P71+Data!Q71+Data!R71+Data!S71+Data!D72+Data!E72+Data!F72+Data!G72+Data!H72+Data!I72+Data!J72+Data!K72+Data!L72+Data!M72+Data!N72+Data!O72+Data!P72+Data!Q72+Data!R72+Data!S72+Data!D73+Data!E73+Data!F73+Data!G73+Data!H73+Data!I73+Data!J73+Data!K73+Data!L73+Data!M73+Data!N73+Data!O73+Data!P73+Data!Q73+Data!R73+Data!S73+Data!D74+Data!E74+Data!F74+Data!G74+Data!H74+Data!I74+Data!J74+Data!K74+Data!L74+Data!M74+Data!N74+Data!O74+Data!P74+Data!Q74+Data!R74+Data!S74)/(Data!AP63+Data!AP64+Data!AP65+Data!AP66+Data!AP67+Data!AP68+Data!AP69+Data!AP70+Data!AP71+Data!AP72+Data!AP73+Data!AP74)</f>
        <v>0.182095237398488</v>
      </c>
      <c r="D74" s="18" t="n">
        <f aca="false">(Data!D63+Data!E63+Data!G63+Data!H63+Data!I63+Data!J63+Data!K63+Data!L63+Data!M63+Data!D64+Data!E64+Data!G64+Data!H64+Data!I64+Data!J64+Data!K64+Data!L64+Data!M64+Data!D65+Data!E65+Data!G65+Data!H65+Data!I65+Data!J65+Data!K65+Data!L65+Data!M65+Data!D66+Data!E66+Data!G66+Data!H66+Data!I66+Data!J66+Data!K66+Data!L66+Data!M66+Data!D67+Data!E67+Data!G67+Data!H67+Data!I67+Data!J67+Data!K67+Data!L67+Data!M67+Data!D68+Data!E68+Data!G68+Data!H68+Data!I68+Data!J68+Data!K68+Data!L68+Data!M68+Data!D69+Data!E69+Data!G69+Data!H69+Data!I69+Data!J69+Data!K69+Data!L69+Data!M69+Data!D70+Data!E70+Data!G70+Data!H70+Data!I70+Data!J70+Data!K70+Data!L70+Data!M70+Data!D71+Data!E71+Data!G71+Data!H71+Data!I71+Data!J71+Data!K71+Data!L71+Data!M71+Data!D72+Data!E72+Data!G72+Data!H72+Data!I72+Data!J72+Data!K72+Data!L72+Data!M72+Data!D73+Data!E73+Data!G73+Data!H73+Data!I73+Data!J73+Data!K73+Data!L73+Data!M73+Data!D74+Data!E74+Data!G74+Data!H74+Data!I74+Data!J74+Data!K74+Data!L74+Data!M74)/(Data!AP63+Data!AP64+Data!AP65+Data!AP66+Data!AP67+Data!AP68+Data!AP69+Data!AP70+Data!AP71+Data!AP72+Data!AP73+Data!AP74)</f>
        <v>0.110499202189409</v>
      </c>
      <c r="E74" s="18" t="n">
        <f aca="false">(Data!D63+Data!D64+Data!D65+Data!D66+Data!D67+Data!D68+Data!D69+Data!D70+Data!D71+Data!D72+Data!D73+Data!D74)/(Data!AP63+Data!AP64+Data!AP65+Data!AP66+Data!AP67+Data!AP68+Data!AP69+Data!AP70+Data!AP71+Data!AP72+Data!AP73+Data!AP74)</f>
        <v>0.0315037400133156</v>
      </c>
      <c r="F74" s="18" t="n">
        <f aca="false">(Data!E63+Data!E64+Data!E65+Data!E66+Data!E67+Data!E68+Data!E69+Data!E70+Data!E71+Data!E72+Data!E73+Data!E74)/(Data!AP63+Data!AP64+Data!AP65+Data!AP66+Data!AP67+Data!AP68+Data!AP69+Data!AP70+Data!AP71+Data!AP72+Data!AP73+Data!AP74)</f>
        <v>0.0179077171744076</v>
      </c>
      <c r="G74" s="18" t="n">
        <f aca="false">(Data!K63+Data!K64+Data!K65+Data!K66+Data!K67+Data!K68+Data!K69+Data!K70+Data!K71+Data!K72+Data!K73+Data!K74)/(Data!AP63+Data!AP64+Data!AP65+Data!AP66+Data!AP67+Data!AP68+Data!AP69+Data!AP70+Data!AP71+Data!AP72+Data!AP73+Data!AP74)</f>
        <v>0.0195627176863604</v>
      </c>
      <c r="H74" s="18" t="n">
        <f aca="false">(Data!L63+Data!L64+Data!L65+Data!L66+Data!L67+Data!L68+Data!L69+Data!L70+Data!L71+Data!L72+Data!L73+Data!L74)/(Data!AP63+Data!AP64+Data!AP65+Data!AP66+Data!AP67+Data!AP68+Data!AP69+Data!AP70+Data!AP71+Data!AP72+Data!AP73+Data!AP74)</f>
        <v>0.00632015230481515</v>
      </c>
      <c r="I74" s="18" t="n">
        <f aca="false">(Data!G63+Data!G64+Data!G65+Data!G66+Data!G67+Data!G68+Data!G69+Data!G70+Data!G71+Data!G72+Data!G73+Data!G74)/(Data!AP63+Data!AP64+Data!AP65+Data!AP66+Data!AP67+Data!AP68+Data!AP69+Data!AP70+Data!AP71+Data!AP72+Data!AP73+Data!AP74)</f>
        <v>0.0156913084010104</v>
      </c>
      <c r="J74" s="18" t="n">
        <f aca="false">(Data!H63+Data!I63+Data!J63+Data!M63+Data!H64+Data!I64+Data!J64+Data!M64+Data!H65+Data!I65+Data!J65+Data!M65+Data!H66+Data!I66+Data!J66+Data!M66+Data!H67+Data!I67+Data!J67+Data!M67+Data!H68+Data!I68+Data!J68+Data!M68+Data!H69+Data!I69+Data!J69+Data!M69+Data!H70+Data!I70+Data!J70+Data!M70+Data!H71+Data!I71+Data!J71+Data!M71+Data!H72+Data!I72+Data!J72+Data!M72+Data!H73+Data!I73+Data!J73+Data!M73+Data!H74+Data!I74+Data!J74+Data!M74)/(Data!AP63+Data!AP64+Data!AP65+Data!AP66+Data!AP67+Data!AP68+Data!AP69+Data!AP70+Data!AP71+Data!AP72+Data!AP73+Data!AP74)</f>
        <v>0.0195135666094996</v>
      </c>
      <c r="K74" s="18" t="n">
        <f aca="false">(Data!F63+Data!F64+Data!F65+Data!F66+Data!F67+Data!F68+Data!F69+Data!F70+Data!F71+Data!F72+Data!F73+Data!F74)/(Data!AP63+Data!AP64+Data!AP65+Data!AP66+Data!AP67+Data!AP68+Data!AP69+Data!AP70+Data!AP71+Data!AP72+Data!AP73+Data!AP74)</f>
        <v>0.0517948105775763</v>
      </c>
      <c r="L74" s="18" t="n">
        <f aca="false">(Data!N63+Data!O63+Data!P63+Data!Q63+Data!R63+Data!S63+Data!N64+Data!O64+Data!P64+Data!Q64+Data!R64+Data!S64+Data!N65+Data!O65+Data!P65+Data!Q65+Data!R65+Data!S65+Data!N66+Data!O66+Data!P66+Data!Q66+Data!R66+Data!S66+Data!N67+Data!O67+Data!P67+Data!Q67+Data!R67+Data!S67+Data!N68+Data!O68+Data!P68+Data!Q68+Data!R68+Data!S68+Data!N69+Data!O69+Data!P69+Data!Q69+Data!R69+Data!S69+Data!N70+Data!O70+Data!P70+Data!Q70+Data!R70+Data!S70+Data!N71+Data!O71+Data!P71+Data!Q71+Data!R71+Data!S71+Data!N72+Data!O72+Data!P72+Data!Q72+Data!R72+Data!S72+Data!N73+Data!O73+Data!P73+Data!Q73+Data!R73+Data!S73+Data!N74+Data!O74+Data!P74+Data!Q74+Data!R74+Data!S74)/(Data!AP63+Data!AP64+Data!AP65+Data!AP66+Data!AP67+Data!AP68+Data!AP69+Data!AP70+Data!AP71+Data!AP72+Data!AP73+Data!AP74)</f>
        <v>0.0198012246315026</v>
      </c>
      <c r="M74" s="17" t="n">
        <f aca="false">(Data!T63+Data!U63+Data!V63+Data!W63+Data!X63+Data!Y63+Data!Z63+Data!AA63+Data!AB63+Data!AC63+Data!AD63+Data!AE63+Data!AF63+Data!AG63+Data!AH63+Data!AI63+Data!AJ63+Data!AK63+Data!AL63+Data!T64+Data!U64+Data!V64+Data!W64+Data!X64+Data!Y64+Data!Z64+Data!AA64+Data!AB64+Data!AC64+Data!AD64+Data!AE64+Data!AF64+Data!AG64+Data!AH64+Data!AI64+Data!AJ64+Data!AK64+Data!AL64+Data!T65+Data!U65+Data!V65+Data!W65+Data!X65+Data!Y65+Data!Z65+Data!AA65+Data!AB65+Data!AC65+Data!AD65+Data!AE65+Data!AF65+Data!AG65+Data!AH65+Data!AI65+Data!AJ65+Data!AK65+Data!AL65+Data!T66+Data!U66+Data!V66+Data!W66+Data!X66+Data!Y66+Data!Z66+Data!AA66+Data!AB66+Data!AC66+Data!AD66+Data!AE66+Data!AF66+Data!AG66+Data!AH66+Data!AI66+Data!AJ66+Data!AK66+Data!AL66+Data!T67+Data!U67+Data!V67+Data!W67+Data!X67+Data!Y67+Data!Z67+Data!AA67+Data!AB67+Data!AC67+Data!AD67+Data!AE67+Data!AF67+Data!AG67+Data!AH67+Data!AI67+Data!AJ67+Data!AK67+Data!AL67+Data!T68+Data!U68+Data!V68+Data!W68+Data!X68+Data!Y68+Data!Z68+Data!AA68+Data!AB68+Data!AC68+Data!AD68+Data!AE68+Data!AF68+Data!AG68+Data!AH68+Data!AI68+Data!AJ68+Data!AK68+Data!AL68+Data!T69+Data!U69+Data!V69+Data!W69+Data!X69+Data!Y69+Data!Z69+Data!AA69+Data!AB69+Data!AC69+Data!AD69+Data!AE69+Data!AF69+Data!AG69+Data!AH69+Data!AI69+Data!AJ69+Data!AK69+Data!AL69+Data!T70+Data!U70+Data!V70+Data!W70+Data!X70+Data!Y70+Data!Z70+Data!AA70+Data!AB70+Data!AC70+Data!AD70+Data!AE70+Data!AF70+Data!AG70+Data!AH70+Data!AI70+Data!AJ70+Data!AK70+Data!AL70+Data!T71+Data!U71+Data!V71+Data!W71+Data!X71+Data!Y71+Data!Z71+Data!AA71+Data!AB71+Data!AC71+Data!AD71+Data!AE71+Data!AF71+Data!AG71+Data!AH71+Data!AI71+Data!AJ71+Data!AK71+Data!AL71+Data!T72+Data!U72+Data!V72+Data!W72+Data!X72+Data!Y72+Data!Z72+Data!AA72+Data!AB72+Data!AC72+Data!AD72+Data!AE72+Data!AF72+Data!AG72+Data!AH72+Data!AI72+Data!AJ72+Data!AK72+Data!AL72+Data!T73+Data!U73+Data!V73+Data!W73+Data!X73+Data!Y73+Data!Z73+Data!AA73+Data!AB73+Data!AC73+Data!AD73+Data!AE73+Data!AF73+Data!AG73+Data!AH73+Data!AI73+Data!AJ73+Data!AK73+Data!AL73+Data!T74+Data!U74+Data!V74+Data!W74+Data!X74+Data!Y74+Data!Z74+Data!AA74+Data!AB74+Data!AC74+Data!AD74+Data!AE74+Data!AF74+Data!AG74+Data!AH74+Data!AI74+Data!AJ74+Data!AK74+Data!AL74)/(Data!AP63+Data!AP64+Data!AP65+Data!AP66+Data!AP67+Data!AP68+Data!AP69+Data!AP70+Data!AP71+Data!AP72+Data!AP73+Data!AP74)</f>
        <v>0.208902449866385</v>
      </c>
      <c r="N74" s="18" t="n">
        <f aca="false">(Data!T63+Data!U63+Data!V63+Data!W63+Data!T64+Data!U64+Data!V64+Data!W64+Data!T65+Data!U65+Data!V65+Data!W65+Data!T66+Data!U66+Data!V66+Data!W66+Data!T67+Data!U67+Data!V67+Data!W67+Data!T68+Data!U68+Data!V68+Data!W68+Data!T69+Data!U69+Data!V69+Data!W69+Data!T70+Data!U70+Data!V70+Data!W70+Data!T71+Data!U71+Data!V71+Data!W71+Data!T72+Data!U72+Data!V72+Data!W72+Data!T73+Data!U73+Data!V73+Data!W73+Data!T74+Data!U74+Data!V74+Data!W74)/(Data!AP63+Data!AP64+Data!AP65+Data!AP66+Data!AP67+Data!AP68+Data!AP69+Data!AP70+Data!AP71+Data!AP72+Data!AP73+Data!AP74)</f>
        <v>0.102074774208902</v>
      </c>
      <c r="O74" s="18" t="n">
        <f aca="false">(Data!T63+Data!T64+Data!T65+Data!T66+Data!T67+Data!T68+Data!T69+Data!T70+Data!T71+Data!T72+Data!T73+Data!T74)/(Data!AP63+Data!AP64+Data!AP65+Data!AP66+Data!AP67+Data!AP68+Data!AP69+Data!AP70+Data!AP71+Data!AP72+Data!AP73+Data!AP74)</f>
        <v>0.0742763184759758</v>
      </c>
      <c r="P74" s="18" t="n">
        <f aca="false">(Data!U63+Data!U64+Data!U65+Data!U66+Data!U67+Data!U68+Data!U69+Data!U70+Data!U71+Data!U72+Data!U73+Data!U74)/(Data!AP63+Data!AP64+Data!AP65+Data!AP66+Data!AP67+Data!AP68+Data!AP69+Data!AP70+Data!AP71+Data!AP72+Data!AP73+Data!AP74)</f>
        <v>0.0126322621718323</v>
      </c>
      <c r="Q74" s="18" t="n">
        <f aca="false">(Data!V63+Data!V64+Data!V65+Data!V66+Data!V67+Data!V68+Data!V69+Data!V70+Data!V71+Data!V72+Data!V73+Data!V74)/(Data!AP63+Data!AP64+Data!AP65+Data!AP66+Data!AP67+Data!AP68+Data!AP69+Data!AP70+Data!AP71+Data!AP72+Data!AP73+Data!AP74)</f>
        <v>0.00731459717724735</v>
      </c>
      <c r="R74" s="18" t="n">
        <f aca="false">(Data!W63+Data!W64+Data!W65+Data!W66+Data!W67+Data!W68+Data!W69+Data!W70+Data!W71+Data!W72+Data!W73+Data!W74)/(Data!AP63+Data!AP64+Data!AP65+Data!AP66+Data!AP67+Data!AP68+Data!AP69+Data!AP70+Data!AP71+Data!AP72+Data!AP73+Data!AP74)</f>
        <v>0.00785159638384637</v>
      </c>
      <c r="S74" s="18" t="n">
        <f aca="false">(Data!X63+Data!X64+Data!X65+Data!X66+Data!X67+Data!X68+Data!X69+Data!X70+Data!X71+Data!X72+Data!X73+Data!X74)/(Data!AP63+Data!AP64+Data!AP65+Data!AP66+Data!AP67+Data!AP68+Data!AP69+Data!AP70+Data!AP71+Data!AP72+Data!AP73+Data!AP74)</f>
        <v>0.0177923824692986</v>
      </c>
      <c r="T74" s="18" t="n">
        <f aca="false">(Data!Y63+Data!Z63+Data!AA63+Data!Y64+Data!Z64+Data!AA64+Data!Y65+Data!Z65+Data!AA65+Data!Y66+Data!Z66+Data!AA66+Data!Y67+Data!Z67+Data!AA67+Data!Y68+Data!Z68+Data!AA68+Data!Y69+Data!Z69+Data!AA69+Data!Y70+Data!Z70+Data!AA70+Data!Y71+Data!Z71+Data!AA71+Data!Y72+Data!Z72+Data!AA72+Data!Y73+Data!Z73+Data!AA73+Data!Y74+Data!Z74+Data!AA74)/(Data!AP63+Data!AP64+Data!AP65+Data!AP66+Data!AP67+Data!AP68+Data!AP69+Data!AP70+Data!AP71+Data!AP72+Data!AP73+Data!AP74)</f>
        <v>0.0279320780195247</v>
      </c>
      <c r="U74" s="18" t="n">
        <f aca="false">(Data!Y63+Data!Y64+Data!Y65+Data!Y66+Data!Y67+Data!Y68+Data!Y69+Data!Y70+Data!Y71+Data!Y72+Data!Y73+Data!Y74)/(Data!AP63+Data!AP64+Data!AP65+Data!AP66+Data!AP67+Data!AP68+Data!AP69+Data!AP70+Data!AP71+Data!AP72+Data!AP73+Data!AP74)</f>
        <v>0.0205895115999991</v>
      </c>
      <c r="V74" s="18" t="n">
        <f aca="false">(Data!Z63+Data!Z64+Data!Z65+Data!Z66+Data!Z67+Data!Z68+Data!Z69+Data!Z70+Data!Z71+Data!Z72+Data!Z73+Data!Z74)/(Data!AP63+Data!AP64+Data!AP65+Data!AP66+Data!AP67+Data!AP68+Data!AP69+Data!AP70+Data!AP71+Data!AP72+Data!AP73+Data!AP74)</f>
        <v>0.00689810647332163</v>
      </c>
      <c r="W74" s="18" t="n">
        <f aca="false">(Data!AB63+Data!AB64+Data!AB65+Data!AB66+Data!AB67+Data!AB68+Data!AB69+Data!AB70+Data!AB71+Data!AB72+Data!AB73+Data!AB74)/(Data!AP63+Data!AP64+Data!AP65+Data!AP66+Data!AP67+Data!AP68+Data!AP69+Data!AP70+Data!AP71+Data!AP72+Data!AP73+Data!AP74)</f>
        <v>0.022583037272384</v>
      </c>
      <c r="X74" s="18" t="n">
        <f aca="false">(Data!AC63+Data!AC64+Data!AC65+Data!AC66+Data!AC67+Data!AC68+Data!AC69+Data!AC70+Data!AC71+Data!AC72+Data!AC73+Data!AC74)/(Data!AP63+Data!AP64+Data!AP65+Data!AP66+Data!AP67+Data!AP68+Data!AP69+Data!AP70+Data!AP71+Data!AP72+Data!AP73+Data!AP74)</f>
        <v>0.00854560241752028</v>
      </c>
      <c r="Y74" s="18" t="n">
        <f aca="false">(Data!AD63+Data!AE63+Data!AF63+Data!AG63+Data!AH63+Data!AD64+Data!AE64+Data!AF64+Data!AG64+Data!AH64+Data!AD65+Data!AE65+Data!AF65+Data!AG65+Data!AH65+Data!AD66+Data!AE66+Data!AF66+Data!AG66+Data!AH66+Data!AD67+Data!AE67+Data!AF67+Data!AG67+Data!AH67+Data!AD68+Data!AE68+Data!AF68+Data!AG68+Data!AH68+Data!AD69+Data!AE69+Data!AF69+Data!AG69+Data!AH69+Data!AD70+Data!AE70+Data!AF70+Data!AG70+Data!AH70+Data!AD71+Data!AE71+Data!AF71+Data!AG71+Data!AH71+Data!AD72+Data!AE72+Data!AF72+Data!AG72+Data!AH72+Data!AD73+Data!AE73+Data!AF73+Data!AG73+Data!AH73+Data!AD74+Data!AE74+Data!AF74+Data!AG74+Data!AH74)/(Data!AP63+Data!AP64+Data!AP65+Data!AP66+Data!AP67+Data!AP68+Data!AP69+Data!AP70+Data!AP71+Data!AP72+Data!AP73+Data!AP74)</f>
        <v>0.0076139346630588</v>
      </c>
      <c r="Z74" s="18" t="n">
        <f aca="false">(Data!AI63+Data!AI64+Data!AI65+Data!AI66+Data!AI67+Data!AI68+Data!AI69+Data!AI70+Data!AI71+Data!AI72+Data!AI73+Data!AI74)/(Data!AP63+Data!AP64+Data!AP65+Data!AP66+Data!AP67+Data!AP68+Data!AP69+Data!AP70+Data!AP71+Data!AP72+Data!AP73+Data!AP74)</f>
        <v>0.00649470394046202</v>
      </c>
      <c r="AA74" s="18" t="n">
        <f aca="false">(Data!AJ63+Data!AJ64+Data!AJ65+Data!AJ66+Data!AJ67+Data!AJ68+Data!AJ69+Data!AJ70+Data!AJ71+Data!AJ72+Data!AJ73+Data!AJ74)/(Data!AP63+Data!AP64+Data!AP65+Data!AP66+Data!AP67+Data!AP68+Data!AP69+Data!AP70+Data!AP71+Data!AP72+Data!AP73+Data!AP74)</f>
        <v>0</v>
      </c>
      <c r="AB74" s="18" t="n">
        <f aca="false">(Data!AK63+Data!AK64+Data!AK65+Data!AK66+Data!AK67+Data!AK68+Data!AK69+Data!AK70+Data!AK71+Data!AK72+Data!AK73+Data!AK74)/(Data!AP63+Data!AP64+Data!AP65+Data!AP66+Data!AP67+Data!AP68+Data!AP69+Data!AP70+Data!AP71+Data!AP72+Data!AP73+Data!AP74)</f>
        <v>0.00378255827668399</v>
      </c>
      <c r="AC74" s="18" t="n">
        <f aca="false">(Data!AL63+Data!AL64+Data!AL65+Data!AL66+Data!AL67+Data!AL68+Data!AL69+Data!AL70+Data!AL71+Data!AL72+Data!AL73+Data!AL74)/(Data!AP63+Data!AP64+Data!AP65+Data!AP66+Data!AP67+Data!AP68+Data!AP69+Data!AP70+Data!AP71+Data!AP72+Data!AP73+Data!AP74)</f>
        <v>0.012083378598551</v>
      </c>
      <c r="AD74" s="17" t="n">
        <f aca="false">(Data!AM63+Data!AM64+Data!AM65+Data!AM66+Data!AM67+Data!AM68+Data!AM69+Data!AM70+Data!AM71+Data!AM72+Data!AM73+Data!AM74)/(Data!AP63+Data!AP64+Data!AP65+Data!AP66+Data!AP67+Data!AP68+Data!AP69+Data!AP70+Data!AP71+Data!AP72+Data!AP73+Data!AP74)</f>
        <v>-0.0268072124678975</v>
      </c>
      <c r="AE74" s="18" t="n">
        <f aca="false">(Data!AN63+Data!AN64+Data!AN65+Data!AN66+Data!AN67+Data!AN68+Data!AN69+Data!AN70+Data!AN71+Data!AN72+Data!AN73+Data!AN74)/(Data!AP63+Data!AP64+Data!AP65+Data!AP66+Data!AP67+Data!AP68+Data!AP69+Data!AP70+Data!AP71+Data!AP72+Data!AP73+Data!AP74)</f>
        <v>0.0152288170019091</v>
      </c>
      <c r="AF74" s="17" t="n">
        <f aca="false">(Data!AO63+Data!AO64+Data!AO65+Data!AO66+Data!AO67+Data!AO68+Data!AO69+Data!AO70+Data!AO71+Data!AO72+Data!AO73+Data!AO74)/(Data!AP63+Data!AP64+Data!AP65+Data!AP66+Data!AP67+Data!AP68+Data!AP69+Data!AP70+Data!AP71+Data!AP72+Data!AP73+Data!AP74)</f>
        <v>-0.0420360294698066</v>
      </c>
    </row>
    <row r="75" customFormat="false" ht="15" hidden="false" customHeight="false" outlineLevel="0" collapsed="false">
      <c r="B75" s="14" t="str">
        <f aca="false">Data!B75</f>
        <v>2021-09</v>
      </c>
      <c r="C75" s="17" t="n">
        <f aca="false">(Data!D64+Data!E64+Data!F64+Data!G64+Data!H64+Data!I64+Data!J64+Data!K64+Data!L64+Data!M64+Data!N64+Data!O64+Data!P64+Data!Q64+Data!R64+Data!S64+Data!D65+Data!E65+Data!F65+Data!G65+Data!H65+Data!I65+Data!J65+Data!K65+Data!L65+Data!M65+Data!N65+Data!O65+Data!P65+Data!Q65+Data!R65+Data!S65+Data!D66+Data!E66+Data!F66+Data!G66+Data!H66+Data!I66+Data!J66+Data!K66+Data!L66+Data!M66+Data!N66+Data!O66+Data!P66+Data!Q66+Data!R66+Data!S66+Data!D67+Data!E67+Data!F67+Data!G67+Data!H67+Data!I67+Data!J67+Data!K67+Data!L67+Data!M67+Data!N67+Data!O67+Data!P67+Data!Q67+Data!R67+Data!S67+Data!D68+Data!E68+Data!F68+Data!G68+Data!H68+Data!I68+Data!J68+Data!K68+Data!L68+Data!M68+Data!N68+Data!O68+Data!P68+Data!Q68+Data!R68+Data!S68+Data!D69+Data!E69+Data!F69+Data!G69+Data!H69+Data!I69+Data!J69+Data!K69+Data!L69+Data!M69+Data!N69+Data!O69+Data!P69+Data!Q69+Data!R69+Data!S69+Data!D70+Data!E70+Data!F70+Data!G70+Data!H70+Data!I70+Data!J70+Data!K70+Data!L70+Data!M70+Data!N70+Data!O70+Data!P70+Data!Q70+Data!R70+Data!S70+Data!D71+Data!E71+Data!F71+Data!G71+Data!H71+Data!I71+Data!J71+Data!K71+Data!L71+Data!M71+Data!N71+Data!O71+Data!P71+Data!Q71+Data!R71+Data!S71+Data!D72+Data!E72+Data!F72+Data!G72+Data!H72+Data!I72+Data!J72+Data!K72+Data!L72+Data!M72+Data!N72+Data!O72+Data!P72+Data!Q72+Data!R72+Data!S72+Data!D73+Data!E73+Data!F73+Data!G73+Data!H73+Data!I73+Data!J73+Data!K73+Data!L73+Data!M73+Data!N73+Data!O73+Data!P73+Data!Q73+Data!R73+Data!S73+Data!D74+Data!E74+Data!F74+Data!G74+Data!H74+Data!I74+Data!J74+Data!K74+Data!L74+Data!M74+Data!N74+Data!O74+Data!P74+Data!Q74+Data!R74+Data!S74+Data!D75+Data!E75+Data!F75+Data!G75+Data!H75+Data!I75+Data!J75+Data!K75+Data!L75+Data!M75+Data!N75+Data!O75+Data!P75+Data!Q75+Data!R75+Data!S75)/(Data!AP64+Data!AP65+Data!AP66+Data!AP67+Data!AP68+Data!AP69+Data!AP70+Data!AP71+Data!AP72+Data!AP73+Data!AP74+Data!AP75)</f>
        <v>0.19227088690824</v>
      </c>
      <c r="D75" s="18" t="n">
        <f aca="false">(Data!D64+Data!E64+Data!G64+Data!H64+Data!I64+Data!J64+Data!K64+Data!L64+Data!M64+Data!D65+Data!E65+Data!G65+Data!H65+Data!I65+Data!J65+Data!K65+Data!L65+Data!M65+Data!D66+Data!E66+Data!G66+Data!H66+Data!I66+Data!J66+Data!K66+Data!L66+Data!M66+Data!D67+Data!E67+Data!G67+Data!H67+Data!I67+Data!J67+Data!K67+Data!L67+Data!M67+Data!D68+Data!E68+Data!G68+Data!H68+Data!I68+Data!J68+Data!K68+Data!L68+Data!M68+Data!D69+Data!E69+Data!G69+Data!H69+Data!I69+Data!J69+Data!K69+Data!L69+Data!M69+Data!D70+Data!E70+Data!G70+Data!H70+Data!I70+Data!J70+Data!K70+Data!L70+Data!M70+Data!D71+Data!E71+Data!G71+Data!H71+Data!I71+Data!J71+Data!K71+Data!L71+Data!M71+Data!D72+Data!E72+Data!G72+Data!H72+Data!I72+Data!J72+Data!K72+Data!L72+Data!M72+Data!D73+Data!E73+Data!G73+Data!H73+Data!I73+Data!J73+Data!K73+Data!L73+Data!M73+Data!D74+Data!E74+Data!G74+Data!H74+Data!I74+Data!J74+Data!K74+Data!L74+Data!M74+Data!D75+Data!E75+Data!G75+Data!H75+Data!I75+Data!J75+Data!K75+Data!L75+Data!M75)/(Data!AP64+Data!AP65+Data!AP66+Data!AP67+Data!AP68+Data!AP69+Data!AP70+Data!AP71+Data!AP72+Data!AP73+Data!AP74+Data!AP75)</f>
        <v>0.11047897695775</v>
      </c>
      <c r="E75" s="18" t="n">
        <f aca="false">(Data!D64+Data!D65+Data!D66+Data!D67+Data!D68+Data!D69+Data!D70+Data!D71+Data!D72+Data!D73+Data!D74+Data!D75)/(Data!AP64+Data!AP65+Data!AP66+Data!AP67+Data!AP68+Data!AP69+Data!AP70+Data!AP71+Data!AP72+Data!AP73+Data!AP74+Data!AP75)</f>
        <v>0.03170740071303</v>
      </c>
      <c r="F75" s="18" t="n">
        <f aca="false">(Data!E64+Data!E65+Data!E66+Data!E67+Data!E68+Data!E69+Data!E70+Data!E71+Data!E72+Data!E73+Data!E74+Data!E75)/(Data!AP64+Data!AP65+Data!AP66+Data!AP67+Data!AP68+Data!AP69+Data!AP70+Data!AP71+Data!AP72+Data!AP73+Data!AP74+Data!AP75)</f>
        <v>0.0179487549285351</v>
      </c>
      <c r="G75" s="18" t="n">
        <f aca="false">(Data!K64+Data!K65+Data!K66+Data!K67+Data!K68+Data!K69+Data!K70+Data!K71+Data!K72+Data!K73+Data!K74+Data!K75)/(Data!AP64+Data!AP65+Data!AP66+Data!AP67+Data!AP68+Data!AP69+Data!AP70+Data!AP71+Data!AP72+Data!AP73+Data!AP74+Data!AP75)</f>
        <v>0.0195723773995748</v>
      </c>
      <c r="H75" s="18" t="n">
        <f aca="false">(Data!L64+Data!L65+Data!L66+Data!L67+Data!L68+Data!L69+Data!L70+Data!L71+Data!L72+Data!L73+Data!L74+Data!L75)/(Data!AP64+Data!AP65+Data!AP66+Data!AP67+Data!AP68+Data!AP69+Data!AP70+Data!AP71+Data!AP72+Data!AP73+Data!AP74+Data!AP75)</f>
        <v>0.00641213969741301</v>
      </c>
      <c r="I75" s="18" t="n">
        <f aca="false">(Data!G64+Data!G65+Data!G66+Data!G67+Data!G68+Data!G69+Data!G70+Data!G71+Data!G72+Data!G73+Data!G74+Data!G75)/(Data!AP64+Data!AP65+Data!AP66+Data!AP67+Data!AP68+Data!AP69+Data!AP70+Data!AP71+Data!AP72+Data!AP73+Data!AP74+Data!AP75)</f>
        <v>0.0158291893256852</v>
      </c>
      <c r="J75" s="18" t="n">
        <f aca="false">(Data!H64+Data!I64+Data!J64+Data!M64+Data!H65+Data!I65+Data!J65+Data!M65+Data!H66+Data!I66+Data!J66+Data!M66+Data!H67+Data!I67+Data!J67+Data!M67+Data!H68+Data!I68+Data!J68+Data!M68+Data!H69+Data!I69+Data!J69+Data!M69+Data!H70+Data!I70+Data!J70+Data!M70+Data!H71+Data!I71+Data!J71+Data!M71+Data!H72+Data!I72+Data!J72+Data!M72+Data!H73+Data!I73+Data!J73+Data!M73+Data!H74+Data!I74+Data!J74+Data!M74+Data!H75+Data!I75+Data!J75+Data!M75)/(Data!AP64+Data!AP65+Data!AP66+Data!AP67+Data!AP68+Data!AP69+Data!AP70+Data!AP71+Data!AP72+Data!AP73+Data!AP74+Data!AP75)</f>
        <v>0.0190091148935116</v>
      </c>
      <c r="K75" s="18" t="n">
        <f aca="false">(Data!F64+Data!F65+Data!F66+Data!F67+Data!F68+Data!F69+Data!F70+Data!F71+Data!F72+Data!F73+Data!F74+Data!F75)/(Data!AP64+Data!AP65+Data!AP66+Data!AP67+Data!AP68+Data!AP69+Data!AP70+Data!AP71+Data!AP72+Data!AP73+Data!AP74+Data!AP75)</f>
        <v>0.0515502836171736</v>
      </c>
      <c r="L75" s="18" t="n">
        <f aca="false">(Data!N64+Data!O64+Data!P64+Data!Q64+Data!R64+Data!S64+Data!N65+Data!O65+Data!P65+Data!Q65+Data!R65+Data!S65+Data!N66+Data!O66+Data!P66+Data!Q66+Data!R66+Data!S66+Data!N67+Data!O67+Data!P67+Data!Q67+Data!R67+Data!S67+Data!N68+Data!O68+Data!P68+Data!Q68+Data!R68+Data!S68+Data!N69+Data!O69+Data!P69+Data!Q69+Data!R69+Data!S69+Data!N70+Data!O70+Data!P70+Data!Q70+Data!R70+Data!S70+Data!N71+Data!O71+Data!P71+Data!Q71+Data!R71+Data!S71+Data!N72+Data!O72+Data!P72+Data!Q72+Data!R72+Data!S72+Data!N73+Data!O73+Data!P73+Data!Q73+Data!R73+Data!S73+Data!N74+Data!O74+Data!P74+Data!Q74+Data!R74+Data!S74+Data!N75+Data!O75+Data!P75+Data!Q75+Data!R75+Data!S75)/(Data!AP64+Data!AP65+Data!AP66+Data!AP67+Data!AP68+Data!AP69+Data!AP70+Data!AP71+Data!AP72+Data!AP73+Data!AP74+Data!AP75)</f>
        <v>0.0302416263333162</v>
      </c>
      <c r="M75" s="17" t="n">
        <f aca="false">(Data!T64+Data!U64+Data!V64+Data!W64+Data!X64+Data!Y64+Data!Z64+Data!AA64+Data!AB64+Data!AC64+Data!AD64+Data!AE64+Data!AF64+Data!AG64+Data!AH64+Data!AI64+Data!AJ64+Data!AK64+Data!AL64+Data!T65+Data!U65+Data!V65+Data!W65+Data!X65+Data!Y65+Data!Z65+Data!AA65+Data!AB65+Data!AC65+Data!AD65+Data!AE65+Data!AF65+Data!AG65+Data!AH65+Data!AI65+Data!AJ65+Data!AK65+Data!AL65+Data!T66+Data!U66+Data!V66+Data!W66+Data!X66+Data!Y66+Data!Z66+Data!AA66+Data!AB66+Data!AC66+Data!AD66+Data!AE66+Data!AF66+Data!AG66+Data!AH66+Data!AI66+Data!AJ66+Data!AK66+Data!AL66+Data!T67+Data!U67+Data!V67+Data!W67+Data!X67+Data!Y67+Data!Z67+Data!AA67+Data!AB67+Data!AC67+Data!AD67+Data!AE67+Data!AF67+Data!AG67+Data!AH67+Data!AI67+Data!AJ67+Data!AK67+Data!AL67+Data!T68+Data!U68+Data!V68+Data!W68+Data!X68+Data!Y68+Data!Z68+Data!AA68+Data!AB68+Data!AC68+Data!AD68+Data!AE68+Data!AF68+Data!AG68+Data!AH68+Data!AI68+Data!AJ68+Data!AK68+Data!AL68+Data!T69+Data!U69+Data!V69+Data!W69+Data!X69+Data!Y69+Data!Z69+Data!AA69+Data!AB69+Data!AC69+Data!AD69+Data!AE69+Data!AF69+Data!AG69+Data!AH69+Data!AI69+Data!AJ69+Data!AK69+Data!AL69+Data!T70+Data!U70+Data!V70+Data!W70+Data!X70+Data!Y70+Data!Z70+Data!AA70+Data!AB70+Data!AC70+Data!AD70+Data!AE70+Data!AF70+Data!AG70+Data!AH70+Data!AI70+Data!AJ70+Data!AK70+Data!AL70+Data!T71+Data!U71+Data!V71+Data!W71+Data!X71+Data!Y71+Data!Z71+Data!AA71+Data!AB71+Data!AC71+Data!AD71+Data!AE71+Data!AF71+Data!AG71+Data!AH71+Data!AI71+Data!AJ71+Data!AK71+Data!AL71+Data!T72+Data!U72+Data!V72+Data!W72+Data!X72+Data!Y72+Data!Z72+Data!AA72+Data!AB72+Data!AC72+Data!AD72+Data!AE72+Data!AF72+Data!AG72+Data!AH72+Data!AI72+Data!AJ72+Data!AK72+Data!AL72+Data!T73+Data!U73+Data!V73+Data!W73+Data!X73+Data!Y73+Data!Z73+Data!AA73+Data!AB73+Data!AC73+Data!AD73+Data!AE73+Data!AF73+Data!AG73+Data!AH73+Data!AI73+Data!AJ73+Data!AK73+Data!AL73+Data!T74+Data!U74+Data!V74+Data!W74+Data!X74+Data!Y74+Data!Z74+Data!AA74+Data!AB74+Data!AC74+Data!AD74+Data!AE74+Data!AF74+Data!AG74+Data!AH74+Data!AI74+Data!AJ74+Data!AK74+Data!AL74+Data!T75+Data!U75+Data!V75+Data!W75+Data!X75+Data!Y75+Data!Z75+Data!AA75+Data!AB75+Data!AC75+Data!AD75+Data!AE75+Data!AF75+Data!AG75+Data!AH75+Data!AI75+Data!AJ75+Data!AK75+Data!AL75)/(Data!AP64+Data!AP65+Data!AP66+Data!AP67+Data!AP68+Data!AP69+Data!AP70+Data!AP71+Data!AP72+Data!AP73+Data!AP74+Data!AP75)</f>
        <v>0.206712796097229</v>
      </c>
      <c r="N75" s="18" t="n">
        <f aca="false">(Data!T64+Data!U64+Data!V64+Data!W64+Data!T65+Data!U65+Data!V65+Data!W65+Data!T66+Data!U66+Data!V66+Data!W66+Data!T67+Data!U67+Data!V67+Data!W67+Data!T68+Data!U68+Data!V68+Data!W68+Data!T69+Data!U69+Data!V69+Data!W69+Data!T70+Data!U70+Data!V70+Data!W70+Data!T71+Data!U71+Data!V71+Data!W71+Data!T72+Data!U72+Data!V72+Data!W72+Data!T73+Data!U73+Data!V73+Data!W73+Data!T74+Data!U74+Data!V74+Data!W74+Data!T75+Data!U75+Data!V75+Data!W75)/(Data!AP64+Data!AP65+Data!AP66+Data!AP67+Data!AP68+Data!AP69+Data!AP70+Data!AP71+Data!AP72+Data!AP73+Data!AP74+Data!AP75)</f>
        <v>0.101094395849274</v>
      </c>
      <c r="O75" s="18" t="n">
        <f aca="false">(Data!T64+Data!T65+Data!T66+Data!T67+Data!T68+Data!T69+Data!T70+Data!T71+Data!T72+Data!T73+Data!T74+Data!T75)/(Data!AP64+Data!AP65+Data!AP66+Data!AP67+Data!AP68+Data!AP69+Data!AP70+Data!AP71+Data!AP72+Data!AP73+Data!AP74+Data!AP75)</f>
        <v>0.0735695888740378</v>
      </c>
      <c r="P75" s="18" t="n">
        <f aca="false">(Data!U64+Data!U65+Data!U66+Data!U67+Data!U68+Data!U69+Data!U70+Data!U71+Data!U72+Data!U73+Data!U74+Data!U75)/(Data!AP64+Data!AP65+Data!AP66+Data!AP67+Data!AP68+Data!AP69+Data!AP70+Data!AP71+Data!AP72+Data!AP73+Data!AP74+Data!AP75)</f>
        <v>0.0124796759142918</v>
      </c>
      <c r="Q75" s="18" t="n">
        <f aca="false">(Data!V64+Data!V65+Data!V66+Data!V67+Data!V68+Data!V69+Data!V70+Data!V71+Data!V72+Data!V73+Data!V74+Data!V75)/(Data!AP64+Data!AP65+Data!AP66+Data!AP67+Data!AP68+Data!AP69+Data!AP70+Data!AP71+Data!AP72+Data!AP73+Data!AP74+Data!AP75)</f>
        <v>0.00722377901187495</v>
      </c>
      <c r="R75" s="18" t="n">
        <f aca="false">(Data!W64+Data!W65+Data!W66+Data!W67+Data!W68+Data!W69+Data!W70+Data!W71+Data!W72+Data!W73+Data!W74+Data!W75)/(Data!AP64+Data!AP65+Data!AP66+Data!AP67+Data!AP68+Data!AP69+Data!AP70+Data!AP71+Data!AP72+Data!AP73+Data!AP74+Data!AP75)</f>
        <v>0.00782135204906965</v>
      </c>
      <c r="S75" s="18" t="n">
        <f aca="false">(Data!X64+Data!X65+Data!X66+Data!X67+Data!X68+Data!X69+Data!X70+Data!X71+Data!X72+Data!X73+Data!X74+Data!X75)/(Data!AP64+Data!AP65+Data!AP66+Data!AP67+Data!AP68+Data!AP69+Data!AP70+Data!AP71+Data!AP72+Data!AP73+Data!AP74+Data!AP75)</f>
        <v>0.0161324089515619</v>
      </c>
      <c r="T75" s="18" t="n">
        <f aca="false">(Data!Y64+Data!Z64+Data!AA64+Data!Y65+Data!Z65+Data!AA65+Data!Y66+Data!Z66+Data!AA66+Data!Y67+Data!Z67+Data!AA67+Data!Y68+Data!Z68+Data!AA68+Data!Y69+Data!Z69+Data!AA69+Data!Y70+Data!Z70+Data!AA70+Data!Y71+Data!Z71+Data!AA71+Data!Y72+Data!Z72+Data!AA72+Data!Y73+Data!Z73+Data!AA73+Data!Y74+Data!Z74+Data!AA74+Data!Y75+Data!Z75+Data!AA75)/(Data!AP64+Data!AP65+Data!AP66+Data!AP67+Data!AP68+Data!AP69+Data!AP70+Data!AP71+Data!AP72+Data!AP73+Data!AP74+Data!AP75)</f>
        <v>0.0279884535083078</v>
      </c>
      <c r="U75" s="18" t="n">
        <f aca="false">(Data!Y64+Data!Y65+Data!Y66+Data!Y67+Data!Y68+Data!Y69+Data!Y70+Data!Y71+Data!Y72+Data!Y73+Data!Y74+Data!Y75)/(Data!AP64+Data!AP65+Data!AP66+Data!AP67+Data!AP68+Data!AP69+Data!AP70+Data!AP71+Data!AP72+Data!AP73+Data!AP74+Data!AP75)</f>
        <v>0.0208489403749671</v>
      </c>
      <c r="V75" s="18" t="n">
        <f aca="false">(Data!Z64+Data!Z65+Data!Z66+Data!Z67+Data!Z68+Data!Z69+Data!Z70+Data!Z71+Data!Z72+Data!Z73+Data!Z74+Data!Z75)/(Data!AP64+Data!AP65+Data!AP66+Data!AP67+Data!AP68+Data!AP69+Data!AP70+Data!AP71+Data!AP72+Data!AP73+Data!AP74+Data!AP75)</f>
        <v>0.00669779881523026</v>
      </c>
      <c r="W75" s="18" t="n">
        <f aca="false">(Data!AB64+Data!AB65+Data!AB66+Data!AB67+Data!AB68+Data!AB69+Data!AB70+Data!AB71+Data!AB72+Data!AB73+Data!AB74+Data!AB75)/(Data!AP64+Data!AP65+Data!AP66+Data!AP67+Data!AP68+Data!AP69+Data!AP70+Data!AP71+Data!AP72+Data!AP73+Data!AP74+Data!AP75)</f>
        <v>0.0227276445756646</v>
      </c>
      <c r="X75" s="18" t="n">
        <f aca="false">(Data!AC64+Data!AC65+Data!AC66+Data!AC67+Data!AC68+Data!AC69+Data!AC70+Data!AC71+Data!AC72+Data!AC73+Data!AC74+Data!AC75)/(Data!AP64+Data!AP65+Data!AP66+Data!AP67+Data!AP68+Data!AP69+Data!AP70+Data!AP71+Data!AP72+Data!AP73+Data!AP74+Data!AP75)</f>
        <v>0.00872010621959708</v>
      </c>
      <c r="Y75" s="18" t="n">
        <f aca="false">(Data!AD64+Data!AE64+Data!AF64+Data!AG64+Data!AH64+Data!AD65+Data!AE65+Data!AF65+Data!AG65+Data!AH65+Data!AD66+Data!AE66+Data!AF66+Data!AG66+Data!AH66+Data!AD67+Data!AE67+Data!AF67+Data!AG67+Data!AH67+Data!AD68+Data!AE68+Data!AF68+Data!AG68+Data!AH68+Data!AD69+Data!AE69+Data!AF69+Data!AG69+Data!AH69+Data!AD70+Data!AE70+Data!AF70+Data!AG70+Data!AH70+Data!AD71+Data!AE71+Data!AF71+Data!AG71+Data!AH71+Data!AD72+Data!AE72+Data!AF72+Data!AG72+Data!AH72+Data!AD73+Data!AE73+Data!AF73+Data!AG73+Data!AH73+Data!AD74+Data!AE74+Data!AF74+Data!AG74+Data!AH74+Data!AD75+Data!AE75+Data!AF75+Data!AG75+Data!AH75)/(Data!AP64+Data!AP65+Data!AP66+Data!AP67+Data!AP68+Data!AP69+Data!AP70+Data!AP71+Data!AP72+Data!AP73+Data!AP74+Data!AP75)</f>
        <v>0.00756194773281259</v>
      </c>
      <c r="Z75" s="18" t="n">
        <f aca="false">(Data!AI64+Data!AI65+Data!AI66+Data!AI67+Data!AI68+Data!AI69+Data!AI70+Data!AI71+Data!AI72+Data!AI73+Data!AI74+Data!AI75)/(Data!AP64+Data!AP65+Data!AP66+Data!AP67+Data!AP68+Data!AP69+Data!AP70+Data!AP71+Data!AP72+Data!AP73+Data!AP74+Data!AP75)</f>
        <v>0.00640192267454206</v>
      </c>
      <c r="AA75" s="18" t="n">
        <f aca="false">(Data!AJ64+Data!AJ65+Data!AJ66+Data!AJ67+Data!AJ68+Data!AJ69+Data!AJ70+Data!AJ71+Data!AJ72+Data!AJ73+Data!AJ74+Data!AJ75)/(Data!AP64+Data!AP65+Data!AP66+Data!AP67+Data!AP68+Data!AP69+Data!AP70+Data!AP71+Data!AP72+Data!AP73+Data!AP74+Data!AP75)</f>
        <v>0</v>
      </c>
      <c r="AB75" s="18" t="n">
        <f aca="false">(Data!AK64+Data!AK65+Data!AK66+Data!AK67+Data!AK68+Data!AK69+Data!AK70+Data!AK71+Data!AK72+Data!AK73+Data!AK74+Data!AK75)/(Data!AP64+Data!AP65+Data!AP66+Data!AP67+Data!AP68+Data!AP69+Data!AP70+Data!AP71+Data!AP72+Data!AP73+Data!AP74+Data!AP75)</f>
        <v>0.00397822872022362</v>
      </c>
      <c r="AC75" s="18" t="n">
        <f aca="false">(Data!AL64+Data!AL65+Data!AL66+Data!AL67+Data!AL68+Data!AL69+Data!AL70+Data!AL71+Data!AL72+Data!AL73+Data!AL74+Data!AL75)/(Data!AP64+Data!AP65+Data!AP66+Data!AP67+Data!AP68+Data!AP69+Data!AP70+Data!AP71+Data!AP72+Data!AP73+Data!AP74+Data!AP75)</f>
        <v>0.0121076878652452</v>
      </c>
      <c r="AD75" s="17" t="n">
        <f aca="false">(Data!AM64+Data!AM65+Data!AM66+Data!AM67+Data!AM68+Data!AM69+Data!AM70+Data!AM71+Data!AM72+Data!AM73+Data!AM74+Data!AM75)/(Data!AP64+Data!AP65+Data!AP66+Data!AP67+Data!AP68+Data!AP69+Data!AP70+Data!AP71+Data!AP72+Data!AP73+Data!AP74+Data!AP75)</f>
        <v>-0.0144419091889895</v>
      </c>
      <c r="AE75" s="18" t="n">
        <f aca="false">(Data!AN64+Data!AN65+Data!AN66+Data!AN67+Data!AN68+Data!AN69+Data!AN70+Data!AN71+Data!AN72+Data!AN73+Data!AN74+Data!AN75)/(Data!AP64+Data!AP65+Data!AP66+Data!AP67+Data!AP68+Data!AP69+Data!AP70+Data!AP71+Data!AP72+Data!AP73+Data!AP74+Data!AP75)</f>
        <v>0.0148322682310828</v>
      </c>
      <c r="AF75" s="17" t="n">
        <f aca="false">(Data!AO64+Data!AO65+Data!AO66+Data!AO67+Data!AO68+Data!AO69+Data!AO70+Data!AO71+Data!AO72+Data!AO73+Data!AO74+Data!AO75)/(Data!AP64+Data!AP65+Data!AP66+Data!AP67+Data!AP68+Data!AP69+Data!AP70+Data!AP71+Data!AP72+Data!AP73+Data!AP74+Data!AP75)</f>
        <v>-0.0292741774200723</v>
      </c>
    </row>
    <row r="76" customFormat="false" ht="15" hidden="false" customHeight="false" outlineLevel="0" collapsed="false">
      <c r="B76" s="14" t="str">
        <f aca="false">Data!B76</f>
        <v>2021-10</v>
      </c>
      <c r="C76" s="17" t="n">
        <f aca="false">(Data!D65+Data!E65+Data!F65+Data!G65+Data!H65+Data!I65+Data!J65+Data!K65+Data!L65+Data!M65+Data!N65+Data!O65+Data!P65+Data!Q65+Data!R65+Data!S65+Data!D66+Data!E66+Data!F66+Data!G66+Data!H66+Data!I66+Data!J66+Data!K66+Data!L66+Data!M66+Data!N66+Data!O66+Data!P66+Data!Q66+Data!R66+Data!S66+Data!D67+Data!E67+Data!F67+Data!G67+Data!H67+Data!I67+Data!J67+Data!K67+Data!L67+Data!M67+Data!N67+Data!O67+Data!P67+Data!Q67+Data!R67+Data!S67+Data!D68+Data!E68+Data!F68+Data!G68+Data!H68+Data!I68+Data!J68+Data!K68+Data!L68+Data!M68+Data!N68+Data!O68+Data!P68+Data!Q68+Data!R68+Data!S68+Data!D69+Data!E69+Data!F69+Data!G69+Data!H69+Data!I69+Data!J69+Data!K69+Data!L69+Data!M69+Data!N69+Data!O69+Data!P69+Data!Q69+Data!R69+Data!S69+Data!D70+Data!E70+Data!F70+Data!G70+Data!H70+Data!I70+Data!J70+Data!K70+Data!L70+Data!M70+Data!N70+Data!O70+Data!P70+Data!Q70+Data!R70+Data!S70+Data!D71+Data!E71+Data!F71+Data!G71+Data!H71+Data!I71+Data!J71+Data!K71+Data!L71+Data!M71+Data!N71+Data!O71+Data!P71+Data!Q71+Data!R71+Data!S71+Data!D72+Data!E72+Data!F72+Data!G72+Data!H72+Data!I72+Data!J72+Data!K72+Data!L72+Data!M72+Data!N72+Data!O72+Data!P72+Data!Q72+Data!R72+Data!S72+Data!D73+Data!E73+Data!F73+Data!G73+Data!H73+Data!I73+Data!J73+Data!K73+Data!L73+Data!M73+Data!N73+Data!O73+Data!P73+Data!Q73+Data!R73+Data!S73+Data!D74+Data!E74+Data!F74+Data!G74+Data!H74+Data!I74+Data!J74+Data!K74+Data!L74+Data!M74+Data!N74+Data!O74+Data!P74+Data!Q74+Data!R74+Data!S74+Data!D75+Data!E75+Data!F75+Data!G75+Data!H75+Data!I75+Data!J75+Data!K75+Data!L75+Data!M75+Data!N75+Data!O75+Data!P75+Data!Q75+Data!R75+Data!S75+Data!D76+Data!E76+Data!F76+Data!G76+Data!H76+Data!I76+Data!J76+Data!K76+Data!L76+Data!M76+Data!N76+Data!O76+Data!P76+Data!Q76+Data!R76+Data!S76)/(Data!AP65+Data!AP66+Data!AP67+Data!AP68+Data!AP69+Data!AP70+Data!AP71+Data!AP72+Data!AP73+Data!AP74+Data!AP75+Data!AP76)</f>
        <v>0.191679171233956</v>
      </c>
      <c r="D76" s="18" t="n">
        <f aca="false">(Data!D65+Data!E65+Data!G65+Data!H65+Data!I65+Data!J65+Data!K65+Data!L65+Data!M65+Data!D66+Data!E66+Data!G66+Data!H66+Data!I66+Data!J66+Data!K66+Data!L66+Data!M66+Data!D67+Data!E67+Data!G67+Data!H67+Data!I67+Data!J67+Data!K67+Data!L67+Data!M67+Data!D68+Data!E68+Data!G68+Data!H68+Data!I68+Data!J68+Data!K68+Data!L68+Data!M68+Data!D69+Data!E69+Data!G69+Data!H69+Data!I69+Data!J69+Data!K69+Data!L69+Data!M69+Data!D70+Data!E70+Data!G70+Data!H70+Data!I70+Data!J70+Data!K70+Data!L70+Data!M70+Data!D71+Data!E71+Data!G71+Data!H71+Data!I71+Data!J71+Data!K71+Data!L71+Data!M71+Data!D72+Data!E72+Data!G72+Data!H72+Data!I72+Data!J72+Data!K72+Data!L72+Data!M72+Data!D73+Data!E73+Data!G73+Data!H73+Data!I73+Data!J73+Data!K73+Data!L73+Data!M73+Data!D74+Data!E74+Data!G74+Data!H74+Data!I74+Data!J74+Data!K74+Data!L74+Data!M74+Data!D75+Data!E75+Data!G75+Data!H75+Data!I75+Data!J75+Data!K75+Data!L75+Data!M75+Data!D76+Data!E76+Data!G76+Data!H76+Data!I76+Data!J76+Data!K76+Data!L76+Data!M76)/(Data!AP65+Data!AP66+Data!AP67+Data!AP68+Data!AP69+Data!AP70+Data!AP71+Data!AP72+Data!AP73+Data!AP74+Data!AP75+Data!AP76)</f>
        <v>0.110390457906699</v>
      </c>
      <c r="E76" s="18" t="n">
        <f aca="false">(Data!D65+Data!D66+Data!D67+Data!D68+Data!D69+Data!D70+Data!D71+Data!D72+Data!D73+Data!D74+Data!D75+Data!D76)/(Data!AP65+Data!AP66+Data!AP67+Data!AP68+Data!AP69+Data!AP70+Data!AP71+Data!AP72+Data!AP73+Data!AP74+Data!AP75+Data!AP76)</f>
        <v>0.0314093469202933</v>
      </c>
      <c r="F76" s="18" t="n">
        <f aca="false">(Data!E65+Data!E66+Data!E67+Data!E68+Data!E69+Data!E70+Data!E71+Data!E72+Data!E73+Data!E74+Data!E75+Data!E76)/(Data!AP65+Data!AP66+Data!AP67+Data!AP68+Data!AP69+Data!AP70+Data!AP71+Data!AP72+Data!AP73+Data!AP74+Data!AP75+Data!AP76)</f>
        <v>0.0179401874945568</v>
      </c>
      <c r="G76" s="18" t="n">
        <f aca="false">(Data!K65+Data!K66+Data!K67+Data!K68+Data!K69+Data!K70+Data!K71+Data!K72+Data!K73+Data!K74+Data!K75+Data!K76)/(Data!AP65+Data!AP66+Data!AP67+Data!AP68+Data!AP69+Data!AP70+Data!AP71+Data!AP72+Data!AP73+Data!AP74+Data!AP75+Data!AP76)</f>
        <v>0.0199363288189041</v>
      </c>
      <c r="H76" s="18" t="n">
        <f aca="false">(Data!L65+Data!L66+Data!L67+Data!L68+Data!L69+Data!L70+Data!L71+Data!L72+Data!L73+Data!L74+Data!L75+Data!L76)/(Data!AP65+Data!AP66+Data!AP67+Data!AP68+Data!AP69+Data!AP70+Data!AP71+Data!AP72+Data!AP73+Data!AP74+Data!AP75+Data!AP76)</f>
        <v>0.00640690559267897</v>
      </c>
      <c r="I76" s="18" t="n">
        <f aca="false">(Data!G65+Data!G66+Data!G67+Data!G68+Data!G69+Data!G70+Data!G71+Data!G72+Data!G73+Data!G74+Data!G75+Data!G76)/(Data!AP65+Data!AP66+Data!AP67+Data!AP68+Data!AP69+Data!AP70+Data!AP71+Data!AP72+Data!AP73+Data!AP74+Data!AP75+Data!AP76)</f>
        <v>0.0158144354661519</v>
      </c>
      <c r="J76" s="18" t="n">
        <f aca="false">(Data!H65+Data!I65+Data!J65+Data!M65+Data!H66+Data!I66+Data!J66+Data!M66+Data!H67+Data!I67+Data!J67+Data!M67+Data!H68+Data!I68+Data!J68+Data!M68+Data!H69+Data!I69+Data!J69+Data!M69+Data!H70+Data!I70+Data!J70+Data!M70+Data!H71+Data!I71+Data!J71+Data!M71+Data!H72+Data!I72+Data!J72+Data!M72+Data!H73+Data!I73+Data!J73+Data!M73+Data!H74+Data!I74+Data!J74+Data!M74+Data!H75+Data!I75+Data!J75+Data!M75+Data!H76+Data!I76+Data!J76+Data!M76)/(Data!AP65+Data!AP66+Data!AP67+Data!AP68+Data!AP69+Data!AP70+Data!AP71+Data!AP72+Data!AP73+Data!AP74+Data!AP75+Data!AP76)</f>
        <v>0.0188832536141134</v>
      </c>
      <c r="K76" s="18" t="n">
        <f aca="false">(Data!F65+Data!F66+Data!F67+Data!F68+Data!F69+Data!F70+Data!F71+Data!F72+Data!F73+Data!F74+Data!F75+Data!F76)/(Data!AP65+Data!AP66+Data!AP67+Data!AP68+Data!AP69+Data!AP70+Data!AP71+Data!AP72+Data!AP73+Data!AP74+Data!AP75+Data!AP76)</f>
        <v>0.0514037981863693</v>
      </c>
      <c r="L76" s="18" t="n">
        <f aca="false">(Data!N65+Data!O65+Data!P65+Data!Q65+Data!R65+Data!S65+Data!N66+Data!O66+Data!P66+Data!Q66+Data!R66+Data!S66+Data!N67+Data!O67+Data!P67+Data!Q67+Data!R67+Data!S67+Data!N68+Data!O68+Data!P68+Data!Q68+Data!R68+Data!S68+Data!N69+Data!O69+Data!P69+Data!Q69+Data!R69+Data!S69+Data!N70+Data!O70+Data!P70+Data!Q70+Data!R70+Data!S70+Data!N71+Data!O71+Data!P71+Data!Q71+Data!R71+Data!S71+Data!N72+Data!O72+Data!P72+Data!Q72+Data!R72+Data!S72+Data!N73+Data!O73+Data!P73+Data!Q73+Data!R73+Data!S73+Data!N74+Data!O74+Data!P74+Data!Q74+Data!R74+Data!S74+Data!N75+Data!O75+Data!P75+Data!Q75+Data!R75+Data!S75+Data!N76+Data!O76+Data!P76+Data!Q76+Data!R76+Data!S76)/(Data!AP65+Data!AP66+Data!AP67+Data!AP68+Data!AP69+Data!AP70+Data!AP71+Data!AP72+Data!AP73+Data!AP74+Data!AP75+Data!AP76)</f>
        <v>0.0298849151408878</v>
      </c>
      <c r="M76" s="17" t="n">
        <f aca="false">(Data!T65+Data!U65+Data!V65+Data!W65+Data!X65+Data!Y65+Data!Z65+Data!AA65+Data!AB65+Data!AC65+Data!AD65+Data!AE65+Data!AF65+Data!AG65+Data!AH65+Data!AI65+Data!AJ65+Data!AK65+Data!AL65+Data!T66+Data!U66+Data!V66+Data!W66+Data!X66+Data!Y66+Data!Z66+Data!AA66+Data!AB66+Data!AC66+Data!AD66+Data!AE66+Data!AF66+Data!AG66+Data!AH66+Data!AI66+Data!AJ66+Data!AK66+Data!AL66+Data!T67+Data!U67+Data!V67+Data!W67+Data!X67+Data!Y67+Data!Z67+Data!AA67+Data!AB67+Data!AC67+Data!AD67+Data!AE67+Data!AF67+Data!AG67+Data!AH67+Data!AI67+Data!AJ67+Data!AK67+Data!AL67+Data!T68+Data!U68+Data!V68+Data!W68+Data!X68+Data!Y68+Data!Z68+Data!AA68+Data!AB68+Data!AC68+Data!AD68+Data!AE68+Data!AF68+Data!AG68+Data!AH68+Data!AI68+Data!AJ68+Data!AK68+Data!AL68+Data!T69+Data!U69+Data!V69+Data!W69+Data!X69+Data!Y69+Data!Z69+Data!AA69+Data!AB69+Data!AC69+Data!AD69+Data!AE69+Data!AF69+Data!AG69+Data!AH69+Data!AI69+Data!AJ69+Data!AK69+Data!AL69+Data!T70+Data!U70+Data!V70+Data!W70+Data!X70+Data!Y70+Data!Z70+Data!AA70+Data!AB70+Data!AC70+Data!AD70+Data!AE70+Data!AF70+Data!AG70+Data!AH70+Data!AI70+Data!AJ70+Data!AK70+Data!AL70+Data!T71+Data!U71+Data!V71+Data!W71+Data!X71+Data!Y71+Data!Z71+Data!AA71+Data!AB71+Data!AC71+Data!AD71+Data!AE71+Data!AF71+Data!AG71+Data!AH71+Data!AI71+Data!AJ71+Data!AK71+Data!AL71+Data!T72+Data!U72+Data!V72+Data!W72+Data!X72+Data!Y72+Data!Z72+Data!AA72+Data!AB72+Data!AC72+Data!AD72+Data!AE72+Data!AF72+Data!AG72+Data!AH72+Data!AI72+Data!AJ72+Data!AK72+Data!AL72+Data!T73+Data!U73+Data!V73+Data!W73+Data!X73+Data!Y73+Data!Z73+Data!AA73+Data!AB73+Data!AC73+Data!AD73+Data!AE73+Data!AF73+Data!AG73+Data!AH73+Data!AI73+Data!AJ73+Data!AK73+Data!AL73+Data!T74+Data!U74+Data!V74+Data!W74+Data!X74+Data!Y74+Data!Z74+Data!AA74+Data!AB74+Data!AC74+Data!AD74+Data!AE74+Data!AF74+Data!AG74+Data!AH74+Data!AI74+Data!AJ74+Data!AK74+Data!AL74+Data!T75+Data!U75+Data!V75+Data!W75+Data!X75+Data!Y75+Data!Z75+Data!AA75+Data!AB75+Data!AC75+Data!AD75+Data!AE75+Data!AF75+Data!AG75+Data!AH75+Data!AI75+Data!AJ75+Data!AK75+Data!AL75+Data!T76+Data!U76+Data!V76+Data!W76+Data!X76+Data!Y76+Data!Z76+Data!AA76+Data!AB76+Data!AC76+Data!AD76+Data!AE76+Data!AF76+Data!AG76+Data!AH76+Data!AI76+Data!AJ76+Data!AK76+Data!AL76)/(Data!AP65+Data!AP66+Data!AP67+Data!AP68+Data!AP69+Data!AP70+Data!AP71+Data!AP72+Data!AP73+Data!AP74+Data!AP75+Data!AP76)</f>
        <v>0.208517361836406</v>
      </c>
      <c r="N76" s="18" t="n">
        <f aca="false">(Data!T65+Data!U65+Data!V65+Data!W65+Data!T66+Data!U66+Data!V66+Data!W66+Data!T67+Data!U67+Data!V67+Data!W67+Data!T68+Data!U68+Data!V68+Data!W68+Data!T69+Data!U69+Data!V69+Data!W69+Data!T70+Data!U70+Data!V70+Data!W70+Data!T71+Data!U71+Data!V71+Data!W71+Data!T72+Data!U72+Data!V72+Data!W72+Data!T73+Data!U73+Data!V73+Data!W73+Data!T74+Data!U74+Data!V74+Data!W74+Data!T75+Data!U75+Data!V75+Data!W75+Data!T76+Data!U76+Data!V76+Data!W76)/(Data!AP65+Data!AP66+Data!AP67+Data!AP68+Data!AP69+Data!AP70+Data!AP71+Data!AP72+Data!AP73+Data!AP74+Data!AP75+Data!AP76)</f>
        <v>0.10039217336268</v>
      </c>
      <c r="O76" s="18" t="n">
        <f aca="false">(Data!T65+Data!T66+Data!T67+Data!T68+Data!T69+Data!T70+Data!T71+Data!T72+Data!T73+Data!T74+Data!T75+Data!T76)/(Data!AP65+Data!AP66+Data!AP67+Data!AP68+Data!AP69+Data!AP70+Data!AP71+Data!AP72+Data!AP73+Data!AP74+Data!AP75+Data!AP76)</f>
        <v>0.072833850366234</v>
      </c>
      <c r="P76" s="18" t="n">
        <f aca="false">(Data!U65+Data!U66+Data!U67+Data!U68+Data!U69+Data!U70+Data!U71+Data!U72+Data!U73+Data!U74+Data!U75+Data!U76)/(Data!AP65+Data!AP66+Data!AP67+Data!AP68+Data!AP69+Data!AP70+Data!AP71+Data!AP72+Data!AP73+Data!AP74+Data!AP75+Data!AP76)</f>
        <v>0.0126302195526314</v>
      </c>
      <c r="Q76" s="18" t="n">
        <f aca="false">(Data!V65+Data!V66+Data!V67+Data!V68+Data!V69+Data!V70+Data!V71+Data!V72+Data!V73+Data!V74+Data!V75+Data!V76)/(Data!AP65+Data!AP66+Data!AP67+Data!AP68+Data!AP69+Data!AP70+Data!AP71+Data!AP72+Data!AP73+Data!AP74+Data!AP75+Data!AP76)</f>
        <v>0.00710430436467536</v>
      </c>
      <c r="R76" s="18" t="n">
        <f aca="false">(Data!W65+Data!W66+Data!W67+Data!W68+Data!W69+Data!W70+Data!W71+Data!W72+Data!W73+Data!W74+Data!W75+Data!W76)/(Data!AP65+Data!AP66+Data!AP67+Data!AP68+Data!AP69+Data!AP70+Data!AP71+Data!AP72+Data!AP73+Data!AP74+Data!AP75+Data!AP76)</f>
        <v>0.00782379907913908</v>
      </c>
      <c r="S76" s="18" t="n">
        <f aca="false">(Data!X65+Data!X66+Data!X67+Data!X68+Data!X69+Data!X70+Data!X71+Data!X72+Data!X73+Data!X74+Data!X75+Data!X76)/(Data!AP65+Data!AP66+Data!AP67+Data!AP68+Data!AP69+Data!AP70+Data!AP71+Data!AP72+Data!AP73+Data!AP74+Data!AP75+Data!AP76)</f>
        <v>0.0161009767775734</v>
      </c>
      <c r="T76" s="18" t="n">
        <f aca="false">(Data!Y65+Data!Z65+Data!AA65+Data!Y66+Data!Z66+Data!AA66+Data!Y67+Data!Z67+Data!AA67+Data!Y68+Data!Z68+Data!AA68+Data!Y69+Data!Z69+Data!AA69+Data!Y70+Data!Z70+Data!AA70+Data!Y71+Data!Z71+Data!AA71+Data!Y72+Data!Z72+Data!AA72+Data!Y73+Data!Z73+Data!AA73+Data!Y74+Data!Z74+Data!AA74+Data!Y75+Data!Z75+Data!AA75+Data!Y76+Data!Z76+Data!AA76)/(Data!AP65+Data!AP66+Data!AP67+Data!AP68+Data!AP69+Data!AP70+Data!AP71+Data!AP72+Data!AP73+Data!AP74+Data!AP75+Data!AP76)</f>
        <v>0.0289162704383046</v>
      </c>
      <c r="U76" s="18" t="n">
        <f aca="false">(Data!Y65+Data!Y66+Data!Y67+Data!Y68+Data!Y69+Data!Y70+Data!Y71+Data!Y72+Data!Y73+Data!Y74+Data!Y75+Data!Y76)/(Data!AP65+Data!AP66+Data!AP67+Data!AP68+Data!AP69+Data!AP70+Data!AP71+Data!AP72+Data!AP73+Data!AP74+Data!AP75+Data!AP76)</f>
        <v>0.0217416073217897</v>
      </c>
      <c r="V76" s="18" t="n">
        <f aca="false">(Data!Z65+Data!Z66+Data!Z67+Data!Z68+Data!Z69+Data!Z70+Data!Z71+Data!Z72+Data!Z73+Data!Z74+Data!Z75+Data!Z76)/(Data!AP65+Data!AP66+Data!AP67+Data!AP68+Data!AP69+Data!AP70+Data!AP71+Data!AP72+Data!AP73+Data!AP74+Data!AP75+Data!AP76)</f>
        <v>0.00669337631003511</v>
      </c>
      <c r="W76" s="18" t="n">
        <f aca="false">(Data!AB65+Data!AB66+Data!AB67+Data!AB68+Data!AB69+Data!AB70+Data!AB71+Data!AB72+Data!AB73+Data!AB74+Data!AB75+Data!AB76)/(Data!AP65+Data!AP66+Data!AP67+Data!AP68+Data!AP69+Data!AP70+Data!AP71+Data!AP72+Data!AP73+Data!AP74+Data!AP75+Data!AP76)</f>
        <v>0.0227671273097228</v>
      </c>
      <c r="X76" s="18" t="n">
        <f aca="false">(Data!AC65+Data!AC66+Data!AC67+Data!AC68+Data!AC69+Data!AC70+Data!AC71+Data!AC72+Data!AC73+Data!AC74+Data!AC75+Data!AC76)/(Data!AP65+Data!AP66+Data!AP67+Data!AP68+Data!AP69+Data!AP70+Data!AP71+Data!AP72+Data!AP73+Data!AP74+Data!AP75+Data!AP76)</f>
        <v>0.00938974016899443</v>
      </c>
      <c r="Y76" s="18" t="n">
        <f aca="false">(Data!AD65+Data!AE65+Data!AF65+Data!AG65+Data!AH65+Data!AD66+Data!AE66+Data!AF66+Data!AG66+Data!AH66+Data!AD67+Data!AE67+Data!AF67+Data!AG67+Data!AH67+Data!AD68+Data!AE68+Data!AF68+Data!AG68+Data!AH68+Data!AD69+Data!AE69+Data!AF69+Data!AG69+Data!AH69+Data!AD70+Data!AE70+Data!AF70+Data!AG70+Data!AH70+Data!AD71+Data!AE71+Data!AF71+Data!AG71+Data!AH71+Data!AD72+Data!AE72+Data!AF72+Data!AG72+Data!AH72+Data!AD73+Data!AE73+Data!AF73+Data!AG73+Data!AH73+Data!AD74+Data!AE74+Data!AF74+Data!AG74+Data!AH74+Data!AD75+Data!AE75+Data!AF75+Data!AG75+Data!AH75+Data!AD76+Data!AE76+Data!AF76+Data!AG76+Data!AH76)/(Data!AP65+Data!AP66+Data!AP67+Data!AP68+Data!AP69+Data!AP70+Data!AP71+Data!AP72+Data!AP73+Data!AP74+Data!AP75+Data!AP76)</f>
        <v>0.00769552966232387</v>
      </c>
      <c r="Z76" s="18" t="n">
        <f aca="false">(Data!AI65+Data!AI66+Data!AI67+Data!AI68+Data!AI69+Data!AI70+Data!AI71+Data!AI72+Data!AI73+Data!AI74+Data!AI75+Data!AI76)/(Data!AP65+Data!AP66+Data!AP67+Data!AP68+Data!AP69+Data!AP70+Data!AP71+Data!AP72+Data!AP73+Data!AP74+Data!AP75+Data!AP76)</f>
        <v>0.00630680320795472</v>
      </c>
      <c r="AA76" s="18" t="n">
        <f aca="false">(Data!AJ65+Data!AJ66+Data!AJ67+Data!AJ68+Data!AJ69+Data!AJ70+Data!AJ71+Data!AJ72+Data!AJ73+Data!AJ74+Data!AJ75+Data!AJ76)/(Data!AP65+Data!AP66+Data!AP67+Data!AP68+Data!AP69+Data!AP70+Data!AP71+Data!AP72+Data!AP73+Data!AP74+Data!AP75+Data!AP76)</f>
        <v>0</v>
      </c>
      <c r="AB76" s="18" t="n">
        <f aca="false">(Data!AK65+Data!AK66+Data!AK67+Data!AK68+Data!AK69+Data!AK70+Data!AK71+Data!AK72+Data!AK73+Data!AK74+Data!AK75+Data!AK76)/(Data!AP65+Data!AP66+Data!AP67+Data!AP68+Data!AP69+Data!AP70+Data!AP71+Data!AP72+Data!AP73+Data!AP74+Data!AP75+Data!AP76)</f>
        <v>0.00415646091343863</v>
      </c>
      <c r="AC76" s="18" t="n">
        <f aca="false">(Data!AL65+Data!AL66+Data!AL67+Data!AL68+Data!AL69+Data!AL70+Data!AL71+Data!AL72+Data!AL73+Data!AL74+Data!AL75+Data!AL76)/(Data!AP65+Data!AP66+Data!AP67+Data!AP68+Data!AP69+Data!AP70+Data!AP71+Data!AP72+Data!AP73+Data!AP74+Data!AP75+Data!AP76)</f>
        <v>0.0127922799954137</v>
      </c>
      <c r="AD76" s="17" t="n">
        <f aca="false">(Data!AM65+Data!AM66+Data!AM67+Data!AM68+Data!AM69+Data!AM70+Data!AM71+Data!AM72+Data!AM73+Data!AM74+Data!AM75+Data!AM76)/(Data!AP65+Data!AP66+Data!AP67+Data!AP68+Data!AP69+Data!AP70+Data!AP71+Data!AP72+Data!AP73+Data!AP74+Data!AP75+Data!AP76)</f>
        <v>-0.0168381906024503</v>
      </c>
      <c r="AE76" s="18" t="n">
        <f aca="false">(Data!AN65+Data!AN66+Data!AN67+Data!AN68+Data!AN69+Data!AN70+Data!AN71+Data!AN72+Data!AN73+Data!AN74+Data!AN75+Data!AN76)/(Data!AP65+Data!AP66+Data!AP67+Data!AP68+Data!AP69+Data!AP70+Data!AP71+Data!AP72+Data!AP73+Data!AP74+Data!AP75+Data!AP76)</f>
        <v>0.0150782570209008</v>
      </c>
      <c r="AF76" s="17" t="n">
        <f aca="false">(Data!AO65+Data!AO66+Data!AO67+Data!AO68+Data!AO69+Data!AO70+Data!AO71+Data!AO72+Data!AO73+Data!AO74+Data!AO75+Data!AO76)/(Data!AP65+Data!AP66+Data!AP67+Data!AP68+Data!AP69+Data!AP70+Data!AP71+Data!AP72+Data!AP73+Data!AP74+Data!AP75+Data!AP76)</f>
        <v>-0.0319164240919959</v>
      </c>
    </row>
    <row r="77" customFormat="false" ht="15" hidden="false" customHeight="false" outlineLevel="0" collapsed="false">
      <c r="B77" s="14" t="str">
        <f aca="false">Data!B77</f>
        <v>2021-11</v>
      </c>
      <c r="C77" s="17" t="n">
        <f aca="false">(Data!D66+Data!E66+Data!F66+Data!G66+Data!H66+Data!I66+Data!J66+Data!K66+Data!L66+Data!M66+Data!N66+Data!O66+Data!P66+Data!Q66+Data!R66+Data!S66+Data!D67+Data!E67+Data!F67+Data!G67+Data!H67+Data!I67+Data!J67+Data!K67+Data!L67+Data!M67+Data!N67+Data!O67+Data!P67+Data!Q67+Data!R67+Data!S67+Data!D68+Data!E68+Data!F68+Data!G68+Data!H68+Data!I68+Data!J68+Data!K68+Data!L68+Data!M68+Data!N68+Data!O68+Data!P68+Data!Q68+Data!R68+Data!S68+Data!D69+Data!E69+Data!F69+Data!G69+Data!H69+Data!I69+Data!J69+Data!K69+Data!L69+Data!M69+Data!N69+Data!O69+Data!P69+Data!Q69+Data!R69+Data!S69+Data!D70+Data!E70+Data!F70+Data!G70+Data!H70+Data!I70+Data!J70+Data!K70+Data!L70+Data!M70+Data!N70+Data!O70+Data!P70+Data!Q70+Data!R70+Data!S70+Data!D71+Data!E71+Data!F71+Data!G71+Data!H71+Data!I71+Data!J71+Data!K71+Data!L71+Data!M71+Data!N71+Data!O71+Data!P71+Data!Q71+Data!R71+Data!S71+Data!D72+Data!E72+Data!F72+Data!G72+Data!H72+Data!I72+Data!J72+Data!K72+Data!L72+Data!M72+Data!N72+Data!O72+Data!P72+Data!Q72+Data!R72+Data!S72+Data!D73+Data!E73+Data!F73+Data!G73+Data!H73+Data!I73+Data!J73+Data!K73+Data!L73+Data!M73+Data!N73+Data!O73+Data!P73+Data!Q73+Data!R73+Data!S73+Data!D74+Data!E74+Data!F74+Data!G74+Data!H74+Data!I74+Data!J74+Data!K74+Data!L74+Data!M74+Data!N74+Data!O74+Data!P74+Data!Q74+Data!R74+Data!S74+Data!D75+Data!E75+Data!F75+Data!G75+Data!H75+Data!I75+Data!J75+Data!K75+Data!L75+Data!M75+Data!N75+Data!O75+Data!P75+Data!Q75+Data!R75+Data!S75+Data!D76+Data!E76+Data!F76+Data!G76+Data!H76+Data!I76+Data!J76+Data!K76+Data!L76+Data!M76+Data!N76+Data!O76+Data!P76+Data!Q76+Data!R76+Data!S76+Data!D77+Data!E77+Data!F77+Data!G77+Data!H77+Data!I77+Data!J77+Data!K77+Data!L77+Data!M77+Data!N77+Data!O77+Data!P77+Data!Q77+Data!R77+Data!S77)/(Data!AP66+Data!AP67+Data!AP68+Data!AP69+Data!AP70+Data!AP71+Data!AP72+Data!AP73+Data!AP74+Data!AP75+Data!AP76+Data!AP77)</f>
        <v>0.191044621270992</v>
      </c>
      <c r="D77" s="18" t="n">
        <f aca="false">(Data!D66+Data!E66+Data!G66+Data!H66+Data!I66+Data!J66+Data!K66+Data!L66+Data!M66+Data!D67+Data!E67+Data!G67+Data!H67+Data!I67+Data!J67+Data!K67+Data!L67+Data!M67+Data!D68+Data!E68+Data!G68+Data!H68+Data!I68+Data!J68+Data!K68+Data!L68+Data!M68+Data!D69+Data!E69+Data!G69+Data!H69+Data!I69+Data!J69+Data!K69+Data!L69+Data!M69+Data!D70+Data!E70+Data!G70+Data!H70+Data!I70+Data!J70+Data!K70+Data!L70+Data!M70+Data!D71+Data!E71+Data!G71+Data!H71+Data!I71+Data!J71+Data!K71+Data!L71+Data!M71+Data!D72+Data!E72+Data!G72+Data!H72+Data!I72+Data!J72+Data!K72+Data!L72+Data!M72+Data!D73+Data!E73+Data!G73+Data!H73+Data!I73+Data!J73+Data!K73+Data!L73+Data!M73+Data!D74+Data!E74+Data!G74+Data!H74+Data!I74+Data!J74+Data!K74+Data!L74+Data!M74+Data!D75+Data!E75+Data!G75+Data!H75+Data!I75+Data!J75+Data!K75+Data!L75+Data!M75+Data!D76+Data!E76+Data!G76+Data!H76+Data!I76+Data!J76+Data!K76+Data!L76+Data!M76+Data!D77+Data!E77+Data!G77+Data!H77+Data!I77+Data!J77+Data!K77+Data!L77+Data!M77)/(Data!AP66+Data!AP67+Data!AP68+Data!AP69+Data!AP70+Data!AP71+Data!AP72+Data!AP73+Data!AP74+Data!AP75+Data!AP76+Data!AP77)</f>
        <v>0.109849090815437</v>
      </c>
      <c r="E77" s="18" t="n">
        <f aca="false">(Data!D66+Data!D67+Data!D68+Data!D69+Data!D70+Data!D71+Data!D72+Data!D73+Data!D74+Data!D75+Data!D76+Data!D77)/(Data!AP66+Data!AP67+Data!AP68+Data!AP69+Data!AP70+Data!AP71+Data!AP72+Data!AP73+Data!AP74+Data!AP75+Data!AP76+Data!AP77)</f>
        <v>0.0313358408931264</v>
      </c>
      <c r="F77" s="18" t="n">
        <f aca="false">(Data!E66+Data!E67+Data!E68+Data!E69+Data!E70+Data!E71+Data!E72+Data!E73+Data!E74+Data!E75+Data!E76+Data!E77)/(Data!AP66+Data!AP67+Data!AP68+Data!AP69+Data!AP70+Data!AP71+Data!AP72+Data!AP73+Data!AP74+Data!AP75+Data!AP76+Data!AP77)</f>
        <v>0.0177940727709664</v>
      </c>
      <c r="G77" s="18" t="n">
        <f aca="false">(Data!K66+Data!K67+Data!K68+Data!K69+Data!K70+Data!K71+Data!K72+Data!K73+Data!K74+Data!K75+Data!K76+Data!K77)/(Data!AP66+Data!AP67+Data!AP68+Data!AP69+Data!AP70+Data!AP71+Data!AP72+Data!AP73+Data!AP74+Data!AP75+Data!AP76+Data!AP77)</f>
        <v>0.0198372016968724</v>
      </c>
      <c r="H77" s="18" t="n">
        <f aca="false">(Data!L66+Data!L67+Data!L68+Data!L69+Data!L70+Data!L71+Data!L72+Data!L73+Data!L74+Data!L75+Data!L76+Data!L77)/(Data!AP66+Data!AP67+Data!AP68+Data!AP69+Data!AP70+Data!AP71+Data!AP72+Data!AP73+Data!AP74+Data!AP75+Data!AP76+Data!AP77)</f>
        <v>0.00640087622289875</v>
      </c>
      <c r="I77" s="18" t="n">
        <f aca="false">(Data!G66+Data!G67+Data!G68+Data!G69+Data!G70+Data!G71+Data!G72+Data!G73+Data!G74+Data!G75+Data!G76+Data!G77)/(Data!AP66+Data!AP67+Data!AP68+Data!AP69+Data!AP70+Data!AP71+Data!AP72+Data!AP73+Data!AP74+Data!AP75+Data!AP76+Data!AP77)</f>
        <v>0.0157551841055649</v>
      </c>
      <c r="J77" s="18" t="n">
        <f aca="false">(Data!H66+Data!I66+Data!J66+Data!M66+Data!H67+Data!I67+Data!J67+Data!M67+Data!H68+Data!I68+Data!J68+Data!M68+Data!H69+Data!I69+Data!J69+Data!M69+Data!H70+Data!I70+Data!J70+Data!M70+Data!H71+Data!I71+Data!J71+Data!M71+Data!H72+Data!I72+Data!J72+Data!M72+Data!H73+Data!I73+Data!J73+Data!M73+Data!H74+Data!I74+Data!J74+Data!M74+Data!H75+Data!I75+Data!J75+Data!M75+Data!H76+Data!I76+Data!J76+Data!M76+Data!H77+Data!I77+Data!J77+Data!M77)/(Data!AP66+Data!AP67+Data!AP68+Data!AP69+Data!AP70+Data!AP71+Data!AP72+Data!AP73+Data!AP74+Data!AP75+Data!AP76+Data!AP77)</f>
        <v>0.0187259151260081</v>
      </c>
      <c r="K77" s="18" t="n">
        <f aca="false">(Data!F66+Data!F67+Data!F68+Data!F69+Data!F70+Data!F71+Data!F72+Data!F73+Data!F74+Data!F75+Data!F76+Data!F77)/(Data!AP66+Data!AP67+Data!AP68+Data!AP69+Data!AP70+Data!AP71+Data!AP72+Data!AP73+Data!AP74+Data!AP75+Data!AP76+Data!AP77)</f>
        <v>0.0513016487889205</v>
      </c>
      <c r="L77" s="18" t="n">
        <f aca="false">(Data!N66+Data!O66+Data!P66+Data!Q66+Data!R66+Data!S66+Data!N67+Data!O67+Data!P67+Data!Q67+Data!R67+Data!S67+Data!N68+Data!O68+Data!P68+Data!Q68+Data!R68+Data!S68+Data!N69+Data!O69+Data!P69+Data!Q69+Data!R69+Data!S69+Data!N70+Data!O70+Data!P70+Data!Q70+Data!R70+Data!S70+Data!N71+Data!O71+Data!P71+Data!Q71+Data!R71+Data!S71+Data!N72+Data!O72+Data!P72+Data!Q72+Data!R72+Data!S72+Data!N73+Data!O73+Data!P73+Data!Q73+Data!R73+Data!S73+Data!N74+Data!O74+Data!P74+Data!Q74+Data!R74+Data!S74+Data!N75+Data!O75+Data!P75+Data!Q75+Data!R75+Data!S75+Data!N76+Data!O76+Data!P76+Data!Q76+Data!R76+Data!S76+Data!N77+Data!O77+Data!P77+Data!Q77+Data!R77+Data!S77)/(Data!AP66+Data!AP67+Data!AP68+Data!AP69+Data!AP70+Data!AP71+Data!AP72+Data!AP73+Data!AP74+Data!AP75+Data!AP76+Data!AP77)</f>
        <v>0.0298938816666342</v>
      </c>
      <c r="M77" s="17" t="n">
        <f aca="false">(Data!T66+Data!U66+Data!V66+Data!W66+Data!X66+Data!Y66+Data!Z66+Data!AA66+Data!AB66+Data!AC66+Data!AD66+Data!AE66+Data!AF66+Data!AG66+Data!AH66+Data!AI66+Data!AJ66+Data!AK66+Data!AL66+Data!T67+Data!U67+Data!V67+Data!W67+Data!X67+Data!Y67+Data!Z67+Data!AA67+Data!AB67+Data!AC67+Data!AD67+Data!AE67+Data!AF67+Data!AG67+Data!AH67+Data!AI67+Data!AJ67+Data!AK67+Data!AL67+Data!T68+Data!U68+Data!V68+Data!W68+Data!X68+Data!Y68+Data!Z68+Data!AA68+Data!AB68+Data!AC68+Data!AD68+Data!AE68+Data!AF68+Data!AG68+Data!AH68+Data!AI68+Data!AJ68+Data!AK68+Data!AL68+Data!T69+Data!U69+Data!V69+Data!W69+Data!X69+Data!Y69+Data!Z69+Data!AA69+Data!AB69+Data!AC69+Data!AD69+Data!AE69+Data!AF69+Data!AG69+Data!AH69+Data!AI69+Data!AJ69+Data!AK69+Data!AL69+Data!T70+Data!U70+Data!V70+Data!W70+Data!X70+Data!Y70+Data!Z70+Data!AA70+Data!AB70+Data!AC70+Data!AD70+Data!AE70+Data!AF70+Data!AG70+Data!AH70+Data!AI70+Data!AJ70+Data!AK70+Data!AL70+Data!T71+Data!U71+Data!V71+Data!W71+Data!X71+Data!Y71+Data!Z71+Data!AA71+Data!AB71+Data!AC71+Data!AD71+Data!AE71+Data!AF71+Data!AG71+Data!AH71+Data!AI71+Data!AJ71+Data!AK71+Data!AL71+Data!T72+Data!U72+Data!V72+Data!W72+Data!X72+Data!Y72+Data!Z72+Data!AA72+Data!AB72+Data!AC72+Data!AD72+Data!AE72+Data!AF72+Data!AG72+Data!AH72+Data!AI72+Data!AJ72+Data!AK72+Data!AL72+Data!T73+Data!U73+Data!V73+Data!W73+Data!X73+Data!Y73+Data!Z73+Data!AA73+Data!AB73+Data!AC73+Data!AD73+Data!AE73+Data!AF73+Data!AG73+Data!AH73+Data!AI73+Data!AJ73+Data!AK73+Data!AL73+Data!T74+Data!U74+Data!V74+Data!W74+Data!X74+Data!Y74+Data!Z74+Data!AA74+Data!AB74+Data!AC74+Data!AD74+Data!AE74+Data!AF74+Data!AG74+Data!AH74+Data!AI74+Data!AJ74+Data!AK74+Data!AL74+Data!T75+Data!U75+Data!V75+Data!W75+Data!X75+Data!Y75+Data!Z75+Data!AA75+Data!AB75+Data!AC75+Data!AD75+Data!AE75+Data!AF75+Data!AG75+Data!AH75+Data!AI75+Data!AJ75+Data!AK75+Data!AL75+Data!T76+Data!U76+Data!V76+Data!W76+Data!X76+Data!Y76+Data!Z76+Data!AA76+Data!AB76+Data!AC76+Data!AD76+Data!AE76+Data!AF76+Data!AG76+Data!AH76+Data!AI76+Data!AJ76+Data!AK76+Data!AL76+Data!T77+Data!U77+Data!V77+Data!W77+Data!X77+Data!Y77+Data!Z77+Data!AA77+Data!AB77+Data!AC77+Data!AD77+Data!AE77+Data!AF77+Data!AG77+Data!AH77+Data!AI77+Data!AJ77+Data!AK77+Data!AL77)/(Data!AP66+Data!AP67+Data!AP68+Data!AP69+Data!AP70+Data!AP71+Data!AP72+Data!AP73+Data!AP74+Data!AP75+Data!AP76+Data!AP77)</f>
        <v>0.208897110396782</v>
      </c>
      <c r="N77" s="18" t="n">
        <f aca="false">(Data!T66+Data!U66+Data!V66+Data!W66+Data!T67+Data!U67+Data!V67+Data!W67+Data!T68+Data!U68+Data!V68+Data!W68+Data!T69+Data!U69+Data!V69+Data!W69+Data!T70+Data!U70+Data!V70+Data!W70+Data!T71+Data!U71+Data!V71+Data!W71+Data!T72+Data!U72+Data!V72+Data!W72+Data!T73+Data!U73+Data!V73+Data!W73+Data!T74+Data!U74+Data!V74+Data!W74+Data!T75+Data!U75+Data!V75+Data!W75+Data!T76+Data!U76+Data!V76+Data!W76+Data!T77+Data!U77+Data!V77+Data!W77)/(Data!AP66+Data!AP67+Data!AP68+Data!AP69+Data!AP70+Data!AP71+Data!AP72+Data!AP73+Data!AP74+Data!AP75+Data!AP76+Data!AP77)</f>
        <v>0.099438281429809</v>
      </c>
      <c r="O77" s="18" t="n">
        <f aca="false">(Data!T66+Data!T67+Data!T68+Data!T69+Data!T70+Data!T71+Data!T72+Data!T73+Data!T74+Data!T75+Data!T76+Data!T77)/(Data!AP66+Data!AP67+Data!AP68+Data!AP69+Data!AP70+Data!AP71+Data!AP72+Data!AP73+Data!AP74+Data!AP75+Data!AP76+Data!AP77)</f>
        <v>0.0720565962301145</v>
      </c>
      <c r="P77" s="18" t="n">
        <f aca="false">(Data!U66+Data!U67+Data!U68+Data!U69+Data!U70+Data!U71+Data!U72+Data!U73+Data!U74+Data!U75+Data!U76+Data!U77)/(Data!AP66+Data!AP67+Data!AP68+Data!AP69+Data!AP70+Data!AP71+Data!AP72+Data!AP73+Data!AP74+Data!AP75+Data!AP76+Data!AP77)</f>
        <v>0.0127819269724807</v>
      </c>
      <c r="Q77" s="18" t="n">
        <f aca="false">(Data!V66+Data!V67+Data!V68+Data!V69+Data!V70+Data!V71+Data!V72+Data!V73+Data!V74+Data!V75+Data!V76+Data!V77)/(Data!AP66+Data!AP67+Data!AP68+Data!AP69+Data!AP70+Data!AP71+Data!AP72+Data!AP73+Data!AP74+Data!AP75+Data!AP76+Data!AP77)</f>
        <v>0.00704203518760335</v>
      </c>
      <c r="R77" s="18" t="n">
        <f aca="false">(Data!W66+Data!W67+Data!W68+Data!W69+Data!W70+Data!W71+Data!W72+Data!W73+Data!W74+Data!W75+Data!W76+Data!W77)/(Data!AP66+Data!AP67+Data!AP68+Data!AP69+Data!AP70+Data!AP71+Data!AP72+Data!AP73+Data!AP74+Data!AP75+Data!AP76+Data!AP77)</f>
        <v>0.00755772303961046</v>
      </c>
      <c r="S77" s="18" t="n">
        <f aca="false">(Data!X66+Data!X67+Data!X68+Data!X69+Data!X70+Data!X71+Data!X72+Data!X73+Data!X74+Data!X75+Data!X76+Data!X77)/(Data!AP66+Data!AP67+Data!AP68+Data!AP69+Data!AP70+Data!AP71+Data!AP72+Data!AP73+Data!AP74+Data!AP75+Data!AP76+Data!AP77)</f>
        <v>0.016195269014958</v>
      </c>
      <c r="T77" s="18" t="n">
        <f aca="false">(Data!Y66+Data!Z66+Data!AA66+Data!Y67+Data!Z67+Data!AA67+Data!Y68+Data!Z68+Data!AA68+Data!Y69+Data!Z69+Data!AA69+Data!Y70+Data!Z70+Data!AA70+Data!Y71+Data!Z71+Data!AA71+Data!Y72+Data!Z72+Data!AA72+Data!Y73+Data!Z73+Data!AA73+Data!Y74+Data!Z74+Data!AA74+Data!Y75+Data!Z75+Data!AA75+Data!Y76+Data!Z76+Data!AA76+Data!Y77+Data!Z77+Data!AA77)/(Data!AP66+Data!AP67+Data!AP68+Data!AP69+Data!AP70+Data!AP71+Data!AP72+Data!AP73+Data!AP74+Data!AP75+Data!AP76+Data!AP77)</f>
        <v>0.0293782840329357</v>
      </c>
      <c r="U77" s="18" t="n">
        <f aca="false">(Data!Y66+Data!Y67+Data!Y68+Data!Y69+Data!Y70+Data!Y71+Data!Y72+Data!Y73+Data!Y74+Data!Y75+Data!Y76+Data!Y77)/(Data!AP66+Data!AP67+Data!AP68+Data!AP69+Data!AP70+Data!AP71+Data!AP72+Data!AP73+Data!AP74+Data!AP75+Data!AP76+Data!AP77)</f>
        <v>0.0223187690480394</v>
      </c>
      <c r="V77" s="18" t="n">
        <f aca="false">(Data!Z66+Data!Z67+Data!Z68+Data!Z69+Data!Z70+Data!Z71+Data!Z72+Data!Z73+Data!Z74+Data!Z75+Data!Z76+Data!Z77)/(Data!AP66+Data!AP67+Data!AP68+Data!AP69+Data!AP70+Data!AP71+Data!AP72+Data!AP73+Data!AP74+Data!AP75+Data!AP76+Data!AP77)</f>
        <v>0.00658947759704515</v>
      </c>
      <c r="W77" s="18" t="n">
        <f aca="false">(Data!AB66+Data!AB67+Data!AB68+Data!AB69+Data!AB70+Data!AB71+Data!AB72+Data!AB73+Data!AB74+Data!AB75+Data!AB76+Data!AB77)/(Data!AP66+Data!AP67+Data!AP68+Data!AP69+Data!AP70+Data!AP71+Data!AP72+Data!AP73+Data!AP74+Data!AP75+Data!AP76+Data!AP77)</f>
        <v>0.0227882425714617</v>
      </c>
      <c r="X77" s="18" t="n">
        <f aca="false">(Data!AC66+Data!AC67+Data!AC68+Data!AC69+Data!AC70+Data!AC71+Data!AC72+Data!AC73+Data!AC74+Data!AC75+Data!AC76+Data!AC77)/(Data!AP66+Data!AP67+Data!AP68+Data!AP69+Data!AP70+Data!AP71+Data!AP72+Data!AP73+Data!AP74+Data!AP75+Data!AP76+Data!AP77)</f>
        <v>0.00947386969614981</v>
      </c>
      <c r="Y77" s="18" t="n">
        <f aca="false">(Data!AD66+Data!AE66+Data!AF66+Data!AG66+Data!AH66+Data!AD67+Data!AE67+Data!AF67+Data!AG67+Data!AH67+Data!AD68+Data!AE68+Data!AF68+Data!AG68+Data!AH68+Data!AD69+Data!AE69+Data!AF69+Data!AG69+Data!AH69+Data!AD70+Data!AE70+Data!AF70+Data!AG70+Data!AH70+Data!AD71+Data!AE71+Data!AF71+Data!AG71+Data!AH71+Data!AD72+Data!AE72+Data!AF72+Data!AG72+Data!AH72+Data!AD73+Data!AE73+Data!AF73+Data!AG73+Data!AH73+Data!AD74+Data!AE74+Data!AF74+Data!AG74+Data!AH74+Data!AD75+Data!AE75+Data!AF75+Data!AG75+Data!AH75+Data!AD76+Data!AE76+Data!AF76+Data!AG76+Data!AH76+Data!AD77+Data!AE77+Data!AF77+Data!AG77+Data!AH77)/(Data!AP66+Data!AP67+Data!AP68+Data!AP69+Data!AP70+Data!AP71+Data!AP72+Data!AP73+Data!AP74+Data!AP75+Data!AP76+Data!AP77)</f>
        <v>0.0078315581608149</v>
      </c>
      <c r="Z77" s="18" t="n">
        <f aca="false">(Data!AI66+Data!AI67+Data!AI68+Data!AI69+Data!AI70+Data!AI71+Data!AI72+Data!AI73+Data!AI74+Data!AI75+Data!AI76+Data!AI77)/(Data!AP66+Data!AP67+Data!AP68+Data!AP69+Data!AP70+Data!AP71+Data!AP72+Data!AP73+Data!AP74+Data!AP75+Data!AP76+Data!AP77)</f>
        <v>0.00631796559728739</v>
      </c>
      <c r="AA77" s="18" t="n">
        <f aca="false">(Data!AJ66+Data!AJ67+Data!AJ68+Data!AJ69+Data!AJ70+Data!AJ71+Data!AJ72+Data!AJ73+Data!AJ74+Data!AJ75+Data!AJ76+Data!AJ77)/(Data!AP66+Data!AP67+Data!AP68+Data!AP69+Data!AP70+Data!AP71+Data!AP72+Data!AP73+Data!AP74+Data!AP75+Data!AP76+Data!AP77)</f>
        <v>0</v>
      </c>
      <c r="AB77" s="18" t="n">
        <f aca="false">(Data!AK66+Data!AK67+Data!AK68+Data!AK69+Data!AK70+Data!AK71+Data!AK72+Data!AK73+Data!AK74+Data!AK75+Data!AK76+Data!AK77)/(Data!AP66+Data!AP67+Data!AP68+Data!AP69+Data!AP70+Data!AP71+Data!AP72+Data!AP73+Data!AP74+Data!AP75+Data!AP76+Data!AP77)</f>
        <v>0.00417395004777971</v>
      </c>
      <c r="AC77" s="18" t="n">
        <f aca="false">(Data!AL66+Data!AL67+Data!AL68+Data!AL69+Data!AL70+Data!AL71+Data!AL72+Data!AL73+Data!AL74+Data!AL75+Data!AL76+Data!AL77)/(Data!AP66+Data!AP67+Data!AP68+Data!AP69+Data!AP70+Data!AP71+Data!AP72+Data!AP73+Data!AP74+Data!AP75+Data!AP76+Data!AP77)</f>
        <v>0.0132996898455858</v>
      </c>
      <c r="AD77" s="17" t="n">
        <f aca="false">(Data!AM66+Data!AM67+Data!AM68+Data!AM69+Data!AM70+Data!AM71+Data!AM72+Data!AM73+Data!AM74+Data!AM75+Data!AM76+Data!AM77)/(Data!AP66+Data!AP67+Data!AP68+Data!AP69+Data!AP70+Data!AP71+Data!AP72+Data!AP73+Data!AP74+Data!AP75+Data!AP76+Data!AP77)</f>
        <v>-0.0178524891257905</v>
      </c>
      <c r="AE77" s="18" t="n">
        <f aca="false">(Data!AN66+Data!AN67+Data!AN68+Data!AN69+Data!AN70+Data!AN71+Data!AN72+Data!AN73+Data!AN74+Data!AN75+Data!AN76+Data!AN77)/(Data!AP66+Data!AP67+Data!AP68+Data!AP69+Data!AP70+Data!AP71+Data!AP72+Data!AP73+Data!AP74+Data!AP75+Data!AP76+Data!AP77)</f>
        <v>0.0153342254775969</v>
      </c>
      <c r="AF77" s="17" t="n">
        <f aca="false">(Data!AO66+Data!AO67+Data!AO68+Data!AO69+Data!AO70+Data!AO71+Data!AO72+Data!AO73+Data!AO74+Data!AO75+Data!AO76+Data!AO77)/(Data!AP66+Data!AP67+Data!AP68+Data!AP69+Data!AP70+Data!AP71+Data!AP72+Data!AP73+Data!AP74+Data!AP75+Data!AP76+Data!AP77)</f>
        <v>-0.0331867146033874</v>
      </c>
    </row>
    <row r="78" customFormat="false" ht="15" hidden="false" customHeight="false" outlineLevel="0" collapsed="false">
      <c r="B78" s="14" t="str">
        <f aca="false">Data!B78</f>
        <v>2021-12</v>
      </c>
      <c r="C78" s="17" t="n">
        <f aca="false">(Data!D67+Data!E67+Data!F67+Data!G67+Data!H67+Data!I67+Data!J67+Data!K67+Data!L67+Data!M67+Data!N67+Data!O67+Data!P67+Data!Q67+Data!R67+Data!S67+Data!D68+Data!E68+Data!F68+Data!G68+Data!H68+Data!I68+Data!J68+Data!K68+Data!L68+Data!M68+Data!N68+Data!O68+Data!P68+Data!Q68+Data!R68+Data!S68+Data!D69+Data!E69+Data!F69+Data!G69+Data!H69+Data!I69+Data!J69+Data!K69+Data!L69+Data!M69+Data!N69+Data!O69+Data!P69+Data!Q69+Data!R69+Data!S69+Data!D70+Data!E70+Data!F70+Data!G70+Data!H70+Data!I70+Data!J70+Data!K70+Data!L70+Data!M70+Data!N70+Data!O70+Data!P70+Data!Q70+Data!R70+Data!S70+Data!D71+Data!E71+Data!F71+Data!G71+Data!H71+Data!I71+Data!J71+Data!K71+Data!L71+Data!M71+Data!N71+Data!O71+Data!P71+Data!Q71+Data!R71+Data!S71+Data!D72+Data!E72+Data!F72+Data!G72+Data!H72+Data!I72+Data!J72+Data!K72+Data!L72+Data!M72+Data!N72+Data!O72+Data!P72+Data!Q72+Data!R72+Data!S72+Data!D73+Data!E73+Data!F73+Data!G73+Data!H73+Data!I73+Data!J73+Data!K73+Data!L73+Data!M73+Data!N73+Data!O73+Data!P73+Data!Q73+Data!R73+Data!S73+Data!D74+Data!E74+Data!F74+Data!G74+Data!H74+Data!I74+Data!J74+Data!K74+Data!L74+Data!M74+Data!N74+Data!O74+Data!P74+Data!Q74+Data!R74+Data!S74+Data!D75+Data!E75+Data!F75+Data!G75+Data!H75+Data!I75+Data!J75+Data!K75+Data!L75+Data!M75+Data!N75+Data!O75+Data!P75+Data!Q75+Data!R75+Data!S75+Data!D76+Data!E76+Data!F76+Data!G76+Data!H76+Data!I76+Data!J76+Data!K76+Data!L76+Data!M76+Data!N76+Data!O76+Data!P76+Data!Q76+Data!R76+Data!S76+Data!D77+Data!E77+Data!F77+Data!G77+Data!H77+Data!I77+Data!J77+Data!K77+Data!L77+Data!M77+Data!N77+Data!O77+Data!P77+Data!Q77+Data!R77+Data!S77+Data!D78+Data!E78+Data!F78+Data!G78+Data!H78+Data!I78+Data!J78+Data!K78+Data!L78+Data!M78+Data!N78+Data!O78+Data!P78+Data!Q78+Data!R78+Data!S78)/(Data!AP67+Data!AP68+Data!AP69+Data!AP70+Data!AP71+Data!AP72+Data!AP73+Data!AP74+Data!AP75+Data!AP76+Data!AP77+Data!AP78)</f>
        <v>0.192131676475591</v>
      </c>
      <c r="D78" s="18" t="n">
        <f aca="false">(Data!D67+Data!E67+Data!G67+Data!H67+Data!I67+Data!J67+Data!K67+Data!L67+Data!M67+Data!D68+Data!E68+Data!G68+Data!H68+Data!I68+Data!J68+Data!K68+Data!L68+Data!M68+Data!D69+Data!E69+Data!G69+Data!H69+Data!I69+Data!J69+Data!K69+Data!L69+Data!M69+Data!D70+Data!E70+Data!G70+Data!H70+Data!I70+Data!J70+Data!K70+Data!L70+Data!M70+Data!D71+Data!E71+Data!G71+Data!H71+Data!I71+Data!J71+Data!K71+Data!L71+Data!M71+Data!D72+Data!E72+Data!G72+Data!H72+Data!I72+Data!J72+Data!K72+Data!L72+Data!M72+Data!D73+Data!E73+Data!G73+Data!H73+Data!I73+Data!J73+Data!K73+Data!L73+Data!M73+Data!D74+Data!E74+Data!G74+Data!H74+Data!I74+Data!J74+Data!K74+Data!L74+Data!M74+Data!D75+Data!E75+Data!G75+Data!H75+Data!I75+Data!J75+Data!K75+Data!L75+Data!M75+Data!D76+Data!E76+Data!G76+Data!H76+Data!I76+Data!J76+Data!K76+Data!L76+Data!M76+Data!D77+Data!E77+Data!G77+Data!H77+Data!I77+Data!J77+Data!K77+Data!L77+Data!M77+Data!D78+Data!E78+Data!G78+Data!H78+Data!I78+Data!J78+Data!K78+Data!L78+Data!M78)/(Data!AP67+Data!AP68+Data!AP69+Data!AP70+Data!AP71+Data!AP72+Data!AP73+Data!AP74+Data!AP75+Data!AP76+Data!AP77+Data!AP78)</f>
        <v>0.110961308846738</v>
      </c>
      <c r="E78" s="18" t="n">
        <f aca="false">(Data!D67+Data!D68+Data!D69+Data!D70+Data!D71+Data!D72+Data!D73+Data!D74+Data!D75+Data!D76+Data!D77+Data!D78)/(Data!AP67+Data!AP68+Data!AP69+Data!AP70+Data!AP71+Data!AP72+Data!AP73+Data!AP74+Data!AP75+Data!AP76+Data!AP77+Data!AP78)</f>
        <v>0.0315334898338061</v>
      </c>
      <c r="F78" s="18" t="n">
        <f aca="false">(Data!E67+Data!E68+Data!E69+Data!E70+Data!E71+Data!E72+Data!E73+Data!E74+Data!E75+Data!E76+Data!E77+Data!E78)/(Data!AP67+Data!AP68+Data!AP69+Data!AP70+Data!AP71+Data!AP72+Data!AP73+Data!AP74+Data!AP75+Data!AP76+Data!AP77+Data!AP78)</f>
        <v>0.0177913523494398</v>
      </c>
      <c r="G78" s="18" t="n">
        <f aca="false">(Data!K67+Data!K68+Data!K69+Data!K70+Data!K71+Data!K72+Data!K73+Data!K74+Data!K75+Data!K76+Data!K77+Data!K78)/(Data!AP67+Data!AP68+Data!AP69+Data!AP70+Data!AP71+Data!AP72+Data!AP73+Data!AP74+Data!AP75+Data!AP76+Data!AP77+Data!AP78)</f>
        <v>0.0202696143853901</v>
      </c>
      <c r="H78" s="18" t="n">
        <f aca="false">(Data!L67+Data!L68+Data!L69+Data!L70+Data!L71+Data!L72+Data!L73+Data!L74+Data!L75+Data!L76+Data!L77+Data!L78)/(Data!AP67+Data!AP68+Data!AP69+Data!AP70+Data!AP71+Data!AP72+Data!AP73+Data!AP74+Data!AP75+Data!AP76+Data!AP77+Data!AP78)</f>
        <v>0.00649558531235417</v>
      </c>
      <c r="I78" s="18" t="n">
        <f aca="false">(Data!G67+Data!G68+Data!G69+Data!G70+Data!G71+Data!G72+Data!G73+Data!G74+Data!G75+Data!G76+Data!G77+Data!G78)/(Data!AP67+Data!AP68+Data!AP69+Data!AP70+Data!AP71+Data!AP72+Data!AP73+Data!AP74+Data!AP75+Data!AP76+Data!AP77+Data!AP78)</f>
        <v>0.0159984782007881</v>
      </c>
      <c r="J78" s="18" t="n">
        <f aca="false">(Data!H67+Data!I67+Data!J67+Data!M67+Data!H68+Data!I68+Data!J68+Data!M68+Data!H69+Data!I69+Data!J69+Data!M69+Data!H70+Data!I70+Data!J70+Data!M70+Data!H71+Data!I71+Data!J71+Data!M71+Data!H72+Data!I72+Data!J72+Data!M72+Data!H73+Data!I73+Data!J73+Data!M73+Data!H74+Data!I74+Data!J74+Data!M74+Data!H75+Data!I75+Data!J75+Data!M75+Data!H76+Data!I76+Data!J76+Data!M76+Data!H77+Data!I77+Data!J77+Data!M77+Data!H78+Data!I78+Data!J78+Data!M78)/(Data!AP67+Data!AP68+Data!AP69+Data!AP70+Data!AP71+Data!AP72+Data!AP73+Data!AP74+Data!AP75+Data!AP76+Data!AP77+Data!AP78)</f>
        <v>0.0188727887649598</v>
      </c>
      <c r="K78" s="18" t="n">
        <f aca="false">(Data!F67+Data!F68+Data!F69+Data!F70+Data!F71+Data!F72+Data!F73+Data!F74+Data!F75+Data!F76+Data!F77+Data!F78)/(Data!AP67+Data!AP68+Data!AP69+Data!AP70+Data!AP71+Data!AP72+Data!AP73+Data!AP74+Data!AP75+Data!AP76+Data!AP77+Data!AP78)</f>
        <v>0.0515434495681617</v>
      </c>
      <c r="L78" s="18" t="n">
        <f aca="false">(Data!N67+Data!O67+Data!P67+Data!Q67+Data!R67+Data!S67+Data!N68+Data!O68+Data!P68+Data!Q68+Data!R68+Data!S68+Data!N69+Data!O69+Data!P69+Data!Q69+Data!R69+Data!S69+Data!N70+Data!O70+Data!P70+Data!Q70+Data!R70+Data!S70+Data!N71+Data!O71+Data!P71+Data!Q71+Data!R71+Data!S71+Data!N72+Data!O72+Data!P72+Data!Q72+Data!R72+Data!S72+Data!N73+Data!O73+Data!P73+Data!Q73+Data!R73+Data!S73+Data!N74+Data!O74+Data!P74+Data!Q74+Data!R74+Data!S74+Data!N75+Data!O75+Data!P75+Data!Q75+Data!R75+Data!S75+Data!N76+Data!O76+Data!P76+Data!Q76+Data!R76+Data!S76+Data!N77+Data!O77+Data!P77+Data!Q77+Data!R77+Data!S77+Data!N78+Data!O78+Data!P78+Data!Q78+Data!R78+Data!S78)/(Data!AP67+Data!AP68+Data!AP69+Data!AP70+Data!AP71+Data!AP72+Data!AP73+Data!AP74+Data!AP75+Data!AP76+Data!AP77+Data!AP78)</f>
        <v>0.0296269180606909</v>
      </c>
      <c r="M78" s="17" t="n">
        <f aca="false">(Data!T67+Data!U67+Data!V67+Data!W67+Data!X67+Data!Y67+Data!Z67+Data!AA67+Data!AB67+Data!AC67+Data!AD67+Data!AE67+Data!AF67+Data!AG67+Data!AH67+Data!AI67+Data!AJ67+Data!AK67+Data!AL67+Data!T68+Data!U68+Data!V68+Data!W68+Data!X68+Data!Y68+Data!Z68+Data!AA68+Data!AB68+Data!AC68+Data!AD68+Data!AE68+Data!AF68+Data!AG68+Data!AH68+Data!AI68+Data!AJ68+Data!AK68+Data!AL68+Data!T69+Data!U69+Data!V69+Data!W69+Data!X69+Data!Y69+Data!Z69+Data!AA69+Data!AB69+Data!AC69+Data!AD69+Data!AE69+Data!AF69+Data!AG69+Data!AH69+Data!AI69+Data!AJ69+Data!AK69+Data!AL69+Data!T70+Data!U70+Data!V70+Data!W70+Data!X70+Data!Y70+Data!Z70+Data!AA70+Data!AB70+Data!AC70+Data!AD70+Data!AE70+Data!AF70+Data!AG70+Data!AH70+Data!AI70+Data!AJ70+Data!AK70+Data!AL70+Data!T71+Data!U71+Data!V71+Data!W71+Data!X71+Data!Y71+Data!Z71+Data!AA71+Data!AB71+Data!AC71+Data!AD71+Data!AE71+Data!AF71+Data!AG71+Data!AH71+Data!AI71+Data!AJ71+Data!AK71+Data!AL71+Data!T72+Data!U72+Data!V72+Data!W72+Data!X72+Data!Y72+Data!Z72+Data!AA72+Data!AB72+Data!AC72+Data!AD72+Data!AE72+Data!AF72+Data!AG72+Data!AH72+Data!AI72+Data!AJ72+Data!AK72+Data!AL72+Data!T73+Data!U73+Data!V73+Data!W73+Data!X73+Data!Y73+Data!Z73+Data!AA73+Data!AB73+Data!AC73+Data!AD73+Data!AE73+Data!AF73+Data!AG73+Data!AH73+Data!AI73+Data!AJ73+Data!AK73+Data!AL73+Data!T74+Data!U74+Data!V74+Data!W74+Data!X74+Data!Y74+Data!Z74+Data!AA74+Data!AB74+Data!AC74+Data!AD74+Data!AE74+Data!AF74+Data!AG74+Data!AH74+Data!AI74+Data!AJ74+Data!AK74+Data!AL74+Data!T75+Data!U75+Data!V75+Data!W75+Data!X75+Data!Y75+Data!Z75+Data!AA75+Data!AB75+Data!AC75+Data!AD75+Data!AE75+Data!AF75+Data!AG75+Data!AH75+Data!AI75+Data!AJ75+Data!AK75+Data!AL75+Data!T76+Data!U76+Data!V76+Data!W76+Data!X76+Data!Y76+Data!Z76+Data!AA76+Data!AB76+Data!AC76+Data!AD76+Data!AE76+Data!AF76+Data!AG76+Data!AH76+Data!AI76+Data!AJ76+Data!AK76+Data!AL76+Data!T77+Data!U77+Data!V77+Data!W77+Data!X77+Data!Y77+Data!Z77+Data!AA77+Data!AB77+Data!AC77+Data!AD77+Data!AE77+Data!AF77+Data!AG77+Data!AH77+Data!AI77+Data!AJ77+Data!AK77+Data!AL77+Data!T78+Data!U78+Data!V78+Data!W78+Data!X78+Data!Y78+Data!Z78+Data!AA78+Data!AB78+Data!AC78+Data!AD78+Data!AE78+Data!AF78+Data!AG78+Data!AH78+Data!AI78+Data!AJ78+Data!AK78+Data!AL78)/(Data!AP67+Data!AP68+Data!AP69+Data!AP70+Data!AP71+Data!AP72+Data!AP73+Data!AP74+Data!AP75+Data!AP76+Data!AP77+Data!AP78)</f>
        <v>0.213340232023462</v>
      </c>
      <c r="N78" s="18" t="n">
        <f aca="false">(Data!T67+Data!U67+Data!V67+Data!W67+Data!T68+Data!U68+Data!V68+Data!W68+Data!T69+Data!U69+Data!V69+Data!W69+Data!T70+Data!U70+Data!V70+Data!W70+Data!T71+Data!U71+Data!V71+Data!W71+Data!T72+Data!U72+Data!V72+Data!W72+Data!T73+Data!U73+Data!V73+Data!W73+Data!T74+Data!U74+Data!V74+Data!W74+Data!T75+Data!U75+Data!V75+Data!W75+Data!T76+Data!U76+Data!V76+Data!W76+Data!T77+Data!U77+Data!V77+Data!W77+Data!T78+Data!U78+Data!V78+Data!W78)/(Data!AP67+Data!AP68+Data!AP69+Data!AP70+Data!AP71+Data!AP72+Data!AP73+Data!AP74+Data!AP75+Data!AP76+Data!AP77+Data!AP78)</f>
        <v>0.100190930851488</v>
      </c>
      <c r="O78" s="18" t="n">
        <f aca="false">(Data!T67+Data!T68+Data!T69+Data!T70+Data!T71+Data!T72+Data!T73+Data!T74+Data!T75+Data!T76+Data!T77+Data!T78)/(Data!AP67+Data!AP68+Data!AP69+Data!AP70+Data!AP71+Data!AP72+Data!AP73+Data!AP74+Data!AP75+Data!AP76+Data!AP77+Data!AP78)</f>
        <v>0.0729724984539796</v>
      </c>
      <c r="P78" s="18" t="n">
        <f aca="false">(Data!U67+Data!U68+Data!U69+Data!U70+Data!U71+Data!U72+Data!U73+Data!U74+Data!U75+Data!U76+Data!U77+Data!U78)/(Data!AP67+Data!AP68+Data!AP69+Data!AP70+Data!AP71+Data!AP72+Data!AP73+Data!AP74+Data!AP75+Data!AP76+Data!AP77+Data!AP78)</f>
        <v>0.0124183552854752</v>
      </c>
      <c r="Q78" s="18" t="n">
        <f aca="false">(Data!V67+Data!V68+Data!V69+Data!V70+Data!V71+Data!V72+Data!V73+Data!V74+Data!V75+Data!V76+Data!V77+Data!V78)/(Data!AP67+Data!AP68+Data!AP69+Data!AP70+Data!AP71+Data!AP72+Data!AP73+Data!AP74+Data!AP75+Data!AP76+Data!AP77+Data!AP78)</f>
        <v>0.00728757418837417</v>
      </c>
      <c r="R78" s="18" t="n">
        <f aca="false">(Data!W67+Data!W68+Data!W69+Data!W70+Data!W71+Data!W72+Data!W73+Data!W74+Data!W75+Data!W76+Data!W77+Data!W78)/(Data!AP67+Data!AP68+Data!AP69+Data!AP70+Data!AP71+Data!AP72+Data!AP73+Data!AP74+Data!AP75+Data!AP76+Data!AP77+Data!AP78)</f>
        <v>0.00751250292365907</v>
      </c>
      <c r="S78" s="18" t="n">
        <f aca="false">(Data!X67+Data!X68+Data!X69+Data!X70+Data!X71+Data!X72+Data!X73+Data!X74+Data!X75+Data!X76+Data!X77+Data!X78)/(Data!AP67+Data!AP68+Data!AP69+Data!AP70+Data!AP71+Data!AP72+Data!AP73+Data!AP74+Data!AP75+Data!AP76+Data!AP77+Data!AP78)</f>
        <v>0.0173451513771639</v>
      </c>
      <c r="T78" s="18" t="n">
        <f aca="false">(Data!Y67+Data!Z67+Data!AA67+Data!Y68+Data!Z68+Data!AA68+Data!Y69+Data!Z69+Data!AA69+Data!Y70+Data!Z70+Data!AA70+Data!Y71+Data!Z71+Data!AA71+Data!Y72+Data!Z72+Data!AA72+Data!Y73+Data!Z73+Data!AA73+Data!Y74+Data!Z74+Data!AA74+Data!Y75+Data!Z75+Data!AA75+Data!Y76+Data!Z76+Data!AA76+Data!Y77+Data!Z77+Data!AA77+Data!Y78+Data!Z78+Data!AA78)/(Data!AP67+Data!AP68+Data!AP69+Data!AP70+Data!AP71+Data!AP72+Data!AP73+Data!AP74+Data!AP75+Data!AP76+Data!AP77+Data!AP78)</f>
        <v>0.0298910730173178</v>
      </c>
      <c r="U78" s="18" t="n">
        <f aca="false">(Data!Y67+Data!Y68+Data!Y69+Data!Y70+Data!Y71+Data!Y72+Data!Y73+Data!Y74+Data!Y75+Data!Y76+Data!Y77+Data!Y78)/(Data!AP67+Data!AP68+Data!AP69+Data!AP70+Data!AP71+Data!AP72+Data!AP73+Data!AP74+Data!AP75+Data!AP76+Data!AP77+Data!AP78)</f>
        <v>0.0227352625840307</v>
      </c>
      <c r="V78" s="18" t="n">
        <f aca="false">(Data!Z67+Data!Z68+Data!Z69+Data!Z70+Data!Z71+Data!Z72+Data!Z73+Data!Z74+Data!Z75+Data!Z76+Data!Z77+Data!Z78)/(Data!AP67+Data!AP68+Data!AP69+Data!AP70+Data!AP71+Data!AP72+Data!AP73+Data!AP74+Data!AP75+Data!AP76+Data!AP77+Data!AP78)</f>
        <v>0.00658381726526796</v>
      </c>
      <c r="W78" s="18" t="n">
        <f aca="false">(Data!AB67+Data!AB68+Data!AB69+Data!AB70+Data!AB71+Data!AB72+Data!AB73+Data!AB74+Data!AB75+Data!AB76+Data!AB77+Data!AB78)/(Data!AP67+Data!AP68+Data!AP69+Data!AP70+Data!AP71+Data!AP72+Data!AP73+Data!AP74+Data!AP75+Data!AP76+Data!AP77+Data!AP78)</f>
        <v>0.0233358370197789</v>
      </c>
      <c r="X78" s="18" t="n">
        <f aca="false">(Data!AC67+Data!AC68+Data!AC69+Data!AC70+Data!AC71+Data!AC72+Data!AC73+Data!AC74+Data!AC75+Data!AC76+Data!AC77+Data!AC78)/(Data!AP67+Data!AP68+Data!AP69+Data!AP70+Data!AP71+Data!AP72+Data!AP73+Data!AP74+Data!AP75+Data!AP76+Data!AP77+Data!AP78)</f>
        <v>0.00975250839622365</v>
      </c>
      <c r="Y78" s="18" t="n">
        <f aca="false">(Data!AD67+Data!AE67+Data!AF67+Data!AG67+Data!AH67+Data!AD68+Data!AE68+Data!AF68+Data!AG68+Data!AH68+Data!AD69+Data!AE69+Data!AF69+Data!AG69+Data!AH69+Data!AD70+Data!AE70+Data!AF70+Data!AG70+Data!AH70+Data!AD71+Data!AE71+Data!AF71+Data!AG71+Data!AH71+Data!AD72+Data!AE72+Data!AF72+Data!AG72+Data!AH72+Data!AD73+Data!AE73+Data!AF73+Data!AG73+Data!AH73+Data!AD74+Data!AE74+Data!AF74+Data!AG74+Data!AH74+Data!AD75+Data!AE75+Data!AF75+Data!AG75+Data!AH75+Data!AD76+Data!AE76+Data!AF76+Data!AG76+Data!AH76+Data!AD77+Data!AE77+Data!AF77+Data!AG77+Data!AH77+Data!AD78+Data!AE78+Data!AF78+Data!AG78+Data!AH78)/(Data!AP67+Data!AP68+Data!AP69+Data!AP70+Data!AP71+Data!AP72+Data!AP73+Data!AP74+Data!AP75+Data!AP76+Data!AP77+Data!AP78)</f>
        <v>0.00779102424044654</v>
      </c>
      <c r="Z78" s="18" t="n">
        <f aca="false">(Data!AI67+Data!AI68+Data!AI69+Data!AI70+Data!AI71+Data!AI72+Data!AI73+Data!AI74+Data!AI75+Data!AI76+Data!AI77+Data!AI78)/(Data!AP67+Data!AP68+Data!AP69+Data!AP70+Data!AP71+Data!AP72+Data!AP73+Data!AP74+Data!AP75+Data!AP76+Data!AP77+Data!AP78)</f>
        <v>0.00631511873087943</v>
      </c>
      <c r="AA78" s="18" t="n">
        <f aca="false">(Data!AJ67+Data!AJ68+Data!AJ69+Data!AJ70+Data!AJ71+Data!AJ72+Data!AJ73+Data!AJ74+Data!AJ75+Data!AJ76+Data!AJ77+Data!AJ78)/(Data!AP67+Data!AP68+Data!AP69+Data!AP70+Data!AP71+Data!AP72+Data!AP73+Data!AP74+Data!AP75+Data!AP76+Data!AP77+Data!AP78)</f>
        <v>0</v>
      </c>
      <c r="AB78" s="18" t="n">
        <f aca="false">(Data!AK67+Data!AK68+Data!AK69+Data!AK70+Data!AK71+Data!AK72+Data!AK73+Data!AK74+Data!AK75+Data!AK76+Data!AK77+Data!AK78)/(Data!AP67+Data!AP68+Data!AP69+Data!AP70+Data!AP71+Data!AP72+Data!AP73+Data!AP74+Data!AP75+Data!AP76+Data!AP77+Data!AP78)</f>
        <v>0.00463224243622811</v>
      </c>
      <c r="AC78" s="18" t="n">
        <f aca="false">(Data!AL67+Data!AL68+Data!AL69+Data!AL70+Data!AL71+Data!AL72+Data!AL73+Data!AL74+Data!AL75+Data!AL76+Data!AL77+Data!AL78)/(Data!AP67+Data!AP68+Data!AP69+Data!AP70+Data!AP71+Data!AP72+Data!AP73+Data!AP74+Data!AP75+Data!AP76+Data!AP77+Data!AP78)</f>
        <v>0.014086345953936</v>
      </c>
      <c r="AD78" s="17" t="n">
        <f aca="false">(Data!AM67+Data!AM68+Data!AM69+Data!AM70+Data!AM71+Data!AM72+Data!AM73+Data!AM74+Data!AM75+Data!AM76+Data!AM77+Data!AM78)/(Data!AP67+Data!AP68+Data!AP69+Data!AP70+Data!AP71+Data!AP72+Data!AP73+Data!AP74+Data!AP75+Data!AP76+Data!AP77+Data!AP78)</f>
        <v>-0.0212085555478717</v>
      </c>
      <c r="AE78" s="18" t="n">
        <f aca="false">(Data!AN67+Data!AN68+Data!AN69+Data!AN70+Data!AN71+Data!AN72+Data!AN73+Data!AN74+Data!AN75+Data!AN76+Data!AN77+Data!AN78)/(Data!AP67+Data!AP68+Data!AP69+Data!AP70+Data!AP71+Data!AP72+Data!AP73+Data!AP74+Data!AP75+Data!AP76+Data!AP77+Data!AP78)</f>
        <v>0.0148042961485262</v>
      </c>
      <c r="AF78" s="17" t="n">
        <f aca="false">(Data!AO67+Data!AO68+Data!AO69+Data!AO70+Data!AO71+Data!AO72+Data!AO73+Data!AO74+Data!AO75+Data!AO76+Data!AO77+Data!AO78)/(Data!AP67+Data!AP68+Data!AP69+Data!AP70+Data!AP71+Data!AP72+Data!AP73+Data!AP74+Data!AP75+Data!AP76+Data!AP77+Data!AP78)</f>
        <v>-0.0360128733324825</v>
      </c>
    </row>
    <row r="79" customFormat="false" ht="15" hidden="false" customHeight="false" outlineLevel="0" collapsed="false">
      <c r="B79" s="14" t="str">
        <f aca="false">Data!B79</f>
        <v>2022-01</v>
      </c>
      <c r="C79" s="17" t="n">
        <f aca="false">(Data!D68+Data!E68+Data!F68+Data!G68+Data!H68+Data!I68+Data!J68+Data!K68+Data!L68+Data!M68+Data!N68+Data!O68+Data!P68+Data!Q68+Data!R68+Data!S68+Data!D69+Data!E69+Data!F69+Data!G69+Data!H69+Data!I69+Data!J69+Data!K69+Data!L69+Data!M69+Data!N69+Data!O69+Data!P69+Data!Q69+Data!R69+Data!S69+Data!D70+Data!E70+Data!F70+Data!G70+Data!H70+Data!I70+Data!J70+Data!K70+Data!L70+Data!M70+Data!N70+Data!O70+Data!P70+Data!Q70+Data!R70+Data!S70+Data!D71+Data!E71+Data!F71+Data!G71+Data!H71+Data!I71+Data!J71+Data!K71+Data!L71+Data!M71+Data!N71+Data!O71+Data!P71+Data!Q71+Data!R71+Data!S71+Data!D72+Data!E72+Data!F72+Data!G72+Data!H72+Data!I72+Data!J72+Data!K72+Data!L72+Data!M72+Data!N72+Data!O72+Data!P72+Data!Q72+Data!R72+Data!S72+Data!D73+Data!E73+Data!F73+Data!G73+Data!H73+Data!I73+Data!J73+Data!K73+Data!L73+Data!M73+Data!N73+Data!O73+Data!P73+Data!Q73+Data!R73+Data!S73+Data!D74+Data!E74+Data!F74+Data!G74+Data!H74+Data!I74+Data!J74+Data!K74+Data!L74+Data!M74+Data!N74+Data!O74+Data!P74+Data!Q74+Data!R74+Data!S74+Data!D75+Data!E75+Data!F75+Data!G75+Data!H75+Data!I75+Data!J75+Data!K75+Data!L75+Data!M75+Data!N75+Data!O75+Data!P75+Data!Q75+Data!R75+Data!S75+Data!D76+Data!E76+Data!F76+Data!G76+Data!H76+Data!I76+Data!J76+Data!K76+Data!L76+Data!M76+Data!N76+Data!O76+Data!P76+Data!Q76+Data!R76+Data!S76+Data!D77+Data!E77+Data!F77+Data!G77+Data!H77+Data!I77+Data!J77+Data!K77+Data!L77+Data!M77+Data!N77+Data!O77+Data!P77+Data!Q77+Data!R77+Data!S77+Data!D78+Data!E78+Data!F78+Data!G78+Data!H78+Data!I78+Data!J78+Data!K78+Data!L78+Data!M78+Data!N78+Data!O78+Data!P78+Data!Q78+Data!R78+Data!S78+Data!D79+Data!E79+Data!F79+Data!G79+Data!H79+Data!I79+Data!J79+Data!K79+Data!L79+Data!M79+Data!N79+Data!O79+Data!P79+Data!Q79+Data!R79+Data!S79)/(Data!AP68+Data!AP69+Data!AP70+Data!AP71+Data!AP72+Data!AP73+Data!AP74+Data!AP75+Data!AP76+Data!AP77+Data!AP78+Data!AP79)</f>
        <v>0.190695592389521</v>
      </c>
      <c r="D79" s="18" t="n">
        <f aca="false">(Data!D68+Data!E68+Data!G68+Data!H68+Data!I68+Data!J68+Data!K68+Data!L68+Data!M68+Data!D69+Data!E69+Data!G69+Data!H69+Data!I69+Data!J69+Data!K69+Data!L69+Data!M69+Data!D70+Data!E70+Data!G70+Data!H70+Data!I70+Data!J70+Data!K70+Data!L70+Data!M70+Data!D71+Data!E71+Data!G71+Data!H71+Data!I71+Data!J71+Data!K71+Data!L71+Data!M71+Data!D72+Data!E72+Data!G72+Data!H72+Data!I72+Data!J72+Data!K72+Data!L72+Data!M72+Data!D73+Data!E73+Data!G73+Data!H73+Data!I73+Data!J73+Data!K73+Data!L73+Data!M73+Data!D74+Data!E74+Data!G74+Data!H74+Data!I74+Data!J74+Data!K74+Data!L74+Data!M74+Data!D75+Data!E75+Data!G75+Data!H75+Data!I75+Data!J75+Data!K75+Data!L75+Data!M75+Data!D76+Data!E76+Data!G76+Data!H76+Data!I76+Data!J76+Data!K76+Data!L76+Data!M76+Data!D77+Data!E77+Data!G77+Data!H77+Data!I77+Data!J77+Data!K77+Data!L77+Data!M77+Data!D78+Data!E78+Data!G78+Data!H78+Data!I78+Data!J78+Data!K78+Data!L78+Data!M78+Data!D79+Data!E79+Data!G79+Data!H79+Data!I79+Data!J79+Data!K79+Data!L79+Data!M79)/(Data!AP68+Data!AP69+Data!AP70+Data!AP71+Data!AP72+Data!AP73+Data!AP74+Data!AP75+Data!AP76+Data!AP77+Data!AP78+Data!AP79)</f>
        <v>0.109515580405251</v>
      </c>
      <c r="E79" s="18" t="n">
        <f aca="false">(Data!D68+Data!D69+Data!D70+Data!D71+Data!D72+Data!D73+Data!D74+Data!D75+Data!D76+Data!D77+Data!D78+Data!D79)/(Data!AP68+Data!AP69+Data!AP70+Data!AP71+Data!AP72+Data!AP73+Data!AP74+Data!AP75+Data!AP76+Data!AP77+Data!AP78+Data!AP79)</f>
        <v>0.0314854460255904</v>
      </c>
      <c r="F79" s="18" t="n">
        <f aca="false">(Data!E68+Data!E69+Data!E70+Data!E71+Data!E72+Data!E73+Data!E74+Data!E75+Data!E76+Data!E77+Data!E78+Data!E79)/(Data!AP68+Data!AP69+Data!AP70+Data!AP71+Data!AP72+Data!AP73+Data!AP74+Data!AP75+Data!AP76+Data!AP77+Data!AP78+Data!AP79)</f>
        <v>0.0177004787921801</v>
      </c>
      <c r="G79" s="18" t="n">
        <f aca="false">(Data!K68+Data!K69+Data!K70+Data!K71+Data!K72+Data!K73+Data!K74+Data!K75+Data!K76+Data!K77+Data!K78+Data!K79)/(Data!AP68+Data!AP69+Data!AP70+Data!AP71+Data!AP72+Data!AP73+Data!AP74+Data!AP75+Data!AP76+Data!AP77+Data!AP78+Data!AP79)</f>
        <v>0.0192788904703392</v>
      </c>
      <c r="H79" s="18" t="n">
        <f aca="false">(Data!L68+Data!L69+Data!L70+Data!L71+Data!L72+Data!L73+Data!L74+Data!L75+Data!L76+Data!L77+Data!L78+Data!L79)/(Data!AP68+Data!AP69+Data!AP70+Data!AP71+Data!AP72+Data!AP73+Data!AP74+Data!AP75+Data!AP76+Data!AP77+Data!AP78+Data!AP79)</f>
        <v>0.00652297586445722</v>
      </c>
      <c r="I79" s="18" t="n">
        <f aca="false">(Data!G68+Data!G69+Data!G70+Data!G71+Data!G72+Data!G73+Data!G74+Data!G75+Data!G76+Data!G77+Data!G78+Data!G79)/(Data!AP68+Data!AP69+Data!AP70+Data!AP71+Data!AP72+Data!AP73+Data!AP74+Data!AP75+Data!AP76+Data!AP77+Data!AP78+Data!AP79)</f>
        <v>0.0159381294677012</v>
      </c>
      <c r="J79" s="18" t="n">
        <f aca="false">(Data!H68+Data!I68+Data!J68+Data!M68+Data!H69+Data!I69+Data!J69+Data!M69+Data!H70+Data!I70+Data!J70+Data!M70+Data!H71+Data!I71+Data!J71+Data!M71+Data!H72+Data!I72+Data!J72+Data!M72+Data!H73+Data!I73+Data!J73+Data!M73+Data!H74+Data!I74+Data!J74+Data!M74+Data!H75+Data!I75+Data!J75+Data!M75+Data!H76+Data!I76+Data!J76+Data!M76+Data!H77+Data!I77+Data!J77+Data!M77+Data!H78+Data!I78+Data!J78+Data!M78+Data!H79+Data!I79+Data!J79+Data!M79)/(Data!AP68+Data!AP69+Data!AP70+Data!AP71+Data!AP72+Data!AP73+Data!AP74+Data!AP75+Data!AP76+Data!AP77+Data!AP78+Data!AP79)</f>
        <v>0.0185896597849829</v>
      </c>
      <c r="K79" s="18" t="n">
        <f aca="false">(Data!F68+Data!F69+Data!F70+Data!F71+Data!F72+Data!F73+Data!F74+Data!F75+Data!F76+Data!F77+Data!F78+Data!F79)/(Data!AP68+Data!AP69+Data!AP70+Data!AP71+Data!AP72+Data!AP73+Data!AP74+Data!AP75+Data!AP76+Data!AP77+Data!AP78+Data!AP79)</f>
        <v>0.0523159425634493</v>
      </c>
      <c r="L79" s="18" t="n">
        <f aca="false">(Data!N68+Data!O68+Data!P68+Data!Q68+Data!R68+Data!S68+Data!N69+Data!O69+Data!P69+Data!Q69+Data!R69+Data!S69+Data!N70+Data!O70+Data!P70+Data!Q70+Data!R70+Data!S70+Data!N71+Data!O71+Data!P71+Data!Q71+Data!R71+Data!S71+Data!N72+Data!O72+Data!P72+Data!Q72+Data!R72+Data!S72+Data!N73+Data!O73+Data!P73+Data!Q73+Data!R73+Data!S73+Data!N74+Data!O74+Data!P74+Data!Q74+Data!R74+Data!S74+Data!N75+Data!O75+Data!P75+Data!Q75+Data!R75+Data!S75+Data!N76+Data!O76+Data!P76+Data!Q76+Data!R76+Data!S76+Data!N77+Data!O77+Data!P77+Data!Q77+Data!R77+Data!S77+Data!N78+Data!O78+Data!P78+Data!Q78+Data!R78+Data!S78+Data!N79+Data!O79+Data!P79+Data!Q79+Data!R79+Data!S79)/(Data!AP68+Data!AP69+Data!AP70+Data!AP71+Data!AP72+Data!AP73+Data!AP74+Data!AP75+Data!AP76+Data!AP77+Data!AP78+Data!AP79)</f>
        <v>0.0288640694208202</v>
      </c>
      <c r="M79" s="17" t="n">
        <f aca="false">(Data!T68+Data!U68+Data!V68+Data!W68+Data!X68+Data!Y68+Data!Z68+Data!AA68+Data!AB68+Data!AC68+Data!AD68+Data!AE68+Data!AF68+Data!AG68+Data!AH68+Data!AI68+Data!AJ68+Data!AK68+Data!AL68+Data!T69+Data!U69+Data!V69+Data!W69+Data!X69+Data!Y69+Data!Z69+Data!AA69+Data!AB69+Data!AC69+Data!AD69+Data!AE69+Data!AF69+Data!AG69+Data!AH69+Data!AI69+Data!AJ69+Data!AK69+Data!AL69+Data!T70+Data!U70+Data!V70+Data!W70+Data!X70+Data!Y70+Data!Z70+Data!AA70+Data!AB70+Data!AC70+Data!AD70+Data!AE70+Data!AF70+Data!AG70+Data!AH70+Data!AI70+Data!AJ70+Data!AK70+Data!AL70+Data!T71+Data!U71+Data!V71+Data!W71+Data!X71+Data!Y71+Data!Z71+Data!AA71+Data!AB71+Data!AC71+Data!AD71+Data!AE71+Data!AF71+Data!AG71+Data!AH71+Data!AI71+Data!AJ71+Data!AK71+Data!AL71+Data!T72+Data!U72+Data!V72+Data!W72+Data!X72+Data!Y72+Data!Z72+Data!AA72+Data!AB72+Data!AC72+Data!AD72+Data!AE72+Data!AF72+Data!AG72+Data!AH72+Data!AI72+Data!AJ72+Data!AK72+Data!AL72+Data!T73+Data!U73+Data!V73+Data!W73+Data!X73+Data!Y73+Data!Z73+Data!AA73+Data!AB73+Data!AC73+Data!AD73+Data!AE73+Data!AF73+Data!AG73+Data!AH73+Data!AI73+Data!AJ73+Data!AK73+Data!AL73+Data!T74+Data!U74+Data!V74+Data!W74+Data!X74+Data!Y74+Data!Z74+Data!AA74+Data!AB74+Data!AC74+Data!AD74+Data!AE74+Data!AF74+Data!AG74+Data!AH74+Data!AI74+Data!AJ74+Data!AK74+Data!AL74+Data!T75+Data!U75+Data!V75+Data!W75+Data!X75+Data!Y75+Data!Z75+Data!AA75+Data!AB75+Data!AC75+Data!AD75+Data!AE75+Data!AF75+Data!AG75+Data!AH75+Data!AI75+Data!AJ75+Data!AK75+Data!AL75+Data!T76+Data!U76+Data!V76+Data!W76+Data!X76+Data!Y76+Data!Z76+Data!AA76+Data!AB76+Data!AC76+Data!AD76+Data!AE76+Data!AF76+Data!AG76+Data!AH76+Data!AI76+Data!AJ76+Data!AK76+Data!AL76+Data!T77+Data!U77+Data!V77+Data!W77+Data!X77+Data!Y77+Data!Z77+Data!AA77+Data!AB77+Data!AC77+Data!AD77+Data!AE77+Data!AF77+Data!AG77+Data!AH77+Data!AI77+Data!AJ77+Data!AK77+Data!AL77+Data!T78+Data!U78+Data!V78+Data!W78+Data!X78+Data!Y78+Data!Z78+Data!AA78+Data!AB78+Data!AC78+Data!AD78+Data!AE78+Data!AF78+Data!AG78+Data!AH78+Data!AI78+Data!AJ78+Data!AK78+Data!AL78+Data!T79+Data!U79+Data!V79+Data!W79+Data!X79+Data!Y79+Data!Z79+Data!AA79+Data!AB79+Data!AC79+Data!AD79+Data!AE79+Data!AF79+Data!AG79+Data!AH79+Data!AI79+Data!AJ79+Data!AK79+Data!AL79)/(Data!AP68+Data!AP69+Data!AP70+Data!AP71+Data!AP72+Data!AP73+Data!AP74+Data!AP75+Data!AP76+Data!AP77+Data!AP78+Data!AP79)</f>
        <v>0.211928214678299</v>
      </c>
      <c r="N79" s="18" t="n">
        <f aca="false">(Data!T68+Data!U68+Data!V68+Data!W68+Data!T69+Data!U69+Data!V69+Data!W69+Data!T70+Data!U70+Data!V70+Data!W70+Data!T71+Data!U71+Data!V71+Data!W71+Data!T72+Data!U72+Data!V72+Data!W72+Data!T73+Data!U73+Data!V73+Data!W73+Data!T74+Data!U74+Data!V74+Data!W74+Data!T75+Data!U75+Data!V75+Data!W75+Data!T76+Data!U76+Data!V76+Data!W76+Data!T77+Data!U77+Data!V77+Data!W77+Data!T78+Data!U78+Data!V78+Data!W78+Data!T79+Data!U79+Data!V79+Data!W79)/(Data!AP68+Data!AP69+Data!AP70+Data!AP71+Data!AP72+Data!AP73+Data!AP74+Data!AP75+Data!AP76+Data!AP77+Data!AP78+Data!AP79)</f>
        <v>0.100231397892626</v>
      </c>
      <c r="O79" s="18" t="n">
        <f aca="false">(Data!T68+Data!T69+Data!T70+Data!T71+Data!T72+Data!T73+Data!T74+Data!T75+Data!T76+Data!T77+Data!T78+Data!T79)/(Data!AP68+Data!AP69+Data!AP70+Data!AP71+Data!AP72+Data!AP73+Data!AP74+Data!AP75+Data!AP76+Data!AP77+Data!AP78+Data!AP79)</f>
        <v>0.0729243622075773</v>
      </c>
      <c r="P79" s="18" t="n">
        <f aca="false">(Data!U68+Data!U69+Data!U70+Data!U71+Data!U72+Data!U73+Data!U74+Data!U75+Data!U76+Data!U77+Data!U78+Data!U79)/(Data!AP68+Data!AP69+Data!AP70+Data!AP71+Data!AP72+Data!AP73+Data!AP74+Data!AP75+Data!AP76+Data!AP77+Data!AP78+Data!AP79)</f>
        <v>0.0125224208927245</v>
      </c>
      <c r="Q79" s="18" t="n">
        <f aca="false">(Data!V68+Data!V69+Data!V70+Data!V71+Data!V72+Data!V73+Data!V74+Data!V75+Data!V76+Data!V77+Data!V78+Data!V79)/(Data!AP68+Data!AP69+Data!AP70+Data!AP71+Data!AP72+Data!AP73+Data!AP74+Data!AP75+Data!AP76+Data!AP77+Data!AP78+Data!AP79)</f>
        <v>0.00730366587921027</v>
      </c>
      <c r="R79" s="18" t="n">
        <f aca="false">(Data!W68+Data!W69+Data!W70+Data!W71+Data!W72+Data!W73+Data!W74+Data!W75+Data!W76+Data!W77+Data!W78+Data!W79)/(Data!AP68+Data!AP69+Data!AP70+Data!AP71+Data!AP72+Data!AP73+Data!AP74+Data!AP75+Data!AP76+Data!AP77+Data!AP78+Data!AP79)</f>
        <v>0.00748094891311373</v>
      </c>
      <c r="S79" s="18" t="n">
        <f aca="false">(Data!X68+Data!X69+Data!X70+Data!X71+Data!X72+Data!X73+Data!X74+Data!X75+Data!X76+Data!X77+Data!X78+Data!X79)/(Data!AP68+Data!AP69+Data!AP70+Data!AP71+Data!AP72+Data!AP73+Data!AP74+Data!AP75+Data!AP76+Data!AP77+Data!AP78+Data!AP79)</f>
        <v>0.0166725907218247</v>
      </c>
      <c r="T79" s="18" t="n">
        <f aca="false">(Data!Y68+Data!Z68+Data!AA68+Data!Y69+Data!Z69+Data!AA69+Data!Y70+Data!Z70+Data!AA70+Data!Y71+Data!Z71+Data!AA71+Data!Y72+Data!Z72+Data!AA72+Data!Y73+Data!Z73+Data!AA73+Data!Y74+Data!Z74+Data!AA74+Data!Y75+Data!Z75+Data!AA75+Data!Y76+Data!Z76+Data!AA76+Data!Y77+Data!Z77+Data!AA77+Data!Y78+Data!Z78+Data!AA78+Data!Y79+Data!Z79+Data!AA79)/(Data!AP68+Data!AP69+Data!AP70+Data!AP71+Data!AP72+Data!AP73+Data!AP74+Data!AP75+Data!AP76+Data!AP77+Data!AP78+Data!AP79)</f>
        <v>0.0293177892136302</v>
      </c>
      <c r="U79" s="18" t="n">
        <f aca="false">(Data!Y68+Data!Y69+Data!Y70+Data!Y71+Data!Y72+Data!Y73+Data!Y74+Data!Y75+Data!Y76+Data!Y77+Data!Y78+Data!Y79)/(Data!AP68+Data!AP69+Data!AP70+Data!AP71+Data!AP72+Data!AP73+Data!AP74+Data!AP75+Data!AP76+Data!AP77+Data!AP78+Data!AP79)</f>
        <v>0.0224018792816532</v>
      </c>
      <c r="V79" s="18" t="n">
        <f aca="false">(Data!Z68+Data!Z69+Data!Z70+Data!Z71+Data!Z72+Data!Z73+Data!Z74+Data!Z75+Data!Z76+Data!Z77+Data!Z78+Data!Z79)/(Data!AP68+Data!AP69+Data!AP70+Data!AP71+Data!AP72+Data!AP73+Data!AP74+Data!AP75+Data!AP76+Data!AP77+Data!AP78+Data!AP79)</f>
        <v>0.00641042973196625</v>
      </c>
      <c r="W79" s="18" t="n">
        <f aca="false">(Data!AB68+Data!AB69+Data!AB70+Data!AB71+Data!AB72+Data!AB73+Data!AB74+Data!AB75+Data!AB76+Data!AB77+Data!AB78+Data!AB79)/(Data!AP68+Data!AP69+Data!AP70+Data!AP71+Data!AP72+Data!AP73+Data!AP74+Data!AP75+Data!AP76+Data!AP77+Data!AP78+Data!AP79)</f>
        <v>0.0233504318946079</v>
      </c>
      <c r="X79" s="18" t="n">
        <f aca="false">(Data!AC68+Data!AC69+Data!AC70+Data!AC71+Data!AC72+Data!AC73+Data!AC74+Data!AC75+Data!AC76+Data!AC77+Data!AC78+Data!AC79)/(Data!AP68+Data!AP69+Data!AP70+Data!AP71+Data!AP72+Data!AP73+Data!AP74+Data!AP75+Data!AP76+Data!AP77+Data!AP78+Data!AP79)</f>
        <v>0.00966068800574233</v>
      </c>
      <c r="Y79" s="18" t="n">
        <f aca="false">(Data!AD68+Data!AE68+Data!AF68+Data!AG68+Data!AH68+Data!AD69+Data!AE69+Data!AF69+Data!AG69+Data!AH69+Data!AD70+Data!AE70+Data!AF70+Data!AG70+Data!AH70+Data!AD71+Data!AE71+Data!AF71+Data!AG71+Data!AH71+Data!AD72+Data!AE72+Data!AF72+Data!AG72+Data!AH72+Data!AD73+Data!AE73+Data!AF73+Data!AG73+Data!AH73+Data!AD74+Data!AE74+Data!AF74+Data!AG74+Data!AH74+Data!AD75+Data!AE75+Data!AF75+Data!AG75+Data!AH75+Data!AD76+Data!AE76+Data!AF76+Data!AG76+Data!AH76+Data!AD77+Data!AE77+Data!AF77+Data!AG77+Data!AH77+Data!AD78+Data!AE78+Data!AF78+Data!AG78+Data!AH78+Data!AD79+Data!AE79+Data!AF79+Data!AG79+Data!AH79)/(Data!AP68+Data!AP69+Data!AP70+Data!AP71+Data!AP72+Data!AP73+Data!AP74+Data!AP75+Data!AP76+Data!AP77+Data!AP78+Data!AP79)</f>
        <v>0.0076459625053746</v>
      </c>
      <c r="Z79" s="18" t="n">
        <f aca="false">(Data!AI68+Data!AI69+Data!AI70+Data!AI71+Data!AI72+Data!AI73+Data!AI74+Data!AI75+Data!AI76+Data!AI77+Data!AI78+Data!AI79)/(Data!AP68+Data!AP69+Data!AP70+Data!AP71+Data!AP72+Data!AP73+Data!AP74+Data!AP75+Data!AP76+Data!AP77+Data!AP78+Data!AP79)</f>
        <v>0.00627259607229328</v>
      </c>
      <c r="AA79" s="18" t="n">
        <f aca="false">(Data!AJ68+Data!AJ69+Data!AJ70+Data!AJ71+Data!AJ72+Data!AJ73+Data!AJ74+Data!AJ75+Data!AJ76+Data!AJ77+Data!AJ78+Data!AJ79)/(Data!AP68+Data!AP69+Data!AP70+Data!AP71+Data!AP72+Data!AP73+Data!AP74+Data!AP75+Data!AP76+Data!AP77+Data!AP78+Data!AP79)</f>
        <v>0</v>
      </c>
      <c r="AB79" s="18" t="n">
        <f aca="false">(Data!AK68+Data!AK69+Data!AK70+Data!AK71+Data!AK72+Data!AK73+Data!AK74+Data!AK75+Data!AK76+Data!AK77+Data!AK78+Data!AK79)/(Data!AP68+Data!AP69+Data!AP70+Data!AP71+Data!AP72+Data!AP73+Data!AP74+Data!AP75+Data!AP76+Data!AP77+Data!AP78+Data!AP79)</f>
        <v>0.00465542127680912</v>
      </c>
      <c r="AC79" s="18" t="n">
        <f aca="false">(Data!AL68+Data!AL69+Data!AL70+Data!AL71+Data!AL72+Data!AL73+Data!AL74+Data!AL75+Data!AL76+Data!AL77+Data!AL78+Data!AL79)/(Data!AP68+Data!AP69+Data!AP70+Data!AP71+Data!AP72+Data!AP73+Data!AP74+Data!AP75+Data!AP76+Data!AP77+Data!AP78+Data!AP79)</f>
        <v>0.0141213370953914</v>
      </c>
      <c r="AD79" s="17" t="n">
        <f aca="false">(Data!AM68+Data!AM69+Data!AM70+Data!AM71+Data!AM72+Data!AM73+Data!AM74+Data!AM75+Data!AM76+Data!AM77+Data!AM78+Data!AM79)/(Data!AP68+Data!AP69+Data!AP70+Data!AP71+Data!AP72+Data!AP73+Data!AP74+Data!AP75+Data!AP76+Data!AP77+Data!AP78+Data!AP79)</f>
        <v>-0.0212326222887786</v>
      </c>
      <c r="AE79" s="18" t="n">
        <f aca="false">(Data!AN68+Data!AN69+Data!AN70+Data!AN71+Data!AN72+Data!AN73+Data!AN74+Data!AN75+Data!AN76+Data!AN77+Data!AN78+Data!AN79)/(Data!AP68+Data!AP69+Data!AP70+Data!AP71+Data!AP72+Data!AP73+Data!AP74+Data!AP75+Data!AP76+Data!AP77+Data!AP78+Data!AP79)</f>
        <v>0.0164515120199563</v>
      </c>
      <c r="AF79" s="17" t="n">
        <f aca="false">(Data!AO68+Data!AO69+Data!AO70+Data!AO71+Data!AO72+Data!AO73+Data!AO74+Data!AO75+Data!AO76+Data!AO77+Data!AO78+Data!AO79)/(Data!AP68+Data!AP69+Data!AP70+Data!AP71+Data!AP72+Data!AP73+Data!AP74+Data!AP75+Data!AP76+Data!AP77+Data!AP78+Data!AP79)</f>
        <v>-0.0376841551043988</v>
      </c>
    </row>
    <row r="80" customFormat="false" ht="15" hidden="false" customHeight="false" outlineLevel="0" collapsed="false">
      <c r="B80" s="14" t="str">
        <f aca="false">Data!B80</f>
        <v>2022-02</v>
      </c>
      <c r="C80" s="17" t="n">
        <f aca="false">(Data!D69+Data!E69+Data!F69+Data!G69+Data!H69+Data!I69+Data!J69+Data!K69+Data!L69+Data!M69+Data!N69+Data!O69+Data!P69+Data!Q69+Data!R69+Data!S69+Data!D70+Data!E70+Data!F70+Data!G70+Data!H70+Data!I70+Data!J70+Data!K70+Data!L70+Data!M70+Data!N70+Data!O70+Data!P70+Data!Q70+Data!R70+Data!S70+Data!D71+Data!E71+Data!F71+Data!G71+Data!H71+Data!I71+Data!J71+Data!K71+Data!L71+Data!M71+Data!N71+Data!O71+Data!P71+Data!Q71+Data!R71+Data!S71+Data!D72+Data!E72+Data!F72+Data!G72+Data!H72+Data!I72+Data!J72+Data!K72+Data!L72+Data!M72+Data!N72+Data!O72+Data!P72+Data!Q72+Data!R72+Data!S72+Data!D73+Data!E73+Data!F73+Data!G73+Data!H73+Data!I73+Data!J73+Data!K73+Data!L73+Data!M73+Data!N73+Data!O73+Data!P73+Data!Q73+Data!R73+Data!S73+Data!D74+Data!E74+Data!F74+Data!G74+Data!H74+Data!I74+Data!J74+Data!K74+Data!L74+Data!M74+Data!N74+Data!O74+Data!P74+Data!Q74+Data!R74+Data!S74+Data!D75+Data!E75+Data!F75+Data!G75+Data!H75+Data!I75+Data!J75+Data!K75+Data!L75+Data!M75+Data!N75+Data!O75+Data!P75+Data!Q75+Data!R75+Data!S75+Data!D76+Data!E76+Data!F76+Data!G76+Data!H76+Data!I76+Data!J76+Data!K76+Data!L76+Data!M76+Data!N76+Data!O76+Data!P76+Data!Q76+Data!R76+Data!S76+Data!D77+Data!E77+Data!F77+Data!G77+Data!H77+Data!I77+Data!J77+Data!K77+Data!L77+Data!M77+Data!N77+Data!O77+Data!P77+Data!Q77+Data!R77+Data!S77+Data!D78+Data!E78+Data!F78+Data!G78+Data!H78+Data!I78+Data!J78+Data!K78+Data!L78+Data!M78+Data!N78+Data!O78+Data!P78+Data!Q78+Data!R78+Data!S78+Data!D79+Data!E79+Data!F79+Data!G79+Data!H79+Data!I79+Data!J79+Data!K79+Data!L79+Data!M79+Data!N79+Data!O79+Data!P79+Data!Q79+Data!R79+Data!S79+Data!D80+Data!E80+Data!F80+Data!G80+Data!H80+Data!I80+Data!J80+Data!K80+Data!L80+Data!M80+Data!N80+Data!O80+Data!P80+Data!Q80+Data!R80+Data!S80)/(Data!AP69+Data!AP70+Data!AP71+Data!AP72+Data!AP73+Data!AP74+Data!AP75+Data!AP76+Data!AP77+Data!AP78+Data!AP79+Data!AP80)</f>
        <v>0.189852669116335</v>
      </c>
      <c r="D80" s="18" t="n">
        <f aca="false">(Data!D69+Data!E69+Data!G69+Data!H69+Data!I69+Data!J69+Data!K69+Data!L69+Data!M69+Data!D70+Data!E70+Data!G70+Data!H70+Data!I70+Data!J70+Data!K70+Data!L70+Data!M70+Data!D71+Data!E71+Data!G71+Data!H71+Data!I71+Data!J71+Data!K71+Data!L71+Data!M71+Data!D72+Data!E72+Data!G72+Data!H72+Data!I72+Data!J72+Data!K72+Data!L72+Data!M72+Data!D73+Data!E73+Data!G73+Data!H73+Data!I73+Data!J73+Data!K73+Data!L73+Data!M73+Data!D74+Data!E74+Data!G74+Data!H74+Data!I74+Data!J74+Data!K74+Data!L74+Data!M74+Data!D75+Data!E75+Data!G75+Data!H75+Data!I75+Data!J75+Data!K75+Data!L75+Data!M75+Data!D76+Data!E76+Data!G76+Data!H76+Data!I76+Data!J76+Data!K76+Data!L76+Data!M76+Data!D77+Data!E77+Data!G77+Data!H77+Data!I77+Data!J77+Data!K77+Data!L77+Data!M77+Data!D78+Data!E78+Data!G78+Data!H78+Data!I78+Data!J78+Data!K78+Data!L78+Data!M78+Data!D79+Data!E79+Data!G79+Data!H79+Data!I79+Data!J79+Data!K79+Data!L79+Data!M79+Data!D80+Data!E80+Data!G80+Data!H80+Data!I80+Data!J80+Data!K80+Data!L80+Data!M80)/(Data!AP69+Data!AP70+Data!AP71+Data!AP72+Data!AP73+Data!AP74+Data!AP75+Data!AP76+Data!AP77+Data!AP78+Data!AP79+Data!AP80)</f>
        <v>0.109225886641142</v>
      </c>
      <c r="E80" s="18" t="n">
        <f aca="false">(Data!D69+Data!D70+Data!D71+Data!D72+Data!D73+Data!D74+Data!D75+Data!D76+Data!D77+Data!D78+Data!D79+Data!D80)/(Data!AP69+Data!AP70+Data!AP71+Data!AP72+Data!AP73+Data!AP74+Data!AP75+Data!AP76+Data!AP77+Data!AP78+Data!AP79+Data!AP80)</f>
        <v>0.0314717652977515</v>
      </c>
      <c r="F80" s="18" t="n">
        <f aca="false">(Data!E69+Data!E70+Data!E71+Data!E72+Data!E73+Data!E74+Data!E75+Data!E76+Data!E77+Data!E78+Data!E79+Data!E80)/(Data!AP69+Data!AP70+Data!AP71+Data!AP72+Data!AP73+Data!AP74+Data!AP75+Data!AP76+Data!AP77+Data!AP78+Data!AP79+Data!AP80)</f>
        <v>0.0175046418611897</v>
      </c>
      <c r="G80" s="18" t="n">
        <f aca="false">(Data!K69+Data!K70+Data!K71+Data!K72+Data!K73+Data!K74+Data!K75+Data!K76+Data!K77+Data!K78+Data!K79+Data!K80)/(Data!AP69+Data!AP70+Data!AP71+Data!AP72+Data!AP73+Data!AP74+Data!AP75+Data!AP76+Data!AP77+Data!AP78+Data!AP79+Data!AP80)</f>
        <v>0.0191999969561585</v>
      </c>
      <c r="H80" s="18" t="n">
        <f aca="false">(Data!L69+Data!L70+Data!L71+Data!L72+Data!L73+Data!L74+Data!L75+Data!L76+Data!L77+Data!L78+Data!L79+Data!L80)/(Data!AP69+Data!AP70+Data!AP71+Data!AP72+Data!AP73+Data!AP74+Data!AP75+Data!AP76+Data!AP77+Data!AP78+Data!AP79+Data!AP80)</f>
        <v>0.00651276531061573</v>
      </c>
      <c r="I80" s="18" t="n">
        <f aca="false">(Data!G69+Data!G70+Data!G71+Data!G72+Data!G73+Data!G74+Data!G75+Data!G76+Data!G77+Data!G78+Data!G79+Data!G80)/(Data!AP69+Data!AP70+Data!AP71+Data!AP72+Data!AP73+Data!AP74+Data!AP75+Data!AP76+Data!AP77+Data!AP78+Data!AP79+Data!AP80)</f>
        <v>0.0161745672553426</v>
      </c>
      <c r="J80" s="18" t="n">
        <f aca="false">(Data!H69+Data!I69+Data!J69+Data!M69+Data!H70+Data!I70+Data!J70+Data!M70+Data!H71+Data!I71+Data!J71+Data!M71+Data!H72+Data!I72+Data!J72+Data!M72+Data!H73+Data!I73+Data!J73+Data!M73+Data!H74+Data!I74+Data!J74+Data!M74+Data!H75+Data!I75+Data!J75+Data!M75+Data!H76+Data!I76+Data!J76+Data!M76+Data!H77+Data!I77+Data!J77+Data!M77+Data!H78+Data!I78+Data!J78+Data!M78+Data!H79+Data!I79+Data!J79+Data!M79+Data!H80+Data!I80+Data!J80+Data!M80)/(Data!AP69+Data!AP70+Data!AP71+Data!AP72+Data!AP73+Data!AP74+Data!AP75+Data!AP76+Data!AP77+Data!AP78+Data!AP79+Data!AP80)</f>
        <v>0.0183621499600842</v>
      </c>
      <c r="K80" s="18" t="n">
        <f aca="false">(Data!F69+Data!F70+Data!F71+Data!F72+Data!F73+Data!F74+Data!F75+Data!F76+Data!F77+Data!F78+Data!F79+Data!F80)/(Data!AP69+Data!AP70+Data!AP71+Data!AP72+Data!AP73+Data!AP74+Data!AP75+Data!AP76+Data!AP77+Data!AP78+Data!AP79+Data!AP80)</f>
        <v>0.052361117012311</v>
      </c>
      <c r="L80" s="18" t="n">
        <f aca="false">(Data!N69+Data!O69+Data!P69+Data!Q69+Data!R69+Data!S69+Data!N70+Data!O70+Data!P70+Data!Q70+Data!R70+Data!S70+Data!N71+Data!O71+Data!P71+Data!Q71+Data!R71+Data!S71+Data!N72+Data!O72+Data!P72+Data!Q72+Data!R72+Data!S72+Data!N73+Data!O73+Data!P73+Data!Q73+Data!R73+Data!S73+Data!N74+Data!O74+Data!P74+Data!Q74+Data!R74+Data!S74+Data!N75+Data!O75+Data!P75+Data!Q75+Data!R75+Data!S75+Data!N76+Data!O76+Data!P76+Data!Q76+Data!R76+Data!S76+Data!N77+Data!O77+Data!P77+Data!Q77+Data!R77+Data!S77+Data!N78+Data!O78+Data!P78+Data!Q78+Data!R78+Data!S78+Data!N79+Data!O79+Data!P79+Data!Q79+Data!R79+Data!S79+Data!N80+Data!O80+Data!P80+Data!Q80+Data!R80+Data!S80)/(Data!AP69+Data!AP70+Data!AP71+Data!AP72+Data!AP73+Data!AP74+Data!AP75+Data!AP76+Data!AP77+Data!AP78+Data!AP79+Data!AP80)</f>
        <v>0.0282656654628812</v>
      </c>
      <c r="M80" s="17" t="n">
        <f aca="false">(Data!T69+Data!U69+Data!V69+Data!W69+Data!X69+Data!Y69+Data!Z69+Data!AA69+Data!AB69+Data!AC69+Data!AD69+Data!AE69+Data!AF69+Data!AG69+Data!AH69+Data!AI69+Data!AJ69+Data!AK69+Data!AL69+Data!T70+Data!U70+Data!V70+Data!W70+Data!X70+Data!Y70+Data!Z70+Data!AA70+Data!AB70+Data!AC70+Data!AD70+Data!AE70+Data!AF70+Data!AG70+Data!AH70+Data!AI70+Data!AJ70+Data!AK70+Data!AL70+Data!T71+Data!U71+Data!V71+Data!W71+Data!X71+Data!Y71+Data!Z71+Data!AA71+Data!AB71+Data!AC71+Data!AD71+Data!AE71+Data!AF71+Data!AG71+Data!AH71+Data!AI71+Data!AJ71+Data!AK71+Data!AL71+Data!T72+Data!U72+Data!V72+Data!W72+Data!X72+Data!Y72+Data!Z72+Data!AA72+Data!AB72+Data!AC72+Data!AD72+Data!AE72+Data!AF72+Data!AG72+Data!AH72+Data!AI72+Data!AJ72+Data!AK72+Data!AL72+Data!T73+Data!U73+Data!V73+Data!W73+Data!X73+Data!Y73+Data!Z73+Data!AA73+Data!AB73+Data!AC73+Data!AD73+Data!AE73+Data!AF73+Data!AG73+Data!AH73+Data!AI73+Data!AJ73+Data!AK73+Data!AL73+Data!T74+Data!U74+Data!V74+Data!W74+Data!X74+Data!Y74+Data!Z74+Data!AA74+Data!AB74+Data!AC74+Data!AD74+Data!AE74+Data!AF74+Data!AG74+Data!AH74+Data!AI74+Data!AJ74+Data!AK74+Data!AL74+Data!T75+Data!U75+Data!V75+Data!W75+Data!X75+Data!Y75+Data!Z75+Data!AA75+Data!AB75+Data!AC75+Data!AD75+Data!AE75+Data!AF75+Data!AG75+Data!AH75+Data!AI75+Data!AJ75+Data!AK75+Data!AL75+Data!T76+Data!U76+Data!V76+Data!W76+Data!X76+Data!Y76+Data!Z76+Data!AA76+Data!AB76+Data!AC76+Data!AD76+Data!AE76+Data!AF76+Data!AG76+Data!AH76+Data!AI76+Data!AJ76+Data!AK76+Data!AL76+Data!T77+Data!U77+Data!V77+Data!W77+Data!X77+Data!Y77+Data!Z77+Data!AA77+Data!AB77+Data!AC77+Data!AD77+Data!AE77+Data!AF77+Data!AG77+Data!AH77+Data!AI77+Data!AJ77+Data!AK77+Data!AL77+Data!T78+Data!U78+Data!V78+Data!W78+Data!X78+Data!Y78+Data!Z78+Data!AA78+Data!AB78+Data!AC78+Data!AD78+Data!AE78+Data!AF78+Data!AG78+Data!AH78+Data!AI78+Data!AJ78+Data!AK78+Data!AL78+Data!T79+Data!U79+Data!V79+Data!W79+Data!X79+Data!Y79+Data!Z79+Data!AA79+Data!AB79+Data!AC79+Data!AD79+Data!AE79+Data!AF79+Data!AG79+Data!AH79+Data!AI79+Data!AJ79+Data!AK79+Data!AL79+Data!T80+Data!U80+Data!V80+Data!W80+Data!X80+Data!Y80+Data!Z80+Data!AA80+Data!AB80+Data!AC80+Data!AD80+Data!AE80+Data!AF80+Data!AG80+Data!AH80+Data!AI80+Data!AJ80+Data!AK80+Data!AL80)/(Data!AP69+Data!AP70+Data!AP71+Data!AP72+Data!AP73+Data!AP74+Data!AP75+Data!AP76+Data!AP77+Data!AP78+Data!AP79+Data!AP80)</f>
        <v>0.211424639119961</v>
      </c>
      <c r="N80" s="18" t="n">
        <f aca="false">(Data!T69+Data!U69+Data!V69+Data!W69+Data!T70+Data!U70+Data!V70+Data!W70+Data!T71+Data!U71+Data!V71+Data!W71+Data!T72+Data!U72+Data!V72+Data!W72+Data!T73+Data!U73+Data!V73+Data!W73+Data!T74+Data!U74+Data!V74+Data!W74+Data!T75+Data!U75+Data!V75+Data!W75+Data!T76+Data!U76+Data!V76+Data!W76+Data!T77+Data!U77+Data!V77+Data!W77+Data!T78+Data!U78+Data!V78+Data!W78+Data!T79+Data!U79+Data!V79+Data!W79+Data!T80+Data!U80+Data!V80+Data!W80)/(Data!AP69+Data!AP70+Data!AP71+Data!AP72+Data!AP73+Data!AP74+Data!AP75+Data!AP76+Data!AP77+Data!AP78+Data!AP79+Data!AP80)</f>
        <v>0.100059932509251</v>
      </c>
      <c r="O80" s="18" t="n">
        <f aca="false">(Data!T69+Data!T70+Data!T71+Data!T72+Data!T73+Data!T74+Data!T75+Data!T76+Data!T77+Data!T78+Data!T79+Data!T80)/(Data!AP69+Data!AP70+Data!AP71+Data!AP72+Data!AP73+Data!AP74+Data!AP75+Data!AP76+Data!AP77+Data!AP78+Data!AP79+Data!AP80)</f>
        <v>0.0726618757118198</v>
      </c>
      <c r="P80" s="18" t="n">
        <f aca="false">(Data!U69+Data!U70+Data!U71+Data!U72+Data!U73+Data!U74+Data!U75+Data!U76+Data!U77+Data!U78+Data!U79+Data!U80)/(Data!AP69+Data!AP70+Data!AP71+Data!AP72+Data!AP73+Data!AP74+Data!AP75+Data!AP76+Data!AP77+Data!AP78+Data!AP79+Data!AP80)</f>
        <v>0.0125593644732844</v>
      </c>
      <c r="Q80" s="18" t="n">
        <f aca="false">(Data!V69+Data!V70+Data!V71+Data!V72+Data!V73+Data!V74+Data!V75+Data!V76+Data!V77+Data!V78+Data!V79+Data!V80)/(Data!AP69+Data!AP70+Data!AP71+Data!AP72+Data!AP73+Data!AP74+Data!AP75+Data!AP76+Data!AP77+Data!AP78+Data!AP79+Data!AP80)</f>
        <v>0.00727674816354119</v>
      </c>
      <c r="R80" s="18" t="n">
        <f aca="false">(Data!W69+Data!W70+Data!W71+Data!W72+Data!W73+Data!W74+Data!W75+Data!W76+Data!W77+Data!W78+Data!W79+Data!W80)/(Data!AP69+Data!AP70+Data!AP71+Data!AP72+Data!AP73+Data!AP74+Data!AP75+Data!AP76+Data!AP77+Data!AP78+Data!AP79+Data!AP80)</f>
        <v>0.00756194416060546</v>
      </c>
      <c r="S80" s="18" t="n">
        <f aca="false">(Data!X69+Data!X70+Data!X71+Data!X72+Data!X73+Data!X74+Data!X75+Data!X76+Data!X77+Data!X78+Data!X79+Data!X80)/(Data!AP69+Data!AP70+Data!AP71+Data!AP72+Data!AP73+Data!AP74+Data!AP75+Data!AP76+Data!AP77+Data!AP78+Data!AP79+Data!AP80)</f>
        <v>0.016680835652684</v>
      </c>
      <c r="T80" s="18" t="n">
        <f aca="false">(Data!Y69+Data!Z69+Data!AA69+Data!Y70+Data!Z70+Data!AA70+Data!Y71+Data!Z71+Data!AA71+Data!Y72+Data!Z72+Data!AA72+Data!Y73+Data!Z73+Data!AA73+Data!Y74+Data!Z74+Data!AA74+Data!Y75+Data!Z75+Data!AA75+Data!Y76+Data!Z76+Data!AA76+Data!Y77+Data!Z77+Data!AA77+Data!Y78+Data!Z78+Data!AA78+Data!Y79+Data!Z79+Data!AA79+Data!Y80+Data!Z80+Data!AA80)/(Data!AP69+Data!AP70+Data!AP71+Data!AP72+Data!AP73+Data!AP74+Data!AP75+Data!AP76+Data!AP77+Data!AP78+Data!AP79+Data!AP80)</f>
        <v>0.0291769565785445</v>
      </c>
      <c r="U80" s="18" t="n">
        <f aca="false">(Data!Y69+Data!Y70+Data!Y71+Data!Y72+Data!Y73+Data!Y74+Data!Y75+Data!Y76+Data!Y77+Data!Y78+Data!Y79+Data!Y80)/(Data!AP69+Data!AP70+Data!AP71+Data!AP72+Data!AP73+Data!AP74+Data!AP75+Data!AP76+Data!AP77+Data!AP78+Data!AP79+Data!AP80)</f>
        <v>0.0222850900035795</v>
      </c>
      <c r="V80" s="18" t="n">
        <f aca="false">(Data!Z69+Data!Z70+Data!Z71+Data!Z72+Data!Z73+Data!Z74+Data!Z75+Data!Z76+Data!Z77+Data!Z78+Data!Z79+Data!Z80)/(Data!AP69+Data!AP70+Data!AP71+Data!AP72+Data!AP73+Data!AP74+Data!AP75+Data!AP76+Data!AP77+Data!AP78+Data!AP79+Data!AP80)</f>
        <v>0.00639541872847279</v>
      </c>
      <c r="W80" s="18" t="n">
        <f aca="false">(Data!AB69+Data!AB70+Data!AB71+Data!AB72+Data!AB73+Data!AB74+Data!AB75+Data!AB76+Data!AB77+Data!AB78+Data!AB79+Data!AB80)/(Data!AP69+Data!AP70+Data!AP71+Data!AP72+Data!AP73+Data!AP74+Data!AP75+Data!AP76+Data!AP77+Data!AP78+Data!AP79+Data!AP80)</f>
        <v>0.0234246339222793</v>
      </c>
      <c r="X80" s="18" t="n">
        <f aca="false">(Data!AC69+Data!AC70+Data!AC71+Data!AC72+Data!AC73+Data!AC74+Data!AC75+Data!AC76+Data!AC77+Data!AC78+Data!AC79+Data!AC80)/(Data!AP69+Data!AP70+Data!AP71+Data!AP72+Data!AP73+Data!AP74+Data!AP75+Data!AP76+Data!AP77+Data!AP78+Data!AP79+Data!AP80)</f>
        <v>0.00946381083911363</v>
      </c>
      <c r="Y80" s="18" t="n">
        <f aca="false">(Data!AD69+Data!AE69+Data!AF69+Data!AG69+Data!AH69+Data!AD70+Data!AE70+Data!AF70+Data!AG70+Data!AH70+Data!AD71+Data!AE71+Data!AF71+Data!AG71+Data!AH71+Data!AD72+Data!AE72+Data!AF72+Data!AG72+Data!AH72+Data!AD73+Data!AE73+Data!AF73+Data!AG73+Data!AH73+Data!AD74+Data!AE74+Data!AF74+Data!AG74+Data!AH74+Data!AD75+Data!AE75+Data!AF75+Data!AG75+Data!AH75+Data!AD76+Data!AE76+Data!AF76+Data!AG76+Data!AH76+Data!AD77+Data!AE77+Data!AF77+Data!AG77+Data!AH77+Data!AD78+Data!AE78+Data!AF78+Data!AG78+Data!AH78+Data!AD79+Data!AE79+Data!AF79+Data!AG79+Data!AH79+Data!AD80+Data!AE80+Data!AF80+Data!AG80+Data!AH80)/(Data!AP69+Data!AP70+Data!AP71+Data!AP72+Data!AP73+Data!AP74+Data!AP75+Data!AP76+Data!AP77+Data!AP78+Data!AP79+Data!AP80)</f>
        <v>0.00756928457233999</v>
      </c>
      <c r="Z80" s="18" t="n">
        <f aca="false">(Data!AI69+Data!AI70+Data!AI71+Data!AI72+Data!AI73+Data!AI74+Data!AI75+Data!AI76+Data!AI77+Data!AI78+Data!AI79+Data!AI80)/(Data!AP69+Data!AP70+Data!AP71+Data!AP72+Data!AP73+Data!AP74+Data!AP75+Data!AP76+Data!AP77+Data!AP78+Data!AP79+Data!AP80)</f>
        <v>0.00623662982176872</v>
      </c>
      <c r="AA80" s="18" t="n">
        <f aca="false">(Data!AJ69+Data!AJ70+Data!AJ71+Data!AJ72+Data!AJ73+Data!AJ74+Data!AJ75+Data!AJ76+Data!AJ77+Data!AJ78+Data!AJ79+Data!AJ80)/(Data!AP69+Data!AP70+Data!AP71+Data!AP72+Data!AP73+Data!AP74+Data!AP75+Data!AP76+Data!AP77+Data!AP78+Data!AP79+Data!AP80)</f>
        <v>0</v>
      </c>
      <c r="AB80" s="18" t="n">
        <f aca="false">(Data!AK69+Data!AK70+Data!AK71+Data!AK72+Data!AK73+Data!AK74+Data!AK75+Data!AK76+Data!AK77+Data!AK78+Data!AK79+Data!AK80)/(Data!AP69+Data!AP70+Data!AP71+Data!AP72+Data!AP73+Data!AP74+Data!AP75+Data!AP76+Data!AP77+Data!AP78+Data!AP79+Data!AP80)</f>
        <v>0.00486927312471408</v>
      </c>
      <c r="AC80" s="18" t="n">
        <f aca="false">(Data!AL69+Data!AL70+Data!AL71+Data!AL72+Data!AL73+Data!AL74+Data!AL75+Data!AL76+Data!AL77+Data!AL78+Data!AL79+Data!AL80)/(Data!AP69+Data!AP70+Data!AP71+Data!AP72+Data!AP73+Data!AP74+Data!AP75+Data!AP76+Data!AP77+Data!AP78+Data!AP79+Data!AP80)</f>
        <v>0.013943282099266</v>
      </c>
      <c r="AD80" s="17" t="n">
        <f aca="false">(Data!AM69+Data!AM70+Data!AM71+Data!AM72+Data!AM73+Data!AM74+Data!AM75+Data!AM76+Data!AM77+Data!AM78+Data!AM79+Data!AM80)/(Data!AP69+Data!AP70+Data!AP71+Data!AP72+Data!AP73+Data!AP74+Data!AP75+Data!AP76+Data!AP77+Data!AP78+Data!AP79+Data!AP80)</f>
        <v>-0.0215719700036265</v>
      </c>
      <c r="AE80" s="18" t="n">
        <f aca="false">(Data!AN69+Data!AN70+Data!AN71+Data!AN72+Data!AN73+Data!AN74+Data!AN75+Data!AN76+Data!AN77+Data!AN78+Data!AN79+Data!AN80)/(Data!AP69+Data!AP70+Data!AP71+Data!AP72+Data!AP73+Data!AP74+Data!AP75+Data!AP76+Data!AP77+Data!AP78+Data!AP79+Data!AP80)</f>
        <v>0.0161240844236861</v>
      </c>
      <c r="AF80" s="17" t="n">
        <f aca="false">(Data!AO69+Data!AO70+Data!AO71+Data!AO72+Data!AO73+Data!AO74+Data!AO75+Data!AO76+Data!AO77+Data!AO78+Data!AO79+Data!AO80)/(Data!AP69+Data!AP70+Data!AP71+Data!AP72+Data!AP73+Data!AP74+Data!AP75+Data!AP76+Data!AP77+Data!AP78+Data!AP79+Data!AP80)</f>
        <v>-0.0376960744284345</v>
      </c>
    </row>
    <row r="81" customFormat="false" ht="15" hidden="false" customHeight="false" outlineLevel="0" collapsed="false">
      <c r="B81" s="14" t="str">
        <f aca="false">Data!B81</f>
        <v>2022-03</v>
      </c>
      <c r="C81" s="17" t="n">
        <f aca="false">(Data!D70+Data!E70+Data!F70+Data!G70+Data!H70+Data!I70+Data!J70+Data!K70+Data!L70+Data!M70+Data!N70+Data!O70+Data!P70+Data!Q70+Data!R70+Data!S70+Data!D71+Data!E71+Data!F71+Data!G71+Data!H71+Data!I71+Data!J71+Data!K71+Data!L71+Data!M71+Data!N71+Data!O71+Data!P71+Data!Q71+Data!R71+Data!S71+Data!D72+Data!E72+Data!F72+Data!G72+Data!H72+Data!I72+Data!J72+Data!K72+Data!L72+Data!M72+Data!N72+Data!O72+Data!P72+Data!Q72+Data!R72+Data!S72+Data!D73+Data!E73+Data!F73+Data!G73+Data!H73+Data!I73+Data!J73+Data!K73+Data!L73+Data!M73+Data!N73+Data!O73+Data!P73+Data!Q73+Data!R73+Data!S73+Data!D74+Data!E74+Data!F74+Data!G74+Data!H74+Data!I74+Data!J74+Data!K74+Data!L74+Data!M74+Data!N74+Data!O74+Data!P74+Data!Q74+Data!R74+Data!S74+Data!D75+Data!E75+Data!F75+Data!G75+Data!H75+Data!I75+Data!J75+Data!K75+Data!L75+Data!M75+Data!N75+Data!O75+Data!P75+Data!Q75+Data!R75+Data!S75+Data!D76+Data!E76+Data!F76+Data!G76+Data!H76+Data!I76+Data!J76+Data!K76+Data!L76+Data!M76+Data!N76+Data!O76+Data!P76+Data!Q76+Data!R76+Data!S76+Data!D77+Data!E77+Data!F77+Data!G77+Data!H77+Data!I77+Data!J77+Data!K77+Data!L77+Data!M77+Data!N77+Data!O77+Data!P77+Data!Q77+Data!R77+Data!S77+Data!D78+Data!E78+Data!F78+Data!G78+Data!H78+Data!I78+Data!J78+Data!K78+Data!L78+Data!M78+Data!N78+Data!O78+Data!P78+Data!Q78+Data!R78+Data!S78+Data!D79+Data!E79+Data!F79+Data!G79+Data!H79+Data!I79+Data!J79+Data!K79+Data!L79+Data!M79+Data!N79+Data!O79+Data!P79+Data!Q79+Data!R79+Data!S79+Data!D80+Data!E80+Data!F80+Data!G80+Data!H80+Data!I80+Data!J80+Data!K80+Data!L80+Data!M80+Data!N80+Data!O80+Data!P80+Data!Q80+Data!R80+Data!S80+Data!D81+Data!E81+Data!F81+Data!G81+Data!H81+Data!I81+Data!J81+Data!K81+Data!L81+Data!M81+Data!N81+Data!O81+Data!P81+Data!Q81+Data!R81+Data!S81)/(Data!AP70+Data!AP71+Data!AP72+Data!AP73+Data!AP74+Data!AP75+Data!AP76+Data!AP77+Data!AP78+Data!AP79+Data!AP80+Data!AP81)</f>
        <v>0.192024633216116</v>
      </c>
      <c r="D81" s="18" t="n">
        <f aca="false">(Data!D70+Data!E70+Data!G70+Data!H70+Data!I70+Data!J70+Data!K70+Data!L70+Data!M70+Data!D71+Data!E71+Data!G71+Data!H71+Data!I71+Data!J71+Data!K71+Data!L71+Data!M71+Data!D72+Data!E72+Data!G72+Data!H72+Data!I72+Data!J72+Data!K72+Data!L72+Data!M72+Data!D73+Data!E73+Data!G73+Data!H73+Data!I73+Data!J73+Data!K73+Data!L73+Data!M73+Data!D74+Data!E74+Data!G74+Data!H74+Data!I74+Data!J74+Data!K74+Data!L74+Data!M74+Data!D75+Data!E75+Data!G75+Data!H75+Data!I75+Data!J75+Data!K75+Data!L75+Data!M75+Data!D76+Data!E76+Data!G76+Data!H76+Data!I76+Data!J76+Data!K76+Data!L76+Data!M76+Data!D77+Data!E77+Data!G77+Data!H77+Data!I77+Data!J77+Data!K77+Data!L77+Data!M77+Data!D78+Data!E78+Data!G78+Data!H78+Data!I78+Data!J78+Data!K78+Data!L78+Data!M78+Data!D79+Data!E79+Data!G79+Data!H79+Data!I79+Data!J79+Data!K79+Data!L79+Data!M79+Data!D80+Data!E80+Data!G80+Data!H80+Data!I80+Data!J80+Data!K80+Data!L80+Data!M80+Data!D81+Data!E81+Data!G81+Data!H81+Data!I81+Data!J81+Data!K81+Data!L81+Data!M81)/(Data!AP70+Data!AP71+Data!AP72+Data!AP73+Data!AP74+Data!AP75+Data!AP76+Data!AP77+Data!AP78+Data!AP79+Data!AP80+Data!AP81)</f>
        <v>0.109437044681782</v>
      </c>
      <c r="E81" s="18" t="n">
        <f aca="false">(Data!D70+Data!D71+Data!D72+Data!D73+Data!D74+Data!D75+Data!D76+Data!D77+Data!D78+Data!D79+Data!D80+Data!D81)/(Data!AP70+Data!AP71+Data!AP72+Data!AP73+Data!AP74+Data!AP75+Data!AP76+Data!AP77+Data!AP78+Data!AP79+Data!AP80+Data!AP81)</f>
        <v>0.0314560954412834</v>
      </c>
      <c r="F81" s="18" t="n">
        <f aca="false">(Data!E70+Data!E71+Data!E72+Data!E73+Data!E74+Data!E75+Data!E76+Data!E77+Data!E78+Data!E79+Data!E80+Data!E81)/(Data!AP70+Data!AP71+Data!AP72+Data!AP73+Data!AP74+Data!AP75+Data!AP76+Data!AP77+Data!AP78+Data!AP79+Data!AP80+Data!AP81)</f>
        <v>0.0173491837475446</v>
      </c>
      <c r="G81" s="18" t="n">
        <f aca="false">(Data!K70+Data!K71+Data!K72+Data!K73+Data!K74+Data!K75+Data!K76+Data!K77+Data!K78+Data!K79+Data!K80+Data!K81)/(Data!AP70+Data!AP71+Data!AP72+Data!AP73+Data!AP74+Data!AP75+Data!AP76+Data!AP77+Data!AP78+Data!AP79+Data!AP80+Data!AP81)</f>
        <v>0.0199066814648764</v>
      </c>
      <c r="H81" s="18" t="n">
        <f aca="false">(Data!L70+Data!L71+Data!L72+Data!L73+Data!L74+Data!L75+Data!L76+Data!L77+Data!L78+Data!L79+Data!L80+Data!L81)/(Data!AP70+Data!AP71+Data!AP72+Data!AP73+Data!AP74+Data!AP75+Data!AP76+Data!AP77+Data!AP78+Data!AP79+Data!AP80+Data!AP81)</f>
        <v>0.00656410788865631</v>
      </c>
      <c r="I81" s="18" t="n">
        <f aca="false">(Data!G70+Data!G71+Data!G72+Data!G73+Data!G74+Data!G75+Data!G76+Data!G77+Data!G78+Data!G79+Data!G80+Data!G81)/(Data!AP70+Data!AP71+Data!AP72+Data!AP73+Data!AP74+Data!AP75+Data!AP76+Data!AP77+Data!AP78+Data!AP79+Data!AP80+Data!AP81)</f>
        <v>0.0158652789310255</v>
      </c>
      <c r="J81" s="18" t="n">
        <f aca="false">(Data!H70+Data!I70+Data!J70+Data!M70+Data!H71+Data!I71+Data!J71+Data!M71+Data!H72+Data!I72+Data!J72+Data!M72+Data!H73+Data!I73+Data!J73+Data!M73+Data!H74+Data!I74+Data!J74+Data!M74+Data!H75+Data!I75+Data!J75+Data!M75+Data!H76+Data!I76+Data!J76+Data!M76+Data!H77+Data!I77+Data!J77+Data!M77+Data!H78+Data!I78+Data!J78+Data!M78+Data!H79+Data!I79+Data!J79+Data!M79+Data!H80+Data!I80+Data!J80+Data!M80+Data!H81+Data!I81+Data!J81+Data!M81)/(Data!AP70+Data!AP71+Data!AP72+Data!AP73+Data!AP74+Data!AP75+Data!AP76+Data!AP77+Data!AP78+Data!AP79+Data!AP80+Data!AP81)</f>
        <v>0.0182956972083962</v>
      </c>
      <c r="K81" s="18" t="n">
        <f aca="false">(Data!F70+Data!F71+Data!F72+Data!F73+Data!F74+Data!F75+Data!F76+Data!F77+Data!F78+Data!F79+Data!F80+Data!F81)/(Data!AP70+Data!AP71+Data!AP72+Data!AP73+Data!AP74+Data!AP75+Data!AP76+Data!AP77+Data!AP78+Data!AP79+Data!AP80+Data!AP81)</f>
        <v>0.0522659582354149</v>
      </c>
      <c r="L81" s="18" t="n">
        <f aca="false">(Data!N70+Data!O70+Data!P70+Data!Q70+Data!R70+Data!S70+Data!N71+Data!O71+Data!P71+Data!Q71+Data!R71+Data!S71+Data!N72+Data!O72+Data!P72+Data!Q72+Data!R72+Data!S72+Data!N73+Data!O73+Data!P73+Data!Q73+Data!R73+Data!S73+Data!N74+Data!O74+Data!P74+Data!Q74+Data!R74+Data!S74+Data!N75+Data!O75+Data!P75+Data!Q75+Data!R75+Data!S75+Data!N76+Data!O76+Data!P76+Data!Q76+Data!R76+Data!S76+Data!N77+Data!O77+Data!P77+Data!Q77+Data!R77+Data!S77+Data!N78+Data!O78+Data!P78+Data!Q78+Data!R78+Data!S78+Data!N79+Data!O79+Data!P79+Data!Q79+Data!R79+Data!S79+Data!N80+Data!O80+Data!P80+Data!Q80+Data!R80+Data!S80+Data!N81+Data!O81+Data!P81+Data!Q81+Data!R81+Data!S81)/(Data!AP70+Data!AP71+Data!AP72+Data!AP73+Data!AP74+Data!AP75+Data!AP76+Data!AP77+Data!AP78+Data!AP79+Data!AP80+Data!AP81)</f>
        <v>0.0303216302989188</v>
      </c>
      <c r="M81" s="17" t="n">
        <f aca="false">(Data!T70+Data!U70+Data!V70+Data!W70+Data!X70+Data!Y70+Data!Z70+Data!AA70+Data!AB70+Data!AC70+Data!AD70+Data!AE70+Data!AF70+Data!AG70+Data!AH70+Data!AI70+Data!AJ70+Data!AK70+Data!AL70+Data!T71+Data!U71+Data!V71+Data!W71+Data!X71+Data!Y71+Data!Z71+Data!AA71+Data!AB71+Data!AC71+Data!AD71+Data!AE71+Data!AF71+Data!AG71+Data!AH71+Data!AI71+Data!AJ71+Data!AK71+Data!AL71+Data!T72+Data!U72+Data!V72+Data!W72+Data!X72+Data!Y72+Data!Z72+Data!AA72+Data!AB72+Data!AC72+Data!AD72+Data!AE72+Data!AF72+Data!AG72+Data!AH72+Data!AI72+Data!AJ72+Data!AK72+Data!AL72+Data!T73+Data!U73+Data!V73+Data!W73+Data!X73+Data!Y73+Data!Z73+Data!AA73+Data!AB73+Data!AC73+Data!AD73+Data!AE73+Data!AF73+Data!AG73+Data!AH73+Data!AI73+Data!AJ73+Data!AK73+Data!AL73+Data!T74+Data!U74+Data!V74+Data!W74+Data!X74+Data!Y74+Data!Z74+Data!AA74+Data!AB74+Data!AC74+Data!AD74+Data!AE74+Data!AF74+Data!AG74+Data!AH74+Data!AI74+Data!AJ74+Data!AK74+Data!AL74+Data!T75+Data!U75+Data!V75+Data!W75+Data!X75+Data!Y75+Data!Z75+Data!AA75+Data!AB75+Data!AC75+Data!AD75+Data!AE75+Data!AF75+Data!AG75+Data!AH75+Data!AI75+Data!AJ75+Data!AK75+Data!AL75+Data!T76+Data!U76+Data!V76+Data!W76+Data!X76+Data!Y76+Data!Z76+Data!AA76+Data!AB76+Data!AC76+Data!AD76+Data!AE76+Data!AF76+Data!AG76+Data!AH76+Data!AI76+Data!AJ76+Data!AK76+Data!AL76+Data!T77+Data!U77+Data!V77+Data!W77+Data!X77+Data!Y77+Data!Z77+Data!AA77+Data!AB77+Data!AC77+Data!AD77+Data!AE77+Data!AF77+Data!AG77+Data!AH77+Data!AI77+Data!AJ77+Data!AK77+Data!AL77+Data!T78+Data!U78+Data!V78+Data!W78+Data!X78+Data!Y78+Data!Z78+Data!AA78+Data!AB78+Data!AC78+Data!AD78+Data!AE78+Data!AF78+Data!AG78+Data!AH78+Data!AI78+Data!AJ78+Data!AK78+Data!AL78+Data!T79+Data!U79+Data!V79+Data!W79+Data!X79+Data!Y79+Data!Z79+Data!AA79+Data!AB79+Data!AC79+Data!AD79+Data!AE79+Data!AF79+Data!AG79+Data!AH79+Data!AI79+Data!AJ79+Data!AK79+Data!AL79+Data!T80+Data!U80+Data!V80+Data!W80+Data!X80+Data!Y80+Data!Z80+Data!AA80+Data!AB80+Data!AC80+Data!AD80+Data!AE80+Data!AF80+Data!AG80+Data!AH80+Data!AI80+Data!AJ80+Data!AK80+Data!AL80+Data!T81+Data!U81+Data!V81+Data!W81+Data!X81+Data!Y81+Data!Z81+Data!AA81+Data!AB81+Data!AC81+Data!AD81+Data!AE81+Data!AF81+Data!AG81+Data!AH81+Data!AI81+Data!AJ81+Data!AK81+Data!AL81)/(Data!AP70+Data!AP71+Data!AP72+Data!AP73+Data!AP74+Data!AP75+Data!AP76+Data!AP77+Data!AP78+Data!AP79+Data!AP80+Data!AP81)</f>
        <v>0.213207578370907</v>
      </c>
      <c r="N81" s="18" t="n">
        <f aca="false">(Data!T70+Data!U70+Data!V70+Data!W70+Data!T71+Data!U71+Data!V71+Data!W71+Data!T72+Data!U72+Data!V72+Data!W72+Data!T73+Data!U73+Data!V73+Data!W73+Data!T74+Data!U74+Data!V74+Data!W74+Data!T75+Data!U75+Data!V75+Data!W75+Data!T76+Data!U76+Data!V76+Data!W76+Data!T77+Data!U77+Data!V77+Data!W77+Data!T78+Data!U78+Data!V78+Data!W78+Data!T79+Data!U79+Data!V79+Data!W79+Data!T80+Data!U80+Data!V80+Data!W80+Data!T81+Data!U81+Data!V81+Data!W81)/(Data!AP70+Data!AP71+Data!AP72+Data!AP73+Data!AP74+Data!AP75+Data!AP76+Data!AP77+Data!AP78+Data!AP79+Data!AP80+Data!AP81)</f>
        <v>0.0998647311738122</v>
      </c>
      <c r="O81" s="18" t="n">
        <f aca="false">(Data!T70+Data!T71+Data!T72+Data!T73+Data!T74+Data!T75+Data!T76+Data!T77+Data!T78+Data!T79+Data!T80+Data!T81)/(Data!AP70+Data!AP71+Data!AP72+Data!AP73+Data!AP74+Data!AP75+Data!AP76+Data!AP77+Data!AP78+Data!AP79+Data!AP80+Data!AP81)</f>
        <v>0.0721934038129518</v>
      </c>
      <c r="P81" s="18" t="n">
        <f aca="false">(Data!U70+Data!U71+Data!U72+Data!U73+Data!U74+Data!U75+Data!U76+Data!U77+Data!U78+Data!U79+Data!U80+Data!U81)/(Data!AP70+Data!AP71+Data!AP72+Data!AP73+Data!AP74+Data!AP75+Data!AP76+Data!AP77+Data!AP78+Data!AP79+Data!AP80+Data!AP81)</f>
        <v>0.0128748437075745</v>
      </c>
      <c r="Q81" s="18" t="n">
        <f aca="false">(Data!V70+Data!V71+Data!V72+Data!V73+Data!V74+Data!V75+Data!V76+Data!V77+Data!V78+Data!V79+Data!V80+Data!V81)/(Data!AP70+Data!AP71+Data!AP72+Data!AP73+Data!AP74+Data!AP75+Data!AP76+Data!AP77+Data!AP78+Data!AP79+Data!AP80+Data!AP81)</f>
        <v>0.00725078208386725</v>
      </c>
      <c r="R81" s="18" t="n">
        <f aca="false">(Data!W70+Data!W71+Data!W72+Data!W73+Data!W74+Data!W75+Data!W76+Data!W77+Data!W78+Data!W79+Data!W80+Data!W81)/(Data!AP70+Data!AP71+Data!AP72+Data!AP73+Data!AP74+Data!AP75+Data!AP76+Data!AP77+Data!AP78+Data!AP79+Data!AP80+Data!AP81)</f>
        <v>0.00754570156941869</v>
      </c>
      <c r="S81" s="18" t="n">
        <f aca="false">(Data!X70+Data!X71+Data!X72+Data!X73+Data!X74+Data!X75+Data!X76+Data!X77+Data!X78+Data!X79+Data!X80+Data!X81)/(Data!AP70+Data!AP71+Data!AP72+Data!AP73+Data!AP74+Data!AP75+Data!AP76+Data!AP77+Data!AP78+Data!AP79+Data!AP80+Data!AP81)</f>
        <v>0.0164237606377224</v>
      </c>
      <c r="T81" s="18" t="n">
        <f aca="false">(Data!Y70+Data!Z70+Data!AA70+Data!Y71+Data!Z71+Data!AA71+Data!Y72+Data!Z72+Data!AA72+Data!Y73+Data!Z73+Data!AA73+Data!Y74+Data!Z74+Data!AA74+Data!Y75+Data!Z75+Data!AA75+Data!Y76+Data!Z76+Data!AA76+Data!Y77+Data!Z77+Data!AA77+Data!Y78+Data!Z78+Data!AA78+Data!Y79+Data!Z79+Data!AA79+Data!Y80+Data!Z80+Data!AA80+Data!Y81+Data!Z81+Data!AA81)/(Data!AP70+Data!AP71+Data!AP72+Data!AP73+Data!AP74+Data!AP75+Data!AP76+Data!AP77+Data!AP78+Data!AP79+Data!AP80+Data!AP81)</f>
        <v>0.0309840669023643</v>
      </c>
      <c r="U81" s="18" t="n">
        <f aca="false">(Data!Y70+Data!Y71+Data!Y72+Data!Y73+Data!Y74+Data!Y75+Data!Y76+Data!Y77+Data!Y78+Data!Y79+Data!Y80+Data!Y81)/(Data!AP70+Data!AP71+Data!AP72+Data!AP73+Data!AP74+Data!AP75+Data!AP76+Data!AP77+Data!AP78+Data!AP79+Data!AP80+Data!AP81)</f>
        <v>0.0241503517874904</v>
      </c>
      <c r="V81" s="18" t="n">
        <f aca="false">(Data!Z70+Data!Z71+Data!Z72+Data!Z73+Data!Z74+Data!Z75+Data!Z76+Data!Z77+Data!Z78+Data!Z79+Data!Z80+Data!Z81)/(Data!AP70+Data!AP71+Data!AP72+Data!AP73+Data!AP74+Data!AP75+Data!AP76+Data!AP77+Data!AP78+Data!AP79+Data!AP80+Data!AP81)</f>
        <v>0.00636514086456747</v>
      </c>
      <c r="W81" s="18" t="n">
        <f aca="false">(Data!AB70+Data!AB71+Data!AB72+Data!AB73+Data!AB74+Data!AB75+Data!AB76+Data!AB77+Data!AB78+Data!AB79+Data!AB80+Data!AB81)/(Data!AP70+Data!AP71+Data!AP72+Data!AP73+Data!AP74+Data!AP75+Data!AP76+Data!AP77+Data!AP78+Data!AP79+Data!AP80+Data!AP81)</f>
        <v>0.0233939393432884</v>
      </c>
      <c r="X81" s="18" t="n">
        <f aca="false">(Data!AC70+Data!AC71+Data!AC72+Data!AC73+Data!AC74+Data!AC75+Data!AC76+Data!AC77+Data!AC78+Data!AC79+Data!AC80+Data!AC81)/(Data!AP70+Data!AP71+Data!AP72+Data!AP73+Data!AP74+Data!AP75+Data!AP76+Data!AP77+Data!AP78+Data!AP79+Data!AP80+Data!AP81)</f>
        <v>0.00954366210297748</v>
      </c>
      <c r="Y81" s="18" t="n">
        <f aca="false">(Data!AD70+Data!AE70+Data!AF70+Data!AG70+Data!AH70+Data!AD71+Data!AE71+Data!AF71+Data!AG71+Data!AH71+Data!AD72+Data!AE72+Data!AF72+Data!AG72+Data!AH72+Data!AD73+Data!AE73+Data!AF73+Data!AG73+Data!AH73+Data!AD74+Data!AE74+Data!AF74+Data!AG74+Data!AH74+Data!AD75+Data!AE75+Data!AF75+Data!AG75+Data!AH75+Data!AD76+Data!AE76+Data!AF76+Data!AG76+Data!AH76+Data!AD77+Data!AE77+Data!AF77+Data!AG77+Data!AH77+Data!AD78+Data!AE78+Data!AF78+Data!AG78+Data!AH78+Data!AD79+Data!AE79+Data!AF79+Data!AG79+Data!AH79+Data!AD80+Data!AE80+Data!AF80+Data!AG80+Data!AH80+Data!AD81+Data!AE81+Data!AF81+Data!AG81+Data!AH81)/(Data!AP70+Data!AP71+Data!AP72+Data!AP73+Data!AP74+Data!AP75+Data!AP76+Data!AP77+Data!AP78+Data!AP79+Data!AP80+Data!AP81)</f>
        <v>0.00770095265206517</v>
      </c>
      <c r="Z81" s="18" t="n">
        <f aca="false">(Data!AI70+Data!AI71+Data!AI72+Data!AI73+Data!AI74+Data!AI75+Data!AI76+Data!AI77+Data!AI78+Data!AI79+Data!AI80+Data!AI81)/(Data!AP70+Data!AP71+Data!AP72+Data!AP73+Data!AP74+Data!AP75+Data!AP76+Data!AP77+Data!AP78+Data!AP79+Data!AP80+Data!AP81)</f>
        <v>0.00625389358074773</v>
      </c>
      <c r="AA81" s="18" t="n">
        <f aca="false">(Data!AJ70+Data!AJ71+Data!AJ72+Data!AJ73+Data!AJ74+Data!AJ75+Data!AJ76+Data!AJ77+Data!AJ78+Data!AJ79+Data!AJ80+Data!AJ81)/(Data!AP70+Data!AP71+Data!AP72+Data!AP73+Data!AP74+Data!AP75+Data!AP76+Data!AP77+Data!AP78+Data!AP79+Data!AP80+Data!AP81)</f>
        <v>0</v>
      </c>
      <c r="AB81" s="18" t="n">
        <f aca="false">(Data!AK70+Data!AK71+Data!AK72+Data!AK73+Data!AK74+Data!AK75+Data!AK76+Data!AK77+Data!AK78+Data!AK79+Data!AK80+Data!AK81)/(Data!AP70+Data!AP71+Data!AP72+Data!AP73+Data!AP74+Data!AP75+Data!AP76+Data!AP77+Data!AP78+Data!AP79+Data!AP80+Data!AP81)</f>
        <v>0.00512203834533493</v>
      </c>
      <c r="AC81" s="18" t="n">
        <f aca="false">(Data!AL70+Data!AL71+Data!AL72+Data!AL73+Data!AL74+Data!AL75+Data!AL76+Data!AL77+Data!AL78+Data!AL79+Data!AL80+Data!AL81)/(Data!AP70+Data!AP71+Data!AP72+Data!AP73+Data!AP74+Data!AP75+Data!AP76+Data!AP77+Data!AP78+Data!AP79+Data!AP80+Data!AP81)</f>
        <v>0.0139205336325939</v>
      </c>
      <c r="AD81" s="17" t="n">
        <f aca="false">(Data!AM70+Data!AM71+Data!AM72+Data!AM73+Data!AM74+Data!AM75+Data!AM76+Data!AM77+Data!AM78+Data!AM79+Data!AM80+Data!AM81)/(Data!AP70+Data!AP71+Data!AP72+Data!AP73+Data!AP74+Data!AP75+Data!AP76+Data!AP77+Data!AP78+Data!AP79+Data!AP80+Data!AP81)</f>
        <v>-0.0211829451547904</v>
      </c>
      <c r="AE81" s="18" t="n">
        <f aca="false">(Data!AN70+Data!AN71+Data!AN72+Data!AN73+Data!AN74+Data!AN75+Data!AN76+Data!AN77+Data!AN78+Data!AN79+Data!AN80+Data!AN81)/(Data!AP70+Data!AP71+Data!AP72+Data!AP73+Data!AP74+Data!AP75+Data!AP76+Data!AP77+Data!AP78+Data!AP79+Data!AP80+Data!AP81)</f>
        <v>0.0160401810777795</v>
      </c>
      <c r="AF81" s="17" t="n">
        <f aca="false">(Data!AO70+Data!AO71+Data!AO72+Data!AO73+Data!AO74+Data!AO75+Data!AO76+Data!AO77+Data!AO78+Data!AO79+Data!AO80+Data!AO81)/(Data!AP70+Data!AP71+Data!AP72+Data!AP73+Data!AP74+Data!AP75+Data!AP76+Data!AP77+Data!AP78+Data!AP79+Data!AP80+Data!AP81)</f>
        <v>-0.0372231454230622</v>
      </c>
    </row>
    <row r="82" customFormat="false" ht="15" hidden="false" customHeight="false" outlineLevel="0" collapsed="false">
      <c r="B82" s="14" t="str">
        <f aca="false">Data!B82</f>
        <v>2022-04</v>
      </c>
      <c r="C82" s="17" t="n">
        <f aca="false">(Data!D71+Data!E71+Data!F71+Data!G71+Data!H71+Data!I71+Data!J71+Data!K71+Data!L71+Data!M71+Data!N71+Data!O71+Data!P71+Data!Q71+Data!R71+Data!S71+Data!D72+Data!E72+Data!F72+Data!G72+Data!H72+Data!I72+Data!J72+Data!K72+Data!L72+Data!M72+Data!N72+Data!O72+Data!P72+Data!Q72+Data!R72+Data!S72+Data!D73+Data!E73+Data!F73+Data!G73+Data!H73+Data!I73+Data!J73+Data!K73+Data!L73+Data!M73+Data!N73+Data!O73+Data!P73+Data!Q73+Data!R73+Data!S73+Data!D74+Data!E74+Data!F74+Data!G74+Data!H74+Data!I74+Data!J74+Data!K74+Data!L74+Data!M74+Data!N74+Data!O74+Data!P74+Data!Q74+Data!R74+Data!S74+Data!D75+Data!E75+Data!F75+Data!G75+Data!H75+Data!I75+Data!J75+Data!K75+Data!L75+Data!M75+Data!N75+Data!O75+Data!P75+Data!Q75+Data!R75+Data!S75+Data!D76+Data!E76+Data!F76+Data!G76+Data!H76+Data!I76+Data!J76+Data!K76+Data!L76+Data!M76+Data!N76+Data!O76+Data!P76+Data!Q76+Data!R76+Data!S76+Data!D77+Data!E77+Data!F77+Data!G77+Data!H77+Data!I77+Data!J77+Data!K77+Data!L77+Data!M77+Data!N77+Data!O77+Data!P77+Data!Q77+Data!R77+Data!S77+Data!D78+Data!E78+Data!F78+Data!G78+Data!H78+Data!I78+Data!J78+Data!K78+Data!L78+Data!M78+Data!N78+Data!O78+Data!P78+Data!Q78+Data!R78+Data!S78+Data!D79+Data!E79+Data!F79+Data!G79+Data!H79+Data!I79+Data!J79+Data!K79+Data!L79+Data!M79+Data!N79+Data!O79+Data!P79+Data!Q79+Data!R79+Data!S79+Data!D80+Data!E80+Data!F80+Data!G80+Data!H80+Data!I80+Data!J80+Data!K80+Data!L80+Data!M80+Data!N80+Data!O80+Data!P80+Data!Q80+Data!R80+Data!S80+Data!D81+Data!E81+Data!F81+Data!G81+Data!H81+Data!I81+Data!J81+Data!K81+Data!L81+Data!M81+Data!N81+Data!O81+Data!P81+Data!Q81+Data!R81+Data!S81+Data!D82+Data!E82+Data!F82+Data!G82+Data!H82+Data!I82+Data!J82+Data!K82+Data!L82+Data!M82+Data!N82+Data!O82+Data!P82+Data!Q82+Data!R82+Data!S82)/(Data!AP71+Data!AP72+Data!AP73+Data!AP74+Data!AP75+Data!AP76+Data!AP77+Data!AP78+Data!AP79+Data!AP80+Data!AP81+Data!AP82)</f>
        <v>0.192155812149574</v>
      </c>
      <c r="D82" s="18" t="n">
        <f aca="false">(Data!D71+Data!E71+Data!G71+Data!H71+Data!I71+Data!J71+Data!K71+Data!L71+Data!M71+Data!D72+Data!E72+Data!G72+Data!H72+Data!I72+Data!J72+Data!K72+Data!L72+Data!M72+Data!D73+Data!E73+Data!G73+Data!H73+Data!I73+Data!J73+Data!K73+Data!L73+Data!M73+Data!D74+Data!E74+Data!G74+Data!H74+Data!I74+Data!J74+Data!K74+Data!L74+Data!M74+Data!D75+Data!E75+Data!G75+Data!H75+Data!I75+Data!J75+Data!K75+Data!L75+Data!M75+Data!D76+Data!E76+Data!G76+Data!H76+Data!I76+Data!J76+Data!K76+Data!L76+Data!M76+Data!D77+Data!E77+Data!G77+Data!H77+Data!I77+Data!J77+Data!K77+Data!L77+Data!M77+Data!D78+Data!E78+Data!G78+Data!H78+Data!I78+Data!J78+Data!K78+Data!L78+Data!M78+Data!D79+Data!E79+Data!G79+Data!H79+Data!I79+Data!J79+Data!K79+Data!L79+Data!M79+Data!D80+Data!E80+Data!G80+Data!H80+Data!I80+Data!J80+Data!K80+Data!L80+Data!M80+Data!D81+Data!E81+Data!G81+Data!H81+Data!I81+Data!J81+Data!K81+Data!L81+Data!M81+Data!D82+Data!E82+Data!G82+Data!H82+Data!I82+Data!J82+Data!K82+Data!L82+Data!M82)/(Data!AP71+Data!AP72+Data!AP73+Data!AP74+Data!AP75+Data!AP76+Data!AP77+Data!AP78+Data!AP79+Data!AP80+Data!AP81+Data!AP82)</f>
        <v>0.108501585488423</v>
      </c>
      <c r="E82" s="18" t="n">
        <f aca="false">(Data!D71+Data!D72+Data!D73+Data!D74+Data!D75+Data!D76+Data!D77+Data!D78+Data!D79+Data!D80+Data!D81+Data!D82)/(Data!AP71+Data!AP72+Data!AP73+Data!AP74+Data!AP75+Data!AP76+Data!AP77+Data!AP78+Data!AP79+Data!AP80+Data!AP81+Data!AP82)</f>
        <v>0.0314780253287881</v>
      </c>
      <c r="F82" s="18" t="n">
        <f aca="false">(Data!E71+Data!E72+Data!E73+Data!E74+Data!E75+Data!E76+Data!E77+Data!E78+Data!E79+Data!E80+Data!E81+Data!E82)/(Data!AP71+Data!AP72+Data!AP73+Data!AP74+Data!AP75+Data!AP76+Data!AP77+Data!AP78+Data!AP79+Data!AP80+Data!AP81+Data!AP82)</f>
        <v>0.0173737589448516</v>
      </c>
      <c r="G82" s="18" t="n">
        <f aca="false">(Data!K71+Data!K72+Data!K73+Data!K74+Data!K75+Data!K76+Data!K77+Data!K78+Data!K79+Data!K80+Data!K81+Data!K82)/(Data!AP71+Data!AP72+Data!AP73+Data!AP74+Data!AP75+Data!AP76+Data!AP77+Data!AP78+Data!AP79+Data!AP80+Data!AP81+Data!AP82)</f>
        <v>0.0192175428041648</v>
      </c>
      <c r="H82" s="18" t="n">
        <f aca="false">(Data!L71+Data!L72+Data!L73+Data!L74+Data!L75+Data!L76+Data!L77+Data!L78+Data!L79+Data!L80+Data!L81+Data!L82)/(Data!AP71+Data!AP72+Data!AP73+Data!AP74+Data!AP75+Data!AP76+Data!AP77+Data!AP78+Data!AP79+Data!AP80+Data!AP81+Data!AP82)</f>
        <v>0.00651841593406672</v>
      </c>
      <c r="I82" s="18" t="n">
        <f aca="false">(Data!G71+Data!G72+Data!G73+Data!G74+Data!G75+Data!G76+Data!G77+Data!G78+Data!G79+Data!G80+Data!G81+Data!G82)/(Data!AP71+Data!AP72+Data!AP73+Data!AP74+Data!AP75+Data!AP76+Data!AP77+Data!AP78+Data!AP79+Data!AP80+Data!AP81+Data!AP82)</f>
        <v>0.0158248184427614</v>
      </c>
      <c r="J82" s="18" t="n">
        <f aca="false">(Data!H71+Data!I71+Data!J71+Data!M71+Data!H72+Data!I72+Data!J72+Data!M72+Data!H73+Data!I73+Data!J73+Data!M73+Data!H74+Data!I74+Data!J74+Data!M74+Data!H75+Data!I75+Data!J75+Data!M75+Data!H76+Data!I76+Data!J76+Data!M76+Data!H77+Data!I77+Data!J77+Data!M77+Data!H78+Data!I78+Data!J78+Data!M78+Data!H79+Data!I79+Data!J79+Data!M79+Data!H80+Data!I80+Data!J80+Data!M80+Data!H81+Data!I81+Data!J81+Data!M81+Data!H82+Data!I82+Data!J82+Data!M82)/(Data!AP71+Data!AP72+Data!AP73+Data!AP74+Data!AP75+Data!AP76+Data!AP77+Data!AP78+Data!AP79+Data!AP80+Data!AP81+Data!AP82)</f>
        <v>0.0180890240337908</v>
      </c>
      <c r="K82" s="18" t="n">
        <f aca="false">(Data!F71+Data!F72+Data!F73+Data!F74+Data!F75+Data!F76+Data!F77+Data!F78+Data!F79+Data!F80+Data!F81+Data!F82)/(Data!AP71+Data!AP72+Data!AP73+Data!AP74+Data!AP75+Data!AP76+Data!AP77+Data!AP78+Data!AP79+Data!AP80+Data!AP81+Data!AP82)</f>
        <v>0.0522019769812002</v>
      </c>
      <c r="L82" s="18" t="n">
        <f aca="false">(Data!N71+Data!O71+Data!P71+Data!Q71+Data!R71+Data!S71+Data!N72+Data!O72+Data!P72+Data!Q72+Data!R72+Data!S72+Data!N73+Data!O73+Data!P73+Data!Q73+Data!R73+Data!S73+Data!N74+Data!O74+Data!P74+Data!Q74+Data!R74+Data!S74+Data!N75+Data!O75+Data!P75+Data!Q75+Data!R75+Data!S75+Data!N76+Data!O76+Data!P76+Data!Q76+Data!R76+Data!S76+Data!N77+Data!O77+Data!P77+Data!Q77+Data!R77+Data!S77+Data!N78+Data!O78+Data!P78+Data!Q78+Data!R78+Data!S78+Data!N79+Data!O79+Data!P79+Data!Q79+Data!R79+Data!S79+Data!N80+Data!O80+Data!P80+Data!Q80+Data!R80+Data!S80+Data!N81+Data!O81+Data!P81+Data!Q81+Data!R81+Data!S81+Data!N82+Data!O82+Data!P82+Data!Q82+Data!R82+Data!S82)/(Data!AP71+Data!AP72+Data!AP73+Data!AP74+Data!AP75+Data!AP76+Data!AP77+Data!AP78+Data!AP79+Data!AP80+Data!AP81+Data!AP82)</f>
        <v>0.0314522496799505</v>
      </c>
      <c r="M82" s="17" t="n">
        <f aca="false">(Data!T71+Data!U71+Data!V71+Data!W71+Data!X71+Data!Y71+Data!Z71+Data!AA71+Data!AB71+Data!AC71+Data!AD71+Data!AE71+Data!AF71+Data!AG71+Data!AH71+Data!AI71+Data!AJ71+Data!AK71+Data!AL71+Data!T72+Data!U72+Data!V72+Data!W72+Data!X72+Data!Y72+Data!Z72+Data!AA72+Data!AB72+Data!AC72+Data!AD72+Data!AE72+Data!AF72+Data!AG72+Data!AH72+Data!AI72+Data!AJ72+Data!AK72+Data!AL72+Data!T73+Data!U73+Data!V73+Data!W73+Data!X73+Data!Y73+Data!Z73+Data!AA73+Data!AB73+Data!AC73+Data!AD73+Data!AE73+Data!AF73+Data!AG73+Data!AH73+Data!AI73+Data!AJ73+Data!AK73+Data!AL73+Data!T74+Data!U74+Data!V74+Data!W74+Data!X74+Data!Y74+Data!Z74+Data!AA74+Data!AB74+Data!AC74+Data!AD74+Data!AE74+Data!AF74+Data!AG74+Data!AH74+Data!AI74+Data!AJ74+Data!AK74+Data!AL74+Data!T75+Data!U75+Data!V75+Data!W75+Data!X75+Data!Y75+Data!Z75+Data!AA75+Data!AB75+Data!AC75+Data!AD75+Data!AE75+Data!AF75+Data!AG75+Data!AH75+Data!AI75+Data!AJ75+Data!AK75+Data!AL75+Data!T76+Data!U76+Data!V76+Data!W76+Data!X76+Data!Y76+Data!Z76+Data!AA76+Data!AB76+Data!AC76+Data!AD76+Data!AE76+Data!AF76+Data!AG76+Data!AH76+Data!AI76+Data!AJ76+Data!AK76+Data!AL76+Data!T77+Data!U77+Data!V77+Data!W77+Data!X77+Data!Y77+Data!Z77+Data!AA77+Data!AB77+Data!AC77+Data!AD77+Data!AE77+Data!AF77+Data!AG77+Data!AH77+Data!AI77+Data!AJ77+Data!AK77+Data!AL77+Data!T78+Data!U78+Data!V78+Data!W78+Data!X78+Data!Y78+Data!Z78+Data!AA78+Data!AB78+Data!AC78+Data!AD78+Data!AE78+Data!AF78+Data!AG78+Data!AH78+Data!AI78+Data!AJ78+Data!AK78+Data!AL78+Data!T79+Data!U79+Data!V79+Data!W79+Data!X79+Data!Y79+Data!Z79+Data!AA79+Data!AB79+Data!AC79+Data!AD79+Data!AE79+Data!AF79+Data!AG79+Data!AH79+Data!AI79+Data!AJ79+Data!AK79+Data!AL79+Data!T80+Data!U80+Data!V80+Data!W80+Data!X80+Data!Y80+Data!Z80+Data!AA80+Data!AB80+Data!AC80+Data!AD80+Data!AE80+Data!AF80+Data!AG80+Data!AH80+Data!AI80+Data!AJ80+Data!AK80+Data!AL80+Data!T81+Data!U81+Data!V81+Data!W81+Data!X81+Data!Y81+Data!Z81+Data!AA81+Data!AB81+Data!AC81+Data!AD81+Data!AE81+Data!AF81+Data!AG81+Data!AH81+Data!AI81+Data!AJ81+Data!AK81+Data!AL81+Data!T82+Data!U82+Data!V82+Data!W82+Data!X82+Data!Y82+Data!Z82+Data!AA82+Data!AB82+Data!AC82+Data!AD82+Data!AE82+Data!AF82+Data!AG82+Data!AH82+Data!AI82+Data!AJ82+Data!AK82+Data!AL82)/(Data!AP71+Data!AP72+Data!AP73+Data!AP74+Data!AP75+Data!AP76+Data!AP77+Data!AP78+Data!AP79+Data!AP80+Data!AP81+Data!AP82)</f>
        <v>0.213633655698963</v>
      </c>
      <c r="N82" s="18" t="n">
        <f aca="false">(Data!T71+Data!U71+Data!V71+Data!W71+Data!T72+Data!U72+Data!V72+Data!W72+Data!T73+Data!U73+Data!V73+Data!W73+Data!T74+Data!U74+Data!V74+Data!W74+Data!T75+Data!U75+Data!V75+Data!W75+Data!T76+Data!U76+Data!V76+Data!W76+Data!T77+Data!U77+Data!V77+Data!W77+Data!T78+Data!U78+Data!V78+Data!W78+Data!T79+Data!U79+Data!V79+Data!W79+Data!T80+Data!U80+Data!V80+Data!W80+Data!T81+Data!U81+Data!V81+Data!W81+Data!T82+Data!U82+Data!V82+Data!W82)/(Data!AP71+Data!AP72+Data!AP73+Data!AP74+Data!AP75+Data!AP76+Data!AP77+Data!AP78+Data!AP79+Data!AP80+Data!AP81+Data!AP82)</f>
        <v>0.0993387089788395</v>
      </c>
      <c r="O82" s="18" t="n">
        <f aca="false">(Data!T71+Data!T72+Data!T73+Data!T74+Data!T75+Data!T76+Data!T77+Data!T78+Data!T79+Data!T80+Data!T81+Data!T82)/(Data!AP71+Data!AP72+Data!AP73+Data!AP74+Data!AP75+Data!AP76+Data!AP77+Data!AP78+Data!AP79+Data!AP80+Data!AP81+Data!AP82)</f>
        <v>0.0717556665116001</v>
      </c>
      <c r="P82" s="18" t="n">
        <f aca="false">(Data!U71+Data!U72+Data!U73+Data!U74+Data!U75+Data!U76+Data!U77+Data!U78+Data!U79+Data!U80+Data!U81+Data!U82)/(Data!AP71+Data!AP72+Data!AP73+Data!AP74+Data!AP75+Data!AP76+Data!AP77+Data!AP78+Data!AP79+Data!AP80+Data!AP81+Data!AP82)</f>
        <v>0.0129382024294803</v>
      </c>
      <c r="Q82" s="18" t="n">
        <f aca="false">(Data!V71+Data!V72+Data!V73+Data!V74+Data!V75+Data!V76+Data!V77+Data!V78+Data!V79+Data!V80+Data!V81+Data!V82)/(Data!AP71+Data!AP72+Data!AP73+Data!AP74+Data!AP75+Data!AP76+Data!AP77+Data!AP78+Data!AP79+Data!AP80+Data!AP81+Data!AP82)</f>
        <v>0.00714671112394066</v>
      </c>
      <c r="R82" s="18" t="n">
        <f aca="false">(Data!W71+Data!W72+Data!W73+Data!W74+Data!W75+Data!W76+Data!W77+Data!W78+Data!W79+Data!W80+Data!W81+Data!W82)/(Data!AP71+Data!AP72+Data!AP73+Data!AP74+Data!AP75+Data!AP76+Data!AP77+Data!AP78+Data!AP79+Data!AP80+Data!AP81+Data!AP82)</f>
        <v>0.0074981289138185</v>
      </c>
      <c r="S82" s="18" t="n">
        <f aca="false">(Data!X71+Data!X72+Data!X73+Data!X74+Data!X75+Data!X76+Data!X77+Data!X78+Data!X79+Data!X80+Data!X81+Data!X82)/(Data!AP71+Data!AP72+Data!AP73+Data!AP74+Data!AP75+Data!AP76+Data!AP77+Data!AP78+Data!AP79+Data!AP80+Data!AP81+Data!AP82)</f>
        <v>0.017042488692721</v>
      </c>
      <c r="T82" s="18" t="n">
        <f aca="false">(Data!Y71+Data!Z71+Data!AA71+Data!Y72+Data!Z72+Data!AA72+Data!Y73+Data!Z73+Data!AA73+Data!Y74+Data!Z74+Data!AA74+Data!Y75+Data!Z75+Data!AA75+Data!Y76+Data!Z76+Data!AA76+Data!Y77+Data!Z77+Data!AA77+Data!Y78+Data!Z78+Data!AA78+Data!Y79+Data!Z79+Data!AA79+Data!Y80+Data!Z80+Data!AA80+Data!Y81+Data!Z81+Data!AA81+Data!Y82+Data!Z82+Data!AA82)/(Data!AP71+Data!AP72+Data!AP73+Data!AP74+Data!AP75+Data!AP76+Data!AP77+Data!AP78+Data!AP79+Data!AP80+Data!AP81+Data!AP82)</f>
        <v>0.0313741710964516</v>
      </c>
      <c r="U82" s="18" t="n">
        <f aca="false">(Data!Y71+Data!Y72+Data!Y73+Data!Y74+Data!Y75+Data!Y76+Data!Y77+Data!Y78+Data!Y79+Data!Y80+Data!Y81+Data!Y82)/(Data!AP71+Data!AP72+Data!AP73+Data!AP74+Data!AP75+Data!AP76+Data!AP77+Data!AP78+Data!AP79+Data!AP80+Data!AP81+Data!AP82)</f>
        <v>0.024290927466306</v>
      </c>
      <c r="V82" s="18" t="n">
        <f aca="false">(Data!Z71+Data!Z72+Data!Z73+Data!Z74+Data!Z75+Data!Z76+Data!Z77+Data!Z78+Data!Z79+Data!Z80+Data!Z81+Data!Z82)/(Data!AP71+Data!AP72+Data!AP73+Data!AP74+Data!AP75+Data!AP76+Data!AP77+Data!AP78+Data!AP79+Data!AP80+Data!AP81+Data!AP82)</f>
        <v>0.00662776994922773</v>
      </c>
      <c r="W82" s="18" t="n">
        <f aca="false">(Data!AB71+Data!AB72+Data!AB73+Data!AB74+Data!AB75+Data!AB76+Data!AB77+Data!AB78+Data!AB79+Data!AB80+Data!AB81+Data!AB82)/(Data!AP71+Data!AP72+Data!AP73+Data!AP74+Data!AP75+Data!AP76+Data!AP77+Data!AP78+Data!AP79+Data!AP80+Data!AP81+Data!AP82)</f>
        <v>0.0233840316111509</v>
      </c>
      <c r="X82" s="18" t="n">
        <f aca="false">(Data!AC71+Data!AC72+Data!AC73+Data!AC74+Data!AC75+Data!AC76+Data!AC77+Data!AC78+Data!AC79+Data!AC80+Data!AC81+Data!AC82)/(Data!AP71+Data!AP72+Data!AP73+Data!AP74+Data!AP75+Data!AP76+Data!AP77+Data!AP78+Data!AP79+Data!AP80+Data!AP81+Data!AP82)</f>
        <v>0.00956564393843341</v>
      </c>
      <c r="Y82" s="18" t="n">
        <f aca="false">(Data!AD71+Data!AE71+Data!AF71+Data!AG71+Data!AH71+Data!AD72+Data!AE72+Data!AF72+Data!AG72+Data!AH72+Data!AD73+Data!AE73+Data!AF73+Data!AG73+Data!AH73+Data!AD74+Data!AE74+Data!AF74+Data!AG74+Data!AH74+Data!AD75+Data!AE75+Data!AF75+Data!AG75+Data!AH75+Data!AD76+Data!AE76+Data!AF76+Data!AG76+Data!AH76+Data!AD77+Data!AE77+Data!AF77+Data!AG77+Data!AH77+Data!AD78+Data!AE78+Data!AF78+Data!AG78+Data!AH78+Data!AD79+Data!AE79+Data!AF79+Data!AG79+Data!AH79+Data!AD80+Data!AE80+Data!AF80+Data!AG80+Data!AH80+Data!AD81+Data!AE81+Data!AF81+Data!AG81+Data!AH81+Data!AD82+Data!AE82+Data!AF82+Data!AG82+Data!AH82)/(Data!AP71+Data!AP72+Data!AP73+Data!AP74+Data!AP75+Data!AP76+Data!AP77+Data!AP78+Data!AP79+Data!AP80+Data!AP81+Data!AP82)</f>
        <v>0.00788027215707603</v>
      </c>
      <c r="Z82" s="18" t="n">
        <f aca="false">(Data!AI71+Data!AI72+Data!AI73+Data!AI74+Data!AI75+Data!AI76+Data!AI77+Data!AI78+Data!AI79+Data!AI80+Data!AI81+Data!AI82)/(Data!AP71+Data!AP72+Data!AP73+Data!AP74+Data!AP75+Data!AP76+Data!AP77+Data!AP78+Data!AP79+Data!AP80+Data!AP81+Data!AP82)</f>
        <v>0.00625812954559129</v>
      </c>
      <c r="AA82" s="18" t="n">
        <f aca="false">(Data!AJ71+Data!AJ72+Data!AJ73+Data!AJ74+Data!AJ75+Data!AJ76+Data!AJ77+Data!AJ78+Data!AJ79+Data!AJ80+Data!AJ81+Data!AJ82)/(Data!AP71+Data!AP72+Data!AP73+Data!AP74+Data!AP75+Data!AP76+Data!AP77+Data!AP78+Data!AP79+Data!AP80+Data!AP81+Data!AP82)</f>
        <v>0</v>
      </c>
      <c r="AB82" s="18" t="n">
        <f aca="false">(Data!AK71+Data!AK72+Data!AK73+Data!AK74+Data!AK75+Data!AK76+Data!AK77+Data!AK78+Data!AK79+Data!AK80+Data!AK81+Data!AK82)/(Data!AP71+Data!AP72+Data!AP73+Data!AP74+Data!AP75+Data!AP76+Data!AP77+Data!AP78+Data!AP79+Data!AP80+Data!AP81+Data!AP82)</f>
        <v>0.00474103278605501</v>
      </c>
      <c r="AC82" s="18" t="n">
        <f aca="false">(Data!AL71+Data!AL72+Data!AL73+Data!AL74+Data!AL75+Data!AL76+Data!AL77+Data!AL78+Data!AL79+Data!AL80+Data!AL81+Data!AL82)/(Data!AP71+Data!AP72+Data!AP73+Data!AP74+Data!AP75+Data!AP76+Data!AP77+Data!AP78+Data!AP79+Data!AP80+Data!AP81+Data!AP82)</f>
        <v>0.0140491768926441</v>
      </c>
      <c r="AD82" s="17" t="n">
        <f aca="false">(Data!AM71+Data!AM72+Data!AM73+Data!AM74+Data!AM75+Data!AM76+Data!AM77+Data!AM78+Data!AM79+Data!AM80+Data!AM81+Data!AM82)/(Data!AP71+Data!AP72+Data!AP73+Data!AP74+Data!AP75+Data!AP76+Data!AP77+Data!AP78+Data!AP79+Data!AP80+Data!AP81+Data!AP82)</f>
        <v>-0.0214778435493888</v>
      </c>
      <c r="AE82" s="18" t="n">
        <f aca="false">(Data!AN71+Data!AN72+Data!AN73+Data!AN74+Data!AN75+Data!AN76+Data!AN77+Data!AN78+Data!AN79+Data!AN80+Data!AN81+Data!AN82)/(Data!AP71+Data!AP72+Data!AP73+Data!AP74+Data!AP75+Data!AP76+Data!AP77+Data!AP78+Data!AP79+Data!AP80+Data!AP81+Data!AP82)</f>
        <v>0.0157180676581373</v>
      </c>
      <c r="AF82" s="17" t="n">
        <f aca="false">(Data!AO71+Data!AO72+Data!AO73+Data!AO74+Data!AO75+Data!AO76+Data!AO77+Data!AO78+Data!AO79+Data!AO80+Data!AO81+Data!AO82)/(Data!AP71+Data!AP72+Data!AP73+Data!AP74+Data!AP75+Data!AP76+Data!AP77+Data!AP78+Data!AP79+Data!AP80+Data!AP81+Data!AP82)</f>
        <v>-0.0371959295401355</v>
      </c>
    </row>
    <row r="83" customFormat="false" ht="15" hidden="false" customHeight="false" outlineLevel="0" collapsed="false">
      <c r="B83" s="14" t="str">
        <f aca="false">Data!B83</f>
        <v>2022-05</v>
      </c>
      <c r="C83" s="17" t="n">
        <f aca="false">(Data!D72+Data!E72+Data!F72+Data!G72+Data!H72+Data!I72+Data!J72+Data!K72+Data!L72+Data!M72+Data!N72+Data!O72+Data!P72+Data!Q72+Data!R72+Data!S72+Data!D73+Data!E73+Data!F73+Data!G73+Data!H73+Data!I73+Data!J73+Data!K73+Data!L73+Data!M73+Data!N73+Data!O73+Data!P73+Data!Q73+Data!R73+Data!S73+Data!D74+Data!E74+Data!F74+Data!G74+Data!H74+Data!I74+Data!J74+Data!K74+Data!L74+Data!M74+Data!N74+Data!O74+Data!P74+Data!Q74+Data!R74+Data!S74+Data!D75+Data!E75+Data!F75+Data!G75+Data!H75+Data!I75+Data!J75+Data!K75+Data!L75+Data!M75+Data!N75+Data!O75+Data!P75+Data!Q75+Data!R75+Data!S75+Data!D76+Data!E76+Data!F76+Data!G76+Data!H76+Data!I76+Data!J76+Data!K76+Data!L76+Data!M76+Data!N76+Data!O76+Data!P76+Data!Q76+Data!R76+Data!S76+Data!D77+Data!E77+Data!F77+Data!G77+Data!H77+Data!I77+Data!J77+Data!K77+Data!L77+Data!M77+Data!N77+Data!O77+Data!P77+Data!Q77+Data!R77+Data!S77+Data!D78+Data!E78+Data!F78+Data!G78+Data!H78+Data!I78+Data!J78+Data!K78+Data!L78+Data!M78+Data!N78+Data!O78+Data!P78+Data!Q78+Data!R78+Data!S78+Data!D79+Data!E79+Data!F79+Data!G79+Data!H79+Data!I79+Data!J79+Data!K79+Data!L79+Data!M79+Data!N79+Data!O79+Data!P79+Data!Q79+Data!R79+Data!S79+Data!D80+Data!E80+Data!F80+Data!G80+Data!H80+Data!I80+Data!J80+Data!K80+Data!L80+Data!M80+Data!N80+Data!O80+Data!P80+Data!Q80+Data!R80+Data!S80+Data!D81+Data!E81+Data!F81+Data!G81+Data!H81+Data!I81+Data!J81+Data!K81+Data!L81+Data!M81+Data!N81+Data!O81+Data!P81+Data!Q81+Data!R81+Data!S81+Data!D82+Data!E82+Data!F82+Data!G82+Data!H82+Data!I82+Data!J82+Data!K82+Data!L82+Data!M82+Data!N82+Data!O82+Data!P82+Data!Q82+Data!R82+Data!S82+Data!D83+Data!E83+Data!F83+Data!G83+Data!H83+Data!I83+Data!J83+Data!K83+Data!L83+Data!M83+Data!N83+Data!O83+Data!P83+Data!Q83+Data!R83+Data!S83)/(Data!AP72+Data!AP73+Data!AP74+Data!AP75+Data!AP76+Data!AP77+Data!AP78+Data!AP79+Data!AP80+Data!AP81+Data!AP82+Data!AP83)</f>
        <v>0.190341198467396</v>
      </c>
      <c r="D83" s="18" t="n">
        <f aca="false">(Data!D72+Data!E72+Data!G72+Data!H72+Data!I72+Data!J72+Data!K72+Data!L72+Data!M72+Data!D73+Data!E73+Data!G73+Data!H73+Data!I73+Data!J73+Data!K73+Data!L73+Data!M73+Data!D74+Data!E74+Data!G74+Data!H74+Data!I74+Data!J74+Data!K74+Data!L74+Data!M74+Data!D75+Data!E75+Data!G75+Data!H75+Data!I75+Data!J75+Data!K75+Data!L75+Data!M75+Data!D76+Data!E76+Data!G76+Data!H76+Data!I76+Data!J76+Data!K76+Data!L76+Data!M76+Data!D77+Data!E77+Data!G77+Data!H77+Data!I77+Data!J77+Data!K77+Data!L77+Data!M77+Data!D78+Data!E78+Data!G78+Data!H78+Data!I78+Data!J78+Data!K78+Data!L78+Data!M78+Data!D79+Data!E79+Data!G79+Data!H79+Data!I79+Data!J79+Data!K79+Data!L79+Data!M79+Data!D80+Data!E80+Data!G80+Data!H80+Data!I80+Data!J80+Data!K80+Data!L80+Data!M80+Data!D81+Data!E81+Data!G81+Data!H81+Data!I81+Data!J81+Data!K81+Data!L81+Data!M81+Data!D82+Data!E82+Data!G82+Data!H82+Data!I82+Data!J82+Data!K82+Data!L82+Data!M82+Data!D83+Data!E83+Data!G83+Data!H83+Data!I83+Data!J83+Data!K83+Data!L83+Data!M83)/(Data!AP72+Data!AP73+Data!AP74+Data!AP75+Data!AP76+Data!AP77+Data!AP78+Data!AP79+Data!AP80+Data!AP81+Data!AP82+Data!AP83)</f>
        <v>0.108592768046459</v>
      </c>
      <c r="E83" s="18" t="n">
        <f aca="false">(Data!D72+Data!D73+Data!D74+Data!D75+Data!D76+Data!D77+Data!D78+Data!D79+Data!D80+Data!D81+Data!D82+Data!D83)/(Data!AP72+Data!AP73+Data!AP74+Data!AP75+Data!AP76+Data!AP77+Data!AP78+Data!AP79+Data!AP80+Data!AP81+Data!AP82+Data!AP83)</f>
        <v>0.0313832528401908</v>
      </c>
      <c r="F83" s="18" t="n">
        <f aca="false">(Data!E72+Data!E73+Data!E74+Data!E75+Data!E76+Data!E77+Data!E78+Data!E79+Data!E80+Data!E81+Data!E82+Data!E83)/(Data!AP72+Data!AP73+Data!AP74+Data!AP75+Data!AP76+Data!AP77+Data!AP78+Data!AP79+Data!AP80+Data!AP81+Data!AP82+Data!AP83)</f>
        <v>0.017991707415088</v>
      </c>
      <c r="G83" s="18" t="n">
        <f aca="false">(Data!K72+Data!K73+Data!K74+Data!K75+Data!K76+Data!K77+Data!K78+Data!K79+Data!K80+Data!K81+Data!K82+Data!K83)/(Data!AP72+Data!AP73+Data!AP74+Data!AP75+Data!AP76+Data!AP77+Data!AP78+Data!AP79+Data!AP80+Data!AP81+Data!AP82+Data!AP83)</f>
        <v>0.0187889458790669</v>
      </c>
      <c r="H83" s="18" t="n">
        <f aca="false">(Data!L72+Data!L73+Data!L74+Data!L75+Data!L76+Data!L77+Data!L78+Data!L79+Data!L80+Data!L81+Data!L82+Data!L83)/(Data!AP72+Data!AP73+Data!AP74+Data!AP75+Data!AP76+Data!AP77+Data!AP78+Data!AP79+Data!AP80+Data!AP81+Data!AP82+Data!AP83)</f>
        <v>0.00646861650880609</v>
      </c>
      <c r="I83" s="18" t="n">
        <f aca="false">(Data!G72+Data!G73+Data!G74+Data!G75+Data!G76+Data!G77+Data!G78+Data!G79+Data!G80+Data!G81+Data!G82+Data!G83)/(Data!AP72+Data!AP73+Data!AP74+Data!AP75+Data!AP76+Data!AP77+Data!AP78+Data!AP79+Data!AP80+Data!AP81+Data!AP82+Data!AP83)</f>
        <v>0.0158188352913248</v>
      </c>
      <c r="J83" s="18" t="n">
        <f aca="false">(Data!H72+Data!I72+Data!J72+Data!M72+Data!H73+Data!I73+Data!J73+Data!M73+Data!H74+Data!I74+Data!J74+Data!M74+Data!H75+Data!I75+Data!J75+Data!M75+Data!H76+Data!I76+Data!J76+Data!M76+Data!H77+Data!I77+Data!J77+Data!M77+Data!H78+Data!I78+Data!J78+Data!M78+Data!H79+Data!I79+Data!J79+Data!M79+Data!H80+Data!I80+Data!J80+Data!M80+Data!H81+Data!I81+Data!J81+Data!M81+Data!H82+Data!I82+Data!J82+Data!M82+Data!H83+Data!I83+Data!J83+Data!M83)/(Data!AP72+Data!AP73+Data!AP74+Data!AP75+Data!AP76+Data!AP77+Data!AP78+Data!AP79+Data!AP80+Data!AP81+Data!AP82+Data!AP83)</f>
        <v>0.0181414101119823</v>
      </c>
      <c r="K83" s="18" t="n">
        <f aca="false">(Data!F72+Data!F73+Data!F74+Data!F75+Data!F76+Data!F77+Data!F78+Data!F79+Data!F80+Data!F81+Data!F82+Data!F83)/(Data!AP72+Data!AP73+Data!AP74+Data!AP75+Data!AP76+Data!AP77+Data!AP78+Data!AP79+Data!AP80+Data!AP81+Data!AP82+Data!AP83)</f>
        <v>0.0520666922862668</v>
      </c>
      <c r="L83" s="18" t="n">
        <f aca="false">(Data!N72+Data!O72+Data!P72+Data!Q72+Data!R72+Data!S72+Data!N73+Data!O73+Data!P73+Data!Q73+Data!R73+Data!S73+Data!N74+Data!O74+Data!P74+Data!Q74+Data!R74+Data!S74+Data!N75+Data!O75+Data!P75+Data!Q75+Data!R75+Data!S75+Data!N76+Data!O76+Data!P76+Data!Q76+Data!R76+Data!S76+Data!N77+Data!O77+Data!P77+Data!Q77+Data!R77+Data!S77+Data!N78+Data!O78+Data!P78+Data!Q78+Data!R78+Data!S78+Data!N79+Data!O79+Data!P79+Data!Q79+Data!R79+Data!S79+Data!N80+Data!O80+Data!P80+Data!Q80+Data!R80+Data!S80+Data!N81+Data!O81+Data!P81+Data!Q81+Data!R81+Data!S81+Data!N82+Data!O82+Data!P82+Data!Q82+Data!R82+Data!S82+Data!N83+Data!O83+Data!P83+Data!Q83+Data!R83+Data!S83)/(Data!AP72+Data!AP73+Data!AP74+Data!AP75+Data!AP76+Data!AP77+Data!AP78+Data!AP79+Data!AP80+Data!AP81+Data!AP82+Data!AP83)</f>
        <v>0.0296817381346705</v>
      </c>
      <c r="M83" s="17" t="n">
        <f aca="false">(Data!T72+Data!U72+Data!V72+Data!W72+Data!X72+Data!Y72+Data!Z72+Data!AA72+Data!AB72+Data!AC72+Data!AD72+Data!AE72+Data!AF72+Data!AG72+Data!AH72+Data!AI72+Data!AJ72+Data!AK72+Data!AL72+Data!T73+Data!U73+Data!V73+Data!W73+Data!X73+Data!Y73+Data!Z73+Data!AA73+Data!AB73+Data!AC73+Data!AD73+Data!AE73+Data!AF73+Data!AG73+Data!AH73+Data!AI73+Data!AJ73+Data!AK73+Data!AL73+Data!T74+Data!U74+Data!V74+Data!W74+Data!X74+Data!Y74+Data!Z74+Data!AA74+Data!AB74+Data!AC74+Data!AD74+Data!AE74+Data!AF74+Data!AG74+Data!AH74+Data!AI74+Data!AJ74+Data!AK74+Data!AL74+Data!T75+Data!U75+Data!V75+Data!W75+Data!X75+Data!Y75+Data!Z75+Data!AA75+Data!AB75+Data!AC75+Data!AD75+Data!AE75+Data!AF75+Data!AG75+Data!AH75+Data!AI75+Data!AJ75+Data!AK75+Data!AL75+Data!T76+Data!U76+Data!V76+Data!W76+Data!X76+Data!Y76+Data!Z76+Data!AA76+Data!AB76+Data!AC76+Data!AD76+Data!AE76+Data!AF76+Data!AG76+Data!AH76+Data!AI76+Data!AJ76+Data!AK76+Data!AL76+Data!T77+Data!U77+Data!V77+Data!W77+Data!X77+Data!Y77+Data!Z77+Data!AA77+Data!AB77+Data!AC77+Data!AD77+Data!AE77+Data!AF77+Data!AG77+Data!AH77+Data!AI77+Data!AJ77+Data!AK77+Data!AL77+Data!T78+Data!U78+Data!V78+Data!W78+Data!X78+Data!Y78+Data!Z78+Data!AA78+Data!AB78+Data!AC78+Data!AD78+Data!AE78+Data!AF78+Data!AG78+Data!AH78+Data!AI78+Data!AJ78+Data!AK78+Data!AL78+Data!T79+Data!U79+Data!V79+Data!W79+Data!X79+Data!Y79+Data!Z79+Data!AA79+Data!AB79+Data!AC79+Data!AD79+Data!AE79+Data!AF79+Data!AG79+Data!AH79+Data!AI79+Data!AJ79+Data!AK79+Data!AL79+Data!T80+Data!U80+Data!V80+Data!W80+Data!X80+Data!Y80+Data!Z80+Data!AA80+Data!AB80+Data!AC80+Data!AD80+Data!AE80+Data!AF80+Data!AG80+Data!AH80+Data!AI80+Data!AJ80+Data!AK80+Data!AL80+Data!T81+Data!U81+Data!V81+Data!W81+Data!X81+Data!Y81+Data!Z81+Data!AA81+Data!AB81+Data!AC81+Data!AD81+Data!AE81+Data!AF81+Data!AG81+Data!AH81+Data!AI81+Data!AJ81+Data!AK81+Data!AL81+Data!T82+Data!U82+Data!V82+Data!W82+Data!X82+Data!Y82+Data!Z82+Data!AA82+Data!AB82+Data!AC82+Data!AD82+Data!AE82+Data!AF82+Data!AG82+Data!AH82+Data!AI82+Data!AJ82+Data!AK82+Data!AL82+Data!T83+Data!U83+Data!V83+Data!W83+Data!X83+Data!Y83+Data!Z83+Data!AA83+Data!AB83+Data!AC83+Data!AD83+Data!AE83+Data!AF83+Data!AG83+Data!AH83+Data!AI83+Data!AJ83+Data!AK83+Data!AL83)/(Data!AP72+Data!AP73+Data!AP74+Data!AP75+Data!AP76+Data!AP77+Data!AP78+Data!AP79+Data!AP80+Data!AP81+Data!AP82+Data!AP83)</f>
        <v>0.214087046535872</v>
      </c>
      <c r="N83" s="18" t="n">
        <f aca="false">(Data!T72+Data!U72+Data!V72+Data!W72+Data!T73+Data!U73+Data!V73+Data!W73+Data!T74+Data!U74+Data!V74+Data!W74+Data!T75+Data!U75+Data!V75+Data!W75+Data!T76+Data!U76+Data!V76+Data!W76+Data!T77+Data!U77+Data!V77+Data!W77+Data!T78+Data!U78+Data!V78+Data!W78+Data!T79+Data!U79+Data!V79+Data!W79+Data!T80+Data!U80+Data!V80+Data!W80+Data!T81+Data!U81+Data!V81+Data!W81+Data!T82+Data!U82+Data!V82+Data!W82+Data!T83+Data!U83+Data!V83+Data!W83)/(Data!AP72+Data!AP73+Data!AP74+Data!AP75+Data!AP76+Data!AP77+Data!AP78+Data!AP79+Data!AP80+Data!AP81+Data!AP82+Data!AP83)</f>
        <v>0.0985035362772648</v>
      </c>
      <c r="O83" s="18" t="n">
        <f aca="false">(Data!T72+Data!T73+Data!T74+Data!T75+Data!T76+Data!T77+Data!T78+Data!T79+Data!T80+Data!T81+Data!T82+Data!T83)/(Data!AP72+Data!AP73+Data!AP74+Data!AP75+Data!AP76+Data!AP77+Data!AP78+Data!AP79+Data!AP80+Data!AP81+Data!AP82+Data!AP83)</f>
        <v>0.0710396229893866</v>
      </c>
      <c r="P83" s="18" t="n">
        <f aca="false">(Data!U72+Data!U73+Data!U74+Data!U75+Data!U76+Data!U77+Data!U78+Data!U79+Data!U80+Data!U81+Data!U82+Data!U83)/(Data!AP72+Data!AP73+Data!AP74+Data!AP75+Data!AP76+Data!AP77+Data!AP78+Data!AP79+Data!AP80+Data!AP81+Data!AP82+Data!AP83)</f>
        <v>0.012911438467529</v>
      </c>
      <c r="Q83" s="18" t="n">
        <f aca="false">(Data!V72+Data!V73+Data!V74+Data!V75+Data!V76+Data!V77+Data!V78+Data!V79+Data!V80+Data!V81+Data!V82+Data!V83)/(Data!AP72+Data!AP73+Data!AP74+Data!AP75+Data!AP76+Data!AP77+Data!AP78+Data!AP79+Data!AP80+Data!AP81+Data!AP82+Data!AP83)</f>
        <v>0.00706372489650696</v>
      </c>
      <c r="R83" s="18" t="n">
        <f aca="false">(Data!W72+Data!W73+Data!W74+Data!W75+Data!W76+Data!W77+Data!W78+Data!W79+Data!W80+Data!W81+Data!W82+Data!W83)/(Data!AP72+Data!AP73+Data!AP74+Data!AP75+Data!AP76+Data!AP77+Data!AP78+Data!AP79+Data!AP80+Data!AP81+Data!AP82+Data!AP83)</f>
        <v>0.00748874992384221</v>
      </c>
      <c r="S83" s="18" t="n">
        <f aca="false">(Data!X72+Data!X73+Data!X74+Data!X75+Data!X76+Data!X77+Data!X78+Data!X79+Data!X80+Data!X81+Data!X82+Data!X83)/(Data!AP72+Data!AP73+Data!AP74+Data!AP75+Data!AP76+Data!AP77+Data!AP78+Data!AP79+Data!AP80+Data!AP81+Data!AP82+Data!AP83)</f>
        <v>0.0187181986059545</v>
      </c>
      <c r="T83" s="18" t="n">
        <f aca="false">(Data!Y72+Data!Z72+Data!AA72+Data!Y73+Data!Z73+Data!AA73+Data!Y74+Data!Z74+Data!AA74+Data!Y75+Data!Z75+Data!AA75+Data!Y76+Data!Z76+Data!AA76+Data!Y77+Data!Z77+Data!AA77+Data!Y78+Data!Z78+Data!AA78+Data!Y79+Data!Z79+Data!AA79+Data!Y80+Data!Z80+Data!AA80+Data!Y81+Data!Z81+Data!AA81+Data!Y82+Data!Z82+Data!AA82+Data!Y83+Data!Z83+Data!AA83)/(Data!AP72+Data!AP73+Data!AP74+Data!AP75+Data!AP76+Data!AP77+Data!AP78+Data!AP79+Data!AP80+Data!AP81+Data!AP82+Data!AP83)</f>
        <v>0.0310680947827765</v>
      </c>
      <c r="U83" s="18" t="n">
        <f aca="false">(Data!Y72+Data!Y73+Data!Y74+Data!Y75+Data!Y76+Data!Y77+Data!Y78+Data!Y79+Data!Y80+Data!Y81+Data!Y82+Data!Y83)/(Data!AP72+Data!AP73+Data!AP74+Data!AP75+Data!AP76+Data!AP77+Data!AP78+Data!AP79+Data!AP80+Data!AP81+Data!AP82+Data!AP83)</f>
        <v>0.024013730670863</v>
      </c>
      <c r="V83" s="18" t="n">
        <f aca="false">(Data!Z72+Data!Z73+Data!Z74+Data!Z75+Data!Z76+Data!Z77+Data!Z78+Data!Z79+Data!Z80+Data!Z81+Data!Z82+Data!Z83)/(Data!AP72+Data!AP73+Data!AP74+Data!AP75+Data!AP76+Data!AP77+Data!AP78+Data!AP79+Data!AP80+Data!AP81+Data!AP82+Data!AP83)</f>
        <v>0.00662720845823418</v>
      </c>
      <c r="W83" s="18" t="n">
        <f aca="false">(Data!AB72+Data!AB73+Data!AB74+Data!AB75+Data!AB76+Data!AB77+Data!AB78+Data!AB79+Data!AB80+Data!AB81+Data!AB82+Data!AB83)/(Data!AP72+Data!AP73+Data!AP74+Data!AP75+Data!AP76+Data!AP77+Data!AP78+Data!AP79+Data!AP80+Data!AP81+Data!AP82+Data!AP83)</f>
        <v>0.0232714868163709</v>
      </c>
      <c r="X83" s="18" t="n">
        <f aca="false">(Data!AC72+Data!AC73+Data!AC74+Data!AC75+Data!AC76+Data!AC77+Data!AC78+Data!AC79+Data!AC80+Data!AC81+Data!AC82+Data!AC83)/(Data!AP72+Data!AP73+Data!AP74+Data!AP75+Data!AP76+Data!AP77+Data!AP78+Data!AP79+Data!AP80+Data!AP81+Data!AP82+Data!AP83)</f>
        <v>0.00941894021418918</v>
      </c>
      <c r="Y83" s="18" t="n">
        <f aca="false">(Data!AD72+Data!AE72+Data!AF72+Data!AG72+Data!AH72+Data!AD73+Data!AE73+Data!AF73+Data!AG73+Data!AH73+Data!AD74+Data!AE74+Data!AF74+Data!AG74+Data!AH74+Data!AD75+Data!AE75+Data!AF75+Data!AG75+Data!AH75+Data!AD76+Data!AE76+Data!AF76+Data!AG76+Data!AH76+Data!AD77+Data!AE77+Data!AF77+Data!AG77+Data!AH77+Data!AD78+Data!AE78+Data!AF78+Data!AG78+Data!AH78+Data!AD79+Data!AE79+Data!AF79+Data!AG79+Data!AH79+Data!AD80+Data!AE80+Data!AF80+Data!AG80+Data!AH80+Data!AD81+Data!AE81+Data!AF81+Data!AG81+Data!AH81+Data!AD82+Data!AE82+Data!AF82+Data!AG82+Data!AH82+Data!AD83+Data!AE83+Data!AF83+Data!AG83+Data!AH83)/(Data!AP72+Data!AP73+Data!AP74+Data!AP75+Data!AP76+Data!AP77+Data!AP78+Data!AP79+Data!AP80+Data!AP81+Data!AP82+Data!AP83)</f>
        <v>0.00796068365904707</v>
      </c>
      <c r="Z83" s="18" t="n">
        <f aca="false">(Data!AI72+Data!AI73+Data!AI74+Data!AI75+Data!AI76+Data!AI77+Data!AI78+Data!AI79+Data!AI80+Data!AI81+Data!AI82+Data!AI83)/(Data!AP72+Data!AP73+Data!AP74+Data!AP75+Data!AP76+Data!AP77+Data!AP78+Data!AP79+Data!AP80+Data!AP81+Data!AP82+Data!AP83)</f>
        <v>0.0062056413326704</v>
      </c>
      <c r="AA83" s="18" t="n">
        <f aca="false">(Data!AJ72+Data!AJ73+Data!AJ74+Data!AJ75+Data!AJ76+Data!AJ77+Data!AJ78+Data!AJ79+Data!AJ80+Data!AJ81+Data!AJ82+Data!AJ83)/(Data!AP72+Data!AP73+Data!AP74+Data!AP75+Data!AP76+Data!AP77+Data!AP78+Data!AP79+Data!AP80+Data!AP81+Data!AP82+Data!AP83)</f>
        <v>0</v>
      </c>
      <c r="AB83" s="18" t="n">
        <f aca="false">(Data!AK72+Data!AK73+Data!AK74+Data!AK75+Data!AK76+Data!AK77+Data!AK78+Data!AK79+Data!AK80+Data!AK81+Data!AK82+Data!AK83)/(Data!AP72+Data!AP73+Data!AP74+Data!AP75+Data!AP76+Data!AP77+Data!AP78+Data!AP79+Data!AP80+Data!AP81+Data!AP82+Data!AP83)</f>
        <v>0.0048944154594174</v>
      </c>
      <c r="AC83" s="18" t="n">
        <f aca="false">(Data!AL72+Data!AL73+Data!AL74+Data!AL75+Data!AL76+Data!AL77+Data!AL78+Data!AL79+Data!AL80+Data!AL81+Data!AL82+Data!AL83)/(Data!AP72+Data!AP73+Data!AP74+Data!AP75+Data!AP76+Data!AP77+Data!AP78+Data!AP79+Data!AP80+Data!AP81+Data!AP82+Data!AP83)</f>
        <v>0.0140460493881814</v>
      </c>
      <c r="AD83" s="17" t="n">
        <f aca="false">(Data!AM72+Data!AM73+Data!AM74+Data!AM75+Data!AM76+Data!AM77+Data!AM78+Data!AM79+Data!AM80+Data!AM81+Data!AM82+Data!AM83)/(Data!AP72+Data!AP73+Data!AP74+Data!AP75+Data!AP76+Data!AP77+Data!AP78+Data!AP79+Data!AP80+Data!AP81+Data!AP82+Data!AP83)</f>
        <v>-0.0237458480684759</v>
      </c>
      <c r="AE83" s="18" t="n">
        <f aca="false">(Data!AN72+Data!AN73+Data!AN74+Data!AN75+Data!AN76+Data!AN77+Data!AN78+Data!AN79+Data!AN80+Data!AN81+Data!AN82+Data!AN83)/(Data!AP72+Data!AP73+Data!AP74+Data!AP75+Data!AP76+Data!AP77+Data!AP78+Data!AP79+Data!AP80+Data!AP81+Data!AP82+Data!AP83)</f>
        <v>0.0147933927745789</v>
      </c>
      <c r="AF83" s="17" t="n">
        <f aca="false">(Data!AO72+Data!AO73+Data!AO74+Data!AO75+Data!AO76+Data!AO77+Data!AO78+Data!AO79+Data!AO80+Data!AO81+Data!AO82+Data!AO83)/(Data!AP72+Data!AP73+Data!AP74+Data!AP75+Data!AP76+Data!AP77+Data!AP78+Data!AP79+Data!AP80+Data!AP81+Data!AP82+Data!AP83)</f>
        <v>-0.0385392583072052</v>
      </c>
    </row>
    <row r="84" customFormat="false" ht="15" hidden="false" customHeight="false" outlineLevel="0" collapsed="false">
      <c r="B84" s="14" t="str">
        <f aca="false">Data!B84</f>
        <v>2022-06</v>
      </c>
      <c r="C84" s="17" t="n">
        <f aca="false">(Data!D73+Data!E73+Data!F73+Data!G73+Data!H73+Data!I73+Data!J73+Data!K73+Data!L73+Data!M73+Data!N73+Data!O73+Data!P73+Data!Q73+Data!R73+Data!S73+Data!D74+Data!E74+Data!F74+Data!G74+Data!H74+Data!I74+Data!J74+Data!K74+Data!L74+Data!M74+Data!N74+Data!O74+Data!P74+Data!Q74+Data!R74+Data!S74+Data!D75+Data!E75+Data!F75+Data!G75+Data!H75+Data!I75+Data!J75+Data!K75+Data!L75+Data!M75+Data!N75+Data!O75+Data!P75+Data!Q75+Data!R75+Data!S75+Data!D76+Data!E76+Data!F76+Data!G76+Data!H76+Data!I76+Data!J76+Data!K76+Data!L76+Data!M76+Data!N76+Data!O76+Data!P76+Data!Q76+Data!R76+Data!S76+Data!D77+Data!E77+Data!F77+Data!G77+Data!H77+Data!I77+Data!J77+Data!K77+Data!L77+Data!M77+Data!N77+Data!O77+Data!P77+Data!Q77+Data!R77+Data!S77+Data!D78+Data!E78+Data!F78+Data!G78+Data!H78+Data!I78+Data!J78+Data!K78+Data!L78+Data!M78+Data!N78+Data!O78+Data!P78+Data!Q78+Data!R78+Data!S78+Data!D79+Data!E79+Data!F79+Data!G79+Data!H79+Data!I79+Data!J79+Data!K79+Data!L79+Data!M79+Data!N79+Data!O79+Data!P79+Data!Q79+Data!R79+Data!S79+Data!D80+Data!E80+Data!F80+Data!G80+Data!H80+Data!I80+Data!J80+Data!K80+Data!L80+Data!M80+Data!N80+Data!O80+Data!P80+Data!Q80+Data!R80+Data!S80+Data!D81+Data!E81+Data!F81+Data!G81+Data!H81+Data!I81+Data!J81+Data!K81+Data!L81+Data!M81+Data!N81+Data!O81+Data!P81+Data!Q81+Data!R81+Data!S81+Data!D82+Data!E82+Data!F82+Data!G82+Data!H82+Data!I82+Data!J82+Data!K82+Data!L82+Data!M82+Data!N82+Data!O82+Data!P82+Data!Q82+Data!R82+Data!S82+Data!D83+Data!E83+Data!F83+Data!G83+Data!H83+Data!I83+Data!J83+Data!K83+Data!L83+Data!M83+Data!N83+Data!O83+Data!P83+Data!Q83+Data!R83+Data!S83+Data!D84+Data!E84+Data!F84+Data!G84+Data!H84+Data!I84+Data!J84+Data!K84+Data!L84+Data!M84+Data!N84+Data!O84+Data!P84+Data!Q84+Data!R84+Data!S84)/(Data!AP73+Data!AP74+Data!AP75+Data!AP76+Data!AP77+Data!AP78+Data!AP79+Data!AP80+Data!AP81+Data!AP82+Data!AP83+Data!AP84)</f>
        <v>0.188296314009067</v>
      </c>
      <c r="D84" s="18" t="n">
        <f aca="false">(Data!D73+Data!E73+Data!G73+Data!H73+Data!I73+Data!J73+Data!K73+Data!L73+Data!M73+Data!D74+Data!E74+Data!G74+Data!H74+Data!I74+Data!J74+Data!K74+Data!L74+Data!M74+Data!D75+Data!E75+Data!G75+Data!H75+Data!I75+Data!J75+Data!K75+Data!L75+Data!M75+Data!D76+Data!E76+Data!G76+Data!H76+Data!I76+Data!J76+Data!K76+Data!L76+Data!M76+Data!D77+Data!E77+Data!G77+Data!H77+Data!I77+Data!J77+Data!K77+Data!L77+Data!M77+Data!D78+Data!E78+Data!G78+Data!H78+Data!I78+Data!J78+Data!K78+Data!L78+Data!M78+Data!D79+Data!E79+Data!G79+Data!H79+Data!I79+Data!J79+Data!K79+Data!L79+Data!M79+Data!D80+Data!E80+Data!G80+Data!H80+Data!I80+Data!J80+Data!K80+Data!L80+Data!M80+Data!D81+Data!E81+Data!G81+Data!H81+Data!I81+Data!J81+Data!K81+Data!L81+Data!M81+Data!D82+Data!E82+Data!G82+Data!H82+Data!I82+Data!J82+Data!K82+Data!L82+Data!M82+Data!D83+Data!E83+Data!G83+Data!H83+Data!I83+Data!J83+Data!K83+Data!L83+Data!M83+Data!D84+Data!E84+Data!G84+Data!H84+Data!I84+Data!J84+Data!K84+Data!L84+Data!M84)/(Data!AP73+Data!AP74+Data!AP75+Data!AP76+Data!AP77+Data!AP78+Data!AP79+Data!AP80+Data!AP81+Data!AP82+Data!AP83+Data!AP84)</f>
        <v>0.108630016049023</v>
      </c>
      <c r="E84" s="18" t="n">
        <f aca="false">(Data!D73+Data!D74+Data!D75+Data!D76+Data!D77+Data!D78+Data!D79+Data!D80+Data!D81+Data!D82+Data!D83+Data!D84)/(Data!AP73+Data!AP74+Data!AP75+Data!AP76+Data!AP77+Data!AP78+Data!AP79+Data!AP80+Data!AP81+Data!AP82+Data!AP83+Data!AP84)</f>
        <v>0.0313990884845683</v>
      </c>
      <c r="F84" s="18" t="n">
        <f aca="false">(Data!E73+Data!E74+Data!E75+Data!E76+Data!E77+Data!E78+Data!E79+Data!E80+Data!E81+Data!E82+Data!E83+Data!E84)/(Data!AP73+Data!AP74+Data!AP75+Data!AP76+Data!AP77+Data!AP78+Data!AP79+Data!AP80+Data!AP81+Data!AP82+Data!AP83+Data!AP84)</f>
        <v>0.0186376034096075</v>
      </c>
      <c r="G84" s="18" t="n">
        <f aca="false">(Data!K73+Data!K74+Data!K75+Data!K76+Data!K77+Data!K78+Data!K79+Data!K80+Data!K81+Data!K82+Data!K83+Data!K84)/(Data!AP73+Data!AP74+Data!AP75+Data!AP76+Data!AP77+Data!AP78+Data!AP79+Data!AP80+Data!AP81+Data!AP82+Data!AP83+Data!AP84)</f>
        <v>0.0181212835544678</v>
      </c>
      <c r="H84" s="18" t="n">
        <f aca="false">(Data!L73+Data!L74+Data!L75+Data!L76+Data!L77+Data!L78+Data!L79+Data!L80+Data!L81+Data!L82+Data!L83+Data!L84)/(Data!AP73+Data!AP74+Data!AP75+Data!AP76+Data!AP77+Data!AP78+Data!AP79+Data!AP80+Data!AP81+Data!AP82+Data!AP83+Data!AP84)</f>
        <v>0.00642642867930073</v>
      </c>
      <c r="I84" s="18" t="n">
        <f aca="false">(Data!G73+Data!G74+Data!G75+Data!G76+Data!G77+Data!G78+Data!G79+Data!G80+Data!G81+Data!G82+Data!G83+Data!G84)/(Data!AP73+Data!AP74+Data!AP75+Data!AP76+Data!AP77+Data!AP78+Data!AP79+Data!AP80+Data!AP81+Data!AP82+Data!AP83+Data!AP84)</f>
        <v>0.015761270373169</v>
      </c>
      <c r="J84" s="18" t="n">
        <f aca="false">(Data!H73+Data!I73+Data!J73+Data!M73+Data!H74+Data!I74+Data!J74+Data!M74+Data!H75+Data!I75+Data!J75+Data!M75+Data!H76+Data!I76+Data!J76+Data!M76+Data!H77+Data!I77+Data!J77+Data!M77+Data!H78+Data!I78+Data!J78+Data!M78+Data!H79+Data!I79+Data!J79+Data!M79+Data!H80+Data!I80+Data!J80+Data!M80+Data!H81+Data!I81+Data!J81+Data!M81+Data!H82+Data!I82+Data!J82+Data!M82+Data!H83+Data!I83+Data!J83+Data!M83+Data!H84+Data!I84+Data!J84+Data!M84)/(Data!AP73+Data!AP74+Data!AP75+Data!AP76+Data!AP77+Data!AP78+Data!AP79+Data!AP80+Data!AP81+Data!AP82+Data!AP83+Data!AP84)</f>
        <v>0.0182843415479102</v>
      </c>
      <c r="K84" s="18" t="n">
        <f aca="false">(Data!F73+Data!F74+Data!F75+Data!F76+Data!F77+Data!F78+Data!F79+Data!F80+Data!F81+Data!F82+Data!F83+Data!F84)/(Data!AP73+Data!AP74+Data!AP75+Data!AP76+Data!AP77+Data!AP78+Data!AP79+Data!AP80+Data!AP81+Data!AP82+Data!AP83+Data!AP84)</f>
        <v>0.0520011295398803</v>
      </c>
      <c r="L84" s="18" t="n">
        <f aca="false">(Data!N73+Data!O73+Data!P73+Data!Q73+Data!R73+Data!S73+Data!N74+Data!O74+Data!P74+Data!Q74+Data!R74+Data!S74+Data!N75+Data!O75+Data!P75+Data!Q75+Data!R75+Data!S75+Data!N76+Data!O76+Data!P76+Data!Q76+Data!R76+Data!S76+Data!N77+Data!O77+Data!P77+Data!Q77+Data!R77+Data!S77+Data!N78+Data!O78+Data!P78+Data!Q78+Data!R78+Data!S78+Data!N79+Data!O79+Data!P79+Data!Q79+Data!R79+Data!S79+Data!N80+Data!O80+Data!P80+Data!Q80+Data!R80+Data!S80+Data!N81+Data!O81+Data!P81+Data!Q81+Data!R81+Data!S81+Data!N82+Data!O82+Data!P82+Data!Q82+Data!R82+Data!S82+Data!N83+Data!O83+Data!P83+Data!Q83+Data!R83+Data!S83+Data!N84+Data!O84+Data!P84+Data!Q84+Data!R84+Data!S84)/(Data!AP73+Data!AP74+Data!AP75+Data!AP76+Data!AP77+Data!AP78+Data!AP79+Data!AP80+Data!AP81+Data!AP82+Data!AP83+Data!AP84)</f>
        <v>0.0276651684201634</v>
      </c>
      <c r="M84" s="17" t="n">
        <f aca="false">(Data!T73+Data!U73+Data!V73+Data!W73+Data!X73+Data!Y73+Data!Z73+Data!AA73+Data!AB73+Data!AC73+Data!AD73+Data!AE73+Data!AF73+Data!AG73+Data!AH73+Data!AI73+Data!AJ73+Data!AK73+Data!AL73+Data!T74+Data!U74+Data!V74+Data!W74+Data!X74+Data!Y74+Data!Z74+Data!AA74+Data!AB74+Data!AC74+Data!AD74+Data!AE74+Data!AF74+Data!AG74+Data!AH74+Data!AI74+Data!AJ74+Data!AK74+Data!AL74+Data!T75+Data!U75+Data!V75+Data!W75+Data!X75+Data!Y75+Data!Z75+Data!AA75+Data!AB75+Data!AC75+Data!AD75+Data!AE75+Data!AF75+Data!AG75+Data!AH75+Data!AI75+Data!AJ75+Data!AK75+Data!AL75+Data!T76+Data!U76+Data!V76+Data!W76+Data!X76+Data!Y76+Data!Z76+Data!AA76+Data!AB76+Data!AC76+Data!AD76+Data!AE76+Data!AF76+Data!AG76+Data!AH76+Data!AI76+Data!AJ76+Data!AK76+Data!AL76+Data!T77+Data!U77+Data!V77+Data!W77+Data!X77+Data!Y77+Data!Z77+Data!AA77+Data!AB77+Data!AC77+Data!AD77+Data!AE77+Data!AF77+Data!AG77+Data!AH77+Data!AI77+Data!AJ77+Data!AK77+Data!AL77+Data!T78+Data!U78+Data!V78+Data!W78+Data!X78+Data!Y78+Data!Z78+Data!AA78+Data!AB78+Data!AC78+Data!AD78+Data!AE78+Data!AF78+Data!AG78+Data!AH78+Data!AI78+Data!AJ78+Data!AK78+Data!AL78+Data!T79+Data!U79+Data!V79+Data!W79+Data!X79+Data!Y79+Data!Z79+Data!AA79+Data!AB79+Data!AC79+Data!AD79+Data!AE79+Data!AF79+Data!AG79+Data!AH79+Data!AI79+Data!AJ79+Data!AK79+Data!AL79+Data!T80+Data!U80+Data!V80+Data!W80+Data!X80+Data!Y80+Data!Z80+Data!AA80+Data!AB80+Data!AC80+Data!AD80+Data!AE80+Data!AF80+Data!AG80+Data!AH80+Data!AI80+Data!AJ80+Data!AK80+Data!AL80+Data!T81+Data!U81+Data!V81+Data!W81+Data!X81+Data!Y81+Data!Z81+Data!AA81+Data!AB81+Data!AC81+Data!AD81+Data!AE81+Data!AF81+Data!AG81+Data!AH81+Data!AI81+Data!AJ81+Data!AK81+Data!AL81+Data!T82+Data!U82+Data!V82+Data!W82+Data!X82+Data!Y82+Data!Z82+Data!AA82+Data!AB82+Data!AC82+Data!AD82+Data!AE82+Data!AF82+Data!AG82+Data!AH82+Data!AI82+Data!AJ82+Data!AK82+Data!AL82+Data!T83+Data!U83+Data!V83+Data!W83+Data!X83+Data!Y83+Data!Z83+Data!AA83+Data!AB83+Data!AC83+Data!AD83+Data!AE83+Data!AF83+Data!AG83+Data!AH83+Data!AI83+Data!AJ83+Data!AK83+Data!AL83+Data!T84+Data!U84+Data!V84+Data!W84+Data!X84+Data!Y84+Data!Z84+Data!AA84+Data!AB84+Data!AC84+Data!AD84+Data!AE84+Data!AF84+Data!AG84+Data!AH84+Data!AI84+Data!AJ84+Data!AK84+Data!AL84)/(Data!AP73+Data!AP74+Data!AP75+Data!AP76+Data!AP77+Data!AP78+Data!AP79+Data!AP80+Data!AP81+Data!AP82+Data!AP83+Data!AP84)</f>
        <v>0.213683156069507</v>
      </c>
      <c r="N84" s="18" t="n">
        <f aca="false">(Data!T73+Data!U73+Data!V73+Data!W73+Data!T74+Data!U74+Data!V74+Data!W74+Data!T75+Data!U75+Data!V75+Data!W75+Data!T76+Data!U76+Data!V76+Data!W76+Data!T77+Data!U77+Data!V77+Data!W77+Data!T78+Data!U78+Data!V78+Data!W78+Data!T79+Data!U79+Data!V79+Data!W79+Data!T80+Data!U80+Data!V80+Data!W80+Data!T81+Data!U81+Data!V81+Data!W81+Data!T82+Data!U82+Data!V82+Data!W82+Data!T83+Data!U83+Data!V83+Data!W83+Data!T84+Data!U84+Data!V84+Data!W84)/(Data!AP73+Data!AP74+Data!AP75+Data!AP76+Data!AP77+Data!AP78+Data!AP79+Data!AP80+Data!AP81+Data!AP82+Data!AP83+Data!AP84)</f>
        <v>0.0992601040113796</v>
      </c>
      <c r="O84" s="18" t="n">
        <f aca="false">(Data!T73+Data!T74+Data!T75+Data!T76+Data!T77+Data!T78+Data!T79+Data!T80+Data!T81+Data!T82+Data!T83+Data!T84)/(Data!AP73+Data!AP74+Data!AP75+Data!AP76+Data!AP77+Data!AP78+Data!AP79+Data!AP80+Data!AP81+Data!AP82+Data!AP83+Data!AP84)</f>
        <v>0.071797732221471</v>
      </c>
      <c r="P84" s="18" t="n">
        <f aca="false">(Data!U73+Data!U74+Data!U75+Data!U76+Data!U77+Data!U78+Data!U79+Data!U80+Data!U81+Data!U82+Data!U83+Data!U84)/(Data!AP73+Data!AP74+Data!AP75+Data!AP76+Data!AP77+Data!AP78+Data!AP79+Data!AP80+Data!AP81+Data!AP82+Data!AP83+Data!AP84)</f>
        <v>0.0126587826281487</v>
      </c>
      <c r="Q84" s="18" t="n">
        <f aca="false">(Data!V73+Data!V74+Data!V75+Data!V76+Data!V77+Data!V78+Data!V79+Data!V80+Data!V81+Data!V82+Data!V83+Data!V84)/(Data!AP73+Data!AP74+Data!AP75+Data!AP76+Data!AP77+Data!AP78+Data!AP79+Data!AP80+Data!AP81+Data!AP82+Data!AP83+Data!AP84)</f>
        <v>0.00742858327312915</v>
      </c>
      <c r="R84" s="18" t="n">
        <f aca="false">(Data!W73+Data!W74+Data!W75+Data!W76+Data!W77+Data!W78+Data!W79+Data!W80+Data!W81+Data!W82+Data!W83+Data!W84)/(Data!AP73+Data!AP74+Data!AP75+Data!AP76+Data!AP77+Data!AP78+Data!AP79+Data!AP80+Data!AP81+Data!AP82+Data!AP83+Data!AP84)</f>
        <v>0.00737500588863075</v>
      </c>
      <c r="S84" s="18" t="n">
        <f aca="false">(Data!X73+Data!X74+Data!X75+Data!X76+Data!X77+Data!X78+Data!X79+Data!X80+Data!X81+Data!X82+Data!X83+Data!X84)/(Data!AP73+Data!AP74+Data!AP75+Data!AP76+Data!AP77+Data!AP78+Data!AP79+Data!AP80+Data!AP81+Data!AP82+Data!AP83+Data!AP84)</f>
        <v>0.0191619474125651</v>
      </c>
      <c r="T84" s="18" t="n">
        <f aca="false">(Data!Y73+Data!Z73+Data!AA73+Data!Y74+Data!Z74+Data!AA74+Data!Y75+Data!Z75+Data!AA75+Data!Y76+Data!Z76+Data!AA76+Data!Y77+Data!Z77+Data!AA77+Data!Y78+Data!Z78+Data!AA78+Data!Y79+Data!Z79+Data!AA79+Data!Y80+Data!Z80+Data!AA80+Data!Y81+Data!Z81+Data!AA81+Data!Y82+Data!Z82+Data!AA82+Data!Y83+Data!Z83+Data!AA83+Data!Y84+Data!Z84+Data!AA84)/(Data!AP73+Data!AP74+Data!AP75+Data!AP76+Data!AP77+Data!AP78+Data!AP79+Data!AP80+Data!AP81+Data!AP82+Data!AP83+Data!AP84)</f>
        <v>0.0301320207207518</v>
      </c>
      <c r="U84" s="18" t="n">
        <f aca="false">(Data!Y73+Data!Y74+Data!Y75+Data!Y76+Data!Y77+Data!Y78+Data!Y79+Data!Y80+Data!Y81+Data!Y82+Data!Y83+Data!Y84)/(Data!AP73+Data!AP74+Data!AP75+Data!AP76+Data!AP77+Data!AP78+Data!AP79+Data!AP80+Data!AP81+Data!AP82+Data!AP83+Data!AP84)</f>
        <v>0.0234880097143889</v>
      </c>
      <c r="V84" s="18" t="n">
        <f aca="false">(Data!Z73+Data!Z74+Data!Z75+Data!Z76+Data!Z77+Data!Z78+Data!Z79+Data!Z80+Data!Z81+Data!Z82+Data!Z83+Data!Z84)/(Data!AP73+Data!AP74+Data!AP75+Data!AP76+Data!AP77+Data!AP78+Data!AP79+Data!AP80+Data!AP81+Data!AP82+Data!AP83+Data!AP84)</f>
        <v>0.00623750402301678</v>
      </c>
      <c r="W84" s="18" t="n">
        <f aca="false">(Data!AB73+Data!AB74+Data!AB75+Data!AB76+Data!AB77+Data!AB78+Data!AB79+Data!AB80+Data!AB81+Data!AB82+Data!AB83+Data!AB84)/(Data!AP73+Data!AP74+Data!AP75+Data!AP76+Data!AP77+Data!AP78+Data!AP79+Data!AP80+Data!AP81+Data!AP82+Data!AP83+Data!AP84)</f>
        <v>0.0232619048452345</v>
      </c>
      <c r="X84" s="18" t="n">
        <f aca="false">(Data!AC73+Data!AC74+Data!AC75+Data!AC76+Data!AC77+Data!AC78+Data!AC79+Data!AC80+Data!AC81+Data!AC82+Data!AC83+Data!AC84)/(Data!AP73+Data!AP74+Data!AP75+Data!AP76+Data!AP77+Data!AP78+Data!AP79+Data!AP80+Data!AP81+Data!AP82+Data!AP83+Data!AP84)</f>
        <v>0.00913962065658438</v>
      </c>
      <c r="Y84" s="18" t="n">
        <f aca="false">(Data!AD73+Data!AE73+Data!AF73+Data!AG73+Data!AH73+Data!AD74+Data!AE74+Data!AF74+Data!AG74+Data!AH74+Data!AD75+Data!AE75+Data!AF75+Data!AG75+Data!AH75+Data!AD76+Data!AE76+Data!AF76+Data!AG76+Data!AH76+Data!AD77+Data!AE77+Data!AF77+Data!AG77+Data!AH77+Data!AD78+Data!AE78+Data!AF78+Data!AG78+Data!AH78+Data!AD79+Data!AE79+Data!AF79+Data!AG79+Data!AH79+Data!AD80+Data!AE80+Data!AF80+Data!AG80+Data!AH80+Data!AD81+Data!AE81+Data!AF81+Data!AG81+Data!AH81+Data!AD82+Data!AE82+Data!AF82+Data!AG82+Data!AH82+Data!AD83+Data!AE83+Data!AF83+Data!AG83+Data!AH83+Data!AD84+Data!AE84+Data!AF84+Data!AG84+Data!AH84)/(Data!AP73+Data!AP74+Data!AP75+Data!AP76+Data!AP77+Data!AP78+Data!AP79+Data!AP80+Data!AP81+Data!AP82+Data!AP83+Data!AP84)</f>
        <v>0.00776033111531471</v>
      </c>
      <c r="Z84" s="18" t="n">
        <f aca="false">(Data!AI73+Data!AI74+Data!AI75+Data!AI76+Data!AI77+Data!AI78+Data!AI79+Data!AI80+Data!AI81+Data!AI82+Data!AI83+Data!AI84)/(Data!AP73+Data!AP74+Data!AP75+Data!AP76+Data!AP77+Data!AP78+Data!AP79+Data!AP80+Data!AP81+Data!AP82+Data!AP83+Data!AP84)</f>
        <v>0.00605138698781197</v>
      </c>
      <c r="AA84" s="18" t="n">
        <f aca="false">(Data!AJ73+Data!AJ74+Data!AJ75+Data!AJ76+Data!AJ77+Data!AJ78+Data!AJ79+Data!AJ80+Data!AJ81+Data!AJ82+Data!AJ83+Data!AJ84)/(Data!AP73+Data!AP74+Data!AP75+Data!AP76+Data!AP77+Data!AP78+Data!AP79+Data!AP80+Data!AP81+Data!AP82+Data!AP83+Data!AP84)</f>
        <v>0</v>
      </c>
      <c r="AB84" s="18" t="n">
        <f aca="false">(Data!AK73+Data!AK74+Data!AK75+Data!AK76+Data!AK77+Data!AK78+Data!AK79+Data!AK80+Data!AK81+Data!AK82+Data!AK83+Data!AK84)/(Data!AP73+Data!AP74+Data!AP75+Data!AP76+Data!AP77+Data!AP78+Data!AP79+Data!AP80+Data!AP81+Data!AP82+Data!AP83+Data!AP84)</f>
        <v>0.00463534917537627</v>
      </c>
      <c r="AC84" s="18" t="n">
        <f aca="false">(Data!AL73+Data!AL74+Data!AL75+Data!AL76+Data!AL77+Data!AL78+Data!AL79+Data!AL80+Data!AL81+Data!AL82+Data!AL83+Data!AL84)/(Data!AP73+Data!AP74+Data!AP75+Data!AP76+Data!AP77+Data!AP78+Data!AP79+Data!AP80+Data!AP81+Data!AP82+Data!AP83+Data!AP84)</f>
        <v>0.0142804911444883</v>
      </c>
      <c r="AD84" s="17" t="n">
        <f aca="false">(Data!AM73+Data!AM74+Data!AM75+Data!AM76+Data!AM77+Data!AM78+Data!AM79+Data!AM80+Data!AM81+Data!AM82+Data!AM83+Data!AM84)/(Data!AP73+Data!AP74+Data!AP75+Data!AP76+Data!AP77+Data!AP78+Data!AP79+Data!AP80+Data!AP81+Data!AP82+Data!AP83+Data!AP84)</f>
        <v>-0.0253868420604395</v>
      </c>
      <c r="AE84" s="18" t="n">
        <f aca="false">(Data!AN73+Data!AN74+Data!AN75+Data!AN76+Data!AN77+Data!AN78+Data!AN79+Data!AN80+Data!AN81+Data!AN82+Data!AN83+Data!AN84)/(Data!AP73+Data!AP74+Data!AP75+Data!AP76+Data!AP77+Data!AP78+Data!AP79+Data!AP80+Data!AP81+Data!AP82+Data!AP83+Data!AP84)</f>
        <v>0.014408163144448</v>
      </c>
      <c r="AF84" s="17" t="n">
        <f aca="false">(Data!AO73+Data!AO74+Data!AO75+Data!AO76+Data!AO77+Data!AO78+Data!AO79+Data!AO80+Data!AO81+Data!AO82+Data!AO83+Data!AO84)/(Data!AP73+Data!AP74+Data!AP75+Data!AP76+Data!AP77+Data!AP78+Data!AP79+Data!AP80+Data!AP81+Data!AP82+Data!AP83+Data!AP84)</f>
        <v>-0.03979502181803</v>
      </c>
    </row>
    <row r="85" customFormat="false" ht="15" hidden="false" customHeight="false" outlineLevel="0" collapsed="false">
      <c r="B85" s="14" t="str">
        <f aca="false">Data!B85</f>
        <v>2022-07</v>
      </c>
      <c r="C85" s="17" t="n">
        <f aca="false">(Data!D74+Data!E74+Data!F74+Data!G74+Data!H74+Data!I74+Data!J74+Data!K74+Data!L74+Data!M74+Data!N74+Data!O74+Data!P74+Data!Q74+Data!R74+Data!S74+Data!D75+Data!E75+Data!F75+Data!G75+Data!H75+Data!I75+Data!J75+Data!K75+Data!L75+Data!M75+Data!N75+Data!O75+Data!P75+Data!Q75+Data!R75+Data!S75+Data!D76+Data!E76+Data!F76+Data!G76+Data!H76+Data!I76+Data!J76+Data!K76+Data!L76+Data!M76+Data!N76+Data!O76+Data!P76+Data!Q76+Data!R76+Data!S76+Data!D77+Data!E77+Data!F77+Data!G77+Data!H77+Data!I77+Data!J77+Data!K77+Data!L77+Data!M77+Data!N77+Data!O77+Data!P77+Data!Q77+Data!R77+Data!S77+Data!D78+Data!E78+Data!F78+Data!G78+Data!H78+Data!I78+Data!J78+Data!K78+Data!L78+Data!M78+Data!N78+Data!O78+Data!P78+Data!Q78+Data!R78+Data!S78+Data!D79+Data!E79+Data!F79+Data!G79+Data!H79+Data!I79+Data!J79+Data!K79+Data!L79+Data!M79+Data!N79+Data!O79+Data!P79+Data!Q79+Data!R79+Data!S79+Data!D80+Data!E80+Data!F80+Data!G80+Data!H80+Data!I80+Data!J80+Data!K80+Data!L80+Data!M80+Data!N80+Data!O80+Data!P80+Data!Q80+Data!R80+Data!S80+Data!D81+Data!E81+Data!F81+Data!G81+Data!H81+Data!I81+Data!J81+Data!K81+Data!L81+Data!M81+Data!N81+Data!O81+Data!P81+Data!Q81+Data!R81+Data!S81+Data!D82+Data!E82+Data!F82+Data!G82+Data!H82+Data!I82+Data!J82+Data!K82+Data!L82+Data!M82+Data!N82+Data!O82+Data!P82+Data!Q82+Data!R82+Data!S82+Data!D83+Data!E83+Data!F83+Data!G83+Data!H83+Data!I83+Data!J83+Data!K83+Data!L83+Data!M83+Data!N83+Data!O83+Data!P83+Data!Q83+Data!R83+Data!S83+Data!D84+Data!E84+Data!F84+Data!G84+Data!H84+Data!I84+Data!J84+Data!K84+Data!L84+Data!M84+Data!N84+Data!O84+Data!P84+Data!Q84+Data!R84+Data!S84+Data!D85+Data!E85+Data!F85+Data!G85+Data!H85+Data!I85+Data!J85+Data!K85+Data!L85+Data!M85+Data!N85+Data!O85+Data!P85+Data!Q85+Data!R85+Data!S85)/(Data!AP74+Data!AP75+Data!AP76+Data!AP77+Data!AP78+Data!AP79+Data!AP80+Data!AP81+Data!AP82+Data!AP83+Data!AP84+Data!AP85)</f>
        <v>0.188905986579961</v>
      </c>
      <c r="D85" s="18" t="n">
        <f aca="false">(Data!D74+Data!E74+Data!G74+Data!H74+Data!I74+Data!J74+Data!K74+Data!L74+Data!M74+Data!D75+Data!E75+Data!G75+Data!H75+Data!I75+Data!J75+Data!K75+Data!L75+Data!M75+Data!D76+Data!E76+Data!G76+Data!H76+Data!I76+Data!J76+Data!K76+Data!L76+Data!M76+Data!D77+Data!E77+Data!G77+Data!H77+Data!I77+Data!J77+Data!K77+Data!L77+Data!M77+Data!D78+Data!E78+Data!G78+Data!H78+Data!I78+Data!J78+Data!K78+Data!L78+Data!M78+Data!D79+Data!E79+Data!G79+Data!H79+Data!I79+Data!J79+Data!K79+Data!L79+Data!M79+Data!D80+Data!E80+Data!G80+Data!H80+Data!I80+Data!J80+Data!K80+Data!L80+Data!M80+Data!D81+Data!E81+Data!G81+Data!H81+Data!I81+Data!J81+Data!K81+Data!L81+Data!M81+Data!D82+Data!E82+Data!G82+Data!H82+Data!I82+Data!J82+Data!K82+Data!L82+Data!M82+Data!D83+Data!E83+Data!G83+Data!H83+Data!I83+Data!J83+Data!K83+Data!L83+Data!M83+Data!D84+Data!E84+Data!G84+Data!H84+Data!I84+Data!J84+Data!K84+Data!L84+Data!M84+Data!D85+Data!E85+Data!G85+Data!H85+Data!I85+Data!J85+Data!K85+Data!L85+Data!M85)/(Data!AP74+Data!AP75+Data!AP76+Data!AP77+Data!AP78+Data!AP79+Data!AP80+Data!AP81+Data!AP82+Data!AP83+Data!AP84+Data!AP85)</f>
        <v>0.108881208079544</v>
      </c>
      <c r="E85" s="18" t="n">
        <f aca="false">(Data!D74+Data!D75+Data!D76+Data!D77+Data!D78+Data!D79+Data!D80+Data!D81+Data!D82+Data!D83+Data!D84+Data!D85)/(Data!AP74+Data!AP75+Data!AP76+Data!AP77+Data!AP78+Data!AP79+Data!AP80+Data!AP81+Data!AP82+Data!AP83+Data!AP84+Data!AP85)</f>
        <v>0.0314911509763182</v>
      </c>
      <c r="F85" s="18" t="n">
        <f aca="false">(Data!E74+Data!E75+Data!E76+Data!E77+Data!E78+Data!E79+Data!E80+Data!E81+Data!E82+Data!E83+Data!E84+Data!E85)/(Data!AP74+Data!AP75+Data!AP76+Data!AP77+Data!AP78+Data!AP79+Data!AP80+Data!AP81+Data!AP82+Data!AP83+Data!AP84+Data!AP85)</f>
        <v>0.019007202017655</v>
      </c>
      <c r="G85" s="18" t="n">
        <f aca="false">(Data!K74+Data!K75+Data!K76+Data!K77+Data!K78+Data!K79+Data!K80+Data!K81+Data!K82+Data!K83+Data!K84+Data!K85)/(Data!AP74+Data!AP75+Data!AP76+Data!AP77+Data!AP78+Data!AP79+Data!AP80+Data!AP81+Data!AP82+Data!AP83+Data!AP84+Data!AP85)</f>
        <v>0.0177110984970282</v>
      </c>
      <c r="H85" s="18" t="n">
        <f aca="false">(Data!L74+Data!L75+Data!L76+Data!L77+Data!L78+Data!L79+Data!L80+Data!L81+Data!L82+Data!L83+Data!L84+Data!L85)/(Data!AP74+Data!AP75+Data!AP76+Data!AP77+Data!AP78+Data!AP79+Data!AP80+Data!AP81+Data!AP82+Data!AP83+Data!AP84+Data!AP85)</f>
        <v>0.00642399498801315</v>
      </c>
      <c r="I85" s="18" t="n">
        <f aca="false">(Data!G74+Data!G75+Data!G76+Data!G77+Data!G78+Data!G79+Data!G80+Data!G81+Data!G82+Data!G83+Data!G84+Data!G85)/(Data!AP74+Data!AP75+Data!AP76+Data!AP77+Data!AP78+Data!AP79+Data!AP80+Data!AP81+Data!AP82+Data!AP83+Data!AP84+Data!AP85)</f>
        <v>0.0158700942249341</v>
      </c>
      <c r="J85" s="18" t="n">
        <f aca="false">(Data!H74+Data!I74+Data!J74+Data!M74+Data!H75+Data!I75+Data!J75+Data!M75+Data!H76+Data!I76+Data!J76+Data!M76+Data!H77+Data!I77+Data!J77+Data!M77+Data!H78+Data!I78+Data!J78+Data!M78+Data!H79+Data!I79+Data!J79+Data!M79+Data!H80+Data!I80+Data!J80+Data!M80+Data!H81+Data!I81+Data!J81+Data!M81+Data!H82+Data!I82+Data!J82+Data!M82+Data!H83+Data!I83+Data!J83+Data!M83+Data!H84+Data!I84+Data!J84+Data!M84+Data!H85+Data!I85+Data!J85+Data!M85)/(Data!AP74+Data!AP75+Data!AP76+Data!AP77+Data!AP78+Data!AP79+Data!AP80+Data!AP81+Data!AP82+Data!AP83+Data!AP84+Data!AP85)</f>
        <v>0.018377667375595</v>
      </c>
      <c r="K85" s="18" t="n">
        <f aca="false">(Data!F74+Data!F75+Data!F76+Data!F77+Data!F78+Data!F79+Data!F80+Data!F81+Data!F82+Data!F83+Data!F84+Data!F85)/(Data!AP74+Data!AP75+Data!AP76+Data!AP77+Data!AP78+Data!AP79+Data!AP80+Data!AP81+Data!AP82+Data!AP83+Data!AP84+Data!AP85)</f>
        <v>0.0524239437781058</v>
      </c>
      <c r="L85" s="18" t="n">
        <f aca="false">(Data!N74+Data!O74+Data!P74+Data!Q74+Data!R74+Data!S74+Data!N75+Data!O75+Data!P75+Data!Q75+Data!R75+Data!S75+Data!N76+Data!O76+Data!P76+Data!Q76+Data!R76+Data!S76+Data!N77+Data!O77+Data!P77+Data!Q77+Data!R77+Data!S77+Data!N78+Data!O78+Data!P78+Data!Q78+Data!R78+Data!S78+Data!N79+Data!O79+Data!P79+Data!Q79+Data!R79+Data!S79+Data!N80+Data!O80+Data!P80+Data!Q80+Data!R80+Data!S80+Data!N81+Data!O81+Data!P81+Data!Q81+Data!R81+Data!S81+Data!N82+Data!O82+Data!P82+Data!Q82+Data!R82+Data!S82+Data!N83+Data!O83+Data!P83+Data!Q83+Data!R83+Data!S83+Data!N84+Data!O84+Data!P84+Data!Q84+Data!R84+Data!S84+Data!N85+Data!O85+Data!P85+Data!Q85+Data!R85+Data!S85)/(Data!AP74+Data!AP75+Data!AP76+Data!AP77+Data!AP78+Data!AP79+Data!AP80+Data!AP81+Data!AP82+Data!AP83+Data!AP84+Data!AP85)</f>
        <v>0.0276008347223117</v>
      </c>
      <c r="M85" s="17" t="n">
        <f aca="false">(Data!T74+Data!U74+Data!V74+Data!W74+Data!X74+Data!Y74+Data!Z74+Data!AA74+Data!AB74+Data!AC74+Data!AD74+Data!AE74+Data!AF74+Data!AG74+Data!AH74+Data!AI74+Data!AJ74+Data!AK74+Data!AL74+Data!T75+Data!U75+Data!V75+Data!W75+Data!X75+Data!Y75+Data!Z75+Data!AA75+Data!AB75+Data!AC75+Data!AD75+Data!AE75+Data!AF75+Data!AG75+Data!AH75+Data!AI75+Data!AJ75+Data!AK75+Data!AL75+Data!T76+Data!U76+Data!V76+Data!W76+Data!X76+Data!Y76+Data!Z76+Data!AA76+Data!AB76+Data!AC76+Data!AD76+Data!AE76+Data!AF76+Data!AG76+Data!AH76+Data!AI76+Data!AJ76+Data!AK76+Data!AL76+Data!T77+Data!U77+Data!V77+Data!W77+Data!X77+Data!Y77+Data!Z77+Data!AA77+Data!AB77+Data!AC77+Data!AD77+Data!AE77+Data!AF77+Data!AG77+Data!AH77+Data!AI77+Data!AJ77+Data!AK77+Data!AL77+Data!T78+Data!U78+Data!V78+Data!W78+Data!X78+Data!Y78+Data!Z78+Data!AA78+Data!AB78+Data!AC78+Data!AD78+Data!AE78+Data!AF78+Data!AG78+Data!AH78+Data!AI78+Data!AJ78+Data!AK78+Data!AL78+Data!T79+Data!U79+Data!V79+Data!W79+Data!X79+Data!Y79+Data!Z79+Data!AA79+Data!AB79+Data!AC79+Data!AD79+Data!AE79+Data!AF79+Data!AG79+Data!AH79+Data!AI79+Data!AJ79+Data!AK79+Data!AL79+Data!T80+Data!U80+Data!V80+Data!W80+Data!X80+Data!Y80+Data!Z80+Data!AA80+Data!AB80+Data!AC80+Data!AD80+Data!AE80+Data!AF80+Data!AG80+Data!AH80+Data!AI80+Data!AJ80+Data!AK80+Data!AL80+Data!T81+Data!U81+Data!V81+Data!W81+Data!X81+Data!Y81+Data!Z81+Data!AA81+Data!AB81+Data!AC81+Data!AD81+Data!AE81+Data!AF81+Data!AG81+Data!AH81+Data!AI81+Data!AJ81+Data!AK81+Data!AL81+Data!T82+Data!U82+Data!V82+Data!W82+Data!X82+Data!Y82+Data!Z82+Data!AA82+Data!AB82+Data!AC82+Data!AD82+Data!AE82+Data!AF82+Data!AG82+Data!AH82+Data!AI82+Data!AJ82+Data!AK82+Data!AL82+Data!T83+Data!U83+Data!V83+Data!W83+Data!X83+Data!Y83+Data!Z83+Data!AA83+Data!AB83+Data!AC83+Data!AD83+Data!AE83+Data!AF83+Data!AG83+Data!AH83+Data!AI83+Data!AJ83+Data!AK83+Data!AL83+Data!T84+Data!U84+Data!V84+Data!W84+Data!X84+Data!Y84+Data!Z84+Data!AA84+Data!AB84+Data!AC84+Data!AD84+Data!AE84+Data!AF84+Data!AG84+Data!AH84+Data!AI84+Data!AJ84+Data!AK84+Data!AL84+Data!T85+Data!U85+Data!V85+Data!W85+Data!X85+Data!Y85+Data!Z85+Data!AA85+Data!AB85+Data!AC85+Data!AD85+Data!AE85+Data!AF85+Data!AG85+Data!AH85+Data!AI85+Data!AJ85+Data!AK85+Data!AL85)/(Data!AP74+Data!AP75+Data!AP76+Data!AP77+Data!AP78+Data!AP79+Data!AP80+Data!AP81+Data!AP82+Data!AP83+Data!AP84+Data!AP85)</f>
        <v>0.211513342793056</v>
      </c>
      <c r="N85" s="18" t="n">
        <f aca="false">(Data!T74+Data!U74+Data!V74+Data!W74+Data!T75+Data!U75+Data!V75+Data!W75+Data!T76+Data!U76+Data!V76+Data!W76+Data!T77+Data!U77+Data!V77+Data!W77+Data!T78+Data!U78+Data!V78+Data!W78+Data!T79+Data!U79+Data!V79+Data!W79+Data!T80+Data!U80+Data!V80+Data!W80+Data!T81+Data!U81+Data!V81+Data!W81+Data!T82+Data!U82+Data!V82+Data!W82+Data!T83+Data!U83+Data!V83+Data!W83+Data!T84+Data!U84+Data!V84+Data!W84+Data!T85+Data!U85+Data!V85+Data!W85)/(Data!AP74+Data!AP75+Data!AP76+Data!AP77+Data!AP78+Data!AP79+Data!AP80+Data!AP81+Data!AP82+Data!AP83+Data!AP84+Data!AP85)</f>
        <v>0.0981964281296457</v>
      </c>
      <c r="O85" s="18" t="n">
        <f aca="false">(Data!T74+Data!T75+Data!T76+Data!T77+Data!T78+Data!T79+Data!T80+Data!T81+Data!T82+Data!T83+Data!T84+Data!T85)/(Data!AP74+Data!AP75+Data!AP76+Data!AP77+Data!AP78+Data!AP79+Data!AP80+Data!AP81+Data!AP82+Data!AP83+Data!AP84+Data!AP85)</f>
        <v>0.071183166443254</v>
      </c>
      <c r="P85" s="18" t="n">
        <f aca="false">(Data!U74+Data!U75+Data!U76+Data!U77+Data!U78+Data!U79+Data!U80+Data!U81+Data!U82+Data!U83+Data!U84+Data!U85)/(Data!AP74+Data!AP75+Data!AP76+Data!AP77+Data!AP78+Data!AP79+Data!AP80+Data!AP81+Data!AP82+Data!AP83+Data!AP84+Data!AP85)</f>
        <v>0.0124331433557455</v>
      </c>
      <c r="Q85" s="18" t="n">
        <f aca="false">(Data!V74+Data!V75+Data!V76+Data!V77+Data!V78+Data!V79+Data!V80+Data!V81+Data!V82+Data!V83+Data!V84+Data!V85)/(Data!AP74+Data!AP75+Data!AP76+Data!AP77+Data!AP78+Data!AP79+Data!AP80+Data!AP81+Data!AP82+Data!AP83+Data!AP84+Data!AP85)</f>
        <v>0.00734234929627137</v>
      </c>
      <c r="R85" s="18" t="n">
        <f aca="false">(Data!W74+Data!W75+Data!W76+Data!W77+Data!W78+Data!W79+Data!W80+Data!W81+Data!W82+Data!W83+Data!W84+Data!W85)/(Data!AP74+Data!AP75+Data!AP76+Data!AP77+Data!AP78+Data!AP79+Data!AP80+Data!AP81+Data!AP82+Data!AP83+Data!AP84+Data!AP85)</f>
        <v>0.0072377690343748</v>
      </c>
      <c r="S85" s="18" t="n">
        <f aca="false">(Data!X74+Data!X75+Data!X76+Data!X77+Data!X78+Data!X79+Data!X80+Data!X81+Data!X82+Data!X83+Data!X84+Data!X85)/(Data!AP74+Data!AP75+Data!AP76+Data!AP77+Data!AP78+Data!AP79+Data!AP80+Data!AP81+Data!AP82+Data!AP83+Data!AP84+Data!AP85)</f>
        <v>0.0186006150586505</v>
      </c>
      <c r="T85" s="18" t="n">
        <f aca="false">(Data!Y74+Data!Z74+Data!AA74+Data!Y75+Data!Z75+Data!AA75+Data!Y76+Data!Z76+Data!AA76+Data!Y77+Data!Z77+Data!AA77+Data!Y78+Data!Z78+Data!AA78+Data!Y79+Data!Z79+Data!AA79+Data!Y80+Data!Z80+Data!AA80+Data!Y81+Data!Z81+Data!AA81+Data!Y82+Data!Z82+Data!AA82+Data!Y83+Data!Z83+Data!AA83+Data!Y84+Data!Z84+Data!AA84+Data!Y85+Data!Z85+Data!AA85)/(Data!AP74+Data!AP75+Data!AP76+Data!AP77+Data!AP78+Data!AP79+Data!AP80+Data!AP81+Data!AP82+Data!AP83+Data!AP84+Data!AP85)</f>
        <v>0.0301586923117945</v>
      </c>
      <c r="U85" s="18" t="n">
        <f aca="false">(Data!Y74+Data!Y75+Data!Y76+Data!Y77+Data!Y78+Data!Y79+Data!Y80+Data!Y81+Data!Y82+Data!Y83+Data!Y84+Data!Y85)/(Data!AP74+Data!AP75+Data!AP76+Data!AP77+Data!AP78+Data!AP79+Data!AP80+Data!AP81+Data!AP82+Data!AP83+Data!AP84+Data!AP85)</f>
        <v>0.0237920253743227</v>
      </c>
      <c r="V85" s="18" t="n">
        <f aca="false">(Data!Z74+Data!Z75+Data!Z76+Data!Z77+Data!Z78+Data!Z79+Data!Z80+Data!Z81+Data!Z82+Data!Z83+Data!Z84+Data!Z85)/(Data!AP74+Data!AP75+Data!AP76+Data!AP77+Data!AP78+Data!AP79+Data!AP80+Data!AP81+Data!AP82+Data!AP83+Data!AP84+Data!AP85)</f>
        <v>0.00597532008005759</v>
      </c>
      <c r="W85" s="18" t="n">
        <f aca="false">(Data!AB74+Data!AB75+Data!AB76+Data!AB77+Data!AB78+Data!AB79+Data!AB80+Data!AB81+Data!AB82+Data!AB83+Data!AB84+Data!AB85)/(Data!AP74+Data!AP75+Data!AP76+Data!AP77+Data!AP78+Data!AP79+Data!AP80+Data!AP81+Data!AP82+Data!AP83+Data!AP84+Data!AP85)</f>
        <v>0.023665951041686</v>
      </c>
      <c r="X85" s="18" t="n">
        <f aca="false">(Data!AC74+Data!AC75+Data!AC76+Data!AC77+Data!AC78+Data!AC79+Data!AC80+Data!AC81+Data!AC82+Data!AC83+Data!AC84+Data!AC85)/(Data!AP74+Data!AP75+Data!AP76+Data!AP77+Data!AP78+Data!AP79+Data!AP80+Data!AP81+Data!AP82+Data!AP83+Data!AP84+Data!AP85)</f>
        <v>0.00875238244681684</v>
      </c>
      <c r="Y85" s="18" t="n">
        <f aca="false">(Data!AD74+Data!AE74+Data!AF74+Data!AG74+Data!AH74+Data!AD75+Data!AE75+Data!AF75+Data!AG75+Data!AH75+Data!AD76+Data!AE76+Data!AF76+Data!AG76+Data!AH76+Data!AD77+Data!AE77+Data!AF77+Data!AG77+Data!AH77+Data!AD78+Data!AE78+Data!AF78+Data!AG78+Data!AH78+Data!AD79+Data!AE79+Data!AF79+Data!AG79+Data!AH79+Data!AD80+Data!AE80+Data!AF80+Data!AG80+Data!AH80+Data!AD81+Data!AE81+Data!AF81+Data!AG81+Data!AH81+Data!AD82+Data!AE82+Data!AF82+Data!AG82+Data!AH82+Data!AD83+Data!AE83+Data!AF83+Data!AG83+Data!AH83+Data!AD84+Data!AE84+Data!AF84+Data!AG84+Data!AH84+Data!AD85+Data!AE85+Data!AF85+Data!AG85+Data!AH85)/(Data!AP74+Data!AP75+Data!AP76+Data!AP77+Data!AP78+Data!AP79+Data!AP80+Data!AP81+Data!AP82+Data!AP83+Data!AP84+Data!AP85)</f>
        <v>0.00746185380273036</v>
      </c>
      <c r="Z85" s="18" t="n">
        <f aca="false">(Data!AI74+Data!AI75+Data!AI76+Data!AI77+Data!AI78+Data!AI79+Data!AI80+Data!AI81+Data!AI82+Data!AI83+Data!AI84+Data!AI85)/(Data!AP74+Data!AP75+Data!AP76+Data!AP77+Data!AP78+Data!AP79+Data!AP80+Data!AP81+Data!AP82+Data!AP83+Data!AP84+Data!AP85)</f>
        <v>0.00606254399827788</v>
      </c>
      <c r="AA85" s="18" t="n">
        <f aca="false">(Data!AJ74+Data!AJ75+Data!AJ76+Data!AJ77+Data!AJ78+Data!AJ79+Data!AJ80+Data!AJ81+Data!AJ82+Data!AJ83+Data!AJ84+Data!AJ85)/(Data!AP74+Data!AP75+Data!AP76+Data!AP77+Data!AP78+Data!AP79+Data!AP80+Data!AP81+Data!AP82+Data!AP83+Data!AP84+Data!AP85)</f>
        <v>0</v>
      </c>
      <c r="AB85" s="18" t="n">
        <f aca="false">(Data!AK74+Data!AK75+Data!AK76+Data!AK77+Data!AK78+Data!AK79+Data!AK80+Data!AK81+Data!AK82+Data!AK83+Data!AK84+Data!AK85)/(Data!AP74+Data!AP75+Data!AP76+Data!AP77+Data!AP78+Data!AP79+Data!AP80+Data!AP81+Data!AP82+Data!AP83+Data!AP84+Data!AP85)</f>
        <v>0.00448101627450153</v>
      </c>
      <c r="AC85" s="18" t="n">
        <f aca="false">(Data!AL74+Data!AL75+Data!AL76+Data!AL77+Data!AL78+Data!AL79+Data!AL80+Data!AL81+Data!AL82+Data!AL83+Data!AL84+Data!AL85)/(Data!AP74+Data!AP75+Data!AP76+Data!AP77+Data!AP78+Data!AP79+Data!AP80+Data!AP81+Data!AP82+Data!AP83+Data!AP84+Data!AP85)</f>
        <v>0.0141338597289531</v>
      </c>
      <c r="AD85" s="17" t="n">
        <f aca="false">(Data!AM74+Data!AM75+Data!AM76+Data!AM77+Data!AM78+Data!AM79+Data!AM80+Data!AM81+Data!AM82+Data!AM83+Data!AM84+Data!AM85)/(Data!AP74+Data!AP75+Data!AP76+Data!AP77+Data!AP78+Data!AP79+Data!AP80+Data!AP81+Data!AP82+Data!AP83+Data!AP84+Data!AP85)</f>
        <v>-0.0226073562130953</v>
      </c>
      <c r="AE85" s="18" t="n">
        <f aca="false">(Data!AN74+Data!AN75+Data!AN76+Data!AN77+Data!AN78+Data!AN79+Data!AN80+Data!AN81+Data!AN82+Data!AN83+Data!AN84+Data!AN85)/(Data!AP74+Data!AP75+Data!AP76+Data!AP77+Data!AP78+Data!AP79+Data!AP80+Data!AP81+Data!AP82+Data!AP83+Data!AP84+Data!AP85)</f>
        <v>0.0147253809777203</v>
      </c>
      <c r="AF85" s="17" t="n">
        <f aca="false">(Data!AO74+Data!AO75+Data!AO76+Data!AO77+Data!AO78+Data!AO79+Data!AO80+Data!AO81+Data!AO82+Data!AO83+Data!AO84+Data!AO85)/(Data!AP74+Data!AP75+Data!AP76+Data!AP77+Data!AP78+Data!AP79+Data!AP80+Data!AP81+Data!AP82+Data!AP83+Data!AP84+Data!AP85)</f>
        <v>-0.0373327371908155</v>
      </c>
    </row>
    <row r="86" customFormat="false" ht="15" hidden="false" customHeight="false" outlineLevel="0" collapsed="false">
      <c r="B86" s="14" t="str">
        <f aca="false">Data!B86</f>
        <v>2022-08</v>
      </c>
      <c r="C86" s="17" t="n">
        <f aca="false">(Data!D75+Data!E75+Data!F75+Data!G75+Data!H75+Data!I75+Data!J75+Data!K75+Data!L75+Data!M75+Data!N75+Data!O75+Data!P75+Data!Q75+Data!R75+Data!S75+Data!D76+Data!E76+Data!F76+Data!G76+Data!H76+Data!I76+Data!J76+Data!K76+Data!L76+Data!M76+Data!N76+Data!O76+Data!P76+Data!Q76+Data!R76+Data!S76+Data!D77+Data!E77+Data!F77+Data!G77+Data!H77+Data!I77+Data!J77+Data!K77+Data!L77+Data!M77+Data!N77+Data!O77+Data!P77+Data!Q77+Data!R77+Data!S77+Data!D78+Data!E78+Data!F78+Data!G78+Data!H78+Data!I78+Data!J78+Data!K78+Data!L78+Data!M78+Data!N78+Data!O78+Data!P78+Data!Q78+Data!R78+Data!S78+Data!D79+Data!E79+Data!F79+Data!G79+Data!H79+Data!I79+Data!J79+Data!K79+Data!L79+Data!M79+Data!N79+Data!O79+Data!P79+Data!Q79+Data!R79+Data!S79+Data!D80+Data!E80+Data!F80+Data!G80+Data!H80+Data!I80+Data!J80+Data!K80+Data!L80+Data!M80+Data!N80+Data!O80+Data!P80+Data!Q80+Data!R80+Data!S80+Data!D81+Data!E81+Data!F81+Data!G81+Data!H81+Data!I81+Data!J81+Data!K81+Data!L81+Data!M81+Data!N81+Data!O81+Data!P81+Data!Q81+Data!R81+Data!S81+Data!D82+Data!E82+Data!F82+Data!G82+Data!H82+Data!I82+Data!J82+Data!K82+Data!L82+Data!M82+Data!N82+Data!O82+Data!P82+Data!Q82+Data!R82+Data!S82+Data!D83+Data!E83+Data!F83+Data!G83+Data!H83+Data!I83+Data!J83+Data!K83+Data!L83+Data!M83+Data!N83+Data!O83+Data!P83+Data!Q83+Data!R83+Data!S83+Data!D84+Data!E84+Data!F84+Data!G84+Data!H84+Data!I84+Data!J84+Data!K84+Data!L84+Data!M84+Data!N84+Data!O84+Data!P84+Data!Q84+Data!R84+Data!S84+Data!D85+Data!E85+Data!F85+Data!G85+Data!H85+Data!I85+Data!J85+Data!K85+Data!L85+Data!M85+Data!N85+Data!O85+Data!P85+Data!Q85+Data!R85+Data!S85+Data!D86+Data!E86+Data!F86+Data!G86+Data!H86+Data!I86+Data!J86+Data!K86+Data!L86+Data!M86+Data!N86+Data!O86+Data!P86+Data!Q86+Data!R86+Data!S86)/(Data!AP75+Data!AP76+Data!AP77+Data!AP78+Data!AP79+Data!AP80+Data!AP81+Data!AP82+Data!AP83+Data!AP84+Data!AP85+Data!AP86)</f>
        <v>0.187520955573492</v>
      </c>
      <c r="D86" s="18" t="n">
        <f aca="false">(Data!D75+Data!E75+Data!G75+Data!H75+Data!I75+Data!J75+Data!K75+Data!L75+Data!M75+Data!D76+Data!E76+Data!G76+Data!H76+Data!I76+Data!J76+Data!K76+Data!L76+Data!M76+Data!D77+Data!E77+Data!G77+Data!H77+Data!I77+Data!J77+Data!K77+Data!L77+Data!M77+Data!D78+Data!E78+Data!G78+Data!H78+Data!I78+Data!J78+Data!K78+Data!L78+Data!M78+Data!D79+Data!E79+Data!G79+Data!H79+Data!I79+Data!J79+Data!K79+Data!L79+Data!M79+Data!D80+Data!E80+Data!G80+Data!H80+Data!I80+Data!J80+Data!K80+Data!L80+Data!M80+Data!D81+Data!E81+Data!G81+Data!H81+Data!I81+Data!J81+Data!K81+Data!L81+Data!M81+Data!D82+Data!E82+Data!G82+Data!H82+Data!I82+Data!J82+Data!K82+Data!L82+Data!M82+Data!D83+Data!E83+Data!G83+Data!H83+Data!I83+Data!J83+Data!K83+Data!L83+Data!M83+Data!D84+Data!E84+Data!G84+Data!H84+Data!I84+Data!J84+Data!K84+Data!L84+Data!M84+Data!D85+Data!E85+Data!G85+Data!H85+Data!I85+Data!J85+Data!K85+Data!L85+Data!M85+Data!D86+Data!E86+Data!G86+Data!H86+Data!I86+Data!J86+Data!K86+Data!L86+Data!M86)/(Data!AP75+Data!AP76+Data!AP77+Data!AP78+Data!AP79+Data!AP80+Data!AP81+Data!AP82+Data!AP83+Data!AP84+Data!AP85+Data!AP86)</f>
        <v>0.108038358831351</v>
      </c>
      <c r="E86" s="18" t="n">
        <f aca="false">(Data!D75+Data!D76+Data!D77+Data!D78+Data!D79+Data!D80+Data!D81+Data!D82+Data!D83+Data!D84+Data!D85+Data!D86)/(Data!AP75+Data!AP76+Data!AP77+Data!AP78+Data!AP79+Data!AP80+Data!AP81+Data!AP82+Data!AP83+Data!AP84+Data!AP85+Data!AP86)</f>
        <v>0.0315201155407752</v>
      </c>
      <c r="F86" s="18" t="n">
        <f aca="false">(Data!E75+Data!E76+Data!E77+Data!E78+Data!E79+Data!E80+Data!E81+Data!E82+Data!E83+Data!E84+Data!E85+Data!E86)/(Data!AP75+Data!AP76+Data!AP77+Data!AP78+Data!AP79+Data!AP80+Data!AP81+Data!AP82+Data!AP83+Data!AP84+Data!AP85+Data!AP86)</f>
        <v>0.0191380340888943</v>
      </c>
      <c r="G86" s="18" t="n">
        <f aca="false">(Data!K75+Data!K76+Data!K77+Data!K78+Data!K79+Data!K80+Data!K81+Data!K82+Data!K83+Data!K84+Data!K85+Data!K86)/(Data!AP75+Data!AP76+Data!AP77+Data!AP78+Data!AP79+Data!AP80+Data!AP81+Data!AP82+Data!AP83+Data!AP84+Data!AP85+Data!AP86)</f>
        <v>0.016818203758827</v>
      </c>
      <c r="H86" s="18" t="n">
        <f aca="false">(Data!L75+Data!L76+Data!L77+Data!L78+Data!L79+Data!L80+Data!L81+Data!L82+Data!L83+Data!L84+Data!L85+Data!L86)/(Data!AP75+Data!AP76+Data!AP77+Data!AP78+Data!AP79+Data!AP80+Data!AP81+Data!AP82+Data!AP83+Data!AP84+Data!AP85+Data!AP86)</f>
        <v>0.00647347043684695</v>
      </c>
      <c r="I86" s="18" t="n">
        <f aca="false">(Data!G75+Data!G76+Data!G77+Data!G78+Data!G79+Data!G80+Data!G81+Data!G82+Data!G83+Data!G84+Data!G85+Data!G86)/(Data!AP75+Data!AP76+Data!AP77+Data!AP78+Data!AP79+Data!AP80+Data!AP81+Data!AP82+Data!AP83+Data!AP84+Data!AP85+Data!AP86)</f>
        <v>0.0158452928300949</v>
      </c>
      <c r="J86" s="18" t="n">
        <f aca="false">(Data!H75+Data!I75+Data!J75+Data!M75+Data!H76+Data!I76+Data!J76+Data!M76+Data!H77+Data!I77+Data!J77+Data!M77+Data!H78+Data!I78+Data!J78+Data!M78+Data!H79+Data!I79+Data!J79+Data!M79+Data!H80+Data!I80+Data!J80+Data!M80+Data!H81+Data!I81+Data!J81+Data!M81+Data!H82+Data!I82+Data!J82+Data!M82+Data!H83+Data!I83+Data!J83+Data!M83+Data!H84+Data!I84+Data!J84+Data!M84+Data!H85+Data!I85+Data!J85+Data!M85+Data!H86+Data!I86+Data!J86+Data!M86)/(Data!AP75+Data!AP76+Data!AP77+Data!AP78+Data!AP79+Data!AP80+Data!AP81+Data!AP82+Data!AP83+Data!AP84+Data!AP85+Data!AP86)</f>
        <v>0.0182432421759122</v>
      </c>
      <c r="K86" s="18" t="n">
        <f aca="false">(Data!F75+Data!F76+Data!F77+Data!F78+Data!F79+Data!F80+Data!F81+Data!F82+Data!F83+Data!F84+Data!F85+Data!F86)/(Data!AP75+Data!AP76+Data!AP77+Data!AP78+Data!AP79+Data!AP80+Data!AP81+Data!AP82+Data!AP83+Data!AP84+Data!AP85+Data!AP86)</f>
        <v>0.0522112768379854</v>
      </c>
      <c r="L86" s="18" t="n">
        <f aca="false">(Data!N75+Data!O75+Data!P75+Data!Q75+Data!R75+Data!S75+Data!N76+Data!O76+Data!P76+Data!Q76+Data!R76+Data!S76+Data!N77+Data!O77+Data!P77+Data!Q77+Data!R77+Data!S77+Data!N78+Data!O78+Data!P78+Data!Q78+Data!R78+Data!S78+Data!N79+Data!O79+Data!P79+Data!Q79+Data!R79+Data!S79+Data!N80+Data!O80+Data!P80+Data!Q80+Data!R80+Data!S80+Data!N81+Data!O81+Data!P81+Data!Q81+Data!R81+Data!S81+Data!N82+Data!O82+Data!P82+Data!Q82+Data!R82+Data!S82+Data!N83+Data!O83+Data!P83+Data!Q83+Data!R83+Data!S83+Data!N84+Data!O84+Data!P84+Data!Q84+Data!R84+Data!S84+Data!N85+Data!O85+Data!P85+Data!Q85+Data!R85+Data!S85+Data!N86+Data!O86+Data!P86+Data!Q86+Data!R86+Data!S86)/(Data!AP75+Data!AP76+Data!AP77+Data!AP78+Data!AP79+Data!AP80+Data!AP81+Data!AP82+Data!AP83+Data!AP84+Data!AP85+Data!AP86)</f>
        <v>0.0272713199041561</v>
      </c>
      <c r="M86" s="17" t="n">
        <f aca="false">(Data!T75+Data!U75+Data!V75+Data!W75+Data!X75+Data!Y75+Data!Z75+Data!AA75+Data!AB75+Data!AC75+Data!AD75+Data!AE75+Data!AF75+Data!AG75+Data!AH75+Data!AI75+Data!AJ75+Data!AK75+Data!AL75+Data!T76+Data!U76+Data!V76+Data!W76+Data!X76+Data!Y76+Data!Z76+Data!AA76+Data!AB76+Data!AC76+Data!AD76+Data!AE76+Data!AF76+Data!AG76+Data!AH76+Data!AI76+Data!AJ76+Data!AK76+Data!AL76+Data!T77+Data!U77+Data!V77+Data!W77+Data!X77+Data!Y77+Data!Z77+Data!AA77+Data!AB77+Data!AC77+Data!AD77+Data!AE77+Data!AF77+Data!AG77+Data!AH77+Data!AI77+Data!AJ77+Data!AK77+Data!AL77+Data!T78+Data!U78+Data!V78+Data!W78+Data!X78+Data!Y78+Data!Z78+Data!AA78+Data!AB78+Data!AC78+Data!AD78+Data!AE78+Data!AF78+Data!AG78+Data!AH78+Data!AI78+Data!AJ78+Data!AK78+Data!AL78+Data!T79+Data!U79+Data!V79+Data!W79+Data!X79+Data!Y79+Data!Z79+Data!AA79+Data!AB79+Data!AC79+Data!AD79+Data!AE79+Data!AF79+Data!AG79+Data!AH79+Data!AI79+Data!AJ79+Data!AK79+Data!AL79+Data!T80+Data!U80+Data!V80+Data!W80+Data!X80+Data!Y80+Data!Z80+Data!AA80+Data!AB80+Data!AC80+Data!AD80+Data!AE80+Data!AF80+Data!AG80+Data!AH80+Data!AI80+Data!AJ80+Data!AK80+Data!AL80+Data!T81+Data!U81+Data!V81+Data!W81+Data!X81+Data!Y81+Data!Z81+Data!AA81+Data!AB81+Data!AC81+Data!AD81+Data!AE81+Data!AF81+Data!AG81+Data!AH81+Data!AI81+Data!AJ81+Data!AK81+Data!AL81+Data!T82+Data!U82+Data!V82+Data!W82+Data!X82+Data!Y82+Data!Z82+Data!AA82+Data!AB82+Data!AC82+Data!AD82+Data!AE82+Data!AF82+Data!AG82+Data!AH82+Data!AI82+Data!AJ82+Data!AK82+Data!AL82+Data!T83+Data!U83+Data!V83+Data!W83+Data!X83+Data!Y83+Data!Z83+Data!AA83+Data!AB83+Data!AC83+Data!AD83+Data!AE83+Data!AF83+Data!AG83+Data!AH83+Data!AI83+Data!AJ83+Data!AK83+Data!AL83+Data!T84+Data!U84+Data!V84+Data!W84+Data!X84+Data!Y84+Data!Z84+Data!AA84+Data!AB84+Data!AC84+Data!AD84+Data!AE84+Data!AF84+Data!AG84+Data!AH84+Data!AI84+Data!AJ84+Data!AK84+Data!AL84+Data!T85+Data!U85+Data!V85+Data!W85+Data!X85+Data!Y85+Data!Z85+Data!AA85+Data!AB85+Data!AC85+Data!AD85+Data!AE85+Data!AF85+Data!AG85+Data!AH85+Data!AI85+Data!AJ85+Data!AK85+Data!AL85+Data!T86+Data!U86+Data!V86+Data!W86+Data!X86+Data!Y86+Data!Z86+Data!AA86+Data!AB86+Data!AC86+Data!AD86+Data!AE86+Data!AF86+Data!AG86+Data!AH86+Data!AI86+Data!AJ86+Data!AK86+Data!AL86)/(Data!AP75+Data!AP76+Data!AP77+Data!AP78+Data!AP79+Data!AP80+Data!AP81+Data!AP82+Data!AP83+Data!AP84+Data!AP85+Data!AP86)</f>
        <v>0.210266951422635</v>
      </c>
      <c r="N86" s="18" t="n">
        <f aca="false">(Data!T75+Data!U75+Data!V75+Data!W75+Data!T76+Data!U76+Data!V76+Data!W76+Data!T77+Data!U77+Data!V77+Data!W77+Data!T78+Data!U78+Data!V78+Data!W78+Data!T79+Data!U79+Data!V79+Data!W79+Data!T80+Data!U80+Data!V80+Data!W80+Data!T81+Data!U81+Data!V81+Data!W81+Data!T82+Data!U82+Data!V82+Data!W82+Data!T83+Data!U83+Data!V83+Data!W83+Data!T84+Data!U84+Data!V84+Data!W84+Data!T85+Data!U85+Data!V85+Data!W85+Data!T86+Data!U86+Data!V86+Data!W86)/(Data!AP75+Data!AP76+Data!AP77+Data!AP78+Data!AP79+Data!AP80+Data!AP81+Data!AP82+Data!AP83+Data!AP84+Data!AP85+Data!AP86)</f>
        <v>0.0971018166018016</v>
      </c>
      <c r="O86" s="18" t="n">
        <f aca="false">(Data!T75+Data!T76+Data!T77+Data!T78+Data!T79+Data!T80+Data!T81+Data!T82+Data!T83+Data!T84+Data!T85+Data!T86)/(Data!AP75+Data!AP76+Data!AP77+Data!AP78+Data!AP79+Data!AP80+Data!AP81+Data!AP82+Data!AP83+Data!AP84+Data!AP85+Data!AP86)</f>
        <v>0.0702765204349119</v>
      </c>
      <c r="P86" s="18" t="n">
        <f aca="false">(Data!U75+Data!U76+Data!U77+Data!U78+Data!U79+Data!U80+Data!U81+Data!U82+Data!U83+Data!U84+Data!U85+Data!U86)/(Data!AP75+Data!AP76+Data!AP77+Data!AP78+Data!AP79+Data!AP80+Data!AP81+Data!AP82+Data!AP83+Data!AP84+Data!AP85+Data!AP86)</f>
        <v>0.0122145207371612</v>
      </c>
      <c r="Q86" s="18" t="n">
        <f aca="false">(Data!V75+Data!V76+Data!V77+Data!V78+Data!V79+Data!V80+Data!V81+Data!V82+Data!V83+Data!V84+Data!V85+Data!V86)/(Data!AP75+Data!AP76+Data!AP77+Data!AP78+Data!AP79+Data!AP80+Data!AP81+Data!AP82+Data!AP83+Data!AP84+Data!AP85+Data!AP86)</f>
        <v>0.00716460402118921</v>
      </c>
      <c r="R86" s="18" t="n">
        <f aca="false">(Data!W75+Data!W76+Data!W77+Data!W78+Data!W79+Data!W80+Data!W81+Data!W82+Data!W83+Data!W84+Data!W85+Data!W86)/(Data!AP75+Data!AP76+Data!AP77+Data!AP78+Data!AP79+Data!AP80+Data!AP81+Data!AP82+Data!AP83+Data!AP84+Data!AP85+Data!AP86)</f>
        <v>0.00744617140853924</v>
      </c>
      <c r="S86" s="18" t="n">
        <f aca="false">(Data!X75+Data!X76+Data!X77+Data!X78+Data!X79+Data!X80+Data!X81+Data!X82+Data!X83+Data!X84+Data!X85+Data!X86)/(Data!AP75+Data!AP76+Data!AP77+Data!AP78+Data!AP79+Data!AP80+Data!AP81+Data!AP82+Data!AP83+Data!AP84+Data!AP85+Data!AP86)</f>
        <v>0.0180988667171629</v>
      </c>
      <c r="T86" s="18" t="n">
        <f aca="false">(Data!Y75+Data!Z75+Data!AA75+Data!Y76+Data!Z76+Data!AA76+Data!Y77+Data!Z77+Data!AA77+Data!Y78+Data!Z78+Data!AA78+Data!Y79+Data!Z79+Data!AA79+Data!Y80+Data!Z80+Data!AA80+Data!Y81+Data!Z81+Data!AA81+Data!Y82+Data!Z82+Data!AA82+Data!Y83+Data!Z83+Data!AA83+Data!Y84+Data!Z84+Data!AA84+Data!Y85+Data!Z85+Data!AA85+Data!Y86+Data!Z86+Data!AA86)/(Data!AP75+Data!AP76+Data!AP77+Data!AP78+Data!AP79+Data!AP80+Data!AP81+Data!AP82+Data!AP83+Data!AP84+Data!AP85+Data!AP86)</f>
        <v>0.0297964132345249</v>
      </c>
      <c r="U86" s="18" t="n">
        <f aca="false">(Data!Y75+Data!Y76+Data!Y77+Data!Y78+Data!Y79+Data!Y80+Data!Y81+Data!Y82+Data!Y83+Data!Y84+Data!Y85+Data!Y86)/(Data!AP75+Data!AP76+Data!AP77+Data!AP78+Data!AP79+Data!AP80+Data!AP81+Data!AP82+Data!AP83+Data!AP84+Data!AP85+Data!AP86)</f>
        <v>0.0234832000067976</v>
      </c>
      <c r="V86" s="18" t="n">
        <f aca="false">(Data!Z75+Data!Z76+Data!Z77+Data!Z78+Data!Z79+Data!Z80+Data!Z81+Data!Z82+Data!Z83+Data!Z84+Data!Z85+Data!Z86)/(Data!AP75+Data!AP76+Data!AP77+Data!AP78+Data!AP79+Data!AP80+Data!AP81+Data!AP82+Data!AP83+Data!AP84+Data!AP85+Data!AP86)</f>
        <v>0.0059224081919374</v>
      </c>
      <c r="W86" s="18" t="n">
        <f aca="false">(Data!AB75+Data!AB76+Data!AB77+Data!AB78+Data!AB79+Data!AB80+Data!AB81+Data!AB82+Data!AB83+Data!AB84+Data!AB85+Data!AB86)/(Data!AP75+Data!AP76+Data!AP77+Data!AP78+Data!AP79+Data!AP80+Data!AP81+Data!AP82+Data!AP83+Data!AP84+Data!AP85+Data!AP86)</f>
        <v>0.0237460812176024</v>
      </c>
      <c r="X86" s="18" t="n">
        <f aca="false">(Data!AC75+Data!AC76+Data!AC77+Data!AC78+Data!AC79+Data!AC80+Data!AC81+Data!AC82+Data!AC83+Data!AC84+Data!AC85+Data!AC86)/(Data!AP75+Data!AP76+Data!AP77+Data!AP78+Data!AP79+Data!AP80+Data!AP81+Data!AP82+Data!AP83+Data!AP84+Data!AP85+Data!AP86)</f>
        <v>0.00840573506831043</v>
      </c>
      <c r="Y86" s="18" t="n">
        <f aca="false">(Data!AD75+Data!AE75+Data!AF75+Data!AG75+Data!AH75+Data!AD76+Data!AE76+Data!AF76+Data!AG76+Data!AH76+Data!AD77+Data!AE77+Data!AF77+Data!AG77+Data!AH77+Data!AD78+Data!AE78+Data!AF78+Data!AG78+Data!AH78+Data!AD79+Data!AE79+Data!AF79+Data!AG79+Data!AH79+Data!AD80+Data!AE80+Data!AF80+Data!AG80+Data!AH80+Data!AD81+Data!AE81+Data!AF81+Data!AG81+Data!AH81+Data!AD82+Data!AE82+Data!AF82+Data!AG82+Data!AH82+Data!AD83+Data!AE83+Data!AF83+Data!AG83+Data!AH83+Data!AD84+Data!AE84+Data!AF84+Data!AG84+Data!AH84+Data!AD85+Data!AE85+Data!AF85+Data!AG85+Data!AH85+Data!AD86+Data!AE86+Data!AF86+Data!AG86+Data!AH86)/(Data!AP75+Data!AP76+Data!AP77+Data!AP78+Data!AP79+Data!AP80+Data!AP81+Data!AP82+Data!AP83+Data!AP84+Data!AP85+Data!AP86)</f>
        <v>0.00739459696139694</v>
      </c>
      <c r="Z86" s="18" t="n">
        <f aca="false">(Data!AI75+Data!AI76+Data!AI77+Data!AI78+Data!AI79+Data!AI80+Data!AI81+Data!AI82+Data!AI83+Data!AI84+Data!AI85+Data!AI86)/(Data!AP75+Data!AP76+Data!AP77+Data!AP78+Data!AP79+Data!AP80+Data!AP81+Data!AP82+Data!AP83+Data!AP84+Data!AP85+Data!AP86)</f>
        <v>0.00611603357345943</v>
      </c>
      <c r="AA86" s="18" t="n">
        <f aca="false">(Data!AJ75+Data!AJ76+Data!AJ77+Data!AJ78+Data!AJ79+Data!AJ80+Data!AJ81+Data!AJ82+Data!AJ83+Data!AJ84+Data!AJ85+Data!AJ86)/(Data!AP75+Data!AP76+Data!AP77+Data!AP78+Data!AP79+Data!AP80+Data!AP81+Data!AP82+Data!AP83+Data!AP84+Data!AP85+Data!AP86)</f>
        <v>0</v>
      </c>
      <c r="AB86" s="18" t="n">
        <f aca="false">(Data!AK75+Data!AK76+Data!AK77+Data!AK78+Data!AK79+Data!AK80+Data!AK81+Data!AK82+Data!AK83+Data!AK84+Data!AK85+Data!AK86)/(Data!AP75+Data!AP76+Data!AP77+Data!AP78+Data!AP79+Data!AP80+Data!AP81+Data!AP82+Data!AP83+Data!AP84+Data!AP85+Data!AP86)</f>
        <v>0.00420017558496591</v>
      </c>
      <c r="AC86" s="18" t="n">
        <f aca="false">(Data!AL75+Data!AL76+Data!AL77+Data!AL78+Data!AL79+Data!AL80+Data!AL81+Data!AL82+Data!AL83+Data!AL84+Data!AL85+Data!AL86)/(Data!AP75+Data!AP76+Data!AP77+Data!AP78+Data!AP79+Data!AP80+Data!AP81+Data!AP82+Data!AP83+Data!AP84+Data!AP85+Data!AP86)</f>
        <v>0.0154072324634108</v>
      </c>
      <c r="AD86" s="17" t="n">
        <f aca="false">(Data!AM75+Data!AM76+Data!AM77+Data!AM78+Data!AM79+Data!AM80+Data!AM81+Data!AM82+Data!AM83+Data!AM84+Data!AM85+Data!AM86)/(Data!AP75+Data!AP76+Data!AP77+Data!AP78+Data!AP79+Data!AP80+Data!AP81+Data!AP82+Data!AP83+Data!AP84+Data!AP85+Data!AP86)</f>
        <v>-0.022745995849143</v>
      </c>
      <c r="AE86" s="18" t="n">
        <f aca="false">(Data!AN75+Data!AN76+Data!AN77+Data!AN78+Data!AN79+Data!AN80+Data!AN81+Data!AN82+Data!AN83+Data!AN84+Data!AN85+Data!AN86)/(Data!AP75+Data!AP76+Data!AP77+Data!AP78+Data!AP79+Data!AP80+Data!AP81+Data!AP82+Data!AP83+Data!AP84+Data!AP85+Data!AP86)</f>
        <v>0.0153554030684344</v>
      </c>
      <c r="AF86" s="17" t="n">
        <f aca="false">(Data!AO75+Data!AO76+Data!AO77+Data!AO78+Data!AO79+Data!AO80+Data!AO81+Data!AO82+Data!AO83+Data!AO84+Data!AO85+Data!AO86)/(Data!AP75+Data!AP76+Data!AP77+Data!AP78+Data!AP79+Data!AP80+Data!AP81+Data!AP82+Data!AP83+Data!AP84+Data!AP85+Data!AP86)</f>
        <v>-0.038101383920646</v>
      </c>
    </row>
    <row r="87" customFormat="false" ht="15" hidden="false" customHeight="false" outlineLevel="0" collapsed="false">
      <c r="B87" s="14" t="str">
        <f aca="false">Data!B87</f>
        <v>2022-09</v>
      </c>
      <c r="C87" s="17" t="n">
        <f aca="false">(Data!D76+Data!E76+Data!F76+Data!G76+Data!H76+Data!I76+Data!J76+Data!K76+Data!L76+Data!M76+Data!N76+Data!O76+Data!P76+Data!Q76+Data!R76+Data!S76+Data!D77+Data!E77+Data!F77+Data!G77+Data!H77+Data!I77+Data!J77+Data!K77+Data!L77+Data!M77+Data!N77+Data!O77+Data!P77+Data!Q77+Data!R77+Data!S77+Data!D78+Data!E78+Data!F78+Data!G78+Data!H78+Data!I78+Data!J78+Data!K78+Data!L78+Data!M78+Data!N78+Data!O78+Data!P78+Data!Q78+Data!R78+Data!S78+Data!D79+Data!E79+Data!F79+Data!G79+Data!H79+Data!I79+Data!J79+Data!K79+Data!L79+Data!M79+Data!N79+Data!O79+Data!P79+Data!Q79+Data!R79+Data!S79+Data!D80+Data!E80+Data!F80+Data!G80+Data!H80+Data!I80+Data!J80+Data!K80+Data!L80+Data!M80+Data!N80+Data!O80+Data!P80+Data!Q80+Data!R80+Data!S80+Data!D81+Data!E81+Data!F81+Data!G81+Data!H81+Data!I81+Data!J81+Data!K81+Data!L81+Data!M81+Data!N81+Data!O81+Data!P81+Data!Q81+Data!R81+Data!S81+Data!D82+Data!E82+Data!F82+Data!G82+Data!H82+Data!I82+Data!J82+Data!K82+Data!L82+Data!M82+Data!N82+Data!O82+Data!P82+Data!Q82+Data!R82+Data!S82+Data!D83+Data!E83+Data!F83+Data!G83+Data!H83+Data!I83+Data!J83+Data!K83+Data!L83+Data!M83+Data!N83+Data!O83+Data!P83+Data!Q83+Data!R83+Data!S83+Data!D84+Data!E84+Data!F84+Data!G84+Data!H84+Data!I84+Data!J84+Data!K84+Data!L84+Data!M84+Data!N84+Data!O84+Data!P84+Data!Q84+Data!R84+Data!S84+Data!D85+Data!E85+Data!F85+Data!G85+Data!H85+Data!I85+Data!J85+Data!K85+Data!L85+Data!M85+Data!N85+Data!O85+Data!P85+Data!Q85+Data!R85+Data!S85+Data!D86+Data!E86+Data!F86+Data!G86+Data!H86+Data!I86+Data!J86+Data!K86+Data!L86+Data!M86+Data!N86+Data!O86+Data!P86+Data!Q86+Data!R86+Data!S86+Data!D87+Data!E87+Data!F87+Data!G87+Data!H87+Data!I87+Data!J87+Data!K87+Data!L87+Data!M87+Data!N87+Data!O87+Data!P87+Data!Q87+Data!R87+Data!S87)/(Data!AP76+Data!AP77+Data!AP78+Data!AP79+Data!AP80+Data!AP81+Data!AP82+Data!AP83+Data!AP84+Data!AP85+Data!AP86+Data!AP87)</f>
        <v>0.184684230158699</v>
      </c>
      <c r="D87" s="18" t="n">
        <f aca="false">(Data!D76+Data!E76+Data!G76+Data!H76+Data!I76+Data!J76+Data!K76+Data!L76+Data!M76+Data!D77+Data!E77+Data!G77+Data!H77+Data!I77+Data!J77+Data!K77+Data!L77+Data!M77+Data!D78+Data!E78+Data!G78+Data!H78+Data!I78+Data!J78+Data!K78+Data!L78+Data!M78+Data!D79+Data!E79+Data!G79+Data!H79+Data!I79+Data!J79+Data!K79+Data!L79+Data!M79+Data!D80+Data!E80+Data!G80+Data!H80+Data!I80+Data!J80+Data!K80+Data!L80+Data!M80+Data!D81+Data!E81+Data!G81+Data!H81+Data!I81+Data!J81+Data!K81+Data!L81+Data!M81+Data!D82+Data!E82+Data!G82+Data!H82+Data!I82+Data!J82+Data!K82+Data!L82+Data!M82+Data!D83+Data!E83+Data!G83+Data!H83+Data!I83+Data!J83+Data!K83+Data!L83+Data!M83+Data!D84+Data!E84+Data!G84+Data!H84+Data!I84+Data!J84+Data!K84+Data!L84+Data!M84+Data!D85+Data!E85+Data!G85+Data!H85+Data!I85+Data!J85+Data!K85+Data!L85+Data!M85+Data!D86+Data!E86+Data!G86+Data!H86+Data!I86+Data!J86+Data!K86+Data!L86+Data!M86+Data!D87+Data!E87+Data!G87+Data!H87+Data!I87+Data!J87+Data!K87+Data!L87+Data!M87)/(Data!AP76+Data!AP77+Data!AP78+Data!AP79+Data!AP80+Data!AP81+Data!AP82+Data!AP83+Data!AP84+Data!AP85+Data!AP86+Data!AP87)</f>
        <v>0.111011247928511</v>
      </c>
      <c r="E87" s="18" t="n">
        <f aca="false">(Data!D76+Data!D77+Data!D78+Data!D79+Data!D80+Data!D81+Data!D82+Data!D83+Data!D84+Data!D85+Data!D86+Data!D87)/(Data!AP76+Data!AP77+Data!AP78+Data!AP79+Data!AP80+Data!AP81+Data!AP82+Data!AP83+Data!AP84+Data!AP85+Data!AP86+Data!AP87)</f>
        <v>0.0315143004202777</v>
      </c>
      <c r="F87" s="18" t="n">
        <f aca="false">(Data!E76+Data!E77+Data!E78+Data!E79+Data!E80+Data!E81+Data!E82+Data!E83+Data!E84+Data!E85+Data!E86+Data!E87)/(Data!AP76+Data!AP77+Data!AP78+Data!AP79+Data!AP80+Data!AP81+Data!AP82+Data!AP83+Data!AP84+Data!AP85+Data!AP86+Data!AP87)</f>
        <v>0.0193630659791776</v>
      </c>
      <c r="G87" s="18" t="n">
        <f aca="false">(Data!K76+Data!K77+Data!K78+Data!K79+Data!K80+Data!K81+Data!K82+Data!K83+Data!K84+Data!K85+Data!K86+Data!K87)/(Data!AP76+Data!AP77+Data!AP78+Data!AP79+Data!AP80+Data!AP81+Data!AP82+Data!AP83+Data!AP84+Data!AP85+Data!AP86+Data!AP87)</f>
        <v>0.0194331293397493</v>
      </c>
      <c r="H87" s="18" t="n">
        <f aca="false">(Data!L76+Data!L77+Data!L78+Data!L79+Data!L80+Data!L81+Data!L82+Data!L83+Data!L84+Data!L85+Data!L86+Data!L87)/(Data!AP76+Data!AP77+Data!AP78+Data!AP79+Data!AP80+Data!AP81+Data!AP82+Data!AP83+Data!AP84+Data!AP85+Data!AP86+Data!AP87)</f>
        <v>0.00646170545897366</v>
      </c>
      <c r="I87" s="18" t="n">
        <f aca="false">(Data!G76+Data!G77+Data!G78+Data!G79+Data!G80+Data!G81+Data!G82+Data!G83+Data!G84+Data!G85+Data!G86+Data!G87)/(Data!AP76+Data!AP77+Data!AP78+Data!AP79+Data!AP80+Data!AP81+Data!AP82+Data!AP83+Data!AP84+Data!AP85+Data!AP86+Data!AP87)</f>
        <v>0.0159469899086463</v>
      </c>
      <c r="J87" s="18" t="n">
        <f aca="false">(Data!H76+Data!I76+Data!J76+Data!M76+Data!H77+Data!I77+Data!J77+Data!M77+Data!H78+Data!I78+Data!J78+Data!M78+Data!H79+Data!I79+Data!J79+Data!M79+Data!H80+Data!I80+Data!J80+Data!M80+Data!H81+Data!I81+Data!J81+Data!M81+Data!H82+Data!I82+Data!J82+Data!M82+Data!H83+Data!I83+Data!J83+Data!M83+Data!H84+Data!I84+Data!J84+Data!M84+Data!H85+Data!I85+Data!J85+Data!M85+Data!H86+Data!I86+Data!J86+Data!M86+Data!H87+Data!I87+Data!J87+Data!M87)/(Data!AP76+Data!AP77+Data!AP78+Data!AP79+Data!AP80+Data!AP81+Data!AP82+Data!AP83+Data!AP84+Data!AP85+Data!AP86+Data!AP87)</f>
        <v>0.0182920568216868</v>
      </c>
      <c r="K87" s="18" t="n">
        <f aca="false">(Data!F76+Data!F77+Data!F78+Data!F79+Data!F80+Data!F81+Data!F82+Data!F83+Data!F84+Data!F85+Data!F86+Data!F87)/(Data!AP76+Data!AP77+Data!AP78+Data!AP79+Data!AP80+Data!AP81+Data!AP82+Data!AP83+Data!AP84+Data!AP85+Data!AP86+Data!AP87)</f>
        <v>0.05203950771691</v>
      </c>
      <c r="L87" s="18" t="n">
        <f aca="false">(Data!N76+Data!O76+Data!P76+Data!Q76+Data!R76+Data!S76+Data!N77+Data!O77+Data!P77+Data!Q77+Data!R77+Data!S77+Data!N78+Data!O78+Data!P78+Data!Q78+Data!R78+Data!S78+Data!N79+Data!O79+Data!P79+Data!Q79+Data!R79+Data!S79+Data!N80+Data!O80+Data!P80+Data!Q80+Data!R80+Data!S80+Data!N81+Data!O81+Data!P81+Data!Q81+Data!R81+Data!S81+Data!N82+Data!O82+Data!P82+Data!Q82+Data!R82+Data!S82+Data!N83+Data!O83+Data!P83+Data!Q83+Data!R83+Data!S83+Data!N84+Data!O84+Data!P84+Data!Q84+Data!R84+Data!S84+Data!N85+Data!O85+Data!P85+Data!Q85+Data!R85+Data!S85+Data!N86+Data!O86+Data!P86+Data!Q86+Data!R86+Data!S86+Data!N87+Data!O87+Data!P87+Data!Q87+Data!R87+Data!S87)/(Data!AP76+Data!AP77+Data!AP78+Data!AP79+Data!AP80+Data!AP81+Data!AP82+Data!AP83+Data!AP84+Data!AP85+Data!AP86+Data!AP87)</f>
        <v>0.0216334745132779</v>
      </c>
      <c r="M87" s="17" t="n">
        <f aca="false">(Data!T76+Data!U76+Data!V76+Data!W76+Data!X76+Data!Y76+Data!Z76+Data!AA76+Data!AB76+Data!AC76+Data!AD76+Data!AE76+Data!AF76+Data!AG76+Data!AH76+Data!AI76+Data!AJ76+Data!AK76+Data!AL76+Data!T77+Data!U77+Data!V77+Data!W77+Data!X77+Data!Y77+Data!Z77+Data!AA77+Data!AB77+Data!AC77+Data!AD77+Data!AE77+Data!AF77+Data!AG77+Data!AH77+Data!AI77+Data!AJ77+Data!AK77+Data!AL77+Data!T78+Data!U78+Data!V78+Data!W78+Data!X78+Data!Y78+Data!Z78+Data!AA78+Data!AB78+Data!AC78+Data!AD78+Data!AE78+Data!AF78+Data!AG78+Data!AH78+Data!AI78+Data!AJ78+Data!AK78+Data!AL78+Data!T79+Data!U79+Data!V79+Data!W79+Data!X79+Data!Y79+Data!Z79+Data!AA79+Data!AB79+Data!AC79+Data!AD79+Data!AE79+Data!AF79+Data!AG79+Data!AH79+Data!AI79+Data!AJ79+Data!AK79+Data!AL79+Data!T80+Data!U80+Data!V80+Data!W80+Data!X80+Data!Y80+Data!Z80+Data!AA80+Data!AB80+Data!AC80+Data!AD80+Data!AE80+Data!AF80+Data!AG80+Data!AH80+Data!AI80+Data!AJ80+Data!AK80+Data!AL80+Data!T81+Data!U81+Data!V81+Data!W81+Data!X81+Data!Y81+Data!Z81+Data!AA81+Data!AB81+Data!AC81+Data!AD81+Data!AE81+Data!AF81+Data!AG81+Data!AH81+Data!AI81+Data!AJ81+Data!AK81+Data!AL81+Data!T82+Data!U82+Data!V82+Data!W82+Data!X82+Data!Y82+Data!Z82+Data!AA82+Data!AB82+Data!AC82+Data!AD82+Data!AE82+Data!AF82+Data!AG82+Data!AH82+Data!AI82+Data!AJ82+Data!AK82+Data!AL82+Data!T83+Data!U83+Data!V83+Data!W83+Data!X83+Data!Y83+Data!Z83+Data!AA83+Data!AB83+Data!AC83+Data!AD83+Data!AE83+Data!AF83+Data!AG83+Data!AH83+Data!AI83+Data!AJ83+Data!AK83+Data!AL83+Data!T84+Data!U84+Data!V84+Data!W84+Data!X84+Data!Y84+Data!Z84+Data!AA84+Data!AB84+Data!AC84+Data!AD84+Data!AE84+Data!AF84+Data!AG84+Data!AH84+Data!AI84+Data!AJ84+Data!AK84+Data!AL84+Data!T85+Data!U85+Data!V85+Data!W85+Data!X85+Data!Y85+Data!Z85+Data!AA85+Data!AB85+Data!AC85+Data!AD85+Data!AE85+Data!AF85+Data!AG85+Data!AH85+Data!AI85+Data!AJ85+Data!AK85+Data!AL85+Data!T86+Data!U86+Data!V86+Data!W86+Data!X86+Data!Y86+Data!Z86+Data!AA86+Data!AB86+Data!AC86+Data!AD86+Data!AE86+Data!AF86+Data!AG86+Data!AH86+Data!AI86+Data!AJ86+Data!AK86+Data!AL86+Data!T87+Data!U87+Data!V87+Data!W87+Data!X87+Data!Y87+Data!Z87+Data!AA87+Data!AB87+Data!AC87+Data!AD87+Data!AE87+Data!AF87+Data!AG87+Data!AH87+Data!AI87+Data!AJ87+Data!AK87+Data!AL87)/(Data!AP76+Data!AP77+Data!AP78+Data!AP79+Data!AP80+Data!AP81+Data!AP82+Data!AP83+Data!AP84+Data!AP85+Data!AP86+Data!AP87)</f>
        <v>0.209259953260161</v>
      </c>
      <c r="N87" s="18" t="n">
        <f aca="false">(Data!T76+Data!U76+Data!V76+Data!W76+Data!T77+Data!U77+Data!V77+Data!W77+Data!T78+Data!U78+Data!V78+Data!W78+Data!T79+Data!U79+Data!V79+Data!W79+Data!T80+Data!U80+Data!V80+Data!W80+Data!T81+Data!U81+Data!V81+Data!W81+Data!T82+Data!U82+Data!V82+Data!W82+Data!T83+Data!U83+Data!V83+Data!W83+Data!T84+Data!U84+Data!V84+Data!W84+Data!T85+Data!U85+Data!V85+Data!W85+Data!T86+Data!U86+Data!V86+Data!W86+Data!T87+Data!U87+Data!V87+Data!W87)/(Data!AP76+Data!AP77+Data!AP78+Data!AP79+Data!AP80+Data!AP81+Data!AP82+Data!AP83+Data!AP84+Data!AP85+Data!AP86+Data!AP87)</f>
        <v>0.0965758056721425</v>
      </c>
      <c r="O87" s="18" t="n">
        <f aca="false">(Data!T76+Data!T77+Data!T78+Data!T79+Data!T80+Data!T81+Data!T82+Data!T83+Data!T84+Data!T85+Data!T86+Data!T87)/(Data!AP76+Data!AP77+Data!AP78+Data!AP79+Data!AP80+Data!AP81+Data!AP82+Data!AP83+Data!AP84+Data!AP85+Data!AP86+Data!AP87)</f>
        <v>0.0696772794463299</v>
      </c>
      <c r="P87" s="18" t="n">
        <f aca="false">(Data!U76+Data!U77+Data!U78+Data!U79+Data!U80+Data!U81+Data!U82+Data!U83+Data!U84+Data!U85+Data!U86+Data!U87)/(Data!AP76+Data!AP77+Data!AP78+Data!AP79+Data!AP80+Data!AP81+Data!AP82+Data!AP83+Data!AP84+Data!AP85+Data!AP86+Data!AP87)</f>
        <v>0.0123097412357174</v>
      </c>
      <c r="Q87" s="18" t="n">
        <f aca="false">(Data!V76+Data!V77+Data!V78+Data!V79+Data!V80+Data!V81+Data!V82+Data!V83+Data!V84+Data!V85+Data!V86+Data!V87)/(Data!AP76+Data!AP77+Data!AP78+Data!AP79+Data!AP80+Data!AP81+Data!AP82+Data!AP83+Data!AP84+Data!AP85+Data!AP86+Data!AP87)</f>
        <v>0.00721884498716618</v>
      </c>
      <c r="R87" s="18" t="n">
        <f aca="false">(Data!W76+Data!W77+Data!W78+Data!W79+Data!W80+Data!W81+Data!W82+Data!W83+Data!W84+Data!W85+Data!W86+Data!W87)/(Data!AP76+Data!AP77+Data!AP78+Data!AP79+Data!AP80+Data!AP81+Data!AP82+Data!AP83+Data!AP84+Data!AP85+Data!AP86+Data!AP87)</f>
        <v>0.00736994000292908</v>
      </c>
      <c r="S87" s="18" t="n">
        <f aca="false">(Data!X76+Data!X77+Data!X78+Data!X79+Data!X80+Data!X81+Data!X82+Data!X83+Data!X84+Data!X85+Data!X86+Data!X87)/(Data!AP76+Data!AP77+Data!AP78+Data!AP79+Data!AP80+Data!AP81+Data!AP82+Data!AP83+Data!AP84+Data!AP85+Data!AP86+Data!AP87)</f>
        <v>0.0180478237710685</v>
      </c>
      <c r="T87" s="18" t="n">
        <f aca="false">(Data!Y76+Data!Z76+Data!AA76+Data!Y77+Data!Z77+Data!AA77+Data!Y78+Data!Z78+Data!AA78+Data!Y79+Data!Z79+Data!AA79+Data!Y80+Data!Z80+Data!AA80+Data!Y81+Data!Z81+Data!AA81+Data!Y82+Data!Z82+Data!AA82+Data!Y83+Data!Z83+Data!AA83+Data!Y84+Data!Z84+Data!AA84+Data!Y85+Data!Z85+Data!AA85+Data!Y86+Data!Z86+Data!AA86+Data!Y87+Data!Z87+Data!AA87)/(Data!AP76+Data!AP77+Data!AP78+Data!AP79+Data!AP80+Data!AP81+Data!AP82+Data!AP83+Data!AP84+Data!AP85+Data!AP86+Data!AP87)</f>
        <v>0.0293504735506248</v>
      </c>
      <c r="U87" s="18" t="n">
        <f aca="false">(Data!Y76+Data!Y77+Data!Y78+Data!Y79+Data!Y80+Data!Y81+Data!Y82+Data!Y83+Data!Y84+Data!Y85+Data!Y86+Data!Y87)/(Data!AP76+Data!AP77+Data!AP78+Data!AP79+Data!AP80+Data!AP81+Data!AP82+Data!AP83+Data!AP84+Data!AP85+Data!AP86+Data!AP87)</f>
        <v>0.0231342530358188</v>
      </c>
      <c r="V87" s="18" t="n">
        <f aca="false">(Data!Z76+Data!Z77+Data!Z78+Data!Z79+Data!Z80+Data!Z81+Data!Z82+Data!Z83+Data!Z84+Data!Z85+Data!Z86+Data!Z87)/(Data!AP76+Data!AP77+Data!AP78+Data!AP79+Data!AP80+Data!AP81+Data!AP82+Data!AP83+Data!AP84+Data!AP85+Data!AP86+Data!AP87)</f>
        <v>0.00580955427616576</v>
      </c>
      <c r="W87" s="18" t="n">
        <f aca="false">(Data!AB76+Data!AB77+Data!AB78+Data!AB79+Data!AB80+Data!AB81+Data!AB82+Data!AB83+Data!AB84+Data!AB85+Data!AB86+Data!AB87)/(Data!AP76+Data!AP77+Data!AP78+Data!AP79+Data!AP80+Data!AP81+Data!AP82+Data!AP83+Data!AP84+Data!AP85+Data!AP86+Data!AP87)</f>
        <v>0.0236754551528198</v>
      </c>
      <c r="X87" s="18" t="n">
        <f aca="false">(Data!AC76+Data!AC77+Data!AC78+Data!AC79+Data!AC80+Data!AC81+Data!AC82+Data!AC83+Data!AC84+Data!AC85+Data!AC86+Data!AC87)/(Data!AP76+Data!AP77+Data!AP78+Data!AP79+Data!AP80+Data!AP81+Data!AP82+Data!AP83+Data!AP84+Data!AP85+Data!AP86+Data!AP87)</f>
        <v>0.00819150937072146</v>
      </c>
      <c r="Y87" s="18" t="n">
        <f aca="false">(Data!AD76+Data!AE76+Data!AF76+Data!AG76+Data!AH76+Data!AD77+Data!AE77+Data!AF77+Data!AG77+Data!AH77+Data!AD78+Data!AE78+Data!AF78+Data!AG78+Data!AH78+Data!AD79+Data!AE79+Data!AF79+Data!AG79+Data!AH79+Data!AD80+Data!AE80+Data!AF80+Data!AG80+Data!AH80+Data!AD81+Data!AE81+Data!AF81+Data!AG81+Data!AH81+Data!AD82+Data!AE82+Data!AF82+Data!AG82+Data!AH82+Data!AD83+Data!AE83+Data!AF83+Data!AG83+Data!AH83+Data!AD84+Data!AE84+Data!AF84+Data!AG84+Data!AH84+Data!AD85+Data!AE85+Data!AF85+Data!AG85+Data!AH85+Data!AD86+Data!AE86+Data!AF86+Data!AG86+Data!AH86+Data!AD87+Data!AE87+Data!AF87+Data!AG87+Data!AH87)/(Data!AP76+Data!AP77+Data!AP78+Data!AP79+Data!AP80+Data!AP81+Data!AP82+Data!AP83+Data!AP84+Data!AP85+Data!AP86+Data!AP87)</f>
        <v>0.00727010149237225</v>
      </c>
      <c r="Z87" s="18" t="n">
        <f aca="false">(Data!AI76+Data!AI77+Data!AI78+Data!AI79+Data!AI80+Data!AI81+Data!AI82+Data!AI83+Data!AI84+Data!AI85+Data!AI86+Data!AI87)/(Data!AP76+Data!AP77+Data!AP78+Data!AP79+Data!AP80+Data!AP81+Data!AP82+Data!AP83+Data!AP84+Data!AP85+Data!AP86+Data!AP87)</f>
        <v>0.00609545546548757</v>
      </c>
      <c r="AA87" s="18" t="n">
        <f aca="false">(Data!AJ76+Data!AJ77+Data!AJ78+Data!AJ79+Data!AJ80+Data!AJ81+Data!AJ82+Data!AJ83+Data!AJ84+Data!AJ85+Data!AJ86+Data!AJ87)/(Data!AP76+Data!AP77+Data!AP78+Data!AP79+Data!AP80+Data!AP81+Data!AP82+Data!AP83+Data!AP84+Data!AP85+Data!AP86+Data!AP87)</f>
        <v>0</v>
      </c>
      <c r="AB87" s="18" t="n">
        <f aca="false">(Data!AK76+Data!AK77+Data!AK78+Data!AK79+Data!AK80+Data!AK81+Data!AK82+Data!AK83+Data!AK84+Data!AK85+Data!AK86+Data!AK87)/(Data!AP76+Data!AP77+Data!AP78+Data!AP79+Data!AP80+Data!AP81+Data!AP82+Data!AP83+Data!AP84+Data!AP85+Data!AP86+Data!AP87)</f>
        <v>0.00408218302120126</v>
      </c>
      <c r="AC87" s="18" t="n">
        <f aca="false">(Data!AL76+Data!AL77+Data!AL78+Data!AL79+Data!AL80+Data!AL81+Data!AL82+Data!AL83+Data!AL84+Data!AL85+Data!AL86+Data!AL87)/(Data!AP76+Data!AP77+Data!AP78+Data!AP79+Data!AP80+Data!AP81+Data!AP82+Data!AP83+Data!AP84+Data!AP85+Data!AP86+Data!AP87)</f>
        <v>0.0159711457637226</v>
      </c>
      <c r="AD87" s="17" t="n">
        <f aca="false">(Data!AM76+Data!AM77+Data!AM78+Data!AM79+Data!AM80+Data!AM81+Data!AM82+Data!AM83+Data!AM84+Data!AM85+Data!AM86+Data!AM87)/(Data!AP76+Data!AP77+Data!AP78+Data!AP79+Data!AP80+Data!AP81+Data!AP82+Data!AP83+Data!AP84+Data!AP85+Data!AP86+Data!AP87)</f>
        <v>-0.0245757231014615</v>
      </c>
      <c r="AE87" s="18" t="n">
        <f aca="false">(Data!AN76+Data!AN77+Data!AN78+Data!AN79+Data!AN80+Data!AN81+Data!AN82+Data!AN83+Data!AN84+Data!AN85+Data!AN86+Data!AN87)/(Data!AP76+Data!AP77+Data!AP78+Data!AP79+Data!AP80+Data!AP81+Data!AP82+Data!AP83+Data!AP84+Data!AP85+Data!AP86+Data!AP87)</f>
        <v>0.0150055517335083</v>
      </c>
      <c r="AF87" s="17" t="n">
        <f aca="false">(Data!AO76+Data!AO77+Data!AO78+Data!AO79+Data!AO80+Data!AO81+Data!AO82+Data!AO83+Data!AO84+Data!AO85+Data!AO86+Data!AO87)/(Data!AP76+Data!AP77+Data!AP78+Data!AP79+Data!AP80+Data!AP81+Data!AP82+Data!AP83+Data!AP84+Data!AP85+Data!AP86+Data!AP87)</f>
        <v>-0.0395812606089067</v>
      </c>
    </row>
    <row r="88" customFormat="false" ht="15" hidden="false" customHeight="false" outlineLevel="0" collapsed="false">
      <c r="B88" s="14" t="str">
        <f aca="false">Data!B88</f>
        <v>2022-10</v>
      </c>
      <c r="C88" s="17" t="n">
        <f aca="false">(Data!D77+Data!E77+Data!F77+Data!G77+Data!H77+Data!I77+Data!J77+Data!K77+Data!L77+Data!M77+Data!N77+Data!O77+Data!P77+Data!Q77+Data!R77+Data!S77+Data!D78+Data!E78+Data!F78+Data!G78+Data!H78+Data!I78+Data!J78+Data!K78+Data!L78+Data!M78+Data!N78+Data!O78+Data!P78+Data!Q78+Data!R78+Data!S78+Data!D79+Data!E79+Data!F79+Data!G79+Data!H79+Data!I79+Data!J79+Data!K79+Data!L79+Data!M79+Data!N79+Data!O79+Data!P79+Data!Q79+Data!R79+Data!S79+Data!D80+Data!E80+Data!F80+Data!G80+Data!H80+Data!I80+Data!J80+Data!K80+Data!L80+Data!M80+Data!N80+Data!O80+Data!P80+Data!Q80+Data!R80+Data!S80+Data!D81+Data!E81+Data!F81+Data!G81+Data!H81+Data!I81+Data!J81+Data!K81+Data!L81+Data!M81+Data!N81+Data!O81+Data!P81+Data!Q81+Data!R81+Data!S81+Data!D82+Data!E82+Data!F82+Data!G82+Data!H82+Data!I82+Data!J82+Data!K82+Data!L82+Data!M82+Data!N82+Data!O82+Data!P82+Data!Q82+Data!R82+Data!S82+Data!D83+Data!E83+Data!F83+Data!G83+Data!H83+Data!I83+Data!J83+Data!K83+Data!L83+Data!M83+Data!N83+Data!O83+Data!P83+Data!Q83+Data!R83+Data!S83+Data!D84+Data!E84+Data!F84+Data!G84+Data!H84+Data!I84+Data!J84+Data!K84+Data!L84+Data!M84+Data!N84+Data!O84+Data!P84+Data!Q84+Data!R84+Data!S84+Data!D85+Data!E85+Data!F85+Data!G85+Data!H85+Data!I85+Data!J85+Data!K85+Data!L85+Data!M85+Data!N85+Data!O85+Data!P85+Data!Q85+Data!R85+Data!S85+Data!D86+Data!E86+Data!F86+Data!G86+Data!H86+Data!I86+Data!J86+Data!K86+Data!L86+Data!M86+Data!N86+Data!O86+Data!P86+Data!Q86+Data!R86+Data!S86+Data!D87+Data!E87+Data!F87+Data!G87+Data!H87+Data!I87+Data!J87+Data!K87+Data!L87+Data!M87+Data!N87+Data!O87+Data!P87+Data!Q87+Data!R87+Data!S87+Data!D88+Data!E88+Data!F88+Data!G88+Data!H88+Data!I88+Data!J88+Data!K88+Data!L88+Data!M88+Data!N88+Data!O88+Data!P88+Data!Q88+Data!R88+Data!S88)/(Data!AP77+Data!AP78+Data!AP79+Data!AP80+Data!AP81+Data!AP82+Data!AP83+Data!AP84+Data!AP85+Data!AP86+Data!AP87+Data!AP88)</f>
        <v>0.184858178616897</v>
      </c>
      <c r="D88" s="18" t="n">
        <f aca="false">(Data!D77+Data!E77+Data!G77+Data!H77+Data!I77+Data!J77+Data!K77+Data!L77+Data!M77+Data!D78+Data!E78+Data!G78+Data!H78+Data!I78+Data!J78+Data!K78+Data!L78+Data!M78+Data!D79+Data!E79+Data!G79+Data!H79+Data!I79+Data!J79+Data!K79+Data!L79+Data!M79+Data!D80+Data!E80+Data!G80+Data!H80+Data!I80+Data!J80+Data!K80+Data!L80+Data!M80+Data!D81+Data!E81+Data!G81+Data!H81+Data!I81+Data!J81+Data!K81+Data!L81+Data!M81+Data!D82+Data!E82+Data!G82+Data!H82+Data!I82+Data!J82+Data!K82+Data!L82+Data!M82+Data!D83+Data!E83+Data!G83+Data!H83+Data!I83+Data!J83+Data!K83+Data!L83+Data!M83+Data!D84+Data!E84+Data!G84+Data!H84+Data!I84+Data!J84+Data!K84+Data!L84+Data!M84+Data!D85+Data!E85+Data!G85+Data!H85+Data!I85+Data!J85+Data!K85+Data!L85+Data!M85+Data!D86+Data!E86+Data!G86+Data!H86+Data!I86+Data!J86+Data!K86+Data!L86+Data!M86+Data!D87+Data!E87+Data!G87+Data!H87+Data!I87+Data!J87+Data!K87+Data!L87+Data!M87+Data!D88+Data!E88+Data!G88+Data!H88+Data!I88+Data!J88+Data!K88+Data!L88+Data!M88)/(Data!AP77+Data!AP78+Data!AP79+Data!AP80+Data!AP81+Data!AP82+Data!AP83+Data!AP84+Data!AP85+Data!AP86+Data!AP87+Data!AP88)</f>
        <v>0.111695936997198</v>
      </c>
      <c r="E88" s="18" t="n">
        <f aca="false">(Data!D77+Data!D78+Data!D79+Data!D80+Data!D81+Data!D82+Data!D83+Data!D84+Data!D85+Data!D86+Data!D87+Data!D88)/(Data!AP77+Data!AP78+Data!AP79+Data!AP80+Data!AP81+Data!AP82+Data!AP83+Data!AP84+Data!AP85+Data!AP86+Data!AP87+Data!AP88)</f>
        <v>0.0317319303555325</v>
      </c>
      <c r="F88" s="18" t="n">
        <f aca="false">(Data!E77+Data!E78+Data!E79+Data!E80+Data!E81+Data!E82+Data!E83+Data!E84+Data!E85+Data!E86+Data!E87+Data!E88)/(Data!AP77+Data!AP78+Data!AP79+Data!AP80+Data!AP81+Data!AP82+Data!AP83+Data!AP84+Data!AP85+Data!AP86+Data!AP87+Data!AP88)</f>
        <v>0.0198094778096099</v>
      </c>
      <c r="G88" s="18" t="n">
        <f aca="false">(Data!K77+Data!K78+Data!K79+Data!K80+Data!K81+Data!K82+Data!K83+Data!K84+Data!K85+Data!K86+Data!K87+Data!K88)/(Data!AP77+Data!AP78+Data!AP79+Data!AP80+Data!AP81+Data!AP82+Data!AP83+Data!AP84+Data!AP85+Data!AP86+Data!AP87+Data!AP88)</f>
        <v>0.0197229627657428</v>
      </c>
      <c r="H88" s="18" t="n">
        <f aca="false">(Data!L77+Data!L78+Data!L79+Data!L80+Data!L81+Data!L82+Data!L83+Data!L84+Data!L85+Data!L86+Data!L87+Data!L88)/(Data!AP77+Data!AP78+Data!AP79+Data!AP80+Data!AP81+Data!AP82+Data!AP83+Data!AP84+Data!AP85+Data!AP86+Data!AP87+Data!AP88)</f>
        <v>0.00639732707807972</v>
      </c>
      <c r="I88" s="18" t="n">
        <f aca="false">(Data!G77+Data!G78+Data!G79+Data!G80+Data!G81+Data!G82+Data!G83+Data!G84+Data!G85+Data!G86+Data!G87+Data!G88)/(Data!AP77+Data!AP78+Data!AP79+Data!AP80+Data!AP81+Data!AP82+Data!AP83+Data!AP84+Data!AP85+Data!AP86+Data!AP87+Data!AP88)</f>
        <v>0.0159234598644689</v>
      </c>
      <c r="J88" s="18" t="n">
        <f aca="false">(Data!H77+Data!I77+Data!J77+Data!M77+Data!H78+Data!I78+Data!J78+Data!M78+Data!H79+Data!I79+Data!J79+Data!M79+Data!H80+Data!I80+Data!J80+Data!M80+Data!H81+Data!I81+Data!J81+Data!M81+Data!H82+Data!I82+Data!J82+Data!M82+Data!H83+Data!I83+Data!J83+Data!M83+Data!H84+Data!I84+Data!J84+Data!M84+Data!H85+Data!I85+Data!J85+Data!M85+Data!H86+Data!I86+Data!J86+Data!M86+Data!H87+Data!I87+Data!J87+Data!M87+Data!H88+Data!I88+Data!J88+Data!M88)/(Data!AP77+Data!AP78+Data!AP79+Data!AP80+Data!AP81+Data!AP82+Data!AP83+Data!AP84+Data!AP85+Data!AP86+Data!AP87+Data!AP88)</f>
        <v>0.0181107791237644</v>
      </c>
      <c r="K88" s="18" t="n">
        <f aca="false">(Data!F77+Data!F78+Data!F79+Data!F80+Data!F81+Data!F82+Data!F83+Data!F84+Data!F85+Data!F86+Data!F87+Data!F88)/(Data!AP77+Data!AP78+Data!AP79+Data!AP80+Data!AP81+Data!AP82+Data!AP83+Data!AP84+Data!AP85+Data!AP86+Data!AP87+Data!AP88)</f>
        <v>0.0518776668076681</v>
      </c>
      <c r="L88" s="18" t="n">
        <f aca="false">(Data!N77+Data!O77+Data!P77+Data!Q77+Data!R77+Data!S77+Data!N78+Data!O78+Data!P78+Data!Q78+Data!R78+Data!S78+Data!N79+Data!O79+Data!P79+Data!Q79+Data!R79+Data!S79+Data!N80+Data!O80+Data!P80+Data!Q80+Data!R80+Data!S80+Data!N81+Data!O81+Data!P81+Data!Q81+Data!R81+Data!S81+Data!N82+Data!O82+Data!P82+Data!Q82+Data!R82+Data!S82+Data!N83+Data!O83+Data!P83+Data!Q83+Data!R83+Data!S83+Data!N84+Data!O84+Data!P84+Data!Q84+Data!R84+Data!S84+Data!N85+Data!O85+Data!P85+Data!Q85+Data!R85+Data!S85+Data!N86+Data!O86+Data!P86+Data!Q86+Data!R86+Data!S86+Data!N87+Data!O87+Data!P87+Data!Q87+Data!R87+Data!S87+Data!N88+Data!O88+Data!P88+Data!Q88+Data!R88+Data!S88)/(Data!AP77+Data!AP78+Data!AP79+Data!AP80+Data!AP81+Data!AP82+Data!AP83+Data!AP84+Data!AP85+Data!AP86+Data!AP87+Data!AP88)</f>
        <v>0.0212845748120309</v>
      </c>
      <c r="M88" s="17" t="n">
        <f aca="false">(Data!T77+Data!U77+Data!V77+Data!W77+Data!X77+Data!Y77+Data!Z77+Data!AA77+Data!AB77+Data!AC77+Data!AD77+Data!AE77+Data!AF77+Data!AG77+Data!AH77+Data!AI77+Data!AJ77+Data!AK77+Data!AL77+Data!T78+Data!U78+Data!V78+Data!W78+Data!X78+Data!Y78+Data!Z78+Data!AA78+Data!AB78+Data!AC78+Data!AD78+Data!AE78+Data!AF78+Data!AG78+Data!AH78+Data!AI78+Data!AJ78+Data!AK78+Data!AL78+Data!T79+Data!U79+Data!V79+Data!W79+Data!X79+Data!Y79+Data!Z79+Data!AA79+Data!AB79+Data!AC79+Data!AD79+Data!AE79+Data!AF79+Data!AG79+Data!AH79+Data!AI79+Data!AJ79+Data!AK79+Data!AL79+Data!T80+Data!U80+Data!V80+Data!W80+Data!X80+Data!Y80+Data!Z80+Data!AA80+Data!AB80+Data!AC80+Data!AD80+Data!AE80+Data!AF80+Data!AG80+Data!AH80+Data!AI80+Data!AJ80+Data!AK80+Data!AL80+Data!T81+Data!U81+Data!V81+Data!W81+Data!X81+Data!Y81+Data!Z81+Data!AA81+Data!AB81+Data!AC81+Data!AD81+Data!AE81+Data!AF81+Data!AG81+Data!AH81+Data!AI81+Data!AJ81+Data!AK81+Data!AL81+Data!T82+Data!U82+Data!V82+Data!W82+Data!X82+Data!Y82+Data!Z82+Data!AA82+Data!AB82+Data!AC82+Data!AD82+Data!AE82+Data!AF82+Data!AG82+Data!AH82+Data!AI82+Data!AJ82+Data!AK82+Data!AL82+Data!T83+Data!U83+Data!V83+Data!W83+Data!X83+Data!Y83+Data!Z83+Data!AA83+Data!AB83+Data!AC83+Data!AD83+Data!AE83+Data!AF83+Data!AG83+Data!AH83+Data!AI83+Data!AJ83+Data!AK83+Data!AL83+Data!T84+Data!U84+Data!V84+Data!W84+Data!X84+Data!Y84+Data!Z84+Data!AA84+Data!AB84+Data!AC84+Data!AD84+Data!AE84+Data!AF84+Data!AG84+Data!AH84+Data!AI84+Data!AJ84+Data!AK84+Data!AL84+Data!T85+Data!U85+Data!V85+Data!W85+Data!X85+Data!Y85+Data!Z85+Data!AA85+Data!AB85+Data!AC85+Data!AD85+Data!AE85+Data!AF85+Data!AG85+Data!AH85+Data!AI85+Data!AJ85+Data!AK85+Data!AL85+Data!T86+Data!U86+Data!V86+Data!W86+Data!X86+Data!Y86+Data!Z86+Data!AA86+Data!AB86+Data!AC86+Data!AD86+Data!AE86+Data!AF86+Data!AG86+Data!AH86+Data!AI86+Data!AJ86+Data!AK86+Data!AL86+Data!T87+Data!U87+Data!V87+Data!W87+Data!X87+Data!Y87+Data!Z87+Data!AA87+Data!AB87+Data!AC87+Data!AD87+Data!AE87+Data!AF87+Data!AG87+Data!AH87+Data!AI87+Data!AJ87+Data!AK87+Data!AL87+Data!T88+Data!U88+Data!V88+Data!W88+Data!X88+Data!Y88+Data!Z88+Data!AA88+Data!AB88+Data!AC88+Data!AD88+Data!AE88+Data!AF88+Data!AG88+Data!AH88+Data!AI88+Data!AJ88+Data!AK88+Data!AL88)/(Data!AP77+Data!AP78+Data!AP79+Data!AP80+Data!AP81+Data!AP82+Data!AP83+Data!AP84+Data!AP85+Data!AP86+Data!AP87+Data!AP88)</f>
        <v>0.206718077796536</v>
      </c>
      <c r="N88" s="18" t="n">
        <f aca="false">(Data!T77+Data!U77+Data!V77+Data!W77+Data!T78+Data!U78+Data!V78+Data!W78+Data!T79+Data!U79+Data!V79+Data!W79+Data!T80+Data!U80+Data!V80+Data!W80+Data!T81+Data!U81+Data!V81+Data!W81+Data!T82+Data!U82+Data!V82+Data!W82+Data!T83+Data!U83+Data!V83+Data!W83+Data!T84+Data!U84+Data!V84+Data!W84+Data!T85+Data!U85+Data!V85+Data!W85+Data!T86+Data!U86+Data!V86+Data!W86+Data!T87+Data!U87+Data!V87+Data!W87+Data!T88+Data!U88+Data!V88+Data!W88)/(Data!AP77+Data!AP78+Data!AP79+Data!AP80+Data!AP81+Data!AP82+Data!AP83+Data!AP84+Data!AP85+Data!AP86+Data!AP87+Data!AP88)</f>
        <v>0.0957039742594414</v>
      </c>
      <c r="O88" s="18" t="n">
        <f aca="false">(Data!T77+Data!T78+Data!T79+Data!T80+Data!T81+Data!T82+Data!T83+Data!T84+Data!T85+Data!T86+Data!T87+Data!T88)/(Data!AP77+Data!AP78+Data!AP79+Data!AP80+Data!AP81+Data!AP82+Data!AP83+Data!AP84+Data!AP85+Data!AP86+Data!AP87+Data!AP88)</f>
        <v>0.0690844264150828</v>
      </c>
      <c r="P88" s="18" t="n">
        <f aca="false">(Data!U77+Data!U78+Data!U79+Data!U80+Data!U81+Data!U82+Data!U83+Data!U84+Data!U85+Data!U86+Data!U87+Data!U88)/(Data!AP77+Data!AP78+Data!AP79+Data!AP80+Data!AP81+Data!AP82+Data!AP83+Data!AP84+Data!AP85+Data!AP86+Data!AP87+Data!AP88)</f>
        <v>0.0121593476426637</v>
      </c>
      <c r="Q88" s="18" t="n">
        <f aca="false">(Data!V77+Data!V78+Data!V79+Data!V80+Data!V81+Data!V82+Data!V83+Data!V84+Data!V85+Data!V86+Data!V87+Data!V88)/(Data!AP77+Data!AP78+Data!AP79+Data!AP80+Data!AP81+Data!AP82+Data!AP83+Data!AP84+Data!AP85+Data!AP86+Data!AP87+Data!AP88)</f>
        <v>0.00724740445783724</v>
      </c>
      <c r="R88" s="18" t="n">
        <f aca="false">(Data!W77+Data!W78+Data!W79+Data!W80+Data!W81+Data!W82+Data!W83+Data!W84+Data!W85+Data!W86+Data!W87+Data!W88)/(Data!AP77+Data!AP78+Data!AP79+Data!AP80+Data!AP81+Data!AP82+Data!AP83+Data!AP84+Data!AP85+Data!AP86+Data!AP87+Data!AP88)</f>
        <v>0.00721279574385771</v>
      </c>
      <c r="S88" s="18" t="n">
        <f aca="false">(Data!X77+Data!X78+Data!X79+Data!X80+Data!X81+Data!X82+Data!X83+Data!X84+Data!X85+Data!X86+Data!X87+Data!X88)/(Data!AP77+Data!AP78+Data!AP79+Data!AP80+Data!AP81+Data!AP82+Data!AP83+Data!AP84+Data!AP85+Data!AP86+Data!AP87+Data!AP88)</f>
        <v>0.0177290855898826</v>
      </c>
      <c r="T88" s="18" t="n">
        <f aca="false">(Data!Y77+Data!Z77+Data!AA77+Data!Y78+Data!Z78+Data!AA78+Data!Y79+Data!Z79+Data!AA79+Data!Y80+Data!Z80+Data!AA80+Data!Y81+Data!Z81+Data!AA81+Data!Y82+Data!Z82+Data!AA82+Data!Y83+Data!Z83+Data!AA83+Data!Y84+Data!Z84+Data!AA84+Data!Y85+Data!Z85+Data!AA85+Data!Y86+Data!Z86+Data!AA86+Data!Y87+Data!Z87+Data!AA87+Data!Y88+Data!Z88+Data!AA88)/(Data!AP77+Data!AP78+Data!AP79+Data!AP80+Data!AP81+Data!AP82+Data!AP83+Data!AP84+Data!AP85+Data!AP86+Data!AP87+Data!AP88)</f>
        <v>0.02885491753475</v>
      </c>
      <c r="U88" s="18" t="n">
        <f aca="false">(Data!Y77+Data!Y78+Data!Y79+Data!Y80+Data!Y81+Data!Y82+Data!Y83+Data!Y84+Data!Y85+Data!Y86+Data!Y87+Data!Y88)/(Data!AP77+Data!AP78+Data!AP79+Data!AP80+Data!AP81+Data!AP82+Data!AP83+Data!AP84+Data!AP85+Data!AP86+Data!AP87+Data!AP88)</f>
        <v>0.022926796714526</v>
      </c>
      <c r="V88" s="18" t="n">
        <f aca="false">(Data!Z77+Data!Z78+Data!Z79+Data!Z80+Data!Z81+Data!Z82+Data!Z83+Data!Z84+Data!Z85+Data!Z86+Data!Z87+Data!Z88)/(Data!AP77+Data!AP78+Data!AP79+Data!AP80+Data!AP81+Data!AP82+Data!AP83+Data!AP84+Data!AP85+Data!AP86+Data!AP87+Data!AP88)</f>
        <v>0.00557874403250849</v>
      </c>
      <c r="W88" s="18" t="n">
        <f aca="false">(Data!AB77+Data!AB78+Data!AB79+Data!AB80+Data!AB81+Data!AB82+Data!AB83+Data!AB84+Data!AB85+Data!AB86+Data!AB87+Data!AB88)/(Data!AP77+Data!AP78+Data!AP79+Data!AP80+Data!AP81+Data!AP82+Data!AP83+Data!AP84+Data!AP85+Data!AP86+Data!AP87+Data!AP88)</f>
        <v>0.0235578563464855</v>
      </c>
      <c r="X88" s="18" t="n">
        <f aca="false">(Data!AC77+Data!AC78+Data!AC79+Data!AC80+Data!AC81+Data!AC82+Data!AC83+Data!AC84+Data!AC85+Data!AC86+Data!AC87+Data!AC88)/(Data!AP77+Data!AP78+Data!AP79+Data!AP80+Data!AP81+Data!AP82+Data!AP83+Data!AP84+Data!AP85+Data!AP86+Data!AP87+Data!AP88)</f>
        <v>0.00757055843733683</v>
      </c>
      <c r="Y88" s="18" t="n">
        <f aca="false">(Data!AD77+Data!AE77+Data!AF77+Data!AG77+Data!AH77+Data!AD78+Data!AE78+Data!AF78+Data!AG78+Data!AH78+Data!AD79+Data!AE79+Data!AF79+Data!AG79+Data!AH79+Data!AD80+Data!AE80+Data!AF80+Data!AG80+Data!AH80+Data!AD81+Data!AE81+Data!AF81+Data!AG81+Data!AH81+Data!AD82+Data!AE82+Data!AF82+Data!AG82+Data!AH82+Data!AD83+Data!AE83+Data!AF83+Data!AG83+Data!AH83+Data!AD84+Data!AE84+Data!AF84+Data!AG84+Data!AH84+Data!AD85+Data!AE85+Data!AF85+Data!AG85+Data!AH85+Data!AD86+Data!AE86+Data!AF86+Data!AG86+Data!AH86+Data!AD87+Data!AE87+Data!AF87+Data!AG87+Data!AH87+Data!AD88+Data!AE88+Data!AF88+Data!AG88+Data!AH88)/(Data!AP77+Data!AP78+Data!AP79+Data!AP80+Data!AP81+Data!AP82+Data!AP83+Data!AP84+Data!AP85+Data!AP86+Data!AP87+Data!AP88)</f>
        <v>0.00705428594632854</v>
      </c>
      <c r="Z88" s="18" t="n">
        <f aca="false">(Data!AI77+Data!AI78+Data!AI79+Data!AI80+Data!AI81+Data!AI82+Data!AI83+Data!AI84+Data!AI85+Data!AI86+Data!AI87+Data!AI88)/(Data!AP77+Data!AP78+Data!AP79+Data!AP80+Data!AP81+Data!AP82+Data!AP83+Data!AP84+Data!AP85+Data!AP86+Data!AP87+Data!AP88)</f>
        <v>0.00611226021077031</v>
      </c>
      <c r="AA88" s="18" t="n">
        <f aca="false">(Data!AJ77+Data!AJ78+Data!AJ79+Data!AJ80+Data!AJ81+Data!AJ82+Data!AJ83+Data!AJ84+Data!AJ85+Data!AJ86+Data!AJ87+Data!AJ88)/(Data!AP77+Data!AP78+Data!AP79+Data!AP80+Data!AP81+Data!AP82+Data!AP83+Data!AP84+Data!AP85+Data!AP86+Data!AP87+Data!AP88)</f>
        <v>0</v>
      </c>
      <c r="AB88" s="18" t="n">
        <f aca="false">(Data!AK77+Data!AK78+Data!AK79+Data!AK80+Data!AK81+Data!AK82+Data!AK83+Data!AK84+Data!AK85+Data!AK86+Data!AK87+Data!AK88)/(Data!AP77+Data!AP78+Data!AP79+Data!AP80+Data!AP81+Data!AP82+Data!AP83+Data!AP84+Data!AP85+Data!AP86+Data!AP87+Data!AP88)</f>
        <v>0.00408268226567836</v>
      </c>
      <c r="AC88" s="18" t="n">
        <f aca="false">(Data!AL77+Data!AL78+Data!AL79+Data!AL80+Data!AL81+Data!AL82+Data!AL83+Data!AL84+Data!AL85+Data!AL86+Data!AL87+Data!AL88)/(Data!AP77+Data!AP78+Data!AP79+Data!AP80+Data!AP81+Data!AP82+Data!AP83+Data!AP84+Data!AP85+Data!AP86+Data!AP87+Data!AP88)</f>
        <v>0.016052457205862</v>
      </c>
      <c r="AD88" s="17" t="n">
        <f aca="false">(Data!AM77+Data!AM78+Data!AM79+Data!AM80+Data!AM81+Data!AM82+Data!AM83+Data!AM84+Data!AM85+Data!AM86+Data!AM87+Data!AM88)/(Data!AP77+Data!AP78+Data!AP79+Data!AP80+Data!AP81+Data!AP82+Data!AP83+Data!AP84+Data!AP85+Data!AP86+Data!AP87+Data!AP88)</f>
        <v>-0.0218598991796385</v>
      </c>
      <c r="AE88" s="18" t="n">
        <f aca="false">(Data!AN77+Data!AN78+Data!AN79+Data!AN80+Data!AN81+Data!AN82+Data!AN83+Data!AN84+Data!AN85+Data!AN86+Data!AN87+Data!AN88)/(Data!AP77+Data!AP78+Data!AP79+Data!AP80+Data!AP81+Data!AP82+Data!AP83+Data!AP84+Data!AP85+Data!AP86+Data!AP87+Data!AP88)</f>
        <v>0.0144133631653237</v>
      </c>
      <c r="AF88" s="17" t="n">
        <f aca="false">(Data!AO77+Data!AO78+Data!AO79+Data!AO80+Data!AO81+Data!AO82+Data!AO83+Data!AO84+Data!AO85+Data!AO86+Data!AO87+Data!AO88)/(Data!AP77+Data!AP78+Data!AP79+Data!AP80+Data!AP81+Data!AP82+Data!AP83+Data!AP84+Data!AP85+Data!AP86+Data!AP87+Data!AP88)</f>
        <v>-0.0362732623449622</v>
      </c>
    </row>
    <row r="89" customFormat="false" ht="15" hidden="false" customHeight="false" outlineLevel="0" collapsed="false">
      <c r="B89" s="14" t="str">
        <f aca="false">Data!B89</f>
        <v>2022-11</v>
      </c>
      <c r="C89" s="17" t="n">
        <f aca="false">(Data!D78+Data!E78+Data!F78+Data!G78+Data!H78+Data!I78+Data!J78+Data!K78+Data!L78+Data!M78+Data!N78+Data!O78+Data!P78+Data!Q78+Data!R78+Data!S78+Data!D79+Data!E79+Data!F79+Data!G79+Data!H79+Data!I79+Data!J79+Data!K79+Data!L79+Data!M79+Data!N79+Data!O79+Data!P79+Data!Q79+Data!R79+Data!S79+Data!D80+Data!E80+Data!F80+Data!G80+Data!H80+Data!I80+Data!J80+Data!K80+Data!L80+Data!M80+Data!N80+Data!O80+Data!P80+Data!Q80+Data!R80+Data!S80+Data!D81+Data!E81+Data!F81+Data!G81+Data!H81+Data!I81+Data!J81+Data!K81+Data!L81+Data!M81+Data!N81+Data!O81+Data!P81+Data!Q81+Data!R81+Data!S81+Data!D82+Data!E82+Data!F82+Data!G82+Data!H82+Data!I82+Data!J82+Data!K82+Data!L82+Data!M82+Data!N82+Data!O82+Data!P82+Data!Q82+Data!R82+Data!S82+Data!D83+Data!E83+Data!F83+Data!G83+Data!H83+Data!I83+Data!J83+Data!K83+Data!L83+Data!M83+Data!N83+Data!O83+Data!P83+Data!Q83+Data!R83+Data!S83+Data!D84+Data!E84+Data!F84+Data!G84+Data!H84+Data!I84+Data!J84+Data!K84+Data!L84+Data!M84+Data!N84+Data!O84+Data!P84+Data!Q84+Data!R84+Data!S84+Data!D85+Data!E85+Data!F85+Data!G85+Data!H85+Data!I85+Data!J85+Data!K85+Data!L85+Data!M85+Data!N85+Data!O85+Data!P85+Data!Q85+Data!R85+Data!S85+Data!D86+Data!E86+Data!F86+Data!G86+Data!H86+Data!I86+Data!J86+Data!K86+Data!L86+Data!M86+Data!N86+Data!O86+Data!P86+Data!Q86+Data!R86+Data!S86+Data!D87+Data!E87+Data!F87+Data!G87+Data!H87+Data!I87+Data!J87+Data!K87+Data!L87+Data!M87+Data!N87+Data!O87+Data!P87+Data!Q87+Data!R87+Data!S87+Data!D88+Data!E88+Data!F88+Data!G88+Data!H88+Data!I88+Data!J88+Data!K88+Data!L88+Data!M88+Data!N88+Data!O88+Data!P88+Data!Q88+Data!R88+Data!S88+Data!D89+Data!E89+Data!F89+Data!G89+Data!H89+Data!I89+Data!J89+Data!K89+Data!L89+Data!M89+Data!N89+Data!O89+Data!P89+Data!Q89+Data!R89+Data!S89)/(Data!AP78+Data!AP79+Data!AP80+Data!AP81+Data!AP82+Data!AP83+Data!AP84+Data!AP85+Data!AP86+Data!AP87+Data!AP88+Data!AP89)</f>
        <v>0.183057445889515</v>
      </c>
      <c r="D89" s="18" t="n">
        <f aca="false">(Data!D78+Data!E78+Data!G78+Data!H78+Data!I78+Data!J78+Data!K78+Data!L78+Data!M78+Data!D79+Data!E79+Data!G79+Data!H79+Data!I79+Data!J79+Data!K79+Data!L79+Data!M79+Data!D80+Data!E80+Data!G80+Data!H80+Data!I80+Data!J80+Data!K80+Data!L80+Data!M80+Data!D81+Data!E81+Data!G81+Data!H81+Data!I81+Data!J81+Data!K81+Data!L81+Data!M81+Data!D82+Data!E82+Data!G82+Data!H82+Data!I82+Data!J82+Data!K82+Data!L82+Data!M82+Data!D83+Data!E83+Data!G83+Data!H83+Data!I83+Data!J83+Data!K83+Data!L83+Data!M83+Data!D84+Data!E84+Data!G84+Data!H84+Data!I84+Data!J84+Data!K84+Data!L84+Data!M84+Data!D85+Data!E85+Data!G85+Data!H85+Data!I85+Data!J85+Data!K85+Data!L85+Data!M85+Data!D86+Data!E86+Data!G86+Data!H86+Data!I86+Data!J86+Data!K86+Data!L86+Data!M86+Data!D87+Data!E87+Data!G87+Data!H87+Data!I87+Data!J87+Data!K87+Data!L87+Data!M87+Data!D88+Data!E88+Data!G88+Data!H88+Data!I88+Data!J88+Data!K88+Data!L88+Data!M88+Data!D89+Data!E89+Data!G89+Data!H89+Data!I89+Data!J89+Data!K89+Data!L89+Data!M89)/(Data!AP78+Data!AP79+Data!AP80+Data!AP81+Data!AP82+Data!AP83+Data!AP84+Data!AP85+Data!AP86+Data!AP87+Data!AP88+Data!AP89)</f>
        <v>0.110473739994498</v>
      </c>
      <c r="E89" s="18" t="n">
        <f aca="false">(Data!D78+Data!D79+Data!D80+Data!D81+Data!D82+Data!D83+Data!D84+Data!D85+Data!D86+Data!D87+Data!D88+Data!D89)/(Data!AP78+Data!AP79+Data!AP80+Data!AP81+Data!AP82+Data!AP83+Data!AP84+Data!AP85+Data!AP86+Data!AP87+Data!AP88+Data!AP89)</f>
        <v>0.0318316087307291</v>
      </c>
      <c r="F89" s="18" t="n">
        <f aca="false">(Data!E78+Data!E79+Data!E80+Data!E81+Data!E82+Data!E83+Data!E84+Data!E85+Data!E86+Data!E87+Data!E88+Data!E89)/(Data!AP78+Data!AP79+Data!AP80+Data!AP81+Data!AP82+Data!AP83+Data!AP84+Data!AP85+Data!AP86+Data!AP87+Data!AP88+Data!AP89)</f>
        <v>0.0201772803740318</v>
      </c>
      <c r="G89" s="18" t="n">
        <f aca="false">(Data!K78+Data!K79+Data!K80+Data!K81+Data!K82+Data!K83+Data!K84+Data!K85+Data!K86+Data!K87+Data!K88+Data!K89)/(Data!AP78+Data!AP79+Data!AP80+Data!AP81+Data!AP82+Data!AP83+Data!AP84+Data!AP85+Data!AP86+Data!AP87+Data!AP88+Data!AP89)</f>
        <v>0.0183815692065546</v>
      </c>
      <c r="H89" s="18" t="n">
        <f aca="false">(Data!L78+Data!L79+Data!L80+Data!L81+Data!L82+Data!L83+Data!L84+Data!L85+Data!L86+Data!L87+Data!L88+Data!L89)/(Data!AP78+Data!AP79+Data!AP80+Data!AP81+Data!AP82+Data!AP83+Data!AP84+Data!AP85+Data!AP86+Data!AP87+Data!AP88+Data!AP89)</f>
        <v>0.00638423596784986</v>
      </c>
      <c r="I89" s="18" t="n">
        <f aca="false">(Data!G78+Data!G79+Data!G80+Data!G81+Data!G82+Data!G83+Data!G84+Data!G85+Data!G86+Data!G87+Data!G88+Data!G89)/(Data!AP78+Data!AP79+Data!AP80+Data!AP81+Data!AP82+Data!AP83+Data!AP84+Data!AP85+Data!AP86+Data!AP87+Data!AP88+Data!AP89)</f>
        <v>0.0159094346941159</v>
      </c>
      <c r="J89" s="18" t="n">
        <f aca="false">(Data!H78+Data!I78+Data!J78+Data!M78+Data!H79+Data!I79+Data!J79+Data!M79+Data!H80+Data!I80+Data!J80+Data!M80+Data!H81+Data!I81+Data!J81+Data!M81+Data!H82+Data!I82+Data!J82+Data!M82+Data!H83+Data!I83+Data!J83+Data!M83+Data!H84+Data!I84+Data!J84+Data!M84+Data!H85+Data!I85+Data!J85+Data!M85+Data!H86+Data!I86+Data!J86+Data!M86+Data!H87+Data!I87+Data!J87+Data!M87+Data!H88+Data!I88+Data!J88+Data!M88+Data!H89+Data!I89+Data!J89+Data!M89)/(Data!AP78+Data!AP79+Data!AP80+Data!AP81+Data!AP82+Data!AP83+Data!AP84+Data!AP85+Data!AP86+Data!AP87+Data!AP88+Data!AP89)</f>
        <v>0.0177896110212167</v>
      </c>
      <c r="K89" s="18" t="n">
        <f aca="false">(Data!F78+Data!F79+Data!F80+Data!F81+Data!F82+Data!F83+Data!F84+Data!F85+Data!F86+Data!F87+Data!F88+Data!F89)/(Data!AP78+Data!AP79+Data!AP80+Data!AP81+Data!AP82+Data!AP83+Data!AP84+Data!AP85+Data!AP86+Data!AP87+Data!AP88+Data!AP89)</f>
        <v>0.0517635099656582</v>
      </c>
      <c r="L89" s="18" t="n">
        <f aca="false">(Data!N78+Data!O78+Data!P78+Data!Q78+Data!R78+Data!S78+Data!N79+Data!O79+Data!P79+Data!Q79+Data!R79+Data!S79+Data!N80+Data!O80+Data!P80+Data!Q80+Data!R80+Data!S80+Data!N81+Data!O81+Data!P81+Data!Q81+Data!R81+Data!S81+Data!N82+Data!O82+Data!P82+Data!Q82+Data!R82+Data!S82+Data!N83+Data!O83+Data!P83+Data!Q83+Data!R83+Data!S83+Data!N84+Data!O84+Data!P84+Data!Q84+Data!R84+Data!S84+Data!N85+Data!O85+Data!P85+Data!Q85+Data!R85+Data!S85+Data!N86+Data!O86+Data!P86+Data!Q86+Data!R86+Data!S86+Data!N87+Data!O87+Data!P87+Data!Q87+Data!R87+Data!S87+Data!N88+Data!O88+Data!P88+Data!Q88+Data!R88+Data!S88+Data!N89+Data!O89+Data!P89+Data!Q89+Data!R89+Data!S89)/(Data!AP78+Data!AP79+Data!AP80+Data!AP81+Data!AP82+Data!AP83+Data!AP84+Data!AP85+Data!AP86+Data!AP87+Data!AP88+Data!AP89)</f>
        <v>0.0208201959293587</v>
      </c>
      <c r="M89" s="17" t="n">
        <f aca="false">(Data!T78+Data!U78+Data!V78+Data!W78+Data!X78+Data!Y78+Data!Z78+Data!AA78+Data!AB78+Data!AC78+Data!AD78+Data!AE78+Data!AF78+Data!AG78+Data!AH78+Data!AI78+Data!AJ78+Data!AK78+Data!AL78+Data!T79+Data!U79+Data!V79+Data!W79+Data!X79+Data!Y79+Data!Z79+Data!AA79+Data!AB79+Data!AC79+Data!AD79+Data!AE79+Data!AF79+Data!AG79+Data!AH79+Data!AI79+Data!AJ79+Data!AK79+Data!AL79+Data!T80+Data!U80+Data!V80+Data!W80+Data!X80+Data!Y80+Data!Z80+Data!AA80+Data!AB80+Data!AC80+Data!AD80+Data!AE80+Data!AF80+Data!AG80+Data!AH80+Data!AI80+Data!AJ80+Data!AK80+Data!AL80+Data!T81+Data!U81+Data!V81+Data!W81+Data!X81+Data!Y81+Data!Z81+Data!AA81+Data!AB81+Data!AC81+Data!AD81+Data!AE81+Data!AF81+Data!AG81+Data!AH81+Data!AI81+Data!AJ81+Data!AK81+Data!AL81+Data!T82+Data!U82+Data!V82+Data!W82+Data!X82+Data!Y82+Data!Z82+Data!AA82+Data!AB82+Data!AC82+Data!AD82+Data!AE82+Data!AF82+Data!AG82+Data!AH82+Data!AI82+Data!AJ82+Data!AK82+Data!AL82+Data!T83+Data!U83+Data!V83+Data!W83+Data!X83+Data!Y83+Data!Z83+Data!AA83+Data!AB83+Data!AC83+Data!AD83+Data!AE83+Data!AF83+Data!AG83+Data!AH83+Data!AI83+Data!AJ83+Data!AK83+Data!AL83+Data!T84+Data!U84+Data!V84+Data!W84+Data!X84+Data!Y84+Data!Z84+Data!AA84+Data!AB84+Data!AC84+Data!AD84+Data!AE84+Data!AF84+Data!AG84+Data!AH84+Data!AI84+Data!AJ84+Data!AK84+Data!AL84+Data!T85+Data!U85+Data!V85+Data!W85+Data!X85+Data!Y85+Data!Z85+Data!AA85+Data!AB85+Data!AC85+Data!AD85+Data!AE85+Data!AF85+Data!AG85+Data!AH85+Data!AI85+Data!AJ85+Data!AK85+Data!AL85+Data!T86+Data!U86+Data!V86+Data!W86+Data!X86+Data!Y86+Data!Z86+Data!AA86+Data!AB86+Data!AC86+Data!AD86+Data!AE86+Data!AF86+Data!AG86+Data!AH86+Data!AI86+Data!AJ86+Data!AK86+Data!AL86+Data!T87+Data!U87+Data!V87+Data!W87+Data!X87+Data!Y87+Data!Z87+Data!AA87+Data!AB87+Data!AC87+Data!AD87+Data!AE87+Data!AF87+Data!AG87+Data!AH87+Data!AI87+Data!AJ87+Data!AK87+Data!AL87+Data!T88+Data!U88+Data!V88+Data!W88+Data!X88+Data!Y88+Data!Z88+Data!AA88+Data!AB88+Data!AC88+Data!AD88+Data!AE88+Data!AF88+Data!AG88+Data!AH88+Data!AI88+Data!AJ88+Data!AK88+Data!AL88+Data!T89+Data!U89+Data!V89+Data!W89+Data!X89+Data!Y89+Data!Z89+Data!AA89+Data!AB89+Data!AC89+Data!AD89+Data!AE89+Data!AF89+Data!AG89+Data!AH89+Data!AI89+Data!AJ89+Data!AK89+Data!AL89)/(Data!AP78+Data!AP79+Data!AP80+Data!AP81+Data!AP82+Data!AP83+Data!AP84+Data!AP85+Data!AP86+Data!AP87+Data!AP88+Data!AP89)</f>
        <v>0.204943827772864</v>
      </c>
      <c r="N89" s="18" t="n">
        <f aca="false">(Data!T78+Data!U78+Data!V78+Data!W78+Data!T79+Data!U79+Data!V79+Data!W79+Data!T80+Data!U80+Data!V80+Data!W80+Data!T81+Data!U81+Data!V81+Data!W81+Data!T82+Data!U82+Data!V82+Data!W82+Data!T83+Data!U83+Data!V83+Data!W83+Data!T84+Data!U84+Data!V84+Data!W84+Data!T85+Data!U85+Data!V85+Data!W85+Data!T86+Data!U86+Data!V86+Data!W86+Data!T87+Data!U87+Data!V87+Data!W87+Data!T88+Data!U88+Data!V88+Data!W88+Data!T89+Data!U89+Data!V89+Data!W89)/(Data!AP78+Data!AP79+Data!AP80+Data!AP81+Data!AP82+Data!AP83+Data!AP84+Data!AP85+Data!AP86+Data!AP87+Data!AP88+Data!AP89)</f>
        <v>0.0948741342794333</v>
      </c>
      <c r="O89" s="18" t="n">
        <f aca="false">(Data!T78+Data!T79+Data!T80+Data!T81+Data!T82+Data!T83+Data!T84+Data!T85+Data!T86+Data!T87+Data!T88+Data!T89)/(Data!AP78+Data!AP79+Data!AP80+Data!AP81+Data!AP82+Data!AP83+Data!AP84+Data!AP85+Data!AP86+Data!AP87+Data!AP88+Data!AP89)</f>
        <v>0.0682903942949787</v>
      </c>
      <c r="P89" s="18" t="n">
        <f aca="false">(Data!U78+Data!U79+Data!U80+Data!U81+Data!U82+Data!U83+Data!U84+Data!U85+Data!U86+Data!U87+Data!U88+Data!U89)/(Data!AP78+Data!AP79+Data!AP80+Data!AP81+Data!AP82+Data!AP83+Data!AP84+Data!AP85+Data!AP86+Data!AP87+Data!AP88+Data!AP89)</f>
        <v>0.0119958397486524</v>
      </c>
      <c r="Q89" s="18" t="n">
        <f aca="false">(Data!V78+Data!V79+Data!V80+Data!V81+Data!V82+Data!V83+Data!V84+Data!V85+Data!V86+Data!V87+Data!V88+Data!V89)/(Data!AP78+Data!AP79+Data!AP80+Data!AP81+Data!AP82+Data!AP83+Data!AP84+Data!AP85+Data!AP86+Data!AP87+Data!AP88+Data!AP89)</f>
        <v>0.0072585403623025</v>
      </c>
      <c r="R89" s="18" t="n">
        <f aca="false">(Data!W78+Data!W79+Data!W80+Data!W81+Data!W82+Data!W83+Data!W84+Data!W85+Data!W86+Data!W87+Data!W88+Data!W89)/(Data!AP78+Data!AP79+Data!AP80+Data!AP81+Data!AP82+Data!AP83+Data!AP84+Data!AP85+Data!AP86+Data!AP87+Data!AP88+Data!AP89)</f>
        <v>0.00732935987349961</v>
      </c>
      <c r="S89" s="18" t="n">
        <f aca="false">(Data!X78+Data!X79+Data!X80+Data!X81+Data!X82+Data!X83+Data!X84+Data!X85+Data!X86+Data!X87+Data!X88+Data!X89)/(Data!AP78+Data!AP79+Data!AP80+Data!AP81+Data!AP82+Data!AP83+Data!AP84+Data!AP85+Data!AP86+Data!AP87+Data!AP88+Data!AP89)</f>
        <v>0.0178975507808927</v>
      </c>
      <c r="T89" s="18" t="n">
        <f aca="false">(Data!Y78+Data!Z78+Data!AA78+Data!Y79+Data!Z79+Data!AA79+Data!Y80+Data!Z80+Data!AA80+Data!Y81+Data!Z81+Data!AA81+Data!Y82+Data!Z82+Data!AA82+Data!Y83+Data!Z83+Data!AA83+Data!Y84+Data!Z84+Data!AA84+Data!Y85+Data!Z85+Data!AA85+Data!Y86+Data!Z86+Data!AA86+Data!Y87+Data!Z87+Data!AA87+Data!Y88+Data!Z88+Data!AA88+Data!Y89+Data!Z89+Data!AA89)/(Data!AP78+Data!AP79+Data!AP80+Data!AP81+Data!AP82+Data!AP83+Data!AP84+Data!AP85+Data!AP86+Data!AP87+Data!AP88+Data!AP89)</f>
        <v>0.0278824891458169</v>
      </c>
      <c r="U89" s="18" t="n">
        <f aca="false">(Data!Y78+Data!Y79+Data!Y80+Data!Y81+Data!Y82+Data!Y83+Data!Y84+Data!Y85+Data!Y86+Data!Y87+Data!Y88+Data!Y89)/(Data!AP78+Data!AP79+Data!AP80+Data!AP81+Data!AP82+Data!AP83+Data!AP84+Data!AP85+Data!AP86+Data!AP87+Data!AP88+Data!AP89)</f>
        <v>0.0220404538913066</v>
      </c>
      <c r="V89" s="18" t="n">
        <f aca="false">(Data!Z78+Data!Z79+Data!Z80+Data!Z81+Data!Z82+Data!Z83+Data!Z84+Data!Z85+Data!Z86+Data!Z87+Data!Z88+Data!Z89)/(Data!AP78+Data!AP79+Data!AP80+Data!AP81+Data!AP82+Data!AP83+Data!AP84+Data!AP85+Data!AP86+Data!AP87+Data!AP88+Data!AP89)</f>
        <v>0.00551079958470965</v>
      </c>
      <c r="W89" s="18" t="n">
        <f aca="false">(Data!AB78+Data!AB79+Data!AB80+Data!AB81+Data!AB82+Data!AB83+Data!AB84+Data!AB85+Data!AB86+Data!AB87+Data!AB88+Data!AB89)/(Data!AP78+Data!AP79+Data!AP80+Data!AP81+Data!AP82+Data!AP83+Data!AP84+Data!AP85+Data!AP86+Data!AP87+Data!AP88+Data!AP89)</f>
        <v>0.0235158050601333</v>
      </c>
      <c r="X89" s="18" t="n">
        <f aca="false">(Data!AC78+Data!AC79+Data!AC80+Data!AC81+Data!AC82+Data!AC83+Data!AC84+Data!AC85+Data!AC86+Data!AC87+Data!AC88+Data!AC89)/(Data!AP78+Data!AP79+Data!AP80+Data!AP81+Data!AP82+Data!AP83+Data!AP84+Data!AP85+Data!AP86+Data!AP87+Data!AP88+Data!AP89)</f>
        <v>0.00745231112293193</v>
      </c>
      <c r="Y89" s="18" t="n">
        <f aca="false">(Data!AD78+Data!AE78+Data!AF78+Data!AG78+Data!AH78+Data!AD79+Data!AE79+Data!AF79+Data!AG79+Data!AH79+Data!AD80+Data!AE80+Data!AF80+Data!AG80+Data!AH80+Data!AD81+Data!AE81+Data!AF81+Data!AG81+Data!AH81+Data!AD82+Data!AE82+Data!AF82+Data!AG82+Data!AH82+Data!AD83+Data!AE83+Data!AF83+Data!AG83+Data!AH83+Data!AD84+Data!AE84+Data!AF84+Data!AG84+Data!AH84+Data!AD85+Data!AE85+Data!AF85+Data!AG85+Data!AH85+Data!AD86+Data!AE86+Data!AF86+Data!AG86+Data!AH86+Data!AD87+Data!AE87+Data!AF87+Data!AG87+Data!AH87+Data!AD88+Data!AE88+Data!AF88+Data!AG88+Data!AH88+Data!AD89+Data!AE89+Data!AF89+Data!AG89+Data!AH89)/(Data!AP78+Data!AP79+Data!AP80+Data!AP81+Data!AP82+Data!AP83+Data!AP84+Data!AP85+Data!AP86+Data!AP87+Data!AP88+Data!AP89)</f>
        <v>0.00689642646654918</v>
      </c>
      <c r="Z89" s="18" t="n">
        <f aca="false">(Data!AI78+Data!AI79+Data!AI80+Data!AI81+Data!AI82+Data!AI83+Data!AI84+Data!AI85+Data!AI86+Data!AI87+Data!AI88+Data!AI89)/(Data!AP78+Data!AP79+Data!AP80+Data!AP81+Data!AP82+Data!AP83+Data!AP84+Data!AP85+Data!AP86+Data!AP87+Data!AP88+Data!AP89)</f>
        <v>0.00605497885324674</v>
      </c>
      <c r="AA89" s="18" t="n">
        <f aca="false">(Data!AJ78+Data!AJ79+Data!AJ80+Data!AJ81+Data!AJ82+Data!AJ83+Data!AJ84+Data!AJ85+Data!AJ86+Data!AJ87+Data!AJ88+Data!AJ89)/(Data!AP78+Data!AP79+Data!AP80+Data!AP81+Data!AP82+Data!AP83+Data!AP84+Data!AP85+Data!AP86+Data!AP87+Data!AP88+Data!AP89)</f>
        <v>0</v>
      </c>
      <c r="AB89" s="18" t="n">
        <f aca="false">(Data!AK78+Data!AK79+Data!AK80+Data!AK81+Data!AK82+Data!AK83+Data!AK84+Data!AK85+Data!AK86+Data!AK87+Data!AK88+Data!AK89)/(Data!AP78+Data!AP79+Data!AP80+Data!AP81+Data!AP82+Data!AP83+Data!AP84+Data!AP85+Data!AP86+Data!AP87+Data!AP88+Data!AP89)</f>
        <v>0.00411599475972832</v>
      </c>
      <c r="AC89" s="18" t="n">
        <f aca="false">(Data!AL78+Data!AL79+Data!AL80+Data!AL81+Data!AL82+Data!AL83+Data!AL84+Data!AL85+Data!AL86+Data!AL87+Data!AL88+Data!AL89)/(Data!AP78+Data!AP79+Data!AP80+Data!AP81+Data!AP82+Data!AP83+Data!AP84+Data!AP85+Data!AP86+Data!AP87+Data!AP88+Data!AP89)</f>
        <v>0.0162541373041315</v>
      </c>
      <c r="AD89" s="17" t="n">
        <f aca="false">(Data!AM78+Data!AM79+Data!AM80+Data!AM81+Data!AM82+Data!AM83+Data!AM84+Data!AM85+Data!AM86+Data!AM87+Data!AM88+Data!AM89)/(Data!AP78+Data!AP79+Data!AP80+Data!AP81+Data!AP82+Data!AP83+Data!AP84+Data!AP85+Data!AP86+Data!AP87+Data!AP88+Data!AP89)</f>
        <v>-0.021886381883349</v>
      </c>
      <c r="AE89" s="18" t="n">
        <f aca="false">(Data!AN78+Data!AN79+Data!AN80+Data!AN81+Data!AN82+Data!AN83+Data!AN84+Data!AN85+Data!AN86+Data!AN87+Data!AN88+Data!AN89)/(Data!AP78+Data!AP79+Data!AP80+Data!AP81+Data!AP82+Data!AP83+Data!AP84+Data!AP85+Data!AP86+Data!AP87+Data!AP88+Data!AP89)</f>
        <v>0.0161484824565868</v>
      </c>
      <c r="AF89" s="17" t="n">
        <f aca="false">(Data!AO78+Data!AO79+Data!AO80+Data!AO81+Data!AO82+Data!AO83+Data!AO84+Data!AO85+Data!AO86+Data!AO87+Data!AO88+Data!AO89)/(Data!AP78+Data!AP79+Data!AP80+Data!AP81+Data!AP82+Data!AP83+Data!AP84+Data!AP85+Data!AP86+Data!AP87+Data!AP88+Data!AP89)</f>
        <v>-0.0380348643399357</v>
      </c>
    </row>
    <row r="90" customFormat="false" ht="15" hidden="false" customHeight="false" outlineLevel="0" collapsed="false">
      <c r="B90" s="14" t="str">
        <f aca="false">Data!B90</f>
        <v>2022-12</v>
      </c>
      <c r="C90" s="17" t="n">
        <f aca="false">(Data!D79+Data!E79+Data!F79+Data!G79+Data!H79+Data!I79+Data!J79+Data!K79+Data!L79+Data!M79+Data!N79+Data!O79+Data!P79+Data!Q79+Data!R79+Data!S79+Data!D80+Data!E80+Data!F80+Data!G80+Data!H80+Data!I80+Data!J80+Data!K80+Data!L80+Data!M80+Data!N80+Data!O80+Data!P80+Data!Q80+Data!R80+Data!S80+Data!D81+Data!E81+Data!F81+Data!G81+Data!H81+Data!I81+Data!J81+Data!K81+Data!L81+Data!M81+Data!N81+Data!O81+Data!P81+Data!Q81+Data!R81+Data!S81+Data!D82+Data!E82+Data!F82+Data!G82+Data!H82+Data!I82+Data!J82+Data!K82+Data!L82+Data!M82+Data!N82+Data!O82+Data!P82+Data!Q82+Data!R82+Data!S82+Data!D83+Data!E83+Data!F83+Data!G83+Data!H83+Data!I83+Data!J83+Data!K83+Data!L83+Data!M83+Data!N83+Data!O83+Data!P83+Data!Q83+Data!R83+Data!S83+Data!D84+Data!E84+Data!F84+Data!G84+Data!H84+Data!I84+Data!J84+Data!K84+Data!L84+Data!M84+Data!N84+Data!O84+Data!P84+Data!Q84+Data!R84+Data!S84+Data!D85+Data!E85+Data!F85+Data!G85+Data!H85+Data!I85+Data!J85+Data!K85+Data!L85+Data!M85+Data!N85+Data!O85+Data!P85+Data!Q85+Data!R85+Data!S85+Data!D86+Data!E86+Data!F86+Data!G86+Data!H86+Data!I86+Data!J86+Data!K86+Data!L86+Data!M86+Data!N86+Data!O86+Data!P86+Data!Q86+Data!R86+Data!S86+Data!D87+Data!E87+Data!F87+Data!G87+Data!H87+Data!I87+Data!J87+Data!K87+Data!L87+Data!M87+Data!N87+Data!O87+Data!P87+Data!Q87+Data!R87+Data!S87+Data!D88+Data!E88+Data!F88+Data!G88+Data!H88+Data!I88+Data!J88+Data!K88+Data!L88+Data!M88+Data!N88+Data!O88+Data!P88+Data!Q88+Data!R88+Data!S88+Data!D89+Data!E89+Data!F89+Data!G89+Data!H89+Data!I89+Data!J89+Data!K89+Data!L89+Data!M89+Data!N89+Data!O89+Data!P89+Data!Q89+Data!R89+Data!S89+Data!D90+Data!E90+Data!F90+Data!G90+Data!H90+Data!I90+Data!J90+Data!K90+Data!L90+Data!M90+Data!N90+Data!O90+Data!P90+Data!Q90+Data!R90+Data!S90)/(Data!AP79+Data!AP80+Data!AP81+Data!AP82+Data!AP83+Data!AP84+Data!AP85+Data!AP86+Data!AP87+Data!AP88+Data!AP89+Data!AP90)</f>
        <v>0.18294432654928</v>
      </c>
      <c r="D90" s="18" t="n">
        <f aca="false">(Data!D79+Data!E79+Data!G79+Data!H79+Data!I79+Data!J79+Data!K79+Data!L79+Data!M79+Data!D80+Data!E80+Data!G80+Data!H80+Data!I80+Data!J80+Data!K80+Data!L80+Data!M80+Data!D81+Data!E81+Data!G81+Data!H81+Data!I81+Data!J81+Data!K81+Data!L81+Data!M81+Data!D82+Data!E82+Data!G82+Data!H82+Data!I82+Data!J82+Data!K82+Data!L82+Data!M82+Data!D83+Data!E83+Data!G83+Data!H83+Data!I83+Data!J83+Data!K83+Data!L83+Data!M83+Data!D84+Data!E84+Data!G84+Data!H84+Data!I84+Data!J84+Data!K84+Data!L84+Data!M84+Data!D85+Data!E85+Data!G85+Data!H85+Data!I85+Data!J85+Data!K85+Data!L85+Data!M85+Data!D86+Data!E86+Data!G86+Data!H86+Data!I86+Data!J86+Data!K86+Data!L86+Data!M86+Data!D87+Data!E87+Data!G87+Data!H87+Data!I87+Data!J87+Data!K87+Data!L87+Data!M87+Data!D88+Data!E88+Data!G88+Data!H88+Data!I88+Data!J88+Data!K88+Data!L88+Data!M88+Data!D89+Data!E89+Data!G89+Data!H89+Data!I89+Data!J89+Data!K89+Data!L89+Data!M89+Data!D90+Data!E90+Data!G90+Data!H90+Data!I90+Data!J90+Data!K90+Data!L90+Data!M90)/(Data!AP79+Data!AP80+Data!AP81+Data!AP82+Data!AP83+Data!AP84+Data!AP85+Data!AP86+Data!AP87+Data!AP88+Data!AP89+Data!AP90)</f>
        <v>0.110519647079898</v>
      </c>
      <c r="E90" s="18" t="n">
        <f aca="false">(Data!D79+Data!D80+Data!D81+Data!D82+Data!D83+Data!D84+Data!D85+Data!D86+Data!D87+Data!D88+Data!D89+Data!D90)/(Data!AP79+Data!AP80+Data!AP81+Data!AP82+Data!AP83+Data!AP84+Data!AP85+Data!AP86+Data!AP87+Data!AP88+Data!AP89+Data!AP90)</f>
        <v>0.0318182653450998</v>
      </c>
      <c r="F90" s="18" t="n">
        <f aca="false">(Data!E79+Data!E80+Data!E81+Data!E82+Data!E83+Data!E84+Data!E85+Data!E86+Data!E87+Data!E88+Data!E89+Data!E90)/(Data!AP79+Data!AP80+Data!AP81+Data!AP82+Data!AP83+Data!AP84+Data!AP85+Data!AP86+Data!AP87+Data!AP88+Data!AP89+Data!AP90)</f>
        <v>0.0204842901652223</v>
      </c>
      <c r="G90" s="18" t="n">
        <f aca="false">(Data!K79+Data!K80+Data!K81+Data!K82+Data!K83+Data!K84+Data!K85+Data!K86+Data!K87+Data!K88+Data!K89+Data!K90)/(Data!AP79+Data!AP80+Data!AP81+Data!AP82+Data!AP83+Data!AP84+Data!AP85+Data!AP86+Data!AP87+Data!AP88+Data!AP89+Data!AP90)</f>
        <v>0.0183316890044746</v>
      </c>
      <c r="H90" s="18" t="n">
        <f aca="false">(Data!L79+Data!L80+Data!L81+Data!L82+Data!L83+Data!L84+Data!L85+Data!L86+Data!L87+Data!L88+Data!L89+Data!L90)/(Data!AP79+Data!AP80+Data!AP81+Data!AP82+Data!AP83+Data!AP84+Data!AP85+Data!AP86+Data!AP87+Data!AP88+Data!AP89+Data!AP90)</f>
        <v>0.00628819845521621</v>
      </c>
      <c r="I90" s="18" t="n">
        <f aca="false">(Data!G79+Data!G80+Data!G81+Data!G82+Data!G83+Data!G84+Data!G85+Data!G86+Data!G87+Data!G88+Data!G89+Data!G90)/(Data!AP79+Data!AP80+Data!AP81+Data!AP82+Data!AP83+Data!AP84+Data!AP85+Data!AP86+Data!AP87+Data!AP88+Data!AP89+Data!AP90)</f>
        <v>0.0159142165968204</v>
      </c>
      <c r="J90" s="18" t="n">
        <f aca="false">(Data!H79+Data!I79+Data!J79+Data!M79+Data!H80+Data!I80+Data!J80+Data!M80+Data!H81+Data!I81+Data!J81+Data!M81+Data!H82+Data!I82+Data!J82+Data!M82+Data!H83+Data!I83+Data!J83+Data!M83+Data!H84+Data!I84+Data!J84+Data!M84+Data!H85+Data!I85+Data!J85+Data!M85+Data!H86+Data!I86+Data!J86+Data!M86+Data!H87+Data!I87+Data!J87+Data!M87+Data!H88+Data!I88+Data!J88+Data!M88+Data!H89+Data!I89+Data!J89+Data!M89+Data!H90+Data!I90+Data!J90+Data!M90)/(Data!AP79+Data!AP80+Data!AP81+Data!AP82+Data!AP83+Data!AP84+Data!AP85+Data!AP86+Data!AP87+Data!AP88+Data!AP89+Data!AP90)</f>
        <v>0.017682987513065</v>
      </c>
      <c r="K90" s="18" t="n">
        <f aca="false">(Data!F79+Data!F80+Data!F81+Data!F82+Data!F83+Data!F84+Data!F85+Data!F86+Data!F87+Data!F88+Data!F89+Data!F90)/(Data!AP79+Data!AP80+Data!AP81+Data!AP82+Data!AP83+Data!AP84+Data!AP85+Data!AP86+Data!AP87+Data!AP88+Data!AP89+Data!AP90)</f>
        <v>0.051614680027622</v>
      </c>
      <c r="L90" s="18" t="n">
        <f aca="false">(Data!N79+Data!O79+Data!P79+Data!Q79+Data!R79+Data!S79+Data!N80+Data!O80+Data!P80+Data!Q80+Data!R80+Data!S80+Data!N81+Data!O81+Data!P81+Data!Q81+Data!R81+Data!S81+Data!N82+Data!O82+Data!P82+Data!Q82+Data!R82+Data!S82+Data!N83+Data!O83+Data!P83+Data!Q83+Data!R83+Data!S83+Data!N84+Data!O84+Data!P84+Data!Q84+Data!R84+Data!S84+Data!N85+Data!O85+Data!P85+Data!Q85+Data!R85+Data!S85+Data!N86+Data!O86+Data!P86+Data!Q86+Data!R86+Data!S86+Data!N87+Data!O87+Data!P87+Data!Q87+Data!R87+Data!S87+Data!N88+Data!O88+Data!P88+Data!Q88+Data!R88+Data!S88+Data!N89+Data!O89+Data!P89+Data!Q89+Data!R89+Data!S89+Data!N90+Data!O90+Data!P90+Data!Q90+Data!R90+Data!S90)/(Data!AP79+Data!AP80+Data!AP81+Data!AP82+Data!AP83+Data!AP84+Data!AP85+Data!AP86+Data!AP87+Data!AP88+Data!AP89+Data!AP90)</f>
        <v>0.0208099994417594</v>
      </c>
      <c r="M90" s="17" t="n">
        <f aca="false">(Data!T79+Data!U79+Data!V79+Data!W79+Data!X79+Data!Y79+Data!Z79+Data!AA79+Data!AB79+Data!AC79+Data!AD79+Data!AE79+Data!AF79+Data!AG79+Data!AH79+Data!AI79+Data!AJ79+Data!AK79+Data!AL79+Data!T80+Data!U80+Data!V80+Data!W80+Data!X80+Data!Y80+Data!Z80+Data!AA80+Data!AB80+Data!AC80+Data!AD80+Data!AE80+Data!AF80+Data!AG80+Data!AH80+Data!AI80+Data!AJ80+Data!AK80+Data!AL80+Data!T81+Data!U81+Data!V81+Data!W81+Data!X81+Data!Y81+Data!Z81+Data!AA81+Data!AB81+Data!AC81+Data!AD81+Data!AE81+Data!AF81+Data!AG81+Data!AH81+Data!AI81+Data!AJ81+Data!AK81+Data!AL81+Data!T82+Data!U82+Data!V82+Data!W82+Data!X82+Data!Y82+Data!Z82+Data!AA82+Data!AB82+Data!AC82+Data!AD82+Data!AE82+Data!AF82+Data!AG82+Data!AH82+Data!AI82+Data!AJ82+Data!AK82+Data!AL82+Data!T83+Data!U83+Data!V83+Data!W83+Data!X83+Data!Y83+Data!Z83+Data!AA83+Data!AB83+Data!AC83+Data!AD83+Data!AE83+Data!AF83+Data!AG83+Data!AH83+Data!AI83+Data!AJ83+Data!AK83+Data!AL83+Data!T84+Data!U84+Data!V84+Data!W84+Data!X84+Data!Y84+Data!Z84+Data!AA84+Data!AB84+Data!AC84+Data!AD84+Data!AE84+Data!AF84+Data!AG84+Data!AH84+Data!AI84+Data!AJ84+Data!AK84+Data!AL84+Data!T85+Data!U85+Data!V85+Data!W85+Data!X85+Data!Y85+Data!Z85+Data!AA85+Data!AB85+Data!AC85+Data!AD85+Data!AE85+Data!AF85+Data!AG85+Data!AH85+Data!AI85+Data!AJ85+Data!AK85+Data!AL85+Data!T86+Data!U86+Data!V86+Data!W86+Data!X86+Data!Y86+Data!Z86+Data!AA86+Data!AB86+Data!AC86+Data!AD86+Data!AE86+Data!AF86+Data!AG86+Data!AH86+Data!AI86+Data!AJ86+Data!AK86+Data!AL86+Data!T87+Data!U87+Data!V87+Data!W87+Data!X87+Data!Y87+Data!Z87+Data!AA87+Data!AB87+Data!AC87+Data!AD87+Data!AE87+Data!AF87+Data!AG87+Data!AH87+Data!AI87+Data!AJ87+Data!AK87+Data!AL87+Data!T88+Data!U88+Data!V88+Data!W88+Data!X88+Data!Y88+Data!Z88+Data!AA88+Data!AB88+Data!AC88+Data!AD88+Data!AE88+Data!AF88+Data!AG88+Data!AH88+Data!AI88+Data!AJ88+Data!AK88+Data!AL88+Data!T89+Data!U89+Data!V89+Data!W89+Data!X89+Data!Y89+Data!Z89+Data!AA89+Data!AB89+Data!AC89+Data!AD89+Data!AE89+Data!AF89+Data!AG89+Data!AH89+Data!AI89+Data!AJ89+Data!AK89+Data!AL89+Data!T90+Data!U90+Data!V90+Data!W90+Data!X90+Data!Y90+Data!Z90+Data!AA90+Data!AB90+Data!AC90+Data!AD90+Data!AE90+Data!AF90+Data!AG90+Data!AH90+Data!AI90+Data!AJ90+Data!AK90+Data!AL90)/(Data!AP79+Data!AP80+Data!AP81+Data!AP82+Data!AP83+Data!AP84+Data!AP85+Data!AP86+Data!AP87+Data!AP88+Data!AP89+Data!AP90)</f>
        <v>0.202987148535218</v>
      </c>
      <c r="N90" s="18" t="n">
        <f aca="false">(Data!T79+Data!U79+Data!V79+Data!W79+Data!T80+Data!U80+Data!V80+Data!W80+Data!T81+Data!U81+Data!V81+Data!W81+Data!T82+Data!U82+Data!V82+Data!W82+Data!T83+Data!U83+Data!V83+Data!W83+Data!T84+Data!U84+Data!V84+Data!W84+Data!T85+Data!U85+Data!V85+Data!W85+Data!T86+Data!U86+Data!V86+Data!W86+Data!T87+Data!U87+Data!V87+Data!W87+Data!T88+Data!U88+Data!V88+Data!W88+Data!T89+Data!U89+Data!V89+Data!W89+Data!T90+Data!U90+Data!V90+Data!W90)/(Data!AP79+Data!AP80+Data!AP81+Data!AP82+Data!AP83+Data!AP84+Data!AP85+Data!AP86+Data!AP87+Data!AP88+Data!AP89+Data!AP90)</f>
        <v>0.0950966148529115</v>
      </c>
      <c r="O90" s="18" t="n">
        <f aca="false">(Data!T79+Data!T80+Data!T81+Data!T82+Data!T83+Data!T84+Data!T85+Data!T86+Data!T87+Data!T88+Data!T89+Data!T90)/(Data!AP79+Data!AP80+Data!AP81+Data!AP82+Data!AP83+Data!AP84+Data!AP85+Data!AP86+Data!AP87+Data!AP88+Data!AP89+Data!AP90)</f>
        <v>0.068714296287527</v>
      </c>
      <c r="P90" s="18" t="n">
        <f aca="false">(Data!U79+Data!U80+Data!U81+Data!U82+Data!U83+Data!U84+Data!U85+Data!U86+Data!U87+Data!U88+Data!U89+Data!U90)/(Data!AP79+Data!AP80+Data!AP81+Data!AP82+Data!AP83+Data!AP84+Data!AP85+Data!AP86+Data!AP87+Data!AP88+Data!AP89+Data!AP90)</f>
        <v>0.0116558805700841</v>
      </c>
      <c r="Q90" s="18" t="n">
        <f aca="false">(Data!V79+Data!V80+Data!V81+Data!V82+Data!V83+Data!V84+Data!V85+Data!V86+Data!V87+Data!V88+Data!V89+Data!V90)/(Data!AP79+Data!AP80+Data!AP81+Data!AP82+Data!AP83+Data!AP84+Data!AP85+Data!AP86+Data!AP87+Data!AP88+Data!AP89+Data!AP90)</f>
        <v>0.00722041627446727</v>
      </c>
      <c r="R90" s="18" t="n">
        <f aca="false">(Data!W79+Data!W80+Data!W81+Data!W82+Data!W83+Data!W84+Data!W85+Data!W86+Data!W87+Data!W88+Data!W89+Data!W90)/(Data!AP79+Data!AP80+Data!AP81+Data!AP82+Data!AP83+Data!AP84+Data!AP85+Data!AP86+Data!AP87+Data!AP88+Data!AP89+Data!AP90)</f>
        <v>0.00750602172083315</v>
      </c>
      <c r="S90" s="18" t="n">
        <f aca="false">(Data!X79+Data!X80+Data!X81+Data!X82+Data!X83+Data!X84+Data!X85+Data!X86+Data!X87+Data!X88+Data!X89+Data!X90)/(Data!AP79+Data!AP80+Data!AP81+Data!AP82+Data!AP83+Data!AP84+Data!AP85+Data!AP86+Data!AP87+Data!AP88+Data!AP89+Data!AP90)</f>
        <v>0.0178351067388006</v>
      </c>
      <c r="T90" s="18" t="n">
        <f aca="false">(Data!Y79+Data!Z79+Data!AA79+Data!Y80+Data!Z80+Data!AA80+Data!Y81+Data!Z81+Data!AA81+Data!Y82+Data!Z82+Data!AA82+Data!Y83+Data!Z83+Data!AA83+Data!Y84+Data!Z84+Data!AA84+Data!Y85+Data!Z85+Data!AA85+Data!Y86+Data!Z86+Data!AA86+Data!Y87+Data!Z87+Data!AA87+Data!Y88+Data!Z88+Data!AA88+Data!Y89+Data!Z89+Data!AA89+Data!Y90+Data!Z90+Data!AA90)/(Data!AP79+Data!AP80+Data!AP81+Data!AP82+Data!AP83+Data!AP84+Data!AP85+Data!AP86+Data!AP87+Data!AP88+Data!AP89+Data!AP90)</f>
        <v>0.0258354042418502</v>
      </c>
      <c r="U90" s="18" t="n">
        <f aca="false">(Data!Y79+Data!Y80+Data!Y81+Data!Y82+Data!Y83+Data!Y84+Data!Y85+Data!Y86+Data!Y87+Data!Y88+Data!Y89+Data!Y90)/(Data!AP79+Data!AP80+Data!AP81+Data!AP82+Data!AP83+Data!AP84+Data!AP85+Data!AP86+Data!AP87+Data!AP88+Data!AP89+Data!AP90)</f>
        <v>0.0200089734355108</v>
      </c>
      <c r="V90" s="18" t="n">
        <f aca="false">(Data!Z79+Data!Z80+Data!Z81+Data!Z82+Data!Z83+Data!Z84+Data!Z85+Data!Z86+Data!Z87+Data!Z88+Data!Z89+Data!Z90)/(Data!AP79+Data!AP80+Data!AP81+Data!AP82+Data!AP83+Data!AP84+Data!AP85+Data!AP86+Data!AP87+Data!AP88+Data!AP89+Data!AP90)</f>
        <v>0.00555814209965004</v>
      </c>
      <c r="W90" s="18" t="n">
        <f aca="false">(Data!AB79+Data!AB80+Data!AB81+Data!AB82+Data!AB83+Data!AB84+Data!AB85+Data!AB86+Data!AB87+Data!AB88+Data!AB89+Data!AB90)/(Data!AP79+Data!AP80+Data!AP81+Data!AP82+Data!AP83+Data!AP84+Data!AP85+Data!AP86+Data!AP87+Data!AP88+Data!AP89+Data!AP90)</f>
        <v>0.0239949753526346</v>
      </c>
      <c r="X90" s="18" t="n">
        <f aca="false">(Data!AC79+Data!AC80+Data!AC81+Data!AC82+Data!AC83+Data!AC84+Data!AC85+Data!AC86+Data!AC87+Data!AC88+Data!AC89+Data!AC90)/(Data!AP79+Data!AP80+Data!AP81+Data!AP82+Data!AP83+Data!AP84+Data!AP85+Data!AP86+Data!AP87+Data!AP88+Data!AP89+Data!AP90)</f>
        <v>0.00731818219107875</v>
      </c>
      <c r="Y90" s="18" t="n">
        <f aca="false">(Data!AD79+Data!AE79+Data!AF79+Data!AG79+Data!AH79+Data!AD80+Data!AE80+Data!AF80+Data!AG80+Data!AH80+Data!AD81+Data!AE81+Data!AF81+Data!AG81+Data!AH81+Data!AD82+Data!AE82+Data!AF82+Data!AG82+Data!AH82+Data!AD83+Data!AE83+Data!AF83+Data!AG83+Data!AH83+Data!AD84+Data!AE84+Data!AF84+Data!AG84+Data!AH84+Data!AD85+Data!AE85+Data!AF85+Data!AG85+Data!AH85+Data!AD86+Data!AE86+Data!AF86+Data!AG86+Data!AH86+Data!AD87+Data!AE87+Data!AF87+Data!AG87+Data!AH87+Data!AD88+Data!AE88+Data!AF88+Data!AG88+Data!AH88+Data!AD89+Data!AE89+Data!AF89+Data!AG89+Data!AH89+Data!AD90+Data!AE90+Data!AF90+Data!AG90+Data!AH90)/(Data!AP79+Data!AP80+Data!AP81+Data!AP82+Data!AP83+Data!AP84+Data!AP85+Data!AP86+Data!AP87+Data!AP88+Data!AP89+Data!AP90)</f>
        <v>0.00670072087089863</v>
      </c>
      <c r="Z90" s="18" t="n">
        <f aca="false">(Data!AI79+Data!AI80+Data!AI81+Data!AI82+Data!AI83+Data!AI84+Data!AI85+Data!AI86+Data!AI87+Data!AI88+Data!AI89+Data!AI90)/(Data!AP79+Data!AP80+Data!AP81+Data!AP82+Data!AP83+Data!AP84+Data!AP85+Data!AP86+Data!AP87+Data!AP88+Data!AP89+Data!AP90)</f>
        <v>0.00620715756262979</v>
      </c>
      <c r="AA90" s="18" t="n">
        <f aca="false">(Data!AJ79+Data!AJ80+Data!AJ81+Data!AJ82+Data!AJ83+Data!AJ84+Data!AJ85+Data!AJ86+Data!AJ87+Data!AJ88+Data!AJ89+Data!AJ90)/(Data!AP79+Data!AP80+Data!AP81+Data!AP82+Data!AP83+Data!AP84+Data!AP85+Data!AP86+Data!AP87+Data!AP88+Data!AP89+Data!AP90)</f>
        <v>0</v>
      </c>
      <c r="AB90" s="18" t="n">
        <f aca="false">(Data!AK79+Data!AK80+Data!AK81+Data!AK82+Data!AK83+Data!AK84+Data!AK85+Data!AK86+Data!AK87+Data!AK88+Data!AK89+Data!AK90)/(Data!AP79+Data!AP80+Data!AP81+Data!AP82+Data!AP83+Data!AP84+Data!AP85+Data!AP86+Data!AP87+Data!AP88+Data!AP89+Data!AP90)</f>
        <v>0.00390911510992703</v>
      </c>
      <c r="AC90" s="18" t="n">
        <f aca="false">(Data!AL79+Data!AL80+Data!AL81+Data!AL82+Data!AL83+Data!AL84+Data!AL85+Data!AL86+Data!AL87+Data!AL88+Data!AL89+Data!AL90)/(Data!AP79+Data!AP80+Data!AP81+Data!AP82+Data!AP83+Data!AP84+Data!AP85+Data!AP86+Data!AP87+Data!AP88+Data!AP89+Data!AP90)</f>
        <v>0.0160898716144872</v>
      </c>
      <c r="AD90" s="17" t="n">
        <f aca="false">(Data!AM79+Data!AM80+Data!AM81+Data!AM82+Data!AM83+Data!AM84+Data!AM85+Data!AM86+Data!AM87+Data!AM88+Data!AM89+Data!AM90)/(Data!AP79+Data!AP80+Data!AP81+Data!AP82+Data!AP83+Data!AP84+Data!AP85+Data!AP86+Data!AP87+Data!AP88+Data!AP89+Data!AP90)</f>
        <v>-0.0200428219859384</v>
      </c>
      <c r="AE90" s="18" t="n">
        <f aca="false">(Data!AN79+Data!AN80+Data!AN81+Data!AN82+Data!AN83+Data!AN84+Data!AN85+Data!AN86+Data!AN87+Data!AN88+Data!AN89+Data!AN90)/(Data!AP79+Data!AP80+Data!AP81+Data!AP82+Data!AP83+Data!AP84+Data!AP85+Data!AP86+Data!AP87+Data!AP88+Data!AP89+Data!AP90)</f>
        <v>0.0180293343824245</v>
      </c>
      <c r="AF90" s="17" t="n">
        <f aca="false">(Data!AO79+Data!AO80+Data!AO81+Data!AO82+Data!AO83+Data!AO84+Data!AO85+Data!AO86+Data!AO87+Data!AO88+Data!AO89+Data!AO90)/(Data!AP79+Data!AP80+Data!AP81+Data!AP82+Data!AP83+Data!AP84+Data!AP85+Data!AP86+Data!AP87+Data!AP88+Data!AP89+Data!AP90)</f>
        <v>-0.0380721563683628</v>
      </c>
    </row>
    <row r="91" customFormat="false" ht="15" hidden="false" customHeight="false" outlineLevel="0" collapsed="false">
      <c r="B91" s="14" t="str">
        <f aca="false">Data!B91</f>
        <v>2023-01</v>
      </c>
      <c r="C91" s="17" t="n">
        <f aca="false">(Data!D80+Data!E80+Data!F80+Data!G80+Data!H80+Data!I80+Data!J80+Data!K80+Data!L80+Data!M80+Data!N80+Data!O80+Data!P80+Data!Q80+Data!R80+Data!S80+Data!D81+Data!E81+Data!F81+Data!G81+Data!H81+Data!I81+Data!J81+Data!K81+Data!L81+Data!M81+Data!N81+Data!O81+Data!P81+Data!Q81+Data!R81+Data!S81+Data!D82+Data!E82+Data!F82+Data!G82+Data!H82+Data!I82+Data!J82+Data!K82+Data!L82+Data!M82+Data!N82+Data!O82+Data!P82+Data!Q82+Data!R82+Data!S82+Data!D83+Data!E83+Data!F83+Data!G83+Data!H83+Data!I83+Data!J83+Data!K83+Data!L83+Data!M83+Data!N83+Data!O83+Data!P83+Data!Q83+Data!R83+Data!S83+Data!D84+Data!E84+Data!F84+Data!G84+Data!H84+Data!I84+Data!J84+Data!K84+Data!L84+Data!M84+Data!N84+Data!O84+Data!P84+Data!Q84+Data!R84+Data!S84+Data!D85+Data!E85+Data!F85+Data!G85+Data!H85+Data!I85+Data!J85+Data!K85+Data!L85+Data!M85+Data!N85+Data!O85+Data!P85+Data!Q85+Data!R85+Data!S85+Data!D86+Data!E86+Data!F86+Data!G86+Data!H86+Data!I86+Data!J86+Data!K86+Data!L86+Data!M86+Data!N86+Data!O86+Data!P86+Data!Q86+Data!R86+Data!S86+Data!D87+Data!E87+Data!F87+Data!G87+Data!H87+Data!I87+Data!J87+Data!K87+Data!L87+Data!M87+Data!N87+Data!O87+Data!P87+Data!Q87+Data!R87+Data!S87+Data!D88+Data!E88+Data!F88+Data!G88+Data!H88+Data!I88+Data!J88+Data!K88+Data!L88+Data!M88+Data!N88+Data!O88+Data!P88+Data!Q88+Data!R88+Data!S88+Data!D89+Data!E89+Data!F89+Data!G89+Data!H89+Data!I89+Data!J89+Data!K89+Data!L89+Data!M89+Data!N89+Data!O89+Data!P89+Data!Q89+Data!R89+Data!S89+Data!D90+Data!E90+Data!F90+Data!G90+Data!H90+Data!I90+Data!J90+Data!K90+Data!L90+Data!M90+Data!N90+Data!O90+Data!P90+Data!Q90+Data!R90+Data!S90+Data!D91+Data!E91+Data!F91+Data!G91+Data!H91+Data!I91+Data!J91+Data!K91+Data!L91+Data!M91+Data!N91+Data!O91+Data!P91+Data!Q91+Data!R91+Data!S91)/(Data!AP80+Data!AP81+Data!AP82+Data!AP83+Data!AP84+Data!AP85+Data!AP86+Data!AP87+Data!AP88+Data!AP89+Data!AP90+Data!AP91)</f>
        <v>0.182425262137448</v>
      </c>
      <c r="D91" s="18" t="n">
        <f aca="false">(Data!D80+Data!E80+Data!G80+Data!H80+Data!I80+Data!J80+Data!K80+Data!L80+Data!M80+Data!D81+Data!E81+Data!G81+Data!H81+Data!I81+Data!J81+Data!K81+Data!L81+Data!M81+Data!D82+Data!E82+Data!G82+Data!H82+Data!I82+Data!J82+Data!K82+Data!L82+Data!M82+Data!D83+Data!E83+Data!G83+Data!H83+Data!I83+Data!J83+Data!K83+Data!L83+Data!M83+Data!D84+Data!E84+Data!G84+Data!H84+Data!I84+Data!J84+Data!K84+Data!L84+Data!M84+Data!D85+Data!E85+Data!G85+Data!H85+Data!I85+Data!J85+Data!K85+Data!L85+Data!M85+Data!D86+Data!E86+Data!G86+Data!H86+Data!I86+Data!J86+Data!K86+Data!L86+Data!M86+Data!D87+Data!E87+Data!G87+Data!H87+Data!I87+Data!J87+Data!K87+Data!L87+Data!M87+Data!D88+Data!E88+Data!G88+Data!H88+Data!I88+Data!J88+Data!K88+Data!L88+Data!M88+Data!D89+Data!E89+Data!G89+Data!H89+Data!I89+Data!J89+Data!K89+Data!L89+Data!M89+Data!D90+Data!E90+Data!G90+Data!H90+Data!I90+Data!J90+Data!K90+Data!L90+Data!M90+Data!D91+Data!E91+Data!G91+Data!H91+Data!I91+Data!J91+Data!K91+Data!L91+Data!M91)/(Data!AP80+Data!AP81+Data!AP82+Data!AP83+Data!AP84+Data!AP85+Data!AP86+Data!AP87+Data!AP88+Data!AP89+Data!AP90+Data!AP91)</f>
        <v>0.109489212044748</v>
      </c>
      <c r="E91" s="18" t="n">
        <f aca="false">(Data!D80+Data!D81+Data!D82+Data!D83+Data!D84+Data!D85+Data!D86+Data!D87+Data!D88+Data!D89+Data!D90+Data!D91)/(Data!AP80+Data!AP81+Data!AP82+Data!AP83+Data!AP84+Data!AP85+Data!AP86+Data!AP87+Data!AP88+Data!AP89+Data!AP90+Data!AP91)</f>
        <v>0.0319915524631237</v>
      </c>
      <c r="F91" s="18" t="n">
        <f aca="false">(Data!E80+Data!E81+Data!E82+Data!E83+Data!E84+Data!E85+Data!E86+Data!E87+Data!E88+Data!E89+Data!E90+Data!E91)/(Data!AP80+Data!AP81+Data!AP82+Data!AP83+Data!AP84+Data!AP85+Data!AP86+Data!AP87+Data!AP88+Data!AP89+Data!AP90+Data!AP91)</f>
        <v>0.0203375414838099</v>
      </c>
      <c r="G91" s="18" t="n">
        <f aca="false">(Data!K80+Data!K81+Data!K82+Data!K83+Data!K84+Data!K85+Data!K86+Data!K87+Data!K88+Data!K89+Data!K90+Data!K91)/(Data!AP80+Data!AP81+Data!AP82+Data!AP83+Data!AP84+Data!AP85+Data!AP86+Data!AP87+Data!AP88+Data!AP89+Data!AP90+Data!AP91)</f>
        <v>0.01764856713251</v>
      </c>
      <c r="H91" s="18" t="n">
        <f aca="false">(Data!L80+Data!L81+Data!L82+Data!L83+Data!L84+Data!L85+Data!L86+Data!L87+Data!L88+Data!L89+Data!L90+Data!L91)/(Data!AP80+Data!AP81+Data!AP82+Data!AP83+Data!AP84+Data!AP85+Data!AP86+Data!AP87+Data!AP88+Data!AP89+Data!AP90+Data!AP91)</f>
        <v>0.00619073697713788</v>
      </c>
      <c r="I91" s="18" t="n">
        <f aca="false">(Data!G80+Data!G81+Data!G82+Data!G83+Data!G84+Data!G85+Data!G86+Data!G87+Data!G88+Data!G89+Data!G90+Data!G91)/(Data!AP80+Data!AP81+Data!AP82+Data!AP83+Data!AP84+Data!AP85+Data!AP86+Data!AP87+Data!AP88+Data!AP89+Data!AP90+Data!AP91)</f>
        <v>0.0159086868802282</v>
      </c>
      <c r="J91" s="18" t="n">
        <f aca="false">(Data!H80+Data!I80+Data!J80+Data!M80+Data!H81+Data!I81+Data!J81+Data!M81+Data!H82+Data!I82+Data!J82+Data!M82+Data!H83+Data!I83+Data!J83+Data!M83+Data!H84+Data!I84+Data!J84+Data!M84+Data!H85+Data!I85+Data!J85+Data!M85+Data!H86+Data!I86+Data!J86+Data!M86+Data!H87+Data!I87+Data!J87+Data!M87+Data!H88+Data!I88+Data!J88+Data!M88+Data!H89+Data!I89+Data!J89+Data!M89+Data!H90+Data!I90+Data!J90+Data!M90+Data!H91+Data!I91+Data!J91+Data!M91)/(Data!AP80+Data!AP81+Data!AP82+Data!AP83+Data!AP84+Data!AP85+Data!AP86+Data!AP87+Data!AP88+Data!AP89+Data!AP90+Data!AP91)</f>
        <v>0.0174121271079386</v>
      </c>
      <c r="K91" s="18" t="n">
        <f aca="false">(Data!F80+Data!F81+Data!F82+Data!F83+Data!F84+Data!F85+Data!F86+Data!F87+Data!F88+Data!F89+Data!F90+Data!F91)/(Data!AP80+Data!AP81+Data!AP82+Data!AP83+Data!AP84+Data!AP85+Data!AP86+Data!AP87+Data!AP88+Data!AP89+Data!AP90+Data!AP91)</f>
        <v>0.05255104476969</v>
      </c>
      <c r="L91" s="18" t="n">
        <f aca="false">(Data!N80+Data!O80+Data!P80+Data!Q80+Data!R80+Data!S80+Data!N81+Data!O81+Data!P81+Data!Q81+Data!R81+Data!S81+Data!N82+Data!O82+Data!P82+Data!Q82+Data!R82+Data!S82+Data!N83+Data!O83+Data!P83+Data!Q83+Data!R83+Data!S83+Data!N84+Data!O84+Data!P84+Data!Q84+Data!R84+Data!S84+Data!N85+Data!O85+Data!P85+Data!Q85+Data!R85+Data!S85+Data!N86+Data!O86+Data!P86+Data!Q86+Data!R86+Data!S86+Data!N87+Data!O87+Data!P87+Data!Q87+Data!R87+Data!S87+Data!N88+Data!O88+Data!P88+Data!Q88+Data!R88+Data!S88+Data!N89+Data!O89+Data!P89+Data!Q89+Data!R89+Data!S89+Data!N90+Data!O90+Data!P90+Data!Q90+Data!R90+Data!S90+Data!N91+Data!O91+Data!P91+Data!Q91+Data!R91+Data!S91)/(Data!AP80+Data!AP81+Data!AP82+Data!AP83+Data!AP84+Data!AP85+Data!AP86+Data!AP87+Data!AP88+Data!AP89+Data!AP90+Data!AP91)</f>
        <v>0.0203850053230094</v>
      </c>
      <c r="M91" s="17" t="n">
        <f aca="false">(Data!T80+Data!U80+Data!V80+Data!W80+Data!X80+Data!Y80+Data!Z80+Data!AA80+Data!AB80+Data!AC80+Data!AD80+Data!AE80+Data!AF80+Data!AG80+Data!AH80+Data!AI80+Data!AJ80+Data!AK80+Data!AL80+Data!T81+Data!U81+Data!V81+Data!W81+Data!X81+Data!Y81+Data!Z81+Data!AA81+Data!AB81+Data!AC81+Data!AD81+Data!AE81+Data!AF81+Data!AG81+Data!AH81+Data!AI81+Data!AJ81+Data!AK81+Data!AL81+Data!T82+Data!U82+Data!V82+Data!W82+Data!X82+Data!Y82+Data!Z82+Data!AA82+Data!AB82+Data!AC82+Data!AD82+Data!AE82+Data!AF82+Data!AG82+Data!AH82+Data!AI82+Data!AJ82+Data!AK82+Data!AL82+Data!T83+Data!U83+Data!V83+Data!W83+Data!X83+Data!Y83+Data!Z83+Data!AA83+Data!AB83+Data!AC83+Data!AD83+Data!AE83+Data!AF83+Data!AG83+Data!AH83+Data!AI83+Data!AJ83+Data!AK83+Data!AL83+Data!T84+Data!U84+Data!V84+Data!W84+Data!X84+Data!Y84+Data!Z84+Data!AA84+Data!AB84+Data!AC84+Data!AD84+Data!AE84+Data!AF84+Data!AG84+Data!AH84+Data!AI84+Data!AJ84+Data!AK84+Data!AL84+Data!T85+Data!U85+Data!V85+Data!W85+Data!X85+Data!Y85+Data!Z85+Data!AA85+Data!AB85+Data!AC85+Data!AD85+Data!AE85+Data!AF85+Data!AG85+Data!AH85+Data!AI85+Data!AJ85+Data!AK85+Data!AL85+Data!T86+Data!U86+Data!V86+Data!W86+Data!X86+Data!Y86+Data!Z86+Data!AA86+Data!AB86+Data!AC86+Data!AD86+Data!AE86+Data!AF86+Data!AG86+Data!AH86+Data!AI86+Data!AJ86+Data!AK86+Data!AL86+Data!T87+Data!U87+Data!V87+Data!W87+Data!X87+Data!Y87+Data!Z87+Data!AA87+Data!AB87+Data!AC87+Data!AD87+Data!AE87+Data!AF87+Data!AG87+Data!AH87+Data!AI87+Data!AJ87+Data!AK87+Data!AL87+Data!T88+Data!U88+Data!V88+Data!W88+Data!X88+Data!Y88+Data!Z88+Data!AA88+Data!AB88+Data!AC88+Data!AD88+Data!AE88+Data!AF88+Data!AG88+Data!AH88+Data!AI88+Data!AJ88+Data!AK88+Data!AL88+Data!T89+Data!U89+Data!V89+Data!W89+Data!X89+Data!Y89+Data!Z89+Data!AA89+Data!AB89+Data!AC89+Data!AD89+Data!AE89+Data!AF89+Data!AG89+Data!AH89+Data!AI89+Data!AJ89+Data!AK89+Data!AL89+Data!T90+Data!U90+Data!V90+Data!W90+Data!X90+Data!Y90+Data!Z90+Data!AA90+Data!AB90+Data!AC90+Data!AD90+Data!AE90+Data!AF90+Data!AG90+Data!AH90+Data!AI90+Data!AJ90+Data!AK90+Data!AL90+Data!T91+Data!U91+Data!V91+Data!W91+Data!X91+Data!Y91+Data!Z91+Data!AA91+Data!AB91+Data!AC91+Data!AD91+Data!AE91+Data!AF91+Data!AG91+Data!AH91+Data!AI91+Data!AJ91+Data!AK91+Data!AL91)/(Data!AP80+Data!AP81+Data!AP82+Data!AP83+Data!AP84+Data!AP85+Data!AP86+Data!AP87+Data!AP88+Data!AP89+Data!AP90+Data!AP91)</f>
        <v>0.203513810121942</v>
      </c>
      <c r="N91" s="18" t="n">
        <f aca="false">(Data!T80+Data!U80+Data!V80+Data!W80+Data!T81+Data!U81+Data!V81+Data!W81+Data!T82+Data!U82+Data!V82+Data!W82+Data!T83+Data!U83+Data!V83+Data!W83+Data!T84+Data!U84+Data!V84+Data!W84+Data!T85+Data!U85+Data!V85+Data!W85+Data!T86+Data!U86+Data!V86+Data!W86+Data!T87+Data!U87+Data!V87+Data!W87+Data!T88+Data!U88+Data!V88+Data!W88+Data!T89+Data!U89+Data!V89+Data!W89+Data!T90+Data!U90+Data!V90+Data!W90+Data!T91+Data!U91+Data!V91+Data!W91)/(Data!AP80+Data!AP81+Data!AP82+Data!AP83+Data!AP84+Data!AP85+Data!AP86+Data!AP87+Data!AP88+Data!AP89+Data!AP90+Data!AP91)</f>
        <v>0.0943687537281805</v>
      </c>
      <c r="O91" s="18" t="n">
        <f aca="false">(Data!T80+Data!T81+Data!T82+Data!T83+Data!T84+Data!T85+Data!T86+Data!T87+Data!T88+Data!T89+Data!T90+Data!T91)/(Data!AP80+Data!AP81+Data!AP82+Data!AP83+Data!AP84+Data!AP85+Data!AP86+Data!AP87+Data!AP88+Data!AP89+Data!AP90+Data!AP91)</f>
        <v>0.0685228378898161</v>
      </c>
      <c r="P91" s="18" t="n">
        <f aca="false">(Data!U80+Data!U81+Data!U82+Data!U83+Data!U84+Data!U85+Data!U86+Data!U87+Data!U88+Data!U89+Data!U90+Data!U91)/(Data!AP80+Data!AP81+Data!AP82+Data!AP83+Data!AP84+Data!AP85+Data!AP86+Data!AP87+Data!AP88+Data!AP89+Data!AP90+Data!AP91)</f>
        <v>0.0113242760232777</v>
      </c>
      <c r="Q91" s="18" t="n">
        <f aca="false">(Data!V80+Data!V81+Data!V82+Data!V83+Data!V84+Data!V85+Data!V86+Data!V87+Data!V88+Data!V89+Data!V90+Data!V91)/(Data!AP80+Data!AP81+Data!AP82+Data!AP83+Data!AP84+Data!AP85+Data!AP86+Data!AP87+Data!AP88+Data!AP89+Data!AP90+Data!AP91)</f>
        <v>0.00703015158629543</v>
      </c>
      <c r="R91" s="18" t="n">
        <f aca="false">(Data!W80+Data!W81+Data!W82+Data!W83+Data!W84+Data!W85+Data!W86+Data!W87+Data!W88+Data!W89+Data!W90+Data!W91)/(Data!AP80+Data!AP81+Data!AP82+Data!AP83+Data!AP84+Data!AP85+Data!AP86+Data!AP87+Data!AP88+Data!AP89+Data!AP90+Data!AP91)</f>
        <v>0.00749148822879129</v>
      </c>
      <c r="S91" s="18" t="n">
        <f aca="false">(Data!X80+Data!X81+Data!X82+Data!X83+Data!X84+Data!X85+Data!X86+Data!X87+Data!X88+Data!X89+Data!X90+Data!X91)/(Data!AP80+Data!AP81+Data!AP82+Data!AP83+Data!AP84+Data!AP85+Data!AP86+Data!AP87+Data!AP88+Data!AP89+Data!AP90+Data!AP91)</f>
        <v>0.018712250380002</v>
      </c>
      <c r="T91" s="18" t="n">
        <f aca="false">(Data!Y80+Data!Z80+Data!AA80+Data!Y81+Data!Z81+Data!AA81+Data!Y82+Data!Z82+Data!AA82+Data!Y83+Data!Z83+Data!AA83+Data!Y84+Data!Z84+Data!AA84+Data!Y85+Data!Z85+Data!AA85+Data!Y86+Data!Z86+Data!AA86+Data!Y87+Data!Z87+Data!AA87+Data!Y88+Data!Z88+Data!AA88+Data!Y89+Data!Z89+Data!AA89+Data!Y90+Data!Z90+Data!AA90+Data!Y91+Data!Z91+Data!AA91)/(Data!AP80+Data!AP81+Data!AP82+Data!AP83+Data!AP84+Data!AP85+Data!AP86+Data!AP87+Data!AP88+Data!AP89+Data!AP90+Data!AP91)</f>
        <v>0.0257284037303439</v>
      </c>
      <c r="U91" s="18" t="n">
        <f aca="false">(Data!Y80+Data!Y81+Data!Y82+Data!Y83+Data!Y84+Data!Y85+Data!Y86+Data!Y87+Data!Y88+Data!Y89+Data!Y90+Data!Y91)/(Data!AP80+Data!AP81+Data!AP82+Data!AP83+Data!AP84+Data!AP85+Data!AP86+Data!AP87+Data!AP88+Data!AP89+Data!AP90+Data!AP91)</f>
        <v>0.0197496384093856</v>
      </c>
      <c r="V91" s="18" t="n">
        <f aca="false">(Data!Z80+Data!Z81+Data!Z82+Data!Z83+Data!Z84+Data!Z85+Data!Z86+Data!Z87+Data!Z88+Data!Z89+Data!Z90+Data!Z91)/(Data!AP80+Data!AP81+Data!AP82+Data!AP83+Data!AP84+Data!AP85+Data!AP86+Data!AP87+Data!AP88+Data!AP89+Data!AP90+Data!AP91)</f>
        <v>0.00554744610286837</v>
      </c>
      <c r="W91" s="18" t="n">
        <f aca="false">(Data!AB80+Data!AB81+Data!AB82+Data!AB83+Data!AB84+Data!AB85+Data!AB86+Data!AB87+Data!AB88+Data!AB89+Data!AB90+Data!AB91)/(Data!AP80+Data!AP81+Data!AP82+Data!AP83+Data!AP84+Data!AP85+Data!AP86+Data!AP87+Data!AP88+Data!AP89+Data!AP90+Data!AP91)</f>
        <v>0.0243316058548401</v>
      </c>
      <c r="X91" s="18" t="n">
        <f aca="false">(Data!AC80+Data!AC81+Data!AC82+Data!AC83+Data!AC84+Data!AC85+Data!AC86+Data!AC87+Data!AC88+Data!AC89+Data!AC90+Data!AC91)/(Data!AP80+Data!AP81+Data!AP82+Data!AP83+Data!AP84+Data!AP85+Data!AP86+Data!AP87+Data!AP88+Data!AP89+Data!AP90+Data!AP91)</f>
        <v>0.00730345972170994</v>
      </c>
      <c r="Y91" s="18" t="n">
        <f aca="false">(Data!AD80+Data!AE80+Data!AF80+Data!AG80+Data!AH80+Data!AD81+Data!AE81+Data!AF81+Data!AG81+Data!AH81+Data!AD82+Data!AE82+Data!AF82+Data!AG82+Data!AH82+Data!AD83+Data!AE83+Data!AF83+Data!AG83+Data!AH83+Data!AD84+Data!AE84+Data!AF84+Data!AG84+Data!AH84+Data!AD85+Data!AE85+Data!AF85+Data!AG85+Data!AH85+Data!AD86+Data!AE86+Data!AF86+Data!AG86+Data!AH86+Data!AD87+Data!AE87+Data!AF87+Data!AG87+Data!AH87+Data!AD88+Data!AE88+Data!AF88+Data!AG88+Data!AH88+Data!AD89+Data!AE89+Data!AF89+Data!AG89+Data!AH89+Data!AD90+Data!AE90+Data!AF90+Data!AG90+Data!AH90+Data!AD91+Data!AE91+Data!AF91+Data!AG91+Data!AH91)/(Data!AP80+Data!AP81+Data!AP82+Data!AP83+Data!AP84+Data!AP85+Data!AP86+Data!AP87+Data!AP88+Data!AP89+Data!AP90+Data!AP91)</f>
        <v>0.00672243016934441</v>
      </c>
      <c r="Z91" s="18" t="n">
        <f aca="false">(Data!AI80+Data!AI81+Data!AI82+Data!AI83+Data!AI84+Data!AI85+Data!AI86+Data!AI87+Data!AI88+Data!AI89+Data!AI90+Data!AI91)/(Data!AP80+Data!AP81+Data!AP82+Data!AP83+Data!AP84+Data!AP85+Data!AP86+Data!AP87+Data!AP88+Data!AP89+Data!AP90+Data!AP91)</f>
        <v>0.00623752716550437</v>
      </c>
      <c r="AA91" s="18" t="n">
        <f aca="false">(Data!AJ80+Data!AJ81+Data!AJ82+Data!AJ83+Data!AJ84+Data!AJ85+Data!AJ86+Data!AJ87+Data!AJ88+Data!AJ89+Data!AJ90+Data!AJ91)/(Data!AP80+Data!AP81+Data!AP82+Data!AP83+Data!AP84+Data!AP85+Data!AP86+Data!AP87+Data!AP88+Data!AP89+Data!AP90+Data!AP91)</f>
        <v>0</v>
      </c>
      <c r="AB91" s="18" t="n">
        <f aca="false">(Data!AK80+Data!AK81+Data!AK82+Data!AK83+Data!AK84+Data!AK85+Data!AK86+Data!AK87+Data!AK88+Data!AK89+Data!AK90+Data!AK91)/(Data!AP80+Data!AP81+Data!AP82+Data!AP83+Data!AP84+Data!AP85+Data!AP86+Data!AP87+Data!AP88+Data!AP89+Data!AP90+Data!AP91)</f>
        <v>0.00382933961564632</v>
      </c>
      <c r="AC91" s="18" t="n">
        <f aca="false">(Data!AL80+Data!AL81+Data!AL82+Data!AL83+Data!AL84+Data!AL85+Data!AL86+Data!AL87+Data!AL88+Data!AL89+Data!AL90+Data!AL91)/(Data!AP80+Data!AP81+Data!AP82+Data!AP83+Data!AP84+Data!AP85+Data!AP86+Data!AP87+Data!AP88+Data!AP89+Data!AP90+Data!AP91)</f>
        <v>0.0162800397563706</v>
      </c>
      <c r="AD91" s="17" t="n">
        <f aca="false">(Data!AM80+Data!AM81+Data!AM82+Data!AM83+Data!AM84+Data!AM85+Data!AM86+Data!AM87+Data!AM88+Data!AM89+Data!AM90+Data!AM91)/(Data!AP80+Data!AP81+Data!AP82+Data!AP83+Data!AP84+Data!AP85+Data!AP86+Data!AP87+Data!AP88+Data!AP89+Data!AP90+Data!AP91)</f>
        <v>-0.0210885479844946</v>
      </c>
      <c r="AE91" s="18" t="n">
        <f aca="false">(Data!AN80+Data!AN81+Data!AN82+Data!AN83+Data!AN84+Data!AN85+Data!AN86+Data!AN87+Data!AN88+Data!AN89+Data!AN90+Data!AN91)/(Data!AP80+Data!AP81+Data!AP82+Data!AP83+Data!AP84+Data!AP85+Data!AP86+Data!AP87+Data!AP88+Data!AP89+Data!AP90+Data!AP91)</f>
        <v>0.0193312098996085</v>
      </c>
      <c r="AF91" s="17" t="n">
        <f aca="false">(Data!AO80+Data!AO81+Data!AO82+Data!AO83+Data!AO84+Data!AO85+Data!AO86+Data!AO87+Data!AO88+Data!AO89+Data!AO90+Data!AO91)/(Data!AP80+Data!AP81+Data!AP82+Data!AP83+Data!AP84+Data!AP85+Data!AP86+Data!AP87+Data!AP88+Data!AP89+Data!AP90+Data!AP91)</f>
        <v>-0.0404197693019138</v>
      </c>
    </row>
    <row r="92" customFormat="false" ht="15" hidden="false" customHeight="false" outlineLevel="0" collapsed="false">
      <c r="B92" s="14" t="str">
        <f aca="false">Data!B92</f>
        <v>2023-02</v>
      </c>
      <c r="C92" s="17" t="n">
        <f aca="false">(Data!D81+Data!E81+Data!F81+Data!G81+Data!H81+Data!I81+Data!J81+Data!K81+Data!L81+Data!M81+Data!N81+Data!O81+Data!P81+Data!Q81+Data!R81+Data!S81+Data!D82+Data!E82+Data!F82+Data!G82+Data!H82+Data!I82+Data!J82+Data!K82+Data!L82+Data!M82+Data!N82+Data!O82+Data!P82+Data!Q82+Data!R82+Data!S82+Data!D83+Data!E83+Data!F83+Data!G83+Data!H83+Data!I83+Data!J83+Data!K83+Data!L83+Data!M83+Data!N83+Data!O83+Data!P83+Data!Q83+Data!R83+Data!S83+Data!D84+Data!E84+Data!F84+Data!G84+Data!H84+Data!I84+Data!J84+Data!K84+Data!L84+Data!M84+Data!N84+Data!O84+Data!P84+Data!Q84+Data!R84+Data!S84+Data!D85+Data!E85+Data!F85+Data!G85+Data!H85+Data!I85+Data!J85+Data!K85+Data!L85+Data!M85+Data!N85+Data!O85+Data!P85+Data!Q85+Data!R85+Data!S85+Data!D86+Data!E86+Data!F86+Data!G86+Data!H86+Data!I86+Data!J86+Data!K86+Data!L86+Data!M86+Data!N86+Data!O86+Data!P86+Data!Q86+Data!R86+Data!S86+Data!D87+Data!E87+Data!F87+Data!G87+Data!H87+Data!I87+Data!J87+Data!K87+Data!L87+Data!M87+Data!N87+Data!O87+Data!P87+Data!Q87+Data!R87+Data!S87+Data!D88+Data!E88+Data!F88+Data!G88+Data!H88+Data!I88+Data!J88+Data!K88+Data!L88+Data!M88+Data!N88+Data!O88+Data!P88+Data!Q88+Data!R88+Data!S88+Data!D89+Data!E89+Data!F89+Data!G89+Data!H89+Data!I89+Data!J89+Data!K89+Data!L89+Data!M89+Data!N89+Data!O89+Data!P89+Data!Q89+Data!R89+Data!S89+Data!D90+Data!E90+Data!F90+Data!G90+Data!H90+Data!I90+Data!J90+Data!K90+Data!L90+Data!M90+Data!N90+Data!O90+Data!P90+Data!Q90+Data!R90+Data!S90+Data!D91+Data!E91+Data!F91+Data!G91+Data!H91+Data!I91+Data!J91+Data!K91+Data!L91+Data!M91+Data!N91+Data!O91+Data!P91+Data!Q91+Data!R91+Data!S91+Data!D92+Data!E92+Data!F92+Data!G92+Data!H92+Data!I92+Data!J92+Data!K92+Data!L92+Data!M92+Data!N92+Data!O92+Data!P92+Data!Q92+Data!R92+Data!S92)/(Data!AP81+Data!AP82+Data!AP83+Data!AP84+Data!AP85+Data!AP86+Data!AP87+Data!AP88+Data!AP89+Data!AP90+Data!AP91+Data!AP92)</f>
        <v>0.180159079110095</v>
      </c>
      <c r="D92" s="18" t="n">
        <f aca="false">(Data!D81+Data!E81+Data!G81+Data!H81+Data!I81+Data!J81+Data!K81+Data!L81+Data!M81+Data!D82+Data!E82+Data!G82+Data!H82+Data!I82+Data!J82+Data!K82+Data!L82+Data!M82+Data!D83+Data!E83+Data!G83+Data!H83+Data!I83+Data!J83+Data!K83+Data!L83+Data!M83+Data!D84+Data!E84+Data!G84+Data!H84+Data!I84+Data!J84+Data!K84+Data!L84+Data!M84+Data!D85+Data!E85+Data!G85+Data!H85+Data!I85+Data!J85+Data!K85+Data!L85+Data!M85+Data!D86+Data!E86+Data!G86+Data!H86+Data!I86+Data!J86+Data!K86+Data!L86+Data!M86+Data!D87+Data!E87+Data!G87+Data!H87+Data!I87+Data!J87+Data!K87+Data!L87+Data!M87+Data!D88+Data!E88+Data!G88+Data!H88+Data!I88+Data!J88+Data!K88+Data!L88+Data!M88+Data!D89+Data!E89+Data!G89+Data!H89+Data!I89+Data!J89+Data!K89+Data!L89+Data!M89+Data!D90+Data!E90+Data!G90+Data!H90+Data!I90+Data!J90+Data!K90+Data!L90+Data!M90+Data!D91+Data!E91+Data!G91+Data!H91+Data!I91+Data!J91+Data!K91+Data!L91+Data!M91+Data!D92+Data!E92+Data!G92+Data!H92+Data!I92+Data!J92+Data!K92+Data!L92+Data!M92)/(Data!AP81+Data!AP82+Data!AP83+Data!AP84+Data!AP85+Data!AP86+Data!AP87+Data!AP88+Data!AP89+Data!AP90+Data!AP91+Data!AP92)</f>
        <v>0.107206736553264</v>
      </c>
      <c r="E92" s="18" t="n">
        <f aca="false">(Data!D81+Data!D82+Data!D83+Data!D84+Data!D85+Data!D86+Data!D87+Data!D88+Data!D89+Data!D90+Data!D91+Data!D92)/(Data!AP81+Data!AP82+Data!AP83+Data!AP84+Data!AP85+Data!AP86+Data!AP87+Data!AP88+Data!AP89+Data!AP90+Data!AP91+Data!AP92)</f>
        <v>0.0319435868396525</v>
      </c>
      <c r="F92" s="18" t="n">
        <f aca="false">(Data!E81+Data!E82+Data!E83+Data!E84+Data!E85+Data!E86+Data!E87+Data!E88+Data!E89+Data!E90+Data!E91+Data!E92)/(Data!AP81+Data!AP82+Data!AP83+Data!AP84+Data!AP85+Data!AP86+Data!AP87+Data!AP88+Data!AP89+Data!AP90+Data!AP91+Data!AP92)</f>
        <v>0.0201046252530191</v>
      </c>
      <c r="G92" s="18" t="n">
        <f aca="false">(Data!K81+Data!K82+Data!K83+Data!K84+Data!K85+Data!K86+Data!K87+Data!K88+Data!K89+Data!K90+Data!K91+Data!K92)/(Data!AP81+Data!AP82+Data!AP83+Data!AP84+Data!AP85+Data!AP86+Data!AP87+Data!AP88+Data!AP89+Data!AP90+Data!AP91+Data!AP92)</f>
        <v>0.0162138142335255</v>
      </c>
      <c r="H92" s="18" t="n">
        <f aca="false">(Data!L81+Data!L82+Data!L83+Data!L84+Data!L85+Data!L86+Data!L87+Data!L88+Data!L89+Data!L90+Data!L91+Data!L92)/(Data!AP81+Data!AP82+Data!AP83+Data!AP84+Data!AP85+Data!AP86+Data!AP87+Data!AP88+Data!AP89+Data!AP90+Data!AP91+Data!AP92)</f>
        <v>0.00594075800032407</v>
      </c>
      <c r="I92" s="18" t="n">
        <f aca="false">(Data!G81+Data!G82+Data!G83+Data!G84+Data!G85+Data!G86+Data!G87+Data!G88+Data!G89+Data!G90+Data!G91+Data!G92)/(Data!AP81+Data!AP82+Data!AP83+Data!AP84+Data!AP85+Data!AP86+Data!AP87+Data!AP88+Data!AP89+Data!AP90+Data!AP91+Data!AP92)</f>
        <v>0.0158356678361355</v>
      </c>
      <c r="J92" s="18" t="n">
        <f aca="false">(Data!H81+Data!I81+Data!J81+Data!M81+Data!H82+Data!I82+Data!J82+Data!M82+Data!H83+Data!I83+Data!J83+Data!M83+Data!H84+Data!I84+Data!J84+Data!M84+Data!H85+Data!I85+Data!J85+Data!M85+Data!H86+Data!I86+Data!J86+Data!M86+Data!H87+Data!I87+Data!J87+Data!M87+Data!H88+Data!I88+Data!J88+Data!M88+Data!H89+Data!I89+Data!J89+Data!M89+Data!H90+Data!I90+Data!J90+Data!M90+Data!H91+Data!I91+Data!J91+Data!M91+Data!H92+Data!I92+Data!J92+Data!M92)/(Data!AP81+Data!AP82+Data!AP83+Data!AP84+Data!AP85+Data!AP86+Data!AP87+Data!AP88+Data!AP89+Data!AP90+Data!AP91+Data!AP92)</f>
        <v>0.0171682843906071</v>
      </c>
      <c r="K92" s="18" t="n">
        <f aca="false">(Data!F81+Data!F82+Data!F83+Data!F84+Data!F85+Data!F86+Data!F87+Data!F88+Data!F89+Data!F90+Data!F91+Data!F92)/(Data!AP81+Data!AP82+Data!AP83+Data!AP84+Data!AP85+Data!AP86+Data!AP87+Data!AP88+Data!AP89+Data!AP90+Data!AP91+Data!AP92)</f>
        <v>0.052670380278108</v>
      </c>
      <c r="L92" s="18" t="n">
        <f aca="false">(Data!N81+Data!O81+Data!P81+Data!Q81+Data!R81+Data!S81+Data!N82+Data!O82+Data!P82+Data!Q82+Data!R82+Data!S82+Data!N83+Data!O83+Data!P83+Data!Q83+Data!R83+Data!S83+Data!N84+Data!O84+Data!P84+Data!Q84+Data!R84+Data!S84+Data!N85+Data!O85+Data!P85+Data!Q85+Data!R85+Data!S85+Data!N86+Data!O86+Data!P86+Data!Q86+Data!R86+Data!S86+Data!N87+Data!O87+Data!P87+Data!Q87+Data!R87+Data!S87+Data!N88+Data!O88+Data!P88+Data!Q88+Data!R88+Data!S88+Data!N89+Data!O89+Data!P89+Data!Q89+Data!R89+Data!S89+Data!N90+Data!O90+Data!P90+Data!Q90+Data!R90+Data!S90+Data!N91+Data!O91+Data!P91+Data!Q91+Data!R91+Data!S91+Data!N92+Data!O92+Data!P92+Data!Q92+Data!R92+Data!S92)/(Data!AP81+Data!AP82+Data!AP83+Data!AP84+Data!AP85+Data!AP86+Data!AP87+Data!AP88+Data!AP89+Data!AP90+Data!AP91+Data!AP92)</f>
        <v>0.0202819622787235</v>
      </c>
      <c r="M92" s="17" t="n">
        <f aca="false">(Data!T81+Data!U81+Data!V81+Data!W81+Data!X81+Data!Y81+Data!Z81+Data!AA81+Data!AB81+Data!AC81+Data!AD81+Data!AE81+Data!AF81+Data!AG81+Data!AH81+Data!AI81+Data!AJ81+Data!AK81+Data!AL81+Data!T82+Data!U82+Data!V82+Data!W82+Data!X82+Data!Y82+Data!Z82+Data!AA82+Data!AB82+Data!AC82+Data!AD82+Data!AE82+Data!AF82+Data!AG82+Data!AH82+Data!AI82+Data!AJ82+Data!AK82+Data!AL82+Data!T83+Data!U83+Data!V83+Data!W83+Data!X83+Data!Y83+Data!Z83+Data!AA83+Data!AB83+Data!AC83+Data!AD83+Data!AE83+Data!AF83+Data!AG83+Data!AH83+Data!AI83+Data!AJ83+Data!AK83+Data!AL83+Data!T84+Data!U84+Data!V84+Data!W84+Data!X84+Data!Y84+Data!Z84+Data!AA84+Data!AB84+Data!AC84+Data!AD84+Data!AE84+Data!AF84+Data!AG84+Data!AH84+Data!AI84+Data!AJ84+Data!AK84+Data!AL84+Data!T85+Data!U85+Data!V85+Data!W85+Data!X85+Data!Y85+Data!Z85+Data!AA85+Data!AB85+Data!AC85+Data!AD85+Data!AE85+Data!AF85+Data!AG85+Data!AH85+Data!AI85+Data!AJ85+Data!AK85+Data!AL85+Data!T86+Data!U86+Data!V86+Data!W86+Data!X86+Data!Y86+Data!Z86+Data!AA86+Data!AB86+Data!AC86+Data!AD86+Data!AE86+Data!AF86+Data!AG86+Data!AH86+Data!AI86+Data!AJ86+Data!AK86+Data!AL86+Data!T87+Data!U87+Data!V87+Data!W87+Data!X87+Data!Y87+Data!Z87+Data!AA87+Data!AB87+Data!AC87+Data!AD87+Data!AE87+Data!AF87+Data!AG87+Data!AH87+Data!AI87+Data!AJ87+Data!AK87+Data!AL87+Data!T88+Data!U88+Data!V88+Data!W88+Data!X88+Data!Y88+Data!Z88+Data!AA88+Data!AB88+Data!AC88+Data!AD88+Data!AE88+Data!AF88+Data!AG88+Data!AH88+Data!AI88+Data!AJ88+Data!AK88+Data!AL88+Data!T89+Data!U89+Data!V89+Data!W89+Data!X89+Data!Y89+Data!Z89+Data!AA89+Data!AB89+Data!AC89+Data!AD89+Data!AE89+Data!AF89+Data!AG89+Data!AH89+Data!AI89+Data!AJ89+Data!AK89+Data!AL89+Data!T90+Data!U90+Data!V90+Data!W90+Data!X90+Data!Y90+Data!Z90+Data!AA90+Data!AB90+Data!AC90+Data!AD90+Data!AE90+Data!AF90+Data!AG90+Data!AH90+Data!AI90+Data!AJ90+Data!AK90+Data!AL90+Data!T91+Data!U91+Data!V91+Data!W91+Data!X91+Data!Y91+Data!Z91+Data!AA91+Data!AB91+Data!AC91+Data!AD91+Data!AE91+Data!AF91+Data!AG91+Data!AH91+Data!AI91+Data!AJ91+Data!AK91+Data!AL91+Data!T92+Data!U92+Data!V92+Data!W92+Data!X92+Data!Y92+Data!Z92+Data!AA92+Data!AB92+Data!AC92+Data!AD92+Data!AE92+Data!AF92+Data!AG92+Data!AH92+Data!AI92+Data!AJ92+Data!AK92+Data!AL92)/(Data!AP81+Data!AP82+Data!AP83+Data!AP84+Data!AP85+Data!AP86+Data!AP87+Data!AP88+Data!AP89+Data!AP90+Data!AP91+Data!AP92)</f>
        <v>0.201720392114037</v>
      </c>
      <c r="N92" s="18" t="n">
        <f aca="false">(Data!T81+Data!U81+Data!V81+Data!W81+Data!T82+Data!U82+Data!V82+Data!W82+Data!T83+Data!U83+Data!V83+Data!W83+Data!T84+Data!U84+Data!V84+Data!W84+Data!T85+Data!U85+Data!V85+Data!W85+Data!T86+Data!U86+Data!V86+Data!W86+Data!T87+Data!U87+Data!V87+Data!W87+Data!T88+Data!U88+Data!V88+Data!W88+Data!T89+Data!U89+Data!V89+Data!W89+Data!T90+Data!U90+Data!V90+Data!W90+Data!T91+Data!U91+Data!V91+Data!W91+Data!T92+Data!U92+Data!V92+Data!W92)/(Data!AP81+Data!AP82+Data!AP83+Data!AP84+Data!AP85+Data!AP86+Data!AP87+Data!AP88+Data!AP89+Data!AP90+Data!AP91+Data!AP92)</f>
        <v>0.0930269046534858</v>
      </c>
      <c r="O92" s="18" t="n">
        <f aca="false">(Data!T81+Data!T82+Data!T83+Data!T84+Data!T85+Data!T86+Data!T87+Data!T88+Data!T89+Data!T90+Data!T91+Data!T92)/(Data!AP81+Data!AP82+Data!AP83+Data!AP84+Data!AP85+Data!AP86+Data!AP87+Data!AP88+Data!AP89+Data!AP90+Data!AP91+Data!AP92)</f>
        <v>0.0676967591633026</v>
      </c>
      <c r="P92" s="18" t="n">
        <f aca="false">(Data!U81+Data!U82+Data!U83+Data!U84+Data!U85+Data!U86+Data!U87+Data!U88+Data!U89+Data!U90+Data!U91+Data!U92)/(Data!AP81+Data!AP82+Data!AP83+Data!AP84+Data!AP85+Data!AP86+Data!AP87+Data!AP88+Data!AP89+Data!AP90+Data!AP91+Data!AP92)</f>
        <v>0.0109188909292458</v>
      </c>
      <c r="Q92" s="18" t="n">
        <f aca="false">(Data!V81+Data!V82+Data!V83+Data!V84+Data!V85+Data!V86+Data!V87+Data!V88+Data!V89+Data!V90+Data!V91+Data!V92)/(Data!AP81+Data!AP82+Data!AP83+Data!AP84+Data!AP85+Data!AP86+Data!AP87+Data!AP88+Data!AP89+Data!AP90+Data!AP91+Data!AP92)</f>
        <v>0.0069216884812532</v>
      </c>
      <c r="R92" s="18" t="n">
        <f aca="false">(Data!W81+Data!W82+Data!W83+Data!W84+Data!W85+Data!W86+Data!W87+Data!W88+Data!W89+Data!W90+Data!W91+Data!W92)/(Data!AP81+Data!AP82+Data!AP83+Data!AP84+Data!AP85+Data!AP86+Data!AP87+Data!AP88+Data!AP89+Data!AP90+Data!AP91+Data!AP92)</f>
        <v>0.00748956607968415</v>
      </c>
      <c r="S92" s="18" t="n">
        <f aca="false">(Data!X81+Data!X82+Data!X83+Data!X84+Data!X85+Data!X86+Data!X87+Data!X88+Data!X89+Data!X90+Data!X91+Data!X92)/(Data!AP81+Data!AP82+Data!AP83+Data!AP84+Data!AP85+Data!AP86+Data!AP87+Data!AP88+Data!AP89+Data!AP90+Data!AP91+Data!AP92)</f>
        <v>0.0189672412306779</v>
      </c>
      <c r="T92" s="18" t="n">
        <f aca="false">(Data!Y81+Data!Z81+Data!AA81+Data!Y82+Data!Z82+Data!AA82+Data!Y83+Data!Z83+Data!AA83+Data!Y84+Data!Z84+Data!AA84+Data!Y85+Data!Z85+Data!AA85+Data!Y86+Data!Z86+Data!AA86+Data!Y87+Data!Z87+Data!AA87+Data!Y88+Data!Z88+Data!AA88+Data!Y89+Data!Z89+Data!AA89+Data!Y90+Data!Z90+Data!AA90+Data!Y91+Data!Z91+Data!AA91+Data!Y92+Data!Z92+Data!AA92)/(Data!AP81+Data!AP82+Data!AP83+Data!AP84+Data!AP85+Data!AP86+Data!AP87+Data!AP88+Data!AP89+Data!AP90+Data!AP91+Data!AP92)</f>
        <v>0.0251214185164983</v>
      </c>
      <c r="U92" s="18" t="n">
        <f aca="false">(Data!Y81+Data!Y82+Data!Y83+Data!Y84+Data!Y85+Data!Y86+Data!Y87+Data!Y88+Data!Y89+Data!Y90+Data!Y91+Data!Y92)/(Data!AP81+Data!AP82+Data!AP83+Data!AP84+Data!AP85+Data!AP86+Data!AP87+Data!AP88+Data!AP89+Data!AP90+Data!AP91+Data!AP92)</f>
        <v>0.0192370653402258</v>
      </c>
      <c r="V92" s="18" t="n">
        <f aca="false">(Data!Z81+Data!Z82+Data!Z83+Data!Z84+Data!Z85+Data!Z86+Data!Z87+Data!Z88+Data!Z89+Data!Z90+Data!Z91+Data!Z92)/(Data!AP81+Data!AP82+Data!AP83+Data!AP84+Data!AP85+Data!AP86+Data!AP87+Data!AP88+Data!AP89+Data!AP90+Data!AP91+Data!AP92)</f>
        <v>0.00547064229142831</v>
      </c>
      <c r="W92" s="18" t="n">
        <f aca="false">(Data!AB81+Data!AB82+Data!AB83+Data!AB84+Data!AB85+Data!AB86+Data!AB87+Data!AB88+Data!AB89+Data!AB90+Data!AB91+Data!AB92)/(Data!AP81+Data!AP82+Data!AP83+Data!AP84+Data!AP85+Data!AP86+Data!AP87+Data!AP88+Data!AP89+Data!AP90+Data!AP91+Data!AP92)</f>
        <v>0.0242664145828972</v>
      </c>
      <c r="X92" s="18" t="n">
        <f aca="false">(Data!AC81+Data!AC82+Data!AC83+Data!AC84+Data!AC85+Data!AC86+Data!AC87+Data!AC88+Data!AC89+Data!AC90+Data!AC91+Data!AC92)/(Data!AP81+Data!AP82+Data!AP83+Data!AP84+Data!AP85+Data!AP86+Data!AP87+Data!AP88+Data!AP89+Data!AP90+Data!AP91+Data!AP92)</f>
        <v>0.00715559213486469</v>
      </c>
      <c r="Y92" s="18" t="n">
        <f aca="false">(Data!AD81+Data!AE81+Data!AF81+Data!AG81+Data!AH81+Data!AD82+Data!AE82+Data!AF82+Data!AG82+Data!AH82+Data!AD83+Data!AE83+Data!AF83+Data!AG83+Data!AH83+Data!AD84+Data!AE84+Data!AF84+Data!AG84+Data!AH84+Data!AD85+Data!AE85+Data!AF85+Data!AG85+Data!AH85+Data!AD86+Data!AE86+Data!AF86+Data!AG86+Data!AH86+Data!AD87+Data!AE87+Data!AF87+Data!AG87+Data!AH87+Data!AD88+Data!AE88+Data!AF88+Data!AG88+Data!AH88+Data!AD89+Data!AE89+Data!AF89+Data!AG89+Data!AH89+Data!AD90+Data!AE90+Data!AF90+Data!AG90+Data!AH90+Data!AD91+Data!AE91+Data!AF91+Data!AG91+Data!AH91+Data!AD92+Data!AE92+Data!AF92+Data!AG92+Data!AH92)/(Data!AP81+Data!AP82+Data!AP83+Data!AP84+Data!AP85+Data!AP86+Data!AP87+Data!AP88+Data!AP89+Data!AP90+Data!AP91+Data!AP92)</f>
        <v>0.00643284667280619</v>
      </c>
      <c r="Z92" s="18" t="n">
        <f aca="false">(Data!AI81+Data!AI82+Data!AI83+Data!AI84+Data!AI85+Data!AI86+Data!AI87+Data!AI88+Data!AI89+Data!AI90+Data!AI91+Data!AI92)/(Data!AP81+Data!AP82+Data!AP83+Data!AP84+Data!AP85+Data!AP86+Data!AP87+Data!AP88+Data!AP89+Data!AP90+Data!AP91+Data!AP92)</f>
        <v>0.00619831737761983</v>
      </c>
      <c r="AA92" s="18" t="n">
        <f aca="false">(Data!AJ81+Data!AJ82+Data!AJ83+Data!AJ84+Data!AJ85+Data!AJ86+Data!AJ87+Data!AJ88+Data!AJ89+Data!AJ90+Data!AJ91+Data!AJ92)/(Data!AP81+Data!AP82+Data!AP83+Data!AP84+Data!AP85+Data!AP86+Data!AP87+Data!AP88+Data!AP89+Data!AP90+Data!AP91+Data!AP92)</f>
        <v>0</v>
      </c>
      <c r="AB92" s="18" t="n">
        <f aca="false">(Data!AK81+Data!AK82+Data!AK83+Data!AK84+Data!AK85+Data!AK86+Data!AK87+Data!AK88+Data!AK89+Data!AK90+Data!AK91+Data!AK92)/(Data!AP81+Data!AP82+Data!AP83+Data!AP84+Data!AP85+Data!AP86+Data!AP87+Data!AP88+Data!AP89+Data!AP90+Data!AP91+Data!AP92)</f>
        <v>0.00381630573746571</v>
      </c>
      <c r="AC92" s="18" t="n">
        <f aca="false">(Data!AL81+Data!AL82+Data!AL83+Data!AL84+Data!AL85+Data!AL86+Data!AL87+Data!AL88+Data!AL89+Data!AL90+Data!AL91+Data!AL92)/(Data!AP81+Data!AP82+Data!AP83+Data!AP84+Data!AP85+Data!AP86+Data!AP87+Data!AP88+Data!AP89+Data!AP90+Data!AP91+Data!AP92)</f>
        <v>0.0167353512077212</v>
      </c>
      <c r="AD92" s="17" t="n">
        <f aca="false">(Data!AM81+Data!AM82+Data!AM83+Data!AM84+Data!AM85+Data!AM86+Data!AM87+Data!AM88+Data!AM89+Data!AM90+Data!AM91+Data!AM92)/(Data!AP81+Data!AP82+Data!AP83+Data!AP84+Data!AP85+Data!AP86+Data!AP87+Data!AP88+Data!AP89+Data!AP90+Data!AP91+Data!AP92)</f>
        <v>-0.0215613130039416</v>
      </c>
      <c r="AE92" s="18" t="n">
        <f aca="false">(Data!AN81+Data!AN82+Data!AN83+Data!AN84+Data!AN85+Data!AN86+Data!AN87+Data!AN88+Data!AN89+Data!AN90+Data!AN91+Data!AN92)/(Data!AP81+Data!AP82+Data!AP83+Data!AP84+Data!AP85+Data!AP86+Data!AP87+Data!AP88+Data!AP89+Data!AP90+Data!AP91+Data!AP92)</f>
        <v>0.0203863904871081</v>
      </c>
      <c r="AF92" s="17" t="n">
        <f aca="false">(Data!AO81+Data!AO82+Data!AO83+Data!AO84+Data!AO85+Data!AO86+Data!AO87+Data!AO88+Data!AO89+Data!AO90+Data!AO91+Data!AO92)/(Data!AP81+Data!AP82+Data!AP83+Data!AP84+Data!AP85+Data!AP86+Data!AP87+Data!AP88+Data!AP89+Data!AP90+Data!AP91+Data!AP92)</f>
        <v>-0.0419477034910497</v>
      </c>
    </row>
    <row r="93" customFormat="false" ht="15" hidden="false" customHeight="false" outlineLevel="0" collapsed="false">
      <c r="B93" s="14" t="str">
        <f aca="false">Data!B93</f>
        <v>2023-03</v>
      </c>
      <c r="C93" s="17" t="n">
        <f aca="false">(Data!D82+Data!E82+Data!F82+Data!G82+Data!H82+Data!I82+Data!J82+Data!K82+Data!L82+Data!M82+Data!N82+Data!O82+Data!P82+Data!Q82+Data!R82+Data!S82+Data!D83+Data!E83+Data!F83+Data!G83+Data!H83+Data!I83+Data!J83+Data!K83+Data!L83+Data!M83+Data!N83+Data!O83+Data!P83+Data!Q83+Data!R83+Data!S83+Data!D84+Data!E84+Data!F84+Data!G84+Data!H84+Data!I84+Data!J84+Data!K84+Data!L84+Data!M84+Data!N84+Data!O84+Data!P84+Data!Q84+Data!R84+Data!S84+Data!D85+Data!E85+Data!F85+Data!G85+Data!H85+Data!I85+Data!J85+Data!K85+Data!L85+Data!M85+Data!N85+Data!O85+Data!P85+Data!Q85+Data!R85+Data!S85+Data!D86+Data!E86+Data!F86+Data!G86+Data!H86+Data!I86+Data!J86+Data!K86+Data!L86+Data!M86+Data!N86+Data!O86+Data!P86+Data!Q86+Data!R86+Data!S86+Data!D87+Data!E87+Data!F87+Data!G87+Data!H87+Data!I87+Data!J87+Data!K87+Data!L87+Data!M87+Data!N87+Data!O87+Data!P87+Data!Q87+Data!R87+Data!S87+Data!D88+Data!E88+Data!F88+Data!G88+Data!H88+Data!I88+Data!J88+Data!K88+Data!L88+Data!M88+Data!N88+Data!O88+Data!P88+Data!Q88+Data!R88+Data!S88+Data!D89+Data!E89+Data!F89+Data!G89+Data!H89+Data!I89+Data!J89+Data!K89+Data!L89+Data!M89+Data!N89+Data!O89+Data!P89+Data!Q89+Data!R89+Data!S89+Data!D90+Data!E90+Data!F90+Data!G90+Data!H90+Data!I90+Data!J90+Data!K90+Data!L90+Data!M90+Data!N90+Data!O90+Data!P90+Data!Q90+Data!R90+Data!S90+Data!D91+Data!E91+Data!F91+Data!G91+Data!H91+Data!I91+Data!J91+Data!K91+Data!L91+Data!M91+Data!N91+Data!O91+Data!P91+Data!Q91+Data!R91+Data!S91+Data!D92+Data!E92+Data!F92+Data!G92+Data!H92+Data!I92+Data!J92+Data!K92+Data!L92+Data!M92+Data!N92+Data!O92+Data!P92+Data!Q92+Data!R92+Data!S92+Data!D93+Data!E93+Data!F93+Data!G93+Data!H93+Data!I93+Data!J93+Data!K93+Data!L93+Data!M93+Data!N93+Data!O93+Data!P93+Data!Q93+Data!R93+Data!S93)/(Data!AP82+Data!AP83+Data!AP84+Data!AP85+Data!AP86+Data!AP87+Data!AP88+Data!AP89+Data!AP90+Data!AP91+Data!AP92+Data!AP93)</f>
        <v>0.176557882235066</v>
      </c>
      <c r="D93" s="18" t="n">
        <f aca="false">(Data!D82+Data!E82+Data!G82+Data!H82+Data!I82+Data!J82+Data!K82+Data!L82+Data!M82+Data!D83+Data!E83+Data!G83+Data!H83+Data!I83+Data!J83+Data!K83+Data!L83+Data!M83+Data!D84+Data!E84+Data!G84+Data!H84+Data!I84+Data!J84+Data!K84+Data!L84+Data!M84+Data!D85+Data!E85+Data!G85+Data!H85+Data!I85+Data!J85+Data!K85+Data!L85+Data!M85+Data!D86+Data!E86+Data!G86+Data!H86+Data!I86+Data!J86+Data!K86+Data!L86+Data!M86+Data!D87+Data!E87+Data!G87+Data!H87+Data!I87+Data!J87+Data!K87+Data!L87+Data!M87+Data!D88+Data!E88+Data!G88+Data!H88+Data!I88+Data!J88+Data!K88+Data!L88+Data!M88+Data!D89+Data!E89+Data!G89+Data!H89+Data!I89+Data!J89+Data!K89+Data!L89+Data!M89+Data!D90+Data!E90+Data!G90+Data!H90+Data!I90+Data!J90+Data!K90+Data!L90+Data!M90+Data!D91+Data!E91+Data!G91+Data!H91+Data!I91+Data!J91+Data!K91+Data!L91+Data!M91+Data!D92+Data!E92+Data!G92+Data!H92+Data!I92+Data!J92+Data!K92+Data!L92+Data!M92+Data!D93+Data!E93+Data!G93+Data!H93+Data!I93+Data!J93+Data!K93+Data!L93+Data!M93)/(Data!AP82+Data!AP83+Data!AP84+Data!AP85+Data!AP86+Data!AP87+Data!AP88+Data!AP89+Data!AP90+Data!AP91+Data!AP92+Data!AP93)</f>
        <v>0.104957327176958</v>
      </c>
      <c r="E93" s="18" t="n">
        <f aca="false">(Data!D82+Data!D83+Data!D84+Data!D85+Data!D86+Data!D87+Data!D88+Data!D89+Data!D90+Data!D91+Data!D92+Data!D93)/(Data!AP82+Data!AP83+Data!AP84+Data!AP85+Data!AP86+Data!AP87+Data!AP88+Data!AP89+Data!AP90+Data!AP91+Data!AP92+Data!AP93)</f>
        <v>0.032254704830795</v>
      </c>
      <c r="F93" s="18" t="n">
        <f aca="false">(Data!E82+Data!E83+Data!E84+Data!E85+Data!E86+Data!E87+Data!E88+Data!E89+Data!E90+Data!E91+Data!E92+Data!E93)/(Data!AP82+Data!AP83+Data!AP84+Data!AP85+Data!AP86+Data!AP87+Data!AP88+Data!AP89+Data!AP90+Data!AP91+Data!AP92+Data!AP93)</f>
        <v>0.0197596134227366</v>
      </c>
      <c r="G93" s="18" t="n">
        <f aca="false">(Data!K82+Data!K83+Data!K84+Data!K85+Data!K86+Data!K87+Data!K88+Data!K89+Data!K90+Data!K91+Data!K92+Data!K93)/(Data!AP82+Data!AP83+Data!AP84+Data!AP85+Data!AP86+Data!AP87+Data!AP88+Data!AP89+Data!AP90+Data!AP91+Data!AP92+Data!AP93)</f>
        <v>0.014282444506384</v>
      </c>
      <c r="H93" s="18" t="n">
        <f aca="false">(Data!L82+Data!L83+Data!L84+Data!L85+Data!L86+Data!L87+Data!L88+Data!L89+Data!L90+Data!L91+Data!L92+Data!L93)/(Data!AP82+Data!AP83+Data!AP84+Data!AP85+Data!AP86+Data!AP87+Data!AP88+Data!AP89+Data!AP90+Data!AP91+Data!AP92+Data!AP93)</f>
        <v>0.00589246497742237</v>
      </c>
      <c r="I93" s="18" t="n">
        <f aca="false">(Data!G82+Data!G83+Data!G84+Data!G85+Data!G86+Data!G87+Data!G88+Data!G89+Data!G90+Data!G91+Data!G92+Data!G93)/(Data!AP82+Data!AP83+Data!AP84+Data!AP85+Data!AP86+Data!AP87+Data!AP88+Data!AP89+Data!AP90+Data!AP91+Data!AP92+Data!AP93)</f>
        <v>0.015923066920647</v>
      </c>
      <c r="J93" s="18" t="n">
        <f aca="false">(Data!H82+Data!I82+Data!J82+Data!M82+Data!H83+Data!I83+Data!J83+Data!M83+Data!H84+Data!I84+Data!J84+Data!M84+Data!H85+Data!I85+Data!J85+Data!M85+Data!H86+Data!I86+Data!J86+Data!M86+Data!H87+Data!I87+Data!J87+Data!M87+Data!H88+Data!I88+Data!J88+Data!M88+Data!H89+Data!I89+Data!J89+Data!M89+Data!H90+Data!I90+Data!J90+Data!M90+Data!H91+Data!I91+Data!J91+Data!M91+Data!H92+Data!I92+Data!J92+Data!M92+Data!H93+Data!I93+Data!J93+Data!M93)/(Data!AP82+Data!AP83+Data!AP84+Data!AP85+Data!AP86+Data!AP87+Data!AP88+Data!AP89+Data!AP90+Data!AP91+Data!AP92+Data!AP93)</f>
        <v>0.0168450325189733</v>
      </c>
      <c r="K93" s="18" t="n">
        <f aca="false">(Data!F82+Data!F83+Data!F84+Data!F85+Data!F86+Data!F87+Data!F88+Data!F89+Data!F90+Data!F91+Data!F92+Data!F93)/(Data!AP82+Data!AP83+Data!AP84+Data!AP85+Data!AP86+Data!AP87+Data!AP88+Data!AP89+Data!AP90+Data!AP91+Data!AP92+Data!AP93)</f>
        <v>0.0527424267963783</v>
      </c>
      <c r="L93" s="18" t="n">
        <f aca="false">(Data!N82+Data!O82+Data!P82+Data!Q82+Data!R82+Data!S82+Data!N83+Data!O83+Data!P83+Data!Q83+Data!R83+Data!S83+Data!N84+Data!O84+Data!P84+Data!Q84+Data!R84+Data!S84+Data!N85+Data!O85+Data!P85+Data!Q85+Data!R85+Data!S85+Data!N86+Data!O86+Data!P86+Data!Q86+Data!R86+Data!S86+Data!N87+Data!O87+Data!P87+Data!Q87+Data!R87+Data!S87+Data!N88+Data!O88+Data!P88+Data!Q88+Data!R88+Data!S88+Data!N89+Data!O89+Data!P89+Data!Q89+Data!R89+Data!S89+Data!N90+Data!O90+Data!P90+Data!Q90+Data!R90+Data!S90+Data!N91+Data!O91+Data!P91+Data!Q91+Data!R91+Data!S91+Data!N92+Data!O92+Data!P92+Data!Q92+Data!R92+Data!S92+Data!N93+Data!O93+Data!P93+Data!Q93+Data!R93+Data!S93)/(Data!AP82+Data!AP83+Data!AP84+Data!AP85+Data!AP86+Data!AP87+Data!AP88+Data!AP89+Data!AP90+Data!AP91+Data!AP92+Data!AP93)</f>
        <v>0.0188581282617296</v>
      </c>
      <c r="M93" s="17" t="n">
        <f aca="false">(Data!T82+Data!U82+Data!V82+Data!W82+Data!X82+Data!Y82+Data!Z82+Data!AA82+Data!AB82+Data!AC82+Data!AD82+Data!AE82+Data!AF82+Data!AG82+Data!AH82+Data!AI82+Data!AJ82+Data!AK82+Data!AL82+Data!T83+Data!U83+Data!V83+Data!W83+Data!X83+Data!Y83+Data!Z83+Data!AA83+Data!AB83+Data!AC83+Data!AD83+Data!AE83+Data!AF83+Data!AG83+Data!AH83+Data!AI83+Data!AJ83+Data!AK83+Data!AL83+Data!T84+Data!U84+Data!V84+Data!W84+Data!X84+Data!Y84+Data!Z84+Data!AA84+Data!AB84+Data!AC84+Data!AD84+Data!AE84+Data!AF84+Data!AG84+Data!AH84+Data!AI84+Data!AJ84+Data!AK84+Data!AL84+Data!T85+Data!U85+Data!V85+Data!W85+Data!X85+Data!Y85+Data!Z85+Data!AA85+Data!AB85+Data!AC85+Data!AD85+Data!AE85+Data!AF85+Data!AG85+Data!AH85+Data!AI85+Data!AJ85+Data!AK85+Data!AL85+Data!T86+Data!U86+Data!V86+Data!W86+Data!X86+Data!Y86+Data!Z86+Data!AA86+Data!AB86+Data!AC86+Data!AD86+Data!AE86+Data!AF86+Data!AG86+Data!AH86+Data!AI86+Data!AJ86+Data!AK86+Data!AL86+Data!T87+Data!U87+Data!V87+Data!W87+Data!X87+Data!Y87+Data!Z87+Data!AA87+Data!AB87+Data!AC87+Data!AD87+Data!AE87+Data!AF87+Data!AG87+Data!AH87+Data!AI87+Data!AJ87+Data!AK87+Data!AL87+Data!T88+Data!U88+Data!V88+Data!W88+Data!X88+Data!Y88+Data!Z88+Data!AA88+Data!AB88+Data!AC88+Data!AD88+Data!AE88+Data!AF88+Data!AG88+Data!AH88+Data!AI88+Data!AJ88+Data!AK88+Data!AL88+Data!T89+Data!U89+Data!V89+Data!W89+Data!X89+Data!Y89+Data!Z89+Data!AA89+Data!AB89+Data!AC89+Data!AD89+Data!AE89+Data!AF89+Data!AG89+Data!AH89+Data!AI89+Data!AJ89+Data!AK89+Data!AL89+Data!T90+Data!U90+Data!V90+Data!W90+Data!X90+Data!Y90+Data!Z90+Data!AA90+Data!AB90+Data!AC90+Data!AD90+Data!AE90+Data!AF90+Data!AG90+Data!AH90+Data!AI90+Data!AJ90+Data!AK90+Data!AL90+Data!T91+Data!U91+Data!V91+Data!W91+Data!X91+Data!Y91+Data!Z91+Data!AA91+Data!AB91+Data!AC91+Data!AD91+Data!AE91+Data!AF91+Data!AG91+Data!AH91+Data!AI91+Data!AJ91+Data!AK91+Data!AL91+Data!T92+Data!U92+Data!V92+Data!W92+Data!X92+Data!Y92+Data!Z92+Data!AA92+Data!AB92+Data!AC92+Data!AD92+Data!AE92+Data!AF92+Data!AG92+Data!AH92+Data!AI92+Data!AJ92+Data!AK92+Data!AL92+Data!T93+Data!U93+Data!V93+Data!W93+Data!X93+Data!Y93+Data!Z93+Data!AA93+Data!AB93+Data!AC93+Data!AD93+Data!AE93+Data!AF93+Data!AG93+Data!AH93+Data!AI93+Data!AJ93+Data!AK93+Data!AL93)/(Data!AP82+Data!AP83+Data!AP84+Data!AP85+Data!AP86+Data!AP87+Data!AP88+Data!AP89+Data!AP90+Data!AP91+Data!AP92+Data!AP93)</f>
        <v>0.198502787824617</v>
      </c>
      <c r="N93" s="18" t="n">
        <f aca="false">(Data!T82+Data!U82+Data!V82+Data!W82+Data!T83+Data!U83+Data!V83+Data!W83+Data!T84+Data!U84+Data!V84+Data!W84+Data!T85+Data!U85+Data!V85+Data!W85+Data!T86+Data!U86+Data!V86+Data!W86+Data!T87+Data!U87+Data!V87+Data!W87+Data!T88+Data!U88+Data!V88+Data!W88+Data!T89+Data!U89+Data!V89+Data!W89+Data!T90+Data!U90+Data!V90+Data!W90+Data!T91+Data!U91+Data!V91+Data!W91+Data!T92+Data!U92+Data!V92+Data!W92+Data!T93+Data!U93+Data!V93+Data!W93)/(Data!AP82+Data!AP83+Data!AP84+Data!AP85+Data!AP86+Data!AP87+Data!AP88+Data!AP89+Data!AP90+Data!AP91+Data!AP92+Data!AP93)</f>
        <v>0.0923576359794917</v>
      </c>
      <c r="O93" s="18" t="n">
        <f aca="false">(Data!T82+Data!T83+Data!T84+Data!T85+Data!T86+Data!T87+Data!T88+Data!T89+Data!T90+Data!T91+Data!T92+Data!T93)/(Data!AP82+Data!AP83+Data!AP84+Data!AP85+Data!AP86+Data!AP87+Data!AP88+Data!AP89+Data!AP90+Data!AP91+Data!AP92+Data!AP93)</f>
        <v>0.0671548554394689</v>
      </c>
      <c r="P93" s="18" t="n">
        <f aca="false">(Data!U82+Data!U83+Data!U84+Data!U85+Data!U86+Data!U87+Data!U88+Data!U89+Data!U90+Data!U91+Data!U92+Data!U93)/(Data!AP82+Data!AP83+Data!AP84+Data!AP85+Data!AP86+Data!AP87+Data!AP88+Data!AP89+Data!AP90+Data!AP91+Data!AP92+Data!AP93)</f>
        <v>0.0107682232575038</v>
      </c>
      <c r="Q93" s="18" t="n">
        <f aca="false">(Data!V82+Data!V83+Data!V84+Data!V85+Data!V86+Data!V87+Data!V88+Data!V89+Data!V90+Data!V91+Data!V92+Data!V93)/(Data!AP82+Data!AP83+Data!AP84+Data!AP85+Data!AP86+Data!AP87+Data!AP88+Data!AP89+Data!AP90+Data!AP91+Data!AP92+Data!AP93)</f>
        <v>0.00684070006862407</v>
      </c>
      <c r="R93" s="18" t="n">
        <f aca="false">(Data!W82+Data!W83+Data!W84+Data!W85+Data!W86+Data!W87+Data!W88+Data!W89+Data!W90+Data!W91+Data!W92+Data!W93)/(Data!AP82+Data!AP83+Data!AP84+Data!AP85+Data!AP86+Data!AP87+Data!AP88+Data!AP89+Data!AP90+Data!AP91+Data!AP92+Data!AP93)</f>
        <v>0.00759385721389492</v>
      </c>
      <c r="S93" s="18" t="n">
        <f aca="false">(Data!X82+Data!X83+Data!X84+Data!X85+Data!X86+Data!X87+Data!X88+Data!X89+Data!X90+Data!X91+Data!X92+Data!X93)/(Data!AP82+Data!AP83+Data!AP84+Data!AP85+Data!AP86+Data!AP87+Data!AP88+Data!AP89+Data!AP90+Data!AP91+Data!AP92+Data!AP93)</f>
        <v>0.01923323667878</v>
      </c>
      <c r="T93" s="18" t="n">
        <f aca="false">(Data!Y82+Data!Z82+Data!AA82+Data!Y83+Data!Z83+Data!AA83+Data!Y84+Data!Z84+Data!AA84+Data!Y85+Data!Z85+Data!AA85+Data!Y86+Data!Z86+Data!AA86+Data!Y87+Data!Z87+Data!AA87+Data!Y88+Data!Z88+Data!AA88+Data!Y89+Data!Z89+Data!AA89+Data!Y90+Data!Z90+Data!AA90+Data!Y91+Data!Z91+Data!AA91+Data!Y92+Data!Z92+Data!AA92+Data!Y93+Data!Z93+Data!AA93)/(Data!AP82+Data!AP83+Data!AP84+Data!AP85+Data!AP86+Data!AP87+Data!AP88+Data!AP89+Data!AP90+Data!AP91+Data!AP92+Data!AP93)</f>
        <v>0.0228939342595454</v>
      </c>
      <c r="U93" s="18" t="n">
        <f aca="false">(Data!Y82+Data!Y83+Data!Y84+Data!Y85+Data!Y86+Data!Y87+Data!Y88+Data!Y89+Data!Y90+Data!Y91+Data!Y92+Data!Y93)/(Data!AP82+Data!AP83+Data!AP84+Data!AP85+Data!AP86+Data!AP87+Data!AP88+Data!AP89+Data!AP90+Data!AP91+Data!AP92+Data!AP93)</f>
        <v>0.0172280665498696</v>
      </c>
      <c r="V93" s="18" t="n">
        <f aca="false">(Data!Z82+Data!Z83+Data!Z84+Data!Z85+Data!Z86+Data!Z87+Data!Z88+Data!Z89+Data!Z90+Data!Z91+Data!Z92+Data!Z93)/(Data!AP82+Data!AP83+Data!AP84+Data!AP85+Data!AP86+Data!AP87+Data!AP88+Data!AP89+Data!AP90+Data!AP91+Data!AP92+Data!AP93)</f>
        <v>0.00524518955653362</v>
      </c>
      <c r="W93" s="18" t="n">
        <f aca="false">(Data!AB82+Data!AB83+Data!AB84+Data!AB85+Data!AB86+Data!AB87+Data!AB88+Data!AB89+Data!AB90+Data!AB91+Data!AB92+Data!AB93)/(Data!AP82+Data!AP83+Data!AP84+Data!AP85+Data!AP86+Data!AP87+Data!AP88+Data!AP89+Data!AP90+Data!AP91+Data!AP92+Data!AP93)</f>
        <v>0.0244029345090798</v>
      </c>
      <c r="X93" s="18" t="n">
        <f aca="false">(Data!AC82+Data!AC83+Data!AC84+Data!AC85+Data!AC86+Data!AC87+Data!AC88+Data!AC89+Data!AC90+Data!AC91+Data!AC92+Data!AC93)/(Data!AP82+Data!AP83+Data!AP84+Data!AP85+Data!AP86+Data!AP87+Data!AP88+Data!AP89+Data!AP90+Data!AP91+Data!AP92+Data!AP93)</f>
        <v>0.00683668130422213</v>
      </c>
      <c r="Y93" s="18" t="n">
        <f aca="false">(Data!AD82+Data!AE82+Data!AF82+Data!AG82+Data!AH82+Data!AD83+Data!AE83+Data!AF83+Data!AG83+Data!AH83+Data!AD84+Data!AE84+Data!AF84+Data!AG84+Data!AH84+Data!AD85+Data!AE85+Data!AF85+Data!AG85+Data!AH85+Data!AD86+Data!AE86+Data!AF86+Data!AG86+Data!AH86+Data!AD87+Data!AE87+Data!AF87+Data!AG87+Data!AH87+Data!AD88+Data!AE88+Data!AF88+Data!AG88+Data!AH88+Data!AD89+Data!AE89+Data!AF89+Data!AG89+Data!AH89+Data!AD90+Data!AE90+Data!AF90+Data!AG90+Data!AH90+Data!AD91+Data!AE91+Data!AF91+Data!AG91+Data!AH91+Data!AD92+Data!AE92+Data!AF92+Data!AG92+Data!AH92+Data!AD93+Data!AE93+Data!AF93+Data!AG93+Data!AH93)/(Data!AP82+Data!AP83+Data!AP84+Data!AP85+Data!AP86+Data!AP87+Data!AP88+Data!AP89+Data!AP90+Data!AP91+Data!AP92+Data!AP93)</f>
        <v>0.00628973255616243</v>
      </c>
      <c r="Z93" s="18" t="n">
        <f aca="false">(Data!AI82+Data!AI83+Data!AI84+Data!AI85+Data!AI86+Data!AI87+Data!AI88+Data!AI89+Data!AI90+Data!AI91+Data!AI92+Data!AI93)/(Data!AP82+Data!AP83+Data!AP84+Data!AP85+Data!AP86+Data!AP87+Data!AP88+Data!AP89+Data!AP90+Data!AP91+Data!AP92+Data!AP93)</f>
        <v>0.0060918058658454</v>
      </c>
      <c r="AA93" s="18" t="n">
        <f aca="false">(Data!AJ82+Data!AJ83+Data!AJ84+Data!AJ85+Data!AJ86+Data!AJ87+Data!AJ88+Data!AJ89+Data!AJ90+Data!AJ91+Data!AJ92+Data!AJ93)/(Data!AP82+Data!AP83+Data!AP84+Data!AP85+Data!AP86+Data!AP87+Data!AP88+Data!AP89+Data!AP90+Data!AP91+Data!AP92+Data!AP93)</f>
        <v>0</v>
      </c>
      <c r="AB93" s="18" t="n">
        <f aca="false">(Data!AK82+Data!AK83+Data!AK84+Data!AK85+Data!AK86+Data!AK87+Data!AK88+Data!AK89+Data!AK90+Data!AK91+Data!AK92+Data!AK93)/(Data!AP82+Data!AP83+Data!AP84+Data!AP85+Data!AP86+Data!AP87+Data!AP88+Data!AP89+Data!AP90+Data!AP91+Data!AP92+Data!AP93)</f>
        <v>0.00359332477603225</v>
      </c>
      <c r="AC93" s="18" t="n">
        <f aca="false">(Data!AL82+Data!AL83+Data!AL84+Data!AL85+Data!AL86+Data!AL87+Data!AL88+Data!AL89+Data!AL90+Data!AL91+Data!AL92+Data!AL93)/(Data!AP82+Data!AP83+Data!AP84+Data!AP85+Data!AP86+Data!AP87+Data!AP88+Data!AP89+Data!AP90+Data!AP91+Data!AP92+Data!AP93)</f>
        <v>0.0168035018954576</v>
      </c>
      <c r="AD93" s="17" t="n">
        <f aca="false">(Data!AM82+Data!AM83+Data!AM84+Data!AM85+Data!AM86+Data!AM87+Data!AM88+Data!AM89+Data!AM90+Data!AM91+Data!AM92+Data!AM93)/(Data!AP82+Data!AP83+Data!AP84+Data!AP85+Data!AP86+Data!AP87+Data!AP88+Data!AP89+Data!AP90+Data!AP91+Data!AP92+Data!AP93)</f>
        <v>-0.0219449055895504</v>
      </c>
      <c r="AE93" s="18" t="n">
        <f aca="false">(Data!AN82+Data!AN83+Data!AN84+Data!AN85+Data!AN86+Data!AN87+Data!AN88+Data!AN89+Data!AN90+Data!AN91+Data!AN92+Data!AN93)/(Data!AP82+Data!AP83+Data!AP84+Data!AP85+Data!AP86+Data!AP87+Data!AP88+Data!AP89+Data!AP90+Data!AP91+Data!AP92+Data!AP93)</f>
        <v>0.019816995273944</v>
      </c>
      <c r="AF93" s="17" t="n">
        <f aca="false">(Data!AO82+Data!AO83+Data!AO84+Data!AO85+Data!AO86+Data!AO87+Data!AO88+Data!AO89+Data!AO90+Data!AO91+Data!AO92+Data!AO93)/(Data!AP82+Data!AP83+Data!AP84+Data!AP85+Data!AP86+Data!AP87+Data!AP88+Data!AP89+Data!AP90+Data!AP91+Data!AP92+Data!AP93)</f>
        <v>-0.0417619008634944</v>
      </c>
    </row>
    <row r="94" customFormat="false" ht="15" hidden="false" customHeight="false" outlineLevel="0" collapsed="false">
      <c r="B94" s="14" t="str">
        <f aca="false">Data!B94</f>
        <v>2023-04</v>
      </c>
      <c r="C94" s="17" t="n">
        <f aca="false">(Data!D83+Data!E83+Data!F83+Data!G83+Data!H83+Data!I83+Data!J83+Data!K83+Data!L83+Data!M83+Data!N83+Data!O83+Data!P83+Data!Q83+Data!R83+Data!S83+Data!D84+Data!E84+Data!F84+Data!G84+Data!H84+Data!I84+Data!J84+Data!K84+Data!L84+Data!M84+Data!N84+Data!O84+Data!P84+Data!Q84+Data!R84+Data!S84+Data!D85+Data!E85+Data!F85+Data!G85+Data!H85+Data!I85+Data!J85+Data!K85+Data!L85+Data!M85+Data!N85+Data!O85+Data!P85+Data!Q85+Data!R85+Data!S85+Data!D86+Data!E86+Data!F86+Data!G86+Data!H86+Data!I86+Data!J86+Data!K86+Data!L86+Data!M86+Data!N86+Data!O86+Data!P86+Data!Q86+Data!R86+Data!S86+Data!D87+Data!E87+Data!F87+Data!G87+Data!H87+Data!I87+Data!J87+Data!K87+Data!L87+Data!M87+Data!N87+Data!O87+Data!P87+Data!Q87+Data!R87+Data!S87+Data!D88+Data!E88+Data!F88+Data!G88+Data!H88+Data!I88+Data!J88+Data!K88+Data!L88+Data!M88+Data!N88+Data!O88+Data!P88+Data!Q88+Data!R88+Data!S88+Data!D89+Data!E89+Data!F89+Data!G89+Data!H89+Data!I89+Data!J89+Data!K89+Data!L89+Data!M89+Data!N89+Data!O89+Data!P89+Data!Q89+Data!R89+Data!S89+Data!D90+Data!E90+Data!F90+Data!G90+Data!H90+Data!I90+Data!J90+Data!K90+Data!L90+Data!M90+Data!N90+Data!O90+Data!P90+Data!Q90+Data!R90+Data!S90+Data!D91+Data!E91+Data!F91+Data!G91+Data!H91+Data!I91+Data!J91+Data!K91+Data!L91+Data!M91+Data!N91+Data!O91+Data!P91+Data!Q91+Data!R91+Data!S91+Data!D92+Data!E92+Data!F92+Data!G92+Data!H92+Data!I92+Data!J92+Data!K92+Data!L92+Data!M92+Data!N92+Data!O92+Data!P92+Data!Q92+Data!R92+Data!S92+Data!D93+Data!E93+Data!F93+Data!G93+Data!H93+Data!I93+Data!J93+Data!K93+Data!L93+Data!M93+Data!N93+Data!O93+Data!P93+Data!Q93+Data!R93+Data!S93+Data!D94+Data!E94+Data!F94+Data!G94+Data!H94+Data!I94+Data!J94+Data!K94+Data!L94+Data!M94+Data!N94+Data!O94+Data!P94+Data!Q94+Data!R94+Data!S94)/(Data!AP83+Data!AP84+Data!AP85+Data!AP86+Data!AP87+Data!AP88+Data!AP89+Data!AP90+Data!AP91+Data!AP92+Data!AP93+Data!AP94)</f>
        <v>0.173773840754974</v>
      </c>
      <c r="D94" s="18" t="n">
        <f aca="false">(Data!D83+Data!E83+Data!G83+Data!H83+Data!I83+Data!J83+Data!K83+Data!L83+Data!M83+Data!D84+Data!E84+Data!G84+Data!H84+Data!I84+Data!J84+Data!K84+Data!L84+Data!M84+Data!D85+Data!E85+Data!G85+Data!H85+Data!I85+Data!J85+Data!K85+Data!L85+Data!M85+Data!D86+Data!E86+Data!G86+Data!H86+Data!I86+Data!J86+Data!K86+Data!L86+Data!M86+Data!D87+Data!E87+Data!G87+Data!H87+Data!I87+Data!J87+Data!K87+Data!L87+Data!M87+Data!D88+Data!E88+Data!G88+Data!H88+Data!I88+Data!J88+Data!K88+Data!L88+Data!M88+Data!D89+Data!E89+Data!G89+Data!H89+Data!I89+Data!J89+Data!K89+Data!L89+Data!M89+Data!D90+Data!E90+Data!G90+Data!H90+Data!I90+Data!J90+Data!K90+Data!L90+Data!M90+Data!D91+Data!E91+Data!G91+Data!H91+Data!I91+Data!J91+Data!K91+Data!L91+Data!M91+Data!D92+Data!E92+Data!G92+Data!H92+Data!I92+Data!J92+Data!K92+Data!L92+Data!M92+Data!D93+Data!E93+Data!G93+Data!H93+Data!I93+Data!J93+Data!K93+Data!L93+Data!M93+Data!D94+Data!E94+Data!G94+Data!H94+Data!I94+Data!J94+Data!K94+Data!L94+Data!M94)/(Data!AP83+Data!AP84+Data!AP85+Data!AP86+Data!AP87+Data!AP88+Data!AP89+Data!AP90+Data!AP91+Data!AP92+Data!AP93+Data!AP94)</f>
        <v>0.103302198074094</v>
      </c>
      <c r="E94" s="18" t="n">
        <f aca="false">(Data!D83+Data!D84+Data!D85+Data!D86+Data!D87+Data!D88+Data!D89+Data!D90+Data!D91+Data!D92+Data!D93+Data!D94)/(Data!AP83+Data!AP84+Data!AP85+Data!AP86+Data!AP87+Data!AP88+Data!AP89+Data!AP90+Data!AP91+Data!AP92+Data!AP93+Data!AP94)</f>
        <v>0.032499076101381</v>
      </c>
      <c r="F94" s="18" t="n">
        <f aca="false">(Data!E83+Data!E84+Data!E85+Data!E86+Data!E87+Data!E88+Data!E89+Data!E90+Data!E91+Data!E92+Data!E93+Data!E94)/(Data!AP83+Data!AP84+Data!AP85+Data!AP86+Data!AP87+Data!AP88+Data!AP89+Data!AP90+Data!AP91+Data!AP92+Data!AP93+Data!AP94)</f>
        <v>0.019417468930782</v>
      </c>
      <c r="G94" s="18" t="n">
        <f aca="false">(Data!K83+Data!K84+Data!K85+Data!K86+Data!K87+Data!K88+Data!K89+Data!K90+Data!K91+Data!K92+Data!K93+Data!K94)/(Data!AP83+Data!AP84+Data!AP85+Data!AP86+Data!AP87+Data!AP88+Data!AP89+Data!AP90+Data!AP91+Data!AP92+Data!AP93+Data!AP94)</f>
        <v>0.0131692011867484</v>
      </c>
      <c r="H94" s="18" t="n">
        <f aca="false">(Data!L83+Data!L84+Data!L85+Data!L86+Data!L87+Data!L88+Data!L89+Data!L90+Data!L91+Data!L92+Data!L93+Data!L94)/(Data!AP83+Data!AP84+Data!AP85+Data!AP86+Data!AP87+Data!AP88+Data!AP89+Data!AP90+Data!AP91+Data!AP92+Data!AP93+Data!AP94)</f>
        <v>0.00578239330106912</v>
      </c>
      <c r="I94" s="18" t="n">
        <f aca="false">(Data!G83+Data!G84+Data!G85+Data!G86+Data!G87+Data!G88+Data!G89+Data!G90+Data!G91+Data!G92+Data!G93+Data!G94)/(Data!AP83+Data!AP84+Data!AP85+Data!AP86+Data!AP87+Data!AP88+Data!AP89+Data!AP90+Data!AP91+Data!AP92+Data!AP93+Data!AP94)</f>
        <v>0.015864981058885</v>
      </c>
      <c r="J94" s="18" t="n">
        <f aca="false">(Data!H83+Data!I83+Data!J83+Data!M83+Data!H84+Data!I84+Data!J84+Data!M84+Data!H85+Data!I85+Data!J85+Data!M85+Data!H86+Data!I86+Data!J86+Data!M86+Data!H87+Data!I87+Data!J87+Data!M87+Data!H88+Data!I88+Data!J88+Data!M88+Data!H89+Data!I89+Data!J89+Data!M89+Data!H90+Data!I90+Data!J90+Data!M90+Data!H91+Data!I91+Data!J91+Data!M91+Data!H92+Data!I92+Data!J92+Data!M92+Data!H93+Data!I93+Data!J93+Data!M93+Data!H94+Data!I94+Data!J94+Data!M94)/(Data!AP83+Data!AP84+Data!AP85+Data!AP86+Data!AP87+Data!AP88+Data!AP89+Data!AP90+Data!AP91+Data!AP92+Data!AP93+Data!AP94)</f>
        <v>0.0165690774952283</v>
      </c>
      <c r="K94" s="18" t="n">
        <f aca="false">(Data!F83+Data!F84+Data!F85+Data!F86+Data!F87+Data!F88+Data!F89+Data!F90+Data!F91+Data!F92+Data!F93+Data!F94)/(Data!AP83+Data!AP84+Data!AP85+Data!AP86+Data!AP87+Data!AP88+Data!AP89+Data!AP90+Data!AP91+Data!AP92+Data!AP93+Data!AP94)</f>
        <v>0.0528367661201019</v>
      </c>
      <c r="L94" s="18" t="n">
        <f aca="false">(Data!N83+Data!O83+Data!P83+Data!Q83+Data!R83+Data!S83+Data!N84+Data!O84+Data!P84+Data!Q84+Data!R84+Data!S84+Data!N85+Data!O85+Data!P85+Data!Q85+Data!R85+Data!S85+Data!N86+Data!O86+Data!P86+Data!Q86+Data!R86+Data!S86+Data!N87+Data!O87+Data!P87+Data!Q87+Data!R87+Data!S87+Data!N88+Data!O88+Data!P88+Data!Q88+Data!R88+Data!S88+Data!N89+Data!O89+Data!P89+Data!Q89+Data!R89+Data!S89+Data!N90+Data!O90+Data!P90+Data!Q90+Data!R90+Data!S90+Data!N91+Data!O91+Data!P91+Data!Q91+Data!R91+Data!S91+Data!N92+Data!O92+Data!P92+Data!Q92+Data!R92+Data!S92+Data!N93+Data!O93+Data!P93+Data!Q93+Data!R93+Data!S93+Data!N94+Data!O94+Data!P94+Data!Q94+Data!R94+Data!S94)/(Data!AP83+Data!AP84+Data!AP85+Data!AP86+Data!AP87+Data!AP88+Data!AP89+Data!AP90+Data!AP91+Data!AP92+Data!AP93+Data!AP94)</f>
        <v>0.0176348765607783</v>
      </c>
      <c r="M94" s="17" t="n">
        <f aca="false">(Data!T83+Data!U83+Data!V83+Data!W83+Data!X83+Data!Y83+Data!Z83+Data!AA83+Data!AB83+Data!AC83+Data!AD83+Data!AE83+Data!AF83+Data!AG83+Data!AH83+Data!AI83+Data!AJ83+Data!AK83+Data!AL83+Data!T84+Data!U84+Data!V84+Data!W84+Data!X84+Data!Y84+Data!Z84+Data!AA84+Data!AB84+Data!AC84+Data!AD84+Data!AE84+Data!AF84+Data!AG84+Data!AH84+Data!AI84+Data!AJ84+Data!AK84+Data!AL84+Data!T85+Data!U85+Data!V85+Data!W85+Data!X85+Data!Y85+Data!Z85+Data!AA85+Data!AB85+Data!AC85+Data!AD85+Data!AE85+Data!AF85+Data!AG85+Data!AH85+Data!AI85+Data!AJ85+Data!AK85+Data!AL85+Data!T86+Data!U86+Data!V86+Data!W86+Data!X86+Data!Y86+Data!Z86+Data!AA86+Data!AB86+Data!AC86+Data!AD86+Data!AE86+Data!AF86+Data!AG86+Data!AH86+Data!AI86+Data!AJ86+Data!AK86+Data!AL86+Data!T87+Data!U87+Data!V87+Data!W87+Data!X87+Data!Y87+Data!Z87+Data!AA87+Data!AB87+Data!AC87+Data!AD87+Data!AE87+Data!AF87+Data!AG87+Data!AH87+Data!AI87+Data!AJ87+Data!AK87+Data!AL87+Data!T88+Data!U88+Data!V88+Data!W88+Data!X88+Data!Y88+Data!Z88+Data!AA88+Data!AB88+Data!AC88+Data!AD88+Data!AE88+Data!AF88+Data!AG88+Data!AH88+Data!AI88+Data!AJ88+Data!AK88+Data!AL88+Data!T89+Data!U89+Data!V89+Data!W89+Data!X89+Data!Y89+Data!Z89+Data!AA89+Data!AB89+Data!AC89+Data!AD89+Data!AE89+Data!AF89+Data!AG89+Data!AH89+Data!AI89+Data!AJ89+Data!AK89+Data!AL89+Data!T90+Data!U90+Data!V90+Data!W90+Data!X90+Data!Y90+Data!Z90+Data!AA90+Data!AB90+Data!AC90+Data!AD90+Data!AE90+Data!AF90+Data!AG90+Data!AH90+Data!AI90+Data!AJ90+Data!AK90+Data!AL90+Data!T91+Data!U91+Data!V91+Data!W91+Data!X91+Data!Y91+Data!Z91+Data!AA91+Data!AB91+Data!AC91+Data!AD91+Data!AE91+Data!AF91+Data!AG91+Data!AH91+Data!AI91+Data!AJ91+Data!AK91+Data!AL91+Data!T92+Data!U92+Data!V92+Data!W92+Data!X92+Data!Y92+Data!Z92+Data!AA92+Data!AB92+Data!AC92+Data!AD92+Data!AE92+Data!AF92+Data!AG92+Data!AH92+Data!AI92+Data!AJ92+Data!AK92+Data!AL92+Data!T93+Data!U93+Data!V93+Data!W93+Data!X93+Data!Y93+Data!Z93+Data!AA93+Data!AB93+Data!AC93+Data!AD93+Data!AE93+Data!AF93+Data!AG93+Data!AH93+Data!AI93+Data!AJ93+Data!AK93+Data!AL93+Data!T94+Data!U94+Data!V94+Data!W94+Data!X94+Data!Y94+Data!Z94+Data!AA94+Data!AB94+Data!AC94+Data!AD94+Data!AE94+Data!AF94+Data!AG94+Data!AH94+Data!AI94+Data!AJ94+Data!AK94+Data!AL94)/(Data!AP83+Data!AP84+Data!AP85+Data!AP86+Data!AP87+Data!AP88+Data!AP89+Data!AP90+Data!AP91+Data!AP92+Data!AP93+Data!AP94)</f>
        <v>0.196859420509065</v>
      </c>
      <c r="N94" s="18" t="n">
        <f aca="false">(Data!T83+Data!U83+Data!V83+Data!W83+Data!T84+Data!U84+Data!V84+Data!W84+Data!T85+Data!U85+Data!V85+Data!W85+Data!T86+Data!U86+Data!V86+Data!W86+Data!T87+Data!U87+Data!V87+Data!W87+Data!T88+Data!U88+Data!V88+Data!W88+Data!T89+Data!U89+Data!V89+Data!W89+Data!T90+Data!U90+Data!V90+Data!W90+Data!T91+Data!U91+Data!V91+Data!W91+Data!T92+Data!U92+Data!V92+Data!W92+Data!T93+Data!U93+Data!V93+Data!W93+Data!T94+Data!U94+Data!V94+Data!W94)/(Data!AP83+Data!AP84+Data!AP85+Data!AP86+Data!AP87+Data!AP88+Data!AP89+Data!AP90+Data!AP91+Data!AP92+Data!AP93+Data!AP94)</f>
        <v>0.0914274066566781</v>
      </c>
      <c r="O94" s="18" t="n">
        <f aca="false">(Data!T83+Data!T84+Data!T85+Data!T86+Data!T87+Data!T88+Data!T89+Data!T90+Data!T91+Data!T92+Data!T93+Data!T94)/(Data!AP83+Data!AP84+Data!AP85+Data!AP86+Data!AP87+Data!AP88+Data!AP89+Data!AP90+Data!AP91+Data!AP92+Data!AP93+Data!AP94)</f>
        <v>0.0665816001855413</v>
      </c>
      <c r="P94" s="18" t="n">
        <f aca="false">(Data!U83+Data!U84+Data!U85+Data!U86+Data!U87+Data!U88+Data!U89+Data!U90+Data!U91+Data!U92+Data!U93+Data!U94)/(Data!AP83+Data!AP84+Data!AP85+Data!AP86+Data!AP87+Data!AP88+Data!AP89+Data!AP90+Data!AP91+Data!AP92+Data!AP93+Data!AP94)</f>
        <v>0.0104591816572441</v>
      </c>
      <c r="Q94" s="18" t="n">
        <f aca="false">(Data!V83+Data!V84+Data!V85+Data!V86+Data!V87+Data!V88+Data!V89+Data!V90+Data!V91+Data!V92+Data!V93+Data!V94)/(Data!AP83+Data!AP84+Data!AP85+Data!AP86+Data!AP87+Data!AP88+Data!AP89+Data!AP90+Data!AP91+Data!AP92+Data!AP93+Data!AP94)</f>
        <v>0.00673730319094009</v>
      </c>
      <c r="R94" s="18" t="n">
        <f aca="false">(Data!W83+Data!W84+Data!W85+Data!W86+Data!W87+Data!W88+Data!W89+Data!W90+Data!W91+Data!W92+Data!W93+Data!W94)/(Data!AP83+Data!AP84+Data!AP85+Data!AP86+Data!AP87+Data!AP88+Data!AP89+Data!AP90+Data!AP91+Data!AP92+Data!AP93+Data!AP94)</f>
        <v>0.00764932162295251</v>
      </c>
      <c r="S94" s="18" t="n">
        <f aca="false">(Data!X83+Data!X84+Data!X85+Data!X86+Data!X87+Data!X88+Data!X89+Data!X90+Data!X91+Data!X92+Data!X93+Data!X94)/(Data!AP83+Data!AP84+Data!AP85+Data!AP86+Data!AP87+Data!AP88+Data!AP89+Data!AP90+Data!AP91+Data!AP92+Data!AP93+Data!AP94)</f>
        <v>0.0191614521569646</v>
      </c>
      <c r="T94" s="18" t="n">
        <f aca="false">(Data!Y83+Data!Z83+Data!AA83+Data!Y84+Data!Z84+Data!AA84+Data!Y85+Data!Z85+Data!AA85+Data!Y86+Data!Z86+Data!AA86+Data!Y87+Data!Z87+Data!AA87+Data!Y88+Data!Z88+Data!AA88+Data!Y89+Data!Z89+Data!AA89+Data!Y90+Data!Z90+Data!AA90+Data!Y91+Data!Z91+Data!AA91+Data!Y92+Data!Z92+Data!AA92+Data!Y93+Data!Z93+Data!AA93+Data!Y94+Data!Z94+Data!AA94)/(Data!AP83+Data!AP84+Data!AP85+Data!AP86+Data!AP87+Data!AP88+Data!AP89+Data!AP90+Data!AP91+Data!AP92+Data!AP93+Data!AP94)</f>
        <v>0.0227387396474805</v>
      </c>
      <c r="U94" s="18" t="n">
        <f aca="false">(Data!Y83+Data!Y84+Data!Y85+Data!Y86+Data!Y87+Data!Y88+Data!Y89+Data!Y90+Data!Y91+Data!Y92+Data!Y93+Data!Y94)/(Data!AP83+Data!AP84+Data!AP85+Data!AP86+Data!AP87+Data!AP88+Data!AP89+Data!AP90+Data!AP91+Data!AP92+Data!AP93+Data!AP94)</f>
        <v>0.0173100475530729</v>
      </c>
      <c r="V94" s="18" t="n">
        <f aca="false">(Data!Z83+Data!Z84+Data!Z85+Data!Z86+Data!Z87+Data!Z88+Data!Z89+Data!Z90+Data!Z91+Data!Z92+Data!Z93+Data!Z94)/(Data!AP83+Data!AP84+Data!AP85+Data!AP86+Data!AP87+Data!AP88+Data!AP89+Data!AP90+Data!AP91+Data!AP92+Data!AP93+Data!AP94)</f>
        <v>0.00499499582737897</v>
      </c>
      <c r="W94" s="18" t="n">
        <f aca="false">(Data!AB83+Data!AB84+Data!AB85+Data!AB86+Data!AB87+Data!AB88+Data!AB89+Data!AB90+Data!AB91+Data!AB92+Data!AB93+Data!AB94)/(Data!AP83+Data!AP84+Data!AP85+Data!AP86+Data!AP87+Data!AP88+Data!AP89+Data!AP90+Data!AP91+Data!AP92+Data!AP93+Data!AP94)</f>
        <v>0.024483164752817</v>
      </c>
      <c r="X94" s="18" t="n">
        <f aca="false">(Data!AC83+Data!AC84+Data!AC85+Data!AC86+Data!AC87+Data!AC88+Data!AC89+Data!AC90+Data!AC91+Data!AC92+Data!AC93+Data!AC94)/(Data!AP83+Data!AP84+Data!AP85+Data!AP86+Data!AP87+Data!AP88+Data!AP89+Data!AP90+Data!AP91+Data!AP92+Data!AP93+Data!AP94)</f>
        <v>0.00653355918357001</v>
      </c>
      <c r="Y94" s="18" t="n">
        <f aca="false">(Data!AD83+Data!AE83+Data!AF83+Data!AG83+Data!AH83+Data!AD84+Data!AE84+Data!AF84+Data!AG84+Data!AH84+Data!AD85+Data!AE85+Data!AF85+Data!AG85+Data!AH85+Data!AD86+Data!AE86+Data!AF86+Data!AG86+Data!AH86+Data!AD87+Data!AE87+Data!AF87+Data!AG87+Data!AH87+Data!AD88+Data!AE88+Data!AF88+Data!AG88+Data!AH88+Data!AD89+Data!AE89+Data!AF89+Data!AG89+Data!AH89+Data!AD90+Data!AE90+Data!AF90+Data!AG90+Data!AH90+Data!AD91+Data!AE91+Data!AF91+Data!AG91+Data!AH91+Data!AD92+Data!AE92+Data!AF92+Data!AG92+Data!AH92+Data!AD93+Data!AE93+Data!AF93+Data!AG93+Data!AH93+Data!AD94+Data!AE94+Data!AF94+Data!AG94+Data!AH94)/(Data!AP83+Data!AP84+Data!AP85+Data!AP86+Data!AP87+Data!AP88+Data!AP89+Data!AP90+Data!AP91+Data!AP92+Data!AP93+Data!AP94)</f>
        <v>0.0060722460305833</v>
      </c>
      <c r="Z94" s="18" t="n">
        <f aca="false">(Data!AI83+Data!AI84+Data!AI85+Data!AI86+Data!AI87+Data!AI88+Data!AI89+Data!AI90+Data!AI91+Data!AI92+Data!AI93+Data!AI94)/(Data!AP83+Data!AP84+Data!AP85+Data!AP86+Data!AP87+Data!AP88+Data!AP89+Data!AP90+Data!AP91+Data!AP92+Data!AP93+Data!AP94)</f>
        <v>0.00614163321698941</v>
      </c>
      <c r="AA94" s="18" t="n">
        <f aca="false">(Data!AJ83+Data!AJ84+Data!AJ85+Data!AJ86+Data!AJ87+Data!AJ88+Data!AJ89+Data!AJ90+Data!AJ91+Data!AJ92+Data!AJ93+Data!AJ94)/(Data!AP83+Data!AP84+Data!AP85+Data!AP86+Data!AP87+Data!AP88+Data!AP89+Data!AP90+Data!AP91+Data!AP92+Data!AP93+Data!AP94)</f>
        <v>0</v>
      </c>
      <c r="AB94" s="18" t="n">
        <f aca="false">(Data!AK83+Data!AK84+Data!AK85+Data!AK86+Data!AK87+Data!AK88+Data!AK89+Data!AK90+Data!AK91+Data!AK92+Data!AK93+Data!AK94)/(Data!AP83+Data!AP84+Data!AP85+Data!AP86+Data!AP87+Data!AP88+Data!AP89+Data!AP90+Data!AP91+Data!AP92+Data!AP93+Data!AP94)</f>
        <v>0.00362905238223886</v>
      </c>
      <c r="AC94" s="18" t="n">
        <f aca="false">(Data!AL83+Data!AL84+Data!AL85+Data!AL86+Data!AL87+Data!AL88+Data!AL89+Data!AL90+Data!AL91+Data!AL92+Data!AL93+Data!AL94)/(Data!AP83+Data!AP84+Data!AP85+Data!AP86+Data!AP87+Data!AP88+Data!AP89+Data!AP90+Data!AP91+Data!AP92+Data!AP93+Data!AP94)</f>
        <v>0.0166721664817436</v>
      </c>
      <c r="AD94" s="17" t="n">
        <f aca="false">(Data!AM83+Data!AM84+Data!AM85+Data!AM86+Data!AM87+Data!AM88+Data!AM89+Data!AM90+Data!AM91+Data!AM92+Data!AM93+Data!AM94)/(Data!AP83+Data!AP84+Data!AP85+Data!AP86+Data!AP87+Data!AP88+Data!AP89+Data!AP90+Data!AP91+Data!AP92+Data!AP93+Data!AP94)</f>
        <v>-0.0230855797540914</v>
      </c>
      <c r="AE94" s="18" t="n">
        <f aca="false">(Data!AN83+Data!AN84+Data!AN85+Data!AN86+Data!AN87+Data!AN88+Data!AN89+Data!AN90+Data!AN91+Data!AN92+Data!AN93+Data!AN94)/(Data!AP83+Data!AP84+Data!AP85+Data!AP86+Data!AP87+Data!AP88+Data!AP89+Data!AP90+Data!AP91+Data!AP92+Data!AP93+Data!AP94)</f>
        <v>0.018749929892055</v>
      </c>
      <c r="AF94" s="17" t="n">
        <f aca="false">(Data!AO83+Data!AO84+Data!AO85+Data!AO86+Data!AO87+Data!AO88+Data!AO89+Data!AO90+Data!AO91+Data!AO92+Data!AO93+Data!AO94)/(Data!AP83+Data!AP84+Data!AP85+Data!AP86+Data!AP87+Data!AP88+Data!AP89+Data!AP90+Data!AP91+Data!AP92+Data!AP93+Data!AP94)</f>
        <v>-0.0418355096461463</v>
      </c>
    </row>
    <row r="95" customFormat="false" ht="15" hidden="false" customHeight="false" outlineLevel="0" collapsed="false">
      <c r="B95" s="14" t="str">
        <f aca="false">Data!B95</f>
        <v>2023-05</v>
      </c>
      <c r="C95" s="17" t="n">
        <f aca="false">(Data!D84+Data!E84+Data!F84+Data!G84+Data!H84+Data!I84+Data!J84+Data!K84+Data!L84+Data!M84+Data!N84+Data!O84+Data!P84+Data!Q84+Data!R84+Data!S84+Data!D85+Data!E85+Data!F85+Data!G85+Data!H85+Data!I85+Data!J85+Data!K85+Data!L85+Data!M85+Data!N85+Data!O85+Data!P85+Data!Q85+Data!R85+Data!S85+Data!D86+Data!E86+Data!F86+Data!G86+Data!H86+Data!I86+Data!J86+Data!K86+Data!L86+Data!M86+Data!N86+Data!O86+Data!P86+Data!Q86+Data!R86+Data!S86+Data!D87+Data!E87+Data!F87+Data!G87+Data!H87+Data!I87+Data!J87+Data!K87+Data!L87+Data!M87+Data!N87+Data!O87+Data!P87+Data!Q87+Data!R87+Data!S87+Data!D88+Data!E88+Data!F88+Data!G88+Data!H88+Data!I88+Data!J88+Data!K88+Data!L88+Data!M88+Data!N88+Data!O88+Data!P88+Data!Q88+Data!R88+Data!S88+Data!D89+Data!E89+Data!F89+Data!G89+Data!H89+Data!I89+Data!J89+Data!K89+Data!L89+Data!M89+Data!N89+Data!O89+Data!P89+Data!Q89+Data!R89+Data!S89+Data!D90+Data!E90+Data!F90+Data!G90+Data!H90+Data!I90+Data!J90+Data!K90+Data!L90+Data!M90+Data!N90+Data!O90+Data!P90+Data!Q90+Data!R90+Data!S90+Data!D91+Data!E91+Data!F91+Data!G91+Data!H91+Data!I91+Data!J91+Data!K91+Data!L91+Data!M91+Data!N91+Data!O91+Data!P91+Data!Q91+Data!R91+Data!S91+Data!D92+Data!E92+Data!F92+Data!G92+Data!H92+Data!I92+Data!J92+Data!K92+Data!L92+Data!M92+Data!N92+Data!O92+Data!P92+Data!Q92+Data!R92+Data!S92+Data!D93+Data!E93+Data!F93+Data!G93+Data!H93+Data!I93+Data!J93+Data!K93+Data!L93+Data!M93+Data!N93+Data!O93+Data!P93+Data!Q93+Data!R93+Data!S93+Data!D94+Data!E94+Data!F94+Data!G94+Data!H94+Data!I94+Data!J94+Data!K94+Data!L94+Data!M94+Data!N94+Data!O94+Data!P94+Data!Q94+Data!R94+Data!S94+Data!D95+Data!E95+Data!F95+Data!G95+Data!H95+Data!I95+Data!J95+Data!K95+Data!L95+Data!M95+Data!N95+Data!O95+Data!P95+Data!Q95+Data!R95+Data!S95)/(Data!AP84+Data!AP85+Data!AP86+Data!AP87+Data!AP88+Data!AP89+Data!AP90+Data!AP91+Data!AP92+Data!AP93+Data!AP94+Data!AP95)</f>
        <v>0.174011179002942</v>
      </c>
      <c r="D95" s="18" t="n">
        <f aca="false">(Data!D84+Data!E84+Data!G84+Data!H84+Data!I84+Data!J84+Data!K84+Data!L84+Data!M84+Data!D85+Data!E85+Data!G85+Data!H85+Data!I85+Data!J85+Data!K85+Data!L85+Data!M85+Data!D86+Data!E86+Data!G86+Data!H86+Data!I86+Data!J86+Data!K86+Data!L86+Data!M86+Data!D87+Data!E87+Data!G87+Data!H87+Data!I87+Data!J87+Data!K87+Data!L87+Data!M87+Data!D88+Data!E88+Data!G88+Data!H88+Data!I88+Data!J88+Data!K88+Data!L88+Data!M88+Data!D89+Data!E89+Data!G89+Data!H89+Data!I89+Data!J89+Data!K89+Data!L89+Data!M89+Data!D90+Data!E90+Data!G90+Data!H90+Data!I90+Data!J90+Data!K90+Data!L90+Data!M90+Data!D91+Data!E91+Data!G91+Data!H91+Data!I91+Data!J91+Data!K91+Data!L91+Data!M91+Data!D92+Data!E92+Data!G92+Data!H92+Data!I92+Data!J92+Data!K92+Data!L92+Data!M92+Data!D93+Data!E93+Data!G93+Data!H93+Data!I93+Data!J93+Data!K93+Data!L93+Data!M93+Data!D94+Data!E94+Data!G94+Data!H94+Data!I94+Data!J94+Data!K94+Data!L94+Data!M94+Data!D95+Data!E95+Data!G95+Data!H95+Data!I95+Data!J95+Data!K95+Data!L95+Data!M95)/(Data!AP84+Data!AP85+Data!AP86+Data!AP87+Data!AP88+Data!AP89+Data!AP90+Data!AP91+Data!AP92+Data!AP93+Data!AP94+Data!AP95)</f>
        <v>0.103203304233153</v>
      </c>
      <c r="E95" s="18" t="n">
        <f aca="false">(Data!D84+Data!D85+Data!D86+Data!D87+Data!D88+Data!D89+Data!D90+Data!D91+Data!D92+Data!D93+Data!D94+Data!D95)/(Data!AP84+Data!AP85+Data!AP86+Data!AP87+Data!AP88+Data!AP89+Data!AP90+Data!AP91+Data!AP92+Data!AP93+Data!AP94+Data!AP95)</f>
        <v>0.033003155612234</v>
      </c>
      <c r="F95" s="18" t="n">
        <f aca="false">(Data!E84+Data!E85+Data!E86+Data!E87+Data!E88+Data!E89+Data!E90+Data!E91+Data!E92+Data!E93+Data!E94+Data!E95)/(Data!AP84+Data!AP85+Data!AP86+Data!AP87+Data!AP88+Data!AP89+Data!AP90+Data!AP91+Data!AP92+Data!AP93+Data!AP94+Data!AP95)</f>
        <v>0.019507013992427</v>
      </c>
      <c r="G95" s="18" t="n">
        <f aca="false">(Data!K84+Data!K85+Data!K86+Data!K87+Data!K88+Data!K89+Data!K90+Data!K91+Data!K92+Data!K93+Data!K94+Data!K95)/(Data!AP84+Data!AP85+Data!AP86+Data!AP87+Data!AP88+Data!AP89+Data!AP90+Data!AP91+Data!AP92+Data!AP93+Data!AP94+Data!AP95)</f>
        <v>0.0125578841497983</v>
      </c>
      <c r="H95" s="18" t="n">
        <f aca="false">(Data!L84+Data!L85+Data!L86+Data!L87+Data!L88+Data!L89+Data!L90+Data!L91+Data!L92+Data!L93+Data!L94+Data!L95)/(Data!AP84+Data!AP85+Data!AP86+Data!AP87+Data!AP88+Data!AP89+Data!AP90+Data!AP91+Data!AP92+Data!AP93+Data!AP94+Data!AP95)</f>
        <v>0.00578577093136691</v>
      </c>
      <c r="I95" s="18" t="n">
        <f aca="false">(Data!G84+Data!G85+Data!G86+Data!G87+Data!G88+Data!G89+Data!G90+Data!G91+Data!G92+Data!G93+Data!G94+Data!G95)/(Data!AP84+Data!AP85+Data!AP86+Data!AP87+Data!AP88+Data!AP89+Data!AP90+Data!AP91+Data!AP92+Data!AP93+Data!AP94+Data!AP95)</f>
        <v>0.0160629412228051</v>
      </c>
      <c r="J95" s="18" t="n">
        <f aca="false">(Data!H84+Data!I84+Data!J84+Data!M84+Data!H85+Data!I85+Data!J85+Data!M85+Data!H86+Data!I86+Data!J86+Data!M86+Data!H87+Data!I87+Data!J87+Data!M87+Data!H88+Data!I88+Data!J88+Data!M88+Data!H89+Data!I89+Data!J89+Data!M89+Data!H90+Data!I90+Data!J90+Data!M90+Data!H91+Data!I91+Data!J91+Data!M91+Data!H92+Data!I92+Data!J92+Data!M92+Data!H93+Data!I93+Data!J93+Data!M93+Data!H94+Data!I94+Data!J94+Data!M94+Data!H95+Data!I95+Data!J95+Data!M95)/(Data!AP84+Data!AP85+Data!AP86+Data!AP87+Data!AP88+Data!AP89+Data!AP90+Data!AP91+Data!AP92+Data!AP93+Data!AP94+Data!AP95)</f>
        <v>0.0162865383245213</v>
      </c>
      <c r="K95" s="18" t="n">
        <f aca="false">(Data!F84+Data!F85+Data!F86+Data!F87+Data!F88+Data!F89+Data!F90+Data!F91+Data!F92+Data!F93+Data!F94+Data!F95)/(Data!AP84+Data!AP85+Data!AP86+Data!AP87+Data!AP88+Data!AP89+Data!AP90+Data!AP91+Data!AP92+Data!AP93+Data!AP94+Data!AP95)</f>
        <v>0.0529932787885358</v>
      </c>
      <c r="L95" s="18" t="n">
        <f aca="false">(Data!N84+Data!O84+Data!P84+Data!Q84+Data!R84+Data!S84+Data!N85+Data!O85+Data!P85+Data!Q85+Data!R85+Data!S85+Data!N86+Data!O86+Data!P86+Data!Q86+Data!R86+Data!S86+Data!N87+Data!O87+Data!P87+Data!Q87+Data!R87+Data!S87+Data!N88+Data!O88+Data!P88+Data!Q88+Data!R88+Data!S88+Data!N89+Data!O89+Data!P89+Data!Q89+Data!R89+Data!S89+Data!N90+Data!O90+Data!P90+Data!Q90+Data!R90+Data!S90+Data!N91+Data!O91+Data!P91+Data!Q91+Data!R91+Data!S91+Data!N92+Data!O92+Data!P92+Data!Q92+Data!R92+Data!S92+Data!N93+Data!O93+Data!P93+Data!Q93+Data!R93+Data!S93+Data!N94+Data!O94+Data!P94+Data!Q94+Data!R94+Data!S94+Data!N95+Data!O95+Data!P95+Data!Q95+Data!R95+Data!S95)/(Data!AP84+Data!AP85+Data!AP86+Data!AP87+Data!AP88+Data!AP89+Data!AP90+Data!AP91+Data!AP92+Data!AP93+Data!AP94+Data!AP95)</f>
        <v>0.0178145959812541</v>
      </c>
      <c r="M95" s="17" t="n">
        <f aca="false">(Data!T84+Data!U84+Data!V84+Data!W84+Data!X84+Data!Y84+Data!Z84+Data!AA84+Data!AB84+Data!AC84+Data!AD84+Data!AE84+Data!AF84+Data!AG84+Data!AH84+Data!AI84+Data!AJ84+Data!AK84+Data!AL84+Data!T85+Data!U85+Data!V85+Data!W85+Data!X85+Data!Y85+Data!Z85+Data!AA85+Data!AB85+Data!AC85+Data!AD85+Data!AE85+Data!AF85+Data!AG85+Data!AH85+Data!AI85+Data!AJ85+Data!AK85+Data!AL85+Data!T86+Data!U86+Data!V86+Data!W86+Data!X86+Data!Y86+Data!Z86+Data!AA86+Data!AB86+Data!AC86+Data!AD86+Data!AE86+Data!AF86+Data!AG86+Data!AH86+Data!AI86+Data!AJ86+Data!AK86+Data!AL86+Data!T87+Data!U87+Data!V87+Data!W87+Data!X87+Data!Y87+Data!Z87+Data!AA87+Data!AB87+Data!AC87+Data!AD87+Data!AE87+Data!AF87+Data!AG87+Data!AH87+Data!AI87+Data!AJ87+Data!AK87+Data!AL87+Data!T88+Data!U88+Data!V88+Data!W88+Data!X88+Data!Y88+Data!Z88+Data!AA88+Data!AB88+Data!AC88+Data!AD88+Data!AE88+Data!AF88+Data!AG88+Data!AH88+Data!AI88+Data!AJ88+Data!AK88+Data!AL88+Data!T89+Data!U89+Data!V89+Data!W89+Data!X89+Data!Y89+Data!Z89+Data!AA89+Data!AB89+Data!AC89+Data!AD89+Data!AE89+Data!AF89+Data!AG89+Data!AH89+Data!AI89+Data!AJ89+Data!AK89+Data!AL89+Data!T90+Data!U90+Data!V90+Data!W90+Data!X90+Data!Y90+Data!Z90+Data!AA90+Data!AB90+Data!AC90+Data!AD90+Data!AE90+Data!AF90+Data!AG90+Data!AH90+Data!AI90+Data!AJ90+Data!AK90+Data!AL90+Data!T91+Data!U91+Data!V91+Data!W91+Data!X91+Data!Y91+Data!Z91+Data!AA91+Data!AB91+Data!AC91+Data!AD91+Data!AE91+Data!AF91+Data!AG91+Data!AH91+Data!AI91+Data!AJ91+Data!AK91+Data!AL91+Data!T92+Data!U92+Data!V92+Data!W92+Data!X92+Data!Y92+Data!Z92+Data!AA92+Data!AB92+Data!AC92+Data!AD92+Data!AE92+Data!AF92+Data!AG92+Data!AH92+Data!AI92+Data!AJ92+Data!AK92+Data!AL92+Data!T93+Data!U93+Data!V93+Data!W93+Data!X93+Data!Y93+Data!Z93+Data!AA93+Data!AB93+Data!AC93+Data!AD93+Data!AE93+Data!AF93+Data!AG93+Data!AH93+Data!AI93+Data!AJ93+Data!AK93+Data!AL93+Data!T94+Data!U94+Data!V94+Data!W94+Data!X94+Data!Y94+Data!Z94+Data!AA94+Data!AB94+Data!AC94+Data!AD94+Data!AE94+Data!AF94+Data!AG94+Data!AH94+Data!AI94+Data!AJ94+Data!AK94+Data!AL94+Data!T95+Data!U95+Data!V95+Data!W95+Data!X95+Data!Y95+Data!Z95+Data!AA95+Data!AB95+Data!AC95+Data!AD95+Data!AE95+Data!AF95+Data!AG95+Data!AH95+Data!AI95+Data!AJ95+Data!AK95+Data!AL95)/(Data!AP84+Data!AP85+Data!AP86+Data!AP87+Data!AP88+Data!AP89+Data!AP90+Data!AP91+Data!AP92+Data!AP93+Data!AP94+Data!AP95)</f>
        <v>0.196480498776272</v>
      </c>
      <c r="N95" s="18" t="n">
        <f aca="false">(Data!T84+Data!U84+Data!V84+Data!W84+Data!T85+Data!U85+Data!V85+Data!W85+Data!T86+Data!U86+Data!V86+Data!W86+Data!T87+Data!U87+Data!V87+Data!W87+Data!T88+Data!U88+Data!V88+Data!W88+Data!T89+Data!U89+Data!V89+Data!W89+Data!T90+Data!U90+Data!V90+Data!W90+Data!T91+Data!U91+Data!V91+Data!W91+Data!T92+Data!U92+Data!V92+Data!W92+Data!T93+Data!U93+Data!V93+Data!W93+Data!T94+Data!U94+Data!V94+Data!W94+Data!T95+Data!U95+Data!V95+Data!W95)/(Data!AP84+Data!AP85+Data!AP86+Data!AP87+Data!AP88+Data!AP89+Data!AP90+Data!AP91+Data!AP92+Data!AP93+Data!AP94+Data!AP95)</f>
        <v>0.0903461646117519</v>
      </c>
      <c r="O95" s="18" t="n">
        <f aca="false">(Data!T84+Data!T85+Data!T86+Data!T87+Data!T88+Data!T89+Data!T90+Data!T91+Data!T92+Data!T93+Data!T94+Data!T95)/(Data!AP84+Data!AP85+Data!AP86+Data!AP87+Data!AP88+Data!AP89+Data!AP90+Data!AP91+Data!AP92+Data!AP93+Data!AP94+Data!AP95)</f>
        <v>0.0657904880450296</v>
      </c>
      <c r="P95" s="18" t="n">
        <f aca="false">(Data!U84+Data!U85+Data!U86+Data!U87+Data!U88+Data!U89+Data!U90+Data!U91+Data!U92+Data!U93+Data!U94+Data!U95)/(Data!AP84+Data!AP85+Data!AP86+Data!AP87+Data!AP88+Data!AP89+Data!AP90+Data!AP91+Data!AP92+Data!AP93+Data!AP94+Data!AP95)</f>
        <v>0.0101080537018153</v>
      </c>
      <c r="Q95" s="18" t="n">
        <f aca="false">(Data!V84+Data!V85+Data!V86+Data!V87+Data!V88+Data!V89+Data!V90+Data!V91+Data!V92+Data!V93+Data!V94+Data!V95)/(Data!AP84+Data!AP85+Data!AP86+Data!AP87+Data!AP88+Data!AP89+Data!AP90+Data!AP91+Data!AP92+Data!AP93+Data!AP94+Data!AP95)</f>
        <v>0.00667070091599323</v>
      </c>
      <c r="R95" s="18" t="n">
        <f aca="false">(Data!W84+Data!W85+Data!W86+Data!W87+Data!W88+Data!W89+Data!W90+Data!W91+Data!W92+Data!W93+Data!W94+Data!W95)/(Data!AP84+Data!AP85+Data!AP86+Data!AP87+Data!AP88+Data!AP89+Data!AP90+Data!AP91+Data!AP92+Data!AP93+Data!AP94+Data!AP95)</f>
        <v>0.00777692194891379</v>
      </c>
      <c r="S95" s="18" t="n">
        <f aca="false">(Data!X84+Data!X85+Data!X86+Data!X87+Data!X88+Data!X89+Data!X90+Data!X91+Data!X92+Data!X93+Data!X94+Data!X95)/(Data!AP84+Data!AP85+Data!AP86+Data!AP87+Data!AP88+Data!AP89+Data!AP90+Data!AP91+Data!AP92+Data!AP93+Data!AP94+Data!AP95)</f>
        <v>0.0184932783129558</v>
      </c>
      <c r="T95" s="18" t="n">
        <f aca="false">(Data!Y84+Data!Z84+Data!AA84+Data!Y85+Data!Z85+Data!AA85+Data!Y86+Data!Z86+Data!AA86+Data!Y87+Data!Z87+Data!AA87+Data!Y88+Data!Z88+Data!AA88+Data!Y89+Data!Z89+Data!AA89+Data!Y90+Data!Z90+Data!AA90+Data!Y91+Data!Z91+Data!AA91+Data!Y92+Data!Z92+Data!AA92+Data!Y93+Data!Z93+Data!AA93+Data!Y94+Data!Z94+Data!AA94+Data!Y95+Data!Z95+Data!AA95)/(Data!AP84+Data!AP85+Data!AP86+Data!AP87+Data!AP88+Data!AP89+Data!AP90+Data!AP91+Data!AP92+Data!AP93+Data!AP94+Data!AP95)</f>
        <v>0.0236701340366558</v>
      </c>
      <c r="U95" s="18" t="n">
        <f aca="false">(Data!Y84+Data!Y85+Data!Y86+Data!Y87+Data!Y88+Data!Y89+Data!Y90+Data!Y91+Data!Y92+Data!Y93+Data!Y94+Data!Y95)/(Data!AP84+Data!AP85+Data!AP86+Data!AP87+Data!AP88+Data!AP89+Data!AP90+Data!AP91+Data!AP92+Data!AP93+Data!AP94+Data!AP95)</f>
        <v>0.018308154469697</v>
      </c>
      <c r="V95" s="18" t="n">
        <f aca="false">(Data!Z84+Data!Z85+Data!Z86+Data!Z87+Data!Z88+Data!Z89+Data!Z90+Data!Z91+Data!Z92+Data!Z93+Data!Z94+Data!Z95)/(Data!AP84+Data!AP85+Data!AP86+Data!AP87+Data!AP88+Data!AP89+Data!AP90+Data!AP91+Data!AP92+Data!AP93+Data!AP94+Data!AP95)</f>
        <v>0.00494044921586661</v>
      </c>
      <c r="W95" s="18" t="n">
        <f aca="false">(Data!AB84+Data!AB85+Data!AB86+Data!AB87+Data!AB88+Data!AB89+Data!AB90+Data!AB91+Data!AB92+Data!AB93+Data!AB94+Data!AB95)/(Data!AP84+Data!AP85+Data!AP86+Data!AP87+Data!AP88+Data!AP89+Data!AP90+Data!AP91+Data!AP92+Data!AP93+Data!AP94+Data!AP95)</f>
        <v>0.0244853779694379</v>
      </c>
      <c r="X95" s="18" t="n">
        <f aca="false">(Data!AC84+Data!AC85+Data!AC86+Data!AC87+Data!AC88+Data!AC89+Data!AC90+Data!AC91+Data!AC92+Data!AC93+Data!AC94+Data!AC95)/(Data!AP84+Data!AP85+Data!AP86+Data!AP87+Data!AP88+Data!AP89+Data!AP90+Data!AP91+Data!AP92+Data!AP93+Data!AP94+Data!AP95)</f>
        <v>0.00659665498189819</v>
      </c>
      <c r="Y95" s="18" t="n">
        <f aca="false">(Data!AD84+Data!AE84+Data!AF84+Data!AG84+Data!AH84+Data!AD85+Data!AE85+Data!AF85+Data!AG85+Data!AH85+Data!AD86+Data!AE86+Data!AF86+Data!AG86+Data!AH86+Data!AD87+Data!AE87+Data!AF87+Data!AG87+Data!AH87+Data!AD88+Data!AE88+Data!AF88+Data!AG88+Data!AH88+Data!AD89+Data!AE89+Data!AF89+Data!AG89+Data!AH89+Data!AD90+Data!AE90+Data!AF90+Data!AG90+Data!AH90+Data!AD91+Data!AE91+Data!AF91+Data!AG91+Data!AH91+Data!AD92+Data!AE92+Data!AF92+Data!AG92+Data!AH92+Data!AD93+Data!AE93+Data!AF93+Data!AG93+Data!AH93+Data!AD94+Data!AE94+Data!AF94+Data!AG94+Data!AH94+Data!AD95+Data!AE95+Data!AF95+Data!AG95+Data!AH95)/(Data!AP84+Data!AP85+Data!AP86+Data!AP87+Data!AP88+Data!AP89+Data!AP90+Data!AP91+Data!AP92+Data!AP93+Data!AP94+Data!AP95)</f>
        <v>0.0059196121100511</v>
      </c>
      <c r="Z95" s="18" t="n">
        <f aca="false">(Data!AI84+Data!AI85+Data!AI86+Data!AI87+Data!AI88+Data!AI89+Data!AI90+Data!AI91+Data!AI92+Data!AI93+Data!AI94+Data!AI95)/(Data!AP84+Data!AP85+Data!AP86+Data!AP87+Data!AP88+Data!AP89+Data!AP90+Data!AP91+Data!AP92+Data!AP93+Data!AP94+Data!AP95)</f>
        <v>0.0061779981895623</v>
      </c>
      <c r="AA95" s="18" t="n">
        <f aca="false">(Data!AJ84+Data!AJ85+Data!AJ86+Data!AJ87+Data!AJ88+Data!AJ89+Data!AJ90+Data!AJ91+Data!AJ92+Data!AJ93+Data!AJ94+Data!AJ95)/(Data!AP84+Data!AP85+Data!AP86+Data!AP87+Data!AP88+Data!AP89+Data!AP90+Data!AP91+Data!AP92+Data!AP93+Data!AP94+Data!AP95)</f>
        <v>0</v>
      </c>
      <c r="AB95" s="18" t="n">
        <f aca="false">(Data!AK84+Data!AK85+Data!AK86+Data!AK87+Data!AK88+Data!AK89+Data!AK90+Data!AK91+Data!AK92+Data!AK93+Data!AK94+Data!AK95)/(Data!AP84+Data!AP85+Data!AP86+Data!AP87+Data!AP88+Data!AP89+Data!AP90+Data!AP91+Data!AP92+Data!AP93+Data!AP94+Data!AP95)</f>
        <v>0.00368423562228711</v>
      </c>
      <c r="AC95" s="18" t="n">
        <f aca="false">(Data!AL84+Data!AL85+Data!AL86+Data!AL87+Data!AL88+Data!AL89+Data!AL90+Data!AL91+Data!AL92+Data!AL93+Data!AL94+Data!AL95)/(Data!AP84+Data!AP85+Data!AP86+Data!AP87+Data!AP88+Data!AP89+Data!AP90+Data!AP91+Data!AP92+Data!AP93+Data!AP94+Data!AP95)</f>
        <v>0.0171070429416722</v>
      </c>
      <c r="AD95" s="17" t="n">
        <f aca="false">(Data!AM84+Data!AM85+Data!AM86+Data!AM87+Data!AM88+Data!AM89+Data!AM90+Data!AM91+Data!AM92+Data!AM93+Data!AM94+Data!AM95)/(Data!AP84+Data!AP85+Data!AP86+Data!AP87+Data!AP88+Data!AP89+Data!AP90+Data!AP91+Data!AP92+Data!AP93+Data!AP94+Data!AP95)</f>
        <v>-0.0224693197733299</v>
      </c>
      <c r="AE95" s="18" t="n">
        <f aca="false">(Data!AN84+Data!AN85+Data!AN86+Data!AN87+Data!AN88+Data!AN89+Data!AN90+Data!AN91+Data!AN92+Data!AN93+Data!AN94+Data!AN95)/(Data!AP84+Data!AP85+Data!AP86+Data!AP87+Data!AP88+Data!AP89+Data!AP90+Data!AP91+Data!AP92+Data!AP93+Data!AP94+Data!AP95)</f>
        <v>0.0203588124751553</v>
      </c>
      <c r="AF95" s="17" t="n">
        <f aca="false">(Data!AO84+Data!AO85+Data!AO86+Data!AO87+Data!AO88+Data!AO89+Data!AO90+Data!AO91+Data!AO92+Data!AO93+Data!AO94+Data!AO95)/(Data!AP84+Data!AP85+Data!AP86+Data!AP87+Data!AP88+Data!AP89+Data!AP90+Data!AP91+Data!AP92+Data!AP93+Data!AP94+Data!AP95)</f>
        <v>-0.0428281322484852</v>
      </c>
    </row>
    <row r="96" customFormat="false" ht="15" hidden="false" customHeight="false" outlineLevel="0" collapsed="false">
      <c r="B96" s="14" t="str">
        <f aca="false">Data!B96</f>
        <v>2023-06</v>
      </c>
      <c r="C96" s="17" t="n">
        <f aca="false">(Data!D85+Data!E85+Data!F85+Data!G85+Data!H85+Data!I85+Data!J85+Data!K85+Data!L85+Data!M85+Data!N85+Data!O85+Data!P85+Data!Q85+Data!R85+Data!S85+Data!D86+Data!E86+Data!F86+Data!G86+Data!H86+Data!I86+Data!J86+Data!K86+Data!L86+Data!M86+Data!N86+Data!O86+Data!P86+Data!Q86+Data!R86+Data!S86+Data!D87+Data!E87+Data!F87+Data!G87+Data!H87+Data!I87+Data!J87+Data!K87+Data!L87+Data!M87+Data!N87+Data!O87+Data!P87+Data!Q87+Data!R87+Data!S87+Data!D88+Data!E88+Data!F88+Data!G88+Data!H88+Data!I88+Data!J88+Data!K88+Data!L88+Data!M88+Data!N88+Data!O88+Data!P88+Data!Q88+Data!R88+Data!S88+Data!D89+Data!E89+Data!F89+Data!G89+Data!H89+Data!I89+Data!J89+Data!K89+Data!L89+Data!M89+Data!N89+Data!O89+Data!P89+Data!Q89+Data!R89+Data!S89+Data!D90+Data!E90+Data!F90+Data!G90+Data!H90+Data!I90+Data!J90+Data!K90+Data!L90+Data!M90+Data!N90+Data!O90+Data!P90+Data!Q90+Data!R90+Data!S90+Data!D91+Data!E91+Data!F91+Data!G91+Data!H91+Data!I91+Data!J91+Data!K91+Data!L91+Data!M91+Data!N91+Data!O91+Data!P91+Data!Q91+Data!R91+Data!S91+Data!D92+Data!E92+Data!F92+Data!G92+Data!H92+Data!I92+Data!J92+Data!K92+Data!L92+Data!M92+Data!N92+Data!O92+Data!P92+Data!Q92+Data!R92+Data!S92+Data!D93+Data!E93+Data!F93+Data!G93+Data!H93+Data!I93+Data!J93+Data!K93+Data!L93+Data!M93+Data!N93+Data!O93+Data!P93+Data!Q93+Data!R93+Data!S93+Data!D94+Data!E94+Data!F94+Data!G94+Data!H94+Data!I94+Data!J94+Data!K94+Data!L94+Data!M94+Data!N94+Data!O94+Data!P94+Data!Q94+Data!R94+Data!S94+Data!D95+Data!E95+Data!F95+Data!G95+Data!H95+Data!I95+Data!J95+Data!K95+Data!L95+Data!M95+Data!N95+Data!O95+Data!P95+Data!Q95+Data!R95+Data!S95+Data!D96+Data!E96+Data!F96+Data!G96+Data!H96+Data!I96+Data!J96+Data!K96+Data!L96+Data!M96+Data!N96+Data!O96+Data!P96+Data!Q96+Data!R96+Data!S96)/(Data!AP85+Data!AP86+Data!AP87+Data!AP88+Data!AP89+Data!AP90+Data!AP91+Data!AP92+Data!AP93+Data!AP94+Data!AP95+Data!AP96)</f>
        <v>0.174454024607542</v>
      </c>
      <c r="D96" s="18" t="n">
        <f aca="false">(Data!D85+Data!E85+Data!G85+Data!H85+Data!I85+Data!J85+Data!K85+Data!L85+Data!M85+Data!D86+Data!E86+Data!G86+Data!H86+Data!I86+Data!J86+Data!K86+Data!L86+Data!M86+Data!D87+Data!E87+Data!G87+Data!H87+Data!I87+Data!J87+Data!K87+Data!L87+Data!M87+Data!D88+Data!E88+Data!G88+Data!H88+Data!I88+Data!J88+Data!K88+Data!L88+Data!M88+Data!D89+Data!E89+Data!G89+Data!H89+Data!I89+Data!J89+Data!K89+Data!L89+Data!M89+Data!D90+Data!E90+Data!G90+Data!H90+Data!I90+Data!J90+Data!K90+Data!L90+Data!M90+Data!D91+Data!E91+Data!G91+Data!H91+Data!I91+Data!J91+Data!K91+Data!L91+Data!M91+Data!D92+Data!E92+Data!G92+Data!H92+Data!I92+Data!J92+Data!K92+Data!L92+Data!M92+Data!D93+Data!E93+Data!G93+Data!H93+Data!I93+Data!J93+Data!K93+Data!L93+Data!M93+Data!D94+Data!E94+Data!G94+Data!H94+Data!I94+Data!J94+Data!K94+Data!L94+Data!M94+Data!D95+Data!E95+Data!G95+Data!H95+Data!I95+Data!J95+Data!K95+Data!L95+Data!M95+Data!D96+Data!E96+Data!G96+Data!H96+Data!I96+Data!J96+Data!K96+Data!L96+Data!M96)/(Data!AP85+Data!AP86+Data!AP87+Data!AP88+Data!AP89+Data!AP90+Data!AP91+Data!AP92+Data!AP93+Data!AP94+Data!AP95+Data!AP96)</f>
        <v>0.103893592537876</v>
      </c>
      <c r="E96" s="18" t="n">
        <f aca="false">(Data!D85+Data!D86+Data!D87+Data!D88+Data!D89+Data!D90+Data!D91+Data!D92+Data!D93+Data!D94+Data!D95+Data!D96)/(Data!AP85+Data!AP86+Data!AP87+Data!AP88+Data!AP89+Data!AP90+Data!AP91+Data!AP92+Data!AP93+Data!AP94+Data!AP95+Data!AP96)</f>
        <v>0.0335134156103106</v>
      </c>
      <c r="F96" s="18" t="n">
        <f aca="false">(Data!E85+Data!E86+Data!E87+Data!E88+Data!E89+Data!E90+Data!E91+Data!E92+Data!E93+Data!E94+Data!E95+Data!E96)/(Data!AP85+Data!AP86+Data!AP87+Data!AP88+Data!AP89+Data!AP90+Data!AP91+Data!AP92+Data!AP93+Data!AP94+Data!AP95+Data!AP96)</f>
        <v>0.019355279350836</v>
      </c>
      <c r="G96" s="18" t="n">
        <f aca="false">(Data!K85+Data!K86+Data!K87+Data!K88+Data!K89+Data!K90+Data!K91+Data!K92+Data!K93+Data!K94+Data!K95+Data!K96)/(Data!AP85+Data!AP86+Data!AP87+Data!AP88+Data!AP89+Data!AP90+Data!AP91+Data!AP92+Data!AP93+Data!AP94+Data!AP95+Data!AP96)</f>
        <v>0.0127124711414137</v>
      </c>
      <c r="H96" s="18" t="n">
        <f aca="false">(Data!L85+Data!L86+Data!L87+Data!L88+Data!L89+Data!L90+Data!L91+Data!L92+Data!L93+Data!L94+Data!L95+Data!L96)/(Data!AP85+Data!AP86+Data!AP87+Data!AP88+Data!AP89+Data!AP90+Data!AP91+Data!AP92+Data!AP93+Data!AP94+Data!AP95+Data!AP96)</f>
        <v>0.00577312855875359</v>
      </c>
      <c r="I96" s="18" t="n">
        <f aca="false">(Data!G85+Data!G86+Data!G87+Data!G88+Data!G89+Data!G90+Data!G91+Data!G92+Data!G93+Data!G94+Data!G95+Data!G96)/(Data!AP85+Data!AP86+Data!AP87+Data!AP88+Data!AP89+Data!AP90+Data!AP91+Data!AP92+Data!AP93+Data!AP94+Data!AP95+Data!AP96)</f>
        <v>0.0160446881948492</v>
      </c>
      <c r="J96" s="18" t="n">
        <f aca="false">(Data!H85+Data!I85+Data!J85+Data!M85+Data!H86+Data!I86+Data!J86+Data!M86+Data!H87+Data!I87+Data!J87+Data!M87+Data!H88+Data!I88+Data!J88+Data!M88+Data!H89+Data!I89+Data!J89+Data!M89+Data!H90+Data!I90+Data!J90+Data!M90+Data!H91+Data!I91+Data!J91+Data!M91+Data!H92+Data!I92+Data!J92+Data!M92+Data!H93+Data!I93+Data!J93+Data!M93+Data!H94+Data!I94+Data!J94+Data!M94+Data!H95+Data!I95+Data!J95+Data!M95+Data!H96+Data!I96+Data!J96+Data!M96)/(Data!AP85+Data!AP86+Data!AP87+Data!AP88+Data!AP89+Data!AP90+Data!AP91+Data!AP92+Data!AP93+Data!AP94+Data!AP95+Data!AP96)</f>
        <v>0.0164946096817129</v>
      </c>
      <c r="K96" s="18" t="n">
        <f aca="false">(Data!F85+Data!F86+Data!F87+Data!F88+Data!F89+Data!F90+Data!F91+Data!F92+Data!F93+Data!F94+Data!F95+Data!F96)/(Data!AP85+Data!AP86+Data!AP87+Data!AP88+Data!AP89+Data!AP90+Data!AP91+Data!AP92+Data!AP93+Data!AP94+Data!AP95+Data!AP96)</f>
        <v>0.0526660722696195</v>
      </c>
      <c r="L96" s="18" t="n">
        <f aca="false">(Data!N85+Data!O85+Data!P85+Data!Q85+Data!R85+Data!S85+Data!N86+Data!O86+Data!P86+Data!Q86+Data!R86+Data!S86+Data!N87+Data!O87+Data!P87+Data!Q87+Data!R87+Data!S87+Data!N88+Data!O88+Data!P88+Data!Q88+Data!R88+Data!S88+Data!N89+Data!O89+Data!P89+Data!Q89+Data!R89+Data!S89+Data!N90+Data!O90+Data!P90+Data!Q90+Data!R90+Data!S90+Data!N91+Data!O91+Data!P91+Data!Q91+Data!R91+Data!S91+Data!N92+Data!O92+Data!P92+Data!Q92+Data!R92+Data!S92+Data!N93+Data!O93+Data!P93+Data!Q93+Data!R93+Data!S93+Data!N94+Data!O94+Data!P94+Data!Q94+Data!R94+Data!S94+Data!N95+Data!O95+Data!P95+Data!Q95+Data!R95+Data!S95+Data!N96+Data!O96+Data!P96+Data!Q96+Data!R96+Data!S96)/(Data!AP85+Data!AP86+Data!AP87+Data!AP88+Data!AP89+Data!AP90+Data!AP91+Data!AP92+Data!AP93+Data!AP94+Data!AP95+Data!AP96)</f>
        <v>0.0178943598000465</v>
      </c>
      <c r="M96" s="17" t="n">
        <f aca="false">(Data!T85+Data!U85+Data!V85+Data!W85+Data!X85+Data!Y85+Data!Z85+Data!AA85+Data!AB85+Data!AC85+Data!AD85+Data!AE85+Data!AF85+Data!AG85+Data!AH85+Data!AI85+Data!AJ85+Data!AK85+Data!AL85+Data!T86+Data!U86+Data!V86+Data!W86+Data!X86+Data!Y86+Data!Z86+Data!AA86+Data!AB86+Data!AC86+Data!AD86+Data!AE86+Data!AF86+Data!AG86+Data!AH86+Data!AI86+Data!AJ86+Data!AK86+Data!AL86+Data!T87+Data!U87+Data!V87+Data!W87+Data!X87+Data!Y87+Data!Z87+Data!AA87+Data!AB87+Data!AC87+Data!AD87+Data!AE87+Data!AF87+Data!AG87+Data!AH87+Data!AI87+Data!AJ87+Data!AK87+Data!AL87+Data!T88+Data!U88+Data!V88+Data!W88+Data!X88+Data!Y88+Data!Z88+Data!AA88+Data!AB88+Data!AC88+Data!AD88+Data!AE88+Data!AF88+Data!AG88+Data!AH88+Data!AI88+Data!AJ88+Data!AK88+Data!AL88+Data!T89+Data!U89+Data!V89+Data!W89+Data!X89+Data!Y89+Data!Z89+Data!AA89+Data!AB89+Data!AC89+Data!AD89+Data!AE89+Data!AF89+Data!AG89+Data!AH89+Data!AI89+Data!AJ89+Data!AK89+Data!AL89+Data!T90+Data!U90+Data!V90+Data!W90+Data!X90+Data!Y90+Data!Z90+Data!AA90+Data!AB90+Data!AC90+Data!AD90+Data!AE90+Data!AF90+Data!AG90+Data!AH90+Data!AI90+Data!AJ90+Data!AK90+Data!AL90+Data!T91+Data!U91+Data!V91+Data!W91+Data!X91+Data!Y91+Data!Z91+Data!AA91+Data!AB91+Data!AC91+Data!AD91+Data!AE91+Data!AF91+Data!AG91+Data!AH91+Data!AI91+Data!AJ91+Data!AK91+Data!AL91+Data!T92+Data!U92+Data!V92+Data!W92+Data!X92+Data!Y92+Data!Z92+Data!AA92+Data!AB92+Data!AC92+Data!AD92+Data!AE92+Data!AF92+Data!AG92+Data!AH92+Data!AI92+Data!AJ92+Data!AK92+Data!AL92+Data!T93+Data!U93+Data!V93+Data!W93+Data!X93+Data!Y93+Data!Z93+Data!AA93+Data!AB93+Data!AC93+Data!AD93+Data!AE93+Data!AF93+Data!AG93+Data!AH93+Data!AI93+Data!AJ93+Data!AK93+Data!AL93+Data!T94+Data!U94+Data!V94+Data!W94+Data!X94+Data!Y94+Data!Z94+Data!AA94+Data!AB94+Data!AC94+Data!AD94+Data!AE94+Data!AF94+Data!AG94+Data!AH94+Data!AI94+Data!AJ94+Data!AK94+Data!AL94+Data!T95+Data!U95+Data!V95+Data!W95+Data!X95+Data!Y95+Data!Z95+Data!AA95+Data!AB95+Data!AC95+Data!AD95+Data!AE95+Data!AF95+Data!AG95+Data!AH95+Data!AI95+Data!AJ95+Data!AK95+Data!AL95+Data!T96+Data!U96+Data!V96+Data!W96+Data!X96+Data!Y96+Data!Z96+Data!AA96+Data!AB96+Data!AC96+Data!AD96+Data!AE96+Data!AF96+Data!AG96+Data!AH96+Data!AI96+Data!AJ96+Data!AK96+Data!AL96)/(Data!AP85+Data!AP86+Data!AP87+Data!AP88+Data!AP89+Data!AP90+Data!AP91+Data!AP92+Data!AP93+Data!AP94+Data!AP95+Data!AP96)</f>
        <v>0.197921132086476</v>
      </c>
      <c r="N96" s="18" t="n">
        <f aca="false">(Data!T85+Data!U85+Data!V85+Data!W85+Data!T86+Data!U86+Data!V86+Data!W86+Data!T87+Data!U87+Data!V87+Data!W87+Data!T88+Data!U88+Data!V88+Data!W88+Data!T89+Data!U89+Data!V89+Data!W89+Data!T90+Data!U90+Data!V90+Data!W90+Data!T91+Data!U91+Data!V91+Data!W91+Data!T92+Data!U92+Data!V92+Data!W92+Data!T93+Data!U93+Data!V93+Data!W93+Data!T94+Data!U94+Data!V94+Data!W94+Data!T95+Data!U95+Data!V95+Data!W95+Data!T96+Data!U96+Data!V96+Data!W96)/(Data!AP85+Data!AP86+Data!AP87+Data!AP88+Data!AP89+Data!AP90+Data!AP91+Data!AP92+Data!AP93+Data!AP94+Data!AP95+Data!AP96)</f>
        <v>0.0911402715426301</v>
      </c>
      <c r="O96" s="18" t="n">
        <f aca="false">(Data!T85+Data!T86+Data!T87+Data!T88+Data!T89+Data!T90+Data!T91+Data!T92+Data!T93+Data!T94+Data!T95+Data!T96)/(Data!AP85+Data!AP86+Data!AP87+Data!AP88+Data!AP89+Data!AP90+Data!AP91+Data!AP92+Data!AP93+Data!AP94+Data!AP95+Data!AP96)</f>
        <v>0.0668285657344646</v>
      </c>
      <c r="P96" s="18" t="n">
        <f aca="false">(Data!U85+Data!U86+Data!U87+Data!U88+Data!U89+Data!U90+Data!U91+Data!U92+Data!U93+Data!U94+Data!U95+Data!U96)/(Data!AP85+Data!AP86+Data!AP87+Data!AP88+Data!AP89+Data!AP90+Data!AP91+Data!AP92+Data!AP93+Data!AP94+Data!AP95+Data!AP96)</f>
        <v>0.00991848272740086</v>
      </c>
      <c r="Q96" s="18" t="n">
        <f aca="false">(Data!V85+Data!V86+Data!V87+Data!V88+Data!V89+Data!V90+Data!V91+Data!V92+Data!V93+Data!V94+Data!V95+Data!V96)/(Data!AP85+Data!AP86+Data!AP87+Data!AP88+Data!AP89+Data!AP90+Data!AP91+Data!AP92+Data!AP93+Data!AP94+Data!AP95+Data!AP96)</f>
        <v>0.00654410107344505</v>
      </c>
      <c r="R96" s="18" t="n">
        <f aca="false">(Data!W85+Data!W86+Data!W87+Data!W88+Data!W89+Data!W90+Data!W91+Data!W92+Data!W93+Data!W94+Data!W95+Data!W96)/(Data!AP85+Data!AP86+Data!AP87+Data!AP88+Data!AP89+Data!AP90+Data!AP91+Data!AP92+Data!AP93+Data!AP94+Data!AP95+Data!AP96)</f>
        <v>0.00784912200731963</v>
      </c>
      <c r="S96" s="18" t="n">
        <f aca="false">(Data!X85+Data!X86+Data!X87+Data!X88+Data!X89+Data!X90+Data!X91+Data!X92+Data!X93+Data!X94+Data!X95+Data!X96)/(Data!AP85+Data!AP86+Data!AP87+Data!AP88+Data!AP89+Data!AP90+Data!AP91+Data!AP92+Data!AP93+Data!AP94+Data!AP95+Data!AP96)</f>
        <v>0.0182325025348212</v>
      </c>
      <c r="T96" s="18" t="n">
        <f aca="false">(Data!Y85+Data!Z85+Data!AA85+Data!Y86+Data!Z86+Data!AA86+Data!Y87+Data!Z87+Data!AA87+Data!Y88+Data!Z88+Data!AA88+Data!Y89+Data!Z89+Data!AA89+Data!Y90+Data!Z90+Data!AA90+Data!Y91+Data!Z91+Data!AA91+Data!Y92+Data!Z92+Data!AA92+Data!Y93+Data!Z93+Data!AA93+Data!Y94+Data!Z94+Data!AA94+Data!Y95+Data!Z95+Data!AA95+Data!Y96+Data!Z96+Data!AA96)/(Data!AP85+Data!AP86+Data!AP87+Data!AP88+Data!AP89+Data!AP90+Data!AP91+Data!AP92+Data!AP93+Data!AP94+Data!AP95+Data!AP96)</f>
        <v>0.0242919340406619</v>
      </c>
      <c r="U96" s="18" t="n">
        <f aca="false">(Data!Y85+Data!Y86+Data!Y87+Data!Y88+Data!Y89+Data!Y90+Data!Y91+Data!Y92+Data!Y93+Data!Y94+Data!Y95+Data!Y96)/(Data!AP85+Data!AP86+Data!AP87+Data!AP88+Data!AP89+Data!AP90+Data!AP91+Data!AP92+Data!AP93+Data!AP94+Data!AP95+Data!AP96)</f>
        <v>0.0188482759452587</v>
      </c>
      <c r="V96" s="18" t="n">
        <f aca="false">(Data!Z85+Data!Z86+Data!Z87+Data!Z88+Data!Z89+Data!Z90+Data!Z91+Data!Z92+Data!Z93+Data!Z94+Data!Z95+Data!Z96)/(Data!AP85+Data!AP86+Data!AP87+Data!AP88+Data!AP89+Data!AP90+Data!AP91+Data!AP92+Data!AP93+Data!AP94+Data!AP95+Data!AP96)</f>
        <v>0.00502942860997936</v>
      </c>
      <c r="W96" s="18" t="n">
        <f aca="false">(Data!AB85+Data!AB86+Data!AB87+Data!AB88+Data!AB89+Data!AB90+Data!AB91+Data!AB92+Data!AB93+Data!AB94+Data!AB95+Data!AB96)/(Data!AP85+Data!AP86+Data!AP87+Data!AP88+Data!AP89+Data!AP90+Data!AP91+Data!AP92+Data!AP93+Data!AP94+Data!AP95+Data!AP96)</f>
        <v>0.024523177756248</v>
      </c>
      <c r="X96" s="18" t="n">
        <f aca="false">(Data!AC85+Data!AC86+Data!AC87+Data!AC88+Data!AC89+Data!AC90+Data!AC91+Data!AC92+Data!AC93+Data!AC94+Data!AC95+Data!AC96)/(Data!AP85+Data!AP86+Data!AP87+Data!AP88+Data!AP89+Data!AP90+Data!AP91+Data!AP92+Data!AP93+Data!AP94+Data!AP95+Data!AP96)</f>
        <v>0.0066700554917494</v>
      </c>
      <c r="Y96" s="18" t="n">
        <f aca="false">(Data!AD85+Data!AE85+Data!AF85+Data!AG85+Data!AH85+Data!AD86+Data!AE86+Data!AF86+Data!AG86+Data!AH86+Data!AD87+Data!AE87+Data!AF87+Data!AG87+Data!AH87+Data!AD88+Data!AE88+Data!AF88+Data!AG88+Data!AH88+Data!AD89+Data!AE89+Data!AF89+Data!AG89+Data!AH89+Data!AD90+Data!AE90+Data!AF90+Data!AG90+Data!AH90+Data!AD91+Data!AE91+Data!AF91+Data!AG91+Data!AH91+Data!AD92+Data!AE92+Data!AF92+Data!AG92+Data!AH92+Data!AD93+Data!AE93+Data!AF93+Data!AG93+Data!AH93+Data!AD94+Data!AE94+Data!AF94+Data!AG94+Data!AH94+Data!AD95+Data!AE95+Data!AF95+Data!AG95+Data!AH95+Data!AD96+Data!AE96+Data!AF96+Data!AG96+Data!AH96)/(Data!AP85+Data!AP86+Data!AP87+Data!AP88+Data!AP89+Data!AP90+Data!AP91+Data!AP92+Data!AP93+Data!AP94+Data!AP95+Data!AP96)</f>
        <v>0.00588173843420948</v>
      </c>
      <c r="Z96" s="18" t="n">
        <f aca="false">(Data!AI85+Data!AI86+Data!AI87+Data!AI88+Data!AI89+Data!AI90+Data!AI91+Data!AI92+Data!AI93+Data!AI94+Data!AI95+Data!AI96)/(Data!AP85+Data!AP86+Data!AP87+Data!AP88+Data!AP89+Data!AP90+Data!AP91+Data!AP92+Data!AP93+Data!AP94+Data!AP95+Data!AP96)</f>
        <v>0.00626848465713142</v>
      </c>
      <c r="AA96" s="18" t="n">
        <f aca="false">(Data!AJ85+Data!AJ86+Data!AJ87+Data!AJ88+Data!AJ89+Data!AJ90+Data!AJ91+Data!AJ92+Data!AJ93+Data!AJ94+Data!AJ95+Data!AJ96)/(Data!AP85+Data!AP86+Data!AP87+Data!AP88+Data!AP89+Data!AP90+Data!AP91+Data!AP92+Data!AP93+Data!AP94+Data!AP95+Data!AP96)</f>
        <v>0</v>
      </c>
      <c r="AB96" s="18" t="n">
        <f aca="false">(Data!AK85+Data!AK86+Data!AK87+Data!AK88+Data!AK89+Data!AK90+Data!AK91+Data!AK92+Data!AK93+Data!AK94+Data!AK95+Data!AK96)/(Data!AP85+Data!AP86+Data!AP87+Data!AP88+Data!AP89+Data!AP90+Data!AP91+Data!AP92+Data!AP93+Data!AP94+Data!AP95+Data!AP96)</f>
        <v>0.00364214330159365</v>
      </c>
      <c r="AC96" s="18" t="n">
        <f aca="false">(Data!AL85+Data!AL86+Data!AL87+Data!AL88+Data!AL89+Data!AL90+Data!AL91+Data!AL92+Data!AL93+Data!AL94+Data!AL95+Data!AL96)/(Data!AP85+Data!AP86+Data!AP87+Data!AP88+Data!AP89+Data!AP90+Data!AP91+Data!AP92+Data!AP93+Data!AP94+Data!AP95+Data!AP96)</f>
        <v>0.0172708243274304</v>
      </c>
      <c r="AD96" s="17" t="n">
        <f aca="false">(Data!AM85+Data!AM86+Data!AM87+Data!AM88+Data!AM89+Data!AM90+Data!AM91+Data!AM92+Data!AM93+Data!AM94+Data!AM95+Data!AM96)/(Data!AP85+Data!AP86+Data!AP87+Data!AP88+Data!AP89+Data!AP90+Data!AP91+Data!AP92+Data!AP93+Data!AP94+Data!AP95+Data!AP96)</f>
        <v>-0.0234671074789336</v>
      </c>
      <c r="AE96" s="18" t="n">
        <f aca="false">(Data!AN85+Data!AN86+Data!AN87+Data!AN88+Data!AN89+Data!AN90+Data!AN91+Data!AN92+Data!AN93+Data!AN94+Data!AN95+Data!AN96)/(Data!AP85+Data!AP86+Data!AP87+Data!AP88+Data!AP89+Data!AP90+Data!AP91+Data!AP92+Data!AP93+Data!AP94+Data!AP95+Data!AP96)</f>
        <v>0.0192324179583944</v>
      </c>
      <c r="AF96" s="17" t="n">
        <f aca="false">(Data!AO85+Data!AO86+Data!AO87+Data!AO88+Data!AO89+Data!AO90+Data!AO91+Data!AO92+Data!AO93+Data!AO94+Data!AO95+Data!AO96)/(Data!AP85+Data!AP86+Data!AP87+Data!AP88+Data!AP89+Data!AP90+Data!AP91+Data!AP92+Data!AP93+Data!AP94+Data!AP95+Data!AP96)</f>
        <v>-0.0426995170094646</v>
      </c>
    </row>
    <row r="97" customFormat="false" ht="15" hidden="false" customHeight="false" outlineLevel="0" collapsed="false">
      <c r="B97" s="14" t="str">
        <f aca="false">Data!B97</f>
        <v>2023-07</v>
      </c>
      <c r="C97" s="17" t="n">
        <f aca="false">(Data!D86+Data!E86+Data!F86+Data!G86+Data!H86+Data!I86+Data!J86+Data!K86+Data!L86+Data!M86+Data!N86+Data!O86+Data!P86+Data!Q86+Data!R86+Data!S86+Data!D87+Data!E87+Data!F87+Data!G87+Data!H87+Data!I87+Data!J87+Data!K87+Data!L87+Data!M87+Data!N87+Data!O87+Data!P87+Data!Q87+Data!R87+Data!S87+Data!D88+Data!E88+Data!F88+Data!G88+Data!H88+Data!I88+Data!J88+Data!K88+Data!L88+Data!M88+Data!N88+Data!O88+Data!P88+Data!Q88+Data!R88+Data!S88+Data!D89+Data!E89+Data!F89+Data!G89+Data!H89+Data!I89+Data!J89+Data!K89+Data!L89+Data!M89+Data!N89+Data!O89+Data!P89+Data!Q89+Data!R89+Data!S89+Data!D90+Data!E90+Data!F90+Data!G90+Data!H90+Data!I90+Data!J90+Data!K90+Data!L90+Data!M90+Data!N90+Data!O90+Data!P90+Data!Q90+Data!R90+Data!S90+Data!D91+Data!E91+Data!F91+Data!G91+Data!H91+Data!I91+Data!J91+Data!K91+Data!L91+Data!M91+Data!N91+Data!O91+Data!P91+Data!Q91+Data!R91+Data!S91+Data!D92+Data!E92+Data!F92+Data!G92+Data!H92+Data!I92+Data!J92+Data!K92+Data!L92+Data!M92+Data!N92+Data!O92+Data!P92+Data!Q92+Data!R92+Data!S92+Data!D93+Data!E93+Data!F93+Data!G93+Data!H93+Data!I93+Data!J93+Data!K93+Data!L93+Data!M93+Data!N93+Data!O93+Data!P93+Data!Q93+Data!R93+Data!S93+Data!D94+Data!E94+Data!F94+Data!G94+Data!H94+Data!I94+Data!J94+Data!K94+Data!L94+Data!M94+Data!N94+Data!O94+Data!P94+Data!Q94+Data!R94+Data!S94+Data!D95+Data!E95+Data!F95+Data!G95+Data!H95+Data!I95+Data!J95+Data!K95+Data!L95+Data!M95+Data!N95+Data!O95+Data!P95+Data!Q95+Data!R95+Data!S95+Data!D96+Data!E96+Data!F96+Data!G96+Data!H96+Data!I96+Data!J96+Data!K96+Data!L96+Data!M96+Data!N96+Data!O96+Data!P96+Data!Q96+Data!R96+Data!S96+Data!D97+Data!E97+Data!F97+Data!G97+Data!H97+Data!I97+Data!J97+Data!K97+Data!L97+Data!M97+Data!N97+Data!O97+Data!P97+Data!Q97+Data!R97+Data!S97)/(Data!AP86+Data!AP87+Data!AP88+Data!AP89+Data!AP90+Data!AP91+Data!AP92+Data!AP93+Data!AP94+Data!AP95+Data!AP96+Data!AP97)</f>
        <v>0.172793347843534</v>
      </c>
      <c r="D97" s="18" t="n">
        <f aca="false">(Data!D86+Data!E86+Data!G86+Data!H86+Data!I86+Data!J86+Data!K86+Data!L86+Data!M86+Data!D87+Data!E87+Data!G87+Data!H87+Data!I87+Data!J87+Data!K87+Data!L87+Data!M87+Data!D88+Data!E88+Data!G88+Data!H88+Data!I88+Data!J88+Data!K88+Data!L88+Data!M88+Data!D89+Data!E89+Data!G89+Data!H89+Data!I89+Data!J89+Data!K89+Data!L89+Data!M89+Data!D90+Data!E90+Data!G90+Data!H90+Data!I90+Data!J90+Data!K90+Data!L90+Data!M90+Data!D91+Data!E91+Data!G91+Data!H91+Data!I91+Data!J91+Data!K91+Data!L91+Data!M91+Data!D92+Data!E92+Data!G92+Data!H92+Data!I92+Data!J92+Data!K92+Data!L92+Data!M92+Data!D93+Data!E93+Data!G93+Data!H93+Data!I93+Data!J93+Data!K93+Data!L93+Data!M93+Data!D94+Data!E94+Data!G94+Data!H94+Data!I94+Data!J94+Data!K94+Data!L94+Data!M94+Data!D95+Data!E95+Data!G95+Data!H95+Data!I95+Data!J95+Data!K95+Data!L95+Data!M95+Data!D96+Data!E96+Data!G96+Data!H96+Data!I96+Data!J96+Data!K96+Data!L96+Data!M96+Data!D97+Data!E97+Data!G97+Data!H97+Data!I97+Data!J97+Data!K97+Data!L97+Data!M97)/(Data!AP86+Data!AP87+Data!AP88+Data!AP89+Data!AP90+Data!AP91+Data!AP92+Data!AP93+Data!AP94+Data!AP95+Data!AP96+Data!AP97)</f>
        <v>0.101755123548286</v>
      </c>
      <c r="E97" s="18" t="n">
        <f aca="false">(Data!D86+Data!D87+Data!D88+Data!D89+Data!D90+Data!D91+Data!D92+Data!D93+Data!D94+Data!D95+Data!D96+Data!D97)/(Data!AP86+Data!AP87+Data!AP88+Data!AP89+Data!AP90+Data!AP91+Data!AP92+Data!AP93+Data!AP94+Data!AP95+Data!AP96+Data!AP97)</f>
        <v>0.033607367200253</v>
      </c>
      <c r="F97" s="18" t="n">
        <f aca="false">(Data!E86+Data!E87+Data!E88+Data!E89+Data!E90+Data!E91+Data!E92+Data!E93+Data!E94+Data!E95+Data!E96+Data!E97)/(Data!AP86+Data!AP87+Data!AP88+Data!AP89+Data!AP90+Data!AP91+Data!AP92+Data!AP93+Data!AP94+Data!AP95+Data!AP96+Data!AP97)</f>
        <v>0.0189028515218831</v>
      </c>
      <c r="G97" s="18" t="n">
        <f aca="false">(Data!K86+Data!K87+Data!K88+Data!K89+Data!K90+Data!K91+Data!K92+Data!K93+Data!K94+Data!K95+Data!K96+Data!K97)/(Data!AP86+Data!AP87+Data!AP88+Data!AP89+Data!AP90+Data!AP91+Data!AP92+Data!AP93+Data!AP94+Data!AP95+Data!AP96+Data!AP97)</f>
        <v>0.011491628886879</v>
      </c>
      <c r="H97" s="18" t="n">
        <f aca="false">(Data!L86+Data!L87+Data!L88+Data!L89+Data!L90+Data!L91+Data!L92+Data!L93+Data!L94+Data!L95+Data!L96+Data!L97)/(Data!AP86+Data!AP87+Data!AP88+Data!AP89+Data!AP90+Data!AP91+Data!AP92+Data!AP93+Data!AP94+Data!AP95+Data!AP96+Data!AP97)</f>
        <v>0.00569108776684605</v>
      </c>
      <c r="I97" s="18" t="n">
        <f aca="false">(Data!G86+Data!G87+Data!G88+Data!G89+Data!G90+Data!G91+Data!G92+Data!G93+Data!G94+Data!G95+Data!G96+Data!G97)/(Data!AP86+Data!AP87+Data!AP88+Data!AP89+Data!AP90+Data!AP91+Data!AP92+Data!AP93+Data!AP94+Data!AP95+Data!AP96+Data!AP97)</f>
        <v>0.0159597367158428</v>
      </c>
      <c r="J97" s="18" t="n">
        <f aca="false">(Data!H86+Data!I86+Data!J86+Data!M86+Data!H87+Data!I87+Data!J87+Data!M87+Data!H88+Data!I88+Data!J88+Data!M88+Data!H89+Data!I89+Data!J89+Data!M89+Data!H90+Data!I90+Data!J90+Data!M90+Data!H91+Data!I91+Data!J91+Data!M91+Data!H92+Data!I92+Data!J92+Data!M92+Data!H93+Data!I93+Data!J93+Data!M93+Data!H94+Data!I94+Data!J94+Data!M94+Data!H95+Data!I95+Data!J95+Data!M95+Data!H96+Data!I96+Data!J96+Data!M96+Data!H97+Data!I97+Data!J97+Data!M97)/(Data!AP86+Data!AP87+Data!AP88+Data!AP89+Data!AP90+Data!AP91+Data!AP92+Data!AP93+Data!AP94+Data!AP95+Data!AP96+Data!AP97)</f>
        <v>0.0161024514565822</v>
      </c>
      <c r="K97" s="18" t="n">
        <f aca="false">(Data!F86+Data!F87+Data!F88+Data!F89+Data!F90+Data!F91+Data!F92+Data!F93+Data!F94+Data!F95+Data!F96+Data!F97)/(Data!AP86+Data!AP87+Data!AP88+Data!AP89+Data!AP90+Data!AP91+Data!AP92+Data!AP93+Data!AP94+Data!AP95+Data!AP96+Data!AP97)</f>
        <v>0.0534399286579721</v>
      </c>
      <c r="L97" s="18" t="n">
        <f aca="false">(Data!N86+Data!O86+Data!P86+Data!Q86+Data!R86+Data!S86+Data!N87+Data!O87+Data!P87+Data!Q87+Data!R87+Data!S87+Data!N88+Data!O88+Data!P88+Data!Q88+Data!R88+Data!S88+Data!N89+Data!O89+Data!P89+Data!Q89+Data!R89+Data!S89+Data!N90+Data!O90+Data!P90+Data!Q90+Data!R90+Data!S90+Data!N91+Data!O91+Data!P91+Data!Q91+Data!R91+Data!S91+Data!N92+Data!O92+Data!P92+Data!Q92+Data!R92+Data!S92+Data!N93+Data!O93+Data!P93+Data!Q93+Data!R93+Data!S93+Data!N94+Data!O94+Data!P94+Data!Q94+Data!R94+Data!S94+Data!N95+Data!O95+Data!P95+Data!Q95+Data!R95+Data!S95+Data!N96+Data!O96+Data!P96+Data!Q96+Data!R96+Data!S96+Data!N97+Data!O97+Data!P97+Data!Q97+Data!R97+Data!S97)/(Data!AP86+Data!AP87+Data!AP88+Data!AP89+Data!AP90+Data!AP91+Data!AP92+Data!AP93+Data!AP94+Data!AP95+Data!AP96+Data!AP97)</f>
        <v>0.017598295637276</v>
      </c>
      <c r="M97" s="17" t="n">
        <f aca="false">(Data!T86+Data!U86+Data!V86+Data!W86+Data!X86+Data!Y86+Data!Z86+Data!AA86+Data!AB86+Data!AC86+Data!AD86+Data!AE86+Data!AF86+Data!AG86+Data!AH86+Data!AI86+Data!AJ86+Data!AK86+Data!AL86+Data!T87+Data!U87+Data!V87+Data!W87+Data!X87+Data!Y87+Data!Z87+Data!AA87+Data!AB87+Data!AC87+Data!AD87+Data!AE87+Data!AF87+Data!AG87+Data!AH87+Data!AI87+Data!AJ87+Data!AK87+Data!AL87+Data!T88+Data!U88+Data!V88+Data!W88+Data!X88+Data!Y88+Data!Z88+Data!AA88+Data!AB88+Data!AC88+Data!AD88+Data!AE88+Data!AF88+Data!AG88+Data!AH88+Data!AI88+Data!AJ88+Data!AK88+Data!AL88+Data!T89+Data!U89+Data!V89+Data!W89+Data!X89+Data!Y89+Data!Z89+Data!AA89+Data!AB89+Data!AC89+Data!AD89+Data!AE89+Data!AF89+Data!AG89+Data!AH89+Data!AI89+Data!AJ89+Data!AK89+Data!AL89+Data!T90+Data!U90+Data!V90+Data!W90+Data!X90+Data!Y90+Data!Z90+Data!AA90+Data!AB90+Data!AC90+Data!AD90+Data!AE90+Data!AF90+Data!AG90+Data!AH90+Data!AI90+Data!AJ90+Data!AK90+Data!AL90+Data!T91+Data!U91+Data!V91+Data!W91+Data!X91+Data!Y91+Data!Z91+Data!AA91+Data!AB91+Data!AC91+Data!AD91+Data!AE91+Data!AF91+Data!AG91+Data!AH91+Data!AI91+Data!AJ91+Data!AK91+Data!AL91+Data!T92+Data!U92+Data!V92+Data!W92+Data!X92+Data!Y92+Data!Z92+Data!AA92+Data!AB92+Data!AC92+Data!AD92+Data!AE92+Data!AF92+Data!AG92+Data!AH92+Data!AI92+Data!AJ92+Data!AK92+Data!AL92+Data!T93+Data!U93+Data!V93+Data!W93+Data!X93+Data!Y93+Data!Z93+Data!AA93+Data!AB93+Data!AC93+Data!AD93+Data!AE93+Data!AF93+Data!AG93+Data!AH93+Data!AI93+Data!AJ93+Data!AK93+Data!AL93+Data!T94+Data!U94+Data!V94+Data!W94+Data!X94+Data!Y94+Data!Z94+Data!AA94+Data!AB94+Data!AC94+Data!AD94+Data!AE94+Data!AF94+Data!AG94+Data!AH94+Data!AI94+Data!AJ94+Data!AK94+Data!AL94+Data!T95+Data!U95+Data!V95+Data!W95+Data!X95+Data!Y95+Data!Z95+Data!AA95+Data!AB95+Data!AC95+Data!AD95+Data!AE95+Data!AF95+Data!AG95+Data!AH95+Data!AI95+Data!AJ95+Data!AK95+Data!AL95+Data!T96+Data!U96+Data!V96+Data!W96+Data!X96+Data!Y96+Data!Z96+Data!AA96+Data!AB96+Data!AC96+Data!AD96+Data!AE96+Data!AF96+Data!AG96+Data!AH96+Data!AI96+Data!AJ96+Data!AK96+Data!AL96+Data!T97+Data!U97+Data!V97+Data!W97+Data!X97+Data!Y97+Data!Z97+Data!AA97+Data!AB97+Data!AC97+Data!AD97+Data!AE97+Data!AF97+Data!AG97+Data!AH97+Data!AI97+Data!AJ97+Data!AK97+Data!AL97)/(Data!AP86+Data!AP87+Data!AP88+Data!AP89+Data!AP90+Data!AP91+Data!AP92+Data!AP93+Data!AP94+Data!AP95+Data!AP96+Data!AP97)</f>
        <v>0.197255834800948</v>
      </c>
      <c r="N97" s="18" t="n">
        <f aca="false">(Data!T86+Data!U86+Data!V86+Data!W86+Data!T87+Data!U87+Data!V87+Data!W87+Data!T88+Data!U88+Data!V88+Data!W88+Data!T89+Data!U89+Data!V89+Data!W89+Data!T90+Data!U90+Data!V90+Data!W90+Data!T91+Data!U91+Data!V91+Data!W91+Data!T92+Data!U92+Data!V92+Data!W92+Data!T93+Data!U93+Data!V93+Data!W93+Data!T94+Data!U94+Data!V94+Data!W94+Data!T95+Data!U95+Data!V95+Data!W95+Data!T96+Data!U96+Data!V96+Data!W96+Data!T97+Data!U97+Data!V97+Data!W97)/(Data!AP86+Data!AP87+Data!AP88+Data!AP89+Data!AP90+Data!AP91+Data!AP92+Data!AP93+Data!AP94+Data!AP95+Data!AP96+Data!AP97)</f>
        <v>0.0898160669967123</v>
      </c>
      <c r="O97" s="18" t="n">
        <f aca="false">(Data!T86+Data!T87+Data!T88+Data!T89+Data!T90+Data!T91+Data!T92+Data!T93+Data!T94+Data!T95+Data!T96+Data!T97)/(Data!AP86+Data!AP87+Data!AP88+Data!AP89+Data!AP90+Data!AP91+Data!AP92+Data!AP93+Data!AP94+Data!AP95+Data!AP96+Data!AP97)</f>
        <v>0.0657234972123778</v>
      </c>
      <c r="P97" s="18" t="n">
        <f aca="false">(Data!U86+Data!U87+Data!U88+Data!U89+Data!U90+Data!U91+Data!U92+Data!U93+Data!U94+Data!U95+Data!U96+Data!U97)/(Data!AP86+Data!AP87+Data!AP88+Data!AP89+Data!AP90+Data!AP91+Data!AP92+Data!AP93+Data!AP94+Data!AP95+Data!AP96+Data!AP97)</f>
        <v>0.00978003304412381</v>
      </c>
      <c r="Q97" s="18" t="n">
        <f aca="false">(Data!V86+Data!V87+Data!V88+Data!V89+Data!V90+Data!V91+Data!V92+Data!V93+Data!V94+Data!V95+Data!V96+Data!V97)/(Data!AP86+Data!AP87+Data!AP88+Data!AP89+Data!AP90+Data!AP91+Data!AP92+Data!AP93+Data!AP94+Data!AP95+Data!AP96+Data!AP97)</f>
        <v>0.00640283280058065</v>
      </c>
      <c r="R97" s="18" t="n">
        <f aca="false">(Data!W86+Data!W87+Data!W88+Data!W89+Data!W90+Data!W91+Data!W92+Data!W93+Data!W94+Data!W95+Data!W96+Data!W97)/(Data!AP86+Data!AP87+Data!AP88+Data!AP89+Data!AP90+Data!AP91+Data!AP92+Data!AP93+Data!AP94+Data!AP95+Data!AP96+Data!AP97)</f>
        <v>0.00790970393963007</v>
      </c>
      <c r="S97" s="18" t="n">
        <f aca="false">(Data!X86+Data!X87+Data!X88+Data!X89+Data!X90+Data!X91+Data!X92+Data!X93+Data!X94+Data!X95+Data!X96+Data!X97)/(Data!AP86+Data!AP87+Data!AP88+Data!AP89+Data!AP90+Data!AP91+Data!AP92+Data!AP93+Data!AP94+Data!AP95+Data!AP96+Data!AP97)</f>
        <v>0.0186328048435197</v>
      </c>
      <c r="T97" s="18" t="n">
        <f aca="false">(Data!Y86+Data!Z86+Data!AA86+Data!Y87+Data!Z87+Data!AA87+Data!Y88+Data!Z88+Data!AA88+Data!Y89+Data!Z89+Data!AA89+Data!Y90+Data!Z90+Data!AA90+Data!Y91+Data!Z91+Data!AA91+Data!Y92+Data!Z92+Data!AA92+Data!Y93+Data!Z93+Data!AA93+Data!Y94+Data!Z94+Data!AA94+Data!Y95+Data!Z95+Data!AA95+Data!Y96+Data!Z96+Data!AA96+Data!Y97+Data!Z97+Data!AA97)/(Data!AP86+Data!AP87+Data!AP88+Data!AP89+Data!AP90+Data!AP91+Data!AP92+Data!AP93+Data!AP94+Data!AP95+Data!AP96+Data!AP97)</f>
        <v>0.0234528413839603</v>
      </c>
      <c r="U97" s="18" t="n">
        <f aca="false">(Data!Y86+Data!Y87+Data!Y88+Data!Y89+Data!Y90+Data!Y91+Data!Y92+Data!Y93+Data!Y94+Data!Y95+Data!Y96+Data!Y97)/(Data!AP86+Data!AP87+Data!AP88+Data!AP89+Data!AP90+Data!AP91+Data!AP92+Data!AP93+Data!AP94+Data!AP95+Data!AP96+Data!AP97)</f>
        <v>0.0179508757633745</v>
      </c>
      <c r="V97" s="18" t="n">
        <f aca="false">(Data!Z86+Data!Z87+Data!Z88+Data!Z89+Data!Z90+Data!Z91+Data!Z92+Data!Z93+Data!Z94+Data!Z95+Data!Z96+Data!Z97)/(Data!AP86+Data!AP87+Data!AP88+Data!AP89+Data!AP90+Data!AP91+Data!AP92+Data!AP93+Data!AP94+Data!AP95+Data!AP96+Data!AP97)</f>
        <v>0.00509113490024143</v>
      </c>
      <c r="W97" s="18" t="n">
        <f aca="false">(Data!AB86+Data!AB87+Data!AB88+Data!AB89+Data!AB90+Data!AB91+Data!AB92+Data!AB93+Data!AB94+Data!AB95+Data!AB96+Data!AB97)/(Data!AP86+Data!AP87+Data!AP88+Data!AP89+Data!AP90+Data!AP91+Data!AP92+Data!AP93+Data!AP94+Data!AP95+Data!AP96+Data!AP97)</f>
        <v>0.0249924245247366</v>
      </c>
      <c r="X97" s="18" t="n">
        <f aca="false">(Data!AC86+Data!AC87+Data!AC88+Data!AC89+Data!AC90+Data!AC91+Data!AC92+Data!AC93+Data!AC94+Data!AC95+Data!AC96+Data!AC97)/(Data!AP86+Data!AP87+Data!AP88+Data!AP89+Data!AP90+Data!AP91+Data!AP92+Data!AP93+Data!AP94+Data!AP95+Data!AP96+Data!AP97)</f>
        <v>0.00672204166196159</v>
      </c>
      <c r="Y97" s="18" t="n">
        <f aca="false">(Data!AD86+Data!AE86+Data!AF86+Data!AG86+Data!AH86+Data!AD87+Data!AE87+Data!AF87+Data!AG87+Data!AH87+Data!AD88+Data!AE88+Data!AF88+Data!AG88+Data!AH88+Data!AD89+Data!AE89+Data!AF89+Data!AG89+Data!AH89+Data!AD90+Data!AE90+Data!AF90+Data!AG90+Data!AH90+Data!AD91+Data!AE91+Data!AF91+Data!AG91+Data!AH91+Data!AD92+Data!AE92+Data!AF92+Data!AG92+Data!AH92+Data!AD93+Data!AE93+Data!AF93+Data!AG93+Data!AH93+Data!AD94+Data!AE94+Data!AF94+Data!AG94+Data!AH94+Data!AD95+Data!AE95+Data!AF95+Data!AG95+Data!AH95+Data!AD96+Data!AE96+Data!AF96+Data!AG96+Data!AH96+Data!AD97+Data!AE97+Data!AF97+Data!AG97+Data!AH97)/(Data!AP86+Data!AP87+Data!AP88+Data!AP89+Data!AP90+Data!AP91+Data!AP92+Data!AP93+Data!AP94+Data!AP95+Data!AP96+Data!AP97)</f>
        <v>0.00593378287946611</v>
      </c>
      <c r="Z97" s="18" t="n">
        <f aca="false">(Data!AI86+Data!AI87+Data!AI88+Data!AI89+Data!AI90+Data!AI91+Data!AI92+Data!AI93+Data!AI94+Data!AI95+Data!AI96+Data!AI97)/(Data!AP86+Data!AP87+Data!AP88+Data!AP89+Data!AP90+Data!AP91+Data!AP92+Data!AP93+Data!AP94+Data!AP95+Data!AP96+Data!AP97)</f>
        <v>0.00644883209091684</v>
      </c>
      <c r="AA97" s="18" t="n">
        <f aca="false">(Data!AJ86+Data!AJ87+Data!AJ88+Data!AJ89+Data!AJ90+Data!AJ91+Data!AJ92+Data!AJ93+Data!AJ94+Data!AJ95+Data!AJ96+Data!AJ97)/(Data!AP86+Data!AP87+Data!AP88+Data!AP89+Data!AP90+Data!AP91+Data!AP92+Data!AP93+Data!AP94+Data!AP95+Data!AP96+Data!AP97)</f>
        <v>0</v>
      </c>
      <c r="AB97" s="18" t="n">
        <f aca="false">(Data!AK86+Data!AK87+Data!AK88+Data!AK89+Data!AK90+Data!AK91+Data!AK92+Data!AK93+Data!AK94+Data!AK95+Data!AK96+Data!AK97)/(Data!AP86+Data!AP87+Data!AP88+Data!AP89+Data!AP90+Data!AP91+Data!AP92+Data!AP93+Data!AP94+Data!AP95+Data!AP96+Data!AP97)</f>
        <v>0.00379595781651331</v>
      </c>
      <c r="AC97" s="18" t="n">
        <f aca="false">(Data!AL86+Data!AL87+Data!AL88+Data!AL89+Data!AL90+Data!AL91+Data!AL92+Data!AL93+Data!AL94+Data!AL95+Data!AL96+Data!AL97)/(Data!AP86+Data!AP87+Data!AP88+Data!AP89+Data!AP90+Data!AP91+Data!AP92+Data!AP93+Data!AP94+Data!AP95+Data!AP96+Data!AP97)</f>
        <v>0.017461082603161</v>
      </c>
      <c r="AD97" s="17" t="n">
        <f aca="false">(Data!AM86+Data!AM87+Data!AM88+Data!AM89+Data!AM90+Data!AM91+Data!AM92+Data!AM93+Data!AM94+Data!AM95+Data!AM96+Data!AM97)/(Data!AP86+Data!AP87+Data!AP88+Data!AP89+Data!AP90+Data!AP91+Data!AP92+Data!AP93+Data!AP94+Data!AP95+Data!AP96+Data!AP97)</f>
        <v>-0.0244624869574135</v>
      </c>
      <c r="AE97" s="18" t="n">
        <f aca="false">(Data!AN86+Data!AN87+Data!AN88+Data!AN89+Data!AN90+Data!AN91+Data!AN92+Data!AN93+Data!AN94+Data!AN95+Data!AN96+Data!AN97)/(Data!AP86+Data!AP87+Data!AP88+Data!AP89+Data!AP90+Data!AP91+Data!AP92+Data!AP93+Data!AP94+Data!AP95+Data!AP96+Data!AP97)</f>
        <v>0.0201872841885373</v>
      </c>
      <c r="AF97" s="17" t="n">
        <f aca="false">(Data!AO86+Data!AO87+Data!AO88+Data!AO89+Data!AO90+Data!AO91+Data!AO92+Data!AO93+Data!AO94+Data!AO95+Data!AO96+Data!AO97)/(Data!AP86+Data!AP87+Data!AP88+Data!AP89+Data!AP90+Data!AP91+Data!AP92+Data!AP93+Data!AP94+Data!AP95+Data!AP96+Data!AP97)</f>
        <v>-0.0446497632975819</v>
      </c>
    </row>
    <row r="98" customFormat="false" ht="15" hidden="false" customHeight="false" outlineLevel="0" collapsed="false">
      <c r="B98" s="14" t="str">
        <f aca="false">Data!B98</f>
        <v>2023-08</v>
      </c>
      <c r="C98" s="17" t="n">
        <f aca="false">(Data!D87+Data!E87+Data!F87+Data!G87+Data!H87+Data!I87+Data!J87+Data!K87+Data!L87+Data!M87+Data!N87+Data!O87+Data!P87+Data!Q87+Data!R87+Data!S87+Data!D88+Data!E88+Data!F88+Data!G88+Data!H88+Data!I88+Data!J88+Data!K88+Data!L88+Data!M88+Data!N88+Data!O88+Data!P88+Data!Q88+Data!R88+Data!S88+Data!D89+Data!E89+Data!F89+Data!G89+Data!H89+Data!I89+Data!J89+Data!K89+Data!L89+Data!M89+Data!N89+Data!O89+Data!P89+Data!Q89+Data!R89+Data!S89+Data!D90+Data!E90+Data!F90+Data!G90+Data!H90+Data!I90+Data!J90+Data!K90+Data!L90+Data!M90+Data!N90+Data!O90+Data!P90+Data!Q90+Data!R90+Data!S90+Data!D91+Data!E91+Data!F91+Data!G91+Data!H91+Data!I91+Data!J91+Data!K91+Data!L91+Data!M91+Data!N91+Data!O91+Data!P91+Data!Q91+Data!R91+Data!S91+Data!D92+Data!E92+Data!F92+Data!G92+Data!H92+Data!I92+Data!J92+Data!K92+Data!L92+Data!M92+Data!N92+Data!O92+Data!P92+Data!Q92+Data!R92+Data!S92+Data!D93+Data!E93+Data!F93+Data!G93+Data!H93+Data!I93+Data!J93+Data!K93+Data!L93+Data!M93+Data!N93+Data!O93+Data!P93+Data!Q93+Data!R93+Data!S93+Data!D94+Data!E94+Data!F94+Data!G94+Data!H94+Data!I94+Data!J94+Data!K94+Data!L94+Data!M94+Data!N94+Data!O94+Data!P94+Data!Q94+Data!R94+Data!S94+Data!D95+Data!E95+Data!F95+Data!G95+Data!H95+Data!I95+Data!J95+Data!K95+Data!L95+Data!M95+Data!N95+Data!O95+Data!P95+Data!Q95+Data!R95+Data!S95+Data!D96+Data!E96+Data!F96+Data!G96+Data!H96+Data!I96+Data!J96+Data!K96+Data!L96+Data!M96+Data!N96+Data!O96+Data!P96+Data!Q96+Data!R96+Data!S96+Data!D97+Data!E97+Data!F97+Data!G97+Data!H97+Data!I97+Data!J97+Data!K97+Data!L97+Data!M97+Data!N97+Data!O97+Data!P97+Data!Q97+Data!R97+Data!S97+Data!D98+Data!E98+Data!F98+Data!G98+Data!H98+Data!I98+Data!J98+Data!K98+Data!L98+Data!M98+Data!N98+Data!O98+Data!P98+Data!Q98+Data!R98+Data!S98)/(Data!AP87+Data!AP88+Data!AP89+Data!AP90+Data!AP91+Data!AP92+Data!AP93+Data!AP94+Data!AP95+Data!AP96+Data!AP97+Data!AP98)</f>
        <v>0.172931047991711</v>
      </c>
      <c r="D98" s="18" t="n">
        <f aca="false">(Data!D87+Data!E87+Data!G87+Data!H87+Data!I87+Data!J87+Data!K87+Data!L87+Data!M87+Data!D88+Data!E88+Data!G88+Data!H88+Data!I88+Data!J88+Data!K88+Data!L88+Data!M88+Data!D89+Data!E89+Data!G89+Data!H89+Data!I89+Data!J89+Data!K89+Data!L89+Data!M89+Data!D90+Data!E90+Data!G90+Data!H90+Data!I90+Data!J90+Data!K90+Data!L90+Data!M90+Data!D91+Data!E91+Data!G91+Data!H91+Data!I91+Data!J91+Data!K91+Data!L91+Data!M91+Data!D92+Data!E92+Data!G92+Data!H92+Data!I92+Data!J92+Data!K92+Data!L92+Data!M92+Data!D93+Data!E93+Data!G93+Data!H93+Data!I93+Data!J93+Data!K93+Data!L93+Data!M93+Data!D94+Data!E94+Data!G94+Data!H94+Data!I94+Data!J94+Data!K94+Data!L94+Data!M94+Data!D95+Data!E95+Data!G95+Data!H95+Data!I95+Data!J95+Data!K95+Data!L95+Data!M95+Data!D96+Data!E96+Data!G96+Data!H96+Data!I96+Data!J96+Data!K96+Data!L96+Data!M96+Data!D97+Data!E97+Data!G97+Data!H97+Data!I97+Data!J97+Data!K97+Data!L97+Data!M97+Data!D98+Data!E98+Data!G98+Data!H98+Data!I98+Data!J98+Data!K98+Data!L98+Data!M98)/(Data!AP87+Data!AP88+Data!AP89+Data!AP90+Data!AP91+Data!AP92+Data!AP93+Data!AP94+Data!AP95+Data!AP96+Data!AP97+Data!AP98)</f>
        <v>0.102398961700946</v>
      </c>
      <c r="E98" s="18" t="n">
        <f aca="false">(Data!D87+Data!D88+Data!D89+Data!D90+Data!D91+Data!D92+Data!D93+Data!D94+Data!D95+Data!D96+Data!D97+Data!D98)/(Data!AP87+Data!AP88+Data!AP89+Data!AP90+Data!AP91+Data!AP92+Data!AP93+Data!AP94+Data!AP95+Data!AP96+Data!AP97+Data!AP98)</f>
        <v>0.0339977482563005</v>
      </c>
      <c r="F98" s="18" t="n">
        <f aca="false">(Data!E87+Data!E88+Data!E89+Data!E90+Data!E91+Data!E92+Data!E93+Data!E94+Data!E95+Data!E96+Data!E97+Data!E98)/(Data!AP87+Data!AP88+Data!AP89+Data!AP90+Data!AP91+Data!AP92+Data!AP93+Data!AP94+Data!AP95+Data!AP96+Data!AP97+Data!AP98)</f>
        <v>0.0187540788346657</v>
      </c>
      <c r="G98" s="18" t="n">
        <f aca="false">(Data!K87+Data!K88+Data!K89+Data!K90+Data!K91+Data!K92+Data!K93+Data!K94+Data!K95+Data!K96+Data!K97+Data!K98)/(Data!AP87+Data!AP88+Data!AP89+Data!AP90+Data!AP91+Data!AP92+Data!AP93+Data!AP94+Data!AP95+Data!AP96+Data!AP97+Data!AP98)</f>
        <v>0.0108202877225773</v>
      </c>
      <c r="H98" s="18" t="n">
        <f aca="false">(Data!L87+Data!L88+Data!L89+Data!L90+Data!L91+Data!L92+Data!L93+Data!L94+Data!L95+Data!L96+Data!L97+Data!L98)/(Data!AP87+Data!AP88+Data!AP89+Data!AP90+Data!AP91+Data!AP92+Data!AP93+Data!AP94+Data!AP95+Data!AP96+Data!AP97+Data!AP98)</f>
        <v>0.00576261299374409</v>
      </c>
      <c r="I98" s="18" t="n">
        <f aca="false">(Data!G87+Data!G88+Data!G89+Data!G90+Data!G91+Data!G92+Data!G93+Data!G94+Data!G95+Data!G96+Data!G97+Data!G98)/(Data!AP87+Data!AP88+Data!AP89+Data!AP90+Data!AP91+Data!AP92+Data!AP93+Data!AP94+Data!AP95+Data!AP96+Data!AP97+Data!AP98)</f>
        <v>0.0159532664140559</v>
      </c>
      <c r="J98" s="18" t="n">
        <f aca="false">(Data!H87+Data!I87+Data!J87+Data!M87+Data!H88+Data!I88+Data!J88+Data!M88+Data!H89+Data!I89+Data!J89+Data!M89+Data!H90+Data!I90+Data!J90+Data!M90+Data!H91+Data!I91+Data!J91+Data!M91+Data!H92+Data!I92+Data!J92+Data!M92+Data!H93+Data!I93+Data!J93+Data!M93+Data!H94+Data!I94+Data!J94+Data!M94+Data!H95+Data!I95+Data!J95+Data!M95+Data!H96+Data!I96+Data!J96+Data!M96+Data!H97+Data!I97+Data!J97+Data!M97+Data!H98+Data!I98+Data!J98+Data!M98)/(Data!AP87+Data!AP88+Data!AP89+Data!AP90+Data!AP91+Data!AP92+Data!AP93+Data!AP94+Data!AP95+Data!AP96+Data!AP97+Data!AP98)</f>
        <v>0.0171109674796028</v>
      </c>
      <c r="K98" s="18" t="n">
        <f aca="false">(Data!F87+Data!F88+Data!F89+Data!F90+Data!F91+Data!F92+Data!F93+Data!F94+Data!F95+Data!F96+Data!F97+Data!F98)/(Data!AP87+Data!AP88+Data!AP89+Data!AP90+Data!AP91+Data!AP92+Data!AP93+Data!AP94+Data!AP95+Data!AP96+Data!AP97+Data!AP98)</f>
        <v>0.0531005182865814</v>
      </c>
      <c r="L98" s="18" t="n">
        <f aca="false">(Data!N87+Data!O87+Data!P87+Data!Q87+Data!R87+Data!S87+Data!N88+Data!O88+Data!P88+Data!Q88+Data!R88+Data!S88+Data!N89+Data!O89+Data!P89+Data!Q89+Data!R89+Data!S89+Data!N90+Data!O90+Data!P90+Data!Q90+Data!R90+Data!S90+Data!N91+Data!O91+Data!P91+Data!Q91+Data!R91+Data!S91+Data!N92+Data!O92+Data!P92+Data!Q92+Data!R92+Data!S92+Data!N93+Data!O93+Data!P93+Data!Q93+Data!R93+Data!S93+Data!N94+Data!O94+Data!P94+Data!Q94+Data!R94+Data!S94+Data!N95+Data!O95+Data!P95+Data!Q95+Data!R95+Data!S95+Data!N96+Data!O96+Data!P96+Data!Q96+Data!R96+Data!S96+Data!N97+Data!O97+Data!P97+Data!Q97+Data!R97+Data!S97+Data!N98+Data!O98+Data!P98+Data!Q98+Data!R98+Data!S98)/(Data!AP87+Data!AP88+Data!AP89+Data!AP90+Data!AP91+Data!AP92+Data!AP93+Data!AP94+Data!AP95+Data!AP96+Data!AP97+Data!AP98)</f>
        <v>0.0174315680041837</v>
      </c>
      <c r="M98" s="17" t="n">
        <f aca="false">(Data!T87+Data!U87+Data!V87+Data!W87+Data!X87+Data!Y87+Data!Z87+Data!AA87+Data!AB87+Data!AC87+Data!AD87+Data!AE87+Data!AF87+Data!AG87+Data!AH87+Data!AI87+Data!AJ87+Data!AK87+Data!AL87+Data!T88+Data!U88+Data!V88+Data!W88+Data!X88+Data!Y88+Data!Z88+Data!AA88+Data!AB88+Data!AC88+Data!AD88+Data!AE88+Data!AF88+Data!AG88+Data!AH88+Data!AI88+Data!AJ88+Data!AK88+Data!AL88+Data!T89+Data!U89+Data!V89+Data!W89+Data!X89+Data!Y89+Data!Z89+Data!AA89+Data!AB89+Data!AC89+Data!AD89+Data!AE89+Data!AF89+Data!AG89+Data!AH89+Data!AI89+Data!AJ89+Data!AK89+Data!AL89+Data!T90+Data!U90+Data!V90+Data!W90+Data!X90+Data!Y90+Data!Z90+Data!AA90+Data!AB90+Data!AC90+Data!AD90+Data!AE90+Data!AF90+Data!AG90+Data!AH90+Data!AI90+Data!AJ90+Data!AK90+Data!AL90+Data!T91+Data!U91+Data!V91+Data!W91+Data!X91+Data!Y91+Data!Z91+Data!AA91+Data!AB91+Data!AC91+Data!AD91+Data!AE91+Data!AF91+Data!AG91+Data!AH91+Data!AI91+Data!AJ91+Data!AK91+Data!AL91+Data!T92+Data!U92+Data!V92+Data!W92+Data!X92+Data!Y92+Data!Z92+Data!AA92+Data!AB92+Data!AC92+Data!AD92+Data!AE92+Data!AF92+Data!AG92+Data!AH92+Data!AI92+Data!AJ92+Data!AK92+Data!AL92+Data!T93+Data!U93+Data!V93+Data!W93+Data!X93+Data!Y93+Data!Z93+Data!AA93+Data!AB93+Data!AC93+Data!AD93+Data!AE93+Data!AF93+Data!AG93+Data!AH93+Data!AI93+Data!AJ93+Data!AK93+Data!AL93+Data!T94+Data!U94+Data!V94+Data!W94+Data!X94+Data!Y94+Data!Z94+Data!AA94+Data!AB94+Data!AC94+Data!AD94+Data!AE94+Data!AF94+Data!AG94+Data!AH94+Data!AI94+Data!AJ94+Data!AK94+Data!AL94+Data!T95+Data!U95+Data!V95+Data!W95+Data!X95+Data!Y95+Data!Z95+Data!AA95+Data!AB95+Data!AC95+Data!AD95+Data!AE95+Data!AF95+Data!AG95+Data!AH95+Data!AI95+Data!AJ95+Data!AK95+Data!AL95+Data!T96+Data!U96+Data!V96+Data!W96+Data!X96+Data!Y96+Data!Z96+Data!AA96+Data!AB96+Data!AC96+Data!AD96+Data!AE96+Data!AF96+Data!AG96+Data!AH96+Data!AI96+Data!AJ96+Data!AK96+Data!AL96+Data!T97+Data!U97+Data!V97+Data!W97+Data!X97+Data!Y97+Data!Z97+Data!AA97+Data!AB97+Data!AC97+Data!AD97+Data!AE97+Data!AF97+Data!AG97+Data!AH97+Data!AI97+Data!AJ97+Data!AK97+Data!AL97+Data!T98+Data!U98+Data!V98+Data!W98+Data!X98+Data!Y98+Data!Z98+Data!AA98+Data!AB98+Data!AC98+Data!AD98+Data!AE98+Data!AF98+Data!AG98+Data!AH98+Data!AI98+Data!AJ98+Data!AK98+Data!AL98)/(Data!AP87+Data!AP88+Data!AP89+Data!AP90+Data!AP91+Data!AP92+Data!AP93+Data!AP94+Data!AP95+Data!AP96+Data!AP97+Data!AP98)</f>
        <v>0.194359738686293</v>
      </c>
      <c r="N98" s="18" t="n">
        <f aca="false">(Data!T87+Data!U87+Data!V87+Data!W87+Data!T88+Data!U88+Data!V88+Data!W88+Data!T89+Data!U89+Data!V89+Data!W89+Data!T90+Data!U90+Data!V90+Data!W90+Data!T91+Data!U91+Data!V91+Data!W91+Data!T92+Data!U92+Data!V92+Data!W92+Data!T93+Data!U93+Data!V93+Data!W93+Data!T94+Data!U94+Data!V94+Data!W94+Data!T95+Data!U95+Data!V95+Data!W95+Data!T96+Data!U96+Data!V96+Data!W96+Data!T97+Data!U97+Data!V97+Data!W97+Data!T98+Data!U98+Data!V98+Data!W98)/(Data!AP87+Data!AP88+Data!AP89+Data!AP90+Data!AP91+Data!AP92+Data!AP93+Data!AP94+Data!AP95+Data!AP96+Data!AP97+Data!AP98)</f>
        <v>0.0882198042361309</v>
      </c>
      <c r="O98" s="18" t="n">
        <f aca="false">(Data!T87+Data!T88+Data!T89+Data!T90+Data!T91+Data!T92+Data!T93+Data!T94+Data!T95+Data!T96+Data!T97+Data!T98)/(Data!AP87+Data!AP88+Data!AP89+Data!AP90+Data!AP91+Data!AP92+Data!AP93+Data!AP94+Data!AP95+Data!AP96+Data!AP97+Data!AP98)</f>
        <v>0.0646441680855201</v>
      </c>
      <c r="P98" s="18" t="n">
        <f aca="false">(Data!U87+Data!U88+Data!U89+Data!U90+Data!U91+Data!U92+Data!U93+Data!U94+Data!U95+Data!U96+Data!U97+Data!U98)/(Data!AP87+Data!AP88+Data!AP89+Data!AP90+Data!AP91+Data!AP92+Data!AP93+Data!AP94+Data!AP95+Data!AP96+Data!AP97+Data!AP98)</f>
        <v>0.00938505024487189</v>
      </c>
      <c r="Q98" s="18" t="n">
        <f aca="false">(Data!V87+Data!V88+Data!V89+Data!V90+Data!V91+Data!V92+Data!V93+Data!V94+Data!V95+Data!V96+Data!V97+Data!V98)/(Data!AP87+Data!AP88+Data!AP89+Data!AP90+Data!AP91+Data!AP92+Data!AP93+Data!AP94+Data!AP95+Data!AP96+Data!AP97+Data!AP98)</f>
        <v>0.00625969921908262</v>
      </c>
      <c r="R98" s="18" t="n">
        <f aca="false">(Data!W87+Data!W88+Data!W89+Data!W90+Data!W91+Data!W92+Data!W93+Data!W94+Data!W95+Data!W96+Data!W97+Data!W98)/(Data!AP87+Data!AP88+Data!AP89+Data!AP90+Data!AP91+Data!AP92+Data!AP93+Data!AP94+Data!AP95+Data!AP96+Data!AP97+Data!AP98)</f>
        <v>0.00793088668665628</v>
      </c>
      <c r="S98" s="18" t="n">
        <f aca="false">(Data!X87+Data!X88+Data!X89+Data!X90+Data!X91+Data!X92+Data!X93+Data!X94+Data!X95+Data!X96+Data!X97+Data!X98)/(Data!AP87+Data!AP88+Data!AP89+Data!AP90+Data!AP91+Data!AP92+Data!AP93+Data!AP94+Data!AP95+Data!AP96+Data!AP97+Data!AP98)</f>
        <v>0.0187223994875964</v>
      </c>
      <c r="T98" s="18" t="n">
        <f aca="false">(Data!Y87+Data!Z87+Data!AA87+Data!Y88+Data!Z88+Data!AA88+Data!Y89+Data!Z89+Data!AA89+Data!Y90+Data!Z90+Data!AA90+Data!Y91+Data!Z91+Data!AA91+Data!Y92+Data!Z92+Data!AA92+Data!Y93+Data!Z93+Data!AA93+Data!Y94+Data!Z94+Data!AA94+Data!Y95+Data!Z95+Data!AA95+Data!Y96+Data!Z96+Data!AA96+Data!Y97+Data!Z97+Data!AA97+Data!Y98+Data!Z98+Data!AA98)/(Data!AP87+Data!AP88+Data!AP89+Data!AP90+Data!AP91+Data!AP92+Data!AP93+Data!AP94+Data!AP95+Data!AP96+Data!AP97+Data!AP98)</f>
        <v>0.0229591336365147</v>
      </c>
      <c r="U98" s="18" t="n">
        <f aca="false">(Data!Y87+Data!Y88+Data!Y89+Data!Y90+Data!Y91+Data!Y92+Data!Y93+Data!Y94+Data!Y95+Data!Y96+Data!Y97+Data!Y98)/(Data!AP87+Data!AP88+Data!AP89+Data!AP90+Data!AP91+Data!AP92+Data!AP93+Data!AP94+Data!AP95+Data!AP96+Data!AP97+Data!AP98)</f>
        <v>0.0176314565314183</v>
      </c>
      <c r="V98" s="18" t="n">
        <f aca="false">(Data!Z87+Data!Z88+Data!Z89+Data!Z90+Data!Z91+Data!Z92+Data!Z93+Data!Z94+Data!Z95+Data!Z96+Data!Z97+Data!Z98)/(Data!AP87+Data!AP88+Data!AP89+Data!AP90+Data!AP91+Data!AP92+Data!AP93+Data!AP94+Data!AP95+Data!AP96+Data!AP97+Data!AP98)</f>
        <v>0.00492230229835318</v>
      </c>
      <c r="W98" s="18" t="n">
        <f aca="false">(Data!AB87+Data!AB88+Data!AB89+Data!AB90+Data!AB91+Data!AB92+Data!AB93+Data!AB94+Data!AB95+Data!AB96+Data!AB97+Data!AB98)/(Data!AP87+Data!AP88+Data!AP89+Data!AP90+Data!AP91+Data!AP92+Data!AP93+Data!AP94+Data!AP95+Data!AP96+Data!AP97+Data!AP98)</f>
        <v>0.0248207247532826</v>
      </c>
      <c r="X98" s="18" t="n">
        <f aca="false">(Data!AC87+Data!AC88+Data!AC89+Data!AC90+Data!AC91+Data!AC92+Data!AC93+Data!AC94+Data!AC95+Data!AC96+Data!AC97+Data!AC98)/(Data!AP87+Data!AP88+Data!AP89+Data!AP90+Data!AP91+Data!AP92+Data!AP93+Data!AP94+Data!AP95+Data!AP96+Data!AP97+Data!AP98)</f>
        <v>0.00682203674661091</v>
      </c>
      <c r="Y98" s="18" t="n">
        <f aca="false">(Data!AD87+Data!AE87+Data!AF87+Data!AG87+Data!AH87+Data!AD88+Data!AE88+Data!AF88+Data!AG88+Data!AH88+Data!AD89+Data!AE89+Data!AF89+Data!AG89+Data!AH89+Data!AD90+Data!AE90+Data!AF90+Data!AG90+Data!AH90+Data!AD91+Data!AE91+Data!AF91+Data!AG91+Data!AH91+Data!AD92+Data!AE92+Data!AF92+Data!AG92+Data!AH92+Data!AD93+Data!AE93+Data!AF93+Data!AG93+Data!AH93+Data!AD94+Data!AE94+Data!AF94+Data!AG94+Data!AH94+Data!AD95+Data!AE95+Data!AF95+Data!AG95+Data!AH95+Data!AD96+Data!AE96+Data!AF96+Data!AG96+Data!AH96+Data!AD97+Data!AE97+Data!AF97+Data!AG97+Data!AH97+Data!AD98+Data!AE98+Data!AF98+Data!AG98+Data!AH98)/(Data!AP87+Data!AP88+Data!AP89+Data!AP90+Data!AP91+Data!AP92+Data!AP93+Data!AP94+Data!AP95+Data!AP96+Data!AP97+Data!AP98)</f>
        <v>0.00597946948008225</v>
      </c>
      <c r="Z98" s="18" t="n">
        <f aca="false">(Data!AI87+Data!AI88+Data!AI89+Data!AI90+Data!AI91+Data!AI92+Data!AI93+Data!AI94+Data!AI95+Data!AI96+Data!AI97+Data!AI98)/(Data!AP87+Data!AP88+Data!AP89+Data!AP90+Data!AP91+Data!AP92+Data!AP93+Data!AP94+Data!AP95+Data!AP96+Data!AP97+Data!AP98)</f>
        <v>0.00637844581576062</v>
      </c>
      <c r="AA98" s="18" t="n">
        <f aca="false">(Data!AJ87+Data!AJ88+Data!AJ89+Data!AJ90+Data!AJ91+Data!AJ92+Data!AJ93+Data!AJ94+Data!AJ95+Data!AJ96+Data!AJ97+Data!AJ98)/(Data!AP87+Data!AP88+Data!AP89+Data!AP90+Data!AP91+Data!AP92+Data!AP93+Data!AP94+Data!AP95+Data!AP96+Data!AP97+Data!AP98)</f>
        <v>0</v>
      </c>
      <c r="AB98" s="18" t="n">
        <f aca="false">(Data!AK87+Data!AK88+Data!AK89+Data!AK90+Data!AK91+Data!AK92+Data!AK93+Data!AK94+Data!AK95+Data!AK96+Data!AK97+Data!AK98)/(Data!AP87+Data!AP88+Data!AP89+Data!AP90+Data!AP91+Data!AP92+Data!AP93+Data!AP94+Data!AP95+Data!AP96+Data!AP97+Data!AP98)</f>
        <v>0.0036262151879681</v>
      </c>
      <c r="AC98" s="18" t="n">
        <f aca="false">(Data!AL87+Data!AL88+Data!AL89+Data!AL90+Data!AL91+Data!AL92+Data!AL93+Data!AL94+Data!AL95+Data!AL96+Data!AL97+Data!AL98)/(Data!AP87+Data!AP88+Data!AP89+Data!AP90+Data!AP91+Data!AP92+Data!AP93+Data!AP94+Data!AP95+Data!AP96+Data!AP97+Data!AP98)</f>
        <v>0.0168315093423463</v>
      </c>
      <c r="AD98" s="17" t="n">
        <f aca="false">(Data!AM87+Data!AM88+Data!AM89+Data!AM90+Data!AM91+Data!AM92+Data!AM93+Data!AM94+Data!AM95+Data!AM96+Data!AM97+Data!AM98)/(Data!AP87+Data!AP88+Data!AP89+Data!AP90+Data!AP91+Data!AP92+Data!AP93+Data!AP94+Data!AP95+Data!AP96+Data!AP97+Data!AP98)</f>
        <v>-0.0214286906945812</v>
      </c>
      <c r="AE98" s="18" t="n">
        <f aca="false">(Data!AN87+Data!AN88+Data!AN89+Data!AN90+Data!AN91+Data!AN92+Data!AN93+Data!AN94+Data!AN95+Data!AN96+Data!AN97+Data!AN98)/(Data!AP87+Data!AP88+Data!AP89+Data!AP90+Data!AP91+Data!AP92+Data!AP93+Data!AP94+Data!AP95+Data!AP96+Data!AP97+Data!AP98)</f>
        <v>0.020088214646138</v>
      </c>
      <c r="AF98" s="17" t="n">
        <f aca="false">(Data!AO87+Data!AO88+Data!AO89+Data!AO90+Data!AO91+Data!AO92+Data!AO93+Data!AO94+Data!AO95+Data!AO96+Data!AO97+Data!AO98)/(Data!AP87+Data!AP88+Data!AP89+Data!AP90+Data!AP91+Data!AP92+Data!AP93+Data!AP94+Data!AP95+Data!AP96+Data!AP97+Data!AP98)</f>
        <v>-0.0415169053407193</v>
      </c>
    </row>
    <row r="99" customFormat="false" ht="15" hidden="false" customHeight="false" outlineLevel="0" collapsed="false">
      <c r="B99" s="14" t="str">
        <f aca="false">Data!B99</f>
        <v>2023-09</v>
      </c>
      <c r="C99" s="17" t="n">
        <f aca="false">(Data!D88+Data!E88+Data!F88+Data!G88+Data!H88+Data!I88+Data!J88+Data!K88+Data!L88+Data!M88+Data!N88+Data!O88+Data!P88+Data!Q88+Data!R88+Data!S88+Data!D89+Data!E89+Data!F89+Data!G89+Data!H89+Data!I89+Data!J89+Data!K89+Data!L89+Data!M89+Data!N89+Data!O89+Data!P89+Data!Q89+Data!R89+Data!S89+Data!D90+Data!E90+Data!F90+Data!G90+Data!H90+Data!I90+Data!J90+Data!K90+Data!L90+Data!M90+Data!N90+Data!O90+Data!P90+Data!Q90+Data!R90+Data!S90+Data!D91+Data!E91+Data!F91+Data!G91+Data!H91+Data!I91+Data!J91+Data!K91+Data!L91+Data!M91+Data!N91+Data!O91+Data!P91+Data!Q91+Data!R91+Data!S91+Data!D92+Data!E92+Data!F92+Data!G92+Data!H92+Data!I92+Data!J92+Data!K92+Data!L92+Data!M92+Data!N92+Data!O92+Data!P92+Data!Q92+Data!R92+Data!S92+Data!D93+Data!E93+Data!F93+Data!G93+Data!H93+Data!I93+Data!J93+Data!K93+Data!L93+Data!M93+Data!N93+Data!O93+Data!P93+Data!Q93+Data!R93+Data!S93+Data!D94+Data!E94+Data!F94+Data!G94+Data!H94+Data!I94+Data!J94+Data!K94+Data!L94+Data!M94+Data!N94+Data!O94+Data!P94+Data!Q94+Data!R94+Data!S94+Data!D95+Data!E95+Data!F95+Data!G95+Data!H95+Data!I95+Data!J95+Data!K95+Data!L95+Data!M95+Data!N95+Data!O95+Data!P95+Data!Q95+Data!R95+Data!S95+Data!D96+Data!E96+Data!F96+Data!G96+Data!H96+Data!I96+Data!J96+Data!K96+Data!L96+Data!M96+Data!N96+Data!O96+Data!P96+Data!Q96+Data!R96+Data!S96+Data!D97+Data!E97+Data!F97+Data!G97+Data!H97+Data!I97+Data!J97+Data!K97+Data!L97+Data!M97+Data!N97+Data!O97+Data!P97+Data!Q97+Data!R97+Data!S97+Data!D98+Data!E98+Data!F98+Data!G98+Data!H98+Data!I98+Data!J98+Data!K98+Data!L98+Data!M98+Data!N98+Data!O98+Data!P98+Data!Q98+Data!R98+Data!S98+Data!D99+Data!E99+Data!F99+Data!G99+Data!H99+Data!I99+Data!J99+Data!K99+Data!L99+Data!M99+Data!N99+Data!O99+Data!P99+Data!Q99+Data!R99+Data!S99)/(Data!AP88+Data!AP89+Data!AP90+Data!AP91+Data!AP92+Data!AP93+Data!AP94+Data!AP95+Data!AP96+Data!AP97+Data!AP98+Data!AP99)</f>
        <v>0.170169445027426</v>
      </c>
      <c r="D99" s="18" t="n">
        <f aca="false">(Data!D88+Data!E88+Data!G88+Data!H88+Data!I88+Data!J88+Data!K88+Data!L88+Data!M88+Data!D89+Data!E89+Data!G89+Data!H89+Data!I89+Data!J89+Data!K89+Data!L89+Data!M89+Data!D90+Data!E90+Data!G90+Data!H90+Data!I90+Data!J90+Data!K90+Data!L90+Data!M90+Data!D91+Data!E91+Data!G91+Data!H91+Data!I91+Data!J91+Data!K91+Data!L91+Data!M91+Data!D92+Data!E92+Data!G92+Data!H92+Data!I92+Data!J92+Data!K92+Data!L92+Data!M92+Data!D93+Data!E93+Data!G93+Data!H93+Data!I93+Data!J93+Data!K93+Data!L93+Data!M93+Data!D94+Data!E94+Data!G94+Data!H94+Data!I94+Data!J94+Data!K94+Data!L94+Data!M94+Data!D95+Data!E95+Data!G95+Data!H95+Data!I95+Data!J95+Data!K95+Data!L95+Data!M95+Data!D96+Data!E96+Data!G96+Data!H96+Data!I96+Data!J96+Data!K96+Data!L96+Data!M96+Data!D97+Data!E97+Data!G97+Data!H97+Data!I97+Data!J97+Data!K97+Data!L97+Data!M97+Data!D98+Data!E98+Data!G98+Data!H98+Data!I98+Data!J98+Data!K98+Data!L98+Data!M98+Data!D99+Data!E99+Data!G99+Data!H99+Data!I99+Data!J99+Data!K99+Data!L99+Data!M99)/(Data!AP88+Data!AP89+Data!AP90+Data!AP91+Data!AP92+Data!AP93+Data!AP94+Data!AP95+Data!AP96+Data!AP97+Data!AP98+Data!AP99)</f>
        <v>0.100825604088013</v>
      </c>
      <c r="E99" s="18" t="n">
        <f aca="false">(Data!D88+Data!D89+Data!D90+Data!D91+Data!D92+Data!D93+Data!D94+Data!D95+Data!D96+Data!D97+Data!D98+Data!D99)/(Data!AP88+Data!AP89+Data!AP90+Data!AP91+Data!AP92+Data!AP93+Data!AP94+Data!AP95+Data!AP96+Data!AP97+Data!AP98+Data!AP99)</f>
        <v>0.0346490867373981</v>
      </c>
      <c r="F99" s="18" t="n">
        <f aca="false">(Data!E88+Data!E89+Data!E90+Data!E91+Data!E92+Data!E93+Data!E94+Data!E95+Data!E96+Data!E97+Data!E98+Data!E99)/(Data!AP88+Data!AP89+Data!AP90+Data!AP91+Data!AP92+Data!AP93+Data!AP94+Data!AP95+Data!AP96+Data!AP97+Data!AP98+Data!AP99)</f>
        <v>0.0182504955641824</v>
      </c>
      <c r="G99" s="18" t="n">
        <f aca="false">(Data!K88+Data!K89+Data!K90+Data!K91+Data!K92+Data!K93+Data!K94+Data!K95+Data!K96+Data!K97+Data!K98+Data!K99)/(Data!AP88+Data!AP89+Data!AP90+Data!AP91+Data!AP92+Data!AP93+Data!AP94+Data!AP95+Data!AP96+Data!AP97+Data!AP98+Data!AP99)</f>
        <v>0.00856926185583021</v>
      </c>
      <c r="H99" s="18" t="n">
        <f aca="false">(Data!L88+Data!L89+Data!L90+Data!L91+Data!L92+Data!L93+Data!L94+Data!L95+Data!L96+Data!L97+Data!L98+Data!L99)/(Data!AP88+Data!AP89+Data!AP90+Data!AP91+Data!AP92+Data!AP93+Data!AP94+Data!AP95+Data!AP96+Data!AP97+Data!AP98+Data!AP99)</f>
        <v>0.00580468014818364</v>
      </c>
      <c r="I99" s="18" t="n">
        <f aca="false">(Data!G88+Data!G89+Data!G90+Data!G91+Data!G92+Data!G93+Data!G94+Data!G95+Data!G96+Data!G97+Data!G98+Data!G99)/(Data!AP88+Data!AP89+Data!AP90+Data!AP91+Data!AP92+Data!AP93+Data!AP94+Data!AP95+Data!AP96+Data!AP97+Data!AP98+Data!AP99)</f>
        <v>0.0158980633966716</v>
      </c>
      <c r="J99" s="18" t="n">
        <f aca="false">(Data!H88+Data!I88+Data!J88+Data!M88+Data!H89+Data!I89+Data!J89+Data!M89+Data!H90+Data!I90+Data!J90+Data!M90+Data!H91+Data!I91+Data!J91+Data!M91+Data!H92+Data!I92+Data!J92+Data!M92+Data!H93+Data!I93+Data!J93+Data!M93+Data!H94+Data!I94+Data!J94+Data!M94+Data!H95+Data!I95+Data!J95+Data!M95+Data!H96+Data!I96+Data!J96+Data!M96+Data!H97+Data!I97+Data!J97+Data!M97+Data!H98+Data!I98+Data!J98+Data!M98+Data!H99+Data!I99+Data!J99+Data!M99)/(Data!AP88+Data!AP89+Data!AP90+Data!AP91+Data!AP92+Data!AP93+Data!AP94+Data!AP95+Data!AP96+Data!AP97+Data!AP98+Data!AP99)</f>
        <v>0.0176540163857471</v>
      </c>
      <c r="K99" s="18" t="n">
        <f aca="false">(Data!F88+Data!F89+Data!F90+Data!F91+Data!F92+Data!F93+Data!F94+Data!F95+Data!F96+Data!F97+Data!F98+Data!F99)/(Data!AP88+Data!AP89+Data!AP90+Data!AP91+Data!AP92+Data!AP93+Data!AP94+Data!AP95+Data!AP96+Data!AP97+Data!AP98+Data!AP99)</f>
        <v>0.0522452728994128</v>
      </c>
      <c r="L99" s="18" t="n">
        <f aca="false">(Data!N88+Data!O88+Data!P88+Data!Q88+Data!R88+Data!S88+Data!N89+Data!O89+Data!P89+Data!Q89+Data!R89+Data!S89+Data!N90+Data!O90+Data!P90+Data!Q90+Data!R90+Data!S90+Data!N91+Data!O91+Data!P91+Data!Q91+Data!R91+Data!S91+Data!N92+Data!O92+Data!P92+Data!Q92+Data!R92+Data!S92+Data!N93+Data!O93+Data!P93+Data!Q93+Data!R93+Data!S93+Data!N94+Data!O94+Data!P94+Data!Q94+Data!R94+Data!S94+Data!N95+Data!O95+Data!P95+Data!Q95+Data!R95+Data!S95+Data!N96+Data!O96+Data!P96+Data!Q96+Data!R96+Data!S96+Data!N97+Data!O97+Data!P97+Data!Q97+Data!R97+Data!S97+Data!N98+Data!O98+Data!P98+Data!Q98+Data!R98+Data!S98+Data!N99+Data!O99+Data!P99+Data!Q99+Data!R99+Data!S99)/(Data!AP88+Data!AP89+Data!AP90+Data!AP91+Data!AP92+Data!AP93+Data!AP94+Data!AP95+Data!AP96+Data!AP97+Data!AP98+Data!AP99)</f>
        <v>0.0170985680399996</v>
      </c>
      <c r="M99" s="17" t="n">
        <f aca="false">(Data!T88+Data!U88+Data!V88+Data!W88+Data!X88+Data!Y88+Data!Z88+Data!AA88+Data!AB88+Data!AC88+Data!AD88+Data!AE88+Data!AF88+Data!AG88+Data!AH88+Data!AI88+Data!AJ88+Data!AK88+Data!AL88+Data!T89+Data!U89+Data!V89+Data!W89+Data!X89+Data!Y89+Data!Z89+Data!AA89+Data!AB89+Data!AC89+Data!AD89+Data!AE89+Data!AF89+Data!AG89+Data!AH89+Data!AI89+Data!AJ89+Data!AK89+Data!AL89+Data!T90+Data!U90+Data!V90+Data!W90+Data!X90+Data!Y90+Data!Z90+Data!AA90+Data!AB90+Data!AC90+Data!AD90+Data!AE90+Data!AF90+Data!AG90+Data!AH90+Data!AI90+Data!AJ90+Data!AK90+Data!AL90+Data!T91+Data!U91+Data!V91+Data!W91+Data!X91+Data!Y91+Data!Z91+Data!AA91+Data!AB91+Data!AC91+Data!AD91+Data!AE91+Data!AF91+Data!AG91+Data!AH91+Data!AI91+Data!AJ91+Data!AK91+Data!AL91+Data!T92+Data!U92+Data!V92+Data!W92+Data!X92+Data!Y92+Data!Z92+Data!AA92+Data!AB92+Data!AC92+Data!AD92+Data!AE92+Data!AF92+Data!AG92+Data!AH92+Data!AI92+Data!AJ92+Data!AK92+Data!AL92+Data!T93+Data!U93+Data!V93+Data!W93+Data!X93+Data!Y93+Data!Z93+Data!AA93+Data!AB93+Data!AC93+Data!AD93+Data!AE93+Data!AF93+Data!AG93+Data!AH93+Data!AI93+Data!AJ93+Data!AK93+Data!AL93+Data!T94+Data!U94+Data!V94+Data!W94+Data!X94+Data!Y94+Data!Z94+Data!AA94+Data!AB94+Data!AC94+Data!AD94+Data!AE94+Data!AF94+Data!AG94+Data!AH94+Data!AI94+Data!AJ94+Data!AK94+Data!AL94+Data!T95+Data!U95+Data!V95+Data!W95+Data!X95+Data!Y95+Data!Z95+Data!AA95+Data!AB95+Data!AC95+Data!AD95+Data!AE95+Data!AF95+Data!AG95+Data!AH95+Data!AI95+Data!AJ95+Data!AK95+Data!AL95+Data!T96+Data!U96+Data!V96+Data!W96+Data!X96+Data!Y96+Data!Z96+Data!AA96+Data!AB96+Data!AC96+Data!AD96+Data!AE96+Data!AF96+Data!AG96+Data!AH96+Data!AI96+Data!AJ96+Data!AK96+Data!AL96+Data!T97+Data!U97+Data!V97+Data!W97+Data!X97+Data!Y97+Data!Z97+Data!AA97+Data!AB97+Data!AC97+Data!AD97+Data!AE97+Data!AF97+Data!AG97+Data!AH97+Data!AI97+Data!AJ97+Data!AK97+Data!AL97+Data!T98+Data!U98+Data!V98+Data!W98+Data!X98+Data!Y98+Data!Z98+Data!AA98+Data!AB98+Data!AC98+Data!AD98+Data!AE98+Data!AF98+Data!AG98+Data!AH98+Data!AI98+Data!AJ98+Data!AK98+Data!AL98+Data!T99+Data!U99+Data!V99+Data!W99+Data!X99+Data!Y99+Data!Z99+Data!AA99+Data!AB99+Data!AC99+Data!AD99+Data!AE99+Data!AF99+Data!AG99+Data!AH99+Data!AI99+Data!AJ99+Data!AK99+Data!AL99)/(Data!AP88+Data!AP89+Data!AP90+Data!AP91+Data!AP92+Data!AP93+Data!AP94+Data!AP95+Data!AP96+Data!AP97+Data!AP98+Data!AP99)</f>
        <v>0.19304952349548</v>
      </c>
      <c r="N99" s="18" t="n">
        <f aca="false">(Data!T88+Data!U88+Data!V88+Data!W88+Data!T89+Data!U89+Data!V89+Data!W89+Data!T90+Data!U90+Data!V90+Data!W90+Data!T91+Data!U91+Data!V91+Data!W91+Data!T92+Data!U92+Data!V92+Data!W92+Data!T93+Data!U93+Data!V93+Data!W93+Data!T94+Data!U94+Data!V94+Data!W94+Data!T95+Data!U95+Data!V95+Data!W95+Data!T96+Data!U96+Data!V96+Data!W96+Data!T97+Data!U97+Data!V97+Data!W97+Data!T98+Data!U98+Data!V98+Data!W98+Data!T99+Data!U99+Data!V99+Data!W99)/(Data!AP88+Data!AP89+Data!AP90+Data!AP91+Data!AP92+Data!AP93+Data!AP94+Data!AP95+Data!AP96+Data!AP97+Data!AP98+Data!AP99)</f>
        <v>0.0870060419884765</v>
      </c>
      <c r="O99" s="18" t="n">
        <f aca="false">(Data!T88+Data!T89+Data!T90+Data!T91+Data!T92+Data!T93+Data!T94+Data!T95+Data!T96+Data!T97+Data!T98+Data!T99)/(Data!AP88+Data!AP89+Data!AP90+Data!AP91+Data!AP92+Data!AP93+Data!AP94+Data!AP95+Data!AP96+Data!AP97+Data!AP98+Data!AP99)</f>
        <v>0.063595331235126</v>
      </c>
      <c r="P99" s="18" t="n">
        <f aca="false">(Data!U88+Data!U89+Data!U90+Data!U91+Data!U92+Data!U93+Data!U94+Data!U95+Data!U96+Data!U97+Data!U98+Data!U99)/(Data!AP88+Data!AP89+Data!AP90+Data!AP91+Data!AP92+Data!AP93+Data!AP94+Data!AP95+Data!AP96+Data!AP97+Data!AP98+Data!AP99)</f>
        <v>0.0090472515693486</v>
      </c>
      <c r="Q99" s="18" t="n">
        <f aca="false">(Data!V88+Data!V89+Data!V90+Data!V91+Data!V92+Data!V93+Data!V94+Data!V95+Data!V96+Data!V97+Data!V98+Data!V99)/(Data!AP88+Data!AP89+Data!AP90+Data!AP91+Data!AP92+Data!AP93+Data!AP94+Data!AP95+Data!AP96+Data!AP97+Data!AP98+Data!AP99)</f>
        <v>0.00606599803576312</v>
      </c>
      <c r="R99" s="18" t="n">
        <f aca="false">(Data!W88+Data!W89+Data!W90+Data!W91+Data!W92+Data!W93+Data!W94+Data!W95+Data!W96+Data!W97+Data!W98+Data!W99)/(Data!AP88+Data!AP89+Data!AP90+Data!AP91+Data!AP92+Data!AP93+Data!AP94+Data!AP95+Data!AP96+Data!AP97+Data!AP98+Data!AP99)</f>
        <v>0.0082974611482388</v>
      </c>
      <c r="S99" s="18" t="n">
        <f aca="false">(Data!X88+Data!X89+Data!X90+Data!X91+Data!X92+Data!X93+Data!X94+Data!X95+Data!X96+Data!X97+Data!X98+Data!X99)/(Data!AP88+Data!AP89+Data!AP90+Data!AP91+Data!AP92+Data!AP93+Data!AP94+Data!AP95+Data!AP96+Data!AP97+Data!AP98+Data!AP99)</f>
        <v>0.0193091595890412</v>
      </c>
      <c r="T99" s="18" t="n">
        <f aca="false">(Data!Y88+Data!Z88+Data!AA88+Data!Y89+Data!Z89+Data!AA89+Data!Y90+Data!Z90+Data!AA90+Data!Y91+Data!Z91+Data!AA91+Data!Y92+Data!Z92+Data!AA92+Data!Y93+Data!Z93+Data!AA93+Data!Y94+Data!Z94+Data!AA94+Data!Y95+Data!Z95+Data!AA95+Data!Y96+Data!Z96+Data!AA96+Data!Y97+Data!Z97+Data!AA97+Data!Y98+Data!Z98+Data!AA98+Data!Y99+Data!Z99+Data!AA99)/(Data!AP88+Data!AP89+Data!AP90+Data!AP91+Data!AP92+Data!AP93+Data!AP94+Data!AP95+Data!AP96+Data!AP97+Data!AP98+Data!AP99)</f>
        <v>0.021507709334582</v>
      </c>
      <c r="U99" s="18" t="n">
        <f aca="false">(Data!Y88+Data!Y89+Data!Y90+Data!Y91+Data!Y92+Data!Y93+Data!Y94+Data!Y95+Data!Y96+Data!Y97+Data!Y98+Data!Y99)/(Data!AP88+Data!AP89+Data!AP90+Data!AP91+Data!AP92+Data!AP93+Data!AP94+Data!AP95+Data!AP96+Data!AP97+Data!AP98+Data!AP99)</f>
        <v>0.0162592301448648</v>
      </c>
      <c r="V99" s="18" t="n">
        <f aca="false">(Data!Z88+Data!Z89+Data!Z90+Data!Z91+Data!Z92+Data!Z93+Data!Z94+Data!Z95+Data!Z96+Data!Z97+Data!Z98+Data!Z99)/(Data!AP88+Data!AP89+Data!AP90+Data!AP91+Data!AP92+Data!AP93+Data!AP94+Data!AP95+Data!AP96+Data!AP97+Data!AP98+Data!AP99)</f>
        <v>0.00485679130787401</v>
      </c>
      <c r="W99" s="18" t="n">
        <f aca="false">(Data!AB88+Data!AB89+Data!AB90+Data!AB91+Data!AB92+Data!AB93+Data!AB94+Data!AB95+Data!AB96+Data!AB97+Data!AB98+Data!AB99)/(Data!AP88+Data!AP89+Data!AP90+Data!AP91+Data!AP92+Data!AP93+Data!AP94+Data!AP95+Data!AP96+Data!AP97+Data!AP98+Data!AP99)</f>
        <v>0.02465700381691</v>
      </c>
      <c r="X99" s="18" t="n">
        <f aca="false">(Data!AC88+Data!AC89+Data!AC90+Data!AC91+Data!AC92+Data!AC93+Data!AC94+Data!AC95+Data!AC96+Data!AC97+Data!AC98+Data!AC99)/(Data!AP88+Data!AP89+Data!AP90+Data!AP91+Data!AP92+Data!AP93+Data!AP94+Data!AP95+Data!AP96+Data!AP97+Data!AP98+Data!AP99)</f>
        <v>0.00678270709602757</v>
      </c>
      <c r="Y99" s="18" t="n">
        <f aca="false">(Data!AD88+Data!AE88+Data!AF88+Data!AG88+Data!AH88+Data!AD89+Data!AE89+Data!AF89+Data!AG89+Data!AH89+Data!AD90+Data!AE90+Data!AF90+Data!AG90+Data!AH90+Data!AD91+Data!AE91+Data!AF91+Data!AG91+Data!AH91+Data!AD92+Data!AE92+Data!AF92+Data!AG92+Data!AH92+Data!AD93+Data!AE93+Data!AF93+Data!AG93+Data!AH93+Data!AD94+Data!AE94+Data!AF94+Data!AG94+Data!AH94+Data!AD95+Data!AE95+Data!AF95+Data!AG95+Data!AH95+Data!AD96+Data!AE96+Data!AF96+Data!AG96+Data!AH96+Data!AD97+Data!AE97+Data!AF97+Data!AG97+Data!AH97+Data!AD98+Data!AE98+Data!AF98+Data!AG98+Data!AH98+Data!AD99+Data!AE99+Data!AF99+Data!AG99+Data!AH99)/(Data!AP88+Data!AP89+Data!AP90+Data!AP91+Data!AP92+Data!AP93+Data!AP94+Data!AP95+Data!AP96+Data!AP97+Data!AP98+Data!AP99)</f>
        <v>0.00650705596800871</v>
      </c>
      <c r="Z99" s="18" t="n">
        <f aca="false">(Data!AI88+Data!AI89+Data!AI90+Data!AI91+Data!AI92+Data!AI93+Data!AI94+Data!AI95+Data!AI96+Data!AI97+Data!AI98+Data!AI99)/(Data!AP88+Data!AP89+Data!AP90+Data!AP91+Data!AP92+Data!AP93+Data!AP94+Data!AP95+Data!AP96+Data!AP97+Data!AP98+Data!AP99)</f>
        <v>0.00633751651358497</v>
      </c>
      <c r="AA99" s="18" t="n">
        <f aca="false">(Data!AJ88+Data!AJ89+Data!AJ90+Data!AJ91+Data!AJ92+Data!AJ93+Data!AJ94+Data!AJ95+Data!AJ96+Data!AJ97+Data!AJ98+Data!AJ99)/(Data!AP88+Data!AP89+Data!AP90+Data!AP91+Data!AP92+Data!AP93+Data!AP94+Data!AP95+Data!AP96+Data!AP97+Data!AP98+Data!AP99)</f>
        <v>0</v>
      </c>
      <c r="AB99" s="18" t="n">
        <f aca="false">(Data!AK88+Data!AK89+Data!AK90+Data!AK91+Data!AK92+Data!AK93+Data!AK94+Data!AK95+Data!AK96+Data!AK97+Data!AK98+Data!AK99)/(Data!AP88+Data!AP89+Data!AP90+Data!AP91+Data!AP92+Data!AP93+Data!AP94+Data!AP95+Data!AP96+Data!AP97+Data!AP98+Data!AP99)</f>
        <v>0.00388206376043127</v>
      </c>
      <c r="AC99" s="18" t="n">
        <f aca="false">(Data!AL88+Data!AL89+Data!AL90+Data!AL91+Data!AL92+Data!AL93+Data!AL94+Data!AL95+Data!AL96+Data!AL97+Data!AL98+Data!AL99)/(Data!AP88+Data!AP89+Data!AP90+Data!AP91+Data!AP92+Data!AP93+Data!AP94+Data!AP95+Data!AP96+Data!AP97+Data!AP98+Data!AP99)</f>
        <v>0.0170602654284175</v>
      </c>
      <c r="AD99" s="17" t="n">
        <f aca="false">(Data!AM88+Data!AM89+Data!AM90+Data!AM91+Data!AM92+Data!AM93+Data!AM94+Data!AM95+Data!AM96+Data!AM97+Data!AM98+Data!AM99)/(Data!AP88+Data!AP89+Data!AP90+Data!AP91+Data!AP92+Data!AP93+Data!AP94+Data!AP95+Data!AP96+Data!AP97+Data!AP98+Data!AP99)</f>
        <v>-0.0228800784680543</v>
      </c>
      <c r="AE99" s="18" t="n">
        <f aca="false">(Data!AN88+Data!AN89+Data!AN90+Data!AN91+Data!AN92+Data!AN93+Data!AN94+Data!AN95+Data!AN96+Data!AN97+Data!AN98+Data!AN99)/(Data!AP88+Data!AP89+Data!AP90+Data!AP91+Data!AP92+Data!AP93+Data!AP94+Data!AP95+Data!AP96+Data!AP97+Data!AP98+Data!AP99)</f>
        <v>0.0188532241160864</v>
      </c>
      <c r="AF99" s="17" t="n">
        <f aca="false">(Data!AO88+Data!AO89+Data!AO90+Data!AO91+Data!AO92+Data!AO93+Data!AO94+Data!AO95+Data!AO96+Data!AO97+Data!AO98+Data!AO99)/(Data!AP88+Data!AP89+Data!AP90+Data!AP91+Data!AP92+Data!AP93+Data!AP94+Data!AP95+Data!AP96+Data!AP97+Data!AP98+Data!AP99)</f>
        <v>-0.0417333093038971</v>
      </c>
    </row>
    <row r="100" customFormat="false" ht="15" hidden="false" customHeight="false" outlineLevel="0" collapsed="false">
      <c r="B100" s="14" t="str">
        <f aca="false">Data!B100</f>
        <v>2023-10</v>
      </c>
      <c r="C100" s="17" t="n">
        <f aca="false">(Data!D89+Data!E89+Data!F89+Data!G89+Data!H89+Data!I89+Data!J89+Data!K89+Data!L89+Data!M89+Data!N89+Data!O89+Data!P89+Data!Q89+Data!R89+Data!S89+Data!D90+Data!E90+Data!F90+Data!G90+Data!H90+Data!I90+Data!J90+Data!K90+Data!L90+Data!M90+Data!N90+Data!O90+Data!P90+Data!Q90+Data!R90+Data!S90+Data!D91+Data!E91+Data!F91+Data!G91+Data!H91+Data!I91+Data!J91+Data!K91+Data!L91+Data!M91+Data!N91+Data!O91+Data!P91+Data!Q91+Data!R91+Data!S91+Data!D92+Data!E92+Data!F92+Data!G92+Data!H92+Data!I92+Data!J92+Data!K92+Data!L92+Data!M92+Data!N92+Data!O92+Data!P92+Data!Q92+Data!R92+Data!S92+Data!D93+Data!E93+Data!F93+Data!G93+Data!H93+Data!I93+Data!J93+Data!K93+Data!L93+Data!M93+Data!N93+Data!O93+Data!P93+Data!Q93+Data!R93+Data!S93+Data!D94+Data!E94+Data!F94+Data!G94+Data!H94+Data!I94+Data!J94+Data!K94+Data!L94+Data!M94+Data!N94+Data!O94+Data!P94+Data!Q94+Data!R94+Data!S94+Data!D95+Data!E95+Data!F95+Data!G95+Data!H95+Data!I95+Data!J95+Data!K95+Data!L95+Data!M95+Data!N95+Data!O95+Data!P95+Data!Q95+Data!R95+Data!S95+Data!D96+Data!E96+Data!F96+Data!G96+Data!H96+Data!I96+Data!J96+Data!K96+Data!L96+Data!M96+Data!N96+Data!O96+Data!P96+Data!Q96+Data!R96+Data!S96+Data!D97+Data!E97+Data!F97+Data!G97+Data!H97+Data!I97+Data!J97+Data!K97+Data!L97+Data!M97+Data!N97+Data!O97+Data!P97+Data!Q97+Data!R97+Data!S97+Data!D98+Data!E98+Data!F98+Data!G98+Data!H98+Data!I98+Data!J98+Data!K98+Data!L98+Data!M98+Data!N98+Data!O98+Data!P98+Data!Q98+Data!R98+Data!S98+Data!D99+Data!E99+Data!F99+Data!G99+Data!H99+Data!I99+Data!J99+Data!K99+Data!L99+Data!M99+Data!N99+Data!O99+Data!P99+Data!Q99+Data!R99+Data!S99+Data!D100+Data!E100+Data!F100+Data!G100+Data!H100+Data!I100+Data!J100+Data!K100+Data!L100+Data!M100+Data!N100+Data!O100+Data!P100+Data!Q100+Data!R100+Data!S100)/(Data!AP89+Data!AP90+Data!AP91+Data!AP92+Data!AP93+Data!AP94+Data!AP95+Data!AP96+Data!AP97+Data!AP98+Data!AP99+Data!AP100)</f>
        <v>0.168992396712828</v>
      </c>
      <c r="D100" s="18" t="n">
        <f aca="false">(Data!D89+Data!E89+Data!G89+Data!H89+Data!I89+Data!J89+Data!K89+Data!L89+Data!M89+Data!D90+Data!E90+Data!G90+Data!H90+Data!I90+Data!J90+Data!K90+Data!L90+Data!M90+Data!D91+Data!E91+Data!G91+Data!H91+Data!I91+Data!J91+Data!K91+Data!L91+Data!M91+Data!D92+Data!E92+Data!G92+Data!H92+Data!I92+Data!J92+Data!K92+Data!L92+Data!M92+Data!D93+Data!E93+Data!G93+Data!H93+Data!I93+Data!J93+Data!K93+Data!L93+Data!M93+Data!D94+Data!E94+Data!G94+Data!H94+Data!I94+Data!J94+Data!K94+Data!L94+Data!M94+Data!D95+Data!E95+Data!G95+Data!H95+Data!I95+Data!J95+Data!K95+Data!L95+Data!M95+Data!D96+Data!E96+Data!G96+Data!H96+Data!I96+Data!J96+Data!K96+Data!L96+Data!M96+Data!D97+Data!E97+Data!G97+Data!H97+Data!I97+Data!J97+Data!K97+Data!L97+Data!M97+Data!D98+Data!E98+Data!G98+Data!H98+Data!I98+Data!J98+Data!K98+Data!L98+Data!M98+Data!D99+Data!E99+Data!G99+Data!H99+Data!I99+Data!J99+Data!K99+Data!L99+Data!M99+Data!D100+Data!E100+Data!G100+Data!H100+Data!I100+Data!J100+Data!K100+Data!L100+Data!M100)/(Data!AP89+Data!AP90+Data!AP91+Data!AP92+Data!AP93+Data!AP94+Data!AP95+Data!AP96+Data!AP97+Data!AP98+Data!AP99+Data!AP100)</f>
        <v>0.100310341817422</v>
      </c>
      <c r="E100" s="18" t="n">
        <f aca="false">(Data!D89+Data!D90+Data!D91+Data!D92+Data!D93+Data!D94+Data!D95+Data!D96+Data!D97+Data!D98+Data!D99+Data!D100)/(Data!AP89+Data!AP90+Data!AP91+Data!AP92+Data!AP93+Data!AP94+Data!AP95+Data!AP96+Data!AP97+Data!AP98+Data!AP99+Data!AP100)</f>
        <v>0.0344766347803056</v>
      </c>
      <c r="F100" s="18" t="n">
        <f aca="false">(Data!E89+Data!E90+Data!E91+Data!E92+Data!E93+Data!E94+Data!E95+Data!E96+Data!E97+Data!E98+Data!E99+Data!E100)/(Data!AP89+Data!AP90+Data!AP91+Data!AP92+Data!AP93+Data!AP94+Data!AP95+Data!AP96+Data!AP97+Data!AP98+Data!AP99+Data!AP100)</f>
        <v>0.0178352748366724</v>
      </c>
      <c r="G100" s="18" t="n">
        <f aca="false">(Data!K89+Data!K90+Data!K91+Data!K92+Data!K93+Data!K94+Data!K95+Data!K96+Data!K97+Data!K98+Data!K99+Data!K100)/(Data!AP89+Data!AP90+Data!AP91+Data!AP92+Data!AP93+Data!AP94+Data!AP95+Data!AP96+Data!AP97+Data!AP98+Data!AP99+Data!AP100)</f>
        <v>0.00780500897894412</v>
      </c>
      <c r="H100" s="18" t="n">
        <f aca="false">(Data!L89+Data!L90+Data!L91+Data!L92+Data!L93+Data!L94+Data!L95+Data!L96+Data!L97+Data!L98+Data!L99+Data!L100)/(Data!AP89+Data!AP90+Data!AP91+Data!AP92+Data!AP93+Data!AP94+Data!AP95+Data!AP96+Data!AP97+Data!AP98+Data!AP99+Data!AP100)</f>
        <v>0.00586147709144946</v>
      </c>
      <c r="I100" s="18" t="n">
        <f aca="false">(Data!G89+Data!G90+Data!G91+Data!G92+Data!G93+Data!G94+Data!G95+Data!G96+Data!G97+Data!G98+Data!G99+Data!G100)/(Data!AP89+Data!AP90+Data!AP91+Data!AP92+Data!AP93+Data!AP94+Data!AP95+Data!AP96+Data!AP97+Data!AP98+Data!AP99+Data!AP100)</f>
        <v>0.0159798094601458</v>
      </c>
      <c r="J100" s="18" t="n">
        <f aca="false">(Data!H89+Data!I89+Data!J89+Data!M89+Data!H90+Data!I90+Data!J90+Data!M90+Data!H91+Data!I91+Data!J91+Data!M91+Data!H92+Data!I92+Data!J92+Data!M92+Data!H93+Data!I93+Data!J93+Data!M93+Data!H94+Data!I94+Data!J94+Data!M94+Data!H95+Data!I95+Data!J95+Data!M95+Data!H96+Data!I96+Data!J96+Data!M96+Data!H97+Data!I97+Data!J97+Data!M97+Data!H98+Data!I98+Data!J98+Data!M98+Data!H99+Data!I99+Data!J99+Data!M99+Data!H100+Data!I100+Data!J100+Data!M100)/(Data!AP89+Data!AP90+Data!AP91+Data!AP92+Data!AP93+Data!AP94+Data!AP95+Data!AP96+Data!AP97+Data!AP98+Data!AP99+Data!AP100)</f>
        <v>0.0183521366699046</v>
      </c>
      <c r="K100" s="18" t="n">
        <f aca="false">(Data!F89+Data!F90+Data!F91+Data!F92+Data!F93+Data!F94+Data!F95+Data!F96+Data!F97+Data!F98+Data!F99+Data!F100)/(Data!AP89+Data!AP90+Data!AP91+Data!AP92+Data!AP93+Data!AP94+Data!AP95+Data!AP96+Data!AP97+Data!AP98+Data!AP99+Data!AP100)</f>
        <v>0.0512313379814519</v>
      </c>
      <c r="L100" s="18" t="n">
        <f aca="false">(Data!N89+Data!O89+Data!P89+Data!Q89+Data!R89+Data!S89+Data!N90+Data!O90+Data!P90+Data!Q90+Data!R90+Data!S90+Data!N91+Data!O91+Data!P91+Data!Q91+Data!R91+Data!S91+Data!N92+Data!O92+Data!P92+Data!Q92+Data!R92+Data!S92+Data!N93+Data!O93+Data!P93+Data!Q93+Data!R93+Data!S93+Data!N94+Data!O94+Data!P94+Data!Q94+Data!R94+Data!S94+Data!N95+Data!O95+Data!P95+Data!Q95+Data!R95+Data!S95+Data!N96+Data!O96+Data!P96+Data!Q96+Data!R96+Data!S96+Data!N97+Data!O97+Data!P97+Data!Q97+Data!R97+Data!S97+Data!N98+Data!O98+Data!P98+Data!Q98+Data!R98+Data!S98+Data!N99+Data!O99+Data!P99+Data!Q99+Data!R99+Data!S99+Data!N100+Data!O100+Data!P100+Data!Q100+Data!R100+Data!S100)/(Data!AP89+Data!AP90+Data!AP91+Data!AP92+Data!AP93+Data!AP94+Data!AP95+Data!AP96+Data!AP97+Data!AP98+Data!AP99+Data!AP100)</f>
        <v>0.017450716913954</v>
      </c>
      <c r="M100" s="17" t="n">
        <f aca="false">(Data!T89+Data!U89+Data!V89+Data!W89+Data!X89+Data!Y89+Data!Z89+Data!AA89+Data!AB89+Data!AC89+Data!AD89+Data!AE89+Data!AF89+Data!AG89+Data!AH89+Data!AI89+Data!AJ89+Data!AK89+Data!AL89+Data!T90+Data!U90+Data!V90+Data!W90+Data!X90+Data!Y90+Data!Z90+Data!AA90+Data!AB90+Data!AC90+Data!AD90+Data!AE90+Data!AF90+Data!AG90+Data!AH90+Data!AI90+Data!AJ90+Data!AK90+Data!AL90+Data!T91+Data!U91+Data!V91+Data!W91+Data!X91+Data!Y91+Data!Z91+Data!AA91+Data!AB91+Data!AC91+Data!AD91+Data!AE91+Data!AF91+Data!AG91+Data!AH91+Data!AI91+Data!AJ91+Data!AK91+Data!AL91+Data!T92+Data!U92+Data!V92+Data!W92+Data!X92+Data!Y92+Data!Z92+Data!AA92+Data!AB92+Data!AC92+Data!AD92+Data!AE92+Data!AF92+Data!AG92+Data!AH92+Data!AI92+Data!AJ92+Data!AK92+Data!AL92+Data!T93+Data!U93+Data!V93+Data!W93+Data!X93+Data!Y93+Data!Z93+Data!AA93+Data!AB93+Data!AC93+Data!AD93+Data!AE93+Data!AF93+Data!AG93+Data!AH93+Data!AI93+Data!AJ93+Data!AK93+Data!AL93+Data!T94+Data!U94+Data!V94+Data!W94+Data!X94+Data!Y94+Data!Z94+Data!AA94+Data!AB94+Data!AC94+Data!AD94+Data!AE94+Data!AF94+Data!AG94+Data!AH94+Data!AI94+Data!AJ94+Data!AK94+Data!AL94+Data!T95+Data!U95+Data!V95+Data!W95+Data!X95+Data!Y95+Data!Z95+Data!AA95+Data!AB95+Data!AC95+Data!AD95+Data!AE95+Data!AF95+Data!AG95+Data!AH95+Data!AI95+Data!AJ95+Data!AK95+Data!AL95+Data!T96+Data!U96+Data!V96+Data!W96+Data!X96+Data!Y96+Data!Z96+Data!AA96+Data!AB96+Data!AC96+Data!AD96+Data!AE96+Data!AF96+Data!AG96+Data!AH96+Data!AI96+Data!AJ96+Data!AK96+Data!AL96+Data!T97+Data!U97+Data!V97+Data!W97+Data!X97+Data!Y97+Data!Z97+Data!AA97+Data!AB97+Data!AC97+Data!AD97+Data!AE97+Data!AF97+Data!AG97+Data!AH97+Data!AI97+Data!AJ97+Data!AK97+Data!AL97+Data!T98+Data!U98+Data!V98+Data!W98+Data!X98+Data!Y98+Data!Z98+Data!AA98+Data!AB98+Data!AC98+Data!AD98+Data!AE98+Data!AF98+Data!AG98+Data!AH98+Data!AI98+Data!AJ98+Data!AK98+Data!AL98+Data!T99+Data!U99+Data!V99+Data!W99+Data!X99+Data!Y99+Data!Z99+Data!AA99+Data!AB99+Data!AC99+Data!AD99+Data!AE99+Data!AF99+Data!AG99+Data!AH99+Data!AI99+Data!AJ99+Data!AK99+Data!AL99+Data!T100+Data!U100+Data!V100+Data!W100+Data!X100+Data!Y100+Data!Z100+Data!AA100+Data!AB100+Data!AC100+Data!AD100+Data!AE100+Data!AF100+Data!AG100+Data!AH100+Data!AI100+Data!AJ100+Data!AK100+Data!AL100)/(Data!AP89+Data!AP90+Data!AP91+Data!AP92+Data!AP93+Data!AP94+Data!AP95+Data!AP96+Data!AP97+Data!AP98+Data!AP99+Data!AP100)</f>
        <v>0.191461766494164</v>
      </c>
      <c r="N100" s="18" t="n">
        <f aca="false">(Data!T89+Data!U89+Data!V89+Data!W89+Data!T90+Data!U90+Data!V90+Data!W90+Data!T91+Data!U91+Data!V91+Data!W91+Data!T92+Data!U92+Data!V92+Data!W92+Data!T93+Data!U93+Data!V93+Data!W93+Data!T94+Data!U94+Data!V94+Data!W94+Data!T95+Data!U95+Data!V95+Data!W95+Data!T96+Data!U96+Data!V96+Data!W96+Data!T97+Data!U97+Data!V97+Data!W97+Data!T98+Data!U98+Data!V98+Data!W98+Data!T99+Data!U99+Data!V99+Data!W99+Data!T100+Data!U100+Data!V100+Data!W100)/(Data!AP89+Data!AP90+Data!AP91+Data!AP92+Data!AP93+Data!AP94+Data!AP95+Data!AP96+Data!AP97+Data!AP98+Data!AP99+Data!AP100)</f>
        <v>0.0856319445642443</v>
      </c>
      <c r="O100" s="18" t="n">
        <f aca="false">(Data!T89+Data!T90+Data!T91+Data!T92+Data!T93+Data!T94+Data!T95+Data!T96+Data!T97+Data!T98+Data!T99+Data!T100)/(Data!AP89+Data!AP90+Data!AP91+Data!AP92+Data!AP93+Data!AP94+Data!AP95+Data!AP96+Data!AP97+Data!AP98+Data!AP99+Data!AP100)</f>
        <v>0.062316960589998</v>
      </c>
      <c r="P100" s="18" t="n">
        <f aca="false">(Data!U89+Data!U90+Data!U91+Data!U92+Data!U93+Data!U94+Data!U95+Data!U96+Data!U97+Data!U98+Data!U99+Data!U100)/(Data!AP89+Data!AP90+Data!AP91+Data!AP92+Data!AP93+Data!AP94+Data!AP95+Data!AP96+Data!AP97+Data!AP98+Data!AP99+Data!AP100)</f>
        <v>0.00866430082398633</v>
      </c>
      <c r="Q100" s="18" t="n">
        <f aca="false">(Data!V89+Data!V90+Data!V91+Data!V92+Data!V93+Data!V94+Data!V95+Data!V96+Data!V97+Data!V98+Data!V99+Data!V100)/(Data!AP89+Data!AP90+Data!AP91+Data!AP92+Data!AP93+Data!AP94+Data!AP95+Data!AP96+Data!AP97+Data!AP98+Data!AP99+Data!AP100)</f>
        <v>0.00585652195831618</v>
      </c>
      <c r="R100" s="18" t="n">
        <f aca="false">(Data!W89+Data!W90+Data!W91+Data!W92+Data!W93+Data!W94+Data!W95+Data!W96+Data!W97+Data!W98+Data!W99+Data!W100)/(Data!AP89+Data!AP90+Data!AP91+Data!AP92+Data!AP93+Data!AP94+Data!AP95+Data!AP96+Data!AP97+Data!AP98+Data!AP99+Data!AP100)</f>
        <v>0.00879416119194375</v>
      </c>
      <c r="S100" s="18" t="n">
        <f aca="false">(Data!X89+Data!X90+Data!X91+Data!X92+Data!X93+Data!X94+Data!X95+Data!X96+Data!X97+Data!X98+Data!X99+Data!X100)/(Data!AP89+Data!AP90+Data!AP91+Data!AP92+Data!AP93+Data!AP94+Data!AP95+Data!AP96+Data!AP97+Data!AP98+Data!AP99+Data!AP100)</f>
        <v>0.0205869326439341</v>
      </c>
      <c r="T100" s="18" t="n">
        <f aca="false">(Data!Y89+Data!Z89+Data!AA89+Data!Y90+Data!Z90+Data!AA90+Data!Y91+Data!Z91+Data!AA91+Data!Y92+Data!Z92+Data!AA92+Data!Y93+Data!Z93+Data!AA93+Data!Y94+Data!Z94+Data!AA94+Data!Y95+Data!Z95+Data!AA95+Data!Y96+Data!Z96+Data!AA96+Data!Y97+Data!Z97+Data!AA97+Data!Y98+Data!Z98+Data!AA98+Data!Y99+Data!Z99+Data!AA99+Data!Y100+Data!Z100+Data!AA100)/(Data!AP89+Data!AP90+Data!AP91+Data!AP92+Data!AP93+Data!AP94+Data!AP95+Data!AP96+Data!AP97+Data!AP98+Data!AP99+Data!AP100)</f>
        <v>0.0203740536908972</v>
      </c>
      <c r="U100" s="18" t="n">
        <f aca="false">(Data!Y89+Data!Y90+Data!Y91+Data!Y92+Data!Y93+Data!Y94+Data!Y95+Data!Y96+Data!Y97+Data!Y98+Data!Y99+Data!Y100)/(Data!AP89+Data!AP90+Data!AP91+Data!AP92+Data!AP93+Data!AP94+Data!AP95+Data!AP96+Data!AP97+Data!AP98+Data!AP99+Data!AP100)</f>
        <v>0.0151124384592084</v>
      </c>
      <c r="V100" s="18" t="n">
        <f aca="false">(Data!Z89+Data!Z90+Data!Z91+Data!Z92+Data!Z93+Data!Z94+Data!Z95+Data!Z96+Data!Z97+Data!Z98+Data!Z99+Data!Z100)/(Data!AP89+Data!AP90+Data!AP91+Data!AP92+Data!AP93+Data!AP94+Data!AP95+Data!AP96+Data!AP97+Data!AP98+Data!AP99+Data!AP100)</f>
        <v>0.00480501919993531</v>
      </c>
      <c r="W100" s="18" t="n">
        <f aca="false">(Data!AB89+Data!AB90+Data!AB91+Data!AB92+Data!AB93+Data!AB94+Data!AB95+Data!AB96+Data!AB97+Data!AB98+Data!AB99+Data!AB100)/(Data!AP89+Data!AP90+Data!AP91+Data!AP92+Data!AP93+Data!AP94+Data!AP95+Data!AP96+Data!AP97+Data!AP98+Data!AP99+Data!AP100)</f>
        <v>0.0245466222154088</v>
      </c>
      <c r="X100" s="18" t="n">
        <f aca="false">(Data!AC89+Data!AC90+Data!AC91+Data!AC92+Data!AC93+Data!AC94+Data!AC95+Data!AC96+Data!AC97+Data!AC98+Data!AC99+Data!AC100)/(Data!AP89+Data!AP90+Data!AP91+Data!AP92+Data!AP93+Data!AP94+Data!AP95+Data!AP96+Data!AP97+Data!AP98+Data!AP99+Data!AP100)</f>
        <v>0.00682852607013545</v>
      </c>
      <c r="Y100" s="18" t="n">
        <f aca="false">(Data!AD89+Data!AE89+Data!AF89+Data!AG89+Data!AH89+Data!AD90+Data!AE90+Data!AF90+Data!AG90+Data!AH90+Data!AD91+Data!AE91+Data!AF91+Data!AG91+Data!AH91+Data!AD92+Data!AE92+Data!AF92+Data!AG92+Data!AH92+Data!AD93+Data!AE93+Data!AF93+Data!AG93+Data!AH93+Data!AD94+Data!AE94+Data!AF94+Data!AG94+Data!AH94+Data!AD95+Data!AE95+Data!AF95+Data!AG95+Data!AH95+Data!AD96+Data!AE96+Data!AF96+Data!AG96+Data!AH96+Data!AD97+Data!AE97+Data!AF97+Data!AG97+Data!AH97+Data!AD98+Data!AE98+Data!AF98+Data!AG98+Data!AH98+Data!AD99+Data!AE99+Data!AF99+Data!AG99+Data!AH99+Data!AD100+Data!AE100+Data!AF100+Data!AG100+Data!AH100)/(Data!AP89+Data!AP90+Data!AP91+Data!AP92+Data!AP93+Data!AP94+Data!AP95+Data!AP96+Data!AP97+Data!AP98+Data!AP99+Data!AP100)</f>
        <v>0.00660889180451234</v>
      </c>
      <c r="Z100" s="18" t="n">
        <f aca="false">(Data!AI89+Data!AI90+Data!AI91+Data!AI92+Data!AI93+Data!AI94+Data!AI95+Data!AI96+Data!AI97+Data!AI98+Data!AI99+Data!AI100)/(Data!AP89+Data!AP90+Data!AP91+Data!AP92+Data!AP93+Data!AP94+Data!AP95+Data!AP96+Data!AP97+Data!AP98+Data!AP99+Data!AP100)</f>
        <v>0.00626285524761283</v>
      </c>
      <c r="AA100" s="18" t="n">
        <f aca="false">(Data!AJ89+Data!AJ90+Data!AJ91+Data!AJ92+Data!AJ93+Data!AJ94+Data!AJ95+Data!AJ96+Data!AJ97+Data!AJ98+Data!AJ99+Data!AJ100)/(Data!AP89+Data!AP90+Data!AP91+Data!AP92+Data!AP93+Data!AP94+Data!AP95+Data!AP96+Data!AP97+Data!AP98+Data!AP99+Data!AP100)</f>
        <v>0</v>
      </c>
      <c r="AB100" s="18" t="n">
        <f aca="false">(Data!AK89+Data!AK90+Data!AK91+Data!AK92+Data!AK93+Data!AK94+Data!AK95+Data!AK96+Data!AK97+Data!AK98+Data!AK99+Data!AK100)/(Data!AP89+Data!AP90+Data!AP91+Data!AP92+Data!AP93+Data!AP94+Data!AP95+Data!AP96+Data!AP97+Data!AP98+Data!AP99+Data!AP100)</f>
        <v>0.00392063619385864</v>
      </c>
      <c r="AC100" s="18" t="n">
        <f aca="false">(Data!AL89+Data!AL90+Data!AL91+Data!AL92+Data!AL93+Data!AL94+Data!AL95+Data!AL96+Data!AL97+Data!AL98+Data!AL99+Data!AL100)/(Data!AP89+Data!AP90+Data!AP91+Data!AP92+Data!AP93+Data!AP94+Data!AP95+Data!AP96+Data!AP97+Data!AP98+Data!AP99+Data!AP100)</f>
        <v>0.0167013040635602</v>
      </c>
      <c r="AD100" s="17" t="n">
        <f aca="false">(Data!AM89+Data!AM90+Data!AM91+Data!AM92+Data!AM93+Data!AM94+Data!AM95+Data!AM96+Data!AM97+Data!AM98+Data!AM99+Data!AM100)/(Data!AP89+Data!AP90+Data!AP91+Data!AP92+Data!AP93+Data!AP94+Data!AP95+Data!AP96+Data!AP97+Data!AP98+Data!AP99+Data!AP100)</f>
        <v>-0.022469369781336</v>
      </c>
      <c r="AE100" s="18" t="n">
        <f aca="false">(Data!AN89+Data!AN90+Data!AN91+Data!AN92+Data!AN93+Data!AN94+Data!AN95+Data!AN96+Data!AN97+Data!AN98+Data!AN99+Data!AN100)/(Data!AP89+Data!AP90+Data!AP91+Data!AP92+Data!AP93+Data!AP94+Data!AP95+Data!AP96+Data!AP97+Data!AP98+Data!AP99+Data!AP100)</f>
        <v>0.0176142301211686</v>
      </c>
      <c r="AF100" s="17" t="n">
        <f aca="false">(Data!AO89+Data!AO90+Data!AO91+Data!AO92+Data!AO93+Data!AO94+Data!AO95+Data!AO96+Data!AO97+Data!AO98+Data!AO99+Data!AO100)/(Data!AP89+Data!AP90+Data!AP91+Data!AP92+Data!AP93+Data!AP94+Data!AP95+Data!AP96+Data!AP97+Data!AP98+Data!AP99+Data!AP100)</f>
        <v>-0.0400836060886883</v>
      </c>
    </row>
    <row r="101" customFormat="false" ht="15" hidden="false" customHeight="false" outlineLevel="0" collapsed="false">
      <c r="B101" s="14" t="str">
        <f aca="false">Data!B101</f>
        <v>2023-11</v>
      </c>
      <c r="C101" s="17" t="n">
        <f aca="false">(Data!D90+Data!E90+Data!F90+Data!G90+Data!H90+Data!I90+Data!J90+Data!K90+Data!L90+Data!M90+Data!N90+Data!O90+Data!P90+Data!Q90+Data!R90+Data!S90+Data!D91+Data!E91+Data!F91+Data!G91+Data!H91+Data!I91+Data!J91+Data!K91+Data!L91+Data!M91+Data!N91+Data!O91+Data!P91+Data!Q91+Data!R91+Data!S91+Data!D92+Data!E92+Data!F92+Data!G92+Data!H92+Data!I92+Data!J92+Data!K92+Data!L92+Data!M92+Data!N92+Data!O92+Data!P92+Data!Q92+Data!R92+Data!S92+Data!D93+Data!E93+Data!F93+Data!G93+Data!H93+Data!I93+Data!J93+Data!K93+Data!L93+Data!M93+Data!N93+Data!O93+Data!P93+Data!Q93+Data!R93+Data!S93+Data!D94+Data!E94+Data!F94+Data!G94+Data!H94+Data!I94+Data!J94+Data!K94+Data!L94+Data!M94+Data!N94+Data!O94+Data!P94+Data!Q94+Data!R94+Data!S94+Data!D95+Data!E95+Data!F95+Data!G95+Data!H95+Data!I95+Data!J95+Data!K95+Data!L95+Data!M95+Data!N95+Data!O95+Data!P95+Data!Q95+Data!R95+Data!S95+Data!D96+Data!E96+Data!F96+Data!G96+Data!H96+Data!I96+Data!J96+Data!K96+Data!L96+Data!M96+Data!N96+Data!O96+Data!P96+Data!Q96+Data!R96+Data!S96+Data!D97+Data!E97+Data!F97+Data!G97+Data!H97+Data!I97+Data!J97+Data!K97+Data!L97+Data!M97+Data!N97+Data!O97+Data!P97+Data!Q97+Data!R97+Data!S97+Data!D98+Data!E98+Data!F98+Data!G98+Data!H98+Data!I98+Data!J98+Data!K98+Data!L98+Data!M98+Data!N98+Data!O98+Data!P98+Data!Q98+Data!R98+Data!S98+Data!D99+Data!E99+Data!F99+Data!G99+Data!H99+Data!I99+Data!J99+Data!K99+Data!L99+Data!M99+Data!N99+Data!O99+Data!P99+Data!Q99+Data!R99+Data!S99+Data!D100+Data!E100+Data!F100+Data!G100+Data!H100+Data!I100+Data!J100+Data!K100+Data!L100+Data!M100+Data!N100+Data!O100+Data!P100+Data!Q100+Data!R100+Data!S100+Data!D101+Data!E101+Data!F101+Data!G101+Data!H101+Data!I101+Data!J101+Data!K101+Data!L101+Data!M101+Data!N101+Data!O101+Data!P101+Data!Q101+Data!R101+Data!S101)/(Data!AP90+Data!AP91+Data!AP92+Data!AP93+Data!AP94+Data!AP95+Data!AP96+Data!AP97+Data!AP98+Data!AP99+Data!AP100+Data!AP101)</f>
        <v>0.168894274513279</v>
      </c>
      <c r="D101" s="18" t="n">
        <f aca="false">(Data!D90+Data!E90+Data!G90+Data!H90+Data!I90+Data!J90+Data!K90+Data!L90+Data!M90+Data!D91+Data!E91+Data!G91+Data!H91+Data!I91+Data!J91+Data!K91+Data!L91+Data!M91+Data!D92+Data!E92+Data!G92+Data!H92+Data!I92+Data!J92+Data!K92+Data!L92+Data!M92+Data!D93+Data!E93+Data!G93+Data!H93+Data!I93+Data!J93+Data!K93+Data!L93+Data!M93+Data!D94+Data!E94+Data!G94+Data!H94+Data!I94+Data!J94+Data!K94+Data!L94+Data!M94+Data!D95+Data!E95+Data!G95+Data!H95+Data!I95+Data!J95+Data!K95+Data!L95+Data!M95+Data!D96+Data!E96+Data!G96+Data!H96+Data!I96+Data!J96+Data!K96+Data!L96+Data!M96+Data!D97+Data!E97+Data!G97+Data!H97+Data!I97+Data!J97+Data!K97+Data!L97+Data!M97+Data!D98+Data!E98+Data!G98+Data!H98+Data!I98+Data!J98+Data!K98+Data!L98+Data!M98+Data!D99+Data!E99+Data!G99+Data!H99+Data!I99+Data!J99+Data!K99+Data!L99+Data!M99+Data!D100+Data!E100+Data!G100+Data!H100+Data!I100+Data!J100+Data!K100+Data!L100+Data!M100+Data!D101+Data!E101+Data!G101+Data!H101+Data!I101+Data!J101+Data!K101+Data!L101+Data!M101)/(Data!AP90+Data!AP91+Data!AP92+Data!AP93+Data!AP94+Data!AP95+Data!AP96+Data!AP97+Data!AP98+Data!AP99+Data!AP100+Data!AP101)</f>
        <v>0.0991382632864318</v>
      </c>
      <c r="E101" s="18" t="n">
        <f aca="false">(Data!D90+Data!D91+Data!D92+Data!D93+Data!D94+Data!D95+Data!D96+Data!D97+Data!D98+Data!D99+Data!D100+Data!D101)/(Data!AP90+Data!AP91+Data!AP92+Data!AP93+Data!AP94+Data!AP95+Data!AP96+Data!AP97+Data!AP98+Data!AP99+Data!AP100+Data!AP101)</f>
        <v>0.0343204611238884</v>
      </c>
      <c r="F101" s="18" t="n">
        <f aca="false">(Data!E90+Data!E91+Data!E92+Data!E93+Data!E94+Data!E95+Data!E96+Data!E97+Data!E98+Data!E99+Data!E100+Data!E101)/(Data!AP90+Data!AP91+Data!AP92+Data!AP93+Data!AP94+Data!AP95+Data!AP96+Data!AP97+Data!AP98+Data!AP99+Data!AP100+Data!AP101)</f>
        <v>0.0171973086996342</v>
      </c>
      <c r="G101" s="18" t="n">
        <f aca="false">(Data!K90+Data!K91+Data!K92+Data!K93+Data!K94+Data!K95+Data!K96+Data!K97+Data!K98+Data!K99+Data!K100+Data!K101)/(Data!AP90+Data!AP91+Data!AP92+Data!AP93+Data!AP94+Data!AP95+Data!AP96+Data!AP97+Data!AP98+Data!AP99+Data!AP100+Data!AP101)</f>
        <v>0.00743006634781906</v>
      </c>
      <c r="H101" s="18" t="n">
        <f aca="false">(Data!L90+Data!L91+Data!L92+Data!L93+Data!L94+Data!L95+Data!L96+Data!L97+Data!L98+Data!L99+Data!L100+Data!L101)/(Data!AP90+Data!AP91+Data!AP92+Data!AP93+Data!AP94+Data!AP95+Data!AP96+Data!AP97+Data!AP98+Data!AP99+Data!AP100+Data!AP101)</f>
        <v>0.00572701270017211</v>
      </c>
      <c r="I101" s="18" t="n">
        <f aca="false">(Data!G90+Data!G91+Data!G92+Data!G93+Data!G94+Data!G95+Data!G96+Data!G97+Data!G98+Data!G99+Data!G100+Data!G101)/(Data!AP90+Data!AP91+Data!AP92+Data!AP93+Data!AP94+Data!AP95+Data!AP96+Data!AP97+Data!AP98+Data!AP99+Data!AP100+Data!AP101)</f>
        <v>0.0160054433626486</v>
      </c>
      <c r="J101" s="18" t="n">
        <f aca="false">(Data!H90+Data!I90+Data!J90+Data!M90+Data!H91+Data!I91+Data!J91+Data!M91+Data!H92+Data!I92+Data!J92+Data!M92+Data!H93+Data!I93+Data!J93+Data!M93+Data!H94+Data!I94+Data!J94+Data!M94+Data!H95+Data!I95+Data!J95+Data!M95+Data!H96+Data!I96+Data!J96+Data!M96+Data!H97+Data!I97+Data!J97+Data!M97+Data!H98+Data!I98+Data!J98+Data!M98+Data!H99+Data!I99+Data!J99+Data!M99+Data!H100+Data!I100+Data!J100+Data!M100+Data!H101+Data!I101+Data!J101+Data!M101)/(Data!AP90+Data!AP91+Data!AP92+Data!AP93+Data!AP94+Data!AP95+Data!AP96+Data!AP97+Data!AP98+Data!AP99+Data!AP100+Data!AP101)</f>
        <v>0.0184579710522695</v>
      </c>
      <c r="K101" s="18" t="n">
        <f aca="false">(Data!F90+Data!F91+Data!F92+Data!F93+Data!F94+Data!F95+Data!F96+Data!F97+Data!F98+Data!F99+Data!F100+Data!F101)/(Data!AP90+Data!AP91+Data!AP92+Data!AP93+Data!AP94+Data!AP95+Data!AP96+Data!AP97+Data!AP98+Data!AP99+Data!AP100+Data!AP101)</f>
        <v>0.0505494621781462</v>
      </c>
      <c r="L101" s="18" t="n">
        <f aca="false">(Data!N90+Data!O90+Data!P90+Data!Q90+Data!R90+Data!S90+Data!N91+Data!O91+Data!P91+Data!Q91+Data!R91+Data!S91+Data!N92+Data!O92+Data!P92+Data!Q92+Data!R92+Data!S92+Data!N93+Data!O93+Data!P93+Data!Q93+Data!R93+Data!S93+Data!N94+Data!O94+Data!P94+Data!Q94+Data!R94+Data!S94+Data!N95+Data!O95+Data!P95+Data!Q95+Data!R95+Data!S95+Data!N96+Data!O96+Data!P96+Data!Q96+Data!R96+Data!S96+Data!N97+Data!O97+Data!P97+Data!Q97+Data!R97+Data!S97+Data!N98+Data!O98+Data!P98+Data!Q98+Data!R98+Data!S98+Data!N99+Data!O99+Data!P99+Data!Q99+Data!R99+Data!S99+Data!N100+Data!O100+Data!P100+Data!Q100+Data!R100+Data!S100+Data!N101+Data!O101+Data!P101+Data!Q101+Data!R101+Data!S101)/(Data!AP90+Data!AP91+Data!AP92+Data!AP93+Data!AP94+Data!AP95+Data!AP96+Data!AP97+Data!AP98+Data!AP99+Data!AP100+Data!AP101)</f>
        <v>0.0192065490487013</v>
      </c>
      <c r="M101" s="17" t="n">
        <f aca="false">(Data!T90+Data!U90+Data!V90+Data!W90+Data!X90+Data!Y90+Data!Z90+Data!AA90+Data!AB90+Data!AC90+Data!AD90+Data!AE90+Data!AF90+Data!AG90+Data!AH90+Data!AI90+Data!AJ90+Data!AK90+Data!AL90+Data!T91+Data!U91+Data!V91+Data!W91+Data!X91+Data!Y91+Data!Z91+Data!AA91+Data!AB91+Data!AC91+Data!AD91+Data!AE91+Data!AF91+Data!AG91+Data!AH91+Data!AI91+Data!AJ91+Data!AK91+Data!AL91+Data!T92+Data!U92+Data!V92+Data!W92+Data!X92+Data!Y92+Data!Z92+Data!AA92+Data!AB92+Data!AC92+Data!AD92+Data!AE92+Data!AF92+Data!AG92+Data!AH92+Data!AI92+Data!AJ92+Data!AK92+Data!AL92+Data!T93+Data!U93+Data!V93+Data!W93+Data!X93+Data!Y93+Data!Z93+Data!AA93+Data!AB93+Data!AC93+Data!AD93+Data!AE93+Data!AF93+Data!AG93+Data!AH93+Data!AI93+Data!AJ93+Data!AK93+Data!AL93+Data!T94+Data!U94+Data!V94+Data!W94+Data!X94+Data!Y94+Data!Z94+Data!AA94+Data!AB94+Data!AC94+Data!AD94+Data!AE94+Data!AF94+Data!AG94+Data!AH94+Data!AI94+Data!AJ94+Data!AK94+Data!AL94+Data!T95+Data!U95+Data!V95+Data!W95+Data!X95+Data!Y95+Data!Z95+Data!AA95+Data!AB95+Data!AC95+Data!AD95+Data!AE95+Data!AF95+Data!AG95+Data!AH95+Data!AI95+Data!AJ95+Data!AK95+Data!AL95+Data!T96+Data!U96+Data!V96+Data!W96+Data!X96+Data!Y96+Data!Z96+Data!AA96+Data!AB96+Data!AC96+Data!AD96+Data!AE96+Data!AF96+Data!AG96+Data!AH96+Data!AI96+Data!AJ96+Data!AK96+Data!AL96+Data!T97+Data!U97+Data!V97+Data!W97+Data!X97+Data!Y97+Data!Z97+Data!AA97+Data!AB97+Data!AC97+Data!AD97+Data!AE97+Data!AF97+Data!AG97+Data!AH97+Data!AI97+Data!AJ97+Data!AK97+Data!AL97+Data!T98+Data!U98+Data!V98+Data!W98+Data!X98+Data!Y98+Data!Z98+Data!AA98+Data!AB98+Data!AC98+Data!AD98+Data!AE98+Data!AF98+Data!AG98+Data!AH98+Data!AI98+Data!AJ98+Data!AK98+Data!AL98+Data!T99+Data!U99+Data!V99+Data!W99+Data!X99+Data!Y99+Data!Z99+Data!AA99+Data!AB99+Data!AC99+Data!AD99+Data!AE99+Data!AF99+Data!AG99+Data!AH99+Data!AI99+Data!AJ99+Data!AK99+Data!AL99+Data!T100+Data!U100+Data!V100+Data!W100+Data!X100+Data!Y100+Data!Z100+Data!AA100+Data!AB100+Data!AC100+Data!AD100+Data!AE100+Data!AF100+Data!AG100+Data!AH100+Data!AI100+Data!AJ100+Data!AK100+Data!AL100+Data!T101+Data!U101+Data!V101+Data!W101+Data!X101+Data!Y101+Data!Z101+Data!AA101+Data!AB101+Data!AC101+Data!AD101+Data!AE101+Data!AF101+Data!AG101+Data!AH101+Data!AI101+Data!AJ101+Data!AK101+Data!AL101)/(Data!AP90+Data!AP91+Data!AP92+Data!AP93+Data!AP94+Data!AP95+Data!AP96+Data!AP97+Data!AP98+Data!AP99+Data!AP100+Data!AP101)</f>
        <v>0.189394616914981</v>
      </c>
      <c r="N101" s="18" t="n">
        <f aca="false">(Data!T90+Data!U90+Data!V90+Data!W90+Data!T91+Data!U91+Data!V91+Data!W91+Data!T92+Data!U92+Data!V92+Data!W92+Data!T93+Data!U93+Data!V93+Data!W93+Data!T94+Data!U94+Data!V94+Data!W94+Data!T95+Data!U95+Data!V95+Data!W95+Data!T96+Data!U96+Data!V96+Data!W96+Data!T97+Data!U97+Data!V97+Data!W97+Data!T98+Data!U98+Data!V98+Data!W98+Data!T99+Data!U99+Data!V99+Data!W99+Data!T100+Data!U100+Data!V100+Data!W100+Data!T101+Data!U101+Data!V101+Data!W101)/(Data!AP90+Data!AP91+Data!AP92+Data!AP93+Data!AP94+Data!AP95+Data!AP96+Data!AP97+Data!AP98+Data!AP99+Data!AP100+Data!AP101)</f>
        <v>0.0838014854029023</v>
      </c>
      <c r="O101" s="18" t="n">
        <f aca="false">(Data!T90+Data!T91+Data!T92+Data!T93+Data!T94+Data!T95+Data!T96+Data!T97+Data!T98+Data!T99+Data!T100+Data!T101)/(Data!AP90+Data!AP91+Data!AP92+Data!AP93+Data!AP94+Data!AP95+Data!AP96+Data!AP97+Data!AP98+Data!AP99+Data!AP100+Data!AP101)</f>
        <v>0.0607370803262711</v>
      </c>
      <c r="P101" s="18" t="n">
        <f aca="false">(Data!U90+Data!U91+Data!U92+Data!U93+Data!U94+Data!U95+Data!U96+Data!U97+Data!U98+Data!U99+Data!U100+Data!U101)/(Data!AP90+Data!AP91+Data!AP92+Data!AP93+Data!AP94+Data!AP95+Data!AP96+Data!AP97+Data!AP98+Data!AP99+Data!AP100+Data!AP101)</f>
        <v>0.00820959761367758</v>
      </c>
      <c r="Q101" s="18" t="n">
        <f aca="false">(Data!V90+Data!V91+Data!V92+Data!V93+Data!V94+Data!V95+Data!V96+Data!V97+Data!V98+Data!V99+Data!V100+Data!V101)/(Data!AP90+Data!AP91+Data!AP92+Data!AP93+Data!AP94+Data!AP95+Data!AP96+Data!AP97+Data!AP98+Data!AP99+Data!AP100+Data!AP101)</f>
        <v>0.00568000433625154</v>
      </c>
      <c r="R101" s="18" t="n">
        <f aca="false">(Data!W90+Data!W91+Data!W92+Data!W93+Data!W94+Data!W95+Data!W96+Data!W97+Data!W98+Data!W99+Data!W100+Data!W101)/(Data!AP90+Data!AP91+Data!AP92+Data!AP93+Data!AP94+Data!AP95+Data!AP96+Data!AP97+Data!AP98+Data!AP99+Data!AP100+Data!AP101)</f>
        <v>0.00917480312670213</v>
      </c>
      <c r="S101" s="18" t="n">
        <f aca="false">(Data!X90+Data!X91+Data!X92+Data!X93+Data!X94+Data!X95+Data!X96+Data!X97+Data!X98+Data!X99+Data!X100+Data!X101)/(Data!AP90+Data!AP91+Data!AP92+Data!AP93+Data!AP94+Data!AP95+Data!AP96+Data!AP97+Data!AP98+Data!AP99+Data!AP100+Data!AP101)</f>
        <v>0.0214938867727922</v>
      </c>
      <c r="T101" s="18" t="n">
        <f aca="false">(Data!Y90+Data!Z90+Data!AA90+Data!Y91+Data!Z91+Data!AA91+Data!Y92+Data!Z92+Data!AA92+Data!Y93+Data!Z93+Data!AA93+Data!Y94+Data!Z94+Data!AA94+Data!Y95+Data!Z95+Data!AA95+Data!Y96+Data!Z96+Data!AA96+Data!Y97+Data!Z97+Data!AA97+Data!Y98+Data!Z98+Data!AA98+Data!Y99+Data!Z99+Data!AA99+Data!Y100+Data!Z100+Data!AA100+Data!Y101+Data!Z101+Data!AA101)/(Data!AP90+Data!AP91+Data!AP92+Data!AP93+Data!AP94+Data!AP95+Data!AP96+Data!AP97+Data!AP98+Data!AP99+Data!AP100+Data!AP101)</f>
        <v>0.0192408539821499</v>
      </c>
      <c r="U101" s="18" t="n">
        <f aca="false">(Data!Y90+Data!Y91+Data!Y92+Data!Y93+Data!Y94+Data!Y95+Data!Y96+Data!Y97+Data!Y98+Data!Y99+Data!Y100+Data!Y101)/(Data!AP90+Data!AP91+Data!AP92+Data!AP93+Data!AP94+Data!AP95+Data!AP96+Data!AP97+Data!AP98+Data!AP99+Data!AP100+Data!AP101)</f>
        <v>0.0139305251438066</v>
      </c>
      <c r="V101" s="18" t="n">
        <f aca="false">(Data!Z90+Data!Z91+Data!Z92+Data!Z93+Data!Z94+Data!Z95+Data!Z96+Data!Z97+Data!Z98+Data!Z99+Data!Z100+Data!Z101)/(Data!AP90+Data!AP91+Data!AP92+Data!AP93+Data!AP94+Data!AP95+Data!AP96+Data!AP97+Data!AP98+Data!AP99+Data!AP100+Data!AP101)</f>
        <v>0.00480197611484081</v>
      </c>
      <c r="W101" s="18" t="n">
        <f aca="false">(Data!AB90+Data!AB91+Data!AB92+Data!AB93+Data!AB94+Data!AB95+Data!AB96+Data!AB97+Data!AB98+Data!AB99+Data!AB100+Data!AB101)/(Data!AP90+Data!AP91+Data!AP92+Data!AP93+Data!AP94+Data!AP95+Data!AP96+Data!AP97+Data!AP98+Data!AP99+Data!AP100+Data!AP101)</f>
        <v>0.0244649526149904</v>
      </c>
      <c r="X101" s="18" t="n">
        <f aca="false">(Data!AC90+Data!AC91+Data!AC92+Data!AC93+Data!AC94+Data!AC95+Data!AC96+Data!AC97+Data!AC98+Data!AC99+Data!AC100+Data!AC101)/(Data!AP90+Data!AP91+Data!AP92+Data!AP93+Data!AP94+Data!AP95+Data!AP96+Data!AP97+Data!AP98+Data!AP99+Data!AP100+Data!AP101)</f>
        <v>0.00669980057325961</v>
      </c>
      <c r="Y101" s="18" t="n">
        <f aca="false">(Data!AD90+Data!AE90+Data!AF90+Data!AG90+Data!AH90+Data!AD91+Data!AE91+Data!AF91+Data!AG91+Data!AH91+Data!AD92+Data!AE92+Data!AF92+Data!AG92+Data!AH92+Data!AD93+Data!AE93+Data!AF93+Data!AG93+Data!AH93+Data!AD94+Data!AE94+Data!AF94+Data!AG94+Data!AH94+Data!AD95+Data!AE95+Data!AF95+Data!AG95+Data!AH95+Data!AD96+Data!AE96+Data!AF96+Data!AG96+Data!AH96+Data!AD97+Data!AE97+Data!AF97+Data!AG97+Data!AH97+Data!AD98+Data!AE98+Data!AF98+Data!AG98+Data!AH98+Data!AD99+Data!AE99+Data!AF99+Data!AG99+Data!AH99+Data!AD100+Data!AE100+Data!AF100+Data!AG100+Data!AH100+Data!AD101+Data!AE101+Data!AF101+Data!AG101+Data!AH101)/(Data!AP90+Data!AP91+Data!AP92+Data!AP93+Data!AP94+Data!AP95+Data!AP96+Data!AP97+Data!AP98+Data!AP99+Data!AP100+Data!AP101)</f>
        <v>0.0068445119283279</v>
      </c>
      <c r="Z101" s="18" t="n">
        <f aca="false">(Data!AI90+Data!AI91+Data!AI92+Data!AI93+Data!AI94+Data!AI95+Data!AI96+Data!AI97+Data!AI98+Data!AI99+Data!AI100+Data!AI101)/(Data!AP90+Data!AP91+Data!AP92+Data!AP93+Data!AP94+Data!AP95+Data!AP96+Data!AP97+Data!AP98+Data!AP99+Data!AP100+Data!AP101)</f>
        <v>0.00636232600312799</v>
      </c>
      <c r="AA101" s="18" t="n">
        <f aca="false">(Data!AJ90+Data!AJ91+Data!AJ92+Data!AJ93+Data!AJ94+Data!AJ95+Data!AJ96+Data!AJ97+Data!AJ98+Data!AJ99+Data!AJ100+Data!AJ101)/(Data!AP90+Data!AP91+Data!AP92+Data!AP93+Data!AP94+Data!AP95+Data!AP96+Data!AP97+Data!AP98+Data!AP99+Data!AP100+Data!AP101)</f>
        <v>0</v>
      </c>
      <c r="AB101" s="18" t="n">
        <f aca="false">(Data!AK90+Data!AK91+Data!AK92+Data!AK93+Data!AK94+Data!AK95+Data!AK96+Data!AK97+Data!AK98+Data!AK99+Data!AK100+Data!AK101)/(Data!AP90+Data!AP91+Data!AP92+Data!AP93+Data!AP94+Data!AP95+Data!AP96+Data!AP97+Data!AP98+Data!AP99+Data!AP100+Data!AP101)</f>
        <v>0.00388821949522769</v>
      </c>
      <c r="AC101" s="18" t="n">
        <f aca="false">(Data!AL90+Data!AL91+Data!AL92+Data!AL93+Data!AL94+Data!AL95+Data!AL96+Data!AL97+Data!AL98+Data!AL99+Data!AL100+Data!AL101)/(Data!AP90+Data!AP91+Data!AP92+Data!AP93+Data!AP94+Data!AP95+Data!AP96+Data!AP97+Data!AP98+Data!AP99+Data!AP100+Data!AP101)</f>
        <v>0.0165985801422027</v>
      </c>
      <c r="AD101" s="17" t="n">
        <f aca="false">(Data!AM90+Data!AM91+Data!AM92+Data!AM93+Data!AM94+Data!AM95+Data!AM96+Data!AM97+Data!AM98+Data!AM99+Data!AM100+Data!AM101)/(Data!AP90+Data!AP91+Data!AP92+Data!AP93+Data!AP94+Data!AP95+Data!AP96+Data!AP97+Data!AP98+Data!AP99+Data!AP100+Data!AP101)</f>
        <v>-0.0205003424017014</v>
      </c>
      <c r="AE101" s="18" t="n">
        <f aca="false">(Data!AN90+Data!AN91+Data!AN92+Data!AN93+Data!AN94+Data!AN95+Data!AN96+Data!AN97+Data!AN98+Data!AN99+Data!AN100+Data!AN101)/(Data!AP90+Data!AP91+Data!AP92+Data!AP93+Data!AP94+Data!AP95+Data!AP96+Data!AP97+Data!AP98+Data!AP99+Data!AP100+Data!AP101)</f>
        <v>0.0175147583532495</v>
      </c>
      <c r="AF101" s="17" t="n">
        <f aca="false">(Data!AO90+Data!AO91+Data!AO92+Data!AO93+Data!AO94+Data!AO95+Data!AO96+Data!AO97+Data!AO98+Data!AO99+Data!AO100+Data!AO101)/(Data!AP90+Data!AP91+Data!AP92+Data!AP93+Data!AP94+Data!AP95+Data!AP96+Data!AP97+Data!AP98+Data!AP99+Data!AP100+Data!AP101)</f>
        <v>-0.0380151064261253</v>
      </c>
    </row>
    <row r="102" customFormat="false" ht="15" hidden="false" customHeight="false" outlineLevel="0" collapsed="false">
      <c r="B102" s="14" t="str">
        <f aca="false">Data!B102</f>
        <v>2023-12</v>
      </c>
      <c r="C102" s="17" t="n">
        <f aca="false">(Data!D91+Data!E91+Data!F91+Data!G91+Data!H91+Data!I91+Data!J91+Data!K91+Data!L91+Data!M91+Data!N91+Data!O91+Data!P91+Data!Q91+Data!R91+Data!S91+Data!D92+Data!E92+Data!F92+Data!G92+Data!H92+Data!I92+Data!J92+Data!K92+Data!L92+Data!M92+Data!N92+Data!O92+Data!P92+Data!Q92+Data!R92+Data!S92+Data!D93+Data!E93+Data!F93+Data!G93+Data!H93+Data!I93+Data!J93+Data!K93+Data!L93+Data!M93+Data!N93+Data!O93+Data!P93+Data!Q93+Data!R93+Data!S93+Data!D94+Data!E94+Data!F94+Data!G94+Data!H94+Data!I94+Data!J94+Data!K94+Data!L94+Data!M94+Data!N94+Data!O94+Data!P94+Data!Q94+Data!R94+Data!S94+Data!D95+Data!E95+Data!F95+Data!G95+Data!H95+Data!I95+Data!J95+Data!K95+Data!L95+Data!M95+Data!N95+Data!O95+Data!P95+Data!Q95+Data!R95+Data!S95+Data!D96+Data!E96+Data!F96+Data!G96+Data!H96+Data!I96+Data!J96+Data!K96+Data!L96+Data!M96+Data!N96+Data!O96+Data!P96+Data!Q96+Data!R96+Data!S96+Data!D97+Data!E97+Data!F97+Data!G97+Data!H97+Data!I97+Data!J97+Data!K97+Data!L97+Data!M97+Data!N97+Data!O97+Data!P97+Data!Q97+Data!R97+Data!S97+Data!D98+Data!E98+Data!F98+Data!G98+Data!H98+Data!I98+Data!J98+Data!K98+Data!L98+Data!M98+Data!N98+Data!O98+Data!P98+Data!Q98+Data!R98+Data!S98+Data!D99+Data!E99+Data!F99+Data!G99+Data!H99+Data!I99+Data!J99+Data!K99+Data!L99+Data!M99+Data!N99+Data!O99+Data!P99+Data!Q99+Data!R99+Data!S99+Data!D100+Data!E100+Data!F100+Data!G100+Data!H100+Data!I100+Data!J100+Data!K100+Data!L100+Data!M100+Data!N100+Data!O100+Data!P100+Data!Q100+Data!R100+Data!S100+Data!D101+Data!E101+Data!F101+Data!G101+Data!H101+Data!I101+Data!J101+Data!K101+Data!L101+Data!M101+Data!N101+Data!O101+Data!P101+Data!Q101+Data!R101+Data!S101+Data!D102+Data!E102+Data!F102+Data!G102+Data!H102+Data!I102+Data!J102+Data!K102+Data!L102+Data!M102+Data!N102+Data!O102+Data!P102+Data!Q102+Data!R102+Data!S102)/(Data!AP91+Data!AP92+Data!AP93+Data!AP94+Data!AP95+Data!AP96+Data!AP97+Data!AP98+Data!AP99+Data!AP100+Data!AP101+Data!AP102)</f>
        <v>0.166645129234905</v>
      </c>
      <c r="D102" s="18" t="n">
        <f aca="false">(Data!D91+Data!E91+Data!G91+Data!H91+Data!I91+Data!J91+Data!K91+Data!L91+Data!M91+Data!D92+Data!E92+Data!G92+Data!H92+Data!I92+Data!J92+Data!K92+Data!L92+Data!M92+Data!D93+Data!E93+Data!G93+Data!H93+Data!I93+Data!J93+Data!K93+Data!L93+Data!M93+Data!D94+Data!E94+Data!G94+Data!H94+Data!I94+Data!J94+Data!K94+Data!L94+Data!M94+Data!D95+Data!E95+Data!G95+Data!H95+Data!I95+Data!J95+Data!K95+Data!L95+Data!M95+Data!D96+Data!E96+Data!G96+Data!H96+Data!I96+Data!J96+Data!K96+Data!L96+Data!M96+Data!D97+Data!E97+Data!G97+Data!H97+Data!I97+Data!J97+Data!K97+Data!L97+Data!M97+Data!D98+Data!E98+Data!G98+Data!H98+Data!I98+Data!J98+Data!K98+Data!L98+Data!M98+Data!D99+Data!E99+Data!G99+Data!H99+Data!I99+Data!J99+Data!K99+Data!L99+Data!M99+Data!D100+Data!E100+Data!G100+Data!H100+Data!I100+Data!J100+Data!K100+Data!L100+Data!M100+Data!D101+Data!E101+Data!G101+Data!H101+Data!I101+Data!J101+Data!K101+Data!L101+Data!M101+Data!D102+Data!E102+Data!G102+Data!H102+Data!I102+Data!J102+Data!K102+Data!L102+Data!M102)/(Data!AP91+Data!AP92+Data!AP93+Data!AP94+Data!AP95+Data!AP96+Data!AP97+Data!AP98+Data!AP99+Data!AP100+Data!AP101+Data!AP102)</f>
        <v>0.0979940163589218</v>
      </c>
      <c r="E102" s="18" t="n">
        <f aca="false">(Data!D91+Data!D92+Data!D93+Data!D94+Data!D95+Data!D96+Data!D97+Data!D98+Data!D99+Data!D100+Data!D101+Data!D102)/(Data!AP91+Data!AP92+Data!AP93+Data!AP94+Data!AP95+Data!AP96+Data!AP97+Data!AP98+Data!AP99+Data!AP100+Data!AP101+Data!AP102)</f>
        <v>0.0342917197310928</v>
      </c>
      <c r="F102" s="18" t="n">
        <f aca="false">(Data!E91+Data!E92+Data!E93+Data!E94+Data!E95+Data!E96+Data!E97+Data!E98+Data!E99+Data!E100+Data!E101+Data!E102)/(Data!AP91+Data!AP92+Data!AP93+Data!AP94+Data!AP95+Data!AP96+Data!AP97+Data!AP98+Data!AP99+Data!AP100+Data!AP101+Data!AP102)</f>
        <v>0.0160261780984182</v>
      </c>
      <c r="G102" s="18" t="n">
        <f aca="false">(Data!K91+Data!K92+Data!K93+Data!K94+Data!K95+Data!K96+Data!K97+Data!K98+Data!K99+Data!K100+Data!K101+Data!K102)/(Data!AP91+Data!AP92+Data!AP93+Data!AP94+Data!AP95+Data!AP96+Data!AP97+Data!AP98+Data!AP99+Data!AP100+Data!AP101+Data!AP102)</f>
        <v>0.00788806982906725</v>
      </c>
      <c r="H102" s="18" t="n">
        <f aca="false">(Data!L91+Data!L92+Data!L93+Data!L94+Data!L95+Data!L96+Data!L97+Data!L98+Data!L99+Data!L100+Data!L101+Data!L102)/(Data!AP91+Data!AP92+Data!AP93+Data!AP94+Data!AP95+Data!AP96+Data!AP97+Data!AP98+Data!AP99+Data!AP100+Data!AP101+Data!AP102)</f>
        <v>0.00566786624952874</v>
      </c>
      <c r="I102" s="18" t="n">
        <f aca="false">(Data!G91+Data!G92+Data!G93+Data!G94+Data!G95+Data!G96+Data!G97+Data!G98+Data!G99+Data!G100+Data!G101+Data!G102)/(Data!AP91+Data!AP92+Data!AP93+Data!AP94+Data!AP95+Data!AP96+Data!AP97+Data!AP98+Data!AP99+Data!AP100+Data!AP101+Data!AP102)</f>
        <v>0.0155090965002352</v>
      </c>
      <c r="J102" s="18" t="n">
        <f aca="false">(Data!H91+Data!I91+Data!J91+Data!M91+Data!H92+Data!I92+Data!J92+Data!M92+Data!H93+Data!I93+Data!J93+Data!M93+Data!H94+Data!I94+Data!J94+Data!M94+Data!H95+Data!I95+Data!J95+Data!M95+Data!H96+Data!I96+Data!J96+Data!M96+Data!H97+Data!I97+Data!J97+Data!M97+Data!H98+Data!I98+Data!J98+Data!M98+Data!H99+Data!I99+Data!J99+Data!M99+Data!H100+Data!I100+Data!J100+Data!M100+Data!H101+Data!I101+Data!J101+Data!M101+Data!H102+Data!I102+Data!J102+Data!M102)/(Data!AP91+Data!AP92+Data!AP93+Data!AP94+Data!AP95+Data!AP96+Data!AP97+Data!AP98+Data!AP99+Data!AP100+Data!AP101+Data!AP102)</f>
        <v>0.0186110859505797</v>
      </c>
      <c r="K102" s="18" t="n">
        <f aca="false">(Data!F91+Data!F92+Data!F93+Data!F94+Data!F95+Data!F96+Data!F97+Data!F98+Data!F99+Data!F100+Data!F101+Data!F102)/(Data!AP91+Data!AP92+Data!AP93+Data!AP94+Data!AP95+Data!AP96+Data!AP97+Data!AP98+Data!AP99+Data!AP100+Data!AP101+Data!AP102)</f>
        <v>0.049600198718378</v>
      </c>
      <c r="L102" s="18" t="n">
        <f aca="false">(Data!N91+Data!O91+Data!P91+Data!Q91+Data!R91+Data!S91+Data!N92+Data!O92+Data!P92+Data!Q92+Data!R92+Data!S92+Data!N93+Data!O93+Data!P93+Data!Q93+Data!R93+Data!S93+Data!N94+Data!O94+Data!P94+Data!Q94+Data!R94+Data!S94+Data!N95+Data!O95+Data!P95+Data!Q95+Data!R95+Data!S95+Data!N96+Data!O96+Data!P96+Data!Q96+Data!R96+Data!S96+Data!N97+Data!O97+Data!P97+Data!Q97+Data!R97+Data!S97+Data!N98+Data!O98+Data!P98+Data!Q98+Data!R98+Data!S98+Data!N99+Data!O99+Data!P99+Data!Q99+Data!R99+Data!S99+Data!N100+Data!O100+Data!P100+Data!Q100+Data!R100+Data!S100+Data!N101+Data!O101+Data!P101+Data!Q101+Data!R101+Data!S101+Data!N102+Data!O102+Data!P102+Data!Q102+Data!R102+Data!S102)/(Data!AP91+Data!AP92+Data!AP93+Data!AP94+Data!AP95+Data!AP96+Data!AP97+Data!AP98+Data!AP99+Data!AP100+Data!AP101+Data!AP102)</f>
        <v>0.0190509141576057</v>
      </c>
      <c r="M102" s="17" t="n">
        <f aca="false">(Data!T91+Data!U91+Data!V91+Data!W91+Data!X91+Data!Y91+Data!Z91+Data!AA91+Data!AB91+Data!AC91+Data!AD91+Data!AE91+Data!AF91+Data!AG91+Data!AH91+Data!AI91+Data!AJ91+Data!AK91+Data!AL91+Data!T92+Data!U92+Data!V92+Data!W92+Data!X92+Data!Y92+Data!Z92+Data!AA92+Data!AB92+Data!AC92+Data!AD92+Data!AE92+Data!AF92+Data!AG92+Data!AH92+Data!AI92+Data!AJ92+Data!AK92+Data!AL92+Data!T93+Data!U93+Data!V93+Data!W93+Data!X93+Data!Y93+Data!Z93+Data!AA93+Data!AB93+Data!AC93+Data!AD93+Data!AE93+Data!AF93+Data!AG93+Data!AH93+Data!AI93+Data!AJ93+Data!AK93+Data!AL93+Data!T94+Data!U94+Data!V94+Data!W94+Data!X94+Data!Y94+Data!Z94+Data!AA94+Data!AB94+Data!AC94+Data!AD94+Data!AE94+Data!AF94+Data!AG94+Data!AH94+Data!AI94+Data!AJ94+Data!AK94+Data!AL94+Data!T95+Data!U95+Data!V95+Data!W95+Data!X95+Data!Y95+Data!Z95+Data!AA95+Data!AB95+Data!AC95+Data!AD95+Data!AE95+Data!AF95+Data!AG95+Data!AH95+Data!AI95+Data!AJ95+Data!AK95+Data!AL95+Data!T96+Data!U96+Data!V96+Data!W96+Data!X96+Data!Y96+Data!Z96+Data!AA96+Data!AB96+Data!AC96+Data!AD96+Data!AE96+Data!AF96+Data!AG96+Data!AH96+Data!AI96+Data!AJ96+Data!AK96+Data!AL96+Data!T97+Data!U97+Data!V97+Data!W97+Data!X97+Data!Y97+Data!Z97+Data!AA97+Data!AB97+Data!AC97+Data!AD97+Data!AE97+Data!AF97+Data!AG97+Data!AH97+Data!AI97+Data!AJ97+Data!AK97+Data!AL97+Data!T98+Data!U98+Data!V98+Data!W98+Data!X98+Data!Y98+Data!Z98+Data!AA98+Data!AB98+Data!AC98+Data!AD98+Data!AE98+Data!AF98+Data!AG98+Data!AH98+Data!AI98+Data!AJ98+Data!AK98+Data!AL98+Data!T99+Data!U99+Data!V99+Data!W99+Data!X99+Data!Y99+Data!Z99+Data!AA99+Data!AB99+Data!AC99+Data!AD99+Data!AE99+Data!AF99+Data!AG99+Data!AH99+Data!AI99+Data!AJ99+Data!AK99+Data!AL99+Data!T100+Data!U100+Data!V100+Data!W100+Data!X100+Data!Y100+Data!Z100+Data!AA100+Data!AB100+Data!AC100+Data!AD100+Data!AE100+Data!AF100+Data!AG100+Data!AH100+Data!AI100+Data!AJ100+Data!AK100+Data!AL100+Data!T101+Data!U101+Data!V101+Data!W101+Data!X101+Data!Y101+Data!Z101+Data!AA101+Data!AB101+Data!AC101+Data!AD101+Data!AE101+Data!AF101+Data!AG101+Data!AH101+Data!AI101+Data!AJ101+Data!AK101+Data!AL101+Data!T102+Data!U102+Data!V102+Data!W102+Data!X102+Data!Y102+Data!Z102+Data!AA102+Data!AB102+Data!AC102+Data!AD102+Data!AE102+Data!AF102+Data!AG102+Data!AH102+Data!AI102+Data!AJ102+Data!AK102+Data!AL102)/(Data!AP91+Data!AP92+Data!AP93+Data!AP94+Data!AP95+Data!AP96+Data!AP97+Data!AP98+Data!AP99+Data!AP100+Data!AP101+Data!AP102)</f>
        <v>0.193274352026855</v>
      </c>
      <c r="N102" s="18" t="n">
        <f aca="false">(Data!T91+Data!U91+Data!V91+Data!W91+Data!T92+Data!U92+Data!V92+Data!W92+Data!T93+Data!U93+Data!V93+Data!W93+Data!T94+Data!U94+Data!V94+Data!W94+Data!T95+Data!U95+Data!V95+Data!W95+Data!T96+Data!U96+Data!V96+Data!W96+Data!T97+Data!U97+Data!V97+Data!W97+Data!T98+Data!U98+Data!V98+Data!W98+Data!T99+Data!U99+Data!V99+Data!W99+Data!T100+Data!U100+Data!V100+Data!W100+Data!T101+Data!U101+Data!V101+Data!W101+Data!T102+Data!U102+Data!V102+Data!W102)/(Data!AP91+Data!AP92+Data!AP93+Data!AP94+Data!AP95+Data!AP96+Data!AP97+Data!AP98+Data!AP99+Data!AP100+Data!AP101+Data!AP102)</f>
        <v>0.0837934426757466</v>
      </c>
      <c r="O102" s="18" t="n">
        <f aca="false">(Data!T91+Data!T92+Data!T93+Data!T94+Data!T95+Data!T96+Data!T97+Data!T98+Data!T99+Data!T100+Data!T101+Data!T102)/(Data!AP91+Data!AP92+Data!AP93+Data!AP94+Data!AP95+Data!AP96+Data!AP97+Data!AP98+Data!AP99+Data!AP100+Data!AP101+Data!AP102)</f>
        <v>0.0610315659967975</v>
      </c>
      <c r="P102" s="18" t="n">
        <f aca="false">(Data!U91+Data!U92+Data!U93+Data!U94+Data!U95+Data!U96+Data!U97+Data!U98+Data!U99+Data!U100+Data!U101+Data!U102)/(Data!AP91+Data!AP92+Data!AP93+Data!AP94+Data!AP95+Data!AP96+Data!AP97+Data!AP98+Data!AP99+Data!AP100+Data!AP101+Data!AP102)</f>
        <v>0.00798325087430246</v>
      </c>
      <c r="Q102" s="18" t="n">
        <f aca="false">(Data!V91+Data!V92+Data!V93+Data!V94+Data!V95+Data!V96+Data!V97+Data!V98+Data!V99+Data!V100+Data!V101+Data!V102)/(Data!AP91+Data!AP92+Data!AP93+Data!AP94+Data!AP95+Data!AP96+Data!AP97+Data!AP98+Data!AP99+Data!AP100+Data!AP101+Data!AP102)</f>
        <v>0.00555490707623444</v>
      </c>
      <c r="R102" s="18" t="n">
        <f aca="false">(Data!W91+Data!W92+Data!W93+Data!W94+Data!W95+Data!W96+Data!W97+Data!W98+Data!W99+Data!W100+Data!W101+Data!W102)/(Data!AP91+Data!AP92+Data!AP93+Data!AP94+Data!AP95+Data!AP96+Data!AP97+Data!AP98+Data!AP99+Data!AP100+Data!AP101+Data!AP102)</f>
        <v>0.00922371872841229</v>
      </c>
      <c r="S102" s="18" t="n">
        <f aca="false">(Data!X91+Data!X92+Data!X93+Data!X94+Data!X95+Data!X96+Data!X97+Data!X98+Data!X99+Data!X100+Data!X101+Data!X102)/(Data!AP91+Data!AP92+Data!AP93+Data!AP94+Data!AP95+Data!AP96+Data!AP97+Data!AP98+Data!AP99+Data!AP100+Data!AP101+Data!AP102)</f>
        <v>0.0213070710106233</v>
      </c>
      <c r="T102" s="18" t="n">
        <f aca="false">(Data!Y91+Data!Z91+Data!AA91+Data!Y92+Data!Z92+Data!AA92+Data!Y93+Data!Z93+Data!AA93+Data!Y94+Data!Z94+Data!AA94+Data!Y95+Data!Z95+Data!AA95+Data!Y96+Data!Z96+Data!AA96+Data!Y97+Data!Z97+Data!AA97+Data!Y98+Data!Z98+Data!AA98+Data!Y99+Data!Z99+Data!AA99+Data!Y100+Data!Z100+Data!AA100+Data!Y101+Data!Z101+Data!AA101+Data!Y102+Data!Z102+Data!AA102)/(Data!AP91+Data!AP92+Data!AP93+Data!AP94+Data!AP95+Data!AP96+Data!AP97+Data!AP98+Data!AP99+Data!AP100+Data!AP101+Data!AP102)</f>
        <v>0.0205200433873434</v>
      </c>
      <c r="U102" s="18" t="n">
        <f aca="false">(Data!Y91+Data!Y92+Data!Y93+Data!Y94+Data!Y95+Data!Y96+Data!Y97+Data!Y98+Data!Y99+Data!Y100+Data!Y101+Data!Y102)/(Data!AP91+Data!AP92+Data!AP93+Data!AP94+Data!AP95+Data!AP96+Data!AP97+Data!AP98+Data!AP99+Data!AP100+Data!AP101+Data!AP102)</f>
        <v>0.0152190057111223</v>
      </c>
      <c r="V102" s="18" t="n">
        <f aca="false">(Data!Z91+Data!Z92+Data!Z93+Data!Z94+Data!Z95+Data!Z96+Data!Z97+Data!Z98+Data!Z99+Data!Z100+Data!Z101+Data!Z102)/(Data!AP91+Data!AP92+Data!AP93+Data!AP94+Data!AP95+Data!AP96+Data!AP97+Data!AP98+Data!AP99+Data!AP100+Data!AP101+Data!AP102)</f>
        <v>0.00472322273395222</v>
      </c>
      <c r="W102" s="18" t="n">
        <f aca="false">(Data!AB91+Data!AB92+Data!AB93+Data!AB94+Data!AB95+Data!AB96+Data!AB97+Data!AB98+Data!AB99+Data!AB100+Data!AB101+Data!AB102)/(Data!AP91+Data!AP92+Data!AP93+Data!AP94+Data!AP95+Data!AP96+Data!AP97+Data!AP98+Data!AP99+Data!AP100+Data!AP101+Data!AP102)</f>
        <v>0.025975391915233</v>
      </c>
      <c r="X102" s="18" t="n">
        <f aca="false">(Data!AC91+Data!AC92+Data!AC93+Data!AC94+Data!AC95+Data!AC96+Data!AC97+Data!AC98+Data!AC99+Data!AC100+Data!AC101+Data!AC102)/(Data!AP91+Data!AP92+Data!AP93+Data!AP94+Data!AP95+Data!AP96+Data!AP97+Data!AP98+Data!AP99+Data!AP100+Data!AP101+Data!AP102)</f>
        <v>0.00655630860621774</v>
      </c>
      <c r="Y102" s="18" t="n">
        <f aca="false">(Data!AD91+Data!AE91+Data!AF91+Data!AG91+Data!AH91+Data!AD92+Data!AE92+Data!AF92+Data!AG92+Data!AH92+Data!AD93+Data!AE93+Data!AF93+Data!AG93+Data!AH93+Data!AD94+Data!AE94+Data!AF94+Data!AG94+Data!AH94+Data!AD95+Data!AE95+Data!AF95+Data!AG95+Data!AH95+Data!AD96+Data!AE96+Data!AF96+Data!AG96+Data!AH96+Data!AD97+Data!AE97+Data!AF97+Data!AG97+Data!AH97+Data!AD98+Data!AE98+Data!AF98+Data!AG98+Data!AH98+Data!AD99+Data!AE99+Data!AF99+Data!AG99+Data!AH99+Data!AD100+Data!AE100+Data!AF100+Data!AG100+Data!AH100+Data!AD101+Data!AE101+Data!AF101+Data!AG101+Data!AH101+Data!AD102+Data!AE102+Data!AF102+Data!AG102+Data!AH102)/(Data!AP91+Data!AP92+Data!AP93+Data!AP94+Data!AP95+Data!AP96+Data!AP97+Data!AP98+Data!AP99+Data!AP100+Data!AP101+Data!AP102)</f>
        <v>0.00741267505378386</v>
      </c>
      <c r="Z102" s="18" t="n">
        <f aca="false">(Data!AI91+Data!AI92+Data!AI93+Data!AI94+Data!AI95+Data!AI96+Data!AI97+Data!AI98+Data!AI99+Data!AI100+Data!AI101+Data!AI102)/(Data!AP91+Data!AP92+Data!AP93+Data!AP94+Data!AP95+Data!AP96+Data!AP97+Data!AP98+Data!AP99+Data!AP100+Data!AP101+Data!AP102)</f>
        <v>0.00728447453868482</v>
      </c>
      <c r="AA102" s="18" t="n">
        <f aca="false">(Data!AJ91+Data!AJ92+Data!AJ93+Data!AJ94+Data!AJ95+Data!AJ96+Data!AJ97+Data!AJ98+Data!AJ99+Data!AJ100+Data!AJ101+Data!AJ102)/(Data!AP91+Data!AP92+Data!AP93+Data!AP94+Data!AP95+Data!AP96+Data!AP97+Data!AP98+Data!AP99+Data!AP100+Data!AP101+Data!AP102)</f>
        <v>0</v>
      </c>
      <c r="AB102" s="18" t="n">
        <f aca="false">(Data!AK91+Data!AK92+Data!AK93+Data!AK94+Data!AK95+Data!AK96+Data!AK97+Data!AK98+Data!AK99+Data!AK100+Data!AK101+Data!AK102)/(Data!AP91+Data!AP92+Data!AP93+Data!AP94+Data!AP95+Data!AP96+Data!AP97+Data!AP98+Data!AP99+Data!AP100+Data!AP101+Data!AP102)</f>
        <v>0.0045939806927894</v>
      </c>
      <c r="AC102" s="18" t="n">
        <f aca="false">(Data!AL91+Data!AL92+Data!AL93+Data!AL94+Data!AL95+Data!AL96+Data!AL97+Data!AL98+Data!AL99+Data!AL100+Data!AL101+Data!AL102)/(Data!AP91+Data!AP92+Data!AP93+Data!AP94+Data!AP95+Data!AP96+Data!AP97+Data!AP98+Data!AP99+Data!AP100+Data!AP101+Data!AP102)</f>
        <v>0.0158309641464328</v>
      </c>
      <c r="AD102" s="17" t="n">
        <f aca="false">(Data!AM91+Data!AM92+Data!AM93+Data!AM94+Data!AM95+Data!AM96+Data!AM97+Data!AM98+Data!AM99+Data!AM100+Data!AM101+Data!AM102)/(Data!AP91+Data!AP92+Data!AP93+Data!AP94+Data!AP95+Data!AP96+Data!AP97+Data!AP98+Data!AP99+Data!AP100+Data!AP101+Data!AP102)</f>
        <v>-0.0266292227919494</v>
      </c>
      <c r="AE102" s="18" t="n">
        <f aca="false">(Data!AN91+Data!AN92+Data!AN93+Data!AN94+Data!AN95+Data!AN96+Data!AN97+Data!AN98+Data!AN99+Data!AN100+Data!AN101+Data!AN102)/(Data!AP91+Data!AP92+Data!AP93+Data!AP94+Data!AP95+Data!AP96+Data!AP97+Data!AP98+Data!AP99+Data!AP100+Data!AP101+Data!AP102)</f>
        <v>0.0167769791765289</v>
      </c>
      <c r="AF102" s="17" t="n">
        <f aca="false">(Data!AO91+Data!AO92+Data!AO93+Data!AO94+Data!AO95+Data!AO96+Data!AO97+Data!AO98+Data!AO99+Data!AO100+Data!AO101+Data!AO102)/(Data!AP91+Data!AP92+Data!AP93+Data!AP94+Data!AP95+Data!AP96+Data!AP97+Data!AP98+Data!AP99+Data!AP100+Data!AP101+Data!AP102)</f>
        <v>-0.043406207124548</v>
      </c>
    </row>
    <row r="103" customFormat="false" ht="15" hidden="false" customHeight="false" outlineLevel="0" collapsed="false">
      <c r="B103" s="14" t="str">
        <f aca="false">Data!B103</f>
        <v>2024-01</v>
      </c>
      <c r="C103" s="17" t="n">
        <f aca="false">(Data!D92+Data!E92+Data!F92+Data!G92+Data!H92+Data!I92+Data!J92+Data!K92+Data!L92+Data!M92+Data!N92+Data!O92+Data!P92+Data!Q92+Data!R92+Data!S92+Data!D93+Data!E93+Data!F93+Data!G93+Data!H93+Data!I93+Data!J93+Data!K93+Data!L93+Data!M93+Data!N93+Data!O93+Data!P93+Data!Q93+Data!R93+Data!S93+Data!D94+Data!E94+Data!F94+Data!G94+Data!H94+Data!I94+Data!J94+Data!K94+Data!L94+Data!M94+Data!N94+Data!O94+Data!P94+Data!Q94+Data!R94+Data!S94+Data!D95+Data!E95+Data!F95+Data!G95+Data!H95+Data!I95+Data!J95+Data!K95+Data!L95+Data!M95+Data!N95+Data!O95+Data!P95+Data!Q95+Data!R95+Data!S95+Data!D96+Data!E96+Data!F96+Data!G96+Data!H96+Data!I96+Data!J96+Data!K96+Data!L96+Data!M96+Data!N96+Data!O96+Data!P96+Data!Q96+Data!R96+Data!S96+Data!D97+Data!E97+Data!F97+Data!G97+Data!H97+Data!I97+Data!J97+Data!K97+Data!L97+Data!M97+Data!N97+Data!O97+Data!P97+Data!Q97+Data!R97+Data!S97+Data!D98+Data!E98+Data!F98+Data!G98+Data!H98+Data!I98+Data!J98+Data!K98+Data!L98+Data!M98+Data!N98+Data!O98+Data!P98+Data!Q98+Data!R98+Data!S98+Data!D99+Data!E99+Data!F99+Data!G99+Data!H99+Data!I99+Data!J99+Data!K99+Data!L99+Data!M99+Data!N99+Data!O99+Data!P99+Data!Q99+Data!R99+Data!S99+Data!D100+Data!E100+Data!F100+Data!G100+Data!H100+Data!I100+Data!J100+Data!K100+Data!L100+Data!M100+Data!N100+Data!O100+Data!P100+Data!Q100+Data!R100+Data!S100+Data!D101+Data!E101+Data!F101+Data!G101+Data!H101+Data!I101+Data!J101+Data!K101+Data!L101+Data!M101+Data!N101+Data!O101+Data!P101+Data!Q101+Data!R101+Data!S101+Data!D102+Data!E102+Data!F102+Data!G102+Data!H102+Data!I102+Data!J102+Data!K102+Data!L102+Data!M102+Data!N102+Data!O102+Data!P102+Data!Q102+Data!R102+Data!S102+Data!D103+Data!E103+Data!F103+Data!G103+Data!H103+Data!I103+Data!J103+Data!K103+Data!L103+Data!M103+Data!N103+Data!O103+Data!P103+Data!Q103+Data!R103+Data!S103)/(Data!AP92+Data!AP93+Data!AP94+Data!AP95+Data!AP96+Data!AP97+Data!AP98+Data!AP99+Data!AP100+Data!AP101+Data!AP102+Data!AP103)</f>
        <v>0.169996739774124</v>
      </c>
      <c r="D103" s="18" t="n">
        <f aca="false">(Data!D92+Data!E92+Data!G92+Data!H92+Data!I92+Data!J92+Data!K92+Data!L92+Data!M92+Data!D93+Data!E93+Data!G93+Data!H93+Data!I93+Data!J93+Data!K93+Data!L93+Data!M93+Data!D94+Data!E94+Data!G94+Data!H94+Data!I94+Data!J94+Data!K94+Data!L94+Data!M94+Data!D95+Data!E95+Data!G95+Data!H95+Data!I95+Data!J95+Data!K95+Data!L95+Data!M95+Data!D96+Data!E96+Data!G96+Data!H96+Data!I96+Data!J96+Data!K96+Data!L96+Data!M96+Data!D97+Data!E97+Data!G97+Data!H97+Data!I97+Data!J97+Data!K97+Data!L97+Data!M97+Data!D98+Data!E98+Data!G98+Data!H98+Data!I98+Data!J98+Data!K98+Data!L98+Data!M98+Data!D99+Data!E99+Data!G99+Data!H99+Data!I99+Data!J99+Data!K99+Data!L99+Data!M99+Data!D100+Data!E100+Data!G100+Data!H100+Data!I100+Data!J100+Data!K100+Data!L100+Data!M100+Data!D101+Data!E101+Data!G101+Data!H101+Data!I101+Data!J101+Data!K101+Data!L101+Data!M101+Data!D102+Data!E102+Data!G102+Data!H102+Data!I102+Data!J102+Data!K102+Data!L102+Data!M102+Data!D103+Data!E103+Data!G103+Data!H103+Data!I103+Data!J103+Data!K103+Data!L103+Data!M103)/(Data!AP92+Data!AP93+Data!AP94+Data!AP95+Data!AP96+Data!AP97+Data!AP98+Data!AP99+Data!AP100+Data!AP101+Data!AP102+Data!AP103)</f>
        <v>0.10177019754572</v>
      </c>
      <c r="E103" s="18" t="n">
        <f aca="false">(Data!D92+Data!D93+Data!D94+Data!D95+Data!D96+Data!D97+Data!D98+Data!D99+Data!D100+Data!D101+Data!D102+Data!D103)/(Data!AP92+Data!AP93+Data!AP94+Data!AP95+Data!AP96+Data!AP97+Data!AP98+Data!AP99+Data!AP100+Data!AP101+Data!AP102+Data!AP103)</f>
        <v>0.0351616268725924</v>
      </c>
      <c r="F103" s="18" t="n">
        <f aca="false">(Data!E92+Data!E93+Data!E94+Data!E95+Data!E96+Data!E97+Data!E98+Data!E99+Data!E100+Data!E101+Data!E102+Data!E103)/(Data!AP92+Data!AP93+Data!AP94+Data!AP95+Data!AP96+Data!AP97+Data!AP98+Data!AP99+Data!AP100+Data!AP101+Data!AP102+Data!AP103)</f>
        <v>0.0153186563137511</v>
      </c>
      <c r="G103" s="18" t="n">
        <f aca="false">(Data!K92+Data!K93+Data!K94+Data!K95+Data!K96+Data!K97+Data!K98+Data!K99+Data!K100+Data!K101+Data!K102+Data!K103)/(Data!AP92+Data!AP93+Data!AP94+Data!AP95+Data!AP96+Data!AP97+Data!AP98+Data!AP99+Data!AP100+Data!AP101+Data!AP102+Data!AP103)</f>
        <v>0.00960154959688103</v>
      </c>
      <c r="H103" s="18" t="n">
        <f aca="false">(Data!L92+Data!L93+Data!L94+Data!L95+Data!L96+Data!L97+Data!L98+Data!L99+Data!L100+Data!L101+Data!L102+Data!L103)/(Data!AP92+Data!AP93+Data!AP94+Data!AP95+Data!AP96+Data!AP97+Data!AP98+Data!AP99+Data!AP100+Data!AP101+Data!AP102+Data!AP103)</f>
        <v>0.00604776660388566</v>
      </c>
      <c r="I103" s="18" t="n">
        <f aca="false">(Data!G92+Data!G93+Data!G94+Data!G95+Data!G96+Data!G97+Data!G98+Data!G99+Data!G100+Data!G101+Data!G102+Data!G103)/(Data!AP92+Data!AP93+Data!AP94+Data!AP95+Data!AP96+Data!AP97+Data!AP98+Data!AP99+Data!AP100+Data!AP101+Data!AP102+Data!AP103)</f>
        <v>0.0156739800204653</v>
      </c>
      <c r="J103" s="18" t="n">
        <f aca="false">(Data!H92+Data!I92+Data!J92+Data!M92+Data!H93+Data!I93+Data!J93+Data!M93+Data!H94+Data!I94+Data!J94+Data!M94+Data!H95+Data!I95+Data!J95+Data!M95+Data!H96+Data!I96+Data!J96+Data!M96+Data!H97+Data!I97+Data!J97+Data!M97+Data!H98+Data!I98+Data!J98+Data!M98+Data!H99+Data!I99+Data!J99+Data!M99+Data!H100+Data!I100+Data!J100+Data!M100+Data!H101+Data!I101+Data!J101+Data!M101+Data!H102+Data!I102+Data!J102+Data!M102+Data!H103+Data!I103+Data!J103+Data!M103)/(Data!AP92+Data!AP93+Data!AP94+Data!AP95+Data!AP96+Data!AP97+Data!AP98+Data!AP99+Data!AP100+Data!AP101+Data!AP102+Data!AP103)</f>
        <v>0.0199666181381445</v>
      </c>
      <c r="K103" s="18" t="n">
        <f aca="false">(Data!F92+Data!F93+Data!F94+Data!F95+Data!F96+Data!F97+Data!F98+Data!F99+Data!F100+Data!F101+Data!F102+Data!F103)/(Data!AP92+Data!AP93+Data!AP94+Data!AP95+Data!AP96+Data!AP97+Data!AP98+Data!AP99+Data!AP100+Data!AP101+Data!AP102+Data!AP103)</f>
        <v>0.0495014011192879</v>
      </c>
      <c r="L103" s="18" t="n">
        <f aca="false">(Data!N92+Data!O92+Data!P92+Data!Q92+Data!R92+Data!S92+Data!N93+Data!O93+Data!P93+Data!Q93+Data!R93+Data!S93+Data!N94+Data!O94+Data!P94+Data!Q94+Data!R94+Data!S94+Data!N95+Data!O95+Data!P95+Data!Q95+Data!R95+Data!S95+Data!N96+Data!O96+Data!P96+Data!Q96+Data!R96+Data!S96+Data!N97+Data!O97+Data!P97+Data!Q97+Data!R97+Data!S97+Data!N98+Data!O98+Data!P98+Data!Q98+Data!R98+Data!S98+Data!N99+Data!O99+Data!P99+Data!Q99+Data!R99+Data!S99+Data!N100+Data!O100+Data!P100+Data!Q100+Data!R100+Data!S100+Data!N101+Data!O101+Data!P101+Data!Q101+Data!R101+Data!S101+Data!N102+Data!O102+Data!P102+Data!Q102+Data!R102+Data!S102+Data!N103+Data!O103+Data!P103+Data!Q103+Data!R103+Data!S103)/(Data!AP92+Data!AP93+Data!AP94+Data!AP95+Data!AP96+Data!AP97+Data!AP98+Data!AP99+Data!AP100+Data!AP101+Data!AP102+Data!AP103)</f>
        <v>0.0187251411091166</v>
      </c>
      <c r="M103" s="17" t="n">
        <f aca="false">(Data!T92+Data!U92+Data!V92+Data!W92+Data!X92+Data!Y92+Data!Z92+Data!AA92+Data!AB92+Data!AC92+Data!AD92+Data!AE92+Data!AF92+Data!AG92+Data!AH92+Data!AI92+Data!AJ92+Data!AK92+Data!AL92+Data!T93+Data!U93+Data!V93+Data!W93+Data!X93+Data!Y93+Data!Z93+Data!AA93+Data!AB93+Data!AC93+Data!AD93+Data!AE93+Data!AF93+Data!AG93+Data!AH93+Data!AI93+Data!AJ93+Data!AK93+Data!AL93+Data!T94+Data!U94+Data!V94+Data!W94+Data!X94+Data!Y94+Data!Z94+Data!AA94+Data!AB94+Data!AC94+Data!AD94+Data!AE94+Data!AF94+Data!AG94+Data!AH94+Data!AI94+Data!AJ94+Data!AK94+Data!AL94+Data!T95+Data!U95+Data!V95+Data!W95+Data!X95+Data!Y95+Data!Z95+Data!AA95+Data!AB95+Data!AC95+Data!AD95+Data!AE95+Data!AF95+Data!AG95+Data!AH95+Data!AI95+Data!AJ95+Data!AK95+Data!AL95+Data!T96+Data!U96+Data!V96+Data!W96+Data!X96+Data!Y96+Data!Z96+Data!AA96+Data!AB96+Data!AC96+Data!AD96+Data!AE96+Data!AF96+Data!AG96+Data!AH96+Data!AI96+Data!AJ96+Data!AK96+Data!AL96+Data!T97+Data!U97+Data!V97+Data!W97+Data!X97+Data!Y97+Data!Z97+Data!AA97+Data!AB97+Data!AC97+Data!AD97+Data!AE97+Data!AF97+Data!AG97+Data!AH97+Data!AI97+Data!AJ97+Data!AK97+Data!AL97+Data!T98+Data!U98+Data!V98+Data!W98+Data!X98+Data!Y98+Data!Z98+Data!AA98+Data!AB98+Data!AC98+Data!AD98+Data!AE98+Data!AF98+Data!AG98+Data!AH98+Data!AI98+Data!AJ98+Data!AK98+Data!AL98+Data!T99+Data!U99+Data!V99+Data!W99+Data!X99+Data!Y99+Data!Z99+Data!AA99+Data!AB99+Data!AC99+Data!AD99+Data!AE99+Data!AF99+Data!AG99+Data!AH99+Data!AI99+Data!AJ99+Data!AK99+Data!AL99+Data!T100+Data!U100+Data!V100+Data!W100+Data!X100+Data!Y100+Data!Z100+Data!AA100+Data!AB100+Data!AC100+Data!AD100+Data!AE100+Data!AF100+Data!AG100+Data!AH100+Data!AI100+Data!AJ100+Data!AK100+Data!AL100+Data!T101+Data!U101+Data!V101+Data!W101+Data!X101+Data!Y101+Data!Z101+Data!AA101+Data!AB101+Data!AC101+Data!AD101+Data!AE101+Data!AF101+Data!AG101+Data!AH101+Data!AI101+Data!AJ101+Data!AK101+Data!AL101+Data!T102+Data!U102+Data!V102+Data!W102+Data!X102+Data!Y102+Data!Z102+Data!AA102+Data!AB102+Data!AC102+Data!AD102+Data!AE102+Data!AF102+Data!AG102+Data!AH102+Data!AI102+Data!AJ102+Data!AK102+Data!AL102+Data!T103+Data!U103+Data!V103+Data!W103+Data!X103+Data!Y103+Data!Z103+Data!AA103+Data!AB103+Data!AC103+Data!AD103+Data!AE103+Data!AF103+Data!AG103+Data!AH103+Data!AI103+Data!AJ103+Data!AK103+Data!AL103)/(Data!AP92+Data!AP93+Data!AP94+Data!AP95+Data!AP96+Data!AP97+Data!AP98+Data!AP99+Data!AP100+Data!AP101+Data!AP102+Data!AP103)</f>
        <v>0.183644664037411</v>
      </c>
      <c r="N103" s="18" t="n">
        <f aca="false">(Data!T92+Data!U92+Data!V92+Data!W92+Data!T93+Data!U93+Data!V93+Data!W93+Data!T94+Data!U94+Data!V94+Data!W94+Data!T95+Data!U95+Data!V95+Data!W95+Data!T96+Data!U96+Data!V96+Data!W96+Data!T97+Data!U97+Data!V97+Data!W97+Data!T98+Data!U98+Data!V98+Data!W98+Data!T99+Data!U99+Data!V99+Data!W99+Data!T100+Data!U100+Data!V100+Data!W100+Data!T101+Data!U101+Data!V101+Data!W101+Data!T102+Data!U102+Data!V102+Data!W102+Data!T103+Data!U103+Data!V103+Data!W103)/(Data!AP92+Data!AP93+Data!AP94+Data!AP95+Data!AP96+Data!AP97+Data!AP98+Data!AP99+Data!AP100+Data!AP101+Data!AP102+Data!AP103)</f>
        <v>0.0809800317517713</v>
      </c>
      <c r="O103" s="18" t="n">
        <f aca="false">(Data!T92+Data!T93+Data!T94+Data!T95+Data!T96+Data!T97+Data!T98+Data!T99+Data!T100+Data!T101+Data!T102+Data!T103)/(Data!AP92+Data!AP93+Data!AP94+Data!AP95+Data!AP96+Data!AP97+Data!AP98+Data!AP99+Data!AP100+Data!AP101+Data!AP102+Data!AP103)</f>
        <v>0.0583808157273678</v>
      </c>
      <c r="P103" s="18" t="n">
        <f aca="false">(Data!U92+Data!U93+Data!U94+Data!U95+Data!U96+Data!U97+Data!U98+Data!U99+Data!U100+Data!U101+Data!U102+Data!U103)/(Data!AP92+Data!AP93+Data!AP94+Data!AP95+Data!AP96+Data!AP97+Data!AP98+Data!AP99+Data!AP100+Data!AP101+Data!AP102+Data!AP103)</f>
        <v>0.00795028119103737</v>
      </c>
      <c r="Q103" s="18" t="n">
        <f aca="false">(Data!V92+Data!V93+Data!V94+Data!V95+Data!V96+Data!V97+Data!V98+Data!V99+Data!V100+Data!V101+Data!V102+Data!V103)/(Data!AP92+Data!AP93+Data!AP94+Data!AP95+Data!AP96+Data!AP97+Data!AP98+Data!AP99+Data!AP100+Data!AP101+Data!AP102+Data!AP103)</f>
        <v>0.005478513986486</v>
      </c>
      <c r="R103" s="18" t="n">
        <f aca="false">(Data!W92+Data!W93+Data!W94+Data!W95+Data!W96+Data!W97+Data!W98+Data!W99+Data!W100+Data!W101+Data!W102+Data!W103)/(Data!AP92+Data!AP93+Data!AP94+Data!AP95+Data!AP96+Data!AP97+Data!AP98+Data!AP99+Data!AP100+Data!AP101+Data!AP102+Data!AP103)</f>
        <v>0.00917042084688004</v>
      </c>
      <c r="S103" s="18" t="n">
        <f aca="false">(Data!X92+Data!X93+Data!X94+Data!X95+Data!X96+Data!X97+Data!X98+Data!X99+Data!X100+Data!X101+Data!X102+Data!X103)/(Data!AP92+Data!AP93+Data!AP94+Data!AP95+Data!AP96+Data!AP97+Data!AP98+Data!AP99+Data!AP100+Data!AP101+Data!AP102+Data!AP103)</f>
        <v>0.0207225635179336</v>
      </c>
      <c r="T103" s="18" t="n">
        <f aca="false">(Data!Y92+Data!Z92+Data!AA92+Data!Y93+Data!Z93+Data!AA93+Data!Y94+Data!Z94+Data!AA94+Data!Y95+Data!Z95+Data!AA95+Data!Y96+Data!Z96+Data!AA96+Data!Y97+Data!Z97+Data!AA97+Data!Y98+Data!Z98+Data!AA98+Data!Y99+Data!Z99+Data!AA99+Data!Y100+Data!Z100+Data!AA100+Data!Y101+Data!Z101+Data!AA101+Data!Y102+Data!Z102+Data!AA102+Data!Y103+Data!Z103+Data!AA103)/(Data!AP92+Data!AP93+Data!AP94+Data!AP95+Data!AP96+Data!AP97+Data!AP98+Data!AP99+Data!AP100+Data!AP101+Data!AP102+Data!AP103)</f>
        <v>0.0186663152851684</v>
      </c>
      <c r="U103" s="18" t="n">
        <f aca="false">(Data!Y92+Data!Y93+Data!Y94+Data!Y95+Data!Y96+Data!Y97+Data!Y98+Data!Y99+Data!Y100+Data!Y101+Data!Y102+Data!Y103)/(Data!AP92+Data!AP93+Data!AP94+Data!AP95+Data!AP96+Data!AP97+Data!AP98+Data!AP99+Data!AP100+Data!AP101+Data!AP102+Data!AP103)</f>
        <v>0.0135371984713441</v>
      </c>
      <c r="V103" s="18" t="n">
        <f aca="false">(Data!Z92+Data!Z93+Data!Z94+Data!Z95+Data!Z96+Data!Z97+Data!Z98+Data!Z99+Data!Z100+Data!Z101+Data!Z102+Data!Z103)/(Data!AP92+Data!AP93+Data!AP94+Data!AP95+Data!AP96+Data!AP97+Data!AP98+Data!AP99+Data!AP100+Data!AP101+Data!AP102+Data!AP103)</f>
        <v>0.00466806855116323</v>
      </c>
      <c r="W103" s="18" t="n">
        <f aca="false">(Data!AB92+Data!AB93+Data!AB94+Data!AB95+Data!AB96+Data!AB97+Data!AB98+Data!AB99+Data!AB100+Data!AB101+Data!AB102+Data!AB103)/(Data!AP92+Data!AP93+Data!AP94+Data!AP95+Data!AP96+Data!AP97+Data!AP98+Data!AP99+Data!AP100+Data!AP101+Data!AP102+Data!AP103)</f>
        <v>0.0252660221798148</v>
      </c>
      <c r="X103" s="18" t="n">
        <f aca="false">(Data!AC92+Data!AC93+Data!AC94+Data!AC95+Data!AC96+Data!AC97+Data!AC98+Data!AC99+Data!AC100+Data!AC101+Data!AC102+Data!AC103)/(Data!AP92+Data!AP93+Data!AP94+Data!AP95+Data!AP96+Data!AP97+Data!AP98+Data!AP99+Data!AP100+Data!AP101+Data!AP102+Data!AP103)</f>
        <v>0.00634091490768675</v>
      </c>
      <c r="Y103" s="18" t="n">
        <f aca="false">(Data!AD92+Data!AE92+Data!AF92+Data!AG92+Data!AH92+Data!AD93+Data!AE93+Data!AF93+Data!AG93+Data!AH93+Data!AD94+Data!AE94+Data!AF94+Data!AG94+Data!AH94+Data!AD95+Data!AE95+Data!AF95+Data!AG95+Data!AH95+Data!AD96+Data!AE96+Data!AF96+Data!AG96+Data!AH96+Data!AD97+Data!AE97+Data!AF97+Data!AG97+Data!AH97+Data!AD98+Data!AE98+Data!AF98+Data!AG98+Data!AH98+Data!AD99+Data!AE99+Data!AF99+Data!AG99+Data!AH99+Data!AD100+Data!AE100+Data!AF100+Data!AG100+Data!AH100+Data!AD101+Data!AE101+Data!AF101+Data!AG101+Data!AH101+Data!AD102+Data!AE102+Data!AF102+Data!AG102+Data!AH102+Data!AD103+Data!AE103+Data!AF103+Data!AG103+Data!AH103)/(Data!AP92+Data!AP93+Data!AP94+Data!AP95+Data!AP96+Data!AP97+Data!AP98+Data!AP99+Data!AP100+Data!AP101+Data!AP102+Data!AP103)</f>
        <v>0.00664872918568492</v>
      </c>
      <c r="Z103" s="18" t="n">
        <f aca="false">(Data!AI92+Data!AI93+Data!AI94+Data!AI95+Data!AI96+Data!AI97+Data!AI98+Data!AI99+Data!AI100+Data!AI101+Data!AI102+Data!AI103)/(Data!AP92+Data!AP93+Data!AP94+Data!AP95+Data!AP96+Data!AP97+Data!AP98+Data!AP99+Data!AP100+Data!AP101+Data!AP102+Data!AP103)</f>
        <v>0.0069338875407673</v>
      </c>
      <c r="AA103" s="18" t="n">
        <f aca="false">(Data!AJ92+Data!AJ93+Data!AJ94+Data!AJ95+Data!AJ96+Data!AJ97+Data!AJ98+Data!AJ99+Data!AJ100+Data!AJ101+Data!AJ102+Data!AJ103)/(Data!AP92+Data!AP93+Data!AP94+Data!AP95+Data!AP96+Data!AP97+Data!AP98+Data!AP99+Data!AP100+Data!AP101+Data!AP102+Data!AP103)</f>
        <v>0</v>
      </c>
      <c r="AB103" s="18" t="n">
        <f aca="false">(Data!AK92+Data!AK93+Data!AK94+Data!AK95+Data!AK96+Data!AK97+Data!AK98+Data!AK99+Data!AK100+Data!AK101+Data!AK102+Data!AK103)/(Data!AP92+Data!AP93+Data!AP94+Data!AP95+Data!AP96+Data!AP97+Data!AP98+Data!AP99+Data!AP100+Data!AP101+Data!AP102+Data!AP103)</f>
        <v>0.00424204744643466</v>
      </c>
      <c r="AC103" s="18" t="n">
        <f aca="false">(Data!AL92+Data!AL93+Data!AL94+Data!AL95+Data!AL96+Data!AL97+Data!AL98+Data!AL99+Data!AL100+Data!AL101+Data!AL102+Data!AL103)/(Data!AP92+Data!AP93+Data!AP94+Data!AP95+Data!AP96+Data!AP97+Data!AP98+Data!AP99+Data!AP100+Data!AP101+Data!AP102+Data!AP103)</f>
        <v>0.0138441522221496</v>
      </c>
      <c r="AD103" s="17" t="n">
        <f aca="false">(Data!AM92+Data!AM93+Data!AM94+Data!AM95+Data!AM96+Data!AM97+Data!AM98+Data!AM99+Data!AM100+Data!AM101+Data!AM102+Data!AM103)/(Data!AP92+Data!AP93+Data!AP94+Data!AP95+Data!AP96+Data!AP97+Data!AP98+Data!AP99+Data!AP100+Data!AP101+Data!AP102+Data!AP103)</f>
        <v>-0.0136479242632869</v>
      </c>
      <c r="AE103" s="18" t="n">
        <f aca="false">(Data!AN92+Data!AN93+Data!AN94+Data!AN95+Data!AN96+Data!AN97+Data!AN98+Data!AN99+Data!AN100+Data!AN101+Data!AN102+Data!AN103)/(Data!AP92+Data!AP93+Data!AP94+Data!AP95+Data!AP96+Data!AP97+Data!AP98+Data!AP99+Data!AP100+Data!AP101+Data!AP102+Data!AP103)</f>
        <v>0.0204127135842109</v>
      </c>
      <c r="AF103" s="17" t="n">
        <f aca="false">(Data!AO92+Data!AO93+Data!AO94+Data!AO95+Data!AO96+Data!AO97+Data!AO98+Data!AO99+Data!AO100+Data!AO101+Data!AO102+Data!AO103)/(Data!AP92+Data!AP93+Data!AP94+Data!AP95+Data!AP96+Data!AP97+Data!AP98+Data!AP99+Data!AP100+Data!AP101+Data!AP102+Data!AP103)</f>
        <v>-0.0340606378474978</v>
      </c>
    </row>
    <row r="104" customFormat="false" ht="15" hidden="false" customHeight="false" outlineLevel="0" collapsed="false">
      <c r="B104" s="14" t="str">
        <f aca="false">Data!B104</f>
        <v>2024-02</v>
      </c>
      <c r="C104" s="17" t="n">
        <f aca="false">(Data!D93+Data!E93+Data!F93+Data!G93+Data!H93+Data!I93+Data!J93+Data!K93+Data!L93+Data!M93+Data!N93+Data!O93+Data!P93+Data!Q93+Data!R93+Data!S93+Data!D94+Data!E94+Data!F94+Data!G94+Data!H94+Data!I94+Data!J94+Data!K94+Data!L94+Data!M94+Data!N94+Data!O94+Data!P94+Data!Q94+Data!R94+Data!S94+Data!D95+Data!E95+Data!F95+Data!G95+Data!H95+Data!I95+Data!J95+Data!K95+Data!L95+Data!M95+Data!N95+Data!O95+Data!P95+Data!Q95+Data!R95+Data!S95+Data!D96+Data!E96+Data!F96+Data!G96+Data!H96+Data!I96+Data!J96+Data!K96+Data!L96+Data!M96+Data!N96+Data!O96+Data!P96+Data!Q96+Data!R96+Data!S96+Data!D97+Data!E97+Data!F97+Data!G97+Data!H97+Data!I97+Data!J97+Data!K97+Data!L97+Data!M97+Data!N97+Data!O97+Data!P97+Data!Q97+Data!R97+Data!S97+Data!D98+Data!E98+Data!F98+Data!G98+Data!H98+Data!I98+Data!J98+Data!K98+Data!L98+Data!M98+Data!N98+Data!O98+Data!P98+Data!Q98+Data!R98+Data!S98+Data!D99+Data!E99+Data!F99+Data!G99+Data!H99+Data!I99+Data!J99+Data!K99+Data!L99+Data!M99+Data!N99+Data!O99+Data!P99+Data!Q99+Data!R99+Data!S99+Data!D100+Data!E100+Data!F100+Data!G100+Data!H100+Data!I100+Data!J100+Data!K100+Data!L100+Data!M100+Data!N100+Data!O100+Data!P100+Data!Q100+Data!R100+Data!S100+Data!D101+Data!E101+Data!F101+Data!G101+Data!H101+Data!I101+Data!J101+Data!K101+Data!L101+Data!M101+Data!N101+Data!O101+Data!P101+Data!Q101+Data!R101+Data!S101+Data!D102+Data!E102+Data!F102+Data!G102+Data!H102+Data!I102+Data!J102+Data!K102+Data!L102+Data!M102+Data!N102+Data!O102+Data!P102+Data!Q102+Data!R102+Data!S102+Data!D103+Data!E103+Data!F103+Data!G103+Data!H103+Data!I103+Data!J103+Data!K103+Data!L103+Data!M103+Data!N103+Data!O103+Data!P103+Data!Q103+Data!R103+Data!S103+Data!D104+Data!E104+Data!F104+Data!G104+Data!H104+Data!I104+Data!J104+Data!K104+Data!L104+Data!M104+Data!N104+Data!O104+Data!P104+Data!Q104+Data!R104+Data!S104)/(Data!AP93+Data!AP94+Data!AP95+Data!AP96+Data!AP97+Data!AP98+Data!AP99+Data!AP100+Data!AP101+Data!AP102+Data!AP103+Data!AP104)</f>
        <v>0.167804738815032</v>
      </c>
      <c r="D104" s="18" t="n">
        <f aca="false">(Data!D93+Data!E93+Data!G93+Data!H93+Data!I93+Data!J93+Data!K93+Data!L93+Data!M93+Data!D94+Data!E94+Data!G94+Data!H94+Data!I94+Data!J94+Data!K94+Data!L94+Data!M94+Data!D95+Data!E95+Data!G95+Data!H95+Data!I95+Data!J95+Data!K95+Data!L95+Data!M95+Data!D96+Data!E96+Data!G96+Data!H96+Data!I96+Data!J96+Data!K96+Data!L96+Data!M96+Data!D97+Data!E97+Data!G97+Data!H97+Data!I97+Data!J97+Data!K97+Data!L97+Data!M97+Data!D98+Data!E98+Data!G98+Data!H98+Data!I98+Data!J98+Data!K98+Data!L98+Data!M98+Data!D99+Data!E99+Data!G99+Data!H99+Data!I99+Data!J99+Data!K99+Data!L99+Data!M99+Data!D100+Data!E100+Data!G100+Data!H100+Data!I100+Data!J100+Data!K100+Data!L100+Data!M100+Data!D101+Data!E101+Data!G101+Data!H101+Data!I101+Data!J101+Data!K101+Data!L101+Data!M101+Data!D102+Data!E102+Data!G102+Data!H102+Data!I102+Data!J102+Data!K102+Data!L102+Data!M102+Data!D103+Data!E103+Data!G103+Data!H103+Data!I103+Data!J103+Data!K103+Data!L103+Data!M103+Data!D104+Data!E104+Data!G104+Data!H104+Data!I104+Data!J104+Data!K104+Data!L104+Data!M104)/(Data!AP93+Data!AP94+Data!AP95+Data!AP96+Data!AP97+Data!AP98+Data!AP99+Data!AP100+Data!AP101+Data!AP102+Data!AP103+Data!AP104)</f>
        <v>0.101283695021944</v>
      </c>
      <c r="E104" s="18" t="n">
        <f aca="false">(Data!D93+Data!D94+Data!D95+Data!D96+Data!D97+Data!D98+Data!D99+Data!D100+Data!D101+Data!D102+Data!D103+Data!D104)/(Data!AP93+Data!AP94+Data!AP95+Data!AP96+Data!AP97+Data!AP98+Data!AP99+Data!AP100+Data!AP101+Data!AP102+Data!AP103+Data!AP104)</f>
        <v>0.0352513068845655</v>
      </c>
      <c r="F104" s="18" t="n">
        <f aca="false">(Data!E93+Data!E94+Data!E95+Data!E96+Data!E97+Data!E98+Data!E99+Data!E100+Data!E101+Data!E102+Data!E103+Data!E104)/(Data!AP93+Data!AP94+Data!AP95+Data!AP96+Data!AP97+Data!AP98+Data!AP99+Data!AP100+Data!AP101+Data!AP102+Data!AP103+Data!AP104)</f>
        <v>0.0146191421009733</v>
      </c>
      <c r="G104" s="18" t="n">
        <f aca="false">(Data!K93+Data!K94+Data!K95+Data!K96+Data!K97+Data!K98+Data!K99+Data!K100+Data!K101+Data!K102+Data!K103+Data!K104)/(Data!AP93+Data!AP94+Data!AP95+Data!AP96+Data!AP97+Data!AP98+Data!AP99+Data!AP100+Data!AP101+Data!AP102+Data!AP103+Data!AP104)</f>
        <v>0.00942383899459419</v>
      </c>
      <c r="H104" s="18" t="n">
        <f aca="false">(Data!L93+Data!L94+Data!L95+Data!L96+Data!L97+Data!L98+Data!L99+Data!L100+Data!L101+Data!L102+Data!L103+Data!L104)/(Data!AP93+Data!AP94+Data!AP95+Data!AP96+Data!AP97+Data!AP98+Data!AP99+Data!AP100+Data!AP101+Data!AP102+Data!AP103+Data!AP104)</f>
        <v>0.00600644808185929</v>
      </c>
      <c r="I104" s="18" t="n">
        <f aca="false">(Data!G93+Data!G94+Data!G95+Data!G96+Data!G97+Data!G98+Data!G99+Data!G100+Data!G101+Data!G102+Data!G103+Data!G104)/(Data!AP93+Data!AP94+Data!AP95+Data!AP96+Data!AP97+Data!AP98+Data!AP99+Data!AP100+Data!AP101+Data!AP102+Data!AP103+Data!AP104)</f>
        <v>0.0156493057828888</v>
      </c>
      <c r="J104" s="18" t="n">
        <f aca="false">(Data!H93+Data!I93+Data!J93+Data!M93+Data!H94+Data!I94+Data!J94+Data!M94+Data!H95+Data!I95+Data!J95+Data!M95+Data!H96+Data!I96+Data!J96+Data!M96+Data!H97+Data!I97+Data!J97+Data!M97+Data!H98+Data!I98+Data!J98+Data!M98+Data!H99+Data!I99+Data!J99+Data!M99+Data!H100+Data!I100+Data!J100+Data!M100+Data!H101+Data!I101+Data!J101+Data!M101+Data!H102+Data!I102+Data!J102+Data!M102+Data!H103+Data!I103+Data!J103+Data!M103+Data!H104+Data!I104+Data!J104+Data!M104)/(Data!AP93+Data!AP94+Data!AP95+Data!AP96+Data!AP97+Data!AP98+Data!AP99+Data!AP100+Data!AP101+Data!AP102+Data!AP103+Data!AP104)</f>
        <v>0.0203336531770627</v>
      </c>
      <c r="K104" s="18" t="n">
        <f aca="false">(Data!F93+Data!F94+Data!F95+Data!F96+Data!F97+Data!F98+Data!F99+Data!F100+Data!F101+Data!F102+Data!F103+Data!F104)/(Data!AP93+Data!AP94+Data!AP95+Data!AP96+Data!AP97+Data!AP98+Data!AP99+Data!AP100+Data!AP101+Data!AP102+Data!AP103+Data!AP104)</f>
        <v>0.048388179481729</v>
      </c>
      <c r="L104" s="18" t="n">
        <f aca="false">(Data!N93+Data!O93+Data!P93+Data!Q93+Data!R93+Data!S93+Data!N94+Data!O94+Data!P94+Data!Q94+Data!R94+Data!S94+Data!N95+Data!O95+Data!P95+Data!Q95+Data!R95+Data!S95+Data!N96+Data!O96+Data!P96+Data!Q96+Data!R96+Data!S96+Data!N97+Data!O97+Data!P97+Data!Q97+Data!R97+Data!S97+Data!N98+Data!O98+Data!P98+Data!Q98+Data!R98+Data!S98+Data!N99+Data!O99+Data!P99+Data!Q99+Data!R99+Data!S99+Data!N100+Data!O100+Data!P100+Data!Q100+Data!R100+Data!S100+Data!N101+Data!O101+Data!P101+Data!Q101+Data!R101+Data!S101+Data!N102+Data!O102+Data!P102+Data!Q102+Data!R102+Data!S102+Data!N103+Data!O103+Data!P103+Data!Q103+Data!R103+Data!S103+Data!N104+Data!O104+Data!P104+Data!Q104+Data!R104+Data!S104)/(Data!AP93+Data!AP94+Data!AP95+Data!AP96+Data!AP97+Data!AP98+Data!AP99+Data!AP100+Data!AP101+Data!AP102+Data!AP103+Data!AP104)</f>
        <v>0.0181328643113593</v>
      </c>
      <c r="M104" s="17" t="n">
        <f aca="false">(Data!T93+Data!U93+Data!V93+Data!W93+Data!X93+Data!Y93+Data!Z93+Data!AA93+Data!AB93+Data!AC93+Data!AD93+Data!AE93+Data!AF93+Data!AG93+Data!AH93+Data!AI93+Data!AJ93+Data!AK93+Data!AL93+Data!T94+Data!U94+Data!V94+Data!W94+Data!X94+Data!Y94+Data!Z94+Data!AA94+Data!AB94+Data!AC94+Data!AD94+Data!AE94+Data!AF94+Data!AG94+Data!AH94+Data!AI94+Data!AJ94+Data!AK94+Data!AL94+Data!T95+Data!U95+Data!V95+Data!W95+Data!X95+Data!Y95+Data!Z95+Data!AA95+Data!AB95+Data!AC95+Data!AD95+Data!AE95+Data!AF95+Data!AG95+Data!AH95+Data!AI95+Data!AJ95+Data!AK95+Data!AL95+Data!T96+Data!U96+Data!V96+Data!W96+Data!X96+Data!Y96+Data!Z96+Data!AA96+Data!AB96+Data!AC96+Data!AD96+Data!AE96+Data!AF96+Data!AG96+Data!AH96+Data!AI96+Data!AJ96+Data!AK96+Data!AL96+Data!T97+Data!U97+Data!V97+Data!W97+Data!X97+Data!Y97+Data!Z97+Data!AA97+Data!AB97+Data!AC97+Data!AD97+Data!AE97+Data!AF97+Data!AG97+Data!AH97+Data!AI97+Data!AJ97+Data!AK97+Data!AL97+Data!T98+Data!U98+Data!V98+Data!W98+Data!X98+Data!Y98+Data!Z98+Data!AA98+Data!AB98+Data!AC98+Data!AD98+Data!AE98+Data!AF98+Data!AG98+Data!AH98+Data!AI98+Data!AJ98+Data!AK98+Data!AL98+Data!T99+Data!U99+Data!V99+Data!W99+Data!X99+Data!Y99+Data!Z99+Data!AA99+Data!AB99+Data!AC99+Data!AD99+Data!AE99+Data!AF99+Data!AG99+Data!AH99+Data!AI99+Data!AJ99+Data!AK99+Data!AL99+Data!T100+Data!U100+Data!V100+Data!W100+Data!X100+Data!Y100+Data!Z100+Data!AA100+Data!AB100+Data!AC100+Data!AD100+Data!AE100+Data!AF100+Data!AG100+Data!AH100+Data!AI100+Data!AJ100+Data!AK100+Data!AL100+Data!T101+Data!U101+Data!V101+Data!W101+Data!X101+Data!Y101+Data!Z101+Data!AA101+Data!AB101+Data!AC101+Data!AD101+Data!AE101+Data!AF101+Data!AG101+Data!AH101+Data!AI101+Data!AJ101+Data!AK101+Data!AL101+Data!T102+Data!U102+Data!V102+Data!W102+Data!X102+Data!Y102+Data!Z102+Data!AA102+Data!AB102+Data!AC102+Data!AD102+Data!AE102+Data!AF102+Data!AG102+Data!AH102+Data!AI102+Data!AJ102+Data!AK102+Data!AL102+Data!T103+Data!U103+Data!V103+Data!W103+Data!X103+Data!Y103+Data!Z103+Data!AA103+Data!AB103+Data!AC103+Data!AD103+Data!AE103+Data!AF103+Data!AG103+Data!AH103+Data!AI103+Data!AJ103+Data!AK103+Data!AL103+Data!T104+Data!U104+Data!V104+Data!W104+Data!X104+Data!Y104+Data!Z104+Data!AA104+Data!AB104+Data!AC104+Data!AD104+Data!AE104+Data!AF104+Data!AG104+Data!AH104+Data!AI104+Data!AJ104+Data!AK104+Data!AL104)/(Data!AP93+Data!AP94+Data!AP95+Data!AP96+Data!AP97+Data!AP98+Data!AP99+Data!AP100+Data!AP101+Data!AP102+Data!AP103+Data!AP104)</f>
        <v>0.173943614607616</v>
      </c>
      <c r="N104" s="18" t="n">
        <f aca="false">(Data!T93+Data!U93+Data!V93+Data!W93+Data!T94+Data!U94+Data!V94+Data!W94+Data!T95+Data!U95+Data!V95+Data!W95+Data!T96+Data!U96+Data!V96+Data!W96+Data!T97+Data!U97+Data!V97+Data!W97+Data!T98+Data!U98+Data!V98+Data!W98+Data!T99+Data!U99+Data!V99+Data!W99+Data!T100+Data!U100+Data!V100+Data!W100+Data!T101+Data!U101+Data!V101+Data!W101+Data!T102+Data!U102+Data!V102+Data!W102+Data!T103+Data!U103+Data!V103+Data!W103+Data!T104+Data!U104+Data!V104+Data!W104)/(Data!AP93+Data!AP94+Data!AP95+Data!AP96+Data!AP97+Data!AP98+Data!AP99+Data!AP100+Data!AP101+Data!AP102+Data!AP103+Data!AP104)</f>
        <v>0.077343442578497</v>
      </c>
      <c r="O104" s="18" t="n">
        <f aca="false">(Data!T93+Data!T94+Data!T95+Data!T96+Data!T97+Data!T98+Data!T99+Data!T100+Data!T101+Data!T102+Data!T103+Data!T104)/(Data!AP93+Data!AP94+Data!AP95+Data!AP96+Data!AP97+Data!AP98+Data!AP99+Data!AP100+Data!AP101+Data!AP102+Data!AP103+Data!AP104)</f>
        <v>0.055360100471634</v>
      </c>
      <c r="P104" s="18" t="n">
        <f aca="false">(Data!U93+Data!U94+Data!U95+Data!U96+Data!U97+Data!U98+Data!U99+Data!U100+Data!U101+Data!U102+Data!U103+Data!U104)/(Data!AP93+Data!AP94+Data!AP95+Data!AP96+Data!AP97+Data!AP98+Data!AP99+Data!AP100+Data!AP101+Data!AP102+Data!AP103+Data!AP104)</f>
        <v>0.00781233221328098</v>
      </c>
      <c r="Q104" s="18" t="n">
        <f aca="false">(Data!V93+Data!V94+Data!V95+Data!V96+Data!V97+Data!V98+Data!V99+Data!V100+Data!V101+Data!V102+Data!V103+Data!V104)/(Data!AP93+Data!AP94+Data!AP95+Data!AP96+Data!AP97+Data!AP98+Data!AP99+Data!AP100+Data!AP101+Data!AP102+Data!AP103+Data!AP104)</f>
        <v>0.00515692310156824</v>
      </c>
      <c r="R104" s="18" t="n">
        <f aca="false">(Data!W93+Data!W94+Data!W95+Data!W96+Data!W97+Data!W98+Data!W99+Data!W100+Data!W101+Data!W102+Data!W103+Data!W104)/(Data!AP93+Data!AP94+Data!AP95+Data!AP96+Data!AP97+Data!AP98+Data!AP99+Data!AP100+Data!AP101+Data!AP102+Data!AP103+Data!AP104)</f>
        <v>0.00901408679201377</v>
      </c>
      <c r="S104" s="18" t="n">
        <f aca="false">(Data!X93+Data!X94+Data!X95+Data!X96+Data!X97+Data!X98+Data!X99+Data!X100+Data!X101+Data!X102+Data!X103+Data!X104)/(Data!AP93+Data!AP94+Data!AP95+Data!AP96+Data!AP97+Data!AP98+Data!AP99+Data!AP100+Data!AP101+Data!AP102+Data!AP103+Data!AP104)</f>
        <v>0.0201027466031723</v>
      </c>
      <c r="T104" s="18" t="n">
        <f aca="false">(Data!Y93+Data!Z93+Data!AA93+Data!Y94+Data!Z94+Data!AA94+Data!Y95+Data!Z95+Data!AA95+Data!Y96+Data!Z96+Data!AA96+Data!Y97+Data!Z97+Data!AA97+Data!Y98+Data!Z98+Data!AA98+Data!Y99+Data!Z99+Data!AA99+Data!Y100+Data!Z100+Data!AA100+Data!Y101+Data!Z101+Data!AA101+Data!Y102+Data!Z102+Data!AA102+Data!Y103+Data!Z103+Data!AA103+Data!Y104+Data!Z104+Data!AA104)/(Data!AP93+Data!AP94+Data!AP95+Data!AP96+Data!AP97+Data!AP98+Data!AP99+Data!AP100+Data!AP101+Data!AP102+Data!AP103+Data!AP104)</f>
        <v>0.0175178856369152</v>
      </c>
      <c r="U104" s="18" t="n">
        <f aca="false">(Data!Y93+Data!Y94+Data!Y95+Data!Y96+Data!Y97+Data!Y98+Data!Y99+Data!Y100+Data!Y101+Data!Y102+Data!Y103+Data!Y104)/(Data!AP93+Data!AP94+Data!AP95+Data!AP96+Data!AP97+Data!AP98+Data!AP99+Data!AP100+Data!AP101+Data!AP102+Data!AP103+Data!AP104)</f>
        <v>0.0126434807557025</v>
      </c>
      <c r="V104" s="18" t="n">
        <f aca="false">(Data!Z93+Data!Z94+Data!Z95+Data!Z96+Data!Z97+Data!Z98+Data!Z99+Data!Z100+Data!Z101+Data!Z102+Data!Z103+Data!Z104)/(Data!AP93+Data!AP94+Data!AP95+Data!AP96+Data!AP97+Data!AP98+Data!AP99+Data!AP100+Data!AP101+Data!AP102+Data!AP103+Data!AP104)</f>
        <v>0.00444202286159746</v>
      </c>
      <c r="W104" s="18" t="n">
        <f aca="false">(Data!AB93+Data!AB94+Data!AB95+Data!AB96+Data!AB97+Data!AB98+Data!AB99+Data!AB100+Data!AB101+Data!AB102+Data!AB103+Data!AB104)/(Data!AP93+Data!AP94+Data!AP95+Data!AP96+Data!AP97+Data!AP98+Data!AP99+Data!AP100+Data!AP101+Data!AP102+Data!AP103+Data!AP104)</f>
        <v>0.0247687964094013</v>
      </c>
      <c r="X104" s="18" t="n">
        <f aca="false">(Data!AC93+Data!AC94+Data!AC95+Data!AC96+Data!AC97+Data!AC98+Data!AC99+Data!AC100+Data!AC101+Data!AC102+Data!AC103+Data!AC104)/(Data!AP93+Data!AP94+Data!AP95+Data!AP96+Data!AP97+Data!AP98+Data!AP99+Data!AP100+Data!AP101+Data!AP102+Data!AP103+Data!AP104)</f>
        <v>0.00598348850428477</v>
      </c>
      <c r="Y104" s="18" t="n">
        <f aca="false">(Data!AD93+Data!AE93+Data!AF93+Data!AG93+Data!AH93+Data!AD94+Data!AE94+Data!AF94+Data!AG94+Data!AH94+Data!AD95+Data!AE95+Data!AF95+Data!AG95+Data!AH95+Data!AD96+Data!AE96+Data!AF96+Data!AG96+Data!AH96+Data!AD97+Data!AE97+Data!AF97+Data!AG97+Data!AH97+Data!AD98+Data!AE98+Data!AF98+Data!AG98+Data!AH98+Data!AD99+Data!AE99+Data!AF99+Data!AG99+Data!AH99+Data!AD100+Data!AE100+Data!AF100+Data!AG100+Data!AH100+Data!AD101+Data!AE101+Data!AF101+Data!AG101+Data!AH101+Data!AD102+Data!AE102+Data!AF102+Data!AG102+Data!AH102+Data!AD103+Data!AE103+Data!AF103+Data!AG103+Data!AH103+Data!AD104+Data!AE104+Data!AF104+Data!AG104+Data!AH104)/(Data!AP93+Data!AP94+Data!AP95+Data!AP96+Data!AP97+Data!AP98+Data!AP99+Data!AP100+Data!AP101+Data!AP102+Data!AP103+Data!AP104)</f>
        <v>0.00585650184246461</v>
      </c>
      <c r="Z104" s="18" t="n">
        <f aca="false">(Data!AI93+Data!AI94+Data!AI95+Data!AI96+Data!AI97+Data!AI98+Data!AI99+Data!AI100+Data!AI101+Data!AI102+Data!AI103+Data!AI104)/(Data!AP93+Data!AP94+Data!AP95+Data!AP96+Data!AP97+Data!AP98+Data!AP99+Data!AP100+Data!AP101+Data!AP102+Data!AP103+Data!AP104)</f>
        <v>0.00660011598142715</v>
      </c>
      <c r="AA104" s="18" t="n">
        <f aca="false">(Data!AJ93+Data!AJ94+Data!AJ95+Data!AJ96+Data!AJ97+Data!AJ98+Data!AJ99+Data!AJ100+Data!AJ101+Data!AJ102+Data!AJ103+Data!AJ104)/(Data!AP93+Data!AP94+Data!AP95+Data!AP96+Data!AP97+Data!AP98+Data!AP99+Data!AP100+Data!AP101+Data!AP102+Data!AP103+Data!AP104)</f>
        <v>0</v>
      </c>
      <c r="AB104" s="18" t="n">
        <f aca="false">(Data!AK93+Data!AK94+Data!AK95+Data!AK96+Data!AK97+Data!AK98+Data!AK99+Data!AK100+Data!AK101+Data!AK102+Data!AK103+Data!AK104)/(Data!AP93+Data!AP94+Data!AP95+Data!AP96+Data!AP97+Data!AP98+Data!AP99+Data!AP100+Data!AP101+Data!AP102+Data!AP103+Data!AP104)</f>
        <v>0.00383162785865484</v>
      </c>
      <c r="AC104" s="18" t="n">
        <f aca="false">(Data!AL93+Data!AL94+Data!AL95+Data!AL96+Data!AL97+Data!AL98+Data!AL99+Data!AL100+Data!AL101+Data!AL102+Data!AL103+Data!AL104)/(Data!AP93+Data!AP94+Data!AP95+Data!AP96+Data!AP97+Data!AP98+Data!AP99+Data!AP100+Data!AP101+Data!AP102+Data!AP103+Data!AP104)</f>
        <v>0.0119390091927988</v>
      </c>
      <c r="AD104" s="17" t="n">
        <f aca="false">(Data!AM93+Data!AM94+Data!AM95+Data!AM96+Data!AM97+Data!AM98+Data!AM99+Data!AM100+Data!AM101+Data!AM102+Data!AM103+Data!AM104)/(Data!AP93+Data!AP94+Data!AP95+Data!AP96+Data!AP97+Data!AP98+Data!AP99+Data!AP100+Data!AP101+Data!AP102+Data!AP103+Data!AP104)</f>
        <v>-0.00613887579258401</v>
      </c>
      <c r="AE104" s="18" t="n">
        <f aca="false">(Data!AN93+Data!AN94+Data!AN95+Data!AN96+Data!AN97+Data!AN98+Data!AN99+Data!AN100+Data!AN101+Data!AN102+Data!AN103+Data!AN104)/(Data!AP93+Data!AP94+Data!AP95+Data!AP96+Data!AP97+Data!AP98+Data!AP99+Data!AP100+Data!AP101+Data!AP102+Data!AP103+Data!AP104)</f>
        <v>0.0208123954065489</v>
      </c>
      <c r="AF104" s="17" t="n">
        <f aca="false">(Data!AO93+Data!AO94+Data!AO95+Data!AO96+Data!AO97+Data!AO98+Data!AO99+Data!AO100+Data!AO101+Data!AO102+Data!AO103+Data!AO104)/(Data!AP93+Data!AP94+Data!AP95+Data!AP96+Data!AP97+Data!AP98+Data!AP99+Data!AP100+Data!AP101+Data!AP102+Data!AP103+Data!AP104)</f>
        <v>-0.0269512753211396</v>
      </c>
    </row>
    <row r="105" customFormat="false" ht="15" hidden="false" customHeight="false" outlineLevel="0" collapsed="false">
      <c r="B105" s="14" t="str">
        <f aca="false">Data!B105</f>
        <v>2024-03</v>
      </c>
      <c r="C105" s="17" t="n">
        <f aca="false">(Data!D94+Data!E94+Data!F94+Data!G94+Data!H94+Data!I94+Data!J94+Data!K94+Data!L94+Data!M94+Data!N94+Data!O94+Data!P94+Data!Q94+Data!R94+Data!S94+Data!D95+Data!E95+Data!F95+Data!G95+Data!H95+Data!I95+Data!J95+Data!K95+Data!L95+Data!M95+Data!N95+Data!O95+Data!P95+Data!Q95+Data!R95+Data!S95+Data!D96+Data!E96+Data!F96+Data!G96+Data!H96+Data!I96+Data!J96+Data!K96+Data!L96+Data!M96+Data!N96+Data!O96+Data!P96+Data!Q96+Data!R96+Data!S96+Data!D97+Data!E97+Data!F97+Data!G97+Data!H97+Data!I97+Data!J97+Data!K97+Data!L97+Data!M97+Data!N97+Data!O97+Data!P97+Data!Q97+Data!R97+Data!S97+Data!D98+Data!E98+Data!F98+Data!G98+Data!H98+Data!I98+Data!J98+Data!K98+Data!L98+Data!M98+Data!N98+Data!O98+Data!P98+Data!Q98+Data!R98+Data!S98+Data!D99+Data!E99+Data!F99+Data!G99+Data!H99+Data!I99+Data!J99+Data!K99+Data!L99+Data!M99+Data!N99+Data!O99+Data!P99+Data!Q99+Data!R99+Data!S99+Data!D100+Data!E100+Data!F100+Data!G100+Data!H100+Data!I100+Data!J100+Data!K100+Data!L100+Data!M100+Data!N100+Data!O100+Data!P100+Data!Q100+Data!R100+Data!S100+Data!D101+Data!E101+Data!F101+Data!G101+Data!H101+Data!I101+Data!J101+Data!K101+Data!L101+Data!M101+Data!N101+Data!O101+Data!P101+Data!Q101+Data!R101+Data!S101+Data!D102+Data!E102+Data!F102+Data!G102+Data!H102+Data!I102+Data!J102+Data!K102+Data!L102+Data!M102+Data!N102+Data!O102+Data!P102+Data!Q102+Data!R102+Data!S102+Data!D103+Data!E103+Data!F103+Data!G103+Data!H103+Data!I103+Data!J103+Data!K103+Data!L103+Data!M103+Data!N103+Data!O103+Data!P103+Data!Q103+Data!R103+Data!S103+Data!D104+Data!E104+Data!F104+Data!G104+Data!H104+Data!I104+Data!J104+Data!K104+Data!L104+Data!M104+Data!N104+Data!O104+Data!P104+Data!Q104+Data!R104+Data!S104+Data!D105+Data!E105+Data!F105+Data!G105+Data!H105+Data!I105+Data!J105+Data!K105+Data!L105+Data!M105+Data!N105+Data!O105+Data!P105+Data!Q105+Data!R105+Data!S105)/(Data!AP94+Data!AP95+Data!AP96+Data!AP97+Data!AP98+Data!AP99+Data!AP100+Data!AP101+Data!AP102+Data!AP103+Data!AP104+Data!AP105)</f>
        <v>0.166227335226933</v>
      </c>
      <c r="D105" s="18" t="n">
        <f aca="false">(Data!D94+Data!E94+Data!G94+Data!H94+Data!I94+Data!J94+Data!K94+Data!L94+Data!M94+Data!D95+Data!E95+Data!G95+Data!H95+Data!I95+Data!J95+Data!K95+Data!L95+Data!M95+Data!D96+Data!E96+Data!G96+Data!H96+Data!I96+Data!J96+Data!K96+Data!L96+Data!M96+Data!D97+Data!E97+Data!G97+Data!H97+Data!I97+Data!J97+Data!K97+Data!L97+Data!M97+Data!D98+Data!E98+Data!G98+Data!H98+Data!I98+Data!J98+Data!K98+Data!L98+Data!M98+Data!D99+Data!E99+Data!G99+Data!H99+Data!I99+Data!J99+Data!K99+Data!L99+Data!M99+Data!D100+Data!E100+Data!G100+Data!H100+Data!I100+Data!J100+Data!K100+Data!L100+Data!M100+Data!D101+Data!E101+Data!G101+Data!H101+Data!I101+Data!J101+Data!K101+Data!L101+Data!M101+Data!D102+Data!E102+Data!G102+Data!H102+Data!I102+Data!J102+Data!K102+Data!L102+Data!M102+Data!D103+Data!E103+Data!G103+Data!H103+Data!I103+Data!J103+Data!K103+Data!L103+Data!M103+Data!D104+Data!E104+Data!G104+Data!H104+Data!I104+Data!J104+Data!K104+Data!L104+Data!M104+Data!D105+Data!E105+Data!G105+Data!H105+Data!I105+Data!J105+Data!K105+Data!L105+Data!M105)/(Data!AP94+Data!AP95+Data!AP96+Data!AP97+Data!AP98+Data!AP99+Data!AP100+Data!AP101+Data!AP102+Data!AP103+Data!AP104+Data!AP105)</f>
        <v>0.100707647597117</v>
      </c>
      <c r="E105" s="18" t="n">
        <f aca="false">(Data!D94+Data!D95+Data!D96+Data!D97+Data!D98+Data!D99+Data!D100+Data!D101+Data!D102+Data!D103+Data!D104+Data!D105)/(Data!AP94+Data!AP95+Data!AP96+Data!AP97+Data!AP98+Data!AP99+Data!AP100+Data!AP101+Data!AP102+Data!AP103+Data!AP104+Data!AP105)</f>
        <v>0.0347567906822256</v>
      </c>
      <c r="F105" s="18" t="n">
        <f aca="false">(Data!E94+Data!E95+Data!E96+Data!E97+Data!E98+Data!E99+Data!E100+Data!E101+Data!E102+Data!E103+Data!E104+Data!E105)/(Data!AP94+Data!AP95+Data!AP96+Data!AP97+Data!AP98+Data!AP99+Data!AP100+Data!AP101+Data!AP102+Data!AP103+Data!AP104+Data!AP105)</f>
        <v>0.0138628623944965</v>
      </c>
      <c r="G105" s="18" t="n">
        <f aca="false">(Data!K94+Data!K95+Data!K96+Data!K97+Data!K98+Data!K99+Data!K100+Data!K101+Data!K102+Data!K103+Data!K104+Data!K105)/(Data!AP94+Data!AP95+Data!AP96+Data!AP97+Data!AP98+Data!AP99+Data!AP100+Data!AP101+Data!AP102+Data!AP103+Data!AP104+Data!AP105)</f>
        <v>0.00941077804721316</v>
      </c>
      <c r="H105" s="18" t="n">
        <f aca="false">(Data!L94+Data!L95+Data!L96+Data!L97+Data!L98+Data!L99+Data!L100+Data!L101+Data!L102+Data!L103+Data!L104+Data!L105)/(Data!AP94+Data!AP95+Data!AP96+Data!AP97+Data!AP98+Data!AP99+Data!AP100+Data!AP101+Data!AP102+Data!AP103+Data!AP104+Data!AP105)</f>
        <v>0.0058218909674778</v>
      </c>
      <c r="I105" s="18" t="n">
        <f aca="false">(Data!G94+Data!G95+Data!G96+Data!G97+Data!G98+Data!G99+Data!G100+Data!G101+Data!G102+Data!G103+Data!G104+Data!G105)/(Data!AP94+Data!AP95+Data!AP96+Data!AP97+Data!AP98+Data!AP99+Data!AP100+Data!AP101+Data!AP102+Data!AP103+Data!AP104+Data!AP105)</f>
        <v>0.0155207527783456</v>
      </c>
      <c r="J105" s="18" t="n">
        <f aca="false">(Data!H94+Data!I94+Data!J94+Data!M94+Data!H95+Data!I95+Data!J95+Data!M95+Data!H96+Data!I96+Data!J96+Data!M96+Data!H97+Data!I97+Data!J97+Data!M97+Data!H98+Data!I98+Data!J98+Data!M98+Data!H99+Data!I99+Data!J99+Data!M99+Data!H100+Data!I100+Data!J100+Data!M100+Data!H101+Data!I101+Data!J101+Data!M101+Data!H102+Data!I102+Data!J102+Data!M102+Data!H103+Data!I103+Data!J103+Data!M103+Data!H104+Data!I104+Data!J104+Data!M104+Data!H105+Data!I105+Data!J105+Data!M105)/(Data!AP94+Data!AP95+Data!AP96+Data!AP97+Data!AP98+Data!AP99+Data!AP100+Data!AP101+Data!AP102+Data!AP103+Data!AP104+Data!AP105)</f>
        <v>0.0213345727273583</v>
      </c>
      <c r="K105" s="18" t="n">
        <f aca="false">(Data!F94+Data!F95+Data!F96+Data!F97+Data!F98+Data!F99+Data!F100+Data!F101+Data!F102+Data!F103+Data!F104+Data!F105)/(Data!AP94+Data!AP95+Data!AP96+Data!AP97+Data!AP98+Data!AP99+Data!AP100+Data!AP101+Data!AP102+Data!AP103+Data!AP104+Data!AP105)</f>
        <v>0.0477092679916271</v>
      </c>
      <c r="L105" s="18" t="n">
        <f aca="false">(Data!N94+Data!O94+Data!P94+Data!Q94+Data!R94+Data!S94+Data!N95+Data!O95+Data!P95+Data!Q95+Data!R95+Data!S95+Data!N96+Data!O96+Data!P96+Data!Q96+Data!R96+Data!S96+Data!N97+Data!O97+Data!P97+Data!Q97+Data!R97+Data!S97+Data!N98+Data!O98+Data!P98+Data!Q98+Data!R98+Data!S98+Data!N99+Data!O99+Data!P99+Data!Q99+Data!R99+Data!S99+Data!N100+Data!O100+Data!P100+Data!Q100+Data!R100+Data!S100+Data!N101+Data!O101+Data!P101+Data!Q101+Data!R101+Data!S101+Data!N102+Data!O102+Data!P102+Data!Q102+Data!R102+Data!S102+Data!N103+Data!O103+Data!P103+Data!Q103+Data!R103+Data!S103+Data!N104+Data!O104+Data!P104+Data!Q104+Data!R104+Data!S104+Data!N105+Data!O105+Data!P105+Data!Q105+Data!R105+Data!S105)/(Data!AP94+Data!AP95+Data!AP96+Data!AP97+Data!AP98+Data!AP99+Data!AP100+Data!AP101+Data!AP102+Data!AP103+Data!AP104+Data!AP105)</f>
        <v>0.0178104196381894</v>
      </c>
      <c r="M105" s="17" t="n">
        <f aca="false">(Data!T94+Data!U94+Data!V94+Data!W94+Data!X94+Data!Y94+Data!Z94+Data!AA94+Data!AB94+Data!AC94+Data!AD94+Data!AE94+Data!AF94+Data!AG94+Data!AH94+Data!AI94+Data!AJ94+Data!AK94+Data!AL94+Data!T95+Data!U95+Data!V95+Data!W95+Data!X95+Data!Y95+Data!Z95+Data!AA95+Data!AB95+Data!AC95+Data!AD95+Data!AE95+Data!AF95+Data!AG95+Data!AH95+Data!AI95+Data!AJ95+Data!AK95+Data!AL95+Data!T96+Data!U96+Data!V96+Data!W96+Data!X96+Data!Y96+Data!Z96+Data!AA96+Data!AB96+Data!AC96+Data!AD96+Data!AE96+Data!AF96+Data!AG96+Data!AH96+Data!AI96+Data!AJ96+Data!AK96+Data!AL96+Data!T97+Data!U97+Data!V97+Data!W97+Data!X97+Data!Y97+Data!Z97+Data!AA97+Data!AB97+Data!AC97+Data!AD97+Data!AE97+Data!AF97+Data!AG97+Data!AH97+Data!AI97+Data!AJ97+Data!AK97+Data!AL97+Data!T98+Data!U98+Data!V98+Data!W98+Data!X98+Data!Y98+Data!Z98+Data!AA98+Data!AB98+Data!AC98+Data!AD98+Data!AE98+Data!AF98+Data!AG98+Data!AH98+Data!AI98+Data!AJ98+Data!AK98+Data!AL98+Data!T99+Data!U99+Data!V99+Data!W99+Data!X99+Data!Y99+Data!Z99+Data!AA99+Data!AB99+Data!AC99+Data!AD99+Data!AE99+Data!AF99+Data!AG99+Data!AH99+Data!AI99+Data!AJ99+Data!AK99+Data!AL99+Data!T100+Data!U100+Data!V100+Data!W100+Data!X100+Data!Y100+Data!Z100+Data!AA100+Data!AB100+Data!AC100+Data!AD100+Data!AE100+Data!AF100+Data!AG100+Data!AH100+Data!AI100+Data!AJ100+Data!AK100+Data!AL100+Data!T101+Data!U101+Data!V101+Data!W101+Data!X101+Data!Y101+Data!Z101+Data!AA101+Data!AB101+Data!AC101+Data!AD101+Data!AE101+Data!AF101+Data!AG101+Data!AH101+Data!AI101+Data!AJ101+Data!AK101+Data!AL101+Data!T102+Data!U102+Data!V102+Data!W102+Data!X102+Data!Y102+Data!Z102+Data!AA102+Data!AB102+Data!AC102+Data!AD102+Data!AE102+Data!AF102+Data!AG102+Data!AH102+Data!AI102+Data!AJ102+Data!AK102+Data!AL102+Data!T103+Data!U103+Data!V103+Data!W103+Data!X103+Data!Y103+Data!Z103+Data!AA103+Data!AB103+Data!AC103+Data!AD103+Data!AE103+Data!AF103+Data!AG103+Data!AH103+Data!AI103+Data!AJ103+Data!AK103+Data!AL103+Data!T104+Data!U104+Data!V104+Data!W104+Data!X104+Data!Y104+Data!Z104+Data!AA104+Data!AB104+Data!AC104+Data!AD104+Data!AE104+Data!AF104+Data!AG104+Data!AH104+Data!AI104+Data!AJ104+Data!AK104+Data!AL104+Data!T105+Data!U105+Data!V105+Data!W105+Data!X105+Data!Y105+Data!Z105+Data!AA105+Data!AB105+Data!AC105+Data!AD105+Data!AE105+Data!AF105+Data!AG105+Data!AH105+Data!AI105+Data!AJ105+Data!AK105+Data!AL105)/(Data!AP94+Data!AP95+Data!AP96+Data!AP97+Data!AP98+Data!AP99+Data!AP100+Data!AP101+Data!AP102+Data!AP103+Data!AP104+Data!AP105)</f>
        <v>0.168462170756766</v>
      </c>
      <c r="N105" s="18" t="n">
        <f aca="false">(Data!T94+Data!U94+Data!V94+Data!W94+Data!T95+Data!U95+Data!V95+Data!W95+Data!T96+Data!U96+Data!V96+Data!W96+Data!T97+Data!U97+Data!V97+Data!W97+Data!T98+Data!U98+Data!V98+Data!W98+Data!T99+Data!U99+Data!V99+Data!W99+Data!T100+Data!U100+Data!V100+Data!W100+Data!T101+Data!U101+Data!V101+Data!W101+Data!T102+Data!U102+Data!V102+Data!W102+Data!T103+Data!U103+Data!V103+Data!W103+Data!T104+Data!U104+Data!V104+Data!W104+Data!T105+Data!U105+Data!V105+Data!W105)/(Data!AP94+Data!AP95+Data!AP96+Data!AP97+Data!AP98+Data!AP99+Data!AP100+Data!AP101+Data!AP102+Data!AP103+Data!AP104+Data!AP105)</f>
        <v>0.0764317451340855</v>
      </c>
      <c r="O105" s="18" t="n">
        <f aca="false">(Data!T94+Data!T95+Data!T96+Data!T97+Data!T98+Data!T99+Data!T100+Data!T101+Data!T102+Data!T103+Data!T104+Data!T105)/(Data!AP94+Data!AP95+Data!AP96+Data!AP97+Data!AP98+Data!AP99+Data!AP100+Data!AP101+Data!AP102+Data!AP103+Data!AP104+Data!AP105)</f>
        <v>0.053703196955896</v>
      </c>
      <c r="P105" s="18" t="n">
        <f aca="false">(Data!U94+Data!U95+Data!U96+Data!U97+Data!U98+Data!U99+Data!U100+Data!U101+Data!U102+Data!U103+Data!U104+Data!U105)/(Data!AP94+Data!AP95+Data!AP96+Data!AP97+Data!AP98+Data!AP99+Data!AP100+Data!AP101+Data!AP102+Data!AP103+Data!AP104+Data!AP105)</f>
        <v>0.00894168603154174</v>
      </c>
      <c r="Q105" s="18" t="n">
        <f aca="false">(Data!V94+Data!V95+Data!V96+Data!V97+Data!V98+Data!V99+Data!V100+Data!V101+Data!V102+Data!V103+Data!V104+Data!V105)/(Data!AP94+Data!AP95+Data!AP96+Data!AP97+Data!AP98+Data!AP99+Data!AP100+Data!AP101+Data!AP102+Data!AP103+Data!AP104+Data!AP105)</f>
        <v>0.00493574473555421</v>
      </c>
      <c r="R105" s="18" t="n">
        <f aca="false">(Data!W94+Data!W95+Data!W96+Data!W97+Data!W98+Data!W99+Data!W100+Data!W101+Data!W102+Data!W103+Data!W104+Data!W105)/(Data!AP94+Data!AP95+Data!AP96+Data!AP97+Data!AP98+Data!AP99+Data!AP100+Data!AP101+Data!AP102+Data!AP103+Data!AP104+Data!AP105)</f>
        <v>0.00885111741109356</v>
      </c>
      <c r="S105" s="18" t="n">
        <f aca="false">(Data!X94+Data!X95+Data!X96+Data!X97+Data!X98+Data!X99+Data!X100+Data!X101+Data!X102+Data!X103+Data!X104+Data!X105)/(Data!AP94+Data!AP95+Data!AP96+Data!AP97+Data!AP98+Data!AP99+Data!AP100+Data!AP101+Data!AP102+Data!AP103+Data!AP104+Data!AP105)</f>
        <v>0.0197347162831306</v>
      </c>
      <c r="T105" s="18" t="n">
        <f aca="false">(Data!Y94+Data!Z94+Data!AA94+Data!Y95+Data!Z95+Data!AA95+Data!Y96+Data!Z96+Data!AA96+Data!Y97+Data!Z97+Data!AA97+Data!Y98+Data!Z98+Data!AA98+Data!Y99+Data!Z99+Data!AA99+Data!Y100+Data!Z100+Data!AA100+Data!Y101+Data!Z101+Data!AA101+Data!Y102+Data!Z102+Data!AA102+Data!Y103+Data!Z103+Data!AA103+Data!Y104+Data!Z104+Data!AA104+Data!Y105+Data!Z105+Data!AA105)/(Data!AP94+Data!AP95+Data!AP96+Data!AP97+Data!AP98+Data!AP99+Data!AP100+Data!AP101+Data!AP102+Data!AP103+Data!AP104+Data!AP105)</f>
        <v>0.0167564736155181</v>
      </c>
      <c r="U105" s="18" t="n">
        <f aca="false">(Data!Y94+Data!Y95+Data!Y96+Data!Y97+Data!Y98+Data!Y99+Data!Y100+Data!Y101+Data!Y102+Data!Y103+Data!Y104+Data!Y105)/(Data!AP94+Data!AP95+Data!AP96+Data!AP97+Data!AP98+Data!AP99+Data!AP100+Data!AP101+Data!AP102+Data!AP103+Data!AP104+Data!AP105)</f>
        <v>0.0120905994138218</v>
      </c>
      <c r="V105" s="18" t="n">
        <f aca="false">(Data!Z94+Data!Z95+Data!Z96+Data!Z97+Data!Z98+Data!Z99+Data!Z100+Data!Z101+Data!Z102+Data!Z103+Data!Z104+Data!Z105)/(Data!AP94+Data!AP95+Data!AP96+Data!AP97+Data!AP98+Data!AP99+Data!AP100+Data!AP101+Data!AP102+Data!AP103+Data!AP104+Data!AP105)</f>
        <v>0.00419414712748487</v>
      </c>
      <c r="W105" s="18" t="n">
        <f aca="false">(Data!AB94+Data!AB95+Data!AB96+Data!AB97+Data!AB98+Data!AB99+Data!AB100+Data!AB101+Data!AB102+Data!AB103+Data!AB104+Data!AB105)/(Data!AP94+Data!AP95+Data!AP96+Data!AP97+Data!AP98+Data!AP99+Data!AP100+Data!AP101+Data!AP102+Data!AP103+Data!AP104+Data!AP105)</f>
        <v>0.0242135787218148</v>
      </c>
      <c r="X105" s="18" t="n">
        <f aca="false">(Data!AC94+Data!AC95+Data!AC96+Data!AC97+Data!AC98+Data!AC99+Data!AC100+Data!AC101+Data!AC102+Data!AC103+Data!AC104+Data!AC105)/(Data!AP94+Data!AP95+Data!AP96+Data!AP97+Data!AP98+Data!AP99+Data!AP100+Data!AP101+Data!AP102+Data!AP103+Data!AP104+Data!AP105)</f>
        <v>0.00577219708027035</v>
      </c>
      <c r="Y105" s="18" t="n">
        <f aca="false">(Data!AD94+Data!AE94+Data!AF94+Data!AG94+Data!AH94+Data!AD95+Data!AE95+Data!AF95+Data!AG95+Data!AH95+Data!AD96+Data!AE96+Data!AF96+Data!AG96+Data!AH96+Data!AD97+Data!AE97+Data!AF97+Data!AG97+Data!AH97+Data!AD98+Data!AE98+Data!AF98+Data!AG98+Data!AH98+Data!AD99+Data!AE99+Data!AF99+Data!AG99+Data!AH99+Data!AD100+Data!AE100+Data!AF100+Data!AG100+Data!AH100+Data!AD101+Data!AE101+Data!AF101+Data!AG101+Data!AH101+Data!AD102+Data!AE102+Data!AF102+Data!AG102+Data!AH102+Data!AD103+Data!AE103+Data!AF103+Data!AG103+Data!AH103+Data!AD104+Data!AE104+Data!AF104+Data!AG104+Data!AH104+Data!AD105+Data!AE105+Data!AF105+Data!AG105+Data!AH105)/(Data!AP94+Data!AP95+Data!AP96+Data!AP97+Data!AP98+Data!AP99+Data!AP100+Data!AP101+Data!AP102+Data!AP103+Data!AP104+Data!AP105)</f>
        <v>0.00522293663324148</v>
      </c>
      <c r="Z105" s="18" t="n">
        <f aca="false">(Data!AI94+Data!AI95+Data!AI96+Data!AI97+Data!AI98+Data!AI99+Data!AI100+Data!AI101+Data!AI102+Data!AI103+Data!AI104+Data!AI105)/(Data!AP94+Data!AP95+Data!AP96+Data!AP97+Data!AP98+Data!AP99+Data!AP100+Data!AP101+Data!AP102+Data!AP103+Data!AP104+Data!AP105)</f>
        <v>0.00636860480548409</v>
      </c>
      <c r="AA105" s="18" t="n">
        <f aca="false">(Data!AJ94+Data!AJ95+Data!AJ96+Data!AJ97+Data!AJ98+Data!AJ99+Data!AJ100+Data!AJ101+Data!AJ102+Data!AJ103+Data!AJ104+Data!AJ105)/(Data!AP94+Data!AP95+Data!AP96+Data!AP97+Data!AP98+Data!AP99+Data!AP100+Data!AP101+Data!AP102+Data!AP103+Data!AP104+Data!AP105)</f>
        <v>0</v>
      </c>
      <c r="AB105" s="18" t="n">
        <f aca="false">(Data!AK94+Data!AK95+Data!AK96+Data!AK97+Data!AK98+Data!AK99+Data!AK100+Data!AK101+Data!AK102+Data!AK103+Data!AK104+Data!AK105)/(Data!AP94+Data!AP95+Data!AP96+Data!AP97+Data!AP98+Data!AP99+Data!AP100+Data!AP101+Data!AP102+Data!AP103+Data!AP104+Data!AP105)</f>
        <v>0.00358529381808991</v>
      </c>
      <c r="AC105" s="18" t="n">
        <f aca="false">(Data!AL94+Data!AL95+Data!AL96+Data!AL97+Data!AL98+Data!AL99+Data!AL100+Data!AL101+Data!AL102+Data!AL103+Data!AL104+Data!AL105)/(Data!AP94+Data!AP95+Data!AP96+Data!AP97+Data!AP98+Data!AP99+Data!AP100+Data!AP101+Data!AP102+Data!AP103+Data!AP104+Data!AP105)</f>
        <v>0.0103766246651311</v>
      </c>
      <c r="AD105" s="17" t="n">
        <f aca="false">(Data!AM94+Data!AM95+Data!AM96+Data!AM97+Data!AM98+Data!AM99+Data!AM100+Data!AM101+Data!AM102+Data!AM103+Data!AM104+Data!AM105)/(Data!AP94+Data!AP95+Data!AP96+Data!AP97+Data!AP98+Data!AP99+Data!AP100+Data!AP101+Data!AP102+Data!AP103+Data!AP104+Data!AP105)</f>
        <v>-0.00223483552983248</v>
      </c>
      <c r="AE105" s="18" t="n">
        <f aca="false">(Data!AN94+Data!AN95+Data!AN96+Data!AN97+Data!AN98+Data!AN99+Data!AN100+Data!AN101+Data!AN102+Data!AN103+Data!AN104+Data!AN105)/(Data!AP94+Data!AP95+Data!AP96+Data!AP97+Data!AP98+Data!AP99+Data!AP100+Data!AP101+Data!AP102+Data!AP103+Data!AP104+Data!AP105)</f>
        <v>0.0194122330279901</v>
      </c>
      <c r="AF105" s="17" t="n">
        <f aca="false">(Data!AO94+Data!AO95+Data!AO96+Data!AO97+Data!AO98+Data!AO99+Data!AO100+Data!AO101+Data!AO102+Data!AO103+Data!AO104+Data!AO105)/(Data!AP94+Data!AP95+Data!AP96+Data!AP97+Data!AP98+Data!AP99+Data!AP100+Data!AP101+Data!AP102+Data!AP103+Data!AP104+Data!AP105)</f>
        <v>-0.0216470722432192</v>
      </c>
    </row>
    <row r="106" customFormat="false" ht="15" hidden="false" customHeight="false" outlineLevel="0" collapsed="false">
      <c r="B106" s="14" t="str">
        <f aca="false">Data!B106</f>
        <v>2024-04</v>
      </c>
      <c r="C106" s="17" t="n">
        <f aca="false">(Data!D95+Data!E95+Data!F95+Data!G95+Data!H95+Data!I95+Data!J95+Data!K95+Data!L95+Data!M95+Data!N95+Data!O95+Data!P95+Data!Q95+Data!R95+Data!S95+Data!D96+Data!E96+Data!F96+Data!G96+Data!H96+Data!I96+Data!J96+Data!K96+Data!L96+Data!M96+Data!N96+Data!O96+Data!P96+Data!Q96+Data!R96+Data!S96+Data!D97+Data!E97+Data!F97+Data!G97+Data!H97+Data!I97+Data!J97+Data!K97+Data!L97+Data!M97+Data!N97+Data!O97+Data!P97+Data!Q97+Data!R97+Data!S97+Data!D98+Data!E98+Data!F98+Data!G98+Data!H98+Data!I98+Data!J98+Data!K98+Data!L98+Data!M98+Data!N98+Data!O98+Data!P98+Data!Q98+Data!R98+Data!S98+Data!D99+Data!E99+Data!F99+Data!G99+Data!H99+Data!I99+Data!J99+Data!K99+Data!L99+Data!M99+Data!N99+Data!O99+Data!P99+Data!Q99+Data!R99+Data!S99+Data!D100+Data!E100+Data!F100+Data!G100+Data!H100+Data!I100+Data!J100+Data!K100+Data!L100+Data!M100+Data!N100+Data!O100+Data!P100+Data!Q100+Data!R100+Data!S100+Data!D101+Data!E101+Data!F101+Data!G101+Data!H101+Data!I101+Data!J101+Data!K101+Data!L101+Data!M101+Data!N101+Data!O101+Data!P101+Data!Q101+Data!R101+Data!S101+Data!D102+Data!E102+Data!F102+Data!G102+Data!H102+Data!I102+Data!J102+Data!K102+Data!L102+Data!M102+Data!N102+Data!O102+Data!P102+Data!Q102+Data!R102+Data!S102+Data!D103+Data!E103+Data!F103+Data!G103+Data!H103+Data!I103+Data!J103+Data!K103+Data!L103+Data!M103+Data!N103+Data!O103+Data!P103+Data!Q103+Data!R103+Data!S103+Data!D104+Data!E104+Data!F104+Data!G104+Data!H104+Data!I104+Data!J104+Data!K104+Data!L104+Data!M104+Data!N104+Data!O104+Data!P104+Data!Q104+Data!R104+Data!S104+Data!D105+Data!E105+Data!F105+Data!G105+Data!H105+Data!I105+Data!J105+Data!K105+Data!L105+Data!M105+Data!N105+Data!O105+Data!P105+Data!Q105+Data!R105+Data!S105+Data!D106+Data!E106+Data!F106+Data!G106+Data!H106+Data!I106+Data!J106+Data!K106+Data!L106+Data!M106+Data!N106+Data!O106+Data!P106+Data!Q106+Data!R106+Data!S106)/(Data!AP95+Data!AP96+Data!AP97+Data!AP98+Data!AP99+Data!AP100+Data!AP101+Data!AP102+Data!AP103+Data!AP104+Data!AP105+Data!AP106)</f>
        <v>0.165391036736995</v>
      </c>
      <c r="D106" s="18" t="n">
        <f aca="false">(Data!D95+Data!E95+Data!G95+Data!H95+Data!I95+Data!J95+Data!K95+Data!L95+Data!M95+Data!D96+Data!E96+Data!G96+Data!H96+Data!I96+Data!J96+Data!K96+Data!L96+Data!M96+Data!D97+Data!E97+Data!G97+Data!H97+Data!I97+Data!J97+Data!K97+Data!L97+Data!M97+Data!D98+Data!E98+Data!G98+Data!H98+Data!I98+Data!J98+Data!K98+Data!L98+Data!M98+Data!D99+Data!E99+Data!G99+Data!H99+Data!I99+Data!J99+Data!K99+Data!L99+Data!M99+Data!D100+Data!E100+Data!G100+Data!H100+Data!I100+Data!J100+Data!K100+Data!L100+Data!M100+Data!D101+Data!E101+Data!G101+Data!H101+Data!I101+Data!J101+Data!K101+Data!L101+Data!M101+Data!D102+Data!E102+Data!G102+Data!H102+Data!I102+Data!J102+Data!K102+Data!L102+Data!M102+Data!D103+Data!E103+Data!G103+Data!H103+Data!I103+Data!J103+Data!K103+Data!L103+Data!M103+Data!D104+Data!E104+Data!G104+Data!H104+Data!I104+Data!J104+Data!K104+Data!L104+Data!M104+Data!D105+Data!E105+Data!G105+Data!H105+Data!I105+Data!J105+Data!K105+Data!L105+Data!M105+Data!D106+Data!E106+Data!G106+Data!H106+Data!I106+Data!J106+Data!K106+Data!L106+Data!M106)/(Data!AP95+Data!AP96+Data!AP97+Data!AP98+Data!AP99+Data!AP100+Data!AP101+Data!AP102+Data!AP103+Data!AP104+Data!AP105+Data!AP106)</f>
        <v>0.100101383784628</v>
      </c>
      <c r="E106" s="18" t="n">
        <f aca="false">(Data!D95+Data!D96+Data!D97+Data!D98+Data!D99+Data!D100+Data!D101+Data!D102+Data!D103+Data!D104+Data!D105+Data!D106)/(Data!AP95+Data!AP96+Data!AP97+Data!AP98+Data!AP99+Data!AP100+Data!AP101+Data!AP102+Data!AP103+Data!AP104+Data!AP105+Data!AP106)</f>
        <v>0.0346992237482262</v>
      </c>
      <c r="F106" s="18" t="n">
        <f aca="false">(Data!E95+Data!E96+Data!E97+Data!E98+Data!E99+Data!E100+Data!E101+Data!E102+Data!E103+Data!E104+Data!E105+Data!E106)/(Data!AP95+Data!AP96+Data!AP97+Data!AP98+Data!AP99+Data!AP100+Data!AP101+Data!AP102+Data!AP103+Data!AP104+Data!AP105+Data!AP106)</f>
        <v>0.0132897435147221</v>
      </c>
      <c r="G106" s="18" t="n">
        <f aca="false">(Data!K95+Data!K96+Data!K97+Data!K98+Data!K99+Data!K100+Data!K101+Data!K102+Data!K103+Data!K104+Data!K105+Data!K106)/(Data!AP95+Data!AP96+Data!AP97+Data!AP98+Data!AP99+Data!AP100+Data!AP101+Data!AP102+Data!AP103+Data!AP104+Data!AP105+Data!AP106)</f>
        <v>0.00926836816172208</v>
      </c>
      <c r="H106" s="18" t="n">
        <f aca="false">(Data!L95+Data!L96+Data!L97+Data!L98+Data!L99+Data!L100+Data!L101+Data!L102+Data!L103+Data!L104+Data!L105+Data!L106)/(Data!AP95+Data!AP96+Data!AP97+Data!AP98+Data!AP99+Data!AP100+Data!AP101+Data!AP102+Data!AP103+Data!AP104+Data!AP105+Data!AP106)</f>
        <v>0.00579539914015522</v>
      </c>
      <c r="I106" s="18" t="n">
        <f aca="false">(Data!G95+Data!G96+Data!G97+Data!G98+Data!G99+Data!G100+Data!G101+Data!G102+Data!G103+Data!G104+Data!G105+Data!G106)/(Data!AP95+Data!AP96+Data!AP97+Data!AP98+Data!AP99+Data!AP100+Data!AP101+Data!AP102+Data!AP103+Data!AP104+Data!AP105+Data!AP106)</f>
        <v>0.0153021403018631</v>
      </c>
      <c r="J106" s="18" t="n">
        <f aca="false">(Data!H95+Data!I95+Data!J95+Data!M95+Data!H96+Data!I96+Data!J96+Data!M96+Data!H97+Data!I97+Data!J97+Data!M97+Data!H98+Data!I98+Data!J98+Data!M98+Data!H99+Data!I99+Data!J99+Data!M99+Data!H100+Data!I100+Data!J100+Data!M100+Data!H101+Data!I101+Data!J101+Data!M101+Data!H102+Data!I102+Data!J102+Data!M102+Data!H103+Data!I103+Data!J103+Data!M103+Data!H104+Data!I104+Data!J104+Data!M104+Data!H105+Data!I105+Data!J105+Data!M105+Data!H106+Data!I106+Data!J106+Data!M106)/(Data!AP95+Data!AP96+Data!AP97+Data!AP98+Data!AP99+Data!AP100+Data!AP101+Data!AP102+Data!AP103+Data!AP104+Data!AP105+Data!AP106)</f>
        <v>0.0217465089179391</v>
      </c>
      <c r="K106" s="18" t="n">
        <f aca="false">(Data!F95+Data!F96+Data!F97+Data!F98+Data!F99+Data!F100+Data!F101+Data!F102+Data!F103+Data!F104+Data!F105+Data!F106)/(Data!AP95+Data!AP96+Data!AP97+Data!AP98+Data!AP99+Data!AP100+Data!AP101+Data!AP102+Data!AP103+Data!AP104+Data!AP105+Data!AP106)</f>
        <v>0.0473153264278129</v>
      </c>
      <c r="L106" s="18" t="n">
        <f aca="false">(Data!N95+Data!O95+Data!P95+Data!Q95+Data!R95+Data!S95+Data!N96+Data!O96+Data!P96+Data!Q96+Data!R96+Data!S96+Data!N97+Data!O97+Data!P97+Data!Q97+Data!R97+Data!S97+Data!N98+Data!O98+Data!P98+Data!Q98+Data!R98+Data!S98+Data!N99+Data!O99+Data!P99+Data!Q99+Data!R99+Data!S99+Data!N100+Data!O100+Data!P100+Data!Q100+Data!R100+Data!S100+Data!N101+Data!O101+Data!P101+Data!Q101+Data!R101+Data!S101+Data!N102+Data!O102+Data!P102+Data!Q102+Data!R102+Data!S102+Data!N103+Data!O103+Data!P103+Data!Q103+Data!R103+Data!S103+Data!N104+Data!O104+Data!P104+Data!Q104+Data!R104+Data!S104+Data!N105+Data!O105+Data!P105+Data!Q105+Data!R105+Data!S105+Data!N106+Data!O106+Data!P106+Data!Q106+Data!R106+Data!S106)/(Data!AP95+Data!AP96+Data!AP97+Data!AP98+Data!AP99+Data!AP100+Data!AP101+Data!AP102+Data!AP103+Data!AP104+Data!AP105+Data!AP106)</f>
        <v>0.0179743265245538</v>
      </c>
      <c r="M106" s="17" t="n">
        <f aca="false">(Data!T95+Data!U95+Data!V95+Data!W95+Data!X95+Data!Y95+Data!Z95+Data!AA95+Data!AB95+Data!AC95+Data!AD95+Data!AE95+Data!AF95+Data!AG95+Data!AH95+Data!AI95+Data!AJ95+Data!AK95+Data!AL95+Data!T96+Data!U96+Data!V96+Data!W96+Data!X96+Data!Y96+Data!Z96+Data!AA96+Data!AB96+Data!AC96+Data!AD96+Data!AE96+Data!AF96+Data!AG96+Data!AH96+Data!AI96+Data!AJ96+Data!AK96+Data!AL96+Data!T97+Data!U97+Data!V97+Data!W97+Data!X97+Data!Y97+Data!Z97+Data!AA97+Data!AB97+Data!AC97+Data!AD97+Data!AE97+Data!AF97+Data!AG97+Data!AH97+Data!AI97+Data!AJ97+Data!AK97+Data!AL97+Data!T98+Data!U98+Data!V98+Data!W98+Data!X98+Data!Y98+Data!Z98+Data!AA98+Data!AB98+Data!AC98+Data!AD98+Data!AE98+Data!AF98+Data!AG98+Data!AH98+Data!AI98+Data!AJ98+Data!AK98+Data!AL98+Data!T99+Data!U99+Data!V99+Data!W99+Data!X99+Data!Y99+Data!Z99+Data!AA99+Data!AB99+Data!AC99+Data!AD99+Data!AE99+Data!AF99+Data!AG99+Data!AH99+Data!AI99+Data!AJ99+Data!AK99+Data!AL99+Data!T100+Data!U100+Data!V100+Data!W100+Data!X100+Data!Y100+Data!Z100+Data!AA100+Data!AB100+Data!AC100+Data!AD100+Data!AE100+Data!AF100+Data!AG100+Data!AH100+Data!AI100+Data!AJ100+Data!AK100+Data!AL100+Data!T101+Data!U101+Data!V101+Data!W101+Data!X101+Data!Y101+Data!Z101+Data!AA101+Data!AB101+Data!AC101+Data!AD101+Data!AE101+Data!AF101+Data!AG101+Data!AH101+Data!AI101+Data!AJ101+Data!AK101+Data!AL101+Data!T102+Data!U102+Data!V102+Data!W102+Data!X102+Data!Y102+Data!Z102+Data!AA102+Data!AB102+Data!AC102+Data!AD102+Data!AE102+Data!AF102+Data!AG102+Data!AH102+Data!AI102+Data!AJ102+Data!AK102+Data!AL102+Data!T103+Data!U103+Data!V103+Data!W103+Data!X103+Data!Y103+Data!Z103+Data!AA103+Data!AB103+Data!AC103+Data!AD103+Data!AE103+Data!AF103+Data!AG103+Data!AH103+Data!AI103+Data!AJ103+Data!AK103+Data!AL103+Data!T104+Data!U104+Data!V104+Data!W104+Data!X104+Data!Y104+Data!Z104+Data!AA104+Data!AB104+Data!AC104+Data!AD104+Data!AE104+Data!AF104+Data!AG104+Data!AH104+Data!AI104+Data!AJ104+Data!AK104+Data!AL104+Data!T105+Data!U105+Data!V105+Data!W105+Data!X105+Data!Y105+Data!Z105+Data!AA105+Data!AB105+Data!AC105+Data!AD105+Data!AE105+Data!AF105+Data!AG105+Data!AH105+Data!AI105+Data!AJ105+Data!AK105+Data!AL105+Data!T106+Data!U106+Data!V106+Data!W106+Data!X106+Data!Y106+Data!Z106+Data!AA106+Data!AB106+Data!AC106+Data!AD106+Data!AE106+Data!AF106+Data!AG106+Data!AH106+Data!AI106+Data!AJ106+Data!AK106+Data!AL106)/(Data!AP95+Data!AP96+Data!AP97+Data!AP98+Data!AP99+Data!AP100+Data!AP101+Data!AP102+Data!AP103+Data!AP104+Data!AP105+Data!AP106)</f>
        <v>0.165424352824113</v>
      </c>
      <c r="N106" s="18" t="n">
        <f aca="false">(Data!T95+Data!U95+Data!V95+Data!W95+Data!T96+Data!U96+Data!V96+Data!W96+Data!T97+Data!U97+Data!V97+Data!W97+Data!T98+Data!U98+Data!V98+Data!W98+Data!T99+Data!U99+Data!V99+Data!W99+Data!T100+Data!U100+Data!V100+Data!W100+Data!T101+Data!U101+Data!V101+Data!W101+Data!T102+Data!U102+Data!V102+Data!W102+Data!T103+Data!U103+Data!V103+Data!W103+Data!T104+Data!U104+Data!V104+Data!W104+Data!T105+Data!U105+Data!V105+Data!W105+Data!T106+Data!U106+Data!V106+Data!W106)/(Data!AP95+Data!AP96+Data!AP97+Data!AP98+Data!AP99+Data!AP100+Data!AP101+Data!AP102+Data!AP103+Data!AP104+Data!AP105+Data!AP106)</f>
        <v>0.0752374537516286</v>
      </c>
      <c r="O106" s="18" t="n">
        <f aca="false">(Data!T95+Data!T96+Data!T97+Data!T98+Data!T99+Data!T100+Data!T101+Data!T102+Data!T103+Data!T104+Data!T105+Data!T106)/(Data!AP95+Data!AP96+Data!AP97+Data!AP98+Data!AP99+Data!AP100+Data!AP101+Data!AP102+Data!AP103+Data!AP104+Data!AP105+Data!AP106)</f>
        <v>0.0526865091000775</v>
      </c>
      <c r="P106" s="18" t="n">
        <f aca="false">(Data!U95+Data!U96+Data!U97+Data!U98+Data!U99+Data!U100+Data!U101+Data!U102+Data!U103+Data!U104+Data!U105+Data!U106)/(Data!AP95+Data!AP96+Data!AP97+Data!AP98+Data!AP99+Data!AP100+Data!AP101+Data!AP102+Data!AP103+Data!AP104+Data!AP105+Data!AP106)</f>
        <v>0.0087749079191952</v>
      </c>
      <c r="Q106" s="18" t="n">
        <f aca="false">(Data!V95+Data!V96+Data!V97+Data!V98+Data!V99+Data!V100+Data!V101+Data!V102+Data!V103+Data!V104+Data!V105+Data!V106)/(Data!AP95+Data!AP96+Data!AP97+Data!AP98+Data!AP99+Data!AP100+Data!AP101+Data!AP102+Data!AP103+Data!AP104+Data!AP105+Data!AP106)</f>
        <v>0.00486424458818369</v>
      </c>
      <c r="R106" s="18" t="n">
        <f aca="false">(Data!W95+Data!W96+Data!W97+Data!W98+Data!W99+Data!W100+Data!W101+Data!W102+Data!W103+Data!W104+Data!W105+Data!W106)/(Data!AP95+Data!AP96+Data!AP97+Data!AP98+Data!AP99+Data!AP100+Data!AP101+Data!AP102+Data!AP103+Data!AP104+Data!AP105+Data!AP106)</f>
        <v>0.00891179214417216</v>
      </c>
      <c r="S106" s="18" t="n">
        <f aca="false">(Data!X95+Data!X96+Data!X97+Data!X98+Data!X99+Data!X100+Data!X101+Data!X102+Data!X103+Data!X104+Data!X105+Data!X106)/(Data!AP95+Data!AP96+Data!AP97+Data!AP98+Data!AP99+Data!AP100+Data!AP101+Data!AP102+Data!AP103+Data!AP104+Data!AP105+Data!AP106)</f>
        <v>0.0198959949914955</v>
      </c>
      <c r="T106" s="18" t="n">
        <f aca="false">(Data!Y95+Data!Z95+Data!AA95+Data!Y96+Data!Z96+Data!AA96+Data!Y97+Data!Z97+Data!AA97+Data!Y98+Data!Z98+Data!AA98+Data!Y99+Data!Z99+Data!AA99+Data!Y100+Data!Z100+Data!AA100+Data!Y101+Data!Z101+Data!AA101+Data!Y102+Data!Z102+Data!AA102+Data!Y103+Data!Z103+Data!AA103+Data!Y104+Data!Z104+Data!AA104+Data!Y105+Data!Z105+Data!AA105+Data!Y106+Data!Z106+Data!AA106)/(Data!AP95+Data!AP96+Data!AP97+Data!AP98+Data!AP99+Data!AP100+Data!AP101+Data!AP102+Data!AP103+Data!AP104+Data!AP105+Data!AP106)</f>
        <v>0.0172382386874666</v>
      </c>
      <c r="U106" s="18" t="n">
        <f aca="false">(Data!Y95+Data!Y96+Data!Y97+Data!Y98+Data!Y99+Data!Y100+Data!Y101+Data!Y102+Data!Y103+Data!Y104+Data!Y105+Data!Y106)/(Data!AP95+Data!AP96+Data!AP97+Data!AP98+Data!AP99+Data!AP100+Data!AP101+Data!AP102+Data!AP103+Data!AP104+Data!AP105+Data!AP106)</f>
        <v>0.0126629660305484</v>
      </c>
      <c r="V106" s="18" t="n">
        <f aca="false">(Data!Z95+Data!Z96+Data!Z97+Data!Z98+Data!Z99+Data!Z100+Data!Z101+Data!Z102+Data!Z103+Data!Z104+Data!Z105+Data!Z106)/(Data!AP95+Data!AP96+Data!AP97+Data!AP98+Data!AP99+Data!AP100+Data!AP101+Data!AP102+Data!AP103+Data!AP104+Data!AP105+Data!AP106)</f>
        <v>0.0041304476866366</v>
      </c>
      <c r="W106" s="18" t="n">
        <f aca="false">(Data!AB95+Data!AB96+Data!AB97+Data!AB98+Data!AB99+Data!AB100+Data!AB101+Data!AB102+Data!AB103+Data!AB104+Data!AB105+Data!AB106)/(Data!AP95+Data!AP96+Data!AP97+Data!AP98+Data!AP99+Data!AP100+Data!AP101+Data!AP102+Data!AP103+Data!AP104+Data!AP105+Data!AP106)</f>
        <v>0.0237523271167327</v>
      </c>
      <c r="X106" s="18" t="n">
        <f aca="false">(Data!AC95+Data!AC96+Data!AC97+Data!AC98+Data!AC99+Data!AC100+Data!AC101+Data!AC102+Data!AC103+Data!AC104+Data!AC105+Data!AC106)/(Data!AP95+Data!AP96+Data!AP97+Data!AP98+Data!AP99+Data!AP100+Data!AP101+Data!AP102+Data!AP103+Data!AP104+Data!AP105+Data!AP106)</f>
        <v>0.00563013111640868</v>
      </c>
      <c r="Y106" s="18" t="n">
        <f aca="false">(Data!AD95+Data!AE95+Data!AF95+Data!AG95+Data!AH95+Data!AD96+Data!AE96+Data!AF96+Data!AG96+Data!AH96+Data!AD97+Data!AE97+Data!AF97+Data!AG97+Data!AH97+Data!AD98+Data!AE98+Data!AF98+Data!AG98+Data!AH98+Data!AD99+Data!AE99+Data!AF99+Data!AG99+Data!AH99+Data!AD100+Data!AE100+Data!AF100+Data!AG100+Data!AH100+Data!AD101+Data!AE101+Data!AF101+Data!AG101+Data!AH101+Data!AD102+Data!AE102+Data!AF102+Data!AG102+Data!AH102+Data!AD103+Data!AE103+Data!AF103+Data!AG103+Data!AH103+Data!AD104+Data!AE104+Data!AF104+Data!AG104+Data!AH104+Data!AD105+Data!AE105+Data!AF105+Data!AG105+Data!AH105+Data!AD106+Data!AE106+Data!AF106+Data!AG106+Data!AH106)/(Data!AP95+Data!AP96+Data!AP97+Data!AP98+Data!AP99+Data!AP100+Data!AP101+Data!AP102+Data!AP103+Data!AP104+Data!AP105+Data!AP106)</f>
        <v>0.00469269550018579</v>
      </c>
      <c r="Z106" s="18" t="n">
        <f aca="false">(Data!AI95+Data!AI96+Data!AI97+Data!AI98+Data!AI99+Data!AI100+Data!AI101+Data!AI102+Data!AI103+Data!AI104+Data!AI105+Data!AI106)/(Data!AP95+Data!AP96+Data!AP97+Data!AP98+Data!AP99+Data!AP100+Data!AP101+Data!AP102+Data!AP103+Data!AP104+Data!AP105+Data!AP106)</f>
        <v>0.00617403822234388</v>
      </c>
      <c r="AA106" s="18" t="n">
        <f aca="false">(Data!AJ95+Data!AJ96+Data!AJ97+Data!AJ98+Data!AJ99+Data!AJ100+Data!AJ101+Data!AJ102+Data!AJ103+Data!AJ104+Data!AJ105+Data!AJ106)/(Data!AP95+Data!AP96+Data!AP97+Data!AP98+Data!AP99+Data!AP100+Data!AP101+Data!AP102+Data!AP103+Data!AP104+Data!AP105+Data!AP106)</f>
        <v>0</v>
      </c>
      <c r="AB106" s="18" t="n">
        <f aca="false">(Data!AK95+Data!AK96+Data!AK97+Data!AK98+Data!AK99+Data!AK100+Data!AK101+Data!AK102+Data!AK103+Data!AK104+Data!AK105+Data!AK106)/(Data!AP95+Data!AP96+Data!AP97+Data!AP98+Data!AP99+Data!AP100+Data!AP101+Data!AP102+Data!AP103+Data!AP104+Data!AP105+Data!AP106)</f>
        <v>0.00358202482608699</v>
      </c>
      <c r="AC106" s="18" t="n">
        <f aca="false">(Data!AL95+Data!AL96+Data!AL97+Data!AL98+Data!AL99+Data!AL100+Data!AL101+Data!AL102+Data!AL103+Data!AL104+Data!AL105+Data!AL106)/(Data!AP95+Data!AP96+Data!AP97+Data!AP98+Data!AP99+Data!AP100+Data!AP101+Data!AP102+Data!AP103+Data!AP104+Data!AP105+Data!AP106)</f>
        <v>0.0092214486117644</v>
      </c>
      <c r="AD106" s="17" t="n">
        <f aca="false">(Data!AM95+Data!AM96+Data!AM97+Data!AM98+Data!AM99+Data!AM100+Data!AM101+Data!AM102+Data!AM103+Data!AM104+Data!AM105+Data!AM106)/(Data!AP95+Data!AP96+Data!AP97+Data!AP98+Data!AP99+Data!AP100+Data!AP101+Data!AP102+Data!AP103+Data!AP104+Data!AP105+Data!AP106)</f>
        <v>-3.33160871185499E-005</v>
      </c>
      <c r="AE106" s="18" t="n">
        <f aca="false">(Data!AN95+Data!AN96+Data!AN97+Data!AN98+Data!AN99+Data!AN100+Data!AN101+Data!AN102+Data!AN103+Data!AN104+Data!AN105+Data!AN106)/(Data!AP95+Data!AP96+Data!AP97+Data!AP98+Data!AP99+Data!AP100+Data!AP101+Data!AP102+Data!AP103+Data!AP104+Data!AP105+Data!AP106)</f>
        <v>0.0179799332008539</v>
      </c>
      <c r="AF106" s="17" t="n">
        <f aca="false">(Data!AO95+Data!AO96+Data!AO97+Data!AO98+Data!AO99+Data!AO100+Data!AO101+Data!AO102+Data!AO103+Data!AO104+Data!AO105+Data!AO106)/(Data!AP95+Data!AP96+Data!AP97+Data!AP98+Data!AP99+Data!AP100+Data!AP101+Data!AP102+Data!AP103+Data!AP104+Data!AP105+Data!AP106)</f>
        <v>-0.0180132525937958</v>
      </c>
    </row>
    <row r="107" customFormat="false" ht="15" hidden="false" customHeight="false" outlineLevel="0" collapsed="false">
      <c r="B107" s="14" t="str">
        <f aca="false">Data!B107</f>
        <v>2024-05</v>
      </c>
      <c r="C107" s="17" t="n">
        <f aca="false">(Data!D96+Data!E96+Data!F96+Data!G96+Data!H96+Data!I96+Data!J96+Data!K96+Data!L96+Data!M96+Data!N96+Data!O96+Data!P96+Data!Q96+Data!R96+Data!S96+Data!D97+Data!E97+Data!F97+Data!G97+Data!H97+Data!I97+Data!J97+Data!K97+Data!L97+Data!M97+Data!N97+Data!O97+Data!P97+Data!Q97+Data!R97+Data!S97+Data!D98+Data!E98+Data!F98+Data!G98+Data!H98+Data!I98+Data!J98+Data!K98+Data!L98+Data!M98+Data!N98+Data!O98+Data!P98+Data!Q98+Data!R98+Data!S98+Data!D99+Data!E99+Data!F99+Data!G99+Data!H99+Data!I99+Data!J99+Data!K99+Data!L99+Data!M99+Data!N99+Data!O99+Data!P99+Data!Q99+Data!R99+Data!S99+Data!D100+Data!E100+Data!F100+Data!G100+Data!H100+Data!I100+Data!J100+Data!K100+Data!L100+Data!M100+Data!N100+Data!O100+Data!P100+Data!Q100+Data!R100+Data!S100+Data!D101+Data!E101+Data!F101+Data!G101+Data!H101+Data!I101+Data!J101+Data!K101+Data!L101+Data!M101+Data!N101+Data!O101+Data!P101+Data!Q101+Data!R101+Data!S101+Data!D102+Data!E102+Data!F102+Data!G102+Data!H102+Data!I102+Data!J102+Data!K102+Data!L102+Data!M102+Data!N102+Data!O102+Data!P102+Data!Q102+Data!R102+Data!S102+Data!D103+Data!E103+Data!F103+Data!G103+Data!H103+Data!I103+Data!J103+Data!K103+Data!L103+Data!M103+Data!N103+Data!O103+Data!P103+Data!Q103+Data!R103+Data!S103+Data!D104+Data!E104+Data!F104+Data!G104+Data!H104+Data!I104+Data!J104+Data!K104+Data!L104+Data!M104+Data!N104+Data!O104+Data!P104+Data!Q104+Data!R104+Data!S104+Data!D105+Data!E105+Data!F105+Data!G105+Data!H105+Data!I105+Data!J105+Data!K105+Data!L105+Data!M105+Data!N105+Data!O105+Data!P105+Data!Q105+Data!R105+Data!S105+Data!D106+Data!E106+Data!F106+Data!G106+Data!H106+Data!I106+Data!J106+Data!K106+Data!L106+Data!M106+Data!N106+Data!O106+Data!P106+Data!Q106+Data!R106+Data!S106+Data!D107+Data!E107+Data!F107+Data!G107+Data!H107+Data!I107+Data!J107+Data!K107+Data!L107+Data!M107+Data!N107+Data!O107+Data!P107+Data!Q107+Data!R107+Data!S107)/(Data!AP96+Data!AP97+Data!AP98+Data!AP99+Data!AP100+Data!AP101+Data!AP102+Data!AP103+Data!AP104+Data!AP105+Data!AP106+Data!AP107)</f>
        <v>0.169211423791955</v>
      </c>
      <c r="D107" s="18" t="n">
        <f aca="false">(Data!D96+Data!E96+Data!G96+Data!H96+Data!I96+Data!J96+Data!K96+Data!L96+Data!M96+Data!D97+Data!E97+Data!G97+Data!H97+Data!I97+Data!J97+Data!K97+Data!L97+Data!M97+Data!D98+Data!E98+Data!G98+Data!H98+Data!I98+Data!J98+Data!K98+Data!L98+Data!M98+Data!D99+Data!E99+Data!G99+Data!H99+Data!I99+Data!J99+Data!K99+Data!L99+Data!M99+Data!D100+Data!E100+Data!G100+Data!H100+Data!I100+Data!J100+Data!K100+Data!L100+Data!M100+Data!D101+Data!E101+Data!G101+Data!H101+Data!I101+Data!J101+Data!K101+Data!L101+Data!M101+Data!D102+Data!E102+Data!G102+Data!H102+Data!I102+Data!J102+Data!K102+Data!L102+Data!M102+Data!D103+Data!E103+Data!G103+Data!H103+Data!I103+Data!J103+Data!K103+Data!L103+Data!M103+Data!D104+Data!E104+Data!G104+Data!H104+Data!I104+Data!J104+Data!K104+Data!L104+Data!M104+Data!D105+Data!E105+Data!G105+Data!H105+Data!I105+Data!J105+Data!K105+Data!L105+Data!M105+Data!D106+Data!E106+Data!G106+Data!H106+Data!I106+Data!J106+Data!K106+Data!L106+Data!M106+Data!D107+Data!E107+Data!G107+Data!H107+Data!I107+Data!J107+Data!K107+Data!L107+Data!M107)/(Data!AP96+Data!AP97+Data!AP98+Data!AP99+Data!AP100+Data!AP101+Data!AP102+Data!AP103+Data!AP104+Data!AP105+Data!AP106+Data!AP107)</f>
        <v>0.104450493614335</v>
      </c>
      <c r="E107" s="18" t="n">
        <f aca="false">(Data!D96+Data!D97+Data!D98+Data!D99+Data!D100+Data!D101+Data!D102+Data!D103+Data!D104+Data!D105+Data!D106+Data!D107)/(Data!AP96+Data!AP97+Data!AP98+Data!AP99+Data!AP100+Data!AP101+Data!AP102+Data!AP103+Data!AP104+Data!AP105+Data!AP106+Data!AP107)</f>
        <v>0.0340345676128264</v>
      </c>
      <c r="F107" s="18" t="n">
        <f aca="false">(Data!E96+Data!E97+Data!E98+Data!E99+Data!E100+Data!E101+Data!E102+Data!E103+Data!E104+Data!E105+Data!E106+Data!E107)/(Data!AP96+Data!AP97+Data!AP98+Data!AP99+Data!AP100+Data!AP101+Data!AP102+Data!AP103+Data!AP104+Data!AP105+Data!AP106+Data!AP107)</f>
        <v>0.0174597611847647</v>
      </c>
      <c r="G107" s="18" t="n">
        <f aca="false">(Data!K96+Data!K97+Data!K98+Data!K99+Data!K100+Data!K101+Data!K102+Data!K103+Data!K104+Data!K105+Data!K106+Data!K107)/(Data!AP96+Data!AP97+Data!AP98+Data!AP99+Data!AP100+Data!AP101+Data!AP102+Data!AP103+Data!AP104+Data!AP105+Data!AP106+Data!AP107)</f>
        <v>0.0101350162966893</v>
      </c>
      <c r="H107" s="18" t="n">
        <f aca="false">(Data!L96+Data!L97+Data!L98+Data!L99+Data!L100+Data!L101+Data!L102+Data!L103+Data!L104+Data!L105+Data!L106+Data!L107)/(Data!AP96+Data!AP97+Data!AP98+Data!AP99+Data!AP100+Data!AP101+Data!AP102+Data!AP103+Data!AP104+Data!AP105+Data!AP106+Data!AP107)</f>
        <v>0.00565130082067274</v>
      </c>
      <c r="I107" s="18" t="n">
        <f aca="false">(Data!G96+Data!G97+Data!G98+Data!G99+Data!G100+Data!G101+Data!G102+Data!G103+Data!G104+Data!G105+Data!G106+Data!G107)/(Data!AP96+Data!AP97+Data!AP98+Data!AP99+Data!AP100+Data!AP101+Data!AP102+Data!AP103+Data!AP104+Data!AP105+Data!AP106+Data!AP107)</f>
        <v>0.0149747154574997</v>
      </c>
      <c r="J107" s="18" t="n">
        <f aca="false">(Data!H96+Data!I96+Data!J96+Data!M96+Data!H97+Data!I97+Data!J97+Data!M97+Data!H98+Data!I98+Data!J98+Data!M98+Data!H99+Data!I99+Data!J99+Data!M99+Data!H100+Data!I100+Data!J100+Data!M100+Data!H101+Data!I101+Data!J101+Data!M101+Data!H102+Data!I102+Data!J102+Data!M102+Data!H103+Data!I103+Data!J103+Data!M103+Data!H104+Data!I104+Data!J104+Data!M104+Data!H105+Data!I105+Data!J105+Data!M105+Data!H106+Data!I106+Data!J106+Data!M106+Data!H107+Data!I107+Data!J107+Data!M107)/(Data!AP96+Data!AP97+Data!AP98+Data!AP99+Data!AP100+Data!AP101+Data!AP102+Data!AP103+Data!AP104+Data!AP105+Data!AP106+Data!AP107)</f>
        <v>0.0221951322418824</v>
      </c>
      <c r="K107" s="18" t="n">
        <f aca="false">(Data!F96+Data!F97+Data!F98+Data!F99+Data!F100+Data!F101+Data!F102+Data!F103+Data!F104+Data!F105+Data!F106+Data!F107)/(Data!AP96+Data!AP97+Data!AP98+Data!AP99+Data!AP100+Data!AP101+Data!AP102+Data!AP103+Data!AP104+Data!AP105+Data!AP106+Data!AP107)</f>
        <v>0.0472445400215945</v>
      </c>
      <c r="L107" s="18" t="n">
        <f aca="false">(Data!N96+Data!O96+Data!P96+Data!Q96+Data!R96+Data!S96+Data!N97+Data!O97+Data!P97+Data!Q97+Data!R97+Data!S97+Data!N98+Data!O98+Data!P98+Data!Q98+Data!R98+Data!S98+Data!N99+Data!O99+Data!P99+Data!Q99+Data!R99+Data!S99+Data!N100+Data!O100+Data!P100+Data!Q100+Data!R100+Data!S100+Data!N101+Data!O101+Data!P101+Data!Q101+Data!R101+Data!S101+Data!N102+Data!O102+Data!P102+Data!Q102+Data!R102+Data!S102+Data!N103+Data!O103+Data!P103+Data!Q103+Data!R103+Data!S103+Data!N104+Data!O104+Data!P104+Data!Q104+Data!R104+Data!S104+Data!N105+Data!O105+Data!P105+Data!Q105+Data!R105+Data!S105+Data!N106+Data!O106+Data!P106+Data!Q106+Data!R106+Data!S106+Data!N107+Data!O107+Data!P107+Data!Q107+Data!R107+Data!S107)/(Data!AP96+Data!AP97+Data!AP98+Data!AP99+Data!AP100+Data!AP101+Data!AP102+Data!AP103+Data!AP104+Data!AP105+Data!AP106+Data!AP107)</f>
        <v>0.0175163901560249</v>
      </c>
      <c r="M107" s="17" t="n">
        <f aca="false">(Data!T96+Data!U96+Data!V96+Data!W96+Data!X96+Data!Y96+Data!Z96+Data!AA96+Data!AB96+Data!AC96+Data!AD96+Data!AE96+Data!AF96+Data!AG96+Data!AH96+Data!AI96+Data!AJ96+Data!AK96+Data!AL96+Data!T97+Data!U97+Data!V97+Data!W97+Data!X97+Data!Y97+Data!Z97+Data!AA97+Data!AB97+Data!AC97+Data!AD97+Data!AE97+Data!AF97+Data!AG97+Data!AH97+Data!AI97+Data!AJ97+Data!AK97+Data!AL97+Data!T98+Data!U98+Data!V98+Data!W98+Data!X98+Data!Y98+Data!Z98+Data!AA98+Data!AB98+Data!AC98+Data!AD98+Data!AE98+Data!AF98+Data!AG98+Data!AH98+Data!AI98+Data!AJ98+Data!AK98+Data!AL98+Data!T99+Data!U99+Data!V99+Data!W99+Data!X99+Data!Y99+Data!Z99+Data!AA99+Data!AB99+Data!AC99+Data!AD99+Data!AE99+Data!AF99+Data!AG99+Data!AH99+Data!AI99+Data!AJ99+Data!AK99+Data!AL99+Data!T100+Data!U100+Data!V100+Data!W100+Data!X100+Data!Y100+Data!Z100+Data!AA100+Data!AB100+Data!AC100+Data!AD100+Data!AE100+Data!AF100+Data!AG100+Data!AH100+Data!AI100+Data!AJ100+Data!AK100+Data!AL100+Data!T101+Data!U101+Data!V101+Data!W101+Data!X101+Data!Y101+Data!Z101+Data!AA101+Data!AB101+Data!AC101+Data!AD101+Data!AE101+Data!AF101+Data!AG101+Data!AH101+Data!AI101+Data!AJ101+Data!AK101+Data!AL101+Data!T102+Data!U102+Data!V102+Data!W102+Data!X102+Data!Y102+Data!Z102+Data!AA102+Data!AB102+Data!AC102+Data!AD102+Data!AE102+Data!AF102+Data!AG102+Data!AH102+Data!AI102+Data!AJ102+Data!AK102+Data!AL102+Data!T103+Data!U103+Data!V103+Data!W103+Data!X103+Data!Y103+Data!Z103+Data!AA103+Data!AB103+Data!AC103+Data!AD103+Data!AE103+Data!AF103+Data!AG103+Data!AH103+Data!AI103+Data!AJ103+Data!AK103+Data!AL103+Data!T104+Data!U104+Data!V104+Data!W104+Data!X104+Data!Y104+Data!Z104+Data!AA104+Data!AB104+Data!AC104+Data!AD104+Data!AE104+Data!AF104+Data!AG104+Data!AH104+Data!AI104+Data!AJ104+Data!AK104+Data!AL104+Data!T105+Data!U105+Data!V105+Data!W105+Data!X105+Data!Y105+Data!Z105+Data!AA105+Data!AB105+Data!AC105+Data!AD105+Data!AE105+Data!AF105+Data!AG105+Data!AH105+Data!AI105+Data!AJ105+Data!AK105+Data!AL105+Data!T106+Data!U106+Data!V106+Data!W106+Data!X106+Data!Y106+Data!Z106+Data!AA106+Data!AB106+Data!AC106+Data!AD106+Data!AE106+Data!AF106+Data!AG106+Data!AH106+Data!AI106+Data!AJ106+Data!AK106+Data!AL106+Data!T107+Data!U107+Data!V107+Data!W107+Data!X107+Data!Y107+Data!Z107+Data!AA107+Data!AB107+Data!AC107+Data!AD107+Data!AE107+Data!AF107+Data!AG107+Data!AH107+Data!AI107+Data!AJ107+Data!AK107+Data!AL107)/(Data!AP96+Data!AP97+Data!AP98+Data!AP99+Data!AP100+Data!AP101+Data!AP102+Data!AP103+Data!AP104+Data!AP105+Data!AP106+Data!AP107)</f>
        <v>0.161572374736463</v>
      </c>
      <c r="N107" s="18" t="n">
        <f aca="false">(Data!T96+Data!U96+Data!V96+Data!W96+Data!T97+Data!U97+Data!V97+Data!W97+Data!T98+Data!U98+Data!V98+Data!W98+Data!T99+Data!U99+Data!V99+Data!W99+Data!T100+Data!U100+Data!V100+Data!W100+Data!T101+Data!U101+Data!V101+Data!W101+Data!T102+Data!U102+Data!V102+Data!W102+Data!T103+Data!U103+Data!V103+Data!W103+Data!T104+Data!U104+Data!V104+Data!W104+Data!T105+Data!U105+Data!V105+Data!W105+Data!T106+Data!U106+Data!V106+Data!W106+Data!T107+Data!U107+Data!V107+Data!W107)/(Data!AP96+Data!AP97+Data!AP98+Data!AP99+Data!AP100+Data!AP101+Data!AP102+Data!AP103+Data!AP104+Data!AP105+Data!AP106+Data!AP107)</f>
        <v>0.0743853671842992</v>
      </c>
      <c r="O107" s="18" t="n">
        <f aca="false">(Data!T96+Data!T97+Data!T98+Data!T99+Data!T100+Data!T101+Data!T102+Data!T103+Data!T104+Data!T105+Data!T106+Data!T107)/(Data!AP96+Data!AP97+Data!AP98+Data!AP99+Data!AP100+Data!AP101+Data!AP102+Data!AP103+Data!AP104+Data!AP105+Data!AP106+Data!AP107)</f>
        <v>0.0521308473525041</v>
      </c>
      <c r="P107" s="18" t="n">
        <f aca="false">(Data!U96+Data!U97+Data!U98+Data!U99+Data!U100+Data!U101+Data!U102+Data!U103+Data!U104+Data!U105+Data!U106+Data!U107)/(Data!AP96+Data!AP97+Data!AP98+Data!AP99+Data!AP100+Data!AP101+Data!AP102+Data!AP103+Data!AP104+Data!AP105+Data!AP106+Data!AP107)</f>
        <v>0.0085561113984723</v>
      </c>
      <c r="Q107" s="18" t="n">
        <f aca="false">(Data!V96+Data!V97+Data!V98+Data!V99+Data!V100+Data!V101+Data!V102+Data!V103+Data!V104+Data!V105+Data!V106+Data!V107)/(Data!AP96+Data!AP97+Data!AP98+Data!AP99+Data!AP100+Data!AP101+Data!AP102+Data!AP103+Data!AP104+Data!AP105+Data!AP106+Data!AP107)</f>
        <v>0.00478388172283917</v>
      </c>
      <c r="R107" s="18" t="n">
        <f aca="false">(Data!W96+Data!W97+Data!W98+Data!W99+Data!W100+Data!W101+Data!W102+Data!W103+Data!W104+Data!W105+Data!W106+Data!W107)/(Data!AP96+Data!AP97+Data!AP98+Data!AP99+Data!AP100+Data!AP101+Data!AP102+Data!AP103+Data!AP104+Data!AP105+Data!AP106+Data!AP107)</f>
        <v>0.00891452671048358</v>
      </c>
      <c r="S107" s="18" t="n">
        <f aca="false">(Data!X96+Data!X97+Data!X98+Data!X99+Data!X100+Data!X101+Data!X102+Data!X103+Data!X104+Data!X105+Data!X106+Data!X107)/(Data!AP96+Data!AP97+Data!AP98+Data!AP99+Data!AP100+Data!AP101+Data!AP102+Data!AP103+Data!AP104+Data!AP105+Data!AP106+Data!AP107)</f>
        <v>0.0192152771297277</v>
      </c>
      <c r="T107" s="18" t="n">
        <f aca="false">(Data!Y96+Data!Z96+Data!AA96+Data!Y97+Data!Z97+Data!AA97+Data!Y98+Data!Z98+Data!AA98+Data!Y99+Data!Z99+Data!AA99+Data!Y100+Data!Z100+Data!AA100+Data!Y101+Data!Z101+Data!AA101+Data!Y102+Data!Z102+Data!AA102+Data!Y103+Data!Z103+Data!AA103+Data!Y104+Data!Z104+Data!AA104+Data!Y105+Data!Z105+Data!AA105+Data!Y106+Data!Z106+Data!AA106+Data!Y107+Data!Z107+Data!AA107)/(Data!AP96+Data!AP97+Data!AP98+Data!AP99+Data!AP100+Data!AP101+Data!AP102+Data!AP103+Data!AP104+Data!AP105+Data!AP106+Data!AP107)</f>
        <v>0.0175100346315864</v>
      </c>
      <c r="U107" s="18" t="n">
        <f aca="false">(Data!Y96+Data!Y97+Data!Y98+Data!Y99+Data!Y100+Data!Y101+Data!Y102+Data!Y103+Data!Y104+Data!Y105+Data!Y106+Data!Y107)/(Data!AP96+Data!AP97+Data!AP98+Data!AP99+Data!AP100+Data!AP101+Data!AP102+Data!AP103+Data!AP104+Data!AP105+Data!AP106+Data!AP107)</f>
        <v>0.0131369463033624</v>
      </c>
      <c r="V107" s="18" t="n">
        <f aca="false">(Data!Z96+Data!Z97+Data!Z98+Data!Z99+Data!Z100+Data!Z101+Data!Z102+Data!Z103+Data!Z104+Data!Z105+Data!Z106+Data!Z107)/(Data!AP96+Data!AP97+Data!AP98+Data!AP99+Data!AP100+Data!AP101+Data!AP102+Data!AP103+Data!AP104+Data!AP105+Data!AP106+Data!AP107)</f>
        <v>0.00395727710140469</v>
      </c>
      <c r="W107" s="18" t="n">
        <f aca="false">(Data!AB96+Data!AB97+Data!AB98+Data!AB99+Data!AB100+Data!AB101+Data!AB102+Data!AB103+Data!AB104+Data!AB105+Data!AB106+Data!AB107)/(Data!AP96+Data!AP97+Data!AP98+Data!AP99+Data!AP100+Data!AP101+Data!AP102+Data!AP103+Data!AP104+Data!AP105+Data!AP106+Data!AP107)</f>
        <v>0.0232821677054762</v>
      </c>
      <c r="X107" s="18" t="n">
        <f aca="false">(Data!AC96+Data!AC97+Data!AC98+Data!AC99+Data!AC100+Data!AC101+Data!AC102+Data!AC103+Data!AC104+Data!AC105+Data!AC106+Data!AC107)/(Data!AP96+Data!AP97+Data!AP98+Data!AP99+Data!AP100+Data!AP101+Data!AP102+Data!AP103+Data!AP104+Data!AP105+Data!AP106+Data!AP107)</f>
        <v>0.00543825995540735</v>
      </c>
      <c r="Y107" s="18" t="n">
        <f aca="false">(Data!AD96+Data!AE96+Data!AF96+Data!AG96+Data!AH96+Data!AD97+Data!AE97+Data!AF97+Data!AG97+Data!AH97+Data!AD98+Data!AE98+Data!AF98+Data!AG98+Data!AH98+Data!AD99+Data!AE99+Data!AF99+Data!AG99+Data!AH99+Data!AD100+Data!AE100+Data!AF100+Data!AG100+Data!AH100+Data!AD101+Data!AE101+Data!AF101+Data!AG101+Data!AH101+Data!AD102+Data!AE102+Data!AF102+Data!AG102+Data!AH102+Data!AD103+Data!AE103+Data!AF103+Data!AG103+Data!AH103+Data!AD104+Data!AE104+Data!AF104+Data!AG104+Data!AH104+Data!AD105+Data!AE105+Data!AF105+Data!AG105+Data!AH105+Data!AD106+Data!AE106+Data!AF106+Data!AG106+Data!AH106+Data!AD107+Data!AE107+Data!AF107+Data!AG107+Data!AH107)/(Data!AP96+Data!AP97+Data!AP98+Data!AP99+Data!AP100+Data!AP101+Data!AP102+Data!AP103+Data!AP104+Data!AP105+Data!AP106+Data!AP107)</f>
        <v>0.00421340057456898</v>
      </c>
      <c r="Z107" s="18" t="n">
        <f aca="false">(Data!AI96+Data!AI97+Data!AI98+Data!AI99+Data!AI100+Data!AI101+Data!AI102+Data!AI103+Data!AI104+Data!AI105+Data!AI106+Data!AI107)/(Data!AP96+Data!AP97+Data!AP98+Data!AP99+Data!AP100+Data!AP101+Data!AP102+Data!AP103+Data!AP104+Data!AP105+Data!AP106+Data!AP107)</f>
        <v>0.00604742419044967</v>
      </c>
      <c r="AA107" s="18" t="n">
        <f aca="false">(Data!AJ96+Data!AJ97+Data!AJ98+Data!AJ99+Data!AJ100+Data!AJ101+Data!AJ102+Data!AJ103+Data!AJ104+Data!AJ105+Data!AJ106+Data!AJ107)/(Data!AP96+Data!AP97+Data!AP98+Data!AP99+Data!AP100+Data!AP101+Data!AP102+Data!AP103+Data!AP104+Data!AP105+Data!AP106+Data!AP107)</f>
        <v>0</v>
      </c>
      <c r="AB107" s="18" t="n">
        <f aca="false">(Data!AK96+Data!AK97+Data!AK98+Data!AK99+Data!AK100+Data!AK101+Data!AK102+Data!AK103+Data!AK104+Data!AK105+Data!AK106+Data!AK107)/(Data!AP96+Data!AP97+Data!AP98+Data!AP99+Data!AP100+Data!AP101+Data!AP102+Data!AP103+Data!AP104+Data!AP105+Data!AP106+Data!AP107)</f>
        <v>0.0033096586735948</v>
      </c>
      <c r="AC107" s="18" t="n">
        <f aca="false">(Data!AL96+Data!AL97+Data!AL98+Data!AL99+Data!AL100+Data!AL101+Data!AL102+Data!AL103+Data!AL104+Data!AL105+Data!AL106+Data!AL107)/(Data!AP96+Data!AP97+Data!AP98+Data!AP99+Data!AP100+Data!AP101+Data!AP102+Data!AP103+Data!AP104+Data!AP105+Data!AP106+Data!AP107)</f>
        <v>0.00817078469135242</v>
      </c>
      <c r="AD107" s="17" t="n">
        <f aca="false">(Data!AM96+Data!AM97+Data!AM98+Data!AM99+Data!AM100+Data!AM101+Data!AM102+Data!AM103+Data!AM104+Data!AM105+Data!AM106+Data!AM107)/(Data!AP96+Data!AP97+Data!AP98+Data!AP99+Data!AP100+Data!AP101+Data!AP102+Data!AP103+Data!AP104+Data!AP105+Data!AP106+Data!AP107)</f>
        <v>0.00763904905549198</v>
      </c>
      <c r="AE107" s="18" t="n">
        <f aca="false">(Data!AN96+Data!AN97+Data!AN98+Data!AN99+Data!AN100+Data!AN101+Data!AN102+Data!AN103+Data!AN104+Data!AN105+Data!AN106+Data!AN107)/(Data!AP96+Data!AP97+Data!AP98+Data!AP99+Data!AP100+Data!AP101+Data!AP102+Data!AP103+Data!AP104+Data!AP105+Data!AP106+Data!AP107)</f>
        <v>0.0184425547514986</v>
      </c>
      <c r="AF107" s="17" t="n">
        <f aca="false">(Data!AO96+Data!AO97+Data!AO98+Data!AO99+Data!AO100+Data!AO101+Data!AO102+Data!AO103+Data!AO104+Data!AO105+Data!AO106+Data!AO107)/(Data!AP96+Data!AP97+Data!AP98+Data!AP99+Data!AP100+Data!AP101+Data!AP102+Data!AP103+Data!AP104+Data!AP105+Data!AP106+Data!AP107)</f>
        <v>-0.0108035086686561</v>
      </c>
    </row>
    <row r="108" customFormat="false" ht="15" hidden="false" customHeight="false" outlineLevel="0" collapsed="false">
      <c r="B108" s="14" t="str">
        <f aca="false">Data!B108</f>
        <v>2024-06</v>
      </c>
      <c r="C108" s="17" t="n">
        <f aca="false">(Data!D97+Data!E97+Data!F97+Data!G97+Data!H97+Data!I97+Data!J97+Data!K97+Data!L97+Data!M97+Data!N97+Data!O97+Data!P97+Data!Q97+Data!R97+Data!S97+Data!D98+Data!E98+Data!F98+Data!G98+Data!H98+Data!I98+Data!J98+Data!K98+Data!L98+Data!M98+Data!N98+Data!O98+Data!P98+Data!Q98+Data!R98+Data!S98+Data!D99+Data!E99+Data!F99+Data!G99+Data!H99+Data!I99+Data!J99+Data!K99+Data!L99+Data!M99+Data!N99+Data!O99+Data!P99+Data!Q99+Data!R99+Data!S99+Data!D100+Data!E100+Data!F100+Data!G100+Data!H100+Data!I100+Data!J100+Data!K100+Data!L100+Data!M100+Data!N100+Data!O100+Data!P100+Data!Q100+Data!R100+Data!S100+Data!D101+Data!E101+Data!F101+Data!G101+Data!H101+Data!I101+Data!J101+Data!K101+Data!L101+Data!M101+Data!N101+Data!O101+Data!P101+Data!Q101+Data!R101+Data!S101+Data!D102+Data!E102+Data!F102+Data!G102+Data!H102+Data!I102+Data!J102+Data!K102+Data!L102+Data!M102+Data!N102+Data!O102+Data!P102+Data!Q102+Data!R102+Data!S102+Data!D103+Data!E103+Data!F103+Data!G103+Data!H103+Data!I103+Data!J103+Data!K103+Data!L103+Data!M103+Data!N103+Data!O103+Data!P103+Data!Q103+Data!R103+Data!S103+Data!D104+Data!E104+Data!F104+Data!G104+Data!H104+Data!I104+Data!J104+Data!K104+Data!L104+Data!M104+Data!N104+Data!O104+Data!P104+Data!Q104+Data!R104+Data!S104+Data!D105+Data!E105+Data!F105+Data!G105+Data!H105+Data!I105+Data!J105+Data!K105+Data!L105+Data!M105+Data!N105+Data!O105+Data!P105+Data!Q105+Data!R105+Data!S105+Data!D106+Data!E106+Data!F106+Data!G106+Data!H106+Data!I106+Data!J106+Data!K106+Data!L106+Data!M106+Data!N106+Data!O106+Data!P106+Data!Q106+Data!R106+Data!S106+Data!D107+Data!E107+Data!F107+Data!G107+Data!H107+Data!I107+Data!J107+Data!K107+Data!L107+Data!M107+Data!N107+Data!O107+Data!P107+Data!Q107+Data!R107+Data!S107+Data!D108+Data!E108+Data!F108+Data!G108+Data!H108+Data!I108+Data!J108+Data!K108+Data!L108+Data!M108+Data!N108+Data!O108+Data!P108+Data!Q108+Data!R108+Data!S108)/(Data!AP97+Data!AP98+Data!AP99+Data!AP100+Data!AP101+Data!AP102+Data!AP103+Data!AP104+Data!AP105+Data!AP106+Data!AP107+Data!AP108)</f>
        <v>0.168433717579574</v>
      </c>
      <c r="D108" s="18" t="n">
        <f aca="false">(Data!D97+Data!E97+Data!G97+Data!H97+Data!I97+Data!J97+Data!K97+Data!L97+Data!M97+Data!D98+Data!E98+Data!G98+Data!H98+Data!I98+Data!J98+Data!K98+Data!L98+Data!M98+Data!D99+Data!E99+Data!G99+Data!H99+Data!I99+Data!J99+Data!K99+Data!L99+Data!M99+Data!D100+Data!E100+Data!G100+Data!H100+Data!I100+Data!J100+Data!K100+Data!L100+Data!M100+Data!D101+Data!E101+Data!G101+Data!H101+Data!I101+Data!J101+Data!K101+Data!L101+Data!M101+Data!D102+Data!E102+Data!G102+Data!H102+Data!I102+Data!J102+Data!K102+Data!L102+Data!M102+Data!D103+Data!E103+Data!G103+Data!H103+Data!I103+Data!J103+Data!K103+Data!L103+Data!M103+Data!D104+Data!E104+Data!G104+Data!H104+Data!I104+Data!J104+Data!K104+Data!L104+Data!M104+Data!D105+Data!E105+Data!G105+Data!H105+Data!I105+Data!J105+Data!K105+Data!L105+Data!M105+Data!D106+Data!E106+Data!G106+Data!H106+Data!I106+Data!J106+Data!K106+Data!L106+Data!M106+Data!D107+Data!E107+Data!G107+Data!H107+Data!I107+Data!J107+Data!K107+Data!L107+Data!M107+Data!D108+Data!E108+Data!G108+Data!H108+Data!I108+Data!J108+Data!K108+Data!L108+Data!M108)/(Data!AP97+Data!AP98+Data!AP99+Data!AP100+Data!AP101+Data!AP102+Data!AP103+Data!AP104+Data!AP105+Data!AP106+Data!AP107+Data!AP108)</f>
        <v>0.10451467786738</v>
      </c>
      <c r="E108" s="18" t="n">
        <f aca="false">(Data!D97+Data!D98+Data!D99+Data!D100+Data!D101+Data!D102+Data!D103+Data!D104+Data!D105+Data!D106+Data!D107+Data!D108)/(Data!AP97+Data!AP98+Data!AP99+Data!AP100+Data!AP101+Data!AP102+Data!AP103+Data!AP104+Data!AP105+Data!AP106+Data!AP107+Data!AP108)</f>
        <v>0.0336388851150125</v>
      </c>
      <c r="F108" s="18" t="n">
        <f aca="false">(Data!E97+Data!E98+Data!E99+Data!E100+Data!E101+Data!E102+Data!E103+Data!E104+Data!E105+Data!E106+Data!E107+Data!E108)/(Data!AP97+Data!AP98+Data!AP99+Data!AP100+Data!AP101+Data!AP102+Data!AP103+Data!AP104+Data!AP105+Data!AP106+Data!AP107+Data!AP108)</f>
        <v>0.0175555248393116</v>
      </c>
      <c r="G108" s="18" t="n">
        <f aca="false">(Data!K97+Data!K98+Data!K99+Data!K100+Data!K101+Data!K102+Data!K103+Data!K104+Data!K105+Data!K106+Data!K107+Data!K108)/(Data!AP97+Data!AP98+Data!AP99+Data!AP100+Data!AP101+Data!AP102+Data!AP103+Data!AP104+Data!AP105+Data!AP106+Data!AP107+Data!AP108)</f>
        <v>0.00980914024323036</v>
      </c>
      <c r="H108" s="18" t="n">
        <f aca="false">(Data!L97+Data!L98+Data!L99+Data!L100+Data!L101+Data!L102+Data!L103+Data!L104+Data!L105+Data!L106+Data!L107+Data!L108)/(Data!AP97+Data!AP98+Data!AP99+Data!AP100+Data!AP101+Data!AP102+Data!AP103+Data!AP104+Data!AP105+Data!AP106+Data!AP107+Data!AP108)</f>
        <v>0.00532777426179043</v>
      </c>
      <c r="I108" s="18" t="n">
        <f aca="false">(Data!G97+Data!G98+Data!G99+Data!G100+Data!G101+Data!G102+Data!G103+Data!G104+Data!G105+Data!G106+Data!G107+Data!G108)/(Data!AP97+Data!AP98+Data!AP99+Data!AP100+Data!AP101+Data!AP102+Data!AP103+Data!AP104+Data!AP105+Data!AP106+Data!AP107+Data!AP108)</f>
        <v>0.0152948305788809</v>
      </c>
      <c r="J108" s="18" t="n">
        <f aca="false">(Data!H97+Data!I97+Data!J97+Data!M97+Data!H98+Data!I98+Data!J98+Data!M98+Data!H99+Data!I99+Data!J99+Data!M99+Data!H100+Data!I100+Data!J100+Data!M100+Data!H101+Data!I101+Data!J101+Data!M101+Data!H102+Data!I102+Data!J102+Data!M102+Data!H103+Data!I103+Data!J103+Data!M103+Data!H104+Data!I104+Data!J104+Data!M104+Data!H105+Data!I105+Data!J105+Data!M105+Data!H106+Data!I106+Data!J106+Data!M106+Data!H107+Data!I107+Data!J107+Data!M107+Data!H108+Data!I108+Data!J108+Data!M108)/(Data!AP97+Data!AP98+Data!AP99+Data!AP100+Data!AP101+Data!AP102+Data!AP103+Data!AP104+Data!AP105+Data!AP106+Data!AP107+Data!AP108)</f>
        <v>0.0228885228291539</v>
      </c>
      <c r="K108" s="18" t="n">
        <f aca="false">(Data!F97+Data!F98+Data!F99+Data!F100+Data!F101+Data!F102+Data!F103+Data!F104+Data!F105+Data!F106+Data!F107+Data!F108)/(Data!AP97+Data!AP98+Data!AP99+Data!AP100+Data!AP101+Data!AP102+Data!AP103+Data!AP104+Data!AP105+Data!AP106+Data!AP107+Data!AP108)</f>
        <v>0.0472168171811267</v>
      </c>
      <c r="L108" s="18" t="n">
        <f aca="false">(Data!N97+Data!O97+Data!P97+Data!Q97+Data!R97+Data!S97+Data!N98+Data!O98+Data!P98+Data!Q98+Data!R98+Data!S98+Data!N99+Data!O99+Data!P99+Data!Q99+Data!R99+Data!S99+Data!N100+Data!O100+Data!P100+Data!Q100+Data!R100+Data!S100+Data!N101+Data!O101+Data!P101+Data!Q101+Data!R101+Data!S101+Data!N102+Data!O102+Data!P102+Data!Q102+Data!R102+Data!S102+Data!N103+Data!O103+Data!P103+Data!Q103+Data!R103+Data!S103+Data!N104+Data!O104+Data!P104+Data!Q104+Data!R104+Data!S104+Data!N105+Data!O105+Data!P105+Data!Q105+Data!R105+Data!S105+Data!N106+Data!O106+Data!P106+Data!Q106+Data!R106+Data!S106+Data!N107+Data!O107+Data!P107+Data!Q107+Data!R107+Data!S107+Data!N108+Data!O108+Data!P108+Data!Q108+Data!R108+Data!S108)/(Data!AP97+Data!AP98+Data!AP99+Data!AP100+Data!AP101+Data!AP102+Data!AP103+Data!AP104+Data!AP105+Data!AP106+Data!AP107+Data!AP108)</f>
        <v>0.016702222531068</v>
      </c>
      <c r="M108" s="17" t="n">
        <f aca="false">(Data!T97+Data!U97+Data!V97+Data!W97+Data!X97+Data!Y97+Data!Z97+Data!AA97+Data!AB97+Data!AC97+Data!AD97+Data!AE97+Data!AF97+Data!AG97+Data!AH97+Data!AI97+Data!AJ97+Data!AK97+Data!AL97+Data!T98+Data!U98+Data!V98+Data!W98+Data!X98+Data!Y98+Data!Z98+Data!AA98+Data!AB98+Data!AC98+Data!AD98+Data!AE98+Data!AF98+Data!AG98+Data!AH98+Data!AI98+Data!AJ98+Data!AK98+Data!AL98+Data!T99+Data!U99+Data!V99+Data!W99+Data!X99+Data!Y99+Data!Z99+Data!AA99+Data!AB99+Data!AC99+Data!AD99+Data!AE99+Data!AF99+Data!AG99+Data!AH99+Data!AI99+Data!AJ99+Data!AK99+Data!AL99+Data!T100+Data!U100+Data!V100+Data!W100+Data!X100+Data!Y100+Data!Z100+Data!AA100+Data!AB100+Data!AC100+Data!AD100+Data!AE100+Data!AF100+Data!AG100+Data!AH100+Data!AI100+Data!AJ100+Data!AK100+Data!AL100+Data!T101+Data!U101+Data!V101+Data!W101+Data!X101+Data!Y101+Data!Z101+Data!AA101+Data!AB101+Data!AC101+Data!AD101+Data!AE101+Data!AF101+Data!AG101+Data!AH101+Data!AI101+Data!AJ101+Data!AK101+Data!AL101+Data!T102+Data!U102+Data!V102+Data!W102+Data!X102+Data!Y102+Data!Z102+Data!AA102+Data!AB102+Data!AC102+Data!AD102+Data!AE102+Data!AF102+Data!AG102+Data!AH102+Data!AI102+Data!AJ102+Data!AK102+Data!AL102+Data!T103+Data!U103+Data!V103+Data!W103+Data!X103+Data!Y103+Data!Z103+Data!AA103+Data!AB103+Data!AC103+Data!AD103+Data!AE103+Data!AF103+Data!AG103+Data!AH103+Data!AI103+Data!AJ103+Data!AK103+Data!AL103+Data!T104+Data!U104+Data!V104+Data!W104+Data!X104+Data!Y104+Data!Z104+Data!AA104+Data!AB104+Data!AC104+Data!AD104+Data!AE104+Data!AF104+Data!AG104+Data!AH104+Data!AI104+Data!AJ104+Data!AK104+Data!AL104+Data!T105+Data!U105+Data!V105+Data!W105+Data!X105+Data!Y105+Data!Z105+Data!AA105+Data!AB105+Data!AC105+Data!AD105+Data!AE105+Data!AF105+Data!AG105+Data!AH105+Data!AI105+Data!AJ105+Data!AK105+Data!AL105+Data!T106+Data!U106+Data!V106+Data!W106+Data!X106+Data!Y106+Data!Z106+Data!AA106+Data!AB106+Data!AC106+Data!AD106+Data!AE106+Data!AF106+Data!AG106+Data!AH106+Data!AI106+Data!AJ106+Data!AK106+Data!AL106+Data!T107+Data!U107+Data!V107+Data!W107+Data!X107+Data!Y107+Data!Z107+Data!AA107+Data!AB107+Data!AC107+Data!AD107+Data!AE107+Data!AF107+Data!AG107+Data!AH107+Data!AI107+Data!AJ107+Data!AK107+Data!AL107+Data!T108+Data!U108+Data!V108+Data!W108+Data!X108+Data!Y108+Data!Z108+Data!AA108+Data!AB108+Data!AC108+Data!AD108+Data!AE108+Data!AF108+Data!AG108+Data!AH108+Data!AI108+Data!AJ108+Data!AK108+Data!AL108)/(Data!AP97+Data!AP98+Data!AP99+Data!AP100+Data!AP101+Data!AP102+Data!AP103+Data!AP104+Data!AP105+Data!AP106+Data!AP107+Data!AP108)</f>
        <v>0.158546377669423</v>
      </c>
      <c r="N108" s="18" t="n">
        <f aca="false">(Data!T97+Data!U97+Data!V97+Data!W97+Data!T98+Data!U98+Data!V98+Data!W98+Data!T99+Data!U99+Data!V99+Data!W99+Data!T100+Data!U100+Data!V100+Data!W100+Data!T101+Data!U101+Data!V101+Data!W101+Data!T102+Data!U102+Data!V102+Data!W102+Data!T103+Data!U103+Data!V103+Data!W103+Data!T104+Data!U104+Data!V104+Data!W104+Data!T105+Data!U105+Data!V105+Data!W105+Data!T106+Data!U106+Data!V106+Data!W106+Data!T107+Data!U107+Data!V107+Data!W107+Data!T108+Data!U108+Data!V108+Data!W108)/(Data!AP97+Data!AP98+Data!AP99+Data!AP100+Data!AP101+Data!AP102+Data!AP103+Data!AP104+Data!AP105+Data!AP106+Data!AP107+Data!AP108)</f>
        <v>0.0768908873167272</v>
      </c>
      <c r="O108" s="18" t="n">
        <f aca="false">(Data!T97+Data!T98+Data!T99+Data!T100+Data!T101+Data!T102+Data!T103+Data!T104+Data!T105+Data!T106+Data!T107+Data!T108)/(Data!AP97+Data!AP98+Data!AP99+Data!AP100+Data!AP101+Data!AP102+Data!AP103+Data!AP104+Data!AP105+Data!AP106+Data!AP107+Data!AP108)</f>
        <v>0.0541858550072282</v>
      </c>
      <c r="P108" s="18" t="n">
        <f aca="false">(Data!U97+Data!U98+Data!U99+Data!U100+Data!U101+Data!U102+Data!U103+Data!U104+Data!U105+Data!U106+Data!U107+Data!U108)/(Data!AP97+Data!AP98+Data!AP99+Data!AP100+Data!AP101+Data!AP102+Data!AP103+Data!AP104+Data!AP105+Data!AP106+Data!AP107+Data!AP108)</f>
        <v>0.00867109491656936</v>
      </c>
      <c r="Q108" s="18" t="n">
        <f aca="false">(Data!V97+Data!V98+Data!V99+Data!V100+Data!V101+Data!V102+Data!V103+Data!V104+Data!V105+Data!V106+Data!V107+Data!V108)/(Data!AP97+Data!AP98+Data!AP99+Data!AP100+Data!AP101+Data!AP102+Data!AP103+Data!AP104+Data!AP105+Data!AP106+Data!AP107+Data!AP108)</f>
        <v>0.00503518083411924</v>
      </c>
      <c r="R108" s="18" t="n">
        <f aca="false">(Data!W97+Data!W98+Data!W99+Data!W100+Data!W101+Data!W102+Data!W103+Data!W104+Data!W105+Data!W106+Data!W107+Data!W108)/(Data!AP97+Data!AP98+Data!AP99+Data!AP100+Data!AP101+Data!AP102+Data!AP103+Data!AP104+Data!AP105+Data!AP106+Data!AP107+Data!AP108)</f>
        <v>0.00899875655881034</v>
      </c>
      <c r="S108" s="18" t="n">
        <f aca="false">(Data!X97+Data!X98+Data!X99+Data!X100+Data!X101+Data!X102+Data!X103+Data!X104+Data!X105+Data!X106+Data!X107+Data!X108)/(Data!AP97+Data!AP98+Data!AP99+Data!AP100+Data!AP101+Data!AP102+Data!AP103+Data!AP104+Data!AP105+Data!AP106+Data!AP107+Data!AP108)</f>
        <v>0.0180716232439632</v>
      </c>
      <c r="T108" s="18" t="n">
        <f aca="false">(Data!Y97+Data!Z97+Data!AA97+Data!Y98+Data!Z98+Data!AA98+Data!Y99+Data!Z99+Data!AA99+Data!Y100+Data!Z100+Data!AA100+Data!Y101+Data!Z101+Data!AA101+Data!Y102+Data!Z102+Data!AA102+Data!Y103+Data!Z103+Data!AA103+Data!Y104+Data!Z104+Data!AA104+Data!Y105+Data!Z105+Data!AA105+Data!Y106+Data!Z106+Data!AA106+Data!Y107+Data!Z107+Data!AA107+Data!Y108+Data!Z108+Data!AA108)/(Data!AP97+Data!AP98+Data!AP99+Data!AP100+Data!AP101+Data!AP102+Data!AP103+Data!AP104+Data!AP105+Data!AP106+Data!AP107+Data!AP108)</f>
        <v>0.0158205439837476</v>
      </c>
      <c r="U108" s="18" t="n">
        <f aca="false">(Data!Y97+Data!Y98+Data!Y99+Data!Y100+Data!Y101+Data!Y102+Data!Y103+Data!Y104+Data!Y105+Data!Y106+Data!Y107+Data!Y108)/(Data!AP97+Data!AP98+Data!AP99+Data!AP100+Data!AP101+Data!AP102+Data!AP103+Data!AP104+Data!AP105+Data!AP106+Data!AP107+Data!AP108)</f>
        <v>0.0116274205682957</v>
      </c>
      <c r="V108" s="18" t="n">
        <f aca="false">(Data!Z97+Data!Z98+Data!Z99+Data!Z100+Data!Z101+Data!Z102+Data!Z103+Data!Z104+Data!Z105+Data!Z106+Data!Z107+Data!Z108)/(Data!AP97+Data!AP98+Data!AP99+Data!AP100+Data!AP101+Data!AP102+Data!AP103+Data!AP104+Data!AP105+Data!AP106+Data!AP107+Data!AP108)</f>
        <v>0.00378394575289499</v>
      </c>
      <c r="W108" s="18" t="n">
        <f aca="false">(Data!AB97+Data!AB98+Data!AB99+Data!AB100+Data!AB101+Data!AB102+Data!AB103+Data!AB104+Data!AB105+Data!AB106+Data!AB107+Data!AB108)/(Data!AP97+Data!AP98+Data!AP99+Data!AP100+Data!AP101+Data!AP102+Data!AP103+Data!AP104+Data!AP105+Data!AP106+Data!AP107+Data!AP108)</f>
        <v>0.0229704725886222</v>
      </c>
      <c r="X108" s="18" t="n">
        <f aca="false">(Data!AC97+Data!AC98+Data!AC99+Data!AC100+Data!AC101+Data!AC102+Data!AC103+Data!AC104+Data!AC105+Data!AC106+Data!AC107+Data!AC108)/(Data!AP97+Data!AP98+Data!AP99+Data!AP100+Data!AP101+Data!AP102+Data!AP103+Data!AP104+Data!AP105+Data!AP106+Data!AP107+Data!AP108)</f>
        <v>0.00515402805588665</v>
      </c>
      <c r="Y108" s="18" t="n">
        <f aca="false">(Data!AD97+Data!AE97+Data!AF97+Data!AG97+Data!AH97+Data!AD98+Data!AE98+Data!AF98+Data!AG98+Data!AH98+Data!AD99+Data!AE99+Data!AF99+Data!AG99+Data!AH99+Data!AD100+Data!AE100+Data!AF100+Data!AG100+Data!AH100+Data!AD101+Data!AE101+Data!AF101+Data!AG101+Data!AH101+Data!AD102+Data!AE102+Data!AF102+Data!AG102+Data!AH102+Data!AD103+Data!AE103+Data!AF103+Data!AG103+Data!AH103+Data!AD104+Data!AE104+Data!AF104+Data!AG104+Data!AH104+Data!AD105+Data!AE105+Data!AF105+Data!AG105+Data!AH105+Data!AD106+Data!AE106+Data!AF106+Data!AG106+Data!AH106+Data!AD107+Data!AE107+Data!AF107+Data!AG107+Data!AH107+Data!AD108+Data!AE108+Data!AF108+Data!AG108+Data!AH108)/(Data!AP97+Data!AP98+Data!AP99+Data!AP100+Data!AP101+Data!AP102+Data!AP103+Data!AP104+Data!AP105+Data!AP106+Data!AP107+Data!AP108)</f>
        <v>0.0038255712413576</v>
      </c>
      <c r="Z108" s="18" t="n">
        <f aca="false">(Data!AI97+Data!AI98+Data!AI99+Data!AI100+Data!AI101+Data!AI102+Data!AI103+Data!AI104+Data!AI105+Data!AI106+Data!AI107+Data!AI108)/(Data!AP97+Data!AP98+Data!AP99+Data!AP100+Data!AP101+Data!AP102+Data!AP103+Data!AP104+Data!AP105+Data!AP106+Data!AP107+Data!AP108)</f>
        <v>0.00528046975386764</v>
      </c>
      <c r="AA108" s="18" t="n">
        <f aca="false">(Data!AJ97+Data!AJ98+Data!AJ99+Data!AJ100+Data!AJ101+Data!AJ102+Data!AJ103+Data!AJ104+Data!AJ105+Data!AJ106+Data!AJ107+Data!AJ108)/(Data!AP97+Data!AP98+Data!AP99+Data!AP100+Data!AP101+Data!AP102+Data!AP103+Data!AP104+Data!AP105+Data!AP106+Data!AP107+Data!AP108)</f>
        <v>0</v>
      </c>
      <c r="AB108" s="18" t="n">
        <f aca="false">(Data!AK97+Data!AK98+Data!AK99+Data!AK100+Data!AK101+Data!AK102+Data!AK103+Data!AK104+Data!AK105+Data!AK106+Data!AK107+Data!AK108)/(Data!AP97+Data!AP98+Data!AP99+Data!AP100+Data!AP101+Data!AP102+Data!AP103+Data!AP104+Data!AP105+Data!AP106+Data!AP107+Data!AP108)</f>
        <v>0.0031615031289972</v>
      </c>
      <c r="AC108" s="18" t="n">
        <f aca="false">(Data!AL97+Data!AL98+Data!AL99+Data!AL100+Data!AL101+Data!AL102+Data!AL103+Data!AL104+Data!AL105+Data!AL106+Data!AL107+Data!AL108)/(Data!AP97+Data!AP98+Data!AP99+Data!AP100+Data!AP101+Data!AP102+Data!AP103+Data!AP104+Data!AP105+Data!AP106+Data!AP107+Data!AP108)</f>
        <v>0.00737127835625338</v>
      </c>
      <c r="AD108" s="17" t="n">
        <f aca="false">(Data!AM97+Data!AM98+Data!AM99+Data!AM100+Data!AM101+Data!AM102+Data!AM103+Data!AM104+Data!AM105+Data!AM106+Data!AM107+Data!AM108)/(Data!AP97+Data!AP98+Data!AP99+Data!AP100+Data!AP101+Data!AP102+Data!AP103+Data!AP104+Data!AP105+Data!AP106+Data!AP107+Data!AP108)</f>
        <v>0.00988733991015187</v>
      </c>
      <c r="AE108" s="18" t="n">
        <f aca="false">(Data!AN97+Data!AN98+Data!AN99+Data!AN100+Data!AN101+Data!AN102+Data!AN103+Data!AN104+Data!AN105+Data!AN106+Data!AN107+Data!AN108)/(Data!AP97+Data!AP98+Data!AP99+Data!AP100+Data!AP101+Data!AP102+Data!AP103+Data!AP104+Data!AP105+Data!AP106+Data!AP107+Data!AP108)</f>
        <v>0.0171275751617649</v>
      </c>
      <c r="AF108" s="17" t="n">
        <f aca="false">(Data!AO97+Data!AO98+Data!AO99+Data!AO100+Data!AO101+Data!AO102+Data!AO103+Data!AO104+Data!AO105+Data!AO106+Data!AO107+Data!AO108)/(Data!AP97+Data!AP98+Data!AP99+Data!AP100+Data!AP101+Data!AP102+Data!AP103+Data!AP104+Data!AP105+Data!AP106+Data!AP107+Data!AP108)</f>
        <v>-0.007240240639677</v>
      </c>
    </row>
    <row r="109" customFormat="false" ht="15" hidden="false" customHeight="false" outlineLevel="0" collapsed="false">
      <c r="B109" s="14" t="str">
        <f aca="false">Data!B109</f>
        <v>2024-07</v>
      </c>
      <c r="C109" s="17" t="n">
        <f aca="false">(Data!D98+Data!E98+Data!F98+Data!G98+Data!H98+Data!I98+Data!J98+Data!K98+Data!L98+Data!M98+Data!N98+Data!O98+Data!P98+Data!Q98+Data!R98+Data!S98+Data!D99+Data!E99+Data!F99+Data!G99+Data!H99+Data!I99+Data!J99+Data!K99+Data!L99+Data!M99+Data!N99+Data!O99+Data!P99+Data!Q99+Data!R99+Data!S99+Data!D100+Data!E100+Data!F100+Data!G100+Data!H100+Data!I100+Data!J100+Data!K100+Data!L100+Data!M100+Data!N100+Data!O100+Data!P100+Data!Q100+Data!R100+Data!S100+Data!D101+Data!E101+Data!F101+Data!G101+Data!H101+Data!I101+Data!J101+Data!K101+Data!L101+Data!M101+Data!N101+Data!O101+Data!P101+Data!Q101+Data!R101+Data!S101+Data!D102+Data!E102+Data!F102+Data!G102+Data!H102+Data!I102+Data!J102+Data!K102+Data!L102+Data!M102+Data!N102+Data!O102+Data!P102+Data!Q102+Data!R102+Data!S102+Data!D103+Data!E103+Data!F103+Data!G103+Data!H103+Data!I103+Data!J103+Data!K103+Data!L103+Data!M103+Data!N103+Data!O103+Data!P103+Data!Q103+Data!R103+Data!S103+Data!D104+Data!E104+Data!F104+Data!G104+Data!H104+Data!I104+Data!J104+Data!K104+Data!L104+Data!M104+Data!N104+Data!O104+Data!P104+Data!Q104+Data!R104+Data!S104+Data!D105+Data!E105+Data!F105+Data!G105+Data!H105+Data!I105+Data!J105+Data!K105+Data!L105+Data!M105+Data!N105+Data!O105+Data!P105+Data!Q105+Data!R105+Data!S105+Data!D106+Data!E106+Data!F106+Data!G106+Data!H106+Data!I106+Data!J106+Data!K106+Data!L106+Data!M106+Data!N106+Data!O106+Data!P106+Data!Q106+Data!R106+Data!S106+Data!D107+Data!E107+Data!F107+Data!G107+Data!H107+Data!I107+Data!J107+Data!K107+Data!L107+Data!M107+Data!N107+Data!O107+Data!P107+Data!Q107+Data!R107+Data!S107+Data!D108+Data!E108+Data!F108+Data!G108+Data!H108+Data!I108+Data!J108+Data!K108+Data!L108+Data!M108+Data!N108+Data!O108+Data!P108+Data!Q108+Data!R108+Data!S108+Data!D109+Data!E109+Data!F109+Data!G109+Data!H109+Data!I109+Data!J109+Data!K109+Data!L109+Data!M109+Data!N109+Data!O109+Data!P109+Data!Q109+Data!R109+Data!S109)/(Data!AP98+Data!AP99+Data!AP100+Data!AP101+Data!AP102+Data!AP103+Data!AP104+Data!AP105+Data!AP106+Data!AP107+Data!AP108+Data!AP109)</f>
        <v>0.170162228605404</v>
      </c>
      <c r="D109" s="18" t="n">
        <f aca="false">(Data!D98+Data!E98+Data!G98+Data!H98+Data!I98+Data!J98+Data!K98+Data!L98+Data!M98+Data!D99+Data!E99+Data!G99+Data!H99+Data!I99+Data!J99+Data!K99+Data!L99+Data!M99+Data!D100+Data!E100+Data!G100+Data!H100+Data!I100+Data!J100+Data!K100+Data!L100+Data!M100+Data!D101+Data!E101+Data!G101+Data!H101+Data!I101+Data!J101+Data!K101+Data!L101+Data!M101+Data!D102+Data!E102+Data!G102+Data!H102+Data!I102+Data!J102+Data!K102+Data!L102+Data!M102+Data!D103+Data!E103+Data!G103+Data!H103+Data!I103+Data!J103+Data!K103+Data!L103+Data!M103+Data!D104+Data!E104+Data!G104+Data!H104+Data!I104+Data!J104+Data!K104+Data!L104+Data!M104+Data!D105+Data!E105+Data!G105+Data!H105+Data!I105+Data!J105+Data!K105+Data!L105+Data!M105+Data!D106+Data!E106+Data!G106+Data!H106+Data!I106+Data!J106+Data!K106+Data!L106+Data!M106+Data!D107+Data!E107+Data!G107+Data!H107+Data!I107+Data!J107+Data!K107+Data!L107+Data!M107+Data!D108+Data!E108+Data!G108+Data!H108+Data!I108+Data!J108+Data!K108+Data!L108+Data!M108+Data!D109+Data!E109+Data!G109+Data!H109+Data!I109+Data!J109+Data!K109+Data!L109+Data!M109)/(Data!AP98+Data!AP99+Data!AP100+Data!AP101+Data!AP102+Data!AP103+Data!AP104+Data!AP105+Data!AP106+Data!AP107+Data!AP108+Data!AP109)</f>
        <v>0.105092466311308</v>
      </c>
      <c r="E109" s="18" t="n">
        <f aca="false">(Data!D98+Data!D99+Data!D100+Data!D101+Data!D102+Data!D103+Data!D104+Data!D105+Data!D106+Data!D107+Data!D108+Data!D109)/(Data!AP98+Data!AP99+Data!AP100+Data!AP101+Data!AP102+Data!AP103+Data!AP104+Data!AP105+Data!AP106+Data!AP107+Data!AP108+Data!AP109)</f>
        <v>0.0336181793359888</v>
      </c>
      <c r="F109" s="18" t="n">
        <f aca="false">(Data!E98+Data!E99+Data!E100+Data!E101+Data!E102+Data!E103+Data!E104+Data!E105+Data!E106+Data!E107+Data!E108+Data!E109)/(Data!AP98+Data!AP99+Data!AP100+Data!AP101+Data!AP102+Data!AP103+Data!AP104+Data!AP105+Data!AP106+Data!AP107+Data!AP108+Data!AP109)</f>
        <v>0.0171058415746262</v>
      </c>
      <c r="G109" s="18" t="n">
        <f aca="false">(Data!K98+Data!K99+Data!K100+Data!K101+Data!K102+Data!K103+Data!K104+Data!K105+Data!K106+Data!K107+Data!K108+Data!K109)/(Data!AP98+Data!AP99+Data!AP100+Data!AP101+Data!AP102+Data!AP103+Data!AP104+Data!AP105+Data!AP106+Data!AP107+Data!AP108+Data!AP109)</f>
        <v>0.0101719329587713</v>
      </c>
      <c r="H109" s="18" t="n">
        <f aca="false">(Data!L98+Data!L99+Data!L100+Data!L101+Data!L102+Data!L103+Data!L104+Data!L105+Data!L106+Data!L107+Data!L108+Data!L109)/(Data!AP98+Data!AP99+Data!AP100+Data!AP101+Data!AP102+Data!AP103+Data!AP104+Data!AP105+Data!AP106+Data!AP107+Data!AP108+Data!AP109)</f>
        <v>0.00531403890438209</v>
      </c>
      <c r="I109" s="18" t="n">
        <f aca="false">(Data!G98+Data!G99+Data!G100+Data!G101+Data!G102+Data!G103+Data!G104+Data!G105+Data!G106+Data!G107+Data!G108+Data!G109)/(Data!AP98+Data!AP99+Data!AP100+Data!AP101+Data!AP102+Data!AP103+Data!AP104+Data!AP105+Data!AP106+Data!AP107+Data!AP108+Data!AP109)</f>
        <v>0.0154742640428094</v>
      </c>
      <c r="J109" s="18" t="n">
        <f aca="false">(Data!H98+Data!I98+Data!J98+Data!M98+Data!H99+Data!I99+Data!J99+Data!M99+Data!H100+Data!I100+Data!J100+Data!M100+Data!H101+Data!I101+Data!J101+Data!M101+Data!H102+Data!I102+Data!J102+Data!M102+Data!H103+Data!I103+Data!J103+Data!M103+Data!H104+Data!I104+Data!J104+Data!M104+Data!H105+Data!I105+Data!J105+Data!M105+Data!H106+Data!I106+Data!J106+Data!M106+Data!H107+Data!I107+Data!J107+Data!M107+Data!H108+Data!I108+Data!J108+Data!M108+Data!H109+Data!I109+Data!J109+Data!M109)/(Data!AP98+Data!AP99+Data!AP100+Data!AP101+Data!AP102+Data!AP103+Data!AP104+Data!AP105+Data!AP106+Data!AP107+Data!AP108+Data!AP109)</f>
        <v>0.0234082094947297</v>
      </c>
      <c r="K109" s="18" t="n">
        <f aca="false">(Data!F98+Data!F99+Data!F100+Data!F101+Data!F102+Data!F103+Data!F104+Data!F105+Data!F106+Data!F107+Data!F108+Data!F109)/(Data!AP98+Data!AP99+Data!AP100+Data!AP101+Data!AP102+Data!AP103+Data!AP104+Data!AP105+Data!AP106+Data!AP107+Data!AP108+Data!AP109)</f>
        <v>0.048909613879139</v>
      </c>
      <c r="L109" s="18" t="n">
        <f aca="false">(Data!N98+Data!O98+Data!P98+Data!Q98+Data!R98+Data!S98+Data!N99+Data!O99+Data!P99+Data!Q99+Data!R99+Data!S99+Data!N100+Data!O100+Data!P100+Data!Q100+Data!R100+Data!S100+Data!N101+Data!O101+Data!P101+Data!Q101+Data!R101+Data!S101+Data!N102+Data!O102+Data!P102+Data!Q102+Data!R102+Data!S102+Data!N103+Data!O103+Data!P103+Data!Q103+Data!R103+Data!S103+Data!N104+Data!O104+Data!P104+Data!Q104+Data!R104+Data!S104+Data!N105+Data!O105+Data!P105+Data!Q105+Data!R105+Data!S105+Data!N106+Data!O106+Data!P106+Data!Q106+Data!R106+Data!S106+Data!N107+Data!O107+Data!P107+Data!Q107+Data!R107+Data!S107+Data!N108+Data!O108+Data!P108+Data!Q108+Data!R108+Data!S108+Data!N109+Data!O109+Data!P109+Data!Q109+Data!R109+Data!S109)/(Data!AP98+Data!AP99+Data!AP100+Data!AP101+Data!AP102+Data!AP103+Data!AP104+Data!AP105+Data!AP106+Data!AP107+Data!AP108+Data!AP109)</f>
        <v>0.0161601484149579</v>
      </c>
      <c r="M109" s="17" t="n">
        <f aca="false">(Data!T98+Data!U98+Data!V98+Data!W98+Data!X98+Data!Y98+Data!Z98+Data!AA98+Data!AB98+Data!AC98+Data!AD98+Data!AE98+Data!AF98+Data!AG98+Data!AH98+Data!AI98+Data!AJ98+Data!AK98+Data!AL98+Data!T99+Data!U99+Data!V99+Data!W99+Data!X99+Data!Y99+Data!Z99+Data!AA99+Data!AB99+Data!AC99+Data!AD99+Data!AE99+Data!AF99+Data!AG99+Data!AH99+Data!AI99+Data!AJ99+Data!AK99+Data!AL99+Data!T100+Data!U100+Data!V100+Data!W100+Data!X100+Data!Y100+Data!Z100+Data!AA100+Data!AB100+Data!AC100+Data!AD100+Data!AE100+Data!AF100+Data!AG100+Data!AH100+Data!AI100+Data!AJ100+Data!AK100+Data!AL100+Data!T101+Data!U101+Data!V101+Data!W101+Data!X101+Data!Y101+Data!Z101+Data!AA101+Data!AB101+Data!AC101+Data!AD101+Data!AE101+Data!AF101+Data!AG101+Data!AH101+Data!AI101+Data!AJ101+Data!AK101+Data!AL101+Data!T102+Data!U102+Data!V102+Data!W102+Data!X102+Data!Y102+Data!Z102+Data!AA102+Data!AB102+Data!AC102+Data!AD102+Data!AE102+Data!AF102+Data!AG102+Data!AH102+Data!AI102+Data!AJ102+Data!AK102+Data!AL102+Data!T103+Data!U103+Data!V103+Data!W103+Data!X103+Data!Y103+Data!Z103+Data!AA103+Data!AB103+Data!AC103+Data!AD103+Data!AE103+Data!AF103+Data!AG103+Data!AH103+Data!AI103+Data!AJ103+Data!AK103+Data!AL103+Data!T104+Data!U104+Data!V104+Data!W104+Data!X104+Data!Y104+Data!Z104+Data!AA104+Data!AB104+Data!AC104+Data!AD104+Data!AE104+Data!AF104+Data!AG104+Data!AH104+Data!AI104+Data!AJ104+Data!AK104+Data!AL104+Data!T105+Data!U105+Data!V105+Data!W105+Data!X105+Data!Y105+Data!Z105+Data!AA105+Data!AB105+Data!AC105+Data!AD105+Data!AE105+Data!AF105+Data!AG105+Data!AH105+Data!AI105+Data!AJ105+Data!AK105+Data!AL105+Data!T106+Data!U106+Data!V106+Data!W106+Data!X106+Data!Y106+Data!Z106+Data!AA106+Data!AB106+Data!AC106+Data!AD106+Data!AE106+Data!AF106+Data!AG106+Data!AH106+Data!AI106+Data!AJ106+Data!AK106+Data!AL106+Data!T107+Data!U107+Data!V107+Data!W107+Data!X107+Data!Y107+Data!Z107+Data!AA107+Data!AB107+Data!AC107+Data!AD107+Data!AE107+Data!AF107+Data!AG107+Data!AH107+Data!AI107+Data!AJ107+Data!AK107+Data!AL107+Data!T108+Data!U108+Data!V108+Data!W108+Data!X108+Data!Y108+Data!Z108+Data!AA108+Data!AB108+Data!AC108+Data!AD108+Data!AE108+Data!AF108+Data!AG108+Data!AH108+Data!AI108+Data!AJ108+Data!AK108+Data!AL108+Data!T109+Data!U109+Data!V109+Data!W109+Data!X109+Data!Y109+Data!Z109+Data!AA109+Data!AB109+Data!AC109+Data!AD109+Data!AE109+Data!AF109+Data!AG109+Data!AH109+Data!AI109+Data!AJ109+Data!AK109+Data!AL109)/(Data!AP98+Data!AP99+Data!AP100+Data!AP101+Data!AP102+Data!AP103+Data!AP104+Data!AP105+Data!AP106+Data!AP107+Data!AP108+Data!AP109)</f>
        <v>0.158073722011399</v>
      </c>
      <c r="N109" s="18" t="n">
        <f aca="false">(Data!T98+Data!U98+Data!V98+Data!W98+Data!T99+Data!U99+Data!V99+Data!W99+Data!T100+Data!U100+Data!V100+Data!W100+Data!T101+Data!U101+Data!V101+Data!W101+Data!T102+Data!U102+Data!V102+Data!W102+Data!T103+Data!U103+Data!V103+Data!W103+Data!T104+Data!U104+Data!V104+Data!W104+Data!T105+Data!U105+Data!V105+Data!W105+Data!T106+Data!U106+Data!V106+Data!W106+Data!T107+Data!U107+Data!V107+Data!W107+Data!T108+Data!U108+Data!V108+Data!W108+Data!T109+Data!U109+Data!V109+Data!W109)/(Data!AP98+Data!AP99+Data!AP100+Data!AP101+Data!AP102+Data!AP103+Data!AP104+Data!AP105+Data!AP106+Data!AP107+Data!AP108+Data!AP109)</f>
        <v>0.0772906868460662</v>
      </c>
      <c r="O109" s="18" t="n">
        <f aca="false">(Data!T98+Data!T99+Data!T100+Data!T101+Data!T102+Data!T103+Data!T104+Data!T105+Data!T106+Data!T107+Data!T108+Data!T109)/(Data!AP98+Data!AP99+Data!AP100+Data!AP101+Data!AP102+Data!AP103+Data!AP104+Data!AP105+Data!AP106+Data!AP107+Data!AP108+Data!AP109)</f>
        <v>0.0540632497392245</v>
      </c>
      <c r="P109" s="18" t="n">
        <f aca="false">(Data!U98+Data!U99+Data!U100+Data!U101+Data!U102+Data!U103+Data!U104+Data!U105+Data!U106+Data!U107+Data!U108+Data!U109)/(Data!AP98+Data!AP99+Data!AP100+Data!AP101+Data!AP102+Data!AP103+Data!AP104+Data!AP105+Data!AP106+Data!AP107+Data!AP108+Data!AP109)</f>
        <v>0.00888460668415583</v>
      </c>
      <c r="Q109" s="18" t="n">
        <f aca="false">(Data!V98+Data!V99+Data!V100+Data!V101+Data!V102+Data!V103+Data!V104+Data!V105+Data!V106+Data!V107+Data!V108+Data!V109)/(Data!AP98+Data!AP99+Data!AP100+Data!AP101+Data!AP102+Data!AP103+Data!AP104+Data!AP105+Data!AP106+Data!AP107+Data!AP108+Data!AP109)</f>
        <v>0.00504875022701225</v>
      </c>
      <c r="R109" s="18" t="n">
        <f aca="false">(Data!W98+Data!W99+Data!W100+Data!W101+Data!W102+Data!W103+Data!W104+Data!W105+Data!W106+Data!W107+Data!W108+Data!W109)/(Data!AP98+Data!AP99+Data!AP100+Data!AP101+Data!AP102+Data!AP103+Data!AP104+Data!AP105+Data!AP106+Data!AP107+Data!AP108+Data!AP109)</f>
        <v>0.00929408019567367</v>
      </c>
      <c r="S109" s="18" t="n">
        <f aca="false">(Data!X98+Data!X99+Data!X100+Data!X101+Data!X102+Data!X103+Data!X104+Data!X105+Data!X106+Data!X107+Data!X108+Data!X109)/(Data!AP98+Data!AP99+Data!AP100+Data!AP101+Data!AP102+Data!AP103+Data!AP104+Data!AP105+Data!AP106+Data!AP107+Data!AP108+Data!AP109)</f>
        <v>0.0177259795718754</v>
      </c>
      <c r="T109" s="18" t="n">
        <f aca="false">(Data!Y98+Data!Z98+Data!AA98+Data!Y99+Data!Z99+Data!AA99+Data!Y100+Data!Z100+Data!AA100+Data!Y101+Data!Z101+Data!AA101+Data!Y102+Data!Z102+Data!AA102+Data!Y103+Data!Z103+Data!AA103+Data!Y104+Data!Z104+Data!AA104+Data!Y105+Data!Z105+Data!AA105+Data!Y106+Data!Z106+Data!AA106+Data!Y107+Data!Z107+Data!AA107+Data!Y108+Data!Z108+Data!AA108+Data!Y109+Data!Z109+Data!AA109)/(Data!AP98+Data!AP99+Data!AP100+Data!AP101+Data!AP102+Data!AP103+Data!AP104+Data!AP105+Data!AP106+Data!AP107+Data!AP108+Data!AP109)</f>
        <v>0.0162449255344012</v>
      </c>
      <c r="U109" s="18" t="n">
        <f aca="false">(Data!Y98+Data!Y99+Data!Y100+Data!Y101+Data!Y102+Data!Y103+Data!Y104+Data!Y105+Data!Y106+Data!Y107+Data!Y108+Data!Y109)/(Data!AP98+Data!AP99+Data!AP100+Data!AP101+Data!AP102+Data!AP103+Data!AP104+Data!AP105+Data!AP106+Data!AP107+Data!AP108+Data!AP109)</f>
        <v>0.0120257696063028</v>
      </c>
      <c r="V109" s="18" t="n">
        <f aca="false">(Data!Z98+Data!Z99+Data!Z100+Data!Z101+Data!Z102+Data!Z103+Data!Z104+Data!Z105+Data!Z106+Data!Z107+Data!Z108+Data!Z109)/(Data!AP98+Data!AP99+Data!AP100+Data!AP101+Data!AP102+Data!AP103+Data!AP104+Data!AP105+Data!AP106+Data!AP107+Data!AP108+Data!AP109)</f>
        <v>0.00378770626200043</v>
      </c>
      <c r="W109" s="18" t="n">
        <f aca="false">(Data!AB98+Data!AB99+Data!AB100+Data!AB101+Data!AB102+Data!AB103+Data!AB104+Data!AB105+Data!AB106+Data!AB107+Data!AB108+Data!AB109)/(Data!AP98+Data!AP99+Data!AP100+Data!AP101+Data!AP102+Data!AP103+Data!AP104+Data!AP105+Data!AP106+Data!AP107+Data!AP108+Data!AP109)</f>
        <v>0.0231774906298888</v>
      </c>
      <c r="X109" s="18" t="n">
        <f aca="false">(Data!AC98+Data!AC99+Data!AC100+Data!AC101+Data!AC102+Data!AC103+Data!AC104+Data!AC105+Data!AC106+Data!AC107+Data!AC108+Data!AC109)/(Data!AP98+Data!AP99+Data!AP100+Data!AP101+Data!AP102+Data!AP103+Data!AP104+Data!AP105+Data!AP106+Data!AP107+Data!AP108+Data!AP109)</f>
        <v>0.00512974777267491</v>
      </c>
      <c r="Y109" s="18" t="n">
        <f aca="false">(Data!AD98+Data!AE98+Data!AF98+Data!AG98+Data!AH98+Data!AD99+Data!AE99+Data!AF99+Data!AG99+Data!AH99+Data!AD100+Data!AE100+Data!AF100+Data!AG100+Data!AH100+Data!AD101+Data!AE101+Data!AF101+Data!AG101+Data!AH101+Data!AD102+Data!AE102+Data!AF102+Data!AG102+Data!AH102+Data!AD103+Data!AE103+Data!AF103+Data!AG103+Data!AH103+Data!AD104+Data!AE104+Data!AF104+Data!AG104+Data!AH104+Data!AD105+Data!AE105+Data!AF105+Data!AG105+Data!AH105+Data!AD106+Data!AE106+Data!AF106+Data!AG106+Data!AH106+Data!AD107+Data!AE107+Data!AF107+Data!AG107+Data!AH107+Data!AD108+Data!AE108+Data!AF108+Data!AG108+Data!AH108+Data!AD109+Data!AE109+Data!AF109+Data!AG109+Data!AH109)/(Data!AP98+Data!AP99+Data!AP100+Data!AP101+Data!AP102+Data!AP103+Data!AP104+Data!AP105+Data!AP106+Data!AP107+Data!AP108+Data!AP109)</f>
        <v>0.00345991189896898</v>
      </c>
      <c r="Z109" s="18" t="n">
        <f aca="false">(Data!AI98+Data!AI99+Data!AI100+Data!AI101+Data!AI102+Data!AI103+Data!AI104+Data!AI105+Data!AI106+Data!AI107+Data!AI108+Data!AI109)/(Data!AP98+Data!AP99+Data!AP100+Data!AP101+Data!AP102+Data!AP103+Data!AP104+Data!AP105+Data!AP106+Data!AP107+Data!AP108+Data!AP109)</f>
        <v>0.00544165857531955</v>
      </c>
      <c r="AA109" s="18" t="n">
        <f aca="false">(Data!AJ98+Data!AJ99+Data!AJ100+Data!AJ101+Data!AJ102+Data!AJ103+Data!AJ104+Data!AJ105+Data!AJ106+Data!AJ107+Data!AJ108+Data!AJ109)/(Data!AP98+Data!AP99+Data!AP100+Data!AP101+Data!AP102+Data!AP103+Data!AP104+Data!AP105+Data!AP106+Data!AP107+Data!AP108+Data!AP109)</f>
        <v>0</v>
      </c>
      <c r="AB109" s="18" t="n">
        <f aca="false">(Data!AK98+Data!AK99+Data!AK100+Data!AK101+Data!AK102+Data!AK103+Data!AK104+Data!AK105+Data!AK106+Data!AK107+Data!AK108+Data!AK109)/(Data!AP98+Data!AP99+Data!AP100+Data!AP101+Data!AP102+Data!AP103+Data!AP104+Data!AP105+Data!AP106+Data!AP107+Data!AP108+Data!AP109)</f>
        <v>0.00302541839643441</v>
      </c>
      <c r="AC109" s="18" t="n">
        <f aca="false">(Data!AL98+Data!AL99+Data!AL100+Data!AL101+Data!AL102+Data!AL103+Data!AL104+Data!AL105+Data!AL106+Data!AL107+Data!AL108+Data!AL109)/(Data!AP98+Data!AP99+Data!AP100+Data!AP101+Data!AP102+Data!AP103+Data!AP104+Data!AP105+Data!AP106+Data!AP107+Data!AP108+Data!AP109)</f>
        <v>0.00657790278576932</v>
      </c>
      <c r="AD109" s="17" t="n">
        <f aca="false">(Data!AM98+Data!AM99+Data!AM100+Data!AM101+Data!AM102+Data!AM103+Data!AM104+Data!AM105+Data!AM106+Data!AM107+Data!AM108+Data!AM109)/(Data!AP98+Data!AP99+Data!AP100+Data!AP101+Data!AP102+Data!AP103+Data!AP104+Data!AP105+Data!AP106+Data!AP107+Data!AP108+Data!AP109)</f>
        <v>0.0120885065940057</v>
      </c>
      <c r="AE109" s="18" t="n">
        <f aca="false">(Data!AN98+Data!AN99+Data!AN100+Data!AN101+Data!AN102+Data!AN103+Data!AN104+Data!AN105+Data!AN106+Data!AN107+Data!AN108+Data!AN109)/(Data!AP98+Data!AP99+Data!AP100+Data!AP101+Data!AP102+Data!AP103+Data!AP104+Data!AP105+Data!AP106+Data!AP107+Data!AP108+Data!AP109)</f>
        <v>0.0183243677952657</v>
      </c>
      <c r="AF109" s="17" t="n">
        <f aca="false">(Data!AO98+Data!AO99+Data!AO100+Data!AO101+Data!AO102+Data!AO103+Data!AO104+Data!AO105+Data!AO106+Data!AO107+Data!AO108+Data!AO109)/(Data!AP98+Data!AP99+Data!AP100+Data!AP101+Data!AP102+Data!AP103+Data!AP104+Data!AP105+Data!AP106+Data!AP107+Data!AP108+Data!AP109)</f>
        <v>-0.00623586612258003</v>
      </c>
    </row>
    <row r="110" customFormat="false" ht="15" hidden="false" customHeight="false" outlineLevel="0" collapsed="false">
      <c r="B110" s="14" t="str">
        <f aca="false">Data!B110</f>
        <v>2024-08</v>
      </c>
      <c r="C110" s="17" t="n">
        <f aca="false">(Data!D99+Data!E99+Data!F99+Data!G99+Data!H99+Data!I99+Data!J99+Data!K99+Data!L99+Data!M99+Data!N99+Data!O99+Data!P99+Data!Q99+Data!R99+Data!S99+Data!D100+Data!E100+Data!F100+Data!G100+Data!H100+Data!I100+Data!J100+Data!K100+Data!L100+Data!M100+Data!N100+Data!O100+Data!P100+Data!Q100+Data!R100+Data!S100+Data!D101+Data!E101+Data!F101+Data!G101+Data!H101+Data!I101+Data!J101+Data!K101+Data!L101+Data!M101+Data!N101+Data!O101+Data!P101+Data!Q101+Data!R101+Data!S101+Data!D102+Data!E102+Data!F102+Data!G102+Data!H102+Data!I102+Data!J102+Data!K102+Data!L102+Data!M102+Data!N102+Data!O102+Data!P102+Data!Q102+Data!R102+Data!S102+Data!D103+Data!E103+Data!F103+Data!G103+Data!H103+Data!I103+Data!J103+Data!K103+Data!L103+Data!M103+Data!N103+Data!O103+Data!P103+Data!Q103+Data!R103+Data!S103+Data!D104+Data!E104+Data!F104+Data!G104+Data!H104+Data!I104+Data!J104+Data!K104+Data!L104+Data!M104+Data!N104+Data!O104+Data!P104+Data!Q104+Data!R104+Data!S104+Data!D105+Data!E105+Data!F105+Data!G105+Data!H105+Data!I105+Data!J105+Data!K105+Data!L105+Data!M105+Data!N105+Data!O105+Data!P105+Data!Q105+Data!R105+Data!S105+Data!D106+Data!E106+Data!F106+Data!G106+Data!H106+Data!I106+Data!J106+Data!K106+Data!L106+Data!M106+Data!N106+Data!O106+Data!P106+Data!Q106+Data!R106+Data!S106+Data!D107+Data!E107+Data!F107+Data!G107+Data!H107+Data!I107+Data!J107+Data!K107+Data!L107+Data!M107+Data!N107+Data!O107+Data!P107+Data!Q107+Data!R107+Data!S107+Data!D108+Data!E108+Data!F108+Data!G108+Data!H108+Data!I108+Data!J108+Data!K108+Data!L108+Data!M108+Data!N108+Data!O108+Data!P108+Data!Q108+Data!R108+Data!S108+Data!D109+Data!E109+Data!F109+Data!G109+Data!H109+Data!I109+Data!J109+Data!K109+Data!L109+Data!M109+Data!N109+Data!O109+Data!P109+Data!Q109+Data!R109+Data!S109+Data!D110+Data!E110+Data!F110+Data!G110+Data!H110+Data!I110+Data!J110+Data!K110+Data!L110+Data!M110+Data!N110+Data!O110+Data!P110+Data!Q110+Data!R110+Data!S110)/(Data!AP99+Data!AP100+Data!AP101+Data!AP102+Data!AP103+Data!AP104+Data!AP105+Data!AP106+Data!AP107+Data!AP108+Data!AP109+Data!AP110)</f>
        <v>0.169255282472958</v>
      </c>
      <c r="D110" s="18" t="n">
        <f aca="false">(Data!D99+Data!E99+Data!G99+Data!H99+Data!I99+Data!J99+Data!K99+Data!L99+Data!M99+Data!D100+Data!E100+Data!G100+Data!H100+Data!I100+Data!J100+Data!K100+Data!L100+Data!M100+Data!D101+Data!E101+Data!G101+Data!H101+Data!I101+Data!J101+Data!K101+Data!L101+Data!M101+Data!D102+Data!E102+Data!G102+Data!H102+Data!I102+Data!J102+Data!K102+Data!L102+Data!M102+Data!D103+Data!E103+Data!G103+Data!H103+Data!I103+Data!J103+Data!K103+Data!L103+Data!M103+Data!D104+Data!E104+Data!G104+Data!H104+Data!I104+Data!J104+Data!K104+Data!L104+Data!M104+Data!D105+Data!E105+Data!G105+Data!H105+Data!I105+Data!J105+Data!K105+Data!L105+Data!M105+Data!D106+Data!E106+Data!G106+Data!H106+Data!I106+Data!J106+Data!K106+Data!L106+Data!M106+Data!D107+Data!E107+Data!G107+Data!H107+Data!I107+Data!J107+Data!K107+Data!L107+Data!M107+Data!D108+Data!E108+Data!G108+Data!H108+Data!I108+Data!J108+Data!K108+Data!L108+Data!M108+Data!D109+Data!E109+Data!G109+Data!H109+Data!I109+Data!J109+Data!K109+Data!L109+Data!M109+Data!D110+Data!E110+Data!G110+Data!H110+Data!I110+Data!J110+Data!K110+Data!L110+Data!M110)/(Data!AP99+Data!AP100+Data!AP101+Data!AP102+Data!AP103+Data!AP104+Data!AP105+Data!AP106+Data!AP107+Data!AP108+Data!AP109+Data!AP110)</f>
        <v>0.104680131445292</v>
      </c>
      <c r="E110" s="18" t="n">
        <f aca="false">(Data!D99+Data!D100+Data!D101+Data!D102+Data!D103+Data!D104+Data!D105+Data!D106+Data!D107+Data!D108+Data!D109+Data!D110)/(Data!AP99+Data!AP100+Data!AP101+Data!AP102+Data!AP103+Data!AP104+Data!AP105+Data!AP106+Data!AP107+Data!AP108+Data!AP109+Data!AP110)</f>
        <v>0.0335233344180268</v>
      </c>
      <c r="F110" s="18" t="n">
        <f aca="false">(Data!E99+Data!E100+Data!E101+Data!E102+Data!E103+Data!E104+Data!E105+Data!E106+Data!E107+Data!E108+Data!E109+Data!E110)/(Data!AP99+Data!AP100+Data!AP101+Data!AP102+Data!AP103+Data!AP104+Data!AP105+Data!AP106+Data!AP107+Data!AP108+Data!AP109+Data!AP110)</f>
        <v>0.0167344051041251</v>
      </c>
      <c r="G110" s="18" t="n">
        <f aca="false">(Data!K99+Data!K100+Data!K101+Data!K102+Data!K103+Data!K104+Data!K105+Data!K106+Data!K107+Data!K108+Data!K109+Data!K110)/(Data!AP99+Data!AP100+Data!AP101+Data!AP102+Data!AP103+Data!AP104+Data!AP105+Data!AP106+Data!AP107+Data!AP108+Data!AP109+Data!AP110)</f>
        <v>0.0100892074232967</v>
      </c>
      <c r="H110" s="18" t="n">
        <f aca="false">(Data!L99+Data!L100+Data!L101+Data!L102+Data!L103+Data!L104+Data!L105+Data!L106+Data!L107+Data!L108+Data!L109+Data!L110)/(Data!AP99+Data!AP100+Data!AP101+Data!AP102+Data!AP103+Data!AP104+Data!AP105+Data!AP106+Data!AP107+Data!AP108+Data!AP109+Data!AP110)</f>
        <v>0.00520782035030356</v>
      </c>
      <c r="I110" s="18" t="n">
        <f aca="false">(Data!G99+Data!G100+Data!G101+Data!G102+Data!G103+Data!G104+Data!G105+Data!G106+Data!G107+Data!G108+Data!G109+Data!G110)/(Data!AP99+Data!AP100+Data!AP101+Data!AP102+Data!AP103+Data!AP104+Data!AP105+Data!AP106+Data!AP107+Data!AP108+Data!AP109+Data!AP110)</f>
        <v>0.0156438757034291</v>
      </c>
      <c r="J110" s="18" t="n">
        <f aca="false">(Data!H99+Data!I99+Data!J99+Data!M99+Data!H100+Data!I100+Data!J100+Data!M100+Data!H101+Data!I101+Data!J101+Data!M101+Data!H102+Data!I102+Data!J102+Data!M102+Data!H103+Data!I103+Data!J103+Data!M103+Data!H104+Data!I104+Data!J104+Data!M104+Data!H105+Data!I105+Data!J105+Data!M105+Data!H106+Data!I106+Data!J106+Data!M106+Data!H107+Data!I107+Data!J107+Data!M107+Data!H108+Data!I108+Data!J108+Data!M108+Data!H109+Data!I109+Data!J109+Data!M109+Data!H110+Data!I110+Data!J110+Data!M110)/(Data!AP99+Data!AP100+Data!AP101+Data!AP102+Data!AP103+Data!AP104+Data!AP105+Data!AP106+Data!AP107+Data!AP108+Data!AP109+Data!AP110)</f>
        <v>0.0234814884461108</v>
      </c>
      <c r="K110" s="18" t="n">
        <f aca="false">(Data!F99+Data!F100+Data!F101+Data!F102+Data!F103+Data!F104+Data!F105+Data!F106+Data!F107+Data!F108+Data!F109+Data!F110)/(Data!AP99+Data!AP100+Data!AP101+Data!AP102+Data!AP103+Data!AP104+Data!AP105+Data!AP106+Data!AP107+Data!AP108+Data!AP109+Data!AP110)</f>
        <v>0.0490359637056247</v>
      </c>
      <c r="L110" s="18" t="n">
        <f aca="false">(Data!N99+Data!O99+Data!P99+Data!Q99+Data!R99+Data!S99+Data!N100+Data!O100+Data!P100+Data!Q100+Data!R100+Data!S100+Data!N101+Data!O101+Data!P101+Data!Q101+Data!R101+Data!S101+Data!N102+Data!O102+Data!P102+Data!Q102+Data!R102+Data!S102+Data!N103+Data!O103+Data!P103+Data!Q103+Data!R103+Data!S103+Data!N104+Data!O104+Data!P104+Data!Q104+Data!R104+Data!S104+Data!N105+Data!O105+Data!P105+Data!Q105+Data!R105+Data!S105+Data!N106+Data!O106+Data!P106+Data!Q106+Data!R106+Data!S106+Data!N107+Data!O107+Data!P107+Data!Q107+Data!R107+Data!S107+Data!N108+Data!O108+Data!P108+Data!Q108+Data!R108+Data!S108+Data!N109+Data!O109+Data!P109+Data!Q109+Data!R109+Data!S109+Data!N110+Data!O110+Data!P110+Data!Q110+Data!R110+Data!S110)/(Data!AP99+Data!AP100+Data!AP101+Data!AP102+Data!AP103+Data!AP104+Data!AP105+Data!AP106+Data!AP107+Data!AP108+Data!AP109+Data!AP110)</f>
        <v>0.0155391873220412</v>
      </c>
      <c r="M110" s="17" t="n">
        <f aca="false">(Data!T99+Data!U99+Data!V99+Data!W99+Data!X99+Data!Y99+Data!Z99+Data!AA99+Data!AB99+Data!AC99+Data!AD99+Data!AE99+Data!AF99+Data!AG99+Data!AH99+Data!AI99+Data!AJ99+Data!AK99+Data!AL99+Data!T100+Data!U100+Data!V100+Data!W100+Data!X100+Data!Y100+Data!Z100+Data!AA100+Data!AB100+Data!AC100+Data!AD100+Data!AE100+Data!AF100+Data!AG100+Data!AH100+Data!AI100+Data!AJ100+Data!AK100+Data!AL100+Data!T101+Data!U101+Data!V101+Data!W101+Data!X101+Data!Y101+Data!Z101+Data!AA101+Data!AB101+Data!AC101+Data!AD101+Data!AE101+Data!AF101+Data!AG101+Data!AH101+Data!AI101+Data!AJ101+Data!AK101+Data!AL101+Data!T102+Data!U102+Data!V102+Data!W102+Data!X102+Data!Y102+Data!Z102+Data!AA102+Data!AB102+Data!AC102+Data!AD102+Data!AE102+Data!AF102+Data!AG102+Data!AH102+Data!AI102+Data!AJ102+Data!AK102+Data!AL102+Data!T103+Data!U103+Data!V103+Data!W103+Data!X103+Data!Y103+Data!Z103+Data!AA103+Data!AB103+Data!AC103+Data!AD103+Data!AE103+Data!AF103+Data!AG103+Data!AH103+Data!AI103+Data!AJ103+Data!AK103+Data!AL103+Data!T104+Data!U104+Data!V104+Data!W104+Data!X104+Data!Y104+Data!Z104+Data!AA104+Data!AB104+Data!AC104+Data!AD104+Data!AE104+Data!AF104+Data!AG104+Data!AH104+Data!AI104+Data!AJ104+Data!AK104+Data!AL104+Data!T105+Data!U105+Data!V105+Data!W105+Data!X105+Data!Y105+Data!Z105+Data!AA105+Data!AB105+Data!AC105+Data!AD105+Data!AE105+Data!AF105+Data!AG105+Data!AH105+Data!AI105+Data!AJ105+Data!AK105+Data!AL105+Data!T106+Data!U106+Data!V106+Data!W106+Data!X106+Data!Y106+Data!Z106+Data!AA106+Data!AB106+Data!AC106+Data!AD106+Data!AE106+Data!AF106+Data!AG106+Data!AH106+Data!AI106+Data!AJ106+Data!AK106+Data!AL106+Data!T107+Data!U107+Data!V107+Data!W107+Data!X107+Data!Y107+Data!Z107+Data!AA107+Data!AB107+Data!AC107+Data!AD107+Data!AE107+Data!AF107+Data!AG107+Data!AH107+Data!AI107+Data!AJ107+Data!AK107+Data!AL107+Data!T108+Data!U108+Data!V108+Data!W108+Data!X108+Data!Y108+Data!Z108+Data!AA108+Data!AB108+Data!AC108+Data!AD108+Data!AE108+Data!AF108+Data!AG108+Data!AH108+Data!AI108+Data!AJ108+Data!AK108+Data!AL108+Data!T109+Data!U109+Data!V109+Data!W109+Data!X109+Data!Y109+Data!Z109+Data!AA109+Data!AB109+Data!AC109+Data!AD109+Data!AE109+Data!AF109+Data!AG109+Data!AH109+Data!AI109+Data!AJ109+Data!AK109+Data!AL109+Data!T110+Data!U110+Data!V110+Data!W110+Data!X110+Data!Y110+Data!Z110+Data!AA110+Data!AB110+Data!AC110+Data!AD110+Data!AE110+Data!AF110+Data!AG110+Data!AH110+Data!AI110+Data!AJ110+Data!AK110+Data!AL110)/(Data!AP99+Data!AP100+Data!AP101+Data!AP102+Data!AP103+Data!AP104+Data!AP105+Data!AP106+Data!AP107+Data!AP108+Data!AP109+Data!AP110)</f>
        <v>0.156034279299849</v>
      </c>
      <c r="N110" s="18" t="n">
        <f aca="false">(Data!T99+Data!U99+Data!V99+Data!W99+Data!T100+Data!U100+Data!V100+Data!W100+Data!T101+Data!U101+Data!V101+Data!W101+Data!T102+Data!U102+Data!V102+Data!W102+Data!T103+Data!U103+Data!V103+Data!W103+Data!T104+Data!U104+Data!V104+Data!W104+Data!T105+Data!U105+Data!V105+Data!W105+Data!T106+Data!U106+Data!V106+Data!W106+Data!T107+Data!U107+Data!V107+Data!W107+Data!T108+Data!U108+Data!V108+Data!W108+Data!T109+Data!U109+Data!V109+Data!W109+Data!T110+Data!U110+Data!V110+Data!W110)/(Data!AP99+Data!AP100+Data!AP101+Data!AP102+Data!AP103+Data!AP104+Data!AP105+Data!AP106+Data!AP107+Data!AP108+Data!AP109+Data!AP110)</f>
        <v>0.0771076637158676</v>
      </c>
      <c r="O110" s="18" t="n">
        <f aca="false">(Data!T99+Data!T100+Data!T101+Data!T102+Data!T103+Data!T104+Data!T105+Data!T106+Data!T107+Data!T108+Data!T109+Data!T110)/(Data!AP99+Data!AP100+Data!AP101+Data!AP102+Data!AP103+Data!AP104+Data!AP105+Data!AP106+Data!AP107+Data!AP108+Data!AP109+Data!AP110)</f>
        <v>0.0539388300127722</v>
      </c>
      <c r="P110" s="18" t="n">
        <f aca="false">(Data!U99+Data!U100+Data!U101+Data!U102+Data!U103+Data!U104+Data!U105+Data!U106+Data!U107+Data!U108+Data!U109+Data!U110)/(Data!AP99+Data!AP100+Data!AP101+Data!AP102+Data!AP103+Data!AP104+Data!AP105+Data!AP106+Data!AP107+Data!AP108+Data!AP109+Data!AP110)</f>
        <v>0.00901891411471734</v>
      </c>
      <c r="Q110" s="18" t="n">
        <f aca="false">(Data!V99+Data!V100+Data!V101+Data!V102+Data!V103+Data!V104+Data!V105+Data!V106+Data!V107+Data!V108+Data!V109+Data!V110)/(Data!AP99+Data!AP100+Data!AP101+Data!AP102+Data!AP103+Data!AP104+Data!AP105+Data!AP106+Data!AP107+Data!AP108+Data!AP109+Data!AP110)</f>
        <v>0.0050636271752136</v>
      </c>
      <c r="R110" s="18" t="n">
        <f aca="false">(Data!W99+Data!W100+Data!W101+Data!W102+Data!W103+Data!W104+Data!W105+Data!W106+Data!W107+Data!W108+Data!W109+Data!W110)/(Data!AP99+Data!AP100+Data!AP101+Data!AP102+Data!AP103+Data!AP104+Data!AP105+Data!AP106+Data!AP107+Data!AP108+Data!AP109+Data!AP110)</f>
        <v>0.00908629241316442</v>
      </c>
      <c r="S110" s="18" t="n">
        <f aca="false">(Data!X99+Data!X100+Data!X101+Data!X102+Data!X103+Data!X104+Data!X105+Data!X106+Data!X107+Data!X108+Data!X109+Data!X110)/(Data!AP99+Data!AP100+Data!AP101+Data!AP102+Data!AP103+Data!AP104+Data!AP105+Data!AP106+Data!AP107+Data!AP108+Data!AP109+Data!AP110)</f>
        <v>0.0168390369790567</v>
      </c>
      <c r="T110" s="18" t="n">
        <f aca="false">(Data!Y99+Data!Z99+Data!AA99+Data!Y100+Data!Z100+Data!AA100+Data!Y101+Data!Z101+Data!AA101+Data!Y102+Data!Z102+Data!AA102+Data!Y103+Data!Z103+Data!AA103+Data!Y104+Data!Z104+Data!AA104+Data!Y105+Data!Z105+Data!AA105+Data!Y106+Data!Z106+Data!AA106+Data!Y107+Data!Z107+Data!AA107+Data!Y108+Data!Z108+Data!AA108+Data!Y109+Data!Z109+Data!AA109+Data!Y110+Data!Z110+Data!AA110)/(Data!AP99+Data!AP100+Data!AP101+Data!AP102+Data!AP103+Data!AP104+Data!AP105+Data!AP106+Data!AP107+Data!AP108+Data!AP109+Data!AP110)</f>
        <v>0.016623254644399</v>
      </c>
      <c r="U110" s="18" t="n">
        <f aca="false">(Data!Y99+Data!Y100+Data!Y101+Data!Y102+Data!Y103+Data!Y104+Data!Y105+Data!Y106+Data!Y107+Data!Y108+Data!Y109+Data!Y110)/(Data!AP99+Data!AP100+Data!AP101+Data!AP102+Data!AP103+Data!AP104+Data!AP105+Data!AP106+Data!AP107+Data!AP108+Data!AP109+Data!AP110)</f>
        <v>0.0122901587575513</v>
      </c>
      <c r="V110" s="18" t="n">
        <f aca="false">(Data!Z99+Data!Z100+Data!Z101+Data!Z102+Data!Z103+Data!Z104+Data!Z105+Data!Z106+Data!Z107+Data!Z108+Data!Z109+Data!Z110)/(Data!AP99+Data!AP100+Data!AP101+Data!AP102+Data!AP103+Data!AP104+Data!AP105+Data!AP106+Data!AP107+Data!AP108+Data!AP109+Data!AP110)</f>
        <v>0.00394070827378808</v>
      </c>
      <c r="W110" s="18" t="n">
        <f aca="false">(Data!AB99+Data!AB100+Data!AB101+Data!AB102+Data!AB103+Data!AB104+Data!AB105+Data!AB106+Data!AB107+Data!AB108+Data!AB109+Data!AB110)/(Data!AP99+Data!AP100+Data!AP101+Data!AP102+Data!AP103+Data!AP104+Data!AP105+Data!AP106+Data!AP107+Data!AP108+Data!AP109+Data!AP110)</f>
        <v>0.0227445990512863</v>
      </c>
      <c r="X110" s="18" t="n">
        <f aca="false">(Data!AC99+Data!AC100+Data!AC101+Data!AC102+Data!AC103+Data!AC104+Data!AC105+Data!AC106+Data!AC107+Data!AC108+Data!AC109+Data!AC110)/(Data!AP99+Data!AP100+Data!AP101+Data!AP102+Data!AP103+Data!AP104+Data!AP105+Data!AP106+Data!AP107+Data!AP108+Data!AP109+Data!AP110)</f>
        <v>0.00518496461887461</v>
      </c>
      <c r="Y110" s="18" t="n">
        <f aca="false">(Data!AD99+Data!AE99+Data!AF99+Data!AG99+Data!AH99+Data!AD100+Data!AE100+Data!AF100+Data!AG100+Data!AH100+Data!AD101+Data!AE101+Data!AF101+Data!AG101+Data!AH101+Data!AD102+Data!AE102+Data!AF102+Data!AG102+Data!AH102+Data!AD103+Data!AE103+Data!AF103+Data!AG103+Data!AH103+Data!AD104+Data!AE104+Data!AF104+Data!AG104+Data!AH104+Data!AD105+Data!AE105+Data!AF105+Data!AG105+Data!AH105+Data!AD106+Data!AE106+Data!AF106+Data!AG106+Data!AH106+Data!AD107+Data!AE107+Data!AF107+Data!AG107+Data!AH107+Data!AD108+Data!AE108+Data!AF108+Data!AG108+Data!AH108+Data!AD109+Data!AE109+Data!AF109+Data!AG109+Data!AH109+Data!AD110+Data!AE110+Data!AF110+Data!AG110+Data!AH110)/(Data!AP99+Data!AP100+Data!AP101+Data!AP102+Data!AP103+Data!AP104+Data!AP105+Data!AP106+Data!AP107+Data!AP108+Data!AP109+Data!AP110)</f>
        <v>0.00343377755336838</v>
      </c>
      <c r="Z110" s="18" t="n">
        <f aca="false">(Data!AI99+Data!AI100+Data!AI101+Data!AI102+Data!AI103+Data!AI104+Data!AI105+Data!AI106+Data!AI107+Data!AI108+Data!AI109+Data!AI110)/(Data!AP99+Data!AP100+Data!AP101+Data!AP102+Data!AP103+Data!AP104+Data!AP105+Data!AP106+Data!AP107+Data!AP108+Data!AP109+Data!AP110)</f>
        <v>0.00529913930413982</v>
      </c>
      <c r="AA110" s="18" t="n">
        <f aca="false">(Data!AJ99+Data!AJ100+Data!AJ101+Data!AJ102+Data!AJ103+Data!AJ104+Data!AJ105+Data!AJ106+Data!AJ107+Data!AJ108+Data!AJ109+Data!AJ110)/(Data!AP99+Data!AP100+Data!AP101+Data!AP102+Data!AP103+Data!AP104+Data!AP105+Data!AP106+Data!AP107+Data!AP108+Data!AP109+Data!AP110)</f>
        <v>0</v>
      </c>
      <c r="AB110" s="18" t="n">
        <f aca="false">(Data!AK99+Data!AK100+Data!AK101+Data!AK102+Data!AK103+Data!AK104+Data!AK105+Data!AK106+Data!AK107+Data!AK108+Data!AK109+Data!AK110)/(Data!AP99+Data!AP100+Data!AP101+Data!AP102+Data!AP103+Data!AP104+Data!AP105+Data!AP106+Data!AP107+Data!AP108+Data!AP109+Data!AP110)</f>
        <v>0.00278866594480501</v>
      </c>
      <c r="AC110" s="18" t="n">
        <f aca="false">(Data!AL99+Data!AL100+Data!AL101+Data!AL102+Data!AL103+Data!AL104+Data!AL105+Data!AL106+Data!AL107+Data!AL108+Data!AL109+Data!AL110)/(Data!AP99+Data!AP100+Data!AP101+Data!AP102+Data!AP103+Data!AP104+Data!AP105+Data!AP106+Data!AP107+Data!AP108+Data!AP109+Data!AP110)</f>
        <v>0.00601317748805185</v>
      </c>
      <c r="AD110" s="17" t="n">
        <f aca="false">(Data!AM99+Data!AM100+Data!AM101+Data!AM102+Data!AM103+Data!AM104+Data!AM105+Data!AM106+Data!AM107+Data!AM108+Data!AM109+Data!AM110)/(Data!AP99+Data!AP100+Data!AP101+Data!AP102+Data!AP103+Data!AP104+Data!AP105+Data!AP106+Data!AP107+Data!AP108+Data!AP109+Data!AP110)</f>
        <v>0.0132210031731085</v>
      </c>
      <c r="AE110" s="18" t="n">
        <f aca="false">(Data!AN99+Data!AN100+Data!AN101+Data!AN102+Data!AN103+Data!AN104+Data!AN105+Data!AN106+Data!AN107+Data!AN108+Data!AN109+Data!AN110)/(Data!AP99+Data!AP100+Data!AP101+Data!AP102+Data!AP103+Data!AP104+Data!AP105+Data!AP106+Data!AP107+Data!AP108+Data!AP109+Data!AP110)</f>
        <v>0.0180719423072093</v>
      </c>
      <c r="AF110" s="17" t="n">
        <f aca="false">(Data!AO99+Data!AO100+Data!AO101+Data!AO102+Data!AO103+Data!AO104+Data!AO105+Data!AO106+Data!AO107+Data!AO108+Data!AO109+Data!AO110)/(Data!AP99+Data!AP100+Data!AP101+Data!AP102+Data!AP103+Data!AP104+Data!AP105+Data!AP106+Data!AP107+Data!AP108+Data!AP109+Data!AP110)</f>
        <v>-0.00485094591487557</v>
      </c>
    </row>
    <row r="111" customFormat="false" ht="15" hidden="false" customHeight="false" outlineLevel="0" collapsed="false">
      <c r="B111" s="14" t="str">
        <f aca="false">Data!B111</f>
        <v>2024-09</v>
      </c>
      <c r="C111" s="17" t="n">
        <f aca="false">(Data!D100+Data!E100+Data!F100+Data!G100+Data!H100+Data!I100+Data!J100+Data!K100+Data!L100+Data!M100+Data!N100+Data!O100+Data!P100+Data!Q100+Data!R100+Data!S100+Data!D101+Data!E101+Data!F101+Data!G101+Data!H101+Data!I101+Data!J101+Data!K101+Data!L101+Data!M101+Data!N101+Data!O101+Data!P101+Data!Q101+Data!R101+Data!S101+Data!D102+Data!E102+Data!F102+Data!G102+Data!H102+Data!I102+Data!J102+Data!K102+Data!L102+Data!M102+Data!N102+Data!O102+Data!P102+Data!Q102+Data!R102+Data!S102+Data!D103+Data!E103+Data!F103+Data!G103+Data!H103+Data!I103+Data!J103+Data!K103+Data!L103+Data!M103+Data!N103+Data!O103+Data!P103+Data!Q103+Data!R103+Data!S103+Data!D104+Data!E104+Data!F104+Data!G104+Data!H104+Data!I104+Data!J104+Data!K104+Data!L104+Data!M104+Data!N104+Data!O104+Data!P104+Data!Q104+Data!R104+Data!S104+Data!D105+Data!E105+Data!F105+Data!G105+Data!H105+Data!I105+Data!J105+Data!K105+Data!L105+Data!M105+Data!N105+Data!O105+Data!P105+Data!Q105+Data!R105+Data!S105+Data!D106+Data!E106+Data!F106+Data!G106+Data!H106+Data!I106+Data!J106+Data!K106+Data!L106+Data!M106+Data!N106+Data!O106+Data!P106+Data!Q106+Data!R106+Data!S106+Data!D107+Data!E107+Data!F107+Data!G107+Data!H107+Data!I107+Data!J107+Data!K107+Data!L107+Data!M107+Data!N107+Data!O107+Data!P107+Data!Q107+Data!R107+Data!S107+Data!D108+Data!E108+Data!F108+Data!G108+Data!H108+Data!I108+Data!J108+Data!K108+Data!L108+Data!M108+Data!N108+Data!O108+Data!P108+Data!Q108+Data!R108+Data!S108+Data!D109+Data!E109+Data!F109+Data!G109+Data!H109+Data!I109+Data!J109+Data!K109+Data!L109+Data!M109+Data!N109+Data!O109+Data!P109+Data!Q109+Data!R109+Data!S109+Data!D110+Data!E110+Data!F110+Data!G110+Data!H110+Data!I110+Data!J110+Data!K110+Data!L110+Data!M110+Data!N110+Data!O110+Data!P110+Data!Q110+Data!R110+Data!S110+Data!D111+Data!E111+Data!F111+Data!G111+Data!H111+Data!I111+Data!J111+Data!K111+Data!L111+Data!M111+Data!N111+Data!O111+Data!P111+Data!Q111+Data!R111+Data!S111)/(Data!AP100+Data!AP101+Data!AP102+Data!AP103+Data!AP104+Data!AP105+Data!AP106+Data!AP107+Data!AP108+Data!AP109+Data!AP110+Data!AP111)</f>
        <v>0.168843995686035</v>
      </c>
      <c r="D111" s="18" t="n">
        <f aca="false">(Data!D100+Data!E100+Data!G100+Data!H100+Data!I100+Data!J100+Data!K100+Data!L100+Data!M100+Data!D101+Data!E101+Data!G101+Data!H101+Data!I101+Data!J101+Data!K101+Data!L101+Data!M101+Data!D102+Data!E102+Data!G102+Data!H102+Data!I102+Data!J102+Data!K102+Data!L102+Data!M102+Data!D103+Data!E103+Data!G103+Data!H103+Data!I103+Data!J103+Data!K103+Data!L103+Data!M103+Data!D104+Data!E104+Data!G104+Data!H104+Data!I104+Data!J104+Data!K104+Data!L104+Data!M104+Data!D105+Data!E105+Data!G105+Data!H105+Data!I105+Data!J105+Data!K105+Data!L105+Data!M105+Data!D106+Data!E106+Data!G106+Data!H106+Data!I106+Data!J106+Data!K106+Data!L106+Data!M106+Data!D107+Data!E107+Data!G107+Data!H107+Data!I107+Data!J107+Data!K107+Data!L107+Data!M107+Data!D108+Data!E108+Data!G108+Data!H108+Data!I108+Data!J108+Data!K108+Data!L108+Data!M108+Data!D109+Data!E109+Data!G109+Data!H109+Data!I109+Data!J109+Data!K109+Data!L109+Data!M109+Data!D110+Data!E110+Data!G110+Data!H110+Data!I110+Data!J110+Data!K110+Data!L110+Data!M110+Data!D111+Data!E111+Data!G111+Data!H111+Data!I111+Data!J111+Data!K111+Data!L111+Data!M111)/(Data!AP100+Data!AP101+Data!AP102+Data!AP103+Data!AP104+Data!AP105+Data!AP106+Data!AP107+Data!AP108+Data!AP109+Data!AP110+Data!AP111)</f>
        <v>0.104637591759002</v>
      </c>
      <c r="E111" s="18" t="n">
        <f aca="false">(Data!D100+Data!D101+Data!D102+Data!D103+Data!D104+Data!D105+Data!D106+Data!D107+Data!D108+Data!D109+Data!D110+Data!D111)/(Data!AP100+Data!AP101+Data!AP102+Data!AP103+Data!AP104+Data!AP105+Data!AP106+Data!AP107+Data!AP108+Data!AP109+Data!AP110+Data!AP111)</f>
        <v>0.0333961005900249</v>
      </c>
      <c r="F111" s="18" t="n">
        <f aca="false">(Data!E100+Data!E101+Data!E102+Data!E103+Data!E104+Data!E105+Data!E106+Data!E107+Data!E108+Data!E109+Data!E110+Data!E111)/(Data!AP100+Data!AP101+Data!AP102+Data!AP103+Data!AP104+Data!AP105+Data!AP106+Data!AP107+Data!AP108+Data!AP109+Data!AP110+Data!AP111)</f>
        <v>0.01648438251005</v>
      </c>
      <c r="G111" s="18" t="n">
        <f aca="false">(Data!K100+Data!K101+Data!K102+Data!K103+Data!K104+Data!K105+Data!K106+Data!K107+Data!K108+Data!K109+Data!K110+Data!K111)/(Data!AP100+Data!AP101+Data!AP102+Data!AP103+Data!AP104+Data!AP105+Data!AP106+Data!AP107+Data!AP108+Data!AP109+Data!AP110+Data!AP111)</f>
        <v>0.0102099404189032</v>
      </c>
      <c r="H111" s="18" t="n">
        <f aca="false">(Data!L100+Data!L101+Data!L102+Data!L103+Data!L104+Data!L105+Data!L106+Data!L107+Data!L108+Data!L109+Data!L110+Data!L111)/(Data!AP100+Data!AP101+Data!AP102+Data!AP103+Data!AP104+Data!AP105+Data!AP106+Data!AP107+Data!AP108+Data!AP109+Data!AP110+Data!AP111)</f>
        <v>0.00514522108240145</v>
      </c>
      <c r="I111" s="18" t="n">
        <f aca="false">(Data!G100+Data!G101+Data!G102+Data!G103+Data!G104+Data!G105+Data!G106+Data!G107+Data!G108+Data!G109+Data!G110+Data!G111)/(Data!AP100+Data!AP101+Data!AP102+Data!AP103+Data!AP104+Data!AP105+Data!AP106+Data!AP107+Data!AP108+Data!AP109+Data!AP110+Data!AP111)</f>
        <v>0.0156024559761433</v>
      </c>
      <c r="J111" s="18" t="n">
        <f aca="false">(Data!H100+Data!I100+Data!J100+Data!M100+Data!H101+Data!I101+Data!J101+Data!M101+Data!H102+Data!I102+Data!J102+Data!M102+Data!H103+Data!I103+Data!J103+Data!M103+Data!H104+Data!I104+Data!J104+Data!M104+Data!H105+Data!I105+Data!J105+Data!M105+Data!H106+Data!I106+Data!J106+Data!M106+Data!H107+Data!I107+Data!J107+Data!M107+Data!H108+Data!I108+Data!J108+Data!M108+Data!H109+Data!I109+Data!J109+Data!M109+Data!H110+Data!I110+Data!J110+Data!M110+Data!H111+Data!I111+Data!J111+Data!M111)/(Data!AP100+Data!AP101+Data!AP102+Data!AP103+Data!AP104+Data!AP105+Data!AP106+Data!AP107+Data!AP108+Data!AP109+Data!AP110+Data!AP111)</f>
        <v>0.0237994911814796</v>
      </c>
      <c r="K111" s="18" t="n">
        <f aca="false">(Data!F100+Data!F101+Data!F102+Data!F103+Data!F104+Data!F105+Data!F106+Data!F107+Data!F108+Data!F109+Data!F110+Data!F111)/(Data!AP100+Data!AP101+Data!AP102+Data!AP103+Data!AP104+Data!AP105+Data!AP106+Data!AP107+Data!AP108+Data!AP109+Data!AP110+Data!AP111)</f>
        <v>0.0492987337367985</v>
      </c>
      <c r="L111" s="18" t="n">
        <f aca="false">(Data!N100+Data!O100+Data!P100+Data!Q100+Data!R100+Data!S100+Data!N101+Data!O101+Data!P101+Data!Q101+Data!R101+Data!S101+Data!N102+Data!O102+Data!P102+Data!Q102+Data!R102+Data!S102+Data!N103+Data!O103+Data!P103+Data!Q103+Data!R103+Data!S103+Data!N104+Data!O104+Data!P104+Data!Q104+Data!R104+Data!S104+Data!N105+Data!O105+Data!P105+Data!Q105+Data!R105+Data!S105+Data!N106+Data!O106+Data!P106+Data!Q106+Data!R106+Data!S106+Data!N107+Data!O107+Data!P107+Data!Q107+Data!R107+Data!S107+Data!N108+Data!O108+Data!P108+Data!Q108+Data!R108+Data!S108+Data!N109+Data!O109+Data!P109+Data!Q109+Data!R109+Data!S109+Data!N110+Data!O110+Data!P110+Data!Q110+Data!R110+Data!S110+Data!N111+Data!O111+Data!P111+Data!Q111+Data!R111+Data!S111)/(Data!AP100+Data!AP101+Data!AP102+Data!AP103+Data!AP104+Data!AP105+Data!AP106+Data!AP107+Data!AP108+Data!AP109+Data!AP110+Data!AP111)</f>
        <v>0.0149076701902338</v>
      </c>
      <c r="M111" s="17" t="n">
        <f aca="false">(Data!T100+Data!U100+Data!V100+Data!W100+Data!X100+Data!Y100+Data!Z100+Data!AA100+Data!AB100+Data!AC100+Data!AD100+Data!AE100+Data!AF100+Data!AG100+Data!AH100+Data!AI100+Data!AJ100+Data!AK100+Data!AL100+Data!T101+Data!U101+Data!V101+Data!W101+Data!X101+Data!Y101+Data!Z101+Data!AA101+Data!AB101+Data!AC101+Data!AD101+Data!AE101+Data!AF101+Data!AG101+Data!AH101+Data!AI101+Data!AJ101+Data!AK101+Data!AL101+Data!T102+Data!U102+Data!V102+Data!W102+Data!X102+Data!Y102+Data!Z102+Data!AA102+Data!AB102+Data!AC102+Data!AD102+Data!AE102+Data!AF102+Data!AG102+Data!AH102+Data!AI102+Data!AJ102+Data!AK102+Data!AL102+Data!T103+Data!U103+Data!V103+Data!W103+Data!X103+Data!Y103+Data!Z103+Data!AA103+Data!AB103+Data!AC103+Data!AD103+Data!AE103+Data!AF103+Data!AG103+Data!AH103+Data!AI103+Data!AJ103+Data!AK103+Data!AL103+Data!T104+Data!U104+Data!V104+Data!W104+Data!X104+Data!Y104+Data!Z104+Data!AA104+Data!AB104+Data!AC104+Data!AD104+Data!AE104+Data!AF104+Data!AG104+Data!AH104+Data!AI104+Data!AJ104+Data!AK104+Data!AL104+Data!T105+Data!U105+Data!V105+Data!W105+Data!X105+Data!Y105+Data!Z105+Data!AA105+Data!AB105+Data!AC105+Data!AD105+Data!AE105+Data!AF105+Data!AG105+Data!AH105+Data!AI105+Data!AJ105+Data!AK105+Data!AL105+Data!T106+Data!U106+Data!V106+Data!W106+Data!X106+Data!Y106+Data!Z106+Data!AA106+Data!AB106+Data!AC106+Data!AD106+Data!AE106+Data!AF106+Data!AG106+Data!AH106+Data!AI106+Data!AJ106+Data!AK106+Data!AL106+Data!T107+Data!U107+Data!V107+Data!W107+Data!X107+Data!Y107+Data!Z107+Data!AA107+Data!AB107+Data!AC107+Data!AD107+Data!AE107+Data!AF107+Data!AG107+Data!AH107+Data!AI107+Data!AJ107+Data!AK107+Data!AL107+Data!T108+Data!U108+Data!V108+Data!W108+Data!X108+Data!Y108+Data!Z108+Data!AA108+Data!AB108+Data!AC108+Data!AD108+Data!AE108+Data!AF108+Data!AG108+Data!AH108+Data!AI108+Data!AJ108+Data!AK108+Data!AL108+Data!T109+Data!U109+Data!V109+Data!W109+Data!X109+Data!Y109+Data!Z109+Data!AA109+Data!AB109+Data!AC109+Data!AD109+Data!AE109+Data!AF109+Data!AG109+Data!AH109+Data!AI109+Data!AJ109+Data!AK109+Data!AL109+Data!T110+Data!U110+Data!V110+Data!W110+Data!X110+Data!Y110+Data!Z110+Data!AA110+Data!AB110+Data!AC110+Data!AD110+Data!AE110+Data!AF110+Data!AG110+Data!AH110+Data!AI110+Data!AJ110+Data!AK110+Data!AL110+Data!T111+Data!U111+Data!V111+Data!W111+Data!X111+Data!Y111+Data!Z111+Data!AA111+Data!AB111+Data!AC111+Data!AD111+Data!AE111+Data!AF111+Data!AG111+Data!AH111+Data!AI111+Data!AJ111+Data!AK111+Data!AL111)/(Data!AP100+Data!AP101+Data!AP102+Data!AP103+Data!AP104+Data!AP105+Data!AP106+Data!AP107+Data!AP108+Data!AP109+Data!AP110+Data!AP111)</f>
        <v>0.154117486818724</v>
      </c>
      <c r="N111" s="18" t="n">
        <f aca="false">(Data!T100+Data!U100+Data!V100+Data!W100+Data!T101+Data!U101+Data!V101+Data!W101+Data!T102+Data!U102+Data!V102+Data!W102+Data!T103+Data!U103+Data!V103+Data!W103+Data!T104+Data!U104+Data!V104+Data!W104+Data!T105+Data!U105+Data!V105+Data!W105+Data!T106+Data!U106+Data!V106+Data!W106+Data!T107+Data!U107+Data!V107+Data!W107+Data!T108+Data!U108+Data!V108+Data!W108+Data!T109+Data!U109+Data!V109+Data!W109+Data!T110+Data!U110+Data!V110+Data!W110+Data!T111+Data!U111+Data!V111+Data!W111)/(Data!AP100+Data!AP101+Data!AP102+Data!AP103+Data!AP104+Data!AP105+Data!AP106+Data!AP107+Data!AP108+Data!AP109+Data!AP110+Data!AP111)</f>
        <v>0.0772340015913816</v>
      </c>
      <c r="O111" s="18" t="n">
        <f aca="false">(Data!T100+Data!T101+Data!T102+Data!T103+Data!T104+Data!T105+Data!T106+Data!T107+Data!T108+Data!T109+Data!T110+Data!T111)/(Data!AP100+Data!AP101+Data!AP102+Data!AP103+Data!AP104+Data!AP105+Data!AP106+Data!AP107+Data!AP108+Data!AP109+Data!AP110+Data!AP111)</f>
        <v>0.0538182239734813</v>
      </c>
      <c r="P111" s="18" t="n">
        <f aca="false">(Data!U100+Data!U101+Data!U102+Data!U103+Data!U104+Data!U105+Data!U106+Data!U107+Data!U108+Data!U109+Data!U110+Data!U111)/(Data!AP100+Data!AP101+Data!AP102+Data!AP103+Data!AP104+Data!AP105+Data!AP106+Data!AP107+Data!AP108+Data!AP109+Data!AP110+Data!AP111)</f>
        <v>0.00910163172308875</v>
      </c>
      <c r="Q111" s="18" t="n">
        <f aca="false">(Data!V100+Data!V101+Data!V102+Data!V103+Data!V104+Data!V105+Data!V106+Data!V107+Data!V108+Data!V109+Data!V110+Data!V111)/(Data!AP100+Data!AP101+Data!AP102+Data!AP103+Data!AP104+Data!AP105+Data!AP106+Data!AP107+Data!AP108+Data!AP109+Data!AP110+Data!AP111)</f>
        <v>0.00506689500287801</v>
      </c>
      <c r="R111" s="18" t="n">
        <f aca="false">(Data!W100+Data!W101+Data!W102+Data!W103+Data!W104+Data!W105+Data!W106+Data!W107+Data!W108+Data!W109+Data!W110+Data!W111)/(Data!AP100+Data!AP101+Data!AP102+Data!AP103+Data!AP104+Data!AP105+Data!AP106+Data!AP107+Data!AP108+Data!AP109+Data!AP110+Data!AP111)</f>
        <v>0.00924725089193351</v>
      </c>
      <c r="S111" s="18" t="n">
        <f aca="false">(Data!X100+Data!X101+Data!X102+Data!X103+Data!X104+Data!X105+Data!X106+Data!X107+Data!X108+Data!X109+Data!X110+Data!X111)/(Data!AP100+Data!AP101+Data!AP102+Data!AP103+Data!AP104+Data!AP105+Data!AP106+Data!AP107+Data!AP108+Data!AP109+Data!AP110+Data!AP111)</f>
        <v>0.0167830423571556</v>
      </c>
      <c r="T111" s="18" t="n">
        <f aca="false">(Data!Y100+Data!Z100+Data!AA100+Data!Y101+Data!Z101+Data!AA101+Data!Y102+Data!Z102+Data!AA102+Data!Y103+Data!Z103+Data!AA103+Data!Y104+Data!Z104+Data!AA104+Data!Y105+Data!Z105+Data!AA105+Data!Y106+Data!Z106+Data!AA106+Data!Y107+Data!Z107+Data!AA107+Data!Y108+Data!Z108+Data!AA108+Data!Y109+Data!Z109+Data!AA109+Data!Y110+Data!Z110+Data!AA110+Data!Y111+Data!Z111+Data!AA111)/(Data!AP100+Data!AP101+Data!AP102+Data!AP103+Data!AP104+Data!AP105+Data!AP106+Data!AP107+Data!AP108+Data!AP109+Data!AP110+Data!AP111)</f>
        <v>0.0163040613580047</v>
      </c>
      <c r="U111" s="18" t="n">
        <f aca="false">(Data!Y100+Data!Y101+Data!Y102+Data!Y103+Data!Y104+Data!Y105+Data!Y106+Data!Y107+Data!Y108+Data!Y109+Data!Y110+Data!Y111)/(Data!AP100+Data!AP101+Data!AP102+Data!AP103+Data!AP104+Data!AP105+Data!AP106+Data!AP107+Data!AP108+Data!AP109+Data!AP110+Data!AP111)</f>
        <v>0.0120650460758818</v>
      </c>
      <c r="V111" s="18" t="n">
        <f aca="false">(Data!Z100+Data!Z101+Data!Z102+Data!Z103+Data!Z104+Data!Z105+Data!Z106+Data!Z107+Data!Z108+Data!Z109+Data!Z110+Data!Z111)/(Data!AP100+Data!AP101+Data!AP102+Data!AP103+Data!AP104+Data!AP105+Data!AP106+Data!AP107+Data!AP108+Data!AP109+Data!AP110+Data!AP111)</f>
        <v>0.00384552062474808</v>
      </c>
      <c r="W111" s="18" t="n">
        <f aca="false">(Data!AB100+Data!AB101+Data!AB102+Data!AB103+Data!AB104+Data!AB105+Data!AB106+Data!AB107+Data!AB108+Data!AB109+Data!AB110+Data!AB111)/(Data!AP100+Data!AP101+Data!AP102+Data!AP103+Data!AP104+Data!AP105+Data!AP106+Data!AP107+Data!AP108+Data!AP109+Data!AP110+Data!AP111)</f>
        <v>0.0223611311794128</v>
      </c>
      <c r="X111" s="18" t="n">
        <f aca="false">(Data!AC100+Data!AC101+Data!AC102+Data!AC103+Data!AC104+Data!AC105+Data!AC106+Data!AC107+Data!AC108+Data!AC109+Data!AC110+Data!AC111)/(Data!AP100+Data!AP101+Data!AP102+Data!AP103+Data!AP104+Data!AP105+Data!AP106+Data!AP107+Data!AP108+Data!AP109+Data!AP110+Data!AP111)</f>
        <v>0.00513047629250263</v>
      </c>
      <c r="Y111" s="18" t="n">
        <f aca="false">(Data!AD100+Data!AE100+Data!AF100+Data!AG100+Data!AH100+Data!AD101+Data!AE101+Data!AF101+Data!AG101+Data!AH101+Data!AD102+Data!AE102+Data!AF102+Data!AG102+Data!AH102+Data!AD103+Data!AE103+Data!AF103+Data!AG103+Data!AH103+Data!AD104+Data!AE104+Data!AF104+Data!AG104+Data!AH104+Data!AD105+Data!AE105+Data!AF105+Data!AG105+Data!AH105+Data!AD106+Data!AE106+Data!AF106+Data!AG106+Data!AH106+Data!AD107+Data!AE107+Data!AF107+Data!AG107+Data!AH107+Data!AD108+Data!AE108+Data!AF108+Data!AG108+Data!AH108+Data!AD109+Data!AE109+Data!AF109+Data!AG109+Data!AH109+Data!AD110+Data!AE110+Data!AF110+Data!AG110+Data!AH110+Data!AD111+Data!AE111+Data!AF111+Data!AG111+Data!AH111)/(Data!AP100+Data!AP101+Data!AP102+Data!AP103+Data!AP104+Data!AP105+Data!AP106+Data!AP107+Data!AP108+Data!AP109+Data!AP110+Data!AP111)</f>
        <v>0.0031256300314304</v>
      </c>
      <c r="Z111" s="18" t="n">
        <f aca="false">(Data!AI100+Data!AI101+Data!AI102+Data!AI103+Data!AI104+Data!AI105+Data!AI106+Data!AI107+Data!AI108+Data!AI109+Data!AI110+Data!AI111)/(Data!AP100+Data!AP101+Data!AP102+Data!AP103+Data!AP104+Data!AP105+Data!AP106+Data!AP107+Data!AP108+Data!AP109+Data!AP110+Data!AP111)</f>
        <v>0.00524698416744228</v>
      </c>
      <c r="AA111" s="18" t="n">
        <f aca="false">(Data!AJ100+Data!AJ101+Data!AJ102+Data!AJ103+Data!AJ104+Data!AJ105+Data!AJ106+Data!AJ107+Data!AJ108+Data!AJ109+Data!AJ110+Data!AJ111)/(Data!AP100+Data!AP101+Data!AP102+Data!AP103+Data!AP104+Data!AP105+Data!AP106+Data!AP107+Data!AP108+Data!AP109+Data!AP110+Data!AP111)</f>
        <v>0</v>
      </c>
      <c r="AB111" s="18" t="n">
        <f aca="false">(Data!AK100+Data!AK101+Data!AK102+Data!AK103+Data!AK104+Data!AK105+Data!AK106+Data!AK107+Data!AK108+Data!AK109+Data!AK110+Data!AK111)/(Data!AP100+Data!AP101+Data!AP102+Data!AP103+Data!AP104+Data!AP105+Data!AP106+Data!AP107+Data!AP108+Data!AP109+Data!AP110+Data!AP111)</f>
        <v>0.00250649306411442</v>
      </c>
      <c r="AC111" s="18" t="n">
        <f aca="false">(Data!AL100+Data!AL101+Data!AL102+Data!AL103+Data!AL104+Data!AL105+Data!AL106+Data!AL107+Data!AL108+Data!AL109+Data!AL110+Data!AL111)/(Data!AP100+Data!AP101+Data!AP102+Data!AP103+Data!AP104+Data!AP105+Data!AP106+Data!AP107+Data!AP108+Data!AP109+Data!AP110+Data!AP111)</f>
        <v>0.00542566677727914</v>
      </c>
      <c r="AD111" s="17" t="n">
        <f aca="false">(Data!AM100+Data!AM101+Data!AM102+Data!AM103+Data!AM104+Data!AM105+Data!AM106+Data!AM107+Data!AM108+Data!AM109+Data!AM110+Data!AM111)/(Data!AP100+Data!AP101+Data!AP102+Data!AP103+Data!AP104+Data!AP105+Data!AP106+Data!AP107+Data!AP108+Data!AP109+Data!AP110+Data!AP111)</f>
        <v>0.0147265088673112</v>
      </c>
      <c r="AE111" s="18" t="n">
        <f aca="false">(Data!AN100+Data!AN101+Data!AN102+Data!AN103+Data!AN104+Data!AN105+Data!AN106+Data!AN107+Data!AN108+Data!AN109+Data!AN110+Data!AN111)/(Data!AP100+Data!AP101+Data!AP102+Data!AP103+Data!AP104+Data!AP105+Data!AP106+Data!AP107+Data!AP108+Data!AP109+Data!AP110+Data!AP111)</f>
        <v>0.0171676546109768</v>
      </c>
      <c r="AF111" s="17" t="n">
        <f aca="false">(Data!AO100+Data!AO101+Data!AO102+Data!AO103+Data!AO104+Data!AO105+Data!AO106+Data!AO107+Data!AO108+Data!AO109+Data!AO110+Data!AO111)/(Data!AP100+Data!AP101+Data!AP102+Data!AP103+Data!AP104+Data!AP105+Data!AP106+Data!AP107+Data!AP108+Data!AP109+Data!AP110+Data!AP111)</f>
        <v>-0.00244114992362024</v>
      </c>
    </row>
    <row r="112" customFormat="false" ht="15" hidden="false" customHeight="false" outlineLevel="0" collapsed="false">
      <c r="B112" s="14" t="str">
        <f aca="false">Data!B112</f>
        <v>2024-10</v>
      </c>
      <c r="C112" s="17" t="n">
        <f aca="false">(Data!D101+Data!E101+Data!F101+Data!G101+Data!H101+Data!I101+Data!J101+Data!K101+Data!L101+Data!M101+Data!N101+Data!O101+Data!P101+Data!Q101+Data!R101+Data!S101+Data!D102+Data!E102+Data!F102+Data!G102+Data!H102+Data!I102+Data!J102+Data!K102+Data!L102+Data!M102+Data!N102+Data!O102+Data!P102+Data!Q102+Data!R102+Data!S102+Data!D103+Data!E103+Data!F103+Data!G103+Data!H103+Data!I103+Data!J103+Data!K103+Data!L103+Data!M103+Data!N103+Data!O103+Data!P103+Data!Q103+Data!R103+Data!S103+Data!D104+Data!E104+Data!F104+Data!G104+Data!H104+Data!I104+Data!J104+Data!K104+Data!L104+Data!M104+Data!N104+Data!O104+Data!P104+Data!Q104+Data!R104+Data!S104+Data!D105+Data!E105+Data!F105+Data!G105+Data!H105+Data!I105+Data!J105+Data!K105+Data!L105+Data!M105+Data!N105+Data!O105+Data!P105+Data!Q105+Data!R105+Data!S105+Data!D106+Data!E106+Data!F106+Data!G106+Data!H106+Data!I106+Data!J106+Data!K106+Data!L106+Data!M106+Data!N106+Data!O106+Data!P106+Data!Q106+Data!R106+Data!S106+Data!D107+Data!E107+Data!F107+Data!G107+Data!H107+Data!I107+Data!J107+Data!K107+Data!L107+Data!M107+Data!N107+Data!O107+Data!P107+Data!Q107+Data!R107+Data!S107+Data!D108+Data!E108+Data!F108+Data!G108+Data!H108+Data!I108+Data!J108+Data!K108+Data!L108+Data!M108+Data!N108+Data!O108+Data!P108+Data!Q108+Data!R108+Data!S108+Data!D109+Data!E109+Data!F109+Data!G109+Data!H109+Data!I109+Data!J109+Data!K109+Data!L109+Data!M109+Data!N109+Data!O109+Data!P109+Data!Q109+Data!R109+Data!S109+Data!D110+Data!E110+Data!F110+Data!G110+Data!H110+Data!I110+Data!J110+Data!K110+Data!L110+Data!M110+Data!N110+Data!O110+Data!P110+Data!Q110+Data!R110+Data!S110+Data!D111+Data!E111+Data!F111+Data!G111+Data!H111+Data!I111+Data!J111+Data!K111+Data!L111+Data!M111+Data!N111+Data!O111+Data!P111+Data!Q111+Data!R111+Data!S111+Data!D112+Data!E112+Data!F112+Data!G112+Data!H112+Data!I112+Data!J112+Data!K112+Data!L112+Data!M112+Data!N112+Data!O112+Data!P112+Data!Q112+Data!R112+Data!S112)/(Data!AP101+Data!AP102+Data!AP103+Data!AP104+Data!AP105+Data!AP106+Data!AP107+Data!AP108+Data!AP109+Data!AP110+Data!AP111+Data!AP112)</f>
        <v>0.168291472047996</v>
      </c>
      <c r="D112" s="18" t="n">
        <f aca="false">(Data!D101+Data!E101+Data!G101+Data!H101+Data!I101+Data!J101+Data!K101+Data!L101+Data!M101+Data!D102+Data!E102+Data!G102+Data!H102+Data!I102+Data!J102+Data!K102+Data!L102+Data!M102+Data!D103+Data!E103+Data!G103+Data!H103+Data!I103+Data!J103+Data!K103+Data!L103+Data!M103+Data!D104+Data!E104+Data!G104+Data!H104+Data!I104+Data!J104+Data!K104+Data!L104+Data!M104+Data!D105+Data!E105+Data!G105+Data!H105+Data!I105+Data!J105+Data!K105+Data!L105+Data!M105+Data!D106+Data!E106+Data!G106+Data!H106+Data!I106+Data!J106+Data!K106+Data!L106+Data!M106+Data!D107+Data!E107+Data!G107+Data!H107+Data!I107+Data!J107+Data!K107+Data!L107+Data!M107+Data!D108+Data!E108+Data!G108+Data!H108+Data!I108+Data!J108+Data!K108+Data!L108+Data!M108+Data!D109+Data!E109+Data!G109+Data!H109+Data!I109+Data!J109+Data!K109+Data!L109+Data!M109+Data!D110+Data!E110+Data!G110+Data!H110+Data!I110+Data!J110+Data!K110+Data!L110+Data!M110+Data!D111+Data!E111+Data!G111+Data!H111+Data!I111+Data!J111+Data!K111+Data!L111+Data!M111+Data!D112+Data!E112+Data!G112+Data!H112+Data!I112+Data!J112+Data!K112+Data!L112+Data!M112)/(Data!AP101+Data!AP102+Data!AP103+Data!AP104+Data!AP105+Data!AP106+Data!AP107+Data!AP108+Data!AP109+Data!AP110+Data!AP111+Data!AP112)</f>
        <v>0.104322762339701</v>
      </c>
      <c r="E112" s="18" t="n">
        <f aca="false">(Data!D101+Data!D102+Data!D103+Data!D104+Data!D105+Data!D106+Data!D107+Data!D108+Data!D109+Data!D110+Data!D111+Data!D112)/(Data!AP101+Data!AP102+Data!AP103+Data!AP104+Data!AP105+Data!AP106+Data!AP107+Data!AP108+Data!AP109+Data!AP110+Data!AP111+Data!AP112)</f>
        <v>0.0335905242614795</v>
      </c>
      <c r="F112" s="18" t="n">
        <f aca="false">(Data!E101+Data!E102+Data!E103+Data!E104+Data!E105+Data!E106+Data!E107+Data!E108+Data!E109+Data!E110+Data!E111+Data!E112)/(Data!AP101+Data!AP102+Data!AP103+Data!AP104+Data!AP105+Data!AP106+Data!AP107+Data!AP108+Data!AP109+Data!AP110+Data!AP111+Data!AP112)</f>
        <v>0.0161131538613822</v>
      </c>
      <c r="G112" s="18" t="n">
        <f aca="false">(Data!K101+Data!K102+Data!K103+Data!K104+Data!K105+Data!K106+Data!K107+Data!K108+Data!K109+Data!K110+Data!K111+Data!K112)/(Data!AP101+Data!AP102+Data!AP103+Data!AP104+Data!AP105+Data!AP106+Data!AP107+Data!AP108+Data!AP109+Data!AP110+Data!AP111+Data!AP112)</f>
        <v>0.0102250692100223</v>
      </c>
      <c r="H112" s="18" t="n">
        <f aca="false">(Data!L101+Data!L102+Data!L103+Data!L104+Data!L105+Data!L106+Data!L107+Data!L108+Data!L109+Data!L110+Data!L111+Data!L112)/(Data!AP101+Data!AP102+Data!AP103+Data!AP104+Data!AP105+Data!AP106+Data!AP107+Data!AP108+Data!AP109+Data!AP110+Data!AP111+Data!AP112)</f>
        <v>0.00529998138885999</v>
      </c>
      <c r="I112" s="18" t="n">
        <f aca="false">(Data!G101+Data!G102+Data!G103+Data!G104+Data!G105+Data!G106+Data!G107+Data!G108+Data!G109+Data!G110+Data!G111+Data!G112)/(Data!AP101+Data!AP102+Data!AP103+Data!AP104+Data!AP105+Data!AP106+Data!AP107+Data!AP108+Data!AP109+Data!AP110+Data!AP111+Data!AP112)</f>
        <v>0.01563763442264</v>
      </c>
      <c r="J112" s="18" t="n">
        <f aca="false">(Data!H101+Data!I101+Data!J101+Data!M101+Data!H102+Data!I102+Data!J102+Data!M102+Data!H103+Data!I103+Data!J103+Data!M103+Data!H104+Data!I104+Data!J104+Data!M104+Data!H105+Data!I105+Data!J105+Data!M105+Data!H106+Data!I106+Data!J106+Data!M106+Data!H107+Data!I107+Data!J107+Data!M107+Data!H108+Data!I108+Data!J108+Data!M108+Data!H109+Data!I109+Data!J109+Data!M109+Data!H110+Data!I110+Data!J110+Data!M110+Data!H111+Data!I111+Data!J111+Data!M111+Data!H112+Data!I112+Data!J112+Data!M112)/(Data!AP101+Data!AP102+Data!AP103+Data!AP104+Data!AP105+Data!AP106+Data!AP107+Data!AP108+Data!AP109+Data!AP110+Data!AP111+Data!AP112)</f>
        <v>0.0234563991953172</v>
      </c>
      <c r="K112" s="18" t="n">
        <f aca="false">(Data!F101+Data!F102+Data!F103+Data!F104+Data!F105+Data!F106+Data!F107+Data!F108+Data!F109+Data!F110+Data!F111+Data!F112)/(Data!AP101+Data!AP102+Data!AP103+Data!AP104+Data!AP105+Data!AP106+Data!AP107+Data!AP108+Data!AP109+Data!AP110+Data!AP111+Data!AP112)</f>
        <v>0.0495829624251378</v>
      </c>
      <c r="L112" s="18" t="n">
        <f aca="false">(Data!N101+Data!O101+Data!P101+Data!Q101+Data!R101+Data!S101+Data!N102+Data!O102+Data!P102+Data!Q102+Data!R102+Data!S102+Data!N103+Data!O103+Data!P103+Data!Q103+Data!R103+Data!S103+Data!N104+Data!O104+Data!P104+Data!Q104+Data!R104+Data!S104+Data!N105+Data!O105+Data!P105+Data!Q105+Data!R105+Data!S105+Data!N106+Data!O106+Data!P106+Data!Q106+Data!R106+Data!S106+Data!N107+Data!O107+Data!P107+Data!Q107+Data!R107+Data!S107+Data!N108+Data!O108+Data!P108+Data!Q108+Data!R108+Data!S108+Data!N109+Data!O109+Data!P109+Data!Q109+Data!R109+Data!S109+Data!N110+Data!O110+Data!P110+Data!Q110+Data!R110+Data!S110+Data!N111+Data!O111+Data!P111+Data!Q111+Data!R111+Data!S111+Data!N112+Data!O112+Data!P112+Data!Q112+Data!R112+Data!S112)/(Data!AP101+Data!AP102+Data!AP103+Data!AP104+Data!AP105+Data!AP106+Data!AP107+Data!AP108+Data!AP109+Data!AP110+Data!AP111+Data!AP112)</f>
        <v>0.0143857472831568</v>
      </c>
      <c r="M112" s="17" t="n">
        <f aca="false">(Data!T101+Data!U101+Data!V101+Data!W101+Data!X101+Data!Y101+Data!Z101+Data!AA101+Data!AB101+Data!AC101+Data!AD101+Data!AE101+Data!AF101+Data!AG101+Data!AH101+Data!AI101+Data!AJ101+Data!AK101+Data!AL101+Data!T102+Data!U102+Data!V102+Data!W102+Data!X102+Data!Y102+Data!Z102+Data!AA102+Data!AB102+Data!AC102+Data!AD102+Data!AE102+Data!AF102+Data!AG102+Data!AH102+Data!AI102+Data!AJ102+Data!AK102+Data!AL102+Data!T103+Data!U103+Data!V103+Data!W103+Data!X103+Data!Y103+Data!Z103+Data!AA103+Data!AB103+Data!AC103+Data!AD103+Data!AE103+Data!AF103+Data!AG103+Data!AH103+Data!AI103+Data!AJ103+Data!AK103+Data!AL103+Data!T104+Data!U104+Data!V104+Data!W104+Data!X104+Data!Y104+Data!Z104+Data!AA104+Data!AB104+Data!AC104+Data!AD104+Data!AE104+Data!AF104+Data!AG104+Data!AH104+Data!AI104+Data!AJ104+Data!AK104+Data!AL104+Data!T105+Data!U105+Data!V105+Data!W105+Data!X105+Data!Y105+Data!Z105+Data!AA105+Data!AB105+Data!AC105+Data!AD105+Data!AE105+Data!AF105+Data!AG105+Data!AH105+Data!AI105+Data!AJ105+Data!AK105+Data!AL105+Data!T106+Data!U106+Data!V106+Data!W106+Data!X106+Data!Y106+Data!Z106+Data!AA106+Data!AB106+Data!AC106+Data!AD106+Data!AE106+Data!AF106+Data!AG106+Data!AH106+Data!AI106+Data!AJ106+Data!AK106+Data!AL106+Data!T107+Data!U107+Data!V107+Data!W107+Data!X107+Data!Y107+Data!Z107+Data!AA107+Data!AB107+Data!AC107+Data!AD107+Data!AE107+Data!AF107+Data!AG107+Data!AH107+Data!AI107+Data!AJ107+Data!AK107+Data!AL107+Data!T108+Data!U108+Data!V108+Data!W108+Data!X108+Data!Y108+Data!Z108+Data!AA108+Data!AB108+Data!AC108+Data!AD108+Data!AE108+Data!AF108+Data!AG108+Data!AH108+Data!AI108+Data!AJ108+Data!AK108+Data!AL108+Data!T109+Data!U109+Data!V109+Data!W109+Data!X109+Data!Y109+Data!Z109+Data!AA109+Data!AB109+Data!AC109+Data!AD109+Data!AE109+Data!AF109+Data!AG109+Data!AH109+Data!AI109+Data!AJ109+Data!AK109+Data!AL109+Data!T110+Data!U110+Data!V110+Data!W110+Data!X110+Data!Y110+Data!Z110+Data!AA110+Data!AB110+Data!AC110+Data!AD110+Data!AE110+Data!AF110+Data!AG110+Data!AH110+Data!AI110+Data!AJ110+Data!AK110+Data!AL110+Data!T111+Data!U111+Data!V111+Data!W111+Data!X111+Data!Y111+Data!Z111+Data!AA111+Data!AB111+Data!AC111+Data!AD111+Data!AE111+Data!AF111+Data!AG111+Data!AH111+Data!AI111+Data!AJ111+Data!AK111+Data!AL111+Data!T112+Data!U112+Data!V112+Data!W112+Data!X112+Data!Y112+Data!Z112+Data!AA112+Data!AB112+Data!AC112+Data!AD112+Data!AE112+Data!AF112+Data!AG112+Data!AH112+Data!AI112+Data!AJ112+Data!AK112+Data!AL112)/(Data!AP101+Data!AP102+Data!AP103+Data!AP104+Data!AP105+Data!AP106+Data!AP107+Data!AP108+Data!AP109+Data!AP110+Data!AP111+Data!AP112)</f>
        <v>0.152514214883672</v>
      </c>
      <c r="N112" s="18" t="n">
        <f aca="false">(Data!T101+Data!U101+Data!V101+Data!W101+Data!T102+Data!U102+Data!V102+Data!W102+Data!T103+Data!U103+Data!V103+Data!W103+Data!T104+Data!U104+Data!V104+Data!W104+Data!T105+Data!U105+Data!V105+Data!W105+Data!T106+Data!U106+Data!V106+Data!W106+Data!T107+Data!U107+Data!V107+Data!W107+Data!T108+Data!U108+Data!V108+Data!W108+Data!T109+Data!U109+Data!V109+Data!W109+Data!T110+Data!U110+Data!V110+Data!W110+Data!T111+Data!U111+Data!V111+Data!W111+Data!T112+Data!U112+Data!V112+Data!W112)/(Data!AP101+Data!AP102+Data!AP103+Data!AP104+Data!AP105+Data!AP106+Data!AP107+Data!AP108+Data!AP109+Data!AP110+Data!AP111+Data!AP112)</f>
        <v>0.077301694915769</v>
      </c>
      <c r="O112" s="18" t="n">
        <f aca="false">(Data!T101+Data!T102+Data!T103+Data!T104+Data!T105+Data!T106+Data!T107+Data!T108+Data!T109+Data!T110+Data!T111+Data!T112)/(Data!AP101+Data!AP102+Data!AP103+Data!AP104+Data!AP105+Data!AP106+Data!AP107+Data!AP108+Data!AP109+Data!AP110+Data!AP111+Data!AP112)</f>
        <v>0.053751504352509</v>
      </c>
      <c r="P112" s="18" t="n">
        <f aca="false">(Data!U101+Data!U102+Data!U103+Data!U104+Data!U105+Data!U106+Data!U107+Data!U108+Data!U109+Data!U110+Data!U111+Data!U112)/(Data!AP101+Data!AP102+Data!AP103+Data!AP104+Data!AP105+Data!AP106+Data!AP107+Data!AP108+Data!AP109+Data!AP110+Data!AP111+Data!AP112)</f>
        <v>0.00923238239718275</v>
      </c>
      <c r="Q112" s="18" t="n">
        <f aca="false">(Data!V101+Data!V102+Data!V103+Data!V104+Data!V105+Data!V106+Data!V107+Data!V108+Data!V109+Data!V110+Data!V111+Data!V112)/(Data!AP101+Data!AP102+Data!AP103+Data!AP104+Data!AP105+Data!AP106+Data!AP107+Data!AP108+Data!AP109+Data!AP110+Data!AP111+Data!AP112)</f>
        <v>0.00504838660758337</v>
      </c>
      <c r="R112" s="18" t="n">
        <f aca="false">(Data!W101+Data!W102+Data!W103+Data!W104+Data!W105+Data!W106+Data!W107+Data!W108+Data!W109+Data!W110+Data!W111+Data!W112)/(Data!AP101+Data!AP102+Data!AP103+Data!AP104+Data!AP105+Data!AP106+Data!AP107+Data!AP108+Data!AP109+Data!AP110+Data!AP111+Data!AP112)</f>
        <v>0.00926942155849387</v>
      </c>
      <c r="S112" s="18" t="n">
        <f aca="false">(Data!X101+Data!X102+Data!X103+Data!X104+Data!X105+Data!X106+Data!X107+Data!X108+Data!X109+Data!X110+Data!X111+Data!X112)/(Data!AP101+Data!AP102+Data!AP103+Data!AP104+Data!AP105+Data!AP106+Data!AP107+Data!AP108+Data!AP109+Data!AP110+Data!AP111+Data!AP112)</f>
        <v>0.0159530606273161</v>
      </c>
      <c r="T112" s="18" t="n">
        <f aca="false">(Data!Y101+Data!Z101+Data!AA101+Data!Y102+Data!Z102+Data!AA102+Data!Y103+Data!Z103+Data!AA103+Data!Y104+Data!Z104+Data!AA104+Data!Y105+Data!Z105+Data!AA105+Data!Y106+Data!Z106+Data!AA106+Data!Y107+Data!Z107+Data!AA107+Data!Y108+Data!Z108+Data!AA108+Data!Y109+Data!Z109+Data!AA109+Data!Y110+Data!Z110+Data!AA110+Data!Y111+Data!Z111+Data!AA111+Data!Y112+Data!Z112+Data!AA112)/(Data!AP101+Data!AP102+Data!AP103+Data!AP104+Data!AP105+Data!AP106+Data!AP107+Data!AP108+Data!AP109+Data!AP110+Data!AP111+Data!AP112)</f>
        <v>0.0161067854795491</v>
      </c>
      <c r="U112" s="18" t="n">
        <f aca="false">(Data!Y101+Data!Y102+Data!Y103+Data!Y104+Data!Y105+Data!Y106+Data!Y107+Data!Y108+Data!Y109+Data!Y110+Data!Y111+Data!Y112)/(Data!AP101+Data!AP102+Data!AP103+Data!AP104+Data!AP105+Data!AP106+Data!AP107+Data!AP108+Data!AP109+Data!AP110+Data!AP111+Data!AP112)</f>
        <v>0.0119660535123694</v>
      </c>
      <c r="V112" s="18" t="n">
        <f aca="false">(Data!Z101+Data!Z102+Data!Z103+Data!Z104+Data!Z105+Data!Z106+Data!Z107+Data!Z108+Data!Z109+Data!Z110+Data!Z111+Data!Z112)/(Data!AP101+Data!AP102+Data!AP103+Data!AP104+Data!AP105+Data!AP106+Data!AP107+Data!AP108+Data!AP109+Data!AP110+Data!AP111+Data!AP112)</f>
        <v>0.00379255297469219</v>
      </c>
      <c r="W112" s="18" t="n">
        <f aca="false">(Data!AB101+Data!AB102+Data!AB103+Data!AB104+Data!AB105+Data!AB106+Data!AB107+Data!AB108+Data!AB109+Data!AB110+Data!AB111+Data!AB112)/(Data!AP101+Data!AP102+Data!AP103+Data!AP104+Data!AP105+Data!AP106+Data!AP107+Data!AP108+Data!AP109+Data!AP110+Data!AP111+Data!AP112)</f>
        <v>0.0221027344768215</v>
      </c>
      <c r="X112" s="18" t="n">
        <f aca="false">(Data!AC101+Data!AC102+Data!AC103+Data!AC104+Data!AC105+Data!AC106+Data!AC107+Data!AC108+Data!AC109+Data!AC110+Data!AC111+Data!AC112)/(Data!AP101+Data!AP102+Data!AP103+Data!AP104+Data!AP105+Data!AP106+Data!AP107+Data!AP108+Data!AP109+Data!AP110+Data!AP111+Data!AP112)</f>
        <v>0.00497795568388841</v>
      </c>
      <c r="Y112" s="18" t="n">
        <f aca="false">(Data!AD101+Data!AE101+Data!AF101+Data!AG101+Data!AH101+Data!AD102+Data!AE102+Data!AF102+Data!AG102+Data!AH102+Data!AD103+Data!AE103+Data!AF103+Data!AG103+Data!AH103+Data!AD104+Data!AE104+Data!AF104+Data!AG104+Data!AH104+Data!AD105+Data!AE105+Data!AF105+Data!AG105+Data!AH105+Data!AD106+Data!AE106+Data!AF106+Data!AG106+Data!AH106+Data!AD107+Data!AE107+Data!AF107+Data!AG107+Data!AH107+Data!AD108+Data!AE108+Data!AF108+Data!AG108+Data!AH108+Data!AD109+Data!AE109+Data!AF109+Data!AG109+Data!AH109+Data!AD110+Data!AE110+Data!AF110+Data!AG110+Data!AH110+Data!AD111+Data!AE111+Data!AF111+Data!AG111+Data!AH111+Data!AD112+Data!AE112+Data!AF112+Data!AG112+Data!AH112)/(Data!AP101+Data!AP102+Data!AP103+Data!AP104+Data!AP105+Data!AP106+Data!AP107+Data!AP108+Data!AP109+Data!AP110+Data!AP111+Data!AP112)</f>
        <v>0.00303905823303896</v>
      </c>
      <c r="Z112" s="18" t="n">
        <f aca="false">(Data!AI101+Data!AI102+Data!AI103+Data!AI104+Data!AI105+Data!AI106+Data!AI107+Data!AI108+Data!AI109+Data!AI110+Data!AI111+Data!AI112)/(Data!AP101+Data!AP102+Data!AP103+Data!AP104+Data!AP105+Data!AP106+Data!AP107+Data!AP108+Data!AP109+Data!AP110+Data!AP111+Data!AP112)</f>
        <v>0.00581968912387148</v>
      </c>
      <c r="AA112" s="18" t="n">
        <f aca="false">(Data!AJ101+Data!AJ102+Data!AJ103+Data!AJ104+Data!AJ105+Data!AJ106+Data!AJ107+Data!AJ108+Data!AJ109+Data!AJ110+Data!AJ111+Data!AJ112)/(Data!AP101+Data!AP102+Data!AP103+Data!AP104+Data!AP105+Data!AP106+Data!AP107+Data!AP108+Data!AP109+Data!AP110+Data!AP111+Data!AP112)</f>
        <v>0</v>
      </c>
      <c r="AB112" s="18" t="n">
        <f aca="false">(Data!AK101+Data!AK102+Data!AK103+Data!AK104+Data!AK105+Data!AK106+Data!AK107+Data!AK108+Data!AK109+Data!AK110+Data!AK111+Data!AK112)/(Data!AP101+Data!AP102+Data!AP103+Data!AP104+Data!AP105+Data!AP106+Data!AP107+Data!AP108+Data!AP109+Data!AP110+Data!AP111+Data!AP112)</f>
        <v>0.00225236594619716</v>
      </c>
      <c r="AC112" s="18" t="n">
        <f aca="false">(Data!AL101+Data!AL102+Data!AL103+Data!AL104+Data!AL105+Data!AL106+Data!AL107+Data!AL108+Data!AL109+Data!AL110+Data!AL111+Data!AL112)/(Data!AP101+Data!AP102+Data!AP103+Data!AP104+Data!AP105+Data!AP106+Data!AP107+Data!AP108+Data!AP109+Data!AP110+Data!AP111+Data!AP112)</f>
        <v>0.00496087039721997</v>
      </c>
      <c r="AD112" s="17" t="n">
        <f aca="false">(Data!AM101+Data!AM102+Data!AM103+Data!AM104+Data!AM105+Data!AM106+Data!AM107+Data!AM108+Data!AM109+Data!AM110+Data!AM111+Data!AM112)/(Data!AP101+Data!AP102+Data!AP103+Data!AP104+Data!AP105+Data!AP106+Data!AP107+Data!AP108+Data!AP109+Data!AP110+Data!AP111+Data!AP112)</f>
        <v>0.015777257164324</v>
      </c>
      <c r="AE112" s="18" t="n">
        <f aca="false">(Data!AN101+Data!AN102+Data!AN103+Data!AN104+Data!AN105+Data!AN106+Data!AN107+Data!AN108+Data!AN109+Data!AN110+Data!AN111+Data!AN112)/(Data!AP101+Data!AP102+Data!AP103+Data!AP104+Data!AP105+Data!AP106+Data!AP107+Data!AP108+Data!AP109+Data!AP110+Data!AP111+Data!AP112)</f>
        <v>0.0161470039763469</v>
      </c>
      <c r="AF112" s="17" t="n">
        <f aca="false">(Data!AO101+Data!AO102+Data!AO103+Data!AO104+Data!AO105+Data!AO106+Data!AO107+Data!AO108+Data!AO109+Data!AO110+Data!AO111+Data!AO112)/(Data!AP101+Data!AP102+Data!AP103+Data!AP104+Data!AP105+Data!AP106+Data!AP107+Data!AP108+Data!AP109+Data!AP110+Data!AP111+Data!AP112)</f>
        <v>-0.000369750696366794</v>
      </c>
    </row>
    <row r="113" customFormat="false" ht="15" hidden="false" customHeight="false" outlineLevel="0" collapsed="false">
      <c r="B113" s="14" t="str">
        <f aca="false">Data!B113</f>
        <v>2024-11</v>
      </c>
      <c r="C113" s="17" t="n">
        <f aca="false">(Data!D102+Data!E102+Data!F102+Data!G102+Data!H102+Data!I102+Data!J102+Data!K102+Data!L102+Data!M102+Data!N102+Data!O102+Data!P102+Data!Q102+Data!R102+Data!S102+Data!D103+Data!E103+Data!F103+Data!G103+Data!H103+Data!I103+Data!J103+Data!K103+Data!L103+Data!M103+Data!N103+Data!O103+Data!P103+Data!Q103+Data!R103+Data!S103+Data!D104+Data!E104+Data!F104+Data!G104+Data!H104+Data!I104+Data!J104+Data!K104+Data!L104+Data!M104+Data!N104+Data!O104+Data!P104+Data!Q104+Data!R104+Data!S104+Data!D105+Data!E105+Data!F105+Data!G105+Data!H105+Data!I105+Data!J105+Data!K105+Data!L105+Data!M105+Data!N105+Data!O105+Data!P105+Data!Q105+Data!R105+Data!S105+Data!D106+Data!E106+Data!F106+Data!G106+Data!H106+Data!I106+Data!J106+Data!K106+Data!L106+Data!M106+Data!N106+Data!O106+Data!P106+Data!Q106+Data!R106+Data!S106+Data!D107+Data!E107+Data!F107+Data!G107+Data!H107+Data!I107+Data!J107+Data!K107+Data!L107+Data!M107+Data!N107+Data!O107+Data!P107+Data!Q107+Data!R107+Data!S107+Data!D108+Data!E108+Data!F108+Data!G108+Data!H108+Data!I108+Data!J108+Data!K108+Data!L108+Data!M108+Data!N108+Data!O108+Data!P108+Data!Q108+Data!R108+Data!S108+Data!D109+Data!E109+Data!F109+Data!G109+Data!H109+Data!I109+Data!J109+Data!K109+Data!L109+Data!M109+Data!N109+Data!O109+Data!P109+Data!Q109+Data!R109+Data!S109+Data!D110+Data!E110+Data!F110+Data!G110+Data!H110+Data!I110+Data!J110+Data!K110+Data!L110+Data!M110+Data!N110+Data!O110+Data!P110+Data!Q110+Data!R110+Data!S110+Data!D111+Data!E111+Data!F111+Data!G111+Data!H111+Data!I111+Data!J111+Data!K111+Data!L111+Data!M111+Data!N111+Data!O111+Data!P111+Data!Q111+Data!R111+Data!S111+Data!D112+Data!E112+Data!F112+Data!G112+Data!H112+Data!I112+Data!J112+Data!K112+Data!L112+Data!M112+Data!N112+Data!O112+Data!P112+Data!Q112+Data!R112+Data!S112+Data!D113+Data!E113+Data!F113+Data!G113+Data!H113+Data!I113+Data!J113+Data!K113+Data!L113+Data!M113+Data!N113+Data!O113+Data!P113+Data!Q113+Data!R113+Data!S113)/(Data!AP102+Data!AP103+Data!AP104+Data!AP105+Data!AP106+Data!AP107+Data!AP108+Data!AP109+Data!AP110+Data!AP111+Data!AP112+Data!AP113)</f>
        <v>0.167635671353175</v>
      </c>
      <c r="D113" s="18" t="n">
        <f aca="false">(Data!D102+Data!E102+Data!G102+Data!H102+Data!I102+Data!J102+Data!K102+Data!L102+Data!M102+Data!D103+Data!E103+Data!G103+Data!H103+Data!I103+Data!J103+Data!K103+Data!L103+Data!M103+Data!D104+Data!E104+Data!G104+Data!H104+Data!I104+Data!J104+Data!K104+Data!L104+Data!M104+Data!D105+Data!E105+Data!G105+Data!H105+Data!I105+Data!J105+Data!K105+Data!L105+Data!M105+Data!D106+Data!E106+Data!G106+Data!H106+Data!I106+Data!J106+Data!K106+Data!L106+Data!M106+Data!D107+Data!E107+Data!G107+Data!H107+Data!I107+Data!J107+Data!K107+Data!L107+Data!M107+Data!D108+Data!E108+Data!G108+Data!H108+Data!I108+Data!J108+Data!K108+Data!L108+Data!M108+Data!D109+Data!E109+Data!G109+Data!H109+Data!I109+Data!J109+Data!K109+Data!L109+Data!M109+Data!D110+Data!E110+Data!G110+Data!H110+Data!I110+Data!J110+Data!K110+Data!L110+Data!M110+Data!D111+Data!E111+Data!G111+Data!H111+Data!I111+Data!J111+Data!K111+Data!L111+Data!M111+Data!D112+Data!E112+Data!G112+Data!H112+Data!I112+Data!J112+Data!K112+Data!L112+Data!M112+Data!D113+Data!E113+Data!G113+Data!H113+Data!I113+Data!J113+Data!K113+Data!L113+Data!M113)/(Data!AP102+Data!AP103+Data!AP104+Data!AP105+Data!AP106+Data!AP107+Data!AP108+Data!AP109+Data!AP110+Data!AP111+Data!AP112+Data!AP113)</f>
        <v>0.104376940663099</v>
      </c>
      <c r="E113" s="18" t="n">
        <f aca="false">(Data!D102+Data!D103+Data!D104+Data!D105+Data!D106+Data!D107+Data!D108+Data!D109+Data!D110+Data!D111+Data!D112+Data!D113)/(Data!AP102+Data!AP103+Data!AP104+Data!AP105+Data!AP106+Data!AP107+Data!AP108+Data!AP109+Data!AP110+Data!AP111+Data!AP112+Data!AP113)</f>
        <v>0.0335388578508283</v>
      </c>
      <c r="F113" s="18" t="n">
        <f aca="false">(Data!E102+Data!E103+Data!E104+Data!E105+Data!E106+Data!E107+Data!E108+Data!E109+Data!E110+Data!E111+Data!E112+Data!E113)/(Data!AP102+Data!AP103+Data!AP104+Data!AP105+Data!AP106+Data!AP107+Data!AP108+Data!AP109+Data!AP110+Data!AP111+Data!AP112+Data!AP113)</f>
        <v>0.0161559870840667</v>
      </c>
      <c r="G113" s="18" t="n">
        <f aca="false">(Data!K102+Data!K103+Data!K104+Data!K105+Data!K106+Data!K107+Data!K108+Data!K109+Data!K110+Data!K111+Data!K112+Data!K113)/(Data!AP102+Data!AP103+Data!AP104+Data!AP105+Data!AP106+Data!AP107+Data!AP108+Data!AP109+Data!AP110+Data!AP111+Data!AP112+Data!AP113)</f>
        <v>0.0103928153767124</v>
      </c>
      <c r="H113" s="18" t="n">
        <f aca="false">(Data!L102+Data!L103+Data!L104+Data!L105+Data!L106+Data!L107+Data!L108+Data!L109+Data!L110+Data!L111+Data!L112+Data!L113)/(Data!AP102+Data!AP103+Data!AP104+Data!AP105+Data!AP106+Data!AP107+Data!AP108+Data!AP109+Data!AP110+Data!AP111+Data!AP112+Data!AP113)</f>
        <v>0.00535053260771235</v>
      </c>
      <c r="I113" s="18" t="n">
        <f aca="false">(Data!G102+Data!G103+Data!G104+Data!G105+Data!G106+Data!G107+Data!G108+Data!G109+Data!G110+Data!G111+Data!G112+Data!G113)/(Data!AP102+Data!AP103+Data!AP104+Data!AP105+Data!AP106+Data!AP107+Data!AP108+Data!AP109+Data!AP110+Data!AP111+Data!AP112+Data!AP113)</f>
        <v>0.0157179361870429</v>
      </c>
      <c r="J113" s="18" t="n">
        <f aca="false">(Data!H102+Data!I102+Data!J102+Data!M102+Data!H103+Data!I103+Data!J103+Data!M103+Data!H104+Data!I104+Data!J104+Data!M104+Data!H105+Data!I105+Data!J105+Data!M105+Data!H106+Data!I106+Data!J106+Data!M106+Data!H107+Data!I107+Data!J107+Data!M107+Data!H108+Data!I108+Data!J108+Data!M108+Data!H109+Data!I109+Data!J109+Data!M109+Data!H110+Data!I110+Data!J110+Data!M110+Data!H111+Data!I111+Data!J111+Data!M111+Data!H112+Data!I112+Data!J112+Data!M112+Data!H113+Data!I113+Data!J113+Data!M113)/(Data!AP102+Data!AP103+Data!AP104+Data!AP105+Data!AP106+Data!AP107+Data!AP108+Data!AP109+Data!AP110+Data!AP111+Data!AP112+Data!AP113)</f>
        <v>0.0232208115567361</v>
      </c>
      <c r="K113" s="18" t="n">
        <f aca="false">(Data!F102+Data!F103+Data!F104+Data!F105+Data!F106+Data!F107+Data!F108+Data!F109+Data!F110+Data!F111+Data!F112+Data!F113)/(Data!AP102+Data!AP103+Data!AP104+Data!AP105+Data!AP106+Data!AP107+Data!AP108+Data!AP109+Data!AP110+Data!AP111+Data!AP112+Data!AP113)</f>
        <v>0.0498965332694822</v>
      </c>
      <c r="L113" s="18" t="n">
        <f aca="false">(Data!N102+Data!O102+Data!P102+Data!Q102+Data!R102+Data!S102+Data!N103+Data!O103+Data!P103+Data!Q103+Data!R103+Data!S103+Data!N104+Data!O104+Data!P104+Data!Q104+Data!R104+Data!S104+Data!N105+Data!O105+Data!P105+Data!Q105+Data!R105+Data!S105+Data!N106+Data!O106+Data!P106+Data!Q106+Data!R106+Data!S106+Data!N107+Data!O107+Data!P107+Data!Q107+Data!R107+Data!S107+Data!N108+Data!O108+Data!P108+Data!Q108+Data!R108+Data!S108+Data!N109+Data!O109+Data!P109+Data!Q109+Data!R109+Data!S109+Data!N110+Data!O110+Data!P110+Data!Q110+Data!R110+Data!S110+Data!N111+Data!O111+Data!P111+Data!Q111+Data!R111+Data!S111+Data!N112+Data!O112+Data!P112+Data!Q112+Data!R112+Data!S112+Data!N113+Data!O113+Data!P113+Data!Q113+Data!R113+Data!S113)/(Data!AP102+Data!AP103+Data!AP104+Data!AP105+Data!AP106+Data!AP107+Data!AP108+Data!AP109+Data!AP110+Data!AP111+Data!AP112+Data!AP113)</f>
        <v>0.0133621974205943</v>
      </c>
      <c r="M113" s="17" t="n">
        <f aca="false">(Data!T102+Data!U102+Data!V102+Data!W102+Data!X102+Data!Y102+Data!Z102+Data!AA102+Data!AB102+Data!AC102+Data!AD102+Data!AE102+Data!AF102+Data!AG102+Data!AH102+Data!AI102+Data!AJ102+Data!AK102+Data!AL102+Data!T103+Data!U103+Data!V103+Data!W103+Data!X103+Data!Y103+Data!Z103+Data!AA103+Data!AB103+Data!AC103+Data!AD103+Data!AE103+Data!AF103+Data!AG103+Data!AH103+Data!AI103+Data!AJ103+Data!AK103+Data!AL103+Data!T104+Data!U104+Data!V104+Data!W104+Data!X104+Data!Y104+Data!Z104+Data!AA104+Data!AB104+Data!AC104+Data!AD104+Data!AE104+Data!AF104+Data!AG104+Data!AH104+Data!AI104+Data!AJ104+Data!AK104+Data!AL104+Data!T105+Data!U105+Data!V105+Data!W105+Data!X105+Data!Y105+Data!Z105+Data!AA105+Data!AB105+Data!AC105+Data!AD105+Data!AE105+Data!AF105+Data!AG105+Data!AH105+Data!AI105+Data!AJ105+Data!AK105+Data!AL105+Data!T106+Data!U106+Data!V106+Data!W106+Data!X106+Data!Y106+Data!Z106+Data!AA106+Data!AB106+Data!AC106+Data!AD106+Data!AE106+Data!AF106+Data!AG106+Data!AH106+Data!AI106+Data!AJ106+Data!AK106+Data!AL106+Data!T107+Data!U107+Data!V107+Data!W107+Data!X107+Data!Y107+Data!Z107+Data!AA107+Data!AB107+Data!AC107+Data!AD107+Data!AE107+Data!AF107+Data!AG107+Data!AH107+Data!AI107+Data!AJ107+Data!AK107+Data!AL107+Data!T108+Data!U108+Data!V108+Data!W108+Data!X108+Data!Y108+Data!Z108+Data!AA108+Data!AB108+Data!AC108+Data!AD108+Data!AE108+Data!AF108+Data!AG108+Data!AH108+Data!AI108+Data!AJ108+Data!AK108+Data!AL108+Data!T109+Data!U109+Data!V109+Data!W109+Data!X109+Data!Y109+Data!Z109+Data!AA109+Data!AB109+Data!AC109+Data!AD109+Data!AE109+Data!AF109+Data!AG109+Data!AH109+Data!AI109+Data!AJ109+Data!AK109+Data!AL109+Data!T110+Data!U110+Data!V110+Data!W110+Data!X110+Data!Y110+Data!Z110+Data!AA110+Data!AB110+Data!AC110+Data!AD110+Data!AE110+Data!AF110+Data!AG110+Data!AH110+Data!AI110+Data!AJ110+Data!AK110+Data!AL110+Data!T111+Data!U111+Data!V111+Data!W111+Data!X111+Data!Y111+Data!Z111+Data!AA111+Data!AB111+Data!AC111+Data!AD111+Data!AE111+Data!AF111+Data!AG111+Data!AH111+Data!AI111+Data!AJ111+Data!AK111+Data!AL111+Data!T112+Data!U112+Data!V112+Data!W112+Data!X112+Data!Y112+Data!Z112+Data!AA112+Data!AB112+Data!AC112+Data!AD112+Data!AE112+Data!AF112+Data!AG112+Data!AH112+Data!AI112+Data!AJ112+Data!AK112+Data!AL112+Data!T113+Data!U113+Data!V113+Data!W113+Data!X113+Data!Y113+Data!Z113+Data!AA113+Data!AB113+Data!AC113+Data!AD113+Data!AE113+Data!AF113+Data!AG113+Data!AH113+Data!AI113+Data!AJ113+Data!AK113+Data!AL113)/(Data!AP102+Data!AP103+Data!AP104+Data!AP105+Data!AP106+Data!AP107+Data!AP108+Data!AP109+Data!AP110+Data!AP111+Data!AP112+Data!AP113)</f>
        <v>0.150004495223251</v>
      </c>
      <c r="N113" s="18" t="n">
        <f aca="false">(Data!T102+Data!U102+Data!V102+Data!W102+Data!T103+Data!U103+Data!V103+Data!W103+Data!T104+Data!U104+Data!V104+Data!W104+Data!T105+Data!U105+Data!V105+Data!W105+Data!T106+Data!U106+Data!V106+Data!W106+Data!T107+Data!U107+Data!V107+Data!W107+Data!T108+Data!U108+Data!V108+Data!W108+Data!T109+Data!U109+Data!V109+Data!W109+Data!T110+Data!U110+Data!V110+Data!W110+Data!T111+Data!U111+Data!V111+Data!W111+Data!T112+Data!U112+Data!V112+Data!W112+Data!T113+Data!U113+Data!V113+Data!W113)/(Data!AP102+Data!AP103+Data!AP104+Data!AP105+Data!AP106+Data!AP107+Data!AP108+Data!AP109+Data!AP110+Data!AP111+Data!AP112+Data!AP113)</f>
        <v>0.0778452711580493</v>
      </c>
      <c r="O113" s="18" t="n">
        <f aca="false">(Data!T102+Data!T103+Data!T104+Data!T105+Data!T106+Data!T107+Data!T108+Data!T109+Data!T110+Data!T111+Data!T112+Data!T113)/(Data!AP102+Data!AP103+Data!AP104+Data!AP105+Data!AP106+Data!AP107+Data!AP108+Data!AP109+Data!AP110+Data!AP111+Data!AP112+Data!AP113)</f>
        <v>0.0539360454265202</v>
      </c>
      <c r="P113" s="18" t="n">
        <f aca="false">(Data!U102+Data!U103+Data!U104+Data!U105+Data!U106+Data!U107+Data!U108+Data!U109+Data!U110+Data!U111+Data!U112+Data!U113)/(Data!AP102+Data!AP103+Data!AP104+Data!AP105+Data!AP106+Data!AP107+Data!AP108+Data!AP109+Data!AP110+Data!AP111+Data!AP112+Data!AP113)</f>
        <v>0.00940099308822422</v>
      </c>
      <c r="Q113" s="18" t="n">
        <f aca="false">(Data!V102+Data!V103+Data!V104+Data!V105+Data!V106+Data!V107+Data!V108+Data!V109+Data!V110+Data!V111+Data!V112+Data!V113)/(Data!AP102+Data!AP103+Data!AP104+Data!AP105+Data!AP106+Data!AP107+Data!AP108+Data!AP109+Data!AP110+Data!AP111+Data!AP112+Data!AP113)</f>
        <v>0.00504217206988983</v>
      </c>
      <c r="R113" s="18" t="n">
        <f aca="false">(Data!W102+Data!W103+Data!W104+Data!W105+Data!W106+Data!W107+Data!W108+Data!W109+Data!W110+Data!W111+Data!W112+Data!W113)/(Data!AP102+Data!AP103+Data!AP104+Data!AP105+Data!AP106+Data!AP107+Data!AP108+Data!AP109+Data!AP110+Data!AP111+Data!AP112+Data!AP113)</f>
        <v>0.00946606057341506</v>
      </c>
      <c r="S113" s="18" t="n">
        <f aca="false">(Data!X102+Data!X103+Data!X104+Data!X105+Data!X106+Data!X107+Data!X108+Data!X109+Data!X110+Data!X111+Data!X112+Data!X113)/(Data!AP102+Data!AP103+Data!AP104+Data!AP105+Data!AP106+Data!AP107+Data!AP108+Data!AP109+Data!AP110+Data!AP111+Data!AP112+Data!AP113)</f>
        <v>0.0151242006020526</v>
      </c>
      <c r="T113" s="18" t="n">
        <f aca="false">(Data!Y102+Data!Z102+Data!AA102+Data!Y103+Data!Z103+Data!AA103+Data!Y104+Data!Z104+Data!AA104+Data!Y105+Data!Z105+Data!AA105+Data!Y106+Data!Z106+Data!AA106+Data!Y107+Data!Z107+Data!AA107+Data!Y108+Data!Z108+Data!AA108+Data!Y109+Data!Z109+Data!AA109+Data!Y110+Data!Z110+Data!AA110+Data!Y111+Data!Z111+Data!AA111+Data!Y112+Data!Z112+Data!AA112+Data!Y113+Data!Z113+Data!AA113)/(Data!AP102+Data!AP103+Data!AP104+Data!AP105+Data!AP106+Data!AP107+Data!AP108+Data!AP109+Data!AP110+Data!AP111+Data!AP112+Data!AP113)</f>
        <v>0.0155782738342249</v>
      </c>
      <c r="U113" s="18" t="n">
        <f aca="false">(Data!Y102+Data!Y103+Data!Y104+Data!Y105+Data!Y106+Data!Y107+Data!Y108+Data!Y109+Data!Y110+Data!Y111+Data!Y112+Data!Y113)/(Data!AP102+Data!AP103+Data!AP104+Data!AP105+Data!AP106+Data!AP107+Data!AP108+Data!AP109+Data!AP110+Data!AP111+Data!AP112+Data!AP113)</f>
        <v>0.0115601665297271</v>
      </c>
      <c r="V113" s="18" t="n">
        <f aca="false">(Data!Z102+Data!Z103+Data!Z104+Data!Z105+Data!Z106+Data!Z107+Data!Z108+Data!Z109+Data!Z110+Data!Z111+Data!Z112+Data!Z113)/(Data!AP102+Data!AP103+Data!AP104+Data!AP105+Data!AP106+Data!AP107+Data!AP108+Data!AP109+Data!AP110+Data!AP111+Data!AP112+Data!AP113)</f>
        <v>0.00371006979030842</v>
      </c>
      <c r="W113" s="18" t="n">
        <f aca="false">(Data!AB102+Data!AB103+Data!AB104+Data!AB105+Data!AB106+Data!AB107+Data!AB108+Data!AB109+Data!AB110+Data!AB111+Data!AB112+Data!AB113)/(Data!AP102+Data!AP103+Data!AP104+Data!AP105+Data!AP106+Data!AP107+Data!AP108+Data!AP109+Data!AP110+Data!AP111+Data!AP112+Data!AP113)</f>
        <v>0.0217257130036958</v>
      </c>
      <c r="X113" s="18" t="n">
        <f aca="false">(Data!AC102+Data!AC103+Data!AC104+Data!AC105+Data!AC106+Data!AC107+Data!AC108+Data!AC109+Data!AC110+Data!AC111+Data!AC112+Data!AC113)/(Data!AP102+Data!AP103+Data!AP104+Data!AP105+Data!AP106+Data!AP107+Data!AP108+Data!AP109+Data!AP110+Data!AP111+Data!AP112+Data!AP113)</f>
        <v>0.00487914131638016</v>
      </c>
      <c r="Y113" s="18" t="n">
        <f aca="false">(Data!AD102+Data!AE102+Data!AF102+Data!AG102+Data!AH102+Data!AD103+Data!AE103+Data!AF103+Data!AG103+Data!AH103+Data!AD104+Data!AE104+Data!AF104+Data!AG104+Data!AH104+Data!AD105+Data!AE105+Data!AF105+Data!AG105+Data!AH105+Data!AD106+Data!AE106+Data!AF106+Data!AG106+Data!AH106+Data!AD107+Data!AE107+Data!AF107+Data!AG107+Data!AH107+Data!AD108+Data!AE108+Data!AF108+Data!AG108+Data!AH108+Data!AD109+Data!AE109+Data!AF109+Data!AG109+Data!AH109+Data!AD110+Data!AE110+Data!AF110+Data!AG110+Data!AH110+Data!AD111+Data!AE111+Data!AF111+Data!AG111+Data!AH111+Data!AD112+Data!AE112+Data!AF112+Data!AG112+Data!AH112+Data!AD113+Data!AE113+Data!AF113+Data!AG113+Data!AH113)/(Data!AP102+Data!AP103+Data!AP104+Data!AP105+Data!AP106+Data!AP107+Data!AP108+Data!AP109+Data!AP110+Data!AP111+Data!AP112+Data!AP113)</f>
        <v>0.00278728563706262</v>
      </c>
      <c r="Z113" s="18" t="n">
        <f aca="false">(Data!AI102+Data!AI103+Data!AI104+Data!AI105+Data!AI106+Data!AI107+Data!AI108+Data!AI109+Data!AI110+Data!AI111+Data!AI112+Data!AI113)/(Data!AP102+Data!AP103+Data!AP104+Data!AP105+Data!AP106+Data!AP107+Data!AP108+Data!AP109+Data!AP110+Data!AP111+Data!AP112+Data!AP113)</f>
        <v>0.00570883296215645</v>
      </c>
      <c r="AA113" s="18" t="n">
        <f aca="false">(Data!AJ102+Data!AJ103+Data!AJ104+Data!AJ105+Data!AJ106+Data!AJ107+Data!AJ108+Data!AJ109+Data!AJ110+Data!AJ111+Data!AJ112+Data!AJ113)/(Data!AP102+Data!AP103+Data!AP104+Data!AP105+Data!AP106+Data!AP107+Data!AP108+Data!AP109+Data!AP110+Data!AP111+Data!AP112+Data!AP113)</f>
        <v>0</v>
      </c>
      <c r="AB113" s="18" t="n">
        <f aca="false">(Data!AK102+Data!AK103+Data!AK104+Data!AK105+Data!AK106+Data!AK107+Data!AK108+Data!AK109+Data!AK110+Data!AK111+Data!AK112+Data!AK113)/(Data!AP102+Data!AP103+Data!AP104+Data!AP105+Data!AP106+Data!AP107+Data!AP108+Data!AP109+Data!AP110+Data!AP111+Data!AP112+Data!AP113)</f>
        <v>0.00196462973637307</v>
      </c>
      <c r="AC113" s="18" t="n">
        <f aca="false">(Data!AL102+Data!AL103+Data!AL104+Data!AL105+Data!AL106+Data!AL107+Data!AL108+Data!AL109+Data!AL110+Data!AL111+Data!AL112+Data!AL113)/(Data!AP102+Data!AP103+Data!AP104+Data!AP105+Data!AP106+Data!AP107+Data!AP108+Data!AP109+Data!AP110+Data!AP111+Data!AP112+Data!AP113)</f>
        <v>0.00439114697325573</v>
      </c>
      <c r="AD113" s="17" t="n">
        <f aca="false">(Data!AM102+Data!AM103+Data!AM104+Data!AM105+Data!AM106+Data!AM107+Data!AM108+Data!AM109+Data!AM110+Data!AM111+Data!AM112+Data!AM113)/(Data!AP102+Data!AP103+Data!AP104+Data!AP105+Data!AP106+Data!AP107+Data!AP108+Data!AP109+Data!AP110+Data!AP111+Data!AP112+Data!AP113)</f>
        <v>0.0176311761299245</v>
      </c>
      <c r="AE113" s="18" t="n">
        <f aca="false">(Data!AN102+Data!AN103+Data!AN104+Data!AN105+Data!AN106+Data!AN107+Data!AN108+Data!AN109+Data!AN110+Data!AN111+Data!AN112+Data!AN113)/(Data!AP102+Data!AP103+Data!AP104+Data!AP105+Data!AP106+Data!AP107+Data!AP108+Data!AP109+Data!AP110+Data!AP111+Data!AP112+Data!AP113)</f>
        <v>0.0159584581324402</v>
      </c>
      <c r="AF113" s="17" t="n">
        <f aca="false">(Data!AO102+Data!AO103+Data!AO104+Data!AO105+Data!AO106+Data!AO107+Data!AO108+Data!AO109+Data!AO110+Data!AO111+Data!AO112+Data!AO113)/(Data!AP102+Data!AP103+Data!AP104+Data!AP105+Data!AP106+Data!AP107+Data!AP108+Data!AP109+Data!AP110+Data!AP111+Data!AP112+Data!AP113)</f>
        <v>0.00167271436800528</v>
      </c>
    </row>
    <row r="114" customFormat="false" ht="15" hidden="false" customHeight="false" outlineLevel="0" collapsed="false">
      <c r="B114" s="14" t="str">
        <f aca="false">Data!B114</f>
        <v>2024-12</v>
      </c>
      <c r="C114" s="17" t="n">
        <f aca="false">(Data!D103+Data!E103+Data!F103+Data!G103+Data!H103+Data!I103+Data!J103+Data!K103+Data!L103+Data!M103+Data!N103+Data!O103+Data!P103+Data!Q103+Data!R103+Data!S103+Data!D104+Data!E104+Data!F104+Data!G104+Data!H104+Data!I104+Data!J104+Data!K104+Data!L104+Data!M104+Data!N104+Data!O104+Data!P104+Data!Q104+Data!R104+Data!S104+Data!D105+Data!E105+Data!F105+Data!G105+Data!H105+Data!I105+Data!J105+Data!K105+Data!L105+Data!M105+Data!N105+Data!O105+Data!P105+Data!Q105+Data!R105+Data!S105+Data!D106+Data!E106+Data!F106+Data!G106+Data!H106+Data!I106+Data!J106+Data!K106+Data!L106+Data!M106+Data!N106+Data!O106+Data!P106+Data!Q106+Data!R106+Data!S106+Data!D107+Data!E107+Data!F107+Data!G107+Data!H107+Data!I107+Data!J107+Data!K107+Data!L107+Data!M107+Data!N107+Data!O107+Data!P107+Data!Q107+Data!R107+Data!S107+Data!D108+Data!E108+Data!F108+Data!G108+Data!H108+Data!I108+Data!J108+Data!K108+Data!L108+Data!M108+Data!N108+Data!O108+Data!P108+Data!Q108+Data!R108+Data!S108+Data!D109+Data!E109+Data!F109+Data!G109+Data!H109+Data!I109+Data!J109+Data!K109+Data!L109+Data!M109+Data!N109+Data!O109+Data!P109+Data!Q109+Data!R109+Data!S109+Data!D110+Data!E110+Data!F110+Data!G110+Data!H110+Data!I110+Data!J110+Data!K110+Data!L110+Data!M110+Data!N110+Data!O110+Data!P110+Data!Q110+Data!R110+Data!S110+Data!D111+Data!E111+Data!F111+Data!G111+Data!H111+Data!I111+Data!J111+Data!K111+Data!L111+Data!M111+Data!N111+Data!O111+Data!P111+Data!Q111+Data!R111+Data!S111+Data!D112+Data!E112+Data!F112+Data!G112+Data!H112+Data!I112+Data!J112+Data!K112+Data!L112+Data!M112+Data!N112+Data!O112+Data!P112+Data!Q112+Data!R112+Data!S112+Data!D113+Data!E113+Data!F113+Data!G113+Data!H113+Data!I113+Data!J113+Data!K113+Data!L113+Data!M113+Data!N113+Data!O113+Data!P113+Data!Q113+Data!R113+Data!S113+Data!D114+Data!E114+Data!F114+Data!G114+Data!H114+Data!I114+Data!J114+Data!K114+Data!L114+Data!M114+Data!N114+Data!O114+Data!P114+Data!Q114+Data!R114+Data!S114)/(Data!AP103+Data!AP104+Data!AP105+Data!AP106+Data!AP107+Data!AP108+Data!AP109+Data!AP110+Data!AP111+Data!AP112+Data!AP113+Data!AP114)</f>
        <v>0.167731622138577</v>
      </c>
      <c r="D114" s="18" t="n">
        <f aca="false">(Data!D103+Data!E103+Data!G103+Data!H103+Data!I103+Data!J103+Data!K103+Data!L103+Data!M103+Data!D104+Data!E104+Data!G104+Data!H104+Data!I104+Data!J104+Data!K104+Data!L104+Data!M104+Data!D105+Data!E105+Data!G105+Data!H105+Data!I105+Data!J105+Data!K105+Data!L105+Data!M105+Data!D106+Data!E106+Data!G106+Data!H106+Data!I106+Data!J106+Data!K106+Data!L106+Data!M106+Data!D107+Data!E107+Data!G107+Data!H107+Data!I107+Data!J107+Data!K107+Data!L107+Data!M107+Data!D108+Data!E108+Data!G108+Data!H108+Data!I108+Data!J108+Data!K108+Data!L108+Data!M108+Data!D109+Data!E109+Data!G109+Data!H109+Data!I109+Data!J109+Data!K109+Data!L109+Data!M109+Data!D110+Data!E110+Data!G110+Data!H110+Data!I110+Data!J110+Data!K110+Data!L110+Data!M110+Data!D111+Data!E111+Data!G111+Data!H111+Data!I111+Data!J111+Data!K111+Data!L111+Data!M111+Data!D112+Data!E112+Data!G112+Data!H112+Data!I112+Data!J112+Data!K112+Data!L112+Data!M112+Data!D113+Data!E113+Data!G113+Data!H113+Data!I113+Data!J113+Data!K113+Data!L113+Data!M113+Data!D114+Data!E114+Data!G114+Data!H114+Data!I114+Data!J114+Data!K114+Data!L114+Data!M114)/(Data!AP103+Data!AP104+Data!AP105+Data!AP106+Data!AP107+Data!AP108+Data!AP109+Data!AP110+Data!AP111+Data!AP112+Data!AP113+Data!AP114)</f>
        <v>0.103752084452259</v>
      </c>
      <c r="E114" s="18" t="n">
        <f aca="false">(Data!D103+Data!D104+Data!D105+Data!D106+Data!D107+Data!D108+Data!D109+Data!D110+Data!D111+Data!D112+Data!D113+Data!D114)/(Data!AP103+Data!AP104+Data!AP105+Data!AP106+Data!AP107+Data!AP108+Data!AP109+Data!AP110+Data!AP111+Data!AP112+Data!AP113+Data!AP114)</f>
        <v>0.0335238341521707</v>
      </c>
      <c r="F114" s="18" t="n">
        <f aca="false">(Data!E103+Data!E104+Data!E105+Data!E106+Data!E107+Data!E108+Data!E109+Data!E110+Data!E111+Data!E112+Data!E113+Data!E114)/(Data!AP103+Data!AP104+Data!AP105+Data!AP106+Data!AP107+Data!AP108+Data!AP109+Data!AP110+Data!AP111+Data!AP112+Data!AP113+Data!AP114)</f>
        <v>0.016292499226266</v>
      </c>
      <c r="G114" s="18" t="n">
        <f aca="false">(Data!K103+Data!K104+Data!K105+Data!K106+Data!K107+Data!K108+Data!K109+Data!K110+Data!K111+Data!K112+Data!K113+Data!K114)/(Data!AP103+Data!AP104+Data!AP105+Data!AP106+Data!AP107+Data!AP108+Data!AP109+Data!AP110+Data!AP111+Data!AP112+Data!AP113+Data!AP114)</f>
        <v>0.0100999524085153</v>
      </c>
      <c r="H114" s="18" t="n">
        <f aca="false">(Data!L103+Data!L104+Data!L105+Data!L106+Data!L107+Data!L108+Data!L109+Data!L110+Data!L111+Data!L112+Data!L113+Data!L114)/(Data!AP103+Data!AP104+Data!AP105+Data!AP106+Data!AP107+Data!AP108+Data!AP109+Data!AP110+Data!AP111+Data!AP112+Data!AP113+Data!AP114)</f>
        <v>0.00538691622120676</v>
      </c>
      <c r="I114" s="18" t="n">
        <f aca="false">(Data!G103+Data!G104+Data!G105+Data!G106+Data!G107+Data!G108+Data!G109+Data!G110+Data!G111+Data!G112+Data!G113+Data!G114)/(Data!AP103+Data!AP104+Data!AP105+Data!AP106+Data!AP107+Data!AP108+Data!AP109+Data!AP110+Data!AP111+Data!AP112+Data!AP113+Data!AP114)</f>
        <v>0.0158752275071551</v>
      </c>
      <c r="J114" s="18" t="n">
        <f aca="false">(Data!H103+Data!I103+Data!J103+Data!M103+Data!H104+Data!I104+Data!J104+Data!M104+Data!H105+Data!I105+Data!J105+Data!M105+Data!H106+Data!I106+Data!J106+Data!M106+Data!H107+Data!I107+Data!J107+Data!M107+Data!H108+Data!I108+Data!J108+Data!M108+Data!H109+Data!I109+Data!J109+Data!M109+Data!H110+Data!I110+Data!J110+Data!M110+Data!H111+Data!I111+Data!J111+Data!M111+Data!H112+Data!I112+Data!J112+Data!M112+Data!H113+Data!I113+Data!J113+Data!M113+Data!H114+Data!I114+Data!J114+Data!M114)/(Data!AP103+Data!AP104+Data!AP105+Data!AP106+Data!AP107+Data!AP108+Data!AP109+Data!AP110+Data!AP111+Data!AP112+Data!AP113+Data!AP114)</f>
        <v>0.0225736549369453</v>
      </c>
      <c r="K114" s="18" t="n">
        <f aca="false">(Data!F103+Data!F104+Data!F105+Data!F106+Data!F107+Data!F108+Data!F109+Data!F110+Data!F111+Data!F112+Data!F113+Data!F114)/(Data!AP103+Data!AP104+Data!AP105+Data!AP106+Data!AP107+Data!AP108+Data!AP109+Data!AP110+Data!AP111+Data!AP112+Data!AP113+Data!AP114)</f>
        <v>0.0503857243601515</v>
      </c>
      <c r="L114" s="18" t="n">
        <f aca="false">(Data!N103+Data!O103+Data!P103+Data!Q103+Data!R103+Data!S103+Data!N104+Data!O104+Data!P104+Data!Q104+Data!R104+Data!S104+Data!N105+Data!O105+Data!P105+Data!Q105+Data!R105+Data!S105+Data!N106+Data!O106+Data!P106+Data!Q106+Data!R106+Data!S106+Data!N107+Data!O107+Data!P107+Data!Q107+Data!R107+Data!S107+Data!N108+Data!O108+Data!P108+Data!Q108+Data!R108+Data!S108+Data!N109+Data!O109+Data!P109+Data!Q109+Data!R109+Data!S109+Data!N110+Data!O110+Data!P110+Data!Q110+Data!R110+Data!S110+Data!N111+Data!O111+Data!P111+Data!Q111+Data!R111+Data!S111+Data!N112+Data!O112+Data!P112+Data!Q112+Data!R112+Data!S112+Data!N113+Data!O113+Data!P113+Data!Q113+Data!R113+Data!S113+Data!N114+Data!O114+Data!P114+Data!Q114+Data!R114+Data!S114)/(Data!AP103+Data!AP104+Data!AP105+Data!AP106+Data!AP107+Data!AP108+Data!AP109+Data!AP110+Data!AP111+Data!AP112+Data!AP113+Data!AP114)</f>
        <v>0.0135938133261666</v>
      </c>
      <c r="M114" s="17" t="n">
        <f aca="false">(Data!T103+Data!U103+Data!V103+Data!W103+Data!X103+Data!Y103+Data!Z103+Data!AA103+Data!AB103+Data!AC103+Data!AD103+Data!AE103+Data!AF103+Data!AG103+Data!AH103+Data!AI103+Data!AJ103+Data!AK103+Data!AL103+Data!T104+Data!U104+Data!V104+Data!W104+Data!X104+Data!Y104+Data!Z104+Data!AA104+Data!AB104+Data!AC104+Data!AD104+Data!AE104+Data!AF104+Data!AG104+Data!AH104+Data!AI104+Data!AJ104+Data!AK104+Data!AL104+Data!T105+Data!U105+Data!V105+Data!W105+Data!X105+Data!Y105+Data!Z105+Data!AA105+Data!AB105+Data!AC105+Data!AD105+Data!AE105+Data!AF105+Data!AG105+Data!AH105+Data!AI105+Data!AJ105+Data!AK105+Data!AL105+Data!T106+Data!U106+Data!V106+Data!W106+Data!X106+Data!Y106+Data!Z106+Data!AA106+Data!AB106+Data!AC106+Data!AD106+Data!AE106+Data!AF106+Data!AG106+Data!AH106+Data!AI106+Data!AJ106+Data!AK106+Data!AL106+Data!T107+Data!U107+Data!V107+Data!W107+Data!X107+Data!Y107+Data!Z107+Data!AA107+Data!AB107+Data!AC107+Data!AD107+Data!AE107+Data!AF107+Data!AG107+Data!AH107+Data!AI107+Data!AJ107+Data!AK107+Data!AL107+Data!T108+Data!U108+Data!V108+Data!W108+Data!X108+Data!Y108+Data!Z108+Data!AA108+Data!AB108+Data!AC108+Data!AD108+Data!AE108+Data!AF108+Data!AG108+Data!AH108+Data!AI108+Data!AJ108+Data!AK108+Data!AL108+Data!T109+Data!U109+Data!V109+Data!W109+Data!X109+Data!Y109+Data!Z109+Data!AA109+Data!AB109+Data!AC109+Data!AD109+Data!AE109+Data!AF109+Data!AG109+Data!AH109+Data!AI109+Data!AJ109+Data!AK109+Data!AL109+Data!T110+Data!U110+Data!V110+Data!W110+Data!X110+Data!Y110+Data!Z110+Data!AA110+Data!AB110+Data!AC110+Data!AD110+Data!AE110+Data!AF110+Data!AG110+Data!AH110+Data!AI110+Data!AJ110+Data!AK110+Data!AL110+Data!T111+Data!U111+Data!V111+Data!W111+Data!X111+Data!Y111+Data!Z111+Data!AA111+Data!AB111+Data!AC111+Data!AD111+Data!AE111+Data!AF111+Data!AG111+Data!AH111+Data!AI111+Data!AJ111+Data!AK111+Data!AL111+Data!T112+Data!U112+Data!V112+Data!W112+Data!X112+Data!Y112+Data!Z112+Data!AA112+Data!AB112+Data!AC112+Data!AD112+Data!AE112+Data!AF112+Data!AG112+Data!AH112+Data!AI112+Data!AJ112+Data!AK112+Data!AL112+Data!T113+Data!U113+Data!V113+Data!W113+Data!X113+Data!Y113+Data!Z113+Data!AA113+Data!AB113+Data!AC113+Data!AD113+Data!AE113+Data!AF113+Data!AG113+Data!AH113+Data!AI113+Data!AJ113+Data!AK113+Data!AL113+Data!T114+Data!U114+Data!V114+Data!W114+Data!X114+Data!Y114+Data!Z114+Data!AA114+Data!AB114+Data!AC114+Data!AD114+Data!AE114+Data!AF114+Data!AG114+Data!AH114+Data!AI114+Data!AJ114+Data!AK114+Data!AL114)/(Data!AP103+Data!AP104+Data!AP105+Data!AP106+Data!AP107+Data!AP108+Data!AP109+Data!AP110+Data!AP111+Data!AP112+Data!AP113+Data!AP114)</f>
        <v>0.149924948016134</v>
      </c>
      <c r="N114" s="18" t="n">
        <f aca="false">(Data!T103+Data!U103+Data!V103+Data!W103+Data!T104+Data!U104+Data!V104+Data!W104+Data!T105+Data!U105+Data!V105+Data!W105+Data!T106+Data!U106+Data!V106+Data!W106+Data!T107+Data!U107+Data!V107+Data!W107+Data!T108+Data!U108+Data!V108+Data!W108+Data!T109+Data!U109+Data!V109+Data!W109+Data!T110+Data!U110+Data!V110+Data!W110+Data!T111+Data!U111+Data!V111+Data!W111+Data!T112+Data!U112+Data!V112+Data!W112+Data!T113+Data!U113+Data!V113+Data!W113+Data!T114+Data!U114+Data!V114+Data!W114)/(Data!AP103+Data!AP104+Data!AP105+Data!AP106+Data!AP107+Data!AP108+Data!AP109+Data!AP110+Data!AP111+Data!AP112+Data!AP113+Data!AP114)</f>
        <v>0.0800451559821261</v>
      </c>
      <c r="O114" s="18" t="n">
        <f aca="false">(Data!T103+Data!T104+Data!T105+Data!T106+Data!T107+Data!T108+Data!T109+Data!T110+Data!T111+Data!T112+Data!T113+Data!T114)/(Data!AP103+Data!AP104+Data!AP105+Data!AP106+Data!AP107+Data!AP108+Data!AP109+Data!AP110+Data!AP111+Data!AP112+Data!AP113+Data!AP114)</f>
        <v>0.0558798350787769</v>
      </c>
      <c r="P114" s="18" t="n">
        <f aca="false">(Data!U103+Data!U104+Data!U105+Data!U106+Data!U107+Data!U108+Data!U109+Data!U110+Data!U111+Data!U112+Data!U113+Data!U114)/(Data!AP103+Data!AP104+Data!AP105+Data!AP106+Data!AP107+Data!AP108+Data!AP109+Data!AP110+Data!AP111+Data!AP112+Data!AP113+Data!AP114)</f>
        <v>0.00958456081316345</v>
      </c>
      <c r="Q114" s="18" t="n">
        <f aca="false">(Data!V103+Data!V104+Data!V105+Data!V106+Data!V107+Data!V108+Data!V109+Data!V110+Data!V111+Data!V112+Data!V113+Data!V114)/(Data!AP103+Data!AP104+Data!AP105+Data!AP106+Data!AP107+Data!AP108+Data!AP109+Data!AP110+Data!AP111+Data!AP112+Data!AP113+Data!AP114)</f>
        <v>0.00526762336970064</v>
      </c>
      <c r="R114" s="18" t="n">
        <f aca="false">(Data!W103+Data!W104+Data!W105+Data!W106+Data!W107+Data!W108+Data!W109+Data!W110+Data!W111+Data!W112+Data!W113+Data!W114)/(Data!AP103+Data!AP104+Data!AP105+Data!AP106+Data!AP107+Data!AP108+Data!AP109+Data!AP110+Data!AP111+Data!AP112+Data!AP113+Data!AP114)</f>
        <v>0.00931313672048511</v>
      </c>
      <c r="S114" s="18" t="n">
        <f aca="false">(Data!X103+Data!X104+Data!X105+Data!X106+Data!X107+Data!X108+Data!X109+Data!X110+Data!X111+Data!X112+Data!X113+Data!X114)/(Data!AP103+Data!AP104+Data!AP105+Data!AP106+Data!AP107+Data!AP108+Data!AP109+Data!AP110+Data!AP111+Data!AP112+Data!AP113+Data!AP114)</f>
        <v>0.0146471641397424</v>
      </c>
      <c r="T114" s="18" t="n">
        <f aca="false">(Data!Y103+Data!Z103+Data!AA103+Data!Y104+Data!Z104+Data!AA104+Data!Y105+Data!Z105+Data!AA105+Data!Y106+Data!Z106+Data!AA106+Data!Y107+Data!Z107+Data!AA107+Data!Y108+Data!Z108+Data!AA108+Data!Y109+Data!Z109+Data!AA109+Data!Y110+Data!Z110+Data!AA110+Data!Y111+Data!Z111+Data!AA111+Data!Y112+Data!Z112+Data!AA112+Data!Y113+Data!Z113+Data!AA113+Data!Y114+Data!Z114+Data!AA114)/(Data!AP103+Data!AP104+Data!AP105+Data!AP106+Data!AP107+Data!AP108+Data!AP109+Data!AP110+Data!AP111+Data!AP112+Data!AP113+Data!AP114)</f>
        <v>0.0149320350310657</v>
      </c>
      <c r="U114" s="18" t="n">
        <f aca="false">(Data!Y103+Data!Y104+Data!Y105+Data!Y106+Data!Y107+Data!Y108+Data!Y109+Data!Y110+Data!Y111+Data!Y112+Data!Y113+Data!Y114)/(Data!AP103+Data!AP104+Data!AP105+Data!AP106+Data!AP107+Data!AP108+Data!AP109+Data!AP110+Data!AP111+Data!AP112+Data!AP113+Data!AP114)</f>
        <v>0.0110956845968464</v>
      </c>
      <c r="V114" s="18" t="n">
        <f aca="false">(Data!Z103+Data!Z104+Data!Z105+Data!Z106+Data!Z107+Data!Z108+Data!Z109+Data!Z110+Data!Z111+Data!Z112+Data!Z113+Data!Z114)/(Data!AP103+Data!AP104+Data!AP105+Data!AP106+Data!AP107+Data!AP108+Data!AP109+Data!AP110+Data!AP111+Data!AP112+Data!AP113+Data!AP114)</f>
        <v>0.00358303109207075</v>
      </c>
      <c r="W114" s="18" t="n">
        <f aca="false">(Data!AB103+Data!AB104+Data!AB105+Data!AB106+Data!AB107+Data!AB108+Data!AB109+Data!AB110+Data!AB111+Data!AB112+Data!AB113+Data!AB114)/(Data!AP103+Data!AP104+Data!AP105+Data!AP106+Data!AP107+Data!AP108+Data!AP109+Data!AP110+Data!AP111+Data!AP112+Data!AP113+Data!AP114)</f>
        <v>0.0215419271505618</v>
      </c>
      <c r="X114" s="18" t="n">
        <f aca="false">(Data!AC103+Data!AC104+Data!AC105+Data!AC106+Data!AC107+Data!AC108+Data!AC109+Data!AC110+Data!AC111+Data!AC112+Data!AC113+Data!AC114)/(Data!AP103+Data!AP104+Data!AP105+Data!AP106+Data!AP107+Data!AP108+Data!AP109+Data!AP110+Data!AP111+Data!AP112+Data!AP113+Data!AP114)</f>
        <v>0.00520254038511646</v>
      </c>
      <c r="Y114" s="18" t="n">
        <f aca="false">(Data!AD103+Data!AE103+Data!AF103+Data!AG103+Data!AH103+Data!AD104+Data!AE104+Data!AF104+Data!AG104+Data!AH104+Data!AD105+Data!AE105+Data!AF105+Data!AG105+Data!AH105+Data!AD106+Data!AE106+Data!AF106+Data!AG106+Data!AH106+Data!AD107+Data!AE107+Data!AF107+Data!AG107+Data!AH107+Data!AD108+Data!AE108+Data!AF108+Data!AG108+Data!AH108+Data!AD109+Data!AE109+Data!AF109+Data!AG109+Data!AH109+Data!AD110+Data!AE110+Data!AF110+Data!AG110+Data!AH110+Data!AD111+Data!AE111+Data!AF111+Data!AG111+Data!AH111+Data!AD112+Data!AE112+Data!AF112+Data!AG112+Data!AH112+Data!AD113+Data!AE113+Data!AF113+Data!AG113+Data!AH113+Data!AD114+Data!AE114+Data!AF114+Data!AG114+Data!AH114)/(Data!AP103+Data!AP104+Data!AP105+Data!AP106+Data!AP107+Data!AP108+Data!AP109+Data!AP110+Data!AP111+Data!AP112+Data!AP113+Data!AP114)</f>
        <v>0.00248412920530459</v>
      </c>
      <c r="Z114" s="18" t="n">
        <f aca="false">(Data!AI103+Data!AI104+Data!AI105+Data!AI106+Data!AI107+Data!AI108+Data!AI109+Data!AI110+Data!AI111+Data!AI112+Data!AI113+Data!AI114)/(Data!AP103+Data!AP104+Data!AP105+Data!AP106+Data!AP107+Data!AP108+Data!AP109+Data!AP110+Data!AP111+Data!AP112+Data!AP113+Data!AP114)</f>
        <v>0.00556421785704279</v>
      </c>
      <c r="AA114" s="18" t="n">
        <f aca="false">(Data!AJ103+Data!AJ104+Data!AJ105+Data!AJ106+Data!AJ107+Data!AJ108+Data!AJ109+Data!AJ110+Data!AJ111+Data!AJ112+Data!AJ113+Data!AJ114)/(Data!AP103+Data!AP104+Data!AP105+Data!AP106+Data!AP107+Data!AP108+Data!AP109+Data!AP110+Data!AP111+Data!AP112+Data!AP113+Data!AP114)</f>
        <v>0</v>
      </c>
      <c r="AB114" s="18" t="n">
        <f aca="false">(Data!AK103+Data!AK104+Data!AK105+Data!AK106+Data!AK107+Data!AK108+Data!AK109+Data!AK110+Data!AK111+Data!AK112+Data!AK113+Data!AK114)/(Data!AP103+Data!AP104+Data!AP105+Data!AP106+Data!AP107+Data!AP108+Data!AP109+Data!AP110+Data!AP111+Data!AP112+Data!AP113+Data!AP114)</f>
        <v>0.00145353596047125</v>
      </c>
      <c r="AC114" s="18" t="n">
        <f aca="false">(Data!AL103+Data!AL104+Data!AL105+Data!AL106+Data!AL107+Data!AL108+Data!AL109+Data!AL110+Data!AL111+Data!AL112+Data!AL113+Data!AL114)/(Data!AP103+Data!AP104+Data!AP105+Data!AP106+Data!AP107+Data!AP108+Data!AP109+Data!AP110+Data!AP111+Data!AP112+Data!AP113+Data!AP114)</f>
        <v>0.00405424230470249</v>
      </c>
      <c r="AD114" s="17" t="n">
        <f aca="false">(Data!AM103+Data!AM104+Data!AM105+Data!AM106+Data!AM107+Data!AM108+Data!AM109+Data!AM110+Data!AM111+Data!AM112+Data!AM113+Data!AM114)/(Data!AP103+Data!AP104+Data!AP105+Data!AP106+Data!AP107+Data!AP108+Data!AP109+Data!AP110+Data!AP111+Data!AP112+Data!AP113+Data!AP114)</f>
        <v>0.0178066741224438</v>
      </c>
      <c r="AE114" s="18" t="n">
        <f aca="false">(Data!AN103+Data!AN104+Data!AN105+Data!AN106+Data!AN107+Data!AN108+Data!AN109+Data!AN110+Data!AN111+Data!AN112+Data!AN113+Data!AN114)/(Data!AP103+Data!AP104+Data!AP105+Data!AP106+Data!AP107+Data!AP108+Data!AP109+Data!AP110+Data!AP111+Data!AP112+Data!AP113+Data!AP114)</f>
        <v>0.0147867281514353</v>
      </c>
      <c r="AF114" s="17" t="n">
        <f aca="false">(Data!AO103+Data!AO104+Data!AO105+Data!AO106+Data!AO107+Data!AO108+Data!AO109+Data!AO110+Data!AO111+Data!AO112+Data!AO113+Data!AO114)/(Data!AP103+Data!AP104+Data!AP105+Data!AP106+Data!AP107+Data!AP108+Data!AP109+Data!AP110+Data!AP111+Data!AP112+Data!AP113+Data!AP114)</f>
        <v>0.00301994425978437</v>
      </c>
    </row>
    <row r="115" customFormat="false" ht="15" hidden="false" customHeight="false" outlineLevel="0" collapsed="false">
      <c r="B115" s="14" t="str">
        <f aca="false">Data!B115</f>
        <v>2025-01</v>
      </c>
      <c r="C115" s="17" t="n">
        <f aca="false">(Data!D104+Data!E104+Data!F104+Data!G104+Data!H104+Data!I104+Data!J104+Data!K104+Data!L104+Data!M104+Data!N104+Data!O104+Data!P104+Data!Q104+Data!R104+Data!S104+Data!D105+Data!E105+Data!F105+Data!G105+Data!H105+Data!I105+Data!J105+Data!K105+Data!L105+Data!M105+Data!N105+Data!O105+Data!P105+Data!Q105+Data!R105+Data!S105+Data!D106+Data!E106+Data!F106+Data!G106+Data!H106+Data!I106+Data!J106+Data!K106+Data!L106+Data!M106+Data!N106+Data!O106+Data!P106+Data!Q106+Data!R106+Data!S106+Data!D107+Data!E107+Data!F107+Data!G107+Data!H107+Data!I107+Data!J107+Data!K107+Data!L107+Data!M107+Data!N107+Data!O107+Data!P107+Data!Q107+Data!R107+Data!S107+Data!D108+Data!E108+Data!F108+Data!G108+Data!H108+Data!I108+Data!J108+Data!K108+Data!L108+Data!M108+Data!N108+Data!O108+Data!P108+Data!Q108+Data!R108+Data!S108+Data!D109+Data!E109+Data!F109+Data!G109+Data!H109+Data!I109+Data!J109+Data!K109+Data!L109+Data!M109+Data!N109+Data!O109+Data!P109+Data!Q109+Data!R109+Data!S109+Data!D110+Data!E110+Data!F110+Data!G110+Data!H110+Data!I110+Data!J110+Data!K110+Data!L110+Data!M110+Data!N110+Data!O110+Data!P110+Data!Q110+Data!R110+Data!S110+Data!D111+Data!E111+Data!F111+Data!G111+Data!H111+Data!I111+Data!J111+Data!K111+Data!L111+Data!M111+Data!N111+Data!O111+Data!P111+Data!Q111+Data!R111+Data!S111+Data!D112+Data!E112+Data!F112+Data!G112+Data!H112+Data!I112+Data!J112+Data!K112+Data!L112+Data!M112+Data!N112+Data!O112+Data!P112+Data!Q112+Data!R112+Data!S112+Data!D113+Data!E113+Data!F113+Data!G113+Data!H113+Data!I113+Data!J113+Data!K113+Data!L113+Data!M113+Data!N113+Data!O113+Data!P113+Data!Q113+Data!R113+Data!S113+Data!D114+Data!E114+Data!F114+Data!G114+Data!H114+Data!I114+Data!J114+Data!K114+Data!L114+Data!M114+Data!N114+Data!O114+Data!P114+Data!Q114+Data!R114+Data!S114+Data!D115+Data!E115+Data!F115+Data!G115+Data!H115+Data!I115+Data!J115+Data!K115+Data!L115+Data!M115+Data!N115+Data!O115+Data!P115+Data!Q115+Data!R115+Data!S115)/(Data!AP104+Data!AP105+Data!AP106+Data!AP107+Data!AP108+Data!AP109+Data!AP110+Data!AP111+Data!AP112+Data!AP113+Data!AP114+Data!AP115)</f>
        <v>0.168206675196244</v>
      </c>
      <c r="D115" s="18" t="n">
        <f aca="false">(Data!D104+Data!E104+Data!G104+Data!H104+Data!I104+Data!J104+Data!K104+Data!L104+Data!M104+Data!D105+Data!E105+Data!G105+Data!H105+Data!I105+Data!J105+Data!K105+Data!L105+Data!M105+Data!D106+Data!E106+Data!G106+Data!H106+Data!I106+Data!J106+Data!K106+Data!L106+Data!M106+Data!D107+Data!E107+Data!G107+Data!H107+Data!I107+Data!J107+Data!K107+Data!L107+Data!M107+Data!D108+Data!E108+Data!G108+Data!H108+Data!I108+Data!J108+Data!K108+Data!L108+Data!M108+Data!D109+Data!E109+Data!G109+Data!H109+Data!I109+Data!J109+Data!K109+Data!L109+Data!M109+Data!D110+Data!E110+Data!G110+Data!H110+Data!I110+Data!J110+Data!K110+Data!L110+Data!M110+Data!D111+Data!E111+Data!G111+Data!H111+Data!I111+Data!J111+Data!K111+Data!L111+Data!M111+Data!D112+Data!E112+Data!G112+Data!H112+Data!I112+Data!J112+Data!K112+Data!L112+Data!M112+Data!D113+Data!E113+Data!G113+Data!H113+Data!I113+Data!J113+Data!K113+Data!L113+Data!M113+Data!D114+Data!E114+Data!G114+Data!H114+Data!I114+Data!J114+Data!K114+Data!L114+Data!M114+Data!D115+Data!E115+Data!G115+Data!H115+Data!I115+Data!J115+Data!K115+Data!L115+Data!M115)/(Data!AP104+Data!AP105+Data!AP106+Data!AP107+Data!AP108+Data!AP109+Data!AP110+Data!AP111+Data!AP112+Data!AP113+Data!AP114+Data!AP115)</f>
        <v>0.102531677930706</v>
      </c>
      <c r="E115" s="18" t="n">
        <f aca="false">(Data!D104+Data!D105+Data!D106+Data!D107+Data!D108+Data!D109+Data!D110+Data!D111+Data!D112+Data!D113+Data!D114+Data!D115)/(Data!AP104+Data!AP105+Data!AP106+Data!AP107+Data!AP108+Data!AP109+Data!AP110+Data!AP111+Data!AP112+Data!AP113+Data!AP114+Data!AP115)</f>
        <v>0.0339218503534541</v>
      </c>
      <c r="F115" s="18" t="n">
        <f aca="false">(Data!E104+Data!E105+Data!E106+Data!E107+Data!E108+Data!E109+Data!E110+Data!E111+Data!E112+Data!E113+Data!E114+Data!E115)/(Data!AP104+Data!AP105+Data!AP106+Data!AP107+Data!AP108+Data!AP109+Data!AP110+Data!AP111+Data!AP112+Data!AP113+Data!AP114+Data!AP115)</f>
        <v>0.0163778679699525</v>
      </c>
      <c r="G115" s="18" t="n">
        <f aca="false">(Data!K104+Data!K105+Data!K106+Data!K107+Data!K108+Data!K109+Data!K110+Data!K111+Data!K112+Data!K113+Data!K114+Data!K115)/(Data!AP104+Data!AP105+Data!AP106+Data!AP107+Data!AP108+Data!AP109+Data!AP110+Data!AP111+Data!AP112+Data!AP113+Data!AP114+Data!AP115)</f>
        <v>0.00948361313948324</v>
      </c>
      <c r="H115" s="18" t="n">
        <f aca="false">(Data!L104+Data!L105+Data!L106+Data!L107+Data!L108+Data!L109+Data!L110+Data!L111+Data!L112+Data!L113+Data!L114+Data!L115)/(Data!AP104+Data!AP105+Data!AP106+Data!AP107+Data!AP108+Data!AP109+Data!AP110+Data!AP111+Data!AP112+Data!AP113+Data!AP114+Data!AP115)</f>
        <v>0.00538831386737122</v>
      </c>
      <c r="I115" s="18" t="n">
        <f aca="false">(Data!G104+Data!G105+Data!G106+Data!G107+Data!G108+Data!G109+Data!G110+Data!G111+Data!G112+Data!G113+Data!G114+Data!G115)/(Data!AP104+Data!AP105+Data!AP106+Data!AP107+Data!AP108+Data!AP109+Data!AP110+Data!AP111+Data!AP112+Data!AP113+Data!AP114+Data!AP115)</f>
        <v>0.0160593147816239</v>
      </c>
      <c r="J115" s="18" t="n">
        <f aca="false">(Data!H104+Data!I104+Data!J104+Data!M104+Data!H105+Data!I105+Data!J105+Data!M105+Data!H106+Data!I106+Data!J106+Data!M106+Data!H107+Data!I107+Data!J107+Data!M107+Data!H108+Data!I108+Data!J108+Data!M108+Data!H109+Data!I109+Data!J109+Data!M109+Data!H110+Data!I110+Data!J110+Data!M110+Data!H111+Data!I111+Data!J111+Data!M111+Data!H112+Data!I112+Data!J112+Data!M112+Data!H113+Data!I113+Data!J113+Data!M113+Data!H114+Data!I114+Data!J114+Data!M114+Data!H115+Data!I115+Data!J115+Data!M115)/(Data!AP104+Data!AP105+Data!AP106+Data!AP107+Data!AP108+Data!AP109+Data!AP110+Data!AP111+Data!AP112+Data!AP113+Data!AP114+Data!AP115)</f>
        <v>0.0213007178188206</v>
      </c>
      <c r="K115" s="18" t="n">
        <f aca="false">(Data!F104+Data!F105+Data!F106+Data!F107+Data!F108+Data!F109+Data!F110+Data!F111+Data!F112+Data!F113+Data!F114+Data!F115)/(Data!AP104+Data!AP105+Data!AP106+Data!AP107+Data!AP108+Data!AP109+Data!AP110+Data!AP111+Data!AP112+Data!AP113+Data!AP114+Data!AP115)</f>
        <v>0.0524235619747254</v>
      </c>
      <c r="L115" s="18" t="n">
        <f aca="false">(Data!N104+Data!O104+Data!P104+Data!Q104+Data!R104+Data!S104+Data!N105+Data!O105+Data!P105+Data!Q105+Data!R105+Data!S105+Data!N106+Data!O106+Data!P106+Data!Q106+Data!R106+Data!S106+Data!N107+Data!O107+Data!P107+Data!Q107+Data!R107+Data!S107+Data!N108+Data!O108+Data!P108+Data!Q108+Data!R108+Data!S108+Data!N109+Data!O109+Data!P109+Data!Q109+Data!R109+Data!S109+Data!N110+Data!O110+Data!P110+Data!Q110+Data!R110+Data!S110+Data!N111+Data!O111+Data!P111+Data!Q111+Data!R111+Data!S111+Data!N112+Data!O112+Data!P112+Data!Q112+Data!R112+Data!S112+Data!N113+Data!O113+Data!P113+Data!Q113+Data!R113+Data!S113+Data!N114+Data!O114+Data!P114+Data!Q114+Data!R114+Data!S114+Data!N115+Data!O115+Data!P115+Data!Q115+Data!R115+Data!S115)/(Data!AP104+Data!AP105+Data!AP106+Data!AP107+Data!AP108+Data!AP109+Data!AP110+Data!AP111+Data!AP112+Data!AP113+Data!AP114+Data!AP115)</f>
        <v>0.0132514352908127</v>
      </c>
      <c r="M115" s="17" t="n">
        <f aca="false">(Data!T104+Data!U104+Data!V104+Data!W104+Data!X104+Data!Y104+Data!Z104+Data!AA104+Data!AB104+Data!AC104+Data!AD104+Data!AE104+Data!AF104+Data!AG104+Data!AH104+Data!AI104+Data!AJ104+Data!AK104+Data!AL104+Data!T105+Data!U105+Data!V105+Data!W105+Data!X105+Data!Y105+Data!Z105+Data!AA105+Data!AB105+Data!AC105+Data!AD105+Data!AE105+Data!AF105+Data!AG105+Data!AH105+Data!AI105+Data!AJ105+Data!AK105+Data!AL105+Data!T106+Data!U106+Data!V106+Data!W106+Data!X106+Data!Y106+Data!Z106+Data!AA106+Data!AB106+Data!AC106+Data!AD106+Data!AE106+Data!AF106+Data!AG106+Data!AH106+Data!AI106+Data!AJ106+Data!AK106+Data!AL106+Data!T107+Data!U107+Data!V107+Data!W107+Data!X107+Data!Y107+Data!Z107+Data!AA107+Data!AB107+Data!AC107+Data!AD107+Data!AE107+Data!AF107+Data!AG107+Data!AH107+Data!AI107+Data!AJ107+Data!AK107+Data!AL107+Data!T108+Data!U108+Data!V108+Data!W108+Data!X108+Data!Y108+Data!Z108+Data!AA108+Data!AB108+Data!AC108+Data!AD108+Data!AE108+Data!AF108+Data!AG108+Data!AH108+Data!AI108+Data!AJ108+Data!AK108+Data!AL108+Data!T109+Data!U109+Data!V109+Data!W109+Data!X109+Data!Y109+Data!Z109+Data!AA109+Data!AB109+Data!AC109+Data!AD109+Data!AE109+Data!AF109+Data!AG109+Data!AH109+Data!AI109+Data!AJ109+Data!AK109+Data!AL109+Data!T110+Data!U110+Data!V110+Data!W110+Data!X110+Data!Y110+Data!Z110+Data!AA110+Data!AB110+Data!AC110+Data!AD110+Data!AE110+Data!AF110+Data!AG110+Data!AH110+Data!AI110+Data!AJ110+Data!AK110+Data!AL110+Data!T111+Data!U111+Data!V111+Data!W111+Data!X111+Data!Y111+Data!Z111+Data!AA111+Data!AB111+Data!AC111+Data!AD111+Data!AE111+Data!AF111+Data!AG111+Data!AH111+Data!AI111+Data!AJ111+Data!AK111+Data!AL111+Data!T112+Data!U112+Data!V112+Data!W112+Data!X112+Data!Y112+Data!Z112+Data!AA112+Data!AB112+Data!AC112+Data!AD112+Data!AE112+Data!AF112+Data!AG112+Data!AH112+Data!AI112+Data!AJ112+Data!AK112+Data!AL112+Data!T113+Data!U113+Data!V113+Data!W113+Data!X113+Data!Y113+Data!Z113+Data!AA113+Data!AB113+Data!AC113+Data!AD113+Data!AE113+Data!AF113+Data!AG113+Data!AH113+Data!AI113+Data!AJ113+Data!AK113+Data!AL113+Data!T114+Data!U114+Data!V114+Data!W114+Data!X114+Data!Y114+Data!Z114+Data!AA114+Data!AB114+Data!AC114+Data!AD114+Data!AE114+Data!AF114+Data!AG114+Data!AH114+Data!AI114+Data!AJ114+Data!AK114+Data!AL114+Data!T115+Data!U115+Data!V115+Data!W115+Data!X115+Data!Y115+Data!Z115+Data!AA115+Data!AB115+Data!AC115+Data!AD115+Data!AE115+Data!AF115+Data!AG115+Data!AH115+Data!AI115+Data!AJ115+Data!AK115+Data!AL115)/(Data!AP104+Data!AP105+Data!AP106+Data!AP107+Data!AP108+Data!AP109+Data!AP110+Data!AP111+Data!AP112+Data!AP113+Data!AP114+Data!AP115)</f>
        <v>0.150515742778032</v>
      </c>
      <c r="N115" s="18" t="n">
        <f aca="false">(Data!T104+Data!U104+Data!V104+Data!W104+Data!T105+Data!U105+Data!V105+Data!W105+Data!T106+Data!U106+Data!V106+Data!W106+Data!T107+Data!U107+Data!V107+Data!W107+Data!T108+Data!U108+Data!V108+Data!W108+Data!T109+Data!U109+Data!V109+Data!W109+Data!T110+Data!U110+Data!V110+Data!W110+Data!T111+Data!U111+Data!V111+Data!W111+Data!T112+Data!U112+Data!V112+Data!W112+Data!T113+Data!U113+Data!V113+Data!W113+Data!T114+Data!U114+Data!V114+Data!W114+Data!T115+Data!U115+Data!V115+Data!W115)/(Data!AP104+Data!AP105+Data!AP106+Data!AP107+Data!AP108+Data!AP109+Data!AP110+Data!AP111+Data!AP112+Data!AP113+Data!AP114+Data!AP115)</f>
        <v>0.0810765350790218</v>
      </c>
      <c r="O115" s="18" t="n">
        <f aca="false">(Data!T104+Data!T105+Data!T106+Data!T107+Data!T108+Data!T109+Data!T110+Data!T111+Data!T112+Data!T113+Data!T114+Data!T115)/(Data!AP104+Data!AP105+Data!AP106+Data!AP107+Data!AP108+Data!AP109+Data!AP110+Data!AP111+Data!AP112+Data!AP113+Data!AP114+Data!AP115)</f>
        <v>0.0566340621416659</v>
      </c>
      <c r="P115" s="18" t="n">
        <f aca="false">(Data!U104+Data!U105+Data!U106+Data!U107+Data!U108+Data!U109+Data!U110+Data!U111+Data!U112+Data!U113+Data!U114+Data!U115)/(Data!AP104+Data!AP105+Data!AP106+Data!AP107+Data!AP108+Data!AP109+Data!AP110+Data!AP111+Data!AP112+Data!AP113+Data!AP114+Data!AP115)</f>
        <v>0.00971504078115938</v>
      </c>
      <c r="Q115" s="18" t="n">
        <f aca="false">(Data!V104+Data!V105+Data!V106+Data!V107+Data!V108+Data!V109+Data!V110+Data!V111+Data!V112+Data!V113+Data!V114+Data!V115)/(Data!AP104+Data!AP105+Data!AP106+Data!AP107+Data!AP108+Data!AP109+Data!AP110+Data!AP111+Data!AP112+Data!AP113+Data!AP114+Data!AP115)</f>
        <v>0.00526964500464973</v>
      </c>
      <c r="R115" s="18" t="n">
        <f aca="false">(Data!W104+Data!W105+Data!W106+Data!W107+Data!W108+Data!W109+Data!W110+Data!W111+Data!W112+Data!W113+Data!W114+Data!W115)/(Data!AP104+Data!AP105+Data!AP106+Data!AP107+Data!AP108+Data!AP109+Data!AP110+Data!AP111+Data!AP112+Data!AP113+Data!AP114+Data!AP115)</f>
        <v>0.00945778715154685</v>
      </c>
      <c r="S115" s="18" t="n">
        <f aca="false">(Data!X104+Data!X105+Data!X106+Data!X107+Data!X108+Data!X109+Data!X110+Data!X111+Data!X112+Data!X113+Data!X114+Data!X115)/(Data!AP104+Data!AP105+Data!AP106+Data!AP107+Data!AP108+Data!AP109+Data!AP110+Data!AP111+Data!AP112+Data!AP113+Data!AP114+Data!AP115)</f>
        <v>0.0142246699224783</v>
      </c>
      <c r="T115" s="18" t="n">
        <f aca="false">(Data!Y104+Data!Z104+Data!AA104+Data!Y105+Data!Z105+Data!AA105+Data!Y106+Data!Z106+Data!AA106+Data!Y107+Data!Z107+Data!AA107+Data!Y108+Data!Z108+Data!AA108+Data!Y109+Data!Z109+Data!AA109+Data!Y110+Data!Z110+Data!AA110+Data!Y111+Data!Z111+Data!AA111+Data!Y112+Data!Z112+Data!AA112+Data!Y113+Data!Z113+Data!AA113+Data!Y114+Data!Z114+Data!AA114+Data!Y115+Data!Z115+Data!AA115)/(Data!AP104+Data!AP105+Data!AP106+Data!AP107+Data!AP108+Data!AP109+Data!AP110+Data!AP111+Data!AP112+Data!AP113+Data!AP114+Data!AP115)</f>
        <v>0.0145223368943771</v>
      </c>
      <c r="U115" s="18" t="n">
        <f aca="false">(Data!Y104+Data!Y105+Data!Y106+Data!Y107+Data!Y108+Data!Y109+Data!Y110+Data!Y111+Data!Y112+Data!Y113+Data!Y114+Data!Y115)/(Data!AP104+Data!AP105+Data!AP106+Data!AP107+Data!AP108+Data!AP109+Data!AP110+Data!AP111+Data!AP112+Data!AP113+Data!AP114+Data!AP115)</f>
        <v>0.010763309627238</v>
      </c>
      <c r="V115" s="18" t="n">
        <f aca="false">(Data!Z104+Data!Z105+Data!Z106+Data!Z107+Data!Z108+Data!Z109+Data!Z110+Data!Z111+Data!Z112+Data!Z113+Data!Z114+Data!Z115)/(Data!AP104+Data!AP105+Data!AP106+Data!AP107+Data!AP108+Data!AP109+Data!AP110+Data!AP111+Data!AP112+Data!AP113+Data!AP114+Data!AP115)</f>
        <v>0.00351320992731426</v>
      </c>
      <c r="W115" s="18" t="n">
        <f aca="false">(Data!AB104+Data!AB105+Data!AB106+Data!AB107+Data!AB108+Data!AB109+Data!AB110+Data!AB111+Data!AB112+Data!AB113+Data!AB114+Data!AB115)/(Data!AP104+Data!AP105+Data!AP106+Data!AP107+Data!AP108+Data!AP109+Data!AP110+Data!AP111+Data!AP112+Data!AP113+Data!AP114+Data!AP115)</f>
        <v>0.0216262526815604</v>
      </c>
      <c r="X115" s="18" t="n">
        <f aca="false">(Data!AC104+Data!AC105+Data!AC106+Data!AC107+Data!AC108+Data!AC109+Data!AC110+Data!AC111+Data!AC112+Data!AC113+Data!AC114+Data!AC115)/(Data!AP104+Data!AP105+Data!AP106+Data!AP107+Data!AP108+Data!AP109+Data!AP110+Data!AP111+Data!AP112+Data!AP113+Data!AP114+Data!AP115)</f>
        <v>0.00541173694396957</v>
      </c>
      <c r="Y115" s="18" t="n">
        <f aca="false">(Data!AD104+Data!AE104+Data!AF104+Data!AG104+Data!AH104+Data!AD105+Data!AE105+Data!AF105+Data!AG105+Data!AH105+Data!AD106+Data!AE106+Data!AF106+Data!AG106+Data!AH106+Data!AD107+Data!AE107+Data!AF107+Data!AG107+Data!AH107+Data!AD108+Data!AE108+Data!AF108+Data!AG108+Data!AH108+Data!AD109+Data!AE109+Data!AF109+Data!AG109+Data!AH109+Data!AD110+Data!AE110+Data!AF110+Data!AG110+Data!AH110+Data!AD111+Data!AE111+Data!AF111+Data!AG111+Data!AH111+Data!AD112+Data!AE112+Data!AF112+Data!AG112+Data!AH112+Data!AD113+Data!AE113+Data!AF113+Data!AG113+Data!AH113+Data!AD114+Data!AE114+Data!AF114+Data!AG114+Data!AH114+Data!AD115+Data!AE115+Data!AF115+Data!AG115+Data!AH115)/(Data!AP104+Data!AP105+Data!AP106+Data!AP107+Data!AP108+Data!AP109+Data!AP110+Data!AP111+Data!AP112+Data!AP113+Data!AP114+Data!AP115)</f>
        <v>0.00249967303288039</v>
      </c>
      <c r="Z115" s="18" t="n">
        <f aca="false">(Data!AI104+Data!AI105+Data!AI106+Data!AI107+Data!AI108+Data!AI109+Data!AI110+Data!AI111+Data!AI112+Data!AI113+Data!AI114+Data!AI115)/(Data!AP104+Data!AP105+Data!AP106+Data!AP107+Data!AP108+Data!AP109+Data!AP110+Data!AP111+Data!AP112+Data!AP113+Data!AP114+Data!AP115)</f>
        <v>0.00559822475300068</v>
      </c>
      <c r="AA115" s="18" t="n">
        <f aca="false">(Data!AJ104+Data!AJ105+Data!AJ106+Data!AJ107+Data!AJ108+Data!AJ109+Data!AJ110+Data!AJ111+Data!AJ112+Data!AJ113+Data!AJ114+Data!AJ115)/(Data!AP104+Data!AP105+Data!AP106+Data!AP107+Data!AP108+Data!AP109+Data!AP110+Data!AP111+Data!AP112+Data!AP113+Data!AP114+Data!AP115)</f>
        <v>0</v>
      </c>
      <c r="AB115" s="18" t="n">
        <f aca="false">(Data!AK104+Data!AK105+Data!AK106+Data!AK107+Data!AK108+Data!AK109+Data!AK110+Data!AK111+Data!AK112+Data!AK113+Data!AK114+Data!AK115)/(Data!AP104+Data!AP105+Data!AP106+Data!AP107+Data!AP108+Data!AP109+Data!AP110+Data!AP111+Data!AP112+Data!AP113+Data!AP114+Data!AP115)</f>
        <v>0.00153495722013248</v>
      </c>
      <c r="AC115" s="18" t="n">
        <f aca="false">(Data!AL104+Data!AL105+Data!AL106+Data!AL107+Data!AL108+Data!AL109+Data!AL110+Data!AL111+Data!AL112+Data!AL113+Data!AL114+Data!AL115)/(Data!AP104+Data!AP105+Data!AP106+Data!AP107+Data!AP108+Data!AP109+Data!AP110+Data!AP111+Data!AP112+Data!AP113+Data!AP114+Data!AP115)</f>
        <v>0.00402135625061116</v>
      </c>
      <c r="AD115" s="17" t="n">
        <f aca="false">(Data!AM104+Data!AM105+Data!AM106+Data!AM107+Data!AM108+Data!AM109+Data!AM110+Data!AM111+Data!AM112+Data!AM113+Data!AM114+Data!AM115)/(Data!AP104+Data!AP105+Data!AP106+Data!AP107+Data!AP108+Data!AP109+Data!AP110+Data!AP111+Data!AP112+Data!AP113+Data!AP114+Data!AP115)</f>
        <v>0.0176909324182118</v>
      </c>
      <c r="AE115" s="18" t="n">
        <f aca="false">(Data!AN104+Data!AN105+Data!AN106+Data!AN107+Data!AN108+Data!AN109+Data!AN110+Data!AN111+Data!AN112+Data!AN113+Data!AN114+Data!AN115)/(Data!AP104+Data!AP105+Data!AP106+Data!AP107+Data!AP108+Data!AP109+Data!AP110+Data!AP111+Data!AP112+Data!AP113+Data!AP114+Data!AP115)</f>
        <v>0.0146752345838677</v>
      </c>
      <c r="AF115" s="17" t="n">
        <f aca="false">(Data!AO104+Data!AO105+Data!AO106+Data!AO107+Data!AO108+Data!AO109+Data!AO110+Data!AO111+Data!AO112+Data!AO113+Data!AO114+Data!AO115)/(Data!AP104+Data!AP105+Data!AP106+Data!AP107+Data!AP108+Data!AP109+Data!AP110+Data!AP111+Data!AP112+Data!AP113+Data!AP114+Data!AP115)</f>
        <v>0.00301569620082178</v>
      </c>
    </row>
    <row r="116" customFormat="false" ht="15" hidden="false" customHeight="false" outlineLevel="0" collapsed="false">
      <c r="B116" s="14" t="str">
        <f aca="false">Data!B116</f>
        <v>2025-02</v>
      </c>
      <c r="C116" s="17" t="n">
        <f aca="false">(Data!D105+Data!E105+Data!F105+Data!G105+Data!H105+Data!I105+Data!J105+Data!K105+Data!L105+Data!M105+Data!N105+Data!O105+Data!P105+Data!Q105+Data!R105+Data!S105+Data!D106+Data!E106+Data!F106+Data!G106+Data!H106+Data!I106+Data!J106+Data!K106+Data!L106+Data!M106+Data!N106+Data!O106+Data!P106+Data!Q106+Data!R106+Data!S106+Data!D107+Data!E107+Data!F107+Data!G107+Data!H107+Data!I107+Data!J107+Data!K107+Data!L107+Data!M107+Data!N107+Data!O107+Data!P107+Data!Q107+Data!R107+Data!S107+Data!D108+Data!E108+Data!F108+Data!G108+Data!H108+Data!I108+Data!J108+Data!K108+Data!L108+Data!M108+Data!N108+Data!O108+Data!P108+Data!Q108+Data!R108+Data!S108+Data!D109+Data!E109+Data!F109+Data!G109+Data!H109+Data!I109+Data!J109+Data!K109+Data!L109+Data!M109+Data!N109+Data!O109+Data!P109+Data!Q109+Data!R109+Data!S109+Data!D110+Data!E110+Data!F110+Data!G110+Data!H110+Data!I110+Data!J110+Data!K110+Data!L110+Data!M110+Data!N110+Data!O110+Data!P110+Data!Q110+Data!R110+Data!S110+Data!D111+Data!E111+Data!F111+Data!G111+Data!H111+Data!I111+Data!J111+Data!K111+Data!L111+Data!M111+Data!N111+Data!O111+Data!P111+Data!Q111+Data!R111+Data!S111+Data!D112+Data!E112+Data!F112+Data!G112+Data!H112+Data!I112+Data!J112+Data!K112+Data!L112+Data!M112+Data!N112+Data!O112+Data!P112+Data!Q112+Data!R112+Data!S112+Data!D113+Data!E113+Data!F113+Data!G113+Data!H113+Data!I113+Data!J113+Data!K113+Data!L113+Data!M113+Data!N113+Data!O113+Data!P113+Data!Q113+Data!R113+Data!S113+Data!D114+Data!E114+Data!F114+Data!G114+Data!H114+Data!I114+Data!J114+Data!K114+Data!L114+Data!M114+Data!N114+Data!O114+Data!P114+Data!Q114+Data!R114+Data!S114+Data!D115+Data!E115+Data!F115+Data!G115+Data!H115+Data!I115+Data!J115+Data!K115+Data!L115+Data!M115+Data!N115+Data!O115+Data!P115+Data!Q115+Data!R115+Data!S115+Data!D116+Data!E116+Data!F116+Data!G116+Data!H116+Data!I116+Data!J116+Data!K116+Data!L116+Data!M116+Data!N116+Data!O116+Data!P116+Data!Q116+Data!R116+Data!S116)/(Data!AP105+Data!AP106+Data!AP107+Data!AP108+Data!AP109+Data!AP110+Data!AP111+Data!AP112+Data!AP113+Data!AP114+Data!AP115+Data!AP116)</f>
        <v>0.168560329767106</v>
      </c>
      <c r="D116" s="18" t="n">
        <f aca="false">(Data!D105+Data!E105+Data!G105+Data!H105+Data!I105+Data!J105+Data!K105+Data!L105+Data!M105+Data!D106+Data!E106+Data!G106+Data!H106+Data!I106+Data!J106+Data!K106+Data!L106+Data!M106+Data!D107+Data!E107+Data!G107+Data!H107+Data!I107+Data!J107+Data!K107+Data!L107+Data!M107+Data!D108+Data!E108+Data!G108+Data!H108+Data!I108+Data!J108+Data!K108+Data!L108+Data!M108+Data!D109+Data!E109+Data!G109+Data!H109+Data!I109+Data!J109+Data!K109+Data!L109+Data!M109+Data!D110+Data!E110+Data!G110+Data!H110+Data!I110+Data!J110+Data!K110+Data!L110+Data!M110+Data!D111+Data!E111+Data!G111+Data!H111+Data!I111+Data!J111+Data!K111+Data!L111+Data!M111+Data!D112+Data!E112+Data!G112+Data!H112+Data!I112+Data!J112+Data!K112+Data!L112+Data!M112+Data!D113+Data!E113+Data!G113+Data!H113+Data!I113+Data!J113+Data!K113+Data!L113+Data!M113+Data!D114+Data!E114+Data!G114+Data!H114+Data!I114+Data!J114+Data!K114+Data!L114+Data!M114+Data!D115+Data!E115+Data!G115+Data!H115+Data!I115+Data!J115+Data!K115+Data!L115+Data!M115+Data!D116+Data!E116+Data!G116+Data!H116+Data!I116+Data!J116+Data!K116+Data!L116+Data!M116)/(Data!AP105+Data!AP106+Data!AP107+Data!AP108+Data!AP109+Data!AP110+Data!AP111+Data!AP112+Data!AP113+Data!AP114+Data!AP115+Data!AP116)</f>
        <v>0.102192074184221</v>
      </c>
      <c r="E116" s="18" t="n">
        <f aca="false">(Data!D105+Data!D106+Data!D107+Data!D108+Data!D109+Data!D110+Data!D111+Data!D112+Data!D113+Data!D114+Data!D115+Data!D116)/(Data!AP105+Data!AP106+Data!AP107+Data!AP108+Data!AP109+Data!AP110+Data!AP111+Data!AP112+Data!AP113+Data!AP114+Data!AP115+Data!AP116)</f>
        <v>0.0340701137462079</v>
      </c>
      <c r="F116" s="18" t="n">
        <f aca="false">(Data!E105+Data!E106+Data!E107+Data!E108+Data!E109+Data!E110+Data!E111+Data!E112+Data!E113+Data!E114+Data!E115+Data!E116)/(Data!AP105+Data!AP106+Data!AP107+Data!AP108+Data!AP109+Data!AP110+Data!AP111+Data!AP112+Data!AP113+Data!AP114+Data!AP115+Data!AP116)</f>
        <v>0.0165380495496272</v>
      </c>
      <c r="G116" s="18" t="n">
        <f aca="false">(Data!K105+Data!K106+Data!K107+Data!K108+Data!K109+Data!K110+Data!K111+Data!K112+Data!K113+Data!K114+Data!K115+Data!K116)/(Data!AP105+Data!AP106+Data!AP107+Data!AP108+Data!AP109+Data!AP110+Data!AP111+Data!AP112+Data!AP113+Data!AP114+Data!AP115+Data!AP116)</f>
        <v>0.00954172210075662</v>
      </c>
      <c r="H116" s="18" t="n">
        <f aca="false">(Data!L105+Data!L106+Data!L107+Data!L108+Data!L109+Data!L110+Data!L111+Data!L112+Data!L113+Data!L114+Data!L115+Data!L116)/(Data!AP105+Data!AP106+Data!AP107+Data!AP108+Data!AP109+Data!AP110+Data!AP111+Data!AP112+Data!AP113+Data!AP114+Data!AP115+Data!AP116)</f>
        <v>0.0054956025803335</v>
      </c>
      <c r="I116" s="18" t="n">
        <f aca="false">(Data!G105+Data!G106+Data!G107+Data!G108+Data!G109+Data!G110+Data!G111+Data!G112+Data!G113+Data!G114+Data!G115+Data!G116)/(Data!AP105+Data!AP106+Data!AP107+Data!AP108+Data!AP109+Data!AP110+Data!AP111+Data!AP112+Data!AP113+Data!AP114+Data!AP115+Data!AP116)</f>
        <v>0.0161180630102947</v>
      </c>
      <c r="J116" s="18" t="n">
        <f aca="false">(Data!H105+Data!I105+Data!J105+Data!M105+Data!H106+Data!I106+Data!J106+Data!M106+Data!H107+Data!I107+Data!J107+Data!M107+Data!H108+Data!I108+Data!J108+Data!M108+Data!H109+Data!I109+Data!J109+Data!M109+Data!H110+Data!I110+Data!J110+Data!M110+Data!H111+Data!I111+Data!J111+Data!M111+Data!H112+Data!I112+Data!J112+Data!M112+Data!H113+Data!I113+Data!J113+Data!M113+Data!H114+Data!I114+Data!J114+Data!M114+Data!H115+Data!I115+Data!J115+Data!M115+Data!H116+Data!I116+Data!J116+Data!M116)/(Data!AP105+Data!AP106+Data!AP107+Data!AP108+Data!AP109+Data!AP110+Data!AP111+Data!AP112+Data!AP113+Data!AP114+Data!AP115+Data!AP116)</f>
        <v>0.0204285231970009</v>
      </c>
      <c r="K116" s="18" t="n">
        <f aca="false">(Data!F105+Data!F106+Data!F107+Data!F108+Data!F109+Data!F110+Data!F111+Data!F112+Data!F113+Data!F114+Data!F115+Data!F116)/(Data!AP105+Data!AP106+Data!AP107+Data!AP108+Data!AP109+Data!AP110+Data!AP111+Data!AP112+Data!AP113+Data!AP114+Data!AP115+Data!AP116)</f>
        <v>0.053461966663794</v>
      </c>
      <c r="L116" s="18" t="n">
        <f aca="false">(Data!N105+Data!O105+Data!P105+Data!Q105+Data!R105+Data!S105+Data!N106+Data!O106+Data!P106+Data!Q106+Data!R106+Data!S106+Data!N107+Data!O107+Data!P107+Data!Q107+Data!R107+Data!S107+Data!N108+Data!O108+Data!P108+Data!Q108+Data!R108+Data!S108+Data!N109+Data!O109+Data!P109+Data!Q109+Data!R109+Data!S109+Data!N110+Data!O110+Data!P110+Data!Q110+Data!R110+Data!S110+Data!N111+Data!O111+Data!P111+Data!Q111+Data!R111+Data!S111+Data!N112+Data!O112+Data!P112+Data!Q112+Data!R112+Data!S112+Data!N113+Data!O113+Data!P113+Data!Q113+Data!R113+Data!S113+Data!N114+Data!O114+Data!P114+Data!Q114+Data!R114+Data!S114+Data!N115+Data!O115+Data!P115+Data!Q115+Data!R115+Data!S115+Data!N116+Data!O116+Data!P116+Data!Q116+Data!R116+Data!S116)/(Data!AP105+Data!AP106+Data!AP107+Data!AP108+Data!AP109+Data!AP110+Data!AP111+Data!AP112+Data!AP113+Data!AP114+Data!AP115+Data!AP116)</f>
        <v>0.0129062889190916</v>
      </c>
      <c r="M116" s="17" t="n">
        <f aca="false">(Data!T105+Data!U105+Data!V105+Data!W105+Data!X105+Data!Y105+Data!Z105+Data!AA105+Data!AB105+Data!AC105+Data!AD105+Data!AE105+Data!AF105+Data!AG105+Data!AH105+Data!AI105+Data!AJ105+Data!AK105+Data!AL105+Data!T106+Data!U106+Data!V106+Data!W106+Data!X106+Data!Y106+Data!Z106+Data!AA106+Data!AB106+Data!AC106+Data!AD106+Data!AE106+Data!AF106+Data!AG106+Data!AH106+Data!AI106+Data!AJ106+Data!AK106+Data!AL106+Data!T107+Data!U107+Data!V107+Data!W107+Data!X107+Data!Y107+Data!Z107+Data!AA107+Data!AB107+Data!AC107+Data!AD107+Data!AE107+Data!AF107+Data!AG107+Data!AH107+Data!AI107+Data!AJ107+Data!AK107+Data!AL107+Data!T108+Data!U108+Data!V108+Data!W108+Data!X108+Data!Y108+Data!Z108+Data!AA108+Data!AB108+Data!AC108+Data!AD108+Data!AE108+Data!AF108+Data!AG108+Data!AH108+Data!AI108+Data!AJ108+Data!AK108+Data!AL108+Data!T109+Data!U109+Data!V109+Data!W109+Data!X109+Data!Y109+Data!Z109+Data!AA109+Data!AB109+Data!AC109+Data!AD109+Data!AE109+Data!AF109+Data!AG109+Data!AH109+Data!AI109+Data!AJ109+Data!AK109+Data!AL109+Data!T110+Data!U110+Data!V110+Data!W110+Data!X110+Data!Y110+Data!Z110+Data!AA110+Data!AB110+Data!AC110+Data!AD110+Data!AE110+Data!AF110+Data!AG110+Data!AH110+Data!AI110+Data!AJ110+Data!AK110+Data!AL110+Data!T111+Data!U111+Data!V111+Data!W111+Data!X111+Data!Y111+Data!Z111+Data!AA111+Data!AB111+Data!AC111+Data!AD111+Data!AE111+Data!AF111+Data!AG111+Data!AH111+Data!AI111+Data!AJ111+Data!AK111+Data!AL111+Data!T112+Data!U112+Data!V112+Data!W112+Data!X112+Data!Y112+Data!Z112+Data!AA112+Data!AB112+Data!AC112+Data!AD112+Data!AE112+Data!AF112+Data!AG112+Data!AH112+Data!AI112+Data!AJ112+Data!AK112+Data!AL112+Data!T113+Data!U113+Data!V113+Data!W113+Data!X113+Data!Y113+Data!Z113+Data!AA113+Data!AB113+Data!AC113+Data!AD113+Data!AE113+Data!AF113+Data!AG113+Data!AH113+Data!AI113+Data!AJ113+Data!AK113+Data!AL113+Data!T114+Data!U114+Data!V114+Data!W114+Data!X114+Data!Y114+Data!Z114+Data!AA114+Data!AB114+Data!AC114+Data!AD114+Data!AE114+Data!AF114+Data!AG114+Data!AH114+Data!AI114+Data!AJ114+Data!AK114+Data!AL114+Data!T115+Data!U115+Data!V115+Data!W115+Data!X115+Data!Y115+Data!Z115+Data!AA115+Data!AB115+Data!AC115+Data!AD115+Data!AE115+Data!AF115+Data!AG115+Data!AH115+Data!AI115+Data!AJ115+Data!AK115+Data!AL115+Data!T116+Data!U116+Data!V116+Data!W116+Data!X116+Data!Y116+Data!Z116+Data!AA116+Data!AB116+Data!AC116+Data!AD116+Data!AE116+Data!AF116+Data!AG116+Data!AH116+Data!AI116+Data!AJ116+Data!AK116+Data!AL116)/(Data!AP105+Data!AP106+Data!AP107+Data!AP108+Data!AP109+Data!AP110+Data!AP111+Data!AP112+Data!AP113+Data!AP114+Data!AP115+Data!AP116)</f>
        <v>0.151613964208857</v>
      </c>
      <c r="N116" s="18" t="n">
        <f aca="false">(Data!T105+Data!U105+Data!V105+Data!W105+Data!T106+Data!U106+Data!V106+Data!W106+Data!T107+Data!U107+Data!V107+Data!W107+Data!T108+Data!U108+Data!V108+Data!W108+Data!T109+Data!U109+Data!V109+Data!W109+Data!T110+Data!U110+Data!V110+Data!W110+Data!T111+Data!U111+Data!V111+Data!W111+Data!T112+Data!U112+Data!V112+Data!W112+Data!T113+Data!U113+Data!V113+Data!W113+Data!T114+Data!U114+Data!V114+Data!W114+Data!T115+Data!U115+Data!V115+Data!W115+Data!T116+Data!U116+Data!V116+Data!W116)/(Data!AP105+Data!AP106+Data!AP107+Data!AP108+Data!AP109+Data!AP110+Data!AP111+Data!AP112+Data!AP113+Data!AP114+Data!AP115+Data!AP116)</f>
        <v>0.0828115662178493</v>
      </c>
      <c r="O116" s="18" t="n">
        <f aca="false">(Data!T105+Data!T106+Data!T107+Data!T108+Data!T109+Data!T110+Data!T111+Data!T112+Data!T113+Data!T114+Data!T115+Data!T116)/(Data!AP105+Data!AP106+Data!AP107+Data!AP108+Data!AP109+Data!AP110+Data!AP111+Data!AP112+Data!AP113+Data!AP114+Data!AP115+Data!AP116)</f>
        <v>0.0579057886158537</v>
      </c>
      <c r="P116" s="18" t="n">
        <f aca="false">(Data!U105+Data!U106+Data!U107+Data!U108+Data!U109+Data!U110+Data!U111+Data!U112+Data!U113+Data!U114+Data!U115+Data!U116)/(Data!AP105+Data!AP106+Data!AP107+Data!AP108+Data!AP109+Data!AP110+Data!AP111+Data!AP112+Data!AP113+Data!AP114+Data!AP115+Data!AP116)</f>
        <v>0.00992092312366753</v>
      </c>
      <c r="Q116" s="18" t="n">
        <f aca="false">(Data!V105+Data!V106+Data!V107+Data!V108+Data!V109+Data!V110+Data!V111+Data!V112+Data!V113+Data!V114+Data!V115+Data!V116)/(Data!AP105+Data!AP106+Data!AP107+Data!AP108+Data!AP109+Data!AP110+Data!AP111+Data!AP112+Data!AP113+Data!AP114+Data!AP115+Data!AP116)</f>
        <v>0.0053442018235088</v>
      </c>
      <c r="R116" s="18" t="n">
        <f aca="false">(Data!W105+Data!W106+Data!W107+Data!W108+Data!W109+Data!W110+Data!W111+Data!W112+Data!W113+Data!W114+Data!W115+Data!W116)/(Data!AP105+Data!AP106+Data!AP107+Data!AP108+Data!AP109+Data!AP110+Data!AP111+Data!AP112+Data!AP113+Data!AP114+Data!AP115+Data!AP116)</f>
        <v>0.00964065265481928</v>
      </c>
      <c r="S116" s="18" t="n">
        <f aca="false">(Data!X105+Data!X106+Data!X107+Data!X108+Data!X109+Data!X110+Data!X111+Data!X112+Data!X113+Data!X114+Data!X115+Data!X116)/(Data!AP105+Data!AP106+Data!AP107+Data!AP108+Data!AP109+Data!AP110+Data!AP111+Data!AP112+Data!AP113+Data!AP114+Data!AP115+Data!AP116)</f>
        <v>0.013932963750708</v>
      </c>
      <c r="T116" s="18" t="n">
        <f aca="false">(Data!Y105+Data!Z105+Data!AA105+Data!Y106+Data!Z106+Data!AA106+Data!Y107+Data!Z107+Data!AA107+Data!Y108+Data!Z108+Data!AA108+Data!Y109+Data!Z109+Data!AA109+Data!Y110+Data!Z110+Data!AA110+Data!Y111+Data!Z111+Data!AA111+Data!Y112+Data!Z112+Data!AA112+Data!Y113+Data!Z113+Data!AA113+Data!Y114+Data!Z114+Data!AA114+Data!Y115+Data!Z115+Data!AA115+Data!Y116+Data!Z116+Data!AA116)/(Data!AP105+Data!AP106+Data!AP107+Data!AP108+Data!AP109+Data!AP110+Data!AP111+Data!AP112+Data!AP113+Data!AP114+Data!AP115+Data!AP116)</f>
        <v>0.0140200790720624</v>
      </c>
      <c r="U116" s="18" t="n">
        <f aca="false">(Data!Y105+Data!Y106+Data!Y107+Data!Y108+Data!Y109+Data!Y110+Data!Y111+Data!Y112+Data!Y113+Data!Y114+Data!Y115+Data!Y116)/(Data!AP105+Data!AP106+Data!AP107+Data!AP108+Data!AP109+Data!AP110+Data!AP111+Data!AP112+Data!AP113+Data!AP114+Data!AP115+Data!AP116)</f>
        <v>0.0101824358095979</v>
      </c>
      <c r="V116" s="18" t="n">
        <f aca="false">(Data!Z105+Data!Z106+Data!Z107+Data!Z108+Data!Z109+Data!Z110+Data!Z111+Data!Z112+Data!Z113+Data!Z114+Data!Z115+Data!Z116)/(Data!AP105+Data!AP106+Data!AP107+Data!AP108+Data!AP109+Data!AP110+Data!AP111+Data!AP112+Data!AP113+Data!AP114+Data!AP115+Data!AP116)</f>
        <v>0.00360393852571971</v>
      </c>
      <c r="W116" s="18" t="n">
        <f aca="false">(Data!AB105+Data!AB106+Data!AB107+Data!AB108+Data!AB109+Data!AB110+Data!AB111+Data!AB112+Data!AB113+Data!AB114+Data!AB115+Data!AB116)/(Data!AP105+Data!AP106+Data!AP107+Data!AP108+Data!AP109+Data!AP110+Data!AP111+Data!AP112+Data!AP113+Data!AP114+Data!AP115+Data!AP116)</f>
        <v>0.0214980659955322</v>
      </c>
      <c r="X116" s="18" t="n">
        <f aca="false">(Data!AC105+Data!AC106+Data!AC107+Data!AC108+Data!AC109+Data!AC110+Data!AC111+Data!AC112+Data!AC113+Data!AC114+Data!AC115+Data!AC116)/(Data!AP105+Data!AP106+Data!AP107+Data!AP108+Data!AP109+Data!AP110+Data!AP111+Data!AP112+Data!AP113+Data!AP114+Data!AP115+Data!AP116)</f>
        <v>0.00550577418708597</v>
      </c>
      <c r="Y116" s="18" t="n">
        <f aca="false">(Data!AD105+Data!AE105+Data!AF105+Data!AG105+Data!AH105+Data!AD106+Data!AE106+Data!AF106+Data!AG106+Data!AH106+Data!AD107+Data!AE107+Data!AF107+Data!AG107+Data!AH107+Data!AD108+Data!AE108+Data!AF108+Data!AG108+Data!AH108+Data!AD109+Data!AE109+Data!AF109+Data!AG109+Data!AH109+Data!AD110+Data!AE110+Data!AF110+Data!AG110+Data!AH110+Data!AD111+Data!AE111+Data!AF111+Data!AG111+Data!AH111+Data!AD112+Data!AE112+Data!AF112+Data!AG112+Data!AH112+Data!AD113+Data!AE113+Data!AF113+Data!AG113+Data!AH113+Data!AD114+Data!AE114+Data!AF114+Data!AG114+Data!AH114+Data!AD115+Data!AE115+Data!AF115+Data!AG115+Data!AH115+Data!AD116+Data!AE116+Data!AF116+Data!AG116+Data!AH116)/(Data!AP105+Data!AP106+Data!AP107+Data!AP108+Data!AP109+Data!AP110+Data!AP111+Data!AP112+Data!AP113+Data!AP114+Data!AP115+Data!AP116)</f>
        <v>0.00260226096426206</v>
      </c>
      <c r="Z116" s="18" t="n">
        <f aca="false">(Data!AI105+Data!AI106+Data!AI107+Data!AI108+Data!AI109+Data!AI110+Data!AI111+Data!AI112+Data!AI113+Data!AI114+Data!AI115+Data!AI116)/(Data!AP105+Data!AP106+Data!AP107+Data!AP108+Data!AP109+Data!AP110+Data!AP111+Data!AP112+Data!AP113+Data!AP114+Data!AP115+Data!AP116)</f>
        <v>0.00561910258995209</v>
      </c>
      <c r="AA116" s="18" t="n">
        <f aca="false">(Data!AJ105+Data!AJ106+Data!AJ107+Data!AJ108+Data!AJ109+Data!AJ110+Data!AJ111+Data!AJ112+Data!AJ113+Data!AJ114+Data!AJ115+Data!AJ116)/(Data!AP105+Data!AP106+Data!AP107+Data!AP108+Data!AP109+Data!AP110+Data!AP111+Data!AP112+Data!AP113+Data!AP114+Data!AP115+Data!AP116)</f>
        <v>0</v>
      </c>
      <c r="AB116" s="18" t="n">
        <f aca="false">(Data!AK105+Data!AK106+Data!AK107+Data!AK108+Data!AK109+Data!AK110+Data!AK111+Data!AK112+Data!AK113+Data!AK114+Data!AK115+Data!AK116)/(Data!AP105+Data!AP106+Data!AP107+Data!AP108+Data!AP109+Data!AP110+Data!AP111+Data!AP112+Data!AP113+Data!AP114+Data!AP115+Data!AP116)</f>
        <v>0.00155747950871885</v>
      </c>
      <c r="AC116" s="18" t="n">
        <f aca="false">(Data!AL105+Data!AL106+Data!AL107+Data!AL108+Data!AL109+Data!AL110+Data!AL111+Data!AL112+Data!AL113+Data!AL114+Data!AL115+Data!AL116)/(Data!AP105+Data!AP106+Data!AP107+Data!AP108+Data!AP109+Data!AP110+Data!AP111+Data!AP112+Data!AP113+Data!AP114+Data!AP115+Data!AP116)</f>
        <v>0.00406667192268606</v>
      </c>
      <c r="AD116" s="17" t="n">
        <f aca="false">(Data!AM105+Data!AM106+Data!AM107+Data!AM108+Data!AM109+Data!AM110+Data!AM111+Data!AM112+Data!AM113+Data!AM114+Data!AM115+Data!AM116)/(Data!AP105+Data!AP106+Data!AP107+Data!AP108+Data!AP109+Data!AP110+Data!AP111+Data!AP112+Data!AP113+Data!AP114+Data!AP115+Data!AP116)</f>
        <v>0.0169463655582493</v>
      </c>
      <c r="AE116" s="18" t="n">
        <f aca="false">(Data!AN105+Data!AN106+Data!AN107+Data!AN108+Data!AN109+Data!AN110+Data!AN111+Data!AN112+Data!AN113+Data!AN114+Data!AN115+Data!AN116)/(Data!AP105+Data!AP106+Data!AP107+Data!AP108+Data!AP109+Data!AP110+Data!AP111+Data!AP112+Data!AP113+Data!AP114+Data!AP115+Data!AP116)</f>
        <v>0.0140857564778398</v>
      </c>
      <c r="AF116" s="17" t="n">
        <f aca="false">(Data!AO105+Data!AO106+Data!AO107+Data!AO108+Data!AO109+Data!AO110+Data!AO111+Data!AO112+Data!AO113+Data!AO114+Data!AO115+Data!AO116)/(Data!AP105+Data!AP106+Data!AP107+Data!AP108+Data!AP109+Data!AP110+Data!AP111+Data!AP112+Data!AP113+Data!AP114+Data!AP115+Data!AP116)</f>
        <v>0.00286060908040955</v>
      </c>
    </row>
    <row r="117" customFormat="false" ht="15" hidden="false" customHeight="false" outlineLevel="0" collapsed="false">
      <c r="B117" s="14" t="str">
        <f aca="false">Data!B117</f>
        <v>2025-03</v>
      </c>
      <c r="C117" s="17" t="n">
        <f aca="false">(Data!D106+Data!E106+Data!F106+Data!G106+Data!H106+Data!I106+Data!J106+Data!K106+Data!L106+Data!M106+Data!N106+Data!O106+Data!P106+Data!Q106+Data!R106+Data!S106+Data!D107+Data!E107+Data!F107+Data!G107+Data!H107+Data!I107+Data!J107+Data!K107+Data!L107+Data!M107+Data!N107+Data!O107+Data!P107+Data!Q107+Data!R107+Data!S107+Data!D108+Data!E108+Data!F108+Data!G108+Data!H108+Data!I108+Data!J108+Data!K108+Data!L108+Data!M108+Data!N108+Data!O108+Data!P108+Data!Q108+Data!R108+Data!S108+Data!D109+Data!E109+Data!F109+Data!G109+Data!H109+Data!I109+Data!J109+Data!K109+Data!L109+Data!M109+Data!N109+Data!O109+Data!P109+Data!Q109+Data!R109+Data!S109+Data!D110+Data!E110+Data!F110+Data!G110+Data!H110+Data!I110+Data!J110+Data!K110+Data!L110+Data!M110+Data!N110+Data!O110+Data!P110+Data!Q110+Data!R110+Data!S110+Data!D111+Data!E111+Data!F111+Data!G111+Data!H111+Data!I111+Data!J111+Data!K111+Data!L111+Data!M111+Data!N111+Data!O111+Data!P111+Data!Q111+Data!R111+Data!S111+Data!D112+Data!E112+Data!F112+Data!G112+Data!H112+Data!I112+Data!J112+Data!K112+Data!L112+Data!M112+Data!N112+Data!O112+Data!P112+Data!Q112+Data!R112+Data!S112+Data!D113+Data!E113+Data!F113+Data!G113+Data!H113+Data!I113+Data!J113+Data!K113+Data!L113+Data!M113+Data!N113+Data!O113+Data!P113+Data!Q113+Data!R113+Data!S113+Data!D114+Data!E114+Data!F114+Data!G114+Data!H114+Data!I114+Data!J114+Data!K114+Data!L114+Data!M114+Data!N114+Data!O114+Data!P114+Data!Q114+Data!R114+Data!S114+Data!D115+Data!E115+Data!F115+Data!G115+Data!H115+Data!I115+Data!J115+Data!K115+Data!L115+Data!M115+Data!N115+Data!O115+Data!P115+Data!Q115+Data!R115+Data!S115+Data!D116+Data!E116+Data!F116+Data!G116+Data!H116+Data!I116+Data!J116+Data!K116+Data!L116+Data!M116+Data!N116+Data!O116+Data!P116+Data!Q116+Data!R116+Data!S116+Data!D117+Data!E117+Data!F117+Data!G117+Data!H117+Data!I117+Data!J117+Data!K117+Data!L117+Data!M117+Data!N117+Data!O117+Data!P117+Data!Q117+Data!R117+Data!S117)/(Data!AP106+Data!AP107+Data!AP108+Data!AP109+Data!AP110+Data!AP111+Data!AP112+Data!AP113+Data!AP114+Data!AP115+Data!AP116+Data!AP117)</f>
        <v>0.167754912683267</v>
      </c>
      <c r="D117" s="18" t="n">
        <f aca="false">(Data!D106+Data!E106+Data!G106+Data!H106+Data!I106+Data!J106+Data!K106+Data!L106+Data!M106+Data!D107+Data!E107+Data!G107+Data!H107+Data!I107+Data!J107+Data!K107+Data!L107+Data!M107+Data!D108+Data!E108+Data!G108+Data!H108+Data!I108+Data!J108+Data!K108+Data!L108+Data!M108+Data!D109+Data!E109+Data!G109+Data!H109+Data!I109+Data!J109+Data!K109+Data!L109+Data!M109+Data!D110+Data!E110+Data!G110+Data!H110+Data!I110+Data!J110+Data!K110+Data!L110+Data!M110+Data!D111+Data!E111+Data!G111+Data!H111+Data!I111+Data!J111+Data!K111+Data!L111+Data!M111+Data!D112+Data!E112+Data!G112+Data!H112+Data!I112+Data!J112+Data!K112+Data!L112+Data!M112+Data!D113+Data!E113+Data!G113+Data!H113+Data!I113+Data!J113+Data!K113+Data!L113+Data!M113+Data!D114+Data!E114+Data!G114+Data!H114+Data!I114+Data!J114+Data!K114+Data!L114+Data!M114+Data!D115+Data!E115+Data!G115+Data!H115+Data!I115+Data!J115+Data!K115+Data!L115+Data!M115+Data!D116+Data!E116+Data!G116+Data!H116+Data!I116+Data!J116+Data!K116+Data!L116+Data!M116+Data!D117+Data!E117+Data!G117+Data!H117+Data!I117+Data!J117+Data!K117+Data!L117+Data!M117)/(Data!AP106+Data!AP107+Data!AP108+Data!AP109+Data!AP110+Data!AP111+Data!AP112+Data!AP113+Data!AP114+Data!AP115+Data!AP116+Data!AP117)</f>
        <v>0.100958239937706</v>
      </c>
      <c r="E117" s="18" t="n">
        <f aca="false">(Data!D106+Data!D107+Data!D108+Data!D109+Data!D110+Data!D111+Data!D112+Data!D113+Data!D114+Data!D115+Data!D116+Data!D117)/(Data!AP106+Data!AP107+Data!AP108+Data!AP109+Data!AP110+Data!AP111+Data!AP112+Data!AP113+Data!AP114+Data!AP115+Data!AP116+Data!AP117)</f>
        <v>0.0340175977761202</v>
      </c>
      <c r="F117" s="18" t="n">
        <f aca="false">(Data!E106+Data!E107+Data!E108+Data!E109+Data!E110+Data!E111+Data!E112+Data!E113+Data!E114+Data!E115+Data!E116+Data!E117)/(Data!AP106+Data!AP107+Data!AP108+Data!AP109+Data!AP110+Data!AP111+Data!AP112+Data!AP113+Data!AP114+Data!AP115+Data!AP116+Data!AP117)</f>
        <v>0.0165447182497954</v>
      </c>
      <c r="G117" s="18" t="n">
        <f aca="false">(Data!K106+Data!K107+Data!K108+Data!K109+Data!K110+Data!K111+Data!K112+Data!K113+Data!K114+Data!K115+Data!K116+Data!K117)/(Data!AP106+Data!AP107+Data!AP108+Data!AP109+Data!AP110+Data!AP111+Data!AP112+Data!AP113+Data!AP114+Data!AP115+Data!AP116+Data!AP117)</f>
        <v>0.0095796572173235</v>
      </c>
      <c r="H117" s="18" t="n">
        <f aca="false">(Data!L106+Data!L107+Data!L108+Data!L109+Data!L110+Data!L111+Data!L112+Data!L113+Data!L114+Data!L115+Data!L116+Data!L117)/(Data!AP106+Data!AP107+Data!AP108+Data!AP109+Data!AP110+Data!AP111+Data!AP112+Data!AP113+Data!AP114+Data!AP115+Data!AP116+Data!AP117)</f>
        <v>0.0055624668525727</v>
      </c>
      <c r="I117" s="18" t="n">
        <f aca="false">(Data!G106+Data!G107+Data!G108+Data!G109+Data!G110+Data!G111+Data!G112+Data!G113+Data!G114+Data!G115+Data!G116+Data!G117)/(Data!AP106+Data!AP107+Data!AP108+Data!AP109+Data!AP110+Data!AP111+Data!AP112+Data!AP113+Data!AP114+Data!AP115+Data!AP116+Data!AP117)</f>
        <v>0.0160637906110861</v>
      </c>
      <c r="J117" s="18" t="n">
        <f aca="false">(Data!H106+Data!I106+Data!J106+Data!M106+Data!H107+Data!I107+Data!J107+Data!M107+Data!H108+Data!I108+Data!J108+Data!M108+Data!H109+Data!I109+Data!J109+Data!M109+Data!H110+Data!I110+Data!J110+Data!M110+Data!H111+Data!I111+Data!J111+Data!M111+Data!H112+Data!I112+Data!J112+Data!M112+Data!H113+Data!I113+Data!J113+Data!M113+Data!H114+Data!I114+Data!J114+Data!M114+Data!H115+Data!I115+Data!J115+Data!M115+Data!H116+Data!I116+Data!J116+Data!M116+Data!H117+Data!I117+Data!J117+Data!M117)/(Data!AP106+Data!AP107+Data!AP108+Data!AP109+Data!AP110+Data!AP111+Data!AP112+Data!AP113+Data!AP114+Data!AP115+Data!AP116+Data!AP117)</f>
        <v>0.0191900092308081</v>
      </c>
      <c r="K117" s="18" t="n">
        <f aca="false">(Data!F106+Data!F107+Data!F108+Data!F109+Data!F110+Data!F111+Data!F112+Data!F113+Data!F114+Data!F115+Data!F116+Data!F117)/(Data!AP106+Data!AP107+Data!AP108+Data!AP109+Data!AP110+Data!AP111+Data!AP112+Data!AP113+Data!AP114+Data!AP115+Data!AP116+Data!AP117)</f>
        <v>0.0542850257709765</v>
      </c>
      <c r="L117" s="18" t="n">
        <f aca="false">(Data!N106+Data!O106+Data!P106+Data!Q106+Data!R106+Data!S106+Data!N107+Data!O107+Data!P107+Data!Q107+Data!R107+Data!S107+Data!N108+Data!O108+Data!P108+Data!Q108+Data!R108+Data!S108+Data!N109+Data!O109+Data!P109+Data!Q109+Data!R109+Data!S109+Data!N110+Data!O110+Data!P110+Data!Q110+Data!R110+Data!S110+Data!N111+Data!O111+Data!P111+Data!Q111+Data!R111+Data!S111+Data!N112+Data!O112+Data!P112+Data!Q112+Data!R112+Data!S112+Data!N113+Data!O113+Data!P113+Data!Q113+Data!R113+Data!S113+Data!N114+Data!O114+Data!P114+Data!Q114+Data!R114+Data!S114+Data!N115+Data!O115+Data!P115+Data!Q115+Data!R115+Data!S115+Data!N116+Data!O116+Data!P116+Data!Q116+Data!R116+Data!S116+Data!N117+Data!O117+Data!P117+Data!Q117+Data!R117+Data!S117)/(Data!AP106+Data!AP107+Data!AP108+Data!AP109+Data!AP110+Data!AP111+Data!AP112+Data!AP113+Data!AP114+Data!AP115+Data!AP116+Data!AP117)</f>
        <v>0.0125116469745845</v>
      </c>
      <c r="M117" s="17" t="n">
        <f aca="false">(Data!T106+Data!U106+Data!V106+Data!W106+Data!X106+Data!Y106+Data!Z106+Data!AA106+Data!AB106+Data!AC106+Data!AD106+Data!AE106+Data!AF106+Data!AG106+Data!AH106+Data!AI106+Data!AJ106+Data!AK106+Data!AL106+Data!T107+Data!U107+Data!V107+Data!W107+Data!X107+Data!Y107+Data!Z107+Data!AA107+Data!AB107+Data!AC107+Data!AD107+Data!AE107+Data!AF107+Data!AG107+Data!AH107+Data!AI107+Data!AJ107+Data!AK107+Data!AL107+Data!T108+Data!U108+Data!V108+Data!W108+Data!X108+Data!Y108+Data!Z108+Data!AA108+Data!AB108+Data!AC108+Data!AD108+Data!AE108+Data!AF108+Data!AG108+Data!AH108+Data!AI108+Data!AJ108+Data!AK108+Data!AL108+Data!T109+Data!U109+Data!V109+Data!W109+Data!X109+Data!Y109+Data!Z109+Data!AA109+Data!AB109+Data!AC109+Data!AD109+Data!AE109+Data!AF109+Data!AG109+Data!AH109+Data!AI109+Data!AJ109+Data!AK109+Data!AL109+Data!T110+Data!U110+Data!V110+Data!W110+Data!X110+Data!Y110+Data!Z110+Data!AA110+Data!AB110+Data!AC110+Data!AD110+Data!AE110+Data!AF110+Data!AG110+Data!AH110+Data!AI110+Data!AJ110+Data!AK110+Data!AL110+Data!T111+Data!U111+Data!V111+Data!W111+Data!X111+Data!Y111+Data!Z111+Data!AA111+Data!AB111+Data!AC111+Data!AD111+Data!AE111+Data!AF111+Data!AG111+Data!AH111+Data!AI111+Data!AJ111+Data!AK111+Data!AL111+Data!T112+Data!U112+Data!V112+Data!W112+Data!X112+Data!Y112+Data!Z112+Data!AA112+Data!AB112+Data!AC112+Data!AD112+Data!AE112+Data!AF112+Data!AG112+Data!AH112+Data!AI112+Data!AJ112+Data!AK112+Data!AL112+Data!T113+Data!U113+Data!V113+Data!W113+Data!X113+Data!Y113+Data!Z113+Data!AA113+Data!AB113+Data!AC113+Data!AD113+Data!AE113+Data!AF113+Data!AG113+Data!AH113+Data!AI113+Data!AJ113+Data!AK113+Data!AL113+Data!T114+Data!U114+Data!V114+Data!W114+Data!X114+Data!Y114+Data!Z114+Data!AA114+Data!AB114+Data!AC114+Data!AD114+Data!AE114+Data!AF114+Data!AG114+Data!AH114+Data!AI114+Data!AJ114+Data!AK114+Data!AL114+Data!T115+Data!U115+Data!V115+Data!W115+Data!X115+Data!Y115+Data!Z115+Data!AA115+Data!AB115+Data!AC115+Data!AD115+Data!AE115+Data!AF115+Data!AG115+Data!AH115+Data!AI115+Data!AJ115+Data!AK115+Data!AL115+Data!T116+Data!U116+Data!V116+Data!W116+Data!X116+Data!Y116+Data!Z116+Data!AA116+Data!AB116+Data!AC116+Data!AD116+Data!AE116+Data!AF116+Data!AG116+Data!AH116+Data!AI116+Data!AJ116+Data!AK116+Data!AL116+Data!T117+Data!U117+Data!V117+Data!W117+Data!X117+Data!Y117+Data!Z117+Data!AA117+Data!AB117+Data!AC117+Data!AD117+Data!AE117+Data!AF117+Data!AG117+Data!AH117+Data!AI117+Data!AJ117+Data!AK117+Data!AL117)/(Data!AP106+Data!AP107+Data!AP108+Data!AP109+Data!AP110+Data!AP111+Data!AP112+Data!AP113+Data!AP114+Data!AP115+Data!AP116+Data!AP117)</f>
        <v>0.151218874824079</v>
      </c>
      <c r="N117" s="18" t="n">
        <f aca="false">(Data!T106+Data!U106+Data!V106+Data!W106+Data!T107+Data!U107+Data!V107+Data!W107+Data!T108+Data!U108+Data!V108+Data!W108+Data!T109+Data!U109+Data!V109+Data!W109+Data!T110+Data!U110+Data!V110+Data!W110+Data!T111+Data!U111+Data!V111+Data!W111+Data!T112+Data!U112+Data!V112+Data!W112+Data!T113+Data!U113+Data!V113+Data!W113+Data!T114+Data!U114+Data!V114+Data!W114+Data!T115+Data!U115+Data!V115+Data!W115+Data!T116+Data!U116+Data!V116+Data!W116+Data!T117+Data!U117+Data!V117+Data!W117)/(Data!AP106+Data!AP107+Data!AP108+Data!AP109+Data!AP110+Data!AP111+Data!AP112+Data!AP113+Data!AP114+Data!AP115+Data!AP116+Data!AP117)</f>
        <v>0.0840373977370876</v>
      </c>
      <c r="O117" s="18" t="n">
        <f aca="false">(Data!T106+Data!T107+Data!T108+Data!T109+Data!T110+Data!T111+Data!T112+Data!T113+Data!T114+Data!T115+Data!T116+Data!T117)/(Data!AP106+Data!AP107+Data!AP108+Data!AP109+Data!AP110+Data!AP111+Data!AP112+Data!AP113+Data!AP114+Data!AP115+Data!AP116+Data!AP117)</f>
        <v>0.0586451166086701</v>
      </c>
      <c r="P117" s="18" t="n">
        <f aca="false">(Data!U106+Data!U107+Data!U108+Data!U109+Data!U110+Data!U111+Data!U112+Data!U113+Data!U114+Data!U115+Data!U116+Data!U117)/(Data!AP106+Data!AP107+Data!AP108+Data!AP109+Data!AP110+Data!AP111+Data!AP112+Data!AP113+Data!AP114+Data!AP115+Data!AP116+Data!AP117)</f>
        <v>0.0102327264577641</v>
      </c>
      <c r="Q117" s="18" t="n">
        <f aca="false">(Data!V106+Data!V107+Data!V108+Data!V109+Data!V110+Data!V111+Data!V112+Data!V113+Data!V114+Data!V115+Data!V116+Data!V117)/(Data!AP106+Data!AP107+Data!AP108+Data!AP109+Data!AP110+Data!AP111+Data!AP112+Data!AP113+Data!AP114+Data!AP115+Data!AP116+Data!AP117)</f>
        <v>0.00538209109818482</v>
      </c>
      <c r="R117" s="18" t="n">
        <f aca="false">(Data!W106+Data!W107+Data!W108+Data!W109+Data!W110+Data!W111+Data!W112+Data!W113+Data!W114+Data!W115+Data!W116+Data!W117)/(Data!AP106+Data!AP107+Data!AP108+Data!AP109+Data!AP110+Data!AP111+Data!AP112+Data!AP113+Data!AP114+Data!AP115+Data!AP116+Data!AP117)</f>
        <v>0.00977746357246863</v>
      </c>
      <c r="S117" s="18" t="n">
        <f aca="false">(Data!X106+Data!X107+Data!X108+Data!X109+Data!X110+Data!X111+Data!X112+Data!X113+Data!X114+Data!X115+Data!X116+Data!X117)/(Data!AP106+Data!AP107+Data!AP108+Data!AP109+Data!AP110+Data!AP111+Data!AP112+Data!AP113+Data!AP114+Data!AP115+Data!AP116+Data!AP117)</f>
        <v>0.0133614100109265</v>
      </c>
      <c r="T117" s="18" t="n">
        <f aca="false">(Data!Y106+Data!Z106+Data!AA106+Data!Y107+Data!Z107+Data!AA107+Data!Y108+Data!Z108+Data!AA108+Data!Y109+Data!Z109+Data!AA109+Data!Y110+Data!Z110+Data!AA110+Data!Y111+Data!Z111+Data!AA111+Data!Y112+Data!Z112+Data!AA112+Data!Y113+Data!Z113+Data!AA113+Data!Y114+Data!Z114+Data!AA114+Data!Y115+Data!Z115+Data!AA115+Data!Y116+Data!Z116+Data!AA116+Data!Y117+Data!Z117+Data!AA117)/(Data!AP106+Data!AP107+Data!AP108+Data!AP109+Data!AP110+Data!AP111+Data!AP112+Data!AP113+Data!AP114+Data!AP115+Data!AP116+Data!AP117)</f>
        <v>0.013449853158447</v>
      </c>
      <c r="U117" s="18" t="n">
        <f aca="false">(Data!Y106+Data!Y107+Data!Y108+Data!Y109+Data!Y110+Data!Y111+Data!Y112+Data!Y113+Data!Y114+Data!Y115+Data!Y116+Data!Y117)/(Data!AP106+Data!AP107+Data!AP108+Data!AP109+Data!AP110+Data!AP111+Data!AP112+Data!AP113+Data!AP114+Data!AP115+Data!AP116+Data!AP117)</f>
        <v>0.00957737745745434</v>
      </c>
      <c r="V117" s="18" t="n">
        <f aca="false">(Data!Z106+Data!Z107+Data!Z108+Data!Z109+Data!Z110+Data!Z111+Data!Z112+Data!Z113+Data!Z114+Data!Z115+Data!Z116+Data!Z117)/(Data!AP106+Data!AP107+Data!AP108+Data!AP109+Data!AP110+Data!AP111+Data!AP112+Data!AP113+Data!AP114+Data!AP115+Data!AP116+Data!AP117)</f>
        <v>0.00365893869918708</v>
      </c>
      <c r="W117" s="18" t="n">
        <f aca="false">(Data!AB106+Data!AB107+Data!AB108+Data!AB109+Data!AB110+Data!AB111+Data!AB112+Data!AB113+Data!AB114+Data!AB115+Data!AB116+Data!AB117)/(Data!AP106+Data!AP107+Data!AP108+Data!AP109+Data!AP110+Data!AP111+Data!AP112+Data!AP113+Data!AP114+Data!AP115+Data!AP116+Data!AP117)</f>
        <v>0.0212370119921509</v>
      </c>
      <c r="X117" s="18" t="n">
        <f aca="false">(Data!AC106+Data!AC107+Data!AC108+Data!AC109+Data!AC110+Data!AC111+Data!AC112+Data!AC113+Data!AC114+Data!AC115+Data!AC116+Data!AC117)/(Data!AP106+Data!AP107+Data!AP108+Data!AP109+Data!AP110+Data!AP111+Data!AP112+Data!AP113+Data!AP114+Data!AP115+Data!AP116+Data!AP117)</f>
        <v>0.00549022791035393</v>
      </c>
      <c r="Y117" s="18" t="n">
        <f aca="false">(Data!AD106+Data!AE106+Data!AF106+Data!AG106+Data!AH106+Data!AD107+Data!AE107+Data!AF107+Data!AG107+Data!AH107+Data!AD108+Data!AE108+Data!AF108+Data!AG108+Data!AH108+Data!AD109+Data!AE109+Data!AF109+Data!AG109+Data!AH109+Data!AD110+Data!AE110+Data!AF110+Data!AG110+Data!AH110+Data!AD111+Data!AE111+Data!AF111+Data!AG111+Data!AH111+Data!AD112+Data!AE112+Data!AF112+Data!AG112+Data!AH112+Data!AD113+Data!AE113+Data!AF113+Data!AG113+Data!AH113+Data!AD114+Data!AE114+Data!AF114+Data!AG114+Data!AH114+Data!AD115+Data!AE115+Data!AF115+Data!AG115+Data!AH115+Data!AD116+Data!AE116+Data!AF116+Data!AG116+Data!AH116+Data!AD117+Data!AE117+Data!AF117+Data!AG117+Data!AH117)/(Data!AP106+Data!AP107+Data!AP108+Data!AP109+Data!AP110+Data!AP111+Data!AP112+Data!AP113+Data!AP114+Data!AP115+Data!AP116+Data!AP117)</f>
        <v>0.00283910092621411</v>
      </c>
      <c r="Z117" s="18" t="n">
        <f aca="false">(Data!AI106+Data!AI107+Data!AI108+Data!AI109+Data!AI110+Data!AI111+Data!AI112+Data!AI113+Data!AI114+Data!AI115+Data!AI116+Data!AI117)/(Data!AP106+Data!AP107+Data!AP108+Data!AP109+Data!AP110+Data!AP111+Data!AP112+Data!AP113+Data!AP114+Data!AP115+Data!AP116+Data!AP117)</f>
        <v>0.00519013592432837</v>
      </c>
      <c r="AA117" s="18" t="n">
        <f aca="false">(Data!AJ106+Data!AJ107+Data!AJ108+Data!AJ109+Data!AJ110+Data!AJ111+Data!AJ112+Data!AJ113+Data!AJ114+Data!AJ115+Data!AJ116+Data!AJ117)/(Data!AP106+Data!AP107+Data!AP108+Data!AP109+Data!AP110+Data!AP111+Data!AP112+Data!AP113+Data!AP114+Data!AP115+Data!AP116+Data!AP117)</f>
        <v>0</v>
      </c>
      <c r="AB117" s="18" t="n">
        <f aca="false">(Data!AK106+Data!AK107+Data!AK108+Data!AK109+Data!AK110+Data!AK111+Data!AK112+Data!AK113+Data!AK114+Data!AK115+Data!AK116+Data!AK117)/(Data!AP106+Data!AP107+Data!AP108+Data!AP109+Data!AP110+Data!AP111+Data!AP112+Data!AP113+Data!AP114+Data!AP115+Data!AP116+Data!AP117)</f>
        <v>0.00152636146286225</v>
      </c>
      <c r="AC117" s="18" t="n">
        <f aca="false">(Data!AL106+Data!AL107+Data!AL108+Data!AL109+Data!AL110+Data!AL111+Data!AL112+Data!AL113+Data!AL114+Data!AL115+Data!AL116+Data!AL117)/(Data!AP106+Data!AP107+Data!AP108+Data!AP109+Data!AP110+Data!AP111+Data!AP112+Data!AP113+Data!AP114+Data!AP115+Data!AP116+Data!AP117)</f>
        <v>0.00408737570170794</v>
      </c>
      <c r="AD117" s="17" t="n">
        <f aca="false">(Data!AM106+Data!AM107+Data!AM108+Data!AM109+Data!AM110+Data!AM111+Data!AM112+Data!AM113+Data!AM114+Data!AM115+Data!AM116+Data!AM117)/(Data!AP106+Data!AP107+Data!AP108+Data!AP109+Data!AP110+Data!AP111+Data!AP112+Data!AP113+Data!AP114+Data!AP115+Data!AP116+Data!AP117)</f>
        <v>0.0165360378591884</v>
      </c>
      <c r="AE117" s="18" t="n">
        <f aca="false">(Data!AN106+Data!AN107+Data!AN108+Data!AN109+Data!AN110+Data!AN111+Data!AN112+Data!AN113+Data!AN114+Data!AN115+Data!AN116+Data!AN117)/(Data!AP106+Data!AP107+Data!AP108+Data!AP109+Data!AP110+Data!AP111+Data!AP112+Data!AP113+Data!AP114+Data!AP115+Data!AP116+Data!AP117)</f>
        <v>0.0135899324116589</v>
      </c>
      <c r="AF117" s="17" t="n">
        <f aca="false">(Data!AO106+Data!AO107+Data!AO108+Data!AO109+Data!AO110+Data!AO111+Data!AO112+Data!AO113+Data!AO114+Data!AO115+Data!AO116+Data!AO117)/(Data!AP106+Data!AP107+Data!AP108+Data!AP109+Data!AP110+Data!AP111+Data!AP112+Data!AP113+Data!AP114+Data!AP115+Data!AP116+Data!AP117)</f>
        <v>0.00294610544752943</v>
      </c>
    </row>
    <row r="118" customFormat="false" ht="15" hidden="false" customHeight="false" outlineLevel="0" collapsed="false">
      <c r="B118" s="14" t="str">
        <f aca="false">Data!B118</f>
        <v>2025-04</v>
      </c>
      <c r="C118" s="17" t="n">
        <f aca="false">(Data!D107+Data!E107+Data!F107+Data!G107+Data!H107+Data!I107+Data!J107+Data!K107+Data!L107+Data!M107+Data!N107+Data!O107+Data!P107+Data!Q107+Data!R107+Data!S107+Data!D108+Data!E108+Data!F108+Data!G108+Data!H108+Data!I108+Data!J108+Data!K108+Data!L108+Data!M108+Data!N108+Data!O108+Data!P108+Data!Q108+Data!R108+Data!S108+Data!D109+Data!E109+Data!F109+Data!G109+Data!H109+Data!I109+Data!J109+Data!K109+Data!L109+Data!M109+Data!N109+Data!O109+Data!P109+Data!Q109+Data!R109+Data!S109+Data!D110+Data!E110+Data!F110+Data!G110+Data!H110+Data!I110+Data!J110+Data!K110+Data!L110+Data!M110+Data!N110+Data!O110+Data!P110+Data!Q110+Data!R110+Data!S110+Data!D111+Data!E111+Data!F111+Data!G111+Data!H111+Data!I111+Data!J111+Data!K111+Data!L111+Data!M111+Data!N111+Data!O111+Data!P111+Data!Q111+Data!R111+Data!S111+Data!D112+Data!E112+Data!F112+Data!G112+Data!H112+Data!I112+Data!J112+Data!K112+Data!L112+Data!M112+Data!N112+Data!O112+Data!P112+Data!Q112+Data!R112+Data!S112+Data!D113+Data!E113+Data!F113+Data!G113+Data!H113+Data!I113+Data!J113+Data!K113+Data!L113+Data!M113+Data!N113+Data!O113+Data!P113+Data!Q113+Data!R113+Data!S113+Data!D114+Data!E114+Data!F114+Data!G114+Data!H114+Data!I114+Data!J114+Data!K114+Data!L114+Data!M114+Data!N114+Data!O114+Data!P114+Data!Q114+Data!R114+Data!S114+Data!D115+Data!E115+Data!F115+Data!G115+Data!H115+Data!I115+Data!J115+Data!K115+Data!L115+Data!M115+Data!N115+Data!O115+Data!P115+Data!Q115+Data!R115+Data!S115+Data!D116+Data!E116+Data!F116+Data!G116+Data!H116+Data!I116+Data!J116+Data!K116+Data!L116+Data!M116+Data!N116+Data!O116+Data!P116+Data!Q116+Data!R116+Data!S116+Data!D117+Data!E117+Data!F117+Data!G117+Data!H117+Data!I117+Data!J117+Data!K117+Data!L117+Data!M117+Data!N117+Data!O117+Data!P117+Data!Q117+Data!R117+Data!S117+Data!D118+Data!E118+Data!F118+Data!G118+Data!H118+Data!I118+Data!J118+Data!K118+Data!L118+Data!M118+Data!N118+Data!O118+Data!P118+Data!Q118+Data!R118+Data!S118)/(Data!AP107+Data!AP108+Data!AP109+Data!AP110+Data!AP111+Data!AP112+Data!AP113+Data!AP114+Data!AP115+Data!AP116+Data!AP117+Data!AP118)</f>
        <v>0.167129240205784</v>
      </c>
      <c r="D118" s="18" t="n">
        <f aca="false">(Data!D107+Data!E107+Data!G107+Data!H107+Data!I107+Data!J107+Data!K107+Data!L107+Data!M107+Data!D108+Data!E108+Data!G108+Data!H108+Data!I108+Data!J108+Data!K108+Data!L108+Data!M108+Data!D109+Data!E109+Data!G109+Data!H109+Data!I109+Data!J109+Data!K109+Data!L109+Data!M109+Data!D110+Data!E110+Data!G110+Data!H110+Data!I110+Data!J110+Data!K110+Data!L110+Data!M110+Data!D111+Data!E111+Data!G111+Data!H111+Data!I111+Data!J111+Data!K111+Data!L111+Data!M111+Data!D112+Data!E112+Data!G112+Data!H112+Data!I112+Data!J112+Data!K112+Data!L112+Data!M112+Data!D113+Data!E113+Data!G113+Data!H113+Data!I113+Data!J113+Data!K113+Data!L113+Data!M113+Data!D114+Data!E114+Data!G114+Data!H114+Data!I114+Data!J114+Data!K114+Data!L114+Data!M114+Data!D115+Data!E115+Data!G115+Data!H115+Data!I115+Data!J115+Data!K115+Data!L115+Data!M115+Data!D116+Data!E116+Data!G116+Data!H116+Data!I116+Data!J116+Data!K116+Data!L116+Data!M116+Data!D117+Data!E117+Data!G117+Data!H117+Data!I117+Data!J117+Data!K117+Data!L117+Data!M117+Data!D118+Data!E118+Data!G118+Data!H118+Data!I118+Data!J118+Data!K118+Data!L118+Data!M118)/(Data!AP107+Data!AP108+Data!AP109+Data!AP110+Data!AP111+Data!AP112+Data!AP113+Data!AP114+Data!AP115+Data!AP116+Data!AP117+Data!AP118)</f>
        <v>0.100036446390174</v>
      </c>
      <c r="E118" s="18" t="n">
        <f aca="false">(Data!D107+Data!D108+Data!D109+Data!D110+Data!D111+Data!D112+Data!D113+Data!D114+Data!D115+Data!D116+Data!D117+Data!D118)/(Data!AP107+Data!AP108+Data!AP109+Data!AP110+Data!AP111+Data!AP112+Data!AP113+Data!AP114+Data!AP115+Data!AP116+Data!AP117+Data!AP118)</f>
        <v>0.0338198585739309</v>
      </c>
      <c r="F118" s="18" t="n">
        <f aca="false">(Data!E107+Data!E108+Data!E109+Data!E110+Data!E111+Data!E112+Data!E113+Data!E114+Data!E115+Data!E116+Data!E117+Data!E118)/(Data!AP107+Data!AP108+Data!AP109+Data!AP110+Data!AP111+Data!AP112+Data!AP113+Data!AP114+Data!AP115+Data!AP116+Data!AP117+Data!AP118)</f>
        <v>0.0164797550904248</v>
      </c>
      <c r="G118" s="18" t="n">
        <f aca="false">(Data!K107+Data!K108+Data!K109+Data!K110+Data!K111+Data!K112+Data!K113+Data!K114+Data!K115+Data!K116+Data!K117+Data!K118)/(Data!AP107+Data!AP108+Data!AP109+Data!AP110+Data!AP111+Data!AP112+Data!AP113+Data!AP114+Data!AP115+Data!AP116+Data!AP117+Data!AP118)</f>
        <v>0.00980580078302956</v>
      </c>
      <c r="H118" s="18" t="n">
        <f aca="false">(Data!L107+Data!L108+Data!L109+Data!L110+Data!L111+Data!L112+Data!L113+Data!L114+Data!L115+Data!L116+Data!L117+Data!L118)/(Data!AP107+Data!AP108+Data!AP109+Data!AP110+Data!AP111+Data!AP112+Data!AP113+Data!AP114+Data!AP115+Data!AP116+Data!AP117+Data!AP118)</f>
        <v>0.00563731750296856</v>
      </c>
      <c r="I118" s="18" t="n">
        <f aca="false">(Data!G107+Data!G108+Data!G109+Data!G110+Data!G111+Data!G112+Data!G113+Data!G114+Data!G115+Data!G116+Data!G117+Data!G118)/(Data!AP107+Data!AP108+Data!AP109+Data!AP110+Data!AP111+Data!AP112+Data!AP113+Data!AP114+Data!AP115+Data!AP116+Data!AP117+Data!AP118)</f>
        <v>0.0161421070378794</v>
      </c>
      <c r="J118" s="18" t="n">
        <f aca="false">(Data!H107+Data!I107+Data!J107+Data!M107+Data!H108+Data!I108+Data!J108+Data!M108+Data!H109+Data!I109+Data!J109+Data!M109+Data!H110+Data!I110+Data!J110+Data!M110+Data!H111+Data!I111+Data!J111+Data!M111+Data!H112+Data!I112+Data!J112+Data!M112+Data!H113+Data!I113+Data!J113+Data!M113+Data!H114+Data!I114+Data!J114+Data!M114+Data!H115+Data!I115+Data!J115+Data!M115+Data!H116+Data!I116+Data!J116+Data!M116+Data!H117+Data!I117+Data!J117+Data!M117+Data!H118+Data!I118+Data!J118+Data!M118)/(Data!AP107+Data!AP108+Data!AP109+Data!AP110+Data!AP111+Data!AP112+Data!AP113+Data!AP114+Data!AP115+Data!AP116+Data!AP117+Data!AP118)</f>
        <v>0.0181516074019404</v>
      </c>
      <c r="K118" s="18" t="n">
        <f aca="false">(Data!F107+Data!F108+Data!F109+Data!F110+Data!F111+Data!F112+Data!F113+Data!F114+Data!F115+Data!F116+Data!F117+Data!F118)/(Data!AP107+Data!AP108+Data!AP109+Data!AP110+Data!AP111+Data!AP112+Data!AP113+Data!AP114+Data!AP115+Data!AP116+Data!AP117+Data!AP118)</f>
        <v>0.0548832442130493</v>
      </c>
      <c r="L118" s="18" t="n">
        <f aca="false">(Data!N107+Data!O107+Data!P107+Data!Q107+Data!R107+Data!S107+Data!N108+Data!O108+Data!P108+Data!Q108+Data!R108+Data!S108+Data!N109+Data!O109+Data!P109+Data!Q109+Data!R109+Data!S109+Data!N110+Data!O110+Data!P110+Data!Q110+Data!R110+Data!S110+Data!N111+Data!O111+Data!P111+Data!Q111+Data!R111+Data!S111+Data!N112+Data!O112+Data!P112+Data!Q112+Data!R112+Data!S112+Data!N113+Data!O113+Data!P113+Data!Q113+Data!R113+Data!S113+Data!N114+Data!O114+Data!P114+Data!Q114+Data!R114+Data!S114+Data!N115+Data!O115+Data!P115+Data!Q115+Data!R115+Data!S115+Data!N116+Data!O116+Data!P116+Data!Q116+Data!R116+Data!S116+Data!N117+Data!O117+Data!P117+Data!Q117+Data!R117+Data!S117+Data!N118+Data!O118+Data!P118+Data!Q118+Data!R118+Data!S118)/(Data!AP107+Data!AP108+Data!AP109+Data!AP110+Data!AP111+Data!AP112+Data!AP113+Data!AP114+Data!AP115+Data!AP116+Data!AP117+Data!AP118)</f>
        <v>0.0122095496025607</v>
      </c>
      <c r="M118" s="17" t="n">
        <f aca="false">(Data!T107+Data!U107+Data!V107+Data!W107+Data!X107+Data!Y107+Data!Z107+Data!AA107+Data!AB107+Data!AC107+Data!AD107+Data!AE107+Data!AF107+Data!AG107+Data!AH107+Data!AI107+Data!AJ107+Data!AK107+Data!AL107+Data!T108+Data!U108+Data!V108+Data!W108+Data!X108+Data!Y108+Data!Z108+Data!AA108+Data!AB108+Data!AC108+Data!AD108+Data!AE108+Data!AF108+Data!AG108+Data!AH108+Data!AI108+Data!AJ108+Data!AK108+Data!AL108+Data!T109+Data!U109+Data!V109+Data!W109+Data!X109+Data!Y109+Data!Z109+Data!AA109+Data!AB109+Data!AC109+Data!AD109+Data!AE109+Data!AF109+Data!AG109+Data!AH109+Data!AI109+Data!AJ109+Data!AK109+Data!AL109+Data!T110+Data!U110+Data!V110+Data!W110+Data!X110+Data!Y110+Data!Z110+Data!AA110+Data!AB110+Data!AC110+Data!AD110+Data!AE110+Data!AF110+Data!AG110+Data!AH110+Data!AI110+Data!AJ110+Data!AK110+Data!AL110+Data!T111+Data!U111+Data!V111+Data!W111+Data!X111+Data!Y111+Data!Z111+Data!AA111+Data!AB111+Data!AC111+Data!AD111+Data!AE111+Data!AF111+Data!AG111+Data!AH111+Data!AI111+Data!AJ111+Data!AK111+Data!AL111+Data!T112+Data!U112+Data!V112+Data!W112+Data!X112+Data!Y112+Data!Z112+Data!AA112+Data!AB112+Data!AC112+Data!AD112+Data!AE112+Data!AF112+Data!AG112+Data!AH112+Data!AI112+Data!AJ112+Data!AK112+Data!AL112+Data!T113+Data!U113+Data!V113+Data!W113+Data!X113+Data!Y113+Data!Z113+Data!AA113+Data!AB113+Data!AC113+Data!AD113+Data!AE113+Data!AF113+Data!AG113+Data!AH113+Data!AI113+Data!AJ113+Data!AK113+Data!AL113+Data!T114+Data!U114+Data!V114+Data!W114+Data!X114+Data!Y114+Data!Z114+Data!AA114+Data!AB114+Data!AC114+Data!AD114+Data!AE114+Data!AF114+Data!AG114+Data!AH114+Data!AI114+Data!AJ114+Data!AK114+Data!AL114+Data!T115+Data!U115+Data!V115+Data!W115+Data!X115+Data!Y115+Data!Z115+Data!AA115+Data!AB115+Data!AC115+Data!AD115+Data!AE115+Data!AF115+Data!AG115+Data!AH115+Data!AI115+Data!AJ115+Data!AK115+Data!AL115+Data!T116+Data!U116+Data!V116+Data!W116+Data!X116+Data!Y116+Data!Z116+Data!AA116+Data!AB116+Data!AC116+Data!AD116+Data!AE116+Data!AF116+Data!AG116+Data!AH116+Data!AI116+Data!AJ116+Data!AK116+Data!AL116+Data!T117+Data!U117+Data!V117+Data!W117+Data!X117+Data!Y117+Data!Z117+Data!AA117+Data!AB117+Data!AC117+Data!AD117+Data!AE117+Data!AF117+Data!AG117+Data!AH117+Data!AI117+Data!AJ117+Data!AK117+Data!AL117+Data!T118+Data!U118+Data!V118+Data!W118+Data!X118+Data!Y118+Data!Z118+Data!AA118+Data!AB118+Data!AC118+Data!AD118+Data!AE118+Data!AF118+Data!AG118+Data!AH118+Data!AI118+Data!AJ118+Data!AK118+Data!AL118)/(Data!AP107+Data!AP108+Data!AP109+Data!AP110+Data!AP111+Data!AP112+Data!AP113+Data!AP114+Data!AP115+Data!AP116+Data!AP117+Data!AP118)</f>
        <v>0.150316980822576</v>
      </c>
      <c r="N118" s="18" t="n">
        <f aca="false">(Data!T107+Data!U107+Data!V107+Data!W107+Data!T108+Data!U108+Data!V108+Data!W108+Data!T109+Data!U109+Data!V109+Data!W109+Data!T110+Data!U110+Data!V110+Data!W110+Data!T111+Data!U111+Data!V111+Data!W111+Data!T112+Data!U112+Data!V112+Data!W112+Data!T113+Data!U113+Data!V113+Data!W113+Data!T114+Data!U114+Data!V114+Data!W114+Data!T115+Data!U115+Data!V115+Data!W115+Data!T116+Data!U116+Data!V116+Data!W116+Data!T117+Data!U117+Data!V117+Data!W117+Data!T118+Data!U118+Data!V118+Data!W118)/(Data!AP107+Data!AP108+Data!AP109+Data!AP110+Data!AP111+Data!AP112+Data!AP113+Data!AP114+Data!AP115+Data!AP116+Data!AP117+Data!AP118)</f>
        <v>0.0845540928349638</v>
      </c>
      <c r="O118" s="18" t="n">
        <f aca="false">(Data!T107+Data!T108+Data!T109+Data!T110+Data!T111+Data!T112+Data!T113+Data!T114+Data!T115+Data!T116+Data!T117+Data!T118)/(Data!AP107+Data!AP108+Data!AP109+Data!AP110+Data!AP111+Data!AP112+Data!AP113+Data!AP114+Data!AP115+Data!AP116+Data!AP117+Data!AP118)</f>
        <v>0.0590149388427547</v>
      </c>
      <c r="P118" s="18" t="n">
        <f aca="false">(Data!U107+Data!U108+Data!U109+Data!U110+Data!U111+Data!U112+Data!U113+Data!U114+Data!U115+Data!U116+Data!U117+Data!U118)/(Data!AP107+Data!AP108+Data!AP109+Data!AP110+Data!AP111+Data!AP112+Data!AP113+Data!AP114+Data!AP115+Data!AP116+Data!AP117+Data!AP118)</f>
        <v>0.0103470485455518</v>
      </c>
      <c r="Q118" s="18" t="n">
        <f aca="false">(Data!V107+Data!V108+Data!V109+Data!V110+Data!V111+Data!V112+Data!V113+Data!V114+Data!V115+Data!V116+Data!V117+Data!V118)/(Data!AP107+Data!AP108+Data!AP109+Data!AP110+Data!AP111+Data!AP112+Data!AP113+Data!AP114+Data!AP115+Data!AP116+Data!AP117+Data!AP118)</f>
        <v>0.00535760743599178</v>
      </c>
      <c r="R118" s="18" t="n">
        <f aca="false">(Data!W107+Data!W108+Data!W109+Data!W110+Data!W111+Data!W112+Data!W113+Data!W114+Data!W115+Data!W116+Data!W117+Data!W118)/(Data!AP107+Data!AP108+Data!AP109+Data!AP110+Data!AP111+Data!AP112+Data!AP113+Data!AP114+Data!AP115+Data!AP116+Data!AP117+Data!AP118)</f>
        <v>0.00983449801066552</v>
      </c>
      <c r="S118" s="18" t="n">
        <f aca="false">(Data!X107+Data!X108+Data!X109+Data!X110+Data!X111+Data!X112+Data!X113+Data!X114+Data!X115+Data!X116+Data!X117+Data!X118)/(Data!AP107+Data!AP108+Data!AP109+Data!AP110+Data!AP111+Data!AP112+Data!AP113+Data!AP114+Data!AP115+Data!AP116+Data!AP117+Data!AP118)</f>
        <v>0.0127193736957158</v>
      </c>
      <c r="T118" s="18" t="n">
        <f aca="false">(Data!Y107+Data!Z107+Data!AA107+Data!Y108+Data!Z108+Data!AA108+Data!Y109+Data!Z109+Data!AA109+Data!Y110+Data!Z110+Data!AA110+Data!Y111+Data!Z111+Data!AA111+Data!Y112+Data!Z112+Data!AA112+Data!Y113+Data!Z113+Data!AA113+Data!Y114+Data!Z114+Data!AA114+Data!Y115+Data!Z115+Data!AA115+Data!Y116+Data!Z116+Data!AA116+Data!Y117+Data!Z117+Data!AA117+Data!Y118+Data!Z118+Data!AA118)/(Data!AP107+Data!AP108+Data!AP109+Data!AP110+Data!AP111+Data!AP112+Data!AP113+Data!AP114+Data!AP115+Data!AP116+Data!AP117+Data!AP118)</f>
        <v>0.0122799638792539</v>
      </c>
      <c r="U118" s="18" t="n">
        <f aca="false">(Data!Y107+Data!Y108+Data!Y109+Data!Y110+Data!Y111+Data!Y112+Data!Y113+Data!Y114+Data!Y115+Data!Y116+Data!Y117+Data!Y118)/(Data!AP107+Data!AP108+Data!AP109+Data!AP110+Data!AP111+Data!AP112+Data!AP113+Data!AP114+Data!AP115+Data!AP116+Data!AP117+Data!AP118)</f>
        <v>0.00847090062947466</v>
      </c>
      <c r="V118" s="18" t="n">
        <f aca="false">(Data!Z107+Data!Z108+Data!Z109+Data!Z110+Data!Z111+Data!Z112+Data!Z113+Data!Z114+Data!Z115+Data!Z116+Data!Z117+Data!Z118)/(Data!AP107+Data!AP108+Data!AP109+Data!AP110+Data!AP111+Data!AP112+Data!AP113+Data!AP114+Data!AP115+Data!AP116+Data!AP117+Data!AP118)</f>
        <v>0.00361468890443511</v>
      </c>
      <c r="W118" s="18" t="n">
        <f aca="false">(Data!AB107+Data!AB108+Data!AB109+Data!AB110+Data!AB111+Data!AB112+Data!AB113+Data!AB114+Data!AB115+Data!AB116+Data!AB117+Data!AB118)/(Data!AP107+Data!AP108+Data!AP109+Data!AP110+Data!AP111+Data!AP112+Data!AP113+Data!AP114+Data!AP115+Data!AP116+Data!AP117+Data!AP118)</f>
        <v>0.0210417894663299</v>
      </c>
      <c r="X118" s="18" t="n">
        <f aca="false">(Data!AC107+Data!AC108+Data!AC109+Data!AC110+Data!AC111+Data!AC112+Data!AC113+Data!AC114+Data!AC115+Data!AC116+Data!AC117+Data!AC118)/(Data!AP107+Data!AP108+Data!AP109+Data!AP110+Data!AP111+Data!AP112+Data!AP113+Data!AP114+Data!AP115+Data!AP116+Data!AP117+Data!AP118)</f>
        <v>0.00567104861227479</v>
      </c>
      <c r="Y118" s="18" t="n">
        <f aca="false">(Data!AD107+Data!AE107+Data!AF107+Data!AG107+Data!AH107+Data!AD108+Data!AE108+Data!AF108+Data!AG108+Data!AH108+Data!AD109+Data!AE109+Data!AF109+Data!AG109+Data!AH109+Data!AD110+Data!AE110+Data!AF110+Data!AG110+Data!AH110+Data!AD111+Data!AE111+Data!AF111+Data!AG111+Data!AH111+Data!AD112+Data!AE112+Data!AF112+Data!AG112+Data!AH112+Data!AD113+Data!AE113+Data!AF113+Data!AG113+Data!AH113+Data!AD114+Data!AE114+Data!AF114+Data!AG114+Data!AH114+Data!AD115+Data!AE115+Data!AF115+Data!AG115+Data!AH115+Data!AD116+Data!AE116+Data!AF116+Data!AG116+Data!AH116+Data!AD117+Data!AE117+Data!AF117+Data!AG117+Data!AH117+Data!AD118+Data!AE118+Data!AF118+Data!AG118+Data!AH118)/(Data!AP107+Data!AP108+Data!AP109+Data!AP110+Data!AP111+Data!AP112+Data!AP113+Data!AP114+Data!AP115+Data!AP116+Data!AP117+Data!AP118)</f>
        <v>0.00301496402117111</v>
      </c>
      <c r="Z118" s="18" t="n">
        <f aca="false">(Data!AI107+Data!AI108+Data!AI109+Data!AI110+Data!AI111+Data!AI112+Data!AI113+Data!AI114+Data!AI115+Data!AI116+Data!AI117+Data!AI118)/(Data!AP107+Data!AP108+Data!AP109+Data!AP110+Data!AP111+Data!AP112+Data!AP113+Data!AP114+Data!AP115+Data!AP116+Data!AP117+Data!AP118)</f>
        <v>0.00558739182789308</v>
      </c>
      <c r="AA118" s="18" t="n">
        <f aca="false">(Data!AJ107+Data!AJ108+Data!AJ109+Data!AJ110+Data!AJ111+Data!AJ112+Data!AJ113+Data!AJ114+Data!AJ115+Data!AJ116+Data!AJ117+Data!AJ118)/(Data!AP107+Data!AP108+Data!AP109+Data!AP110+Data!AP111+Data!AP112+Data!AP113+Data!AP114+Data!AP115+Data!AP116+Data!AP117+Data!AP118)</f>
        <v>0</v>
      </c>
      <c r="AB118" s="18" t="n">
        <f aca="false">(Data!AK107+Data!AK108+Data!AK109+Data!AK110+Data!AK111+Data!AK112+Data!AK113+Data!AK114+Data!AK115+Data!AK116+Data!AK117+Data!AK118)/(Data!AP107+Data!AP108+Data!AP109+Data!AP110+Data!AP111+Data!AP112+Data!AP113+Data!AP114+Data!AP115+Data!AP116+Data!AP117+Data!AP118)</f>
        <v>0.00144799254635307</v>
      </c>
      <c r="AC118" s="18" t="n">
        <f aca="false">(Data!AL107+Data!AL108+Data!AL109+Data!AL110+Data!AL111+Data!AL112+Data!AL113+Data!AL114+Data!AL115+Data!AL116+Data!AL117+Data!AL118)/(Data!AP107+Data!AP108+Data!AP109+Data!AP110+Data!AP111+Data!AP112+Data!AP113+Data!AP114+Data!AP115+Data!AP116+Data!AP117+Data!AP118)</f>
        <v>0.00400036393862046</v>
      </c>
      <c r="AD118" s="17" t="n">
        <f aca="false">(Data!AM107+Data!AM108+Data!AM109+Data!AM110+Data!AM111+Data!AM112+Data!AM113+Data!AM114+Data!AM115+Data!AM116+Data!AM117+Data!AM118)/(Data!AP107+Data!AP108+Data!AP109+Data!AP110+Data!AP111+Data!AP112+Data!AP113+Data!AP114+Data!AP115+Data!AP116+Data!AP117+Data!AP118)</f>
        <v>0.0168122593832077</v>
      </c>
      <c r="AE118" s="18" t="n">
        <f aca="false">(Data!AN107+Data!AN108+Data!AN109+Data!AN110+Data!AN111+Data!AN112+Data!AN113+Data!AN114+Data!AN115+Data!AN116+Data!AN117+Data!AN118)/(Data!AP107+Data!AP108+Data!AP109+Data!AP110+Data!AP111+Data!AP112+Data!AP113+Data!AP114+Data!AP115+Data!AP116+Data!AP117+Data!AP118)</f>
        <v>0.0131555926523762</v>
      </c>
      <c r="AF118" s="17" t="n">
        <f aca="false">(Data!AO107+Data!AO108+Data!AO109+Data!AO110+Data!AO111+Data!AO112+Data!AO113+Data!AO114+Data!AO115+Data!AO116+Data!AO117+Data!AO118)/(Data!AP107+Data!AP108+Data!AP109+Data!AP110+Data!AP111+Data!AP112+Data!AP113+Data!AP114+Data!AP115+Data!AP116+Data!AP117+Data!AP118)</f>
        <v>0.00365666673083154</v>
      </c>
    </row>
    <row r="119" customFormat="false" ht="15" hidden="false" customHeight="false" outlineLevel="0" collapsed="false">
      <c r="B119" s="14" t="str">
        <f aca="false">Data!B119</f>
        <v>2025-05</v>
      </c>
      <c r="C119" s="17" t="n">
        <f aca="false">(Data!D108+Data!E108+Data!F108+Data!G108+Data!H108+Data!I108+Data!J108+Data!K108+Data!L108+Data!M108+Data!N108+Data!O108+Data!P108+Data!Q108+Data!R108+Data!S108+Data!D109+Data!E109+Data!F109+Data!G109+Data!H109+Data!I109+Data!J109+Data!K109+Data!L109+Data!M109+Data!N109+Data!O109+Data!P109+Data!Q109+Data!R109+Data!S109+Data!D110+Data!E110+Data!F110+Data!G110+Data!H110+Data!I110+Data!J110+Data!K110+Data!L110+Data!M110+Data!N110+Data!O110+Data!P110+Data!Q110+Data!R110+Data!S110+Data!D111+Data!E111+Data!F111+Data!G111+Data!H111+Data!I111+Data!J111+Data!K111+Data!L111+Data!M111+Data!N111+Data!O111+Data!P111+Data!Q111+Data!R111+Data!S111+Data!D112+Data!E112+Data!F112+Data!G112+Data!H112+Data!I112+Data!J112+Data!K112+Data!L112+Data!M112+Data!N112+Data!O112+Data!P112+Data!Q112+Data!R112+Data!S112+Data!D113+Data!E113+Data!F113+Data!G113+Data!H113+Data!I113+Data!J113+Data!K113+Data!L113+Data!M113+Data!N113+Data!O113+Data!P113+Data!Q113+Data!R113+Data!S113+Data!D114+Data!E114+Data!F114+Data!G114+Data!H114+Data!I114+Data!J114+Data!K114+Data!L114+Data!M114+Data!N114+Data!O114+Data!P114+Data!Q114+Data!R114+Data!S114+Data!D115+Data!E115+Data!F115+Data!G115+Data!H115+Data!I115+Data!J115+Data!K115+Data!L115+Data!M115+Data!N115+Data!O115+Data!P115+Data!Q115+Data!R115+Data!S115+Data!D116+Data!E116+Data!F116+Data!G116+Data!H116+Data!I116+Data!J116+Data!K116+Data!L116+Data!M116+Data!N116+Data!O116+Data!P116+Data!Q116+Data!R116+Data!S116+Data!D117+Data!E117+Data!F117+Data!G117+Data!H117+Data!I117+Data!J117+Data!K117+Data!L117+Data!M117+Data!N117+Data!O117+Data!P117+Data!Q117+Data!R117+Data!S117+Data!D118+Data!E118+Data!F118+Data!G118+Data!H118+Data!I118+Data!J118+Data!K118+Data!L118+Data!M118+Data!N118+Data!O118+Data!P118+Data!Q118+Data!R118+Data!S118+Data!D119+Data!E119+Data!F119+Data!G119+Data!H119+Data!I119+Data!J119+Data!K119+Data!L119+Data!M119+Data!N119+Data!O119+Data!P119+Data!Q119+Data!R119+Data!S119)/(Data!AP108+Data!AP109+Data!AP110+Data!AP111+Data!AP112+Data!AP113+Data!AP114+Data!AP115+Data!AP116+Data!AP117+Data!AP118+Data!AP119)</f>
        <v>0.16476694392239</v>
      </c>
      <c r="D119" s="18" t="n">
        <f aca="false">(Data!D108+Data!E108+Data!G108+Data!H108+Data!I108+Data!J108+Data!K108+Data!L108+Data!M108+Data!D109+Data!E109+Data!G109+Data!H109+Data!I109+Data!J109+Data!K109+Data!L109+Data!M109+Data!D110+Data!E110+Data!G110+Data!H110+Data!I110+Data!J110+Data!K110+Data!L110+Data!M110+Data!D111+Data!E111+Data!G111+Data!H111+Data!I111+Data!J111+Data!K111+Data!L111+Data!M111+Data!D112+Data!E112+Data!G112+Data!H112+Data!I112+Data!J112+Data!K112+Data!L112+Data!M112+Data!D113+Data!E113+Data!G113+Data!H113+Data!I113+Data!J113+Data!K113+Data!L113+Data!M113+Data!D114+Data!E114+Data!G114+Data!H114+Data!I114+Data!J114+Data!K114+Data!L114+Data!M114+Data!D115+Data!E115+Data!G115+Data!H115+Data!I115+Data!J115+Data!K115+Data!L115+Data!M115+Data!D116+Data!E116+Data!G116+Data!H116+Data!I116+Data!J116+Data!K116+Data!L116+Data!M116+Data!D117+Data!E117+Data!G117+Data!H117+Data!I117+Data!J117+Data!K117+Data!L117+Data!M117+Data!D118+Data!E118+Data!G118+Data!H118+Data!I118+Data!J118+Data!K118+Data!L118+Data!M118+Data!D119+Data!E119+Data!G119+Data!H119+Data!I119+Data!J119+Data!K119+Data!L119+Data!M119)/(Data!AP108+Data!AP109+Data!AP110+Data!AP111+Data!AP112+Data!AP113+Data!AP114+Data!AP115+Data!AP116+Data!AP117+Data!AP118+Data!AP119)</f>
        <v>0.0974398690328317</v>
      </c>
      <c r="E119" s="18" t="n">
        <f aca="false">(Data!D108+Data!D109+Data!D110+Data!D111+Data!D112+Data!D113+Data!D114+Data!D115+Data!D116+Data!D117+Data!D118+Data!D119)/(Data!AP108+Data!AP109+Data!AP110+Data!AP111+Data!AP112+Data!AP113+Data!AP114+Data!AP115+Data!AP116+Data!AP117+Data!AP118+Data!AP119)</f>
        <v>0.0335782860535094</v>
      </c>
      <c r="F119" s="18" t="n">
        <f aca="false">(Data!E108+Data!E109+Data!E110+Data!E111+Data!E112+Data!E113+Data!E114+Data!E115+Data!E116+Data!E117+Data!E118+Data!E119)/(Data!AP108+Data!AP109+Data!AP110+Data!AP111+Data!AP112+Data!AP113+Data!AP114+Data!AP115+Data!AP116+Data!AP117+Data!AP118+Data!AP119)</f>
        <v>0.0153368085600177</v>
      </c>
      <c r="G119" s="18" t="n">
        <f aca="false">(Data!K108+Data!K109+Data!K110+Data!K111+Data!K112+Data!K113+Data!K114+Data!K115+Data!K116+Data!K117+Data!K118+Data!K119)/(Data!AP108+Data!AP109+Data!AP110+Data!AP111+Data!AP112+Data!AP113+Data!AP114+Data!AP115+Data!AP116+Data!AP117+Data!AP118+Data!AP119)</f>
        <v>0.00937151156614069</v>
      </c>
      <c r="H119" s="18" t="n">
        <f aca="false">(Data!L108+Data!L109+Data!L110+Data!L111+Data!L112+Data!L113+Data!L114+Data!L115+Data!L116+Data!L117+Data!L118+Data!L119)/(Data!AP108+Data!AP109+Data!AP110+Data!AP111+Data!AP112+Data!AP113+Data!AP114+Data!AP115+Data!AP116+Data!AP117+Data!AP118+Data!AP119)</f>
        <v>0.00569329335707784</v>
      </c>
      <c r="I119" s="18" t="n">
        <f aca="false">(Data!G108+Data!G109+Data!G110+Data!G111+Data!G112+Data!G113+Data!G114+Data!G115+Data!G116+Data!G117+Data!G118+Data!G119)/(Data!AP108+Data!AP109+Data!AP110+Data!AP111+Data!AP112+Data!AP113+Data!AP114+Data!AP115+Data!AP116+Data!AP117+Data!AP118+Data!AP119)</f>
        <v>0.0162949875663445</v>
      </c>
      <c r="J119" s="18" t="n">
        <f aca="false">(Data!H108+Data!I108+Data!J108+Data!M108+Data!H109+Data!I109+Data!J109+Data!M109+Data!H110+Data!I110+Data!J110+Data!M110+Data!H111+Data!I111+Data!J111+Data!M111+Data!H112+Data!I112+Data!J112+Data!M112+Data!H113+Data!I113+Data!J113+Data!M113+Data!H114+Data!I114+Data!J114+Data!M114+Data!H115+Data!I115+Data!J115+Data!M115+Data!H116+Data!I116+Data!J116+Data!M116+Data!H117+Data!I117+Data!J117+Data!M117+Data!H118+Data!I118+Data!J118+Data!M118+Data!H119+Data!I119+Data!J119+Data!M119)/(Data!AP108+Data!AP109+Data!AP110+Data!AP111+Data!AP112+Data!AP113+Data!AP114+Data!AP115+Data!AP116+Data!AP117+Data!AP118+Data!AP119)</f>
        <v>0.0171649819297415</v>
      </c>
      <c r="K119" s="18" t="n">
        <f aca="false">(Data!F108+Data!F109+Data!F110+Data!F111+Data!F112+Data!F113+Data!F114+Data!F115+Data!F116+Data!F117+Data!F118+Data!F119)/(Data!AP108+Data!AP109+Data!AP110+Data!AP111+Data!AP112+Data!AP113+Data!AP114+Data!AP115+Data!AP116+Data!AP117+Data!AP118+Data!AP119)</f>
        <v>0.0551625818978307</v>
      </c>
      <c r="L119" s="18" t="n">
        <f aca="false">(Data!N108+Data!O108+Data!P108+Data!Q108+Data!R108+Data!S108+Data!N109+Data!O109+Data!P109+Data!Q109+Data!R109+Data!S109+Data!N110+Data!O110+Data!P110+Data!Q110+Data!R110+Data!S110+Data!N111+Data!O111+Data!P111+Data!Q111+Data!R111+Data!S111+Data!N112+Data!O112+Data!P112+Data!Q112+Data!R112+Data!S112+Data!N113+Data!O113+Data!P113+Data!Q113+Data!R113+Data!S113+Data!N114+Data!O114+Data!P114+Data!Q114+Data!R114+Data!S114+Data!N115+Data!O115+Data!P115+Data!Q115+Data!R115+Data!S115+Data!N116+Data!O116+Data!P116+Data!Q116+Data!R116+Data!S116+Data!N117+Data!O117+Data!P117+Data!Q117+Data!R117+Data!S117+Data!N118+Data!O118+Data!P118+Data!Q118+Data!R118+Data!S118+Data!N119+Data!O119+Data!P119+Data!Q119+Data!R119+Data!S119)/(Data!AP108+Data!AP109+Data!AP110+Data!AP111+Data!AP112+Data!AP113+Data!AP114+Data!AP115+Data!AP116+Data!AP117+Data!AP118+Data!AP119)</f>
        <v>0.0121644929917274</v>
      </c>
      <c r="M119" s="17" t="n">
        <f aca="false">(Data!T108+Data!U108+Data!V108+Data!W108+Data!X108+Data!Y108+Data!Z108+Data!AA108+Data!AB108+Data!AC108+Data!AD108+Data!AE108+Data!AF108+Data!AG108+Data!AH108+Data!AI108+Data!AJ108+Data!AK108+Data!AL108+Data!T109+Data!U109+Data!V109+Data!W109+Data!X109+Data!Y109+Data!Z109+Data!AA109+Data!AB109+Data!AC109+Data!AD109+Data!AE109+Data!AF109+Data!AG109+Data!AH109+Data!AI109+Data!AJ109+Data!AK109+Data!AL109+Data!T110+Data!U110+Data!V110+Data!W110+Data!X110+Data!Y110+Data!Z110+Data!AA110+Data!AB110+Data!AC110+Data!AD110+Data!AE110+Data!AF110+Data!AG110+Data!AH110+Data!AI110+Data!AJ110+Data!AK110+Data!AL110+Data!T111+Data!U111+Data!V111+Data!W111+Data!X111+Data!Y111+Data!Z111+Data!AA111+Data!AB111+Data!AC111+Data!AD111+Data!AE111+Data!AF111+Data!AG111+Data!AH111+Data!AI111+Data!AJ111+Data!AK111+Data!AL111+Data!T112+Data!U112+Data!V112+Data!W112+Data!X112+Data!Y112+Data!Z112+Data!AA112+Data!AB112+Data!AC112+Data!AD112+Data!AE112+Data!AF112+Data!AG112+Data!AH112+Data!AI112+Data!AJ112+Data!AK112+Data!AL112+Data!T113+Data!U113+Data!V113+Data!W113+Data!X113+Data!Y113+Data!Z113+Data!AA113+Data!AB113+Data!AC113+Data!AD113+Data!AE113+Data!AF113+Data!AG113+Data!AH113+Data!AI113+Data!AJ113+Data!AK113+Data!AL113+Data!T114+Data!U114+Data!V114+Data!W114+Data!X114+Data!Y114+Data!Z114+Data!AA114+Data!AB114+Data!AC114+Data!AD114+Data!AE114+Data!AF114+Data!AG114+Data!AH114+Data!AI114+Data!AJ114+Data!AK114+Data!AL114+Data!T115+Data!U115+Data!V115+Data!W115+Data!X115+Data!Y115+Data!Z115+Data!AA115+Data!AB115+Data!AC115+Data!AD115+Data!AE115+Data!AF115+Data!AG115+Data!AH115+Data!AI115+Data!AJ115+Data!AK115+Data!AL115+Data!T116+Data!U116+Data!V116+Data!W116+Data!X116+Data!Y116+Data!Z116+Data!AA116+Data!AB116+Data!AC116+Data!AD116+Data!AE116+Data!AF116+Data!AG116+Data!AH116+Data!AI116+Data!AJ116+Data!AK116+Data!AL116+Data!T117+Data!U117+Data!V117+Data!W117+Data!X117+Data!Y117+Data!Z117+Data!AA117+Data!AB117+Data!AC117+Data!AD117+Data!AE117+Data!AF117+Data!AG117+Data!AH117+Data!AI117+Data!AJ117+Data!AK117+Data!AL117+Data!T118+Data!U118+Data!V118+Data!W118+Data!X118+Data!Y118+Data!Z118+Data!AA118+Data!AB118+Data!AC118+Data!AD118+Data!AE118+Data!AF118+Data!AG118+Data!AH118+Data!AI118+Data!AJ118+Data!AK118+Data!AL118+Data!T119+Data!U119+Data!V119+Data!W119+Data!X119+Data!Y119+Data!Z119+Data!AA119+Data!AB119+Data!AC119+Data!AD119+Data!AE119+Data!AF119+Data!AG119+Data!AH119+Data!AI119+Data!AJ119+Data!AK119+Data!AL119)/(Data!AP108+Data!AP109+Data!AP110+Data!AP111+Data!AP112+Data!AP113+Data!AP114+Data!AP115+Data!AP116+Data!AP117+Data!AP118+Data!AP119)</f>
        <v>0.149402156436171</v>
      </c>
      <c r="N119" s="18" t="n">
        <f aca="false">(Data!T108+Data!U108+Data!V108+Data!W108+Data!T109+Data!U109+Data!V109+Data!W109+Data!T110+Data!U110+Data!V110+Data!W110+Data!T111+Data!U111+Data!V111+Data!W111+Data!T112+Data!U112+Data!V112+Data!W112+Data!T113+Data!U113+Data!V113+Data!W113+Data!T114+Data!U114+Data!V114+Data!W114+Data!T115+Data!U115+Data!V115+Data!W115+Data!T116+Data!U116+Data!V116+Data!W116+Data!T117+Data!U117+Data!V117+Data!W117+Data!T118+Data!U118+Data!V118+Data!W118+Data!T119+Data!U119+Data!V119+Data!W119)/(Data!AP108+Data!AP109+Data!AP110+Data!AP111+Data!AP112+Data!AP113+Data!AP114+Data!AP115+Data!AP116+Data!AP117+Data!AP118+Data!AP119)</f>
        <v>0.0848683166818143</v>
      </c>
      <c r="O119" s="18" t="n">
        <f aca="false">(Data!T108+Data!T109+Data!T110+Data!T111+Data!T112+Data!T113+Data!T114+Data!T115+Data!T116+Data!T117+Data!T118+Data!T119)/(Data!AP108+Data!AP109+Data!AP110+Data!AP111+Data!AP112+Data!AP113+Data!AP114+Data!AP115+Data!AP116+Data!AP117+Data!AP118+Data!AP119)</f>
        <v>0.0593022128533137</v>
      </c>
      <c r="P119" s="18" t="n">
        <f aca="false">(Data!U108+Data!U109+Data!U110+Data!U111+Data!U112+Data!U113+Data!U114+Data!U115+Data!U116+Data!U117+Data!U118+Data!U119)/(Data!AP108+Data!AP109+Data!AP110+Data!AP111+Data!AP112+Data!AP113+Data!AP114+Data!AP115+Data!AP116+Data!AP117+Data!AP118+Data!AP119)</f>
        <v>0.0104757181727557</v>
      </c>
      <c r="Q119" s="18" t="n">
        <f aca="false">(Data!V108+Data!V109+Data!V110+Data!V111+Data!V112+Data!V113+Data!V114+Data!V115+Data!V116+Data!V117+Data!V118+Data!V119)/(Data!AP108+Data!AP109+Data!AP110+Data!AP111+Data!AP112+Data!AP113+Data!AP114+Data!AP115+Data!AP116+Data!AP117+Data!AP118+Data!AP119)</f>
        <v>0.00534230382258912</v>
      </c>
      <c r="R119" s="18" t="n">
        <f aca="false">(Data!W108+Data!W109+Data!W110+Data!W111+Data!W112+Data!W113+Data!W114+Data!W115+Data!W116+Data!W117+Data!W118+Data!W119)/(Data!AP108+Data!AP109+Data!AP110+Data!AP111+Data!AP112+Data!AP113+Data!AP114+Data!AP115+Data!AP116+Data!AP117+Data!AP118+Data!AP119)</f>
        <v>0.00974808183315585</v>
      </c>
      <c r="S119" s="18" t="n">
        <f aca="false">(Data!X108+Data!X109+Data!X110+Data!X111+Data!X112+Data!X113+Data!X114+Data!X115+Data!X116+Data!X117+Data!X118+Data!X119)/(Data!AP108+Data!AP109+Data!AP110+Data!AP111+Data!AP112+Data!AP113+Data!AP114+Data!AP115+Data!AP116+Data!AP117+Data!AP118+Data!AP119)</f>
        <v>0.0124889351458847</v>
      </c>
      <c r="T119" s="18" t="n">
        <f aca="false">(Data!Y108+Data!Z108+Data!AA108+Data!Y109+Data!Z109+Data!AA109+Data!Y110+Data!Z110+Data!AA110+Data!Y111+Data!Z111+Data!AA111+Data!Y112+Data!Z112+Data!AA112+Data!Y113+Data!Z113+Data!AA113+Data!Y114+Data!Z114+Data!AA114+Data!Y115+Data!Z115+Data!AA115+Data!Y116+Data!Z116+Data!AA116+Data!Y117+Data!Z117+Data!AA117+Data!Y118+Data!Z118+Data!AA118+Data!Y119+Data!Z119+Data!AA119)/(Data!AP108+Data!AP109+Data!AP110+Data!AP111+Data!AP112+Data!AP113+Data!AP114+Data!AP115+Data!AP116+Data!AP117+Data!AP118+Data!AP119)</f>
        <v>0.0113518710181356</v>
      </c>
      <c r="U119" s="18" t="n">
        <f aca="false">(Data!Y108+Data!Y109+Data!Y110+Data!Y111+Data!Y112+Data!Y113+Data!Y114+Data!Y115+Data!Y116+Data!Y117+Data!Y118+Data!Y119)/(Data!AP108+Data!AP109+Data!AP110+Data!AP111+Data!AP112+Data!AP113+Data!AP114+Data!AP115+Data!AP116+Data!AP117+Data!AP118+Data!AP119)</f>
        <v>0.00753506357781707</v>
      </c>
      <c r="V119" s="18" t="n">
        <f aca="false">(Data!Z108+Data!Z109+Data!Z110+Data!Z111+Data!Z112+Data!Z113+Data!Z114+Data!Z115+Data!Z116+Data!Z117+Data!Z118+Data!Z119)/(Data!AP108+Data!AP109+Data!AP110+Data!AP111+Data!AP112+Data!AP113+Data!AP114+Data!AP115+Data!AP116+Data!AP117+Data!AP118+Data!AP119)</f>
        <v>0.0036344866088096</v>
      </c>
      <c r="W119" s="18" t="n">
        <f aca="false">(Data!AB108+Data!AB109+Data!AB110+Data!AB111+Data!AB112+Data!AB113+Data!AB114+Data!AB115+Data!AB116+Data!AB117+Data!AB118+Data!AB119)/(Data!AP108+Data!AP109+Data!AP110+Data!AP111+Data!AP112+Data!AP113+Data!AP114+Data!AP115+Data!AP116+Data!AP117+Data!AP118+Data!AP119)</f>
        <v>0.0208334755484972</v>
      </c>
      <c r="X119" s="18" t="n">
        <f aca="false">(Data!AC108+Data!AC109+Data!AC110+Data!AC111+Data!AC112+Data!AC113+Data!AC114+Data!AC115+Data!AC116+Data!AC117+Data!AC118+Data!AC119)/(Data!AP108+Data!AP109+Data!AP110+Data!AP111+Data!AP112+Data!AP113+Data!AP114+Data!AP115+Data!AP116+Data!AP117+Data!AP118+Data!AP119)</f>
        <v>0.0057600898542949</v>
      </c>
      <c r="Y119" s="18" t="n">
        <f aca="false">(Data!AD108+Data!AE108+Data!AF108+Data!AG108+Data!AH108+Data!AD109+Data!AE109+Data!AF109+Data!AG109+Data!AH109+Data!AD110+Data!AE110+Data!AF110+Data!AG110+Data!AH110+Data!AD111+Data!AE111+Data!AF111+Data!AG111+Data!AH111+Data!AD112+Data!AE112+Data!AF112+Data!AG112+Data!AH112+Data!AD113+Data!AE113+Data!AF113+Data!AG113+Data!AH113+Data!AD114+Data!AE114+Data!AF114+Data!AG114+Data!AH114+Data!AD115+Data!AE115+Data!AF115+Data!AG115+Data!AH115+Data!AD116+Data!AE116+Data!AF116+Data!AG116+Data!AH116+Data!AD117+Data!AE117+Data!AF117+Data!AG117+Data!AH117+Data!AD118+Data!AE118+Data!AF118+Data!AG118+Data!AH118+Data!AD119+Data!AE119+Data!AF119+Data!AG119+Data!AH119)/(Data!AP108+Data!AP109+Data!AP110+Data!AP111+Data!AP112+Data!AP113+Data!AP114+Data!AP115+Data!AP116+Data!AP117+Data!AP118+Data!AP119)</f>
        <v>0.00310642477187584</v>
      </c>
      <c r="Z119" s="18" t="n">
        <f aca="false">(Data!AI108+Data!AI109+Data!AI110+Data!AI111+Data!AI112+Data!AI113+Data!AI114+Data!AI115+Data!AI116+Data!AI117+Data!AI118+Data!AI119)/(Data!AP108+Data!AP109+Data!AP110+Data!AP111+Data!AP112+Data!AP113+Data!AP114+Data!AP115+Data!AP116+Data!AP117+Data!AP118+Data!AP119)</f>
        <v>0.00551980133667855</v>
      </c>
      <c r="AA119" s="18" t="n">
        <f aca="false">(Data!AJ108+Data!AJ109+Data!AJ110+Data!AJ111+Data!AJ112+Data!AJ113+Data!AJ114+Data!AJ115+Data!AJ116+Data!AJ117+Data!AJ118+Data!AJ119)/(Data!AP108+Data!AP109+Data!AP110+Data!AP111+Data!AP112+Data!AP113+Data!AP114+Data!AP115+Data!AP116+Data!AP117+Data!AP118+Data!AP119)</f>
        <v>0</v>
      </c>
      <c r="AB119" s="18" t="n">
        <f aca="false">(Data!AK108+Data!AK109+Data!AK110+Data!AK111+Data!AK112+Data!AK113+Data!AK114+Data!AK115+Data!AK116+Data!AK117+Data!AK118+Data!AK119)/(Data!AP108+Data!AP109+Data!AP110+Data!AP111+Data!AP112+Data!AP113+Data!AP114+Data!AP115+Data!AP116+Data!AP117+Data!AP118+Data!AP119)</f>
        <v>0.00161765533670329</v>
      </c>
      <c r="AC119" s="18" t="n">
        <f aca="false">(Data!AL108+Data!AL109+Data!AL110+Data!AL111+Data!AL112+Data!AL113+Data!AL114+Data!AL115+Data!AL116+Data!AL117+Data!AL118+Data!AL119)/(Data!AP108+Data!AP109+Data!AP110+Data!AP111+Data!AP112+Data!AP113+Data!AP114+Data!AP115+Data!AP116+Data!AP117+Data!AP118+Data!AP119)</f>
        <v>0.00385558674228682</v>
      </c>
      <c r="AD119" s="17" t="n">
        <f aca="false">(Data!AM108+Data!AM109+Data!AM110+Data!AM111+Data!AM112+Data!AM113+Data!AM114+Data!AM115+Data!AM116+Data!AM117+Data!AM118+Data!AM119)/(Data!AP108+Data!AP109+Data!AP110+Data!AP111+Data!AP112+Data!AP113+Data!AP114+Data!AP115+Data!AP116+Data!AP117+Data!AP118+Data!AP119)</f>
        <v>0.0153647874862185</v>
      </c>
      <c r="AE119" s="18" t="n">
        <f aca="false">(Data!AN108+Data!AN109+Data!AN110+Data!AN111+Data!AN112+Data!AN113+Data!AN114+Data!AN115+Data!AN116+Data!AN117+Data!AN118+Data!AN119)/(Data!AP108+Data!AP109+Data!AP110+Data!AP111+Data!AP112+Data!AP113+Data!AP114+Data!AP115+Data!AP116+Data!AP117+Data!AP118+Data!AP119)</f>
        <v>0.0125661875974373</v>
      </c>
      <c r="AF119" s="17" t="n">
        <f aca="false">(Data!AO108+Data!AO109+Data!AO110+Data!AO111+Data!AO112+Data!AO113+Data!AO114+Data!AO115+Data!AO116+Data!AO117+Data!AO118+Data!AO119)/(Data!AP108+Data!AP109+Data!AP110+Data!AP111+Data!AP112+Data!AP113+Data!AP114+Data!AP115+Data!AP116+Data!AP117+Data!AP118+Data!AP119)</f>
        <v>0.00279860130615334</v>
      </c>
    </row>
    <row r="120" customFormat="false" ht="15" hidden="false" customHeight="false" outlineLevel="0" collapsed="false">
      <c r="B120" s="14" t="str">
        <f aca="false">Data!B120</f>
        <v>2025-06</v>
      </c>
      <c r="C120" s="17" t="n">
        <f aca="false">(Data!D109+Data!E109+Data!F109+Data!G109+Data!H109+Data!I109+Data!J109+Data!K109+Data!L109+Data!M109+Data!N109+Data!O109+Data!P109+Data!Q109+Data!R109+Data!S109+Data!D110+Data!E110+Data!F110+Data!G110+Data!H110+Data!I110+Data!J110+Data!K110+Data!L110+Data!M110+Data!N110+Data!O110+Data!P110+Data!Q110+Data!R110+Data!S110+Data!D111+Data!E111+Data!F111+Data!G111+Data!H111+Data!I111+Data!J111+Data!K111+Data!L111+Data!M111+Data!N111+Data!O111+Data!P111+Data!Q111+Data!R111+Data!S111+Data!D112+Data!E112+Data!F112+Data!G112+Data!H112+Data!I112+Data!J112+Data!K112+Data!L112+Data!M112+Data!N112+Data!O112+Data!P112+Data!Q112+Data!R112+Data!S112+Data!D113+Data!E113+Data!F113+Data!G113+Data!H113+Data!I113+Data!J113+Data!K113+Data!L113+Data!M113+Data!N113+Data!O113+Data!P113+Data!Q113+Data!R113+Data!S113+Data!D114+Data!E114+Data!F114+Data!G114+Data!H114+Data!I114+Data!J114+Data!K114+Data!L114+Data!M114+Data!N114+Data!O114+Data!P114+Data!Q114+Data!R114+Data!S114+Data!D115+Data!E115+Data!F115+Data!G115+Data!H115+Data!I115+Data!J115+Data!K115+Data!L115+Data!M115+Data!N115+Data!O115+Data!P115+Data!Q115+Data!R115+Data!S115+Data!D116+Data!E116+Data!F116+Data!G116+Data!H116+Data!I116+Data!J116+Data!K116+Data!L116+Data!M116+Data!N116+Data!O116+Data!P116+Data!Q116+Data!R116+Data!S116+Data!D117+Data!E117+Data!F117+Data!G117+Data!H117+Data!I117+Data!J117+Data!K117+Data!L117+Data!M117+Data!N117+Data!O117+Data!P117+Data!Q117+Data!R117+Data!S117+Data!D118+Data!E118+Data!F118+Data!G118+Data!H118+Data!I118+Data!J118+Data!K118+Data!L118+Data!M118+Data!N118+Data!O118+Data!P118+Data!Q118+Data!R118+Data!S118+Data!D119+Data!E119+Data!F119+Data!G119+Data!H119+Data!I119+Data!J119+Data!K119+Data!L119+Data!M119+Data!N119+Data!O119+Data!P119+Data!Q119+Data!R119+Data!S119+Data!D120+Data!E120+Data!F120+Data!G120+Data!H120+Data!I120+Data!J120+Data!K120+Data!L120+Data!M120+Data!N120+Data!O120+Data!P120+Data!Q120+Data!R120+Data!S120)/(Data!AP109+Data!AP110+Data!AP111+Data!AP112+Data!AP113+Data!AP114+Data!AP115+Data!AP116+Data!AP117+Data!AP118+Data!AP119+Data!AP120)</f>
        <v>0.16439371228489</v>
      </c>
      <c r="D120" s="18" t="n">
        <f aca="false">(Data!D109+Data!E109+Data!G109+Data!H109+Data!I109+Data!J109+Data!K109+Data!L109+Data!M109+Data!D110+Data!E110+Data!G110+Data!H110+Data!I110+Data!J110+Data!K110+Data!L110+Data!M110+Data!D111+Data!E111+Data!G111+Data!H111+Data!I111+Data!J111+Data!K111+Data!L111+Data!M111+Data!D112+Data!E112+Data!G112+Data!H112+Data!I112+Data!J112+Data!K112+Data!L112+Data!M112+Data!D113+Data!E113+Data!G113+Data!H113+Data!I113+Data!J113+Data!K113+Data!L113+Data!M113+Data!D114+Data!E114+Data!G114+Data!H114+Data!I114+Data!J114+Data!K114+Data!L114+Data!M114+Data!D115+Data!E115+Data!G115+Data!H115+Data!I115+Data!J115+Data!K115+Data!L115+Data!M115+Data!D116+Data!E116+Data!G116+Data!H116+Data!I116+Data!J116+Data!K116+Data!L116+Data!M116+Data!D117+Data!E117+Data!G117+Data!H117+Data!I117+Data!J117+Data!K117+Data!L117+Data!M117+Data!D118+Data!E118+Data!G118+Data!H118+Data!I118+Data!J118+Data!K118+Data!L118+Data!M118+Data!D119+Data!E119+Data!G119+Data!H119+Data!I119+Data!J119+Data!K119+Data!L119+Data!M119+Data!D120+Data!E120+Data!G120+Data!H120+Data!I120+Data!J120+Data!K120+Data!L120+Data!M120)/(Data!AP109+Data!AP110+Data!AP111+Data!AP112+Data!AP113+Data!AP114+Data!AP115+Data!AP116+Data!AP117+Data!AP118+Data!AP119+Data!AP120)</f>
        <v>0.0970275706940487</v>
      </c>
      <c r="E120" s="18" t="n">
        <f aca="false">(Data!D109+Data!D110+Data!D111+Data!D112+Data!D113+Data!D114+Data!D115+Data!D116+Data!D117+Data!D118+Data!D119+Data!D120)/(Data!AP109+Data!AP110+Data!AP111+Data!AP112+Data!AP113+Data!AP114+Data!AP115+Data!AP116+Data!AP117+Data!AP118+Data!AP119+Data!AP120)</f>
        <v>0.0336240774448204</v>
      </c>
      <c r="F120" s="18" t="n">
        <f aca="false">(Data!E109+Data!E110+Data!E111+Data!E112+Data!E113+Data!E114+Data!E115+Data!E116+Data!E117+Data!E118+Data!E119+Data!E120)/(Data!AP109+Data!AP110+Data!AP111+Data!AP112+Data!AP113+Data!AP114+Data!AP115+Data!AP116+Data!AP117+Data!AP118+Data!AP119+Data!AP120)</f>
        <v>0.0148530614441272</v>
      </c>
      <c r="G120" s="18" t="n">
        <f aca="false">(Data!K109+Data!K110+Data!K111+Data!K112+Data!K113+Data!K114+Data!K115+Data!K116+Data!K117+Data!K118+Data!K119+Data!K120)/(Data!AP109+Data!AP110+Data!AP111+Data!AP112+Data!AP113+Data!AP114+Data!AP115+Data!AP116+Data!AP117+Data!AP118+Data!AP119+Data!AP120)</f>
        <v>0.0101201079062211</v>
      </c>
      <c r="H120" s="18" t="n">
        <f aca="false">(Data!L109+Data!L110+Data!L111+Data!L112+Data!L113+Data!L114+Data!L115+Data!L116+Data!L117+Data!L118+Data!L119+Data!L120)/(Data!AP109+Data!AP110+Data!AP111+Data!AP112+Data!AP113+Data!AP114+Data!AP115+Data!AP116+Data!AP117+Data!AP118+Data!AP119+Data!AP120)</f>
        <v>0.00583078920119485</v>
      </c>
      <c r="I120" s="18" t="n">
        <f aca="false">(Data!G109+Data!G110+Data!G111+Data!G112+Data!G113+Data!G114+Data!G115+Data!G116+Data!G117+Data!G118+Data!G119+Data!G120)/(Data!AP109+Data!AP110+Data!AP111+Data!AP112+Data!AP113+Data!AP114+Data!AP115+Data!AP116+Data!AP117+Data!AP118+Data!AP119+Data!AP120)</f>
        <v>0.0160490464675207</v>
      </c>
      <c r="J120" s="18" t="n">
        <f aca="false">(Data!H109+Data!I109+Data!J109+Data!M109+Data!H110+Data!I110+Data!J110+Data!M110+Data!H111+Data!I111+Data!J111+Data!M111+Data!H112+Data!I112+Data!J112+Data!M112+Data!H113+Data!I113+Data!J113+Data!M113+Data!H114+Data!I114+Data!J114+Data!M114+Data!H115+Data!I115+Data!J115+Data!M115+Data!H116+Data!I116+Data!J116+Data!M116+Data!H117+Data!I117+Data!J117+Data!M117+Data!H118+Data!I118+Data!J118+Data!M118+Data!H119+Data!I119+Data!J119+Data!M119+Data!H120+Data!I120+Data!J120+Data!M120)/(Data!AP109+Data!AP110+Data!AP111+Data!AP112+Data!AP113+Data!AP114+Data!AP115+Data!AP116+Data!AP117+Data!AP118+Data!AP119+Data!AP120)</f>
        <v>0.0165504882301645</v>
      </c>
      <c r="K120" s="18" t="n">
        <f aca="false">(Data!F109+Data!F110+Data!F111+Data!F112+Data!F113+Data!F114+Data!F115+Data!F116+Data!F117+Data!F118+Data!F119+Data!F120)/(Data!AP109+Data!AP110+Data!AP111+Data!AP112+Data!AP113+Data!AP114+Data!AP115+Data!AP116+Data!AP117+Data!AP118+Data!AP119+Data!AP120)</f>
        <v>0.0553051206425238</v>
      </c>
      <c r="L120" s="18" t="n">
        <f aca="false">(Data!N109+Data!O109+Data!P109+Data!Q109+Data!R109+Data!S109+Data!N110+Data!O110+Data!P110+Data!Q110+Data!R110+Data!S110+Data!N111+Data!O111+Data!P111+Data!Q111+Data!R111+Data!S111+Data!N112+Data!O112+Data!P112+Data!Q112+Data!R112+Data!S112+Data!N113+Data!O113+Data!P113+Data!Q113+Data!R113+Data!S113+Data!N114+Data!O114+Data!P114+Data!Q114+Data!R114+Data!S114+Data!N115+Data!O115+Data!P115+Data!Q115+Data!R115+Data!S115+Data!N116+Data!O116+Data!P116+Data!Q116+Data!R116+Data!S116+Data!N117+Data!O117+Data!P117+Data!Q117+Data!R117+Data!S117+Data!N118+Data!O118+Data!P118+Data!Q118+Data!R118+Data!S118+Data!N119+Data!O119+Data!P119+Data!Q119+Data!R119+Data!S119+Data!N120+Data!O120+Data!P120+Data!Q120+Data!R120+Data!S120)/(Data!AP109+Data!AP110+Data!AP111+Data!AP112+Data!AP113+Data!AP114+Data!AP115+Data!AP116+Data!AP117+Data!AP118+Data!AP119+Data!AP120)</f>
        <v>0.0120610209483177</v>
      </c>
      <c r="M120" s="17" t="n">
        <f aca="false">(Data!T109+Data!U109+Data!V109+Data!W109+Data!X109+Data!Y109+Data!Z109+Data!AA109+Data!AB109+Data!AC109+Data!AD109+Data!AE109+Data!AF109+Data!AG109+Data!AH109+Data!AI109+Data!AJ109+Data!AK109+Data!AL109+Data!T110+Data!U110+Data!V110+Data!W110+Data!X110+Data!Y110+Data!Z110+Data!AA110+Data!AB110+Data!AC110+Data!AD110+Data!AE110+Data!AF110+Data!AG110+Data!AH110+Data!AI110+Data!AJ110+Data!AK110+Data!AL110+Data!T111+Data!U111+Data!V111+Data!W111+Data!X111+Data!Y111+Data!Z111+Data!AA111+Data!AB111+Data!AC111+Data!AD111+Data!AE111+Data!AF111+Data!AG111+Data!AH111+Data!AI111+Data!AJ111+Data!AK111+Data!AL111+Data!T112+Data!U112+Data!V112+Data!W112+Data!X112+Data!Y112+Data!Z112+Data!AA112+Data!AB112+Data!AC112+Data!AD112+Data!AE112+Data!AF112+Data!AG112+Data!AH112+Data!AI112+Data!AJ112+Data!AK112+Data!AL112+Data!T113+Data!U113+Data!V113+Data!W113+Data!X113+Data!Y113+Data!Z113+Data!AA113+Data!AB113+Data!AC113+Data!AD113+Data!AE113+Data!AF113+Data!AG113+Data!AH113+Data!AI113+Data!AJ113+Data!AK113+Data!AL113+Data!T114+Data!U114+Data!V114+Data!W114+Data!X114+Data!Y114+Data!Z114+Data!AA114+Data!AB114+Data!AC114+Data!AD114+Data!AE114+Data!AF114+Data!AG114+Data!AH114+Data!AI114+Data!AJ114+Data!AK114+Data!AL114+Data!T115+Data!U115+Data!V115+Data!W115+Data!X115+Data!Y115+Data!Z115+Data!AA115+Data!AB115+Data!AC115+Data!AD115+Data!AE115+Data!AF115+Data!AG115+Data!AH115+Data!AI115+Data!AJ115+Data!AK115+Data!AL115+Data!T116+Data!U116+Data!V116+Data!W116+Data!X116+Data!Y116+Data!Z116+Data!AA116+Data!AB116+Data!AC116+Data!AD116+Data!AE116+Data!AF116+Data!AG116+Data!AH116+Data!AI116+Data!AJ116+Data!AK116+Data!AL116+Data!T117+Data!U117+Data!V117+Data!W117+Data!X117+Data!Y117+Data!Z117+Data!AA117+Data!AB117+Data!AC117+Data!AD117+Data!AE117+Data!AF117+Data!AG117+Data!AH117+Data!AI117+Data!AJ117+Data!AK117+Data!AL117+Data!T118+Data!U118+Data!V118+Data!W118+Data!X118+Data!Y118+Data!Z118+Data!AA118+Data!AB118+Data!AC118+Data!AD118+Data!AE118+Data!AF118+Data!AG118+Data!AH118+Data!AI118+Data!AJ118+Data!AK118+Data!AL118+Data!T119+Data!U119+Data!V119+Data!W119+Data!X119+Data!Y119+Data!Z119+Data!AA119+Data!AB119+Data!AC119+Data!AD119+Data!AE119+Data!AF119+Data!AG119+Data!AH119+Data!AI119+Data!AJ119+Data!AK119+Data!AL119+Data!T120+Data!U120+Data!V120+Data!W120+Data!X120+Data!Y120+Data!Z120+Data!AA120+Data!AB120+Data!AC120+Data!AD120+Data!AE120+Data!AF120+Data!AG120+Data!AH120+Data!AI120+Data!AJ120+Data!AK120+Data!AL120)/(Data!AP109+Data!AP110+Data!AP111+Data!AP112+Data!AP113+Data!AP114+Data!AP115+Data!AP116+Data!AP117+Data!AP118+Data!AP119+Data!AP120)</f>
        <v>0.149084558245609</v>
      </c>
      <c r="N120" s="18" t="n">
        <f aca="false">(Data!T109+Data!U109+Data!V109+Data!W109+Data!T110+Data!U110+Data!V110+Data!W110+Data!T111+Data!U111+Data!V111+Data!W111+Data!T112+Data!U112+Data!V112+Data!W112+Data!T113+Data!U113+Data!V113+Data!W113+Data!T114+Data!U114+Data!V114+Data!W114+Data!T115+Data!U115+Data!V115+Data!W115+Data!T116+Data!U116+Data!V116+Data!W116+Data!T117+Data!U117+Data!V117+Data!W117+Data!T118+Data!U118+Data!V118+Data!W118+Data!T119+Data!U119+Data!V119+Data!W119+Data!T120+Data!U120+Data!V120+Data!W120)/(Data!AP109+Data!AP110+Data!AP111+Data!AP112+Data!AP113+Data!AP114+Data!AP115+Data!AP116+Data!AP117+Data!AP118+Data!AP119+Data!AP120)</f>
        <v>0.0855824045204087</v>
      </c>
      <c r="O120" s="18" t="n">
        <f aca="false">(Data!T109+Data!T110+Data!T111+Data!T112+Data!T113+Data!T114+Data!T115+Data!T116+Data!T117+Data!T118+Data!T119+Data!T120)/(Data!AP109+Data!AP110+Data!AP111+Data!AP112+Data!AP113+Data!AP114+Data!AP115+Data!AP116+Data!AP117+Data!AP118+Data!AP119+Data!AP120)</f>
        <v>0.0600459305259339</v>
      </c>
      <c r="P120" s="18" t="n">
        <f aca="false">(Data!U109+Data!U110+Data!U111+Data!U112+Data!U113+Data!U114+Data!U115+Data!U116+Data!U117+Data!U118+Data!U119+Data!U120)/(Data!AP109+Data!AP110+Data!AP111+Data!AP112+Data!AP113+Data!AP114+Data!AP115+Data!AP116+Data!AP117+Data!AP118+Data!AP119+Data!AP120)</f>
        <v>0.0104521518560746</v>
      </c>
      <c r="Q120" s="18" t="n">
        <f aca="false">(Data!V109+Data!V110+Data!V111+Data!V112+Data!V113+Data!V114+Data!V115+Data!V116+Data!V117+Data!V118+Data!V119+Data!V120)/(Data!AP109+Data!AP110+Data!AP111+Data!AP112+Data!AP113+Data!AP114+Data!AP115+Data!AP116+Data!AP117+Data!AP118+Data!AP119+Data!AP120)</f>
        <v>0.00535780779895158</v>
      </c>
      <c r="R120" s="18" t="n">
        <f aca="false">(Data!W109+Data!W110+Data!W111+Data!W112+Data!W113+Data!W114+Data!W115+Data!W116+Data!W117+Data!W118+Data!W119+Data!W120)/(Data!AP109+Data!AP110+Data!AP111+Data!AP112+Data!AP113+Data!AP114+Data!AP115+Data!AP116+Data!AP117+Data!AP118+Data!AP119+Data!AP120)</f>
        <v>0.00972651433944856</v>
      </c>
      <c r="S120" s="18" t="n">
        <f aca="false">(Data!X109+Data!X110+Data!X111+Data!X112+Data!X113+Data!X114+Data!X115+Data!X116+Data!X117+Data!X118+Data!X119+Data!X120)/(Data!AP109+Data!AP110+Data!AP111+Data!AP112+Data!AP113+Data!AP114+Data!AP115+Data!AP116+Data!AP117+Data!AP118+Data!AP119+Data!AP120)</f>
        <v>0.0120746864279229</v>
      </c>
      <c r="T120" s="18" t="n">
        <f aca="false">(Data!Y109+Data!Z109+Data!AA109+Data!Y110+Data!Z110+Data!AA110+Data!Y111+Data!Z111+Data!AA111+Data!Y112+Data!Z112+Data!AA112+Data!Y113+Data!Z113+Data!AA113+Data!Y114+Data!Z114+Data!AA114+Data!Y115+Data!Z115+Data!AA115+Data!Y116+Data!Z116+Data!AA116+Data!Y117+Data!Z117+Data!AA117+Data!Y118+Data!Z118+Data!AA118+Data!Y119+Data!Z119+Data!AA119+Data!Y120+Data!Z120+Data!AA120)/(Data!AP109+Data!AP110+Data!AP111+Data!AP112+Data!AP113+Data!AP114+Data!AP115+Data!AP116+Data!AP117+Data!AP118+Data!AP119+Data!AP120)</f>
        <v>0.0110034136760768</v>
      </c>
      <c r="U120" s="18" t="n">
        <f aca="false">(Data!Y109+Data!Y110+Data!Y111+Data!Y112+Data!Y113+Data!Y114+Data!Y115+Data!Y116+Data!Y117+Data!Y118+Data!Y119+Data!Y120)/(Data!AP109+Data!AP110+Data!AP111+Data!AP112+Data!AP113+Data!AP114+Data!AP115+Data!AP116+Data!AP117+Data!AP118+Data!AP119+Data!AP120)</f>
        <v>0.00730240582157309</v>
      </c>
      <c r="V120" s="18" t="n">
        <f aca="false">(Data!Z109+Data!Z110+Data!Z111+Data!Z112+Data!Z113+Data!Z114+Data!Z115+Data!Z116+Data!Z117+Data!Z118+Data!Z119+Data!Z120)/(Data!AP109+Data!AP110+Data!AP111+Data!AP112+Data!AP113+Data!AP114+Data!AP115+Data!AP116+Data!AP117+Data!AP118+Data!AP119+Data!AP120)</f>
        <v>0.00354368858898975</v>
      </c>
      <c r="W120" s="18" t="n">
        <f aca="false">(Data!AB109+Data!AB110+Data!AB111+Data!AB112+Data!AB113+Data!AB114+Data!AB115+Data!AB116+Data!AB117+Data!AB118+Data!AB119+Data!AB120)/(Data!AP109+Data!AP110+Data!AP111+Data!AP112+Data!AP113+Data!AP114+Data!AP115+Data!AP116+Data!AP117+Data!AP118+Data!AP119+Data!AP120)</f>
        <v>0.020608775693471</v>
      </c>
      <c r="X120" s="18" t="n">
        <f aca="false">(Data!AC109+Data!AC110+Data!AC111+Data!AC112+Data!AC113+Data!AC114+Data!AC115+Data!AC116+Data!AC117+Data!AC118+Data!AC119+Data!AC120)/(Data!AP109+Data!AP110+Data!AP111+Data!AP112+Data!AP113+Data!AP114+Data!AP115+Data!AP116+Data!AP117+Data!AP118+Data!AP119+Data!AP120)</f>
        <v>0.00579100047970997</v>
      </c>
      <c r="Y120" s="18" t="n">
        <f aca="false">(Data!AD109+Data!AE109+Data!AF109+Data!AG109+Data!AH109+Data!AD110+Data!AE110+Data!AF110+Data!AG110+Data!AH110+Data!AD111+Data!AE111+Data!AF111+Data!AG111+Data!AH111+Data!AD112+Data!AE112+Data!AF112+Data!AG112+Data!AH112+Data!AD113+Data!AE113+Data!AF113+Data!AG113+Data!AH113+Data!AD114+Data!AE114+Data!AF114+Data!AG114+Data!AH114+Data!AD115+Data!AE115+Data!AF115+Data!AG115+Data!AH115+Data!AD116+Data!AE116+Data!AF116+Data!AG116+Data!AH116+Data!AD117+Data!AE117+Data!AF117+Data!AG117+Data!AH117+Data!AD118+Data!AE118+Data!AF118+Data!AG118+Data!AH118+Data!AD119+Data!AE119+Data!AF119+Data!AG119+Data!AH119+Data!AD120+Data!AE120+Data!AF120+Data!AG120+Data!AH120)/(Data!AP109+Data!AP110+Data!AP111+Data!AP112+Data!AP113+Data!AP114+Data!AP115+Data!AP116+Data!AP117+Data!AP118+Data!AP119+Data!AP120)</f>
        <v>0.00327554648821735</v>
      </c>
      <c r="Z120" s="18" t="n">
        <f aca="false">(Data!AI109+Data!AI110+Data!AI111+Data!AI112+Data!AI113+Data!AI114+Data!AI115+Data!AI116+Data!AI117+Data!AI118+Data!AI119+Data!AI120)/(Data!AP109+Data!AP110+Data!AP111+Data!AP112+Data!AP113+Data!AP114+Data!AP115+Data!AP116+Data!AP117+Data!AP118+Data!AP119+Data!AP120)</f>
        <v>0.00538027216568654</v>
      </c>
      <c r="AA120" s="18" t="n">
        <f aca="false">(Data!AJ109+Data!AJ110+Data!AJ111+Data!AJ112+Data!AJ113+Data!AJ114+Data!AJ115+Data!AJ116+Data!AJ117+Data!AJ118+Data!AJ119+Data!AJ120)/(Data!AP109+Data!AP110+Data!AP111+Data!AP112+Data!AP113+Data!AP114+Data!AP115+Data!AP116+Data!AP117+Data!AP118+Data!AP119+Data!AP120)</f>
        <v>0</v>
      </c>
      <c r="AB120" s="18" t="n">
        <f aca="false">(Data!AK109+Data!AK110+Data!AK111+Data!AK112+Data!AK113+Data!AK114+Data!AK115+Data!AK116+Data!AK117+Data!AK118+Data!AK119+Data!AK120)/(Data!AP109+Data!AP110+Data!AP111+Data!AP112+Data!AP113+Data!AP114+Data!AP115+Data!AP116+Data!AP117+Data!AP118+Data!AP119+Data!AP120)</f>
        <v>0.00163834206660582</v>
      </c>
      <c r="AC120" s="18" t="n">
        <f aca="false">(Data!AL109+Data!AL110+Data!AL111+Data!AL112+Data!AL113+Data!AL114+Data!AL115+Data!AL116+Data!AL117+Data!AL118+Data!AL119+Data!AL120)/(Data!AP109+Data!AP110+Data!AP111+Data!AP112+Data!AP113+Data!AP114+Data!AP115+Data!AP116+Data!AP117+Data!AP118+Data!AP119+Data!AP120)</f>
        <v>0.00373011672750964</v>
      </c>
      <c r="AD120" s="17" t="n">
        <f aca="false">(Data!AM109+Data!AM110+Data!AM111+Data!AM112+Data!AM113+Data!AM114+Data!AM115+Data!AM116+Data!AM117+Data!AM118+Data!AM119+Data!AM120)/(Data!AP109+Data!AP110+Data!AP111+Data!AP112+Data!AP113+Data!AP114+Data!AP115+Data!AP116+Data!AP117+Data!AP118+Data!AP119+Data!AP120)</f>
        <v>0.0153091540392814</v>
      </c>
      <c r="AE120" s="18" t="n">
        <f aca="false">(Data!AN109+Data!AN110+Data!AN111+Data!AN112+Data!AN113+Data!AN114+Data!AN115+Data!AN116+Data!AN117+Data!AN118+Data!AN119+Data!AN120)/(Data!AP109+Data!AP110+Data!AP111+Data!AP112+Data!AP113+Data!AP114+Data!AP115+Data!AP116+Data!AP117+Data!AP118+Data!AP119+Data!AP120)</f>
        <v>0.0121661431928982</v>
      </c>
      <c r="AF120" s="17" t="n">
        <f aca="false">(Data!AO109+Data!AO110+Data!AO111+Data!AO112+Data!AO113+Data!AO114+Data!AO115+Data!AO116+Data!AO117+Data!AO118+Data!AO119+Data!AO120)/(Data!AP109+Data!AP110+Data!AP111+Data!AP112+Data!AP113+Data!AP114+Data!AP115+Data!AP116+Data!AP117+Data!AP118+Data!AP119+Data!AP120)</f>
        <v>0.0031430122203506</v>
      </c>
    </row>
    <row r="121" customFormat="false" ht="15" hidden="false" customHeight="false" outlineLevel="0" collapsed="false">
      <c r="B121" s="14" t="str">
        <f aca="false">Data!B121</f>
        <v>2025-07</v>
      </c>
      <c r="C121" s="17" t="n">
        <f aca="false">(Data!D110+Data!E110+Data!F110+Data!G110+Data!H110+Data!I110+Data!J110+Data!K110+Data!L110+Data!M110+Data!N110+Data!O110+Data!P110+Data!Q110+Data!R110+Data!S110+Data!D111+Data!E111+Data!F111+Data!G111+Data!H111+Data!I111+Data!J111+Data!K111+Data!L111+Data!M111+Data!N111+Data!O111+Data!P111+Data!Q111+Data!R111+Data!S111+Data!D112+Data!E112+Data!F112+Data!G112+Data!H112+Data!I112+Data!J112+Data!K112+Data!L112+Data!M112+Data!N112+Data!O112+Data!P112+Data!Q112+Data!R112+Data!S112+Data!D113+Data!E113+Data!F113+Data!G113+Data!H113+Data!I113+Data!J113+Data!K113+Data!L113+Data!M113+Data!N113+Data!O113+Data!P113+Data!Q113+Data!R113+Data!S113+Data!D114+Data!E114+Data!F114+Data!G114+Data!H114+Data!I114+Data!J114+Data!K114+Data!L114+Data!M114+Data!N114+Data!O114+Data!P114+Data!Q114+Data!R114+Data!S114+Data!D115+Data!E115+Data!F115+Data!G115+Data!H115+Data!I115+Data!J115+Data!K115+Data!L115+Data!M115+Data!N115+Data!O115+Data!P115+Data!Q115+Data!R115+Data!S115+Data!D116+Data!E116+Data!F116+Data!G116+Data!H116+Data!I116+Data!J116+Data!K116+Data!L116+Data!M116+Data!N116+Data!O116+Data!P116+Data!Q116+Data!R116+Data!S116+Data!D117+Data!E117+Data!F117+Data!G117+Data!H117+Data!I117+Data!J117+Data!K117+Data!L117+Data!M117+Data!N117+Data!O117+Data!P117+Data!Q117+Data!R117+Data!S117+Data!D118+Data!E118+Data!F118+Data!G118+Data!H118+Data!I118+Data!J118+Data!K118+Data!L118+Data!M118+Data!N118+Data!O118+Data!P118+Data!Q118+Data!R118+Data!S118+Data!D119+Data!E119+Data!F119+Data!G119+Data!H119+Data!I119+Data!J119+Data!K119+Data!L119+Data!M119+Data!N119+Data!O119+Data!P119+Data!Q119+Data!R119+Data!S119+Data!D120+Data!E120+Data!F120+Data!G120+Data!H120+Data!I120+Data!J120+Data!K120+Data!L120+Data!M120+Data!N120+Data!O120+Data!P120+Data!Q120+Data!R120+Data!S120+Data!D121+Data!E121+Data!F121+Data!G121+Data!H121+Data!I121+Data!J121+Data!K121+Data!L121+Data!M121+Data!N121+Data!O121+Data!P121+Data!Q121+Data!R121+Data!S121)/(Data!AP110+Data!AP111+Data!AP112+Data!AP113+Data!AP114+Data!AP115+Data!AP116+Data!AP117+Data!AP118+Data!AP119+Data!AP120+Data!AP121)</f>
        <v>0.16471442879411</v>
      </c>
      <c r="D121" s="18" t="n">
        <f aca="false">(Data!D110+Data!E110+Data!G110+Data!H110+Data!I110+Data!J110+Data!K110+Data!L110+Data!M110+Data!D111+Data!E111+Data!G111+Data!H111+Data!I111+Data!J111+Data!K111+Data!L111+Data!M111+Data!D112+Data!E112+Data!G112+Data!H112+Data!I112+Data!J112+Data!K112+Data!L112+Data!M112+Data!D113+Data!E113+Data!G113+Data!H113+Data!I113+Data!J113+Data!K113+Data!L113+Data!M113+Data!D114+Data!E114+Data!G114+Data!H114+Data!I114+Data!J114+Data!K114+Data!L114+Data!M114+Data!D115+Data!E115+Data!G115+Data!H115+Data!I115+Data!J115+Data!K115+Data!L115+Data!M115+Data!D116+Data!E116+Data!G116+Data!H116+Data!I116+Data!J116+Data!K116+Data!L116+Data!M116+Data!D117+Data!E117+Data!G117+Data!H117+Data!I117+Data!J117+Data!K117+Data!L117+Data!M117+Data!D118+Data!E118+Data!G118+Data!H118+Data!I118+Data!J118+Data!K118+Data!L118+Data!M118+Data!D119+Data!E119+Data!G119+Data!H119+Data!I119+Data!J119+Data!K119+Data!L119+Data!M119+Data!D120+Data!E120+Data!G120+Data!H120+Data!I120+Data!J120+Data!K120+Data!L120+Data!M120+Data!D121+Data!E121+Data!G121+Data!H121+Data!I121+Data!J121+Data!K121+Data!L121+Data!M121)/(Data!AP110+Data!AP111+Data!AP112+Data!AP113+Data!AP114+Data!AP115+Data!AP116+Data!AP117+Data!AP118+Data!AP119+Data!AP120+Data!AP121)</f>
        <v>0.0966245540048593</v>
      </c>
      <c r="E121" s="18" t="n">
        <f aca="false">(Data!D110+Data!D111+Data!D112+Data!D113+Data!D114+Data!D115+Data!D116+Data!D117+Data!D118+Data!D119+Data!D120+Data!D121)/(Data!AP110+Data!AP111+Data!AP112+Data!AP113+Data!AP114+Data!AP115+Data!AP116+Data!AP117+Data!AP118+Data!AP119+Data!AP120+Data!AP121)</f>
        <v>0.0335203873750586</v>
      </c>
      <c r="F121" s="18" t="n">
        <f aca="false">(Data!E110+Data!E111+Data!E112+Data!E113+Data!E114+Data!E115+Data!E116+Data!E117+Data!E118+Data!E119+Data!E120+Data!E121)/(Data!AP110+Data!AP111+Data!AP112+Data!AP113+Data!AP114+Data!AP115+Data!AP116+Data!AP117+Data!AP118+Data!AP119+Data!AP120+Data!AP121)</f>
        <v>0.0149274942826366</v>
      </c>
      <c r="G121" s="18" t="n">
        <f aca="false">(Data!K110+Data!K111+Data!K112+Data!K113+Data!K114+Data!K115+Data!K116+Data!K117+Data!K118+Data!K119+Data!K120+Data!K121)/(Data!AP110+Data!AP111+Data!AP112+Data!AP113+Data!AP114+Data!AP115+Data!AP116+Data!AP117+Data!AP118+Data!AP119+Data!AP120+Data!AP121)</f>
        <v>0.0106147647125584</v>
      </c>
      <c r="H121" s="18" t="n">
        <f aca="false">(Data!L110+Data!L111+Data!L112+Data!L113+Data!L114+Data!L115+Data!L116+Data!L117+Data!L118+Data!L119+Data!L120+Data!L121)/(Data!AP110+Data!AP111+Data!AP112+Data!AP113+Data!AP114+Data!AP115+Data!AP116+Data!AP117+Data!AP118+Data!AP119+Data!AP120+Data!AP121)</f>
        <v>0.00594768325187868</v>
      </c>
      <c r="I121" s="18" t="n">
        <f aca="false">(Data!G110+Data!G111+Data!G112+Data!G113+Data!G114+Data!G115+Data!G116+Data!G117+Data!G118+Data!G119+Data!G120+Data!G121)/(Data!AP110+Data!AP111+Data!AP112+Data!AP113+Data!AP114+Data!AP115+Data!AP116+Data!AP117+Data!AP118+Data!AP119+Data!AP120+Data!AP121)</f>
        <v>0.016140957696404</v>
      </c>
      <c r="J121" s="18" t="n">
        <f aca="false">(Data!H110+Data!I110+Data!J110+Data!M110+Data!H111+Data!I111+Data!J111+Data!M111+Data!H112+Data!I112+Data!J112+Data!M112+Data!H113+Data!I113+Data!J113+Data!M113+Data!H114+Data!I114+Data!J114+Data!M114+Data!H115+Data!I115+Data!J115+Data!M115+Data!H116+Data!I116+Data!J116+Data!M116+Data!H117+Data!I117+Data!J117+Data!M117+Data!H118+Data!I118+Data!J118+Data!M118+Data!H119+Data!I119+Data!J119+Data!M119+Data!H120+Data!I120+Data!J120+Data!M120+Data!H121+Data!I121+Data!J121+Data!M121)/(Data!AP110+Data!AP111+Data!AP112+Data!AP113+Data!AP114+Data!AP115+Data!AP116+Data!AP117+Data!AP118+Data!AP119+Data!AP120+Data!AP121)</f>
        <v>0.0154732666863231</v>
      </c>
      <c r="K121" s="18" t="n">
        <f aca="false">(Data!F110+Data!F111+Data!F112+Data!F113+Data!F114+Data!F115+Data!F116+Data!F117+Data!F118+Data!F119+Data!F120+Data!F121)/(Data!AP110+Data!AP111+Data!AP112+Data!AP113+Data!AP114+Data!AP115+Data!AP116+Data!AP117+Data!AP118+Data!AP119+Data!AP120+Data!AP121)</f>
        <v>0.0559518134674225</v>
      </c>
      <c r="L121" s="18" t="n">
        <f aca="false">(Data!N110+Data!O110+Data!P110+Data!Q110+Data!R110+Data!S110+Data!N111+Data!O111+Data!P111+Data!Q111+Data!R111+Data!S111+Data!N112+Data!O112+Data!P112+Data!Q112+Data!R112+Data!S112+Data!N113+Data!O113+Data!P113+Data!Q113+Data!R113+Data!S113+Data!N114+Data!O114+Data!P114+Data!Q114+Data!R114+Data!S114+Data!N115+Data!O115+Data!P115+Data!Q115+Data!R115+Data!S115+Data!N116+Data!O116+Data!P116+Data!Q116+Data!R116+Data!S116+Data!N117+Data!O117+Data!P117+Data!Q117+Data!R117+Data!S117+Data!N118+Data!O118+Data!P118+Data!Q118+Data!R118+Data!S118+Data!N119+Data!O119+Data!P119+Data!Q119+Data!R119+Data!S119+Data!N120+Data!O120+Data!P120+Data!Q120+Data!R120+Data!S120+Data!N121+Data!O121+Data!P121+Data!Q121+Data!R121+Data!S121)/(Data!AP110+Data!AP111+Data!AP112+Data!AP113+Data!AP114+Data!AP115+Data!AP116+Data!AP117+Data!AP118+Data!AP119+Data!AP120+Data!AP121)</f>
        <v>0.0121380613218281</v>
      </c>
      <c r="M121" s="17" t="n">
        <f aca="false">(Data!T110+Data!U110+Data!V110+Data!W110+Data!X110+Data!Y110+Data!Z110+Data!AA110+Data!AB110+Data!AC110+Data!AD110+Data!AE110+Data!AF110+Data!AG110+Data!AH110+Data!AI110+Data!AJ110+Data!AK110+Data!AL110+Data!T111+Data!U111+Data!V111+Data!W111+Data!X111+Data!Y111+Data!Z111+Data!AA111+Data!AB111+Data!AC111+Data!AD111+Data!AE111+Data!AF111+Data!AG111+Data!AH111+Data!AI111+Data!AJ111+Data!AK111+Data!AL111+Data!T112+Data!U112+Data!V112+Data!W112+Data!X112+Data!Y112+Data!Z112+Data!AA112+Data!AB112+Data!AC112+Data!AD112+Data!AE112+Data!AF112+Data!AG112+Data!AH112+Data!AI112+Data!AJ112+Data!AK112+Data!AL112+Data!T113+Data!U113+Data!V113+Data!W113+Data!X113+Data!Y113+Data!Z113+Data!AA113+Data!AB113+Data!AC113+Data!AD113+Data!AE113+Data!AF113+Data!AG113+Data!AH113+Data!AI113+Data!AJ113+Data!AK113+Data!AL113+Data!T114+Data!U114+Data!V114+Data!W114+Data!X114+Data!Y114+Data!Z114+Data!AA114+Data!AB114+Data!AC114+Data!AD114+Data!AE114+Data!AF114+Data!AG114+Data!AH114+Data!AI114+Data!AJ114+Data!AK114+Data!AL114+Data!T115+Data!U115+Data!V115+Data!W115+Data!X115+Data!Y115+Data!Z115+Data!AA115+Data!AB115+Data!AC115+Data!AD115+Data!AE115+Data!AF115+Data!AG115+Data!AH115+Data!AI115+Data!AJ115+Data!AK115+Data!AL115+Data!T116+Data!U116+Data!V116+Data!W116+Data!X116+Data!Y116+Data!Z116+Data!AA116+Data!AB116+Data!AC116+Data!AD116+Data!AE116+Data!AF116+Data!AG116+Data!AH116+Data!AI116+Data!AJ116+Data!AK116+Data!AL116+Data!T117+Data!U117+Data!V117+Data!W117+Data!X117+Data!Y117+Data!Z117+Data!AA117+Data!AB117+Data!AC117+Data!AD117+Data!AE117+Data!AF117+Data!AG117+Data!AH117+Data!AI117+Data!AJ117+Data!AK117+Data!AL117+Data!T118+Data!U118+Data!V118+Data!W118+Data!X118+Data!Y118+Data!Z118+Data!AA118+Data!AB118+Data!AC118+Data!AD118+Data!AE118+Data!AF118+Data!AG118+Data!AH118+Data!AI118+Data!AJ118+Data!AK118+Data!AL118+Data!T119+Data!U119+Data!V119+Data!W119+Data!X119+Data!Y119+Data!Z119+Data!AA119+Data!AB119+Data!AC119+Data!AD119+Data!AE119+Data!AF119+Data!AG119+Data!AH119+Data!AI119+Data!AJ119+Data!AK119+Data!AL119+Data!T120+Data!U120+Data!V120+Data!W120+Data!X120+Data!Y120+Data!Z120+Data!AA120+Data!AB120+Data!AC120+Data!AD120+Data!AE120+Data!AF120+Data!AG120+Data!AH120+Data!AI120+Data!AJ120+Data!AK120+Data!AL120+Data!T121+Data!U121+Data!V121+Data!W121+Data!X121+Data!Y121+Data!Z121+Data!AA121+Data!AB121+Data!AC121+Data!AD121+Data!AE121+Data!AF121+Data!AG121+Data!AH121+Data!AI121+Data!AJ121+Data!AK121+Data!AL121)/(Data!AP110+Data!AP111+Data!AP112+Data!AP113+Data!AP114+Data!AP115+Data!AP116+Data!AP117+Data!AP118+Data!AP119+Data!AP120+Data!AP121)</f>
        <v>0.148721662113469</v>
      </c>
      <c r="N121" s="18" t="n">
        <f aca="false">(Data!T110+Data!U110+Data!V110+Data!W110+Data!T111+Data!U111+Data!V111+Data!W111+Data!T112+Data!U112+Data!V112+Data!W112+Data!T113+Data!U113+Data!V113+Data!W113+Data!T114+Data!U114+Data!V114+Data!W114+Data!T115+Data!U115+Data!V115+Data!W115+Data!T116+Data!U116+Data!V116+Data!W116+Data!T117+Data!U117+Data!V117+Data!W117+Data!T118+Data!U118+Data!V118+Data!W118+Data!T119+Data!U119+Data!V119+Data!W119+Data!T120+Data!U120+Data!V120+Data!W120+Data!T121+Data!U121+Data!V121+Data!W121)/(Data!AP110+Data!AP111+Data!AP112+Data!AP113+Data!AP114+Data!AP115+Data!AP116+Data!AP117+Data!AP118+Data!AP119+Data!AP120+Data!AP121)</f>
        <v>0.0858022684873016</v>
      </c>
      <c r="O121" s="18" t="n">
        <f aca="false">(Data!T110+Data!T111+Data!T112+Data!T113+Data!T114+Data!T115+Data!T116+Data!T117+Data!T118+Data!T119+Data!T120+Data!T121)/(Data!AP110+Data!AP111+Data!AP112+Data!AP113+Data!AP114+Data!AP115+Data!AP116+Data!AP117+Data!AP118+Data!AP119+Data!AP120+Data!AP121)</f>
        <v>0.0604910708349936</v>
      </c>
      <c r="P121" s="18" t="n">
        <f aca="false">(Data!U110+Data!U111+Data!U112+Data!U113+Data!U114+Data!U115+Data!U116+Data!U117+Data!U118+Data!U119+Data!U120+Data!U121)/(Data!AP110+Data!AP111+Data!AP112+Data!AP113+Data!AP114+Data!AP115+Data!AP116+Data!AP117+Data!AP118+Data!AP119+Data!AP120+Data!AP121)</f>
        <v>0.0103645442358252</v>
      </c>
      <c r="Q121" s="18" t="n">
        <f aca="false">(Data!V110+Data!V111+Data!V112+Data!V113+Data!V114+Data!V115+Data!V116+Data!V117+Data!V118+Data!V119+Data!V120+Data!V121)/(Data!AP110+Data!AP111+Data!AP112+Data!AP113+Data!AP114+Data!AP115+Data!AP116+Data!AP117+Data!AP118+Data!AP119+Data!AP120+Data!AP121)</f>
        <v>0.00530166704625574</v>
      </c>
      <c r="R121" s="18" t="n">
        <f aca="false">(Data!W110+Data!W111+Data!W112+Data!W113+Data!W114+Data!W115+Data!W116+Data!W117+Data!W118+Data!W119+Data!W120+Data!W121)/(Data!AP110+Data!AP111+Data!AP112+Data!AP113+Data!AP114+Data!AP115+Data!AP116+Data!AP117+Data!AP118+Data!AP119+Data!AP120+Data!AP121)</f>
        <v>0.00964498637022715</v>
      </c>
      <c r="S121" s="18" t="n">
        <f aca="false">(Data!X110+Data!X111+Data!X112+Data!X113+Data!X114+Data!X115+Data!X116+Data!X117+Data!X118+Data!X119+Data!X120+Data!X121)/(Data!AP110+Data!AP111+Data!AP112+Data!AP113+Data!AP114+Data!AP115+Data!AP116+Data!AP117+Data!AP118+Data!AP119+Data!AP120+Data!AP121)</f>
        <v>0.0119478672815771</v>
      </c>
      <c r="T121" s="18" t="n">
        <f aca="false">(Data!Y110+Data!Z110+Data!AA110+Data!Y111+Data!Z111+Data!AA111+Data!Y112+Data!Z112+Data!AA112+Data!Y113+Data!Z113+Data!AA113+Data!Y114+Data!Z114+Data!AA114+Data!Y115+Data!Z115+Data!AA115+Data!Y116+Data!Z116+Data!AA116+Data!Y117+Data!Z117+Data!AA117+Data!Y118+Data!Z118+Data!AA118+Data!Y119+Data!Z119+Data!AA119+Data!Y120+Data!Z120+Data!AA120+Data!Y121+Data!Z121+Data!AA121)/(Data!AP110+Data!AP111+Data!AP112+Data!AP113+Data!AP114+Data!AP115+Data!AP116+Data!AP117+Data!AP118+Data!AP119+Data!AP120+Data!AP121)</f>
        <v>0.0106910315711483</v>
      </c>
      <c r="U121" s="18" t="n">
        <f aca="false">(Data!Y110+Data!Y111+Data!Y112+Data!Y113+Data!Y114+Data!Y115+Data!Y116+Data!Y117+Data!Y118+Data!Y119+Data!Y120+Data!Y121)/(Data!AP110+Data!AP111+Data!AP112+Data!AP113+Data!AP114+Data!AP115+Data!AP116+Data!AP117+Data!AP118+Data!AP119+Data!AP120+Data!AP121)</f>
        <v>0.00707054915929623</v>
      </c>
      <c r="V121" s="18" t="n">
        <f aca="false">(Data!Z110+Data!Z111+Data!Z112+Data!Z113+Data!Z114+Data!Z115+Data!Z116+Data!Z117+Data!Z118+Data!Z119+Data!Z120+Data!Z121)/(Data!AP110+Data!AP111+Data!AP112+Data!AP113+Data!AP114+Data!AP115+Data!AP116+Data!AP117+Data!AP118+Data!AP119+Data!AP120+Data!AP121)</f>
        <v>0.00349636843243056</v>
      </c>
      <c r="W121" s="18" t="n">
        <f aca="false">(Data!AB110+Data!AB111+Data!AB112+Data!AB113+Data!AB114+Data!AB115+Data!AB116+Data!AB117+Data!AB118+Data!AB119+Data!AB120+Data!AB121)/(Data!AP110+Data!AP111+Data!AP112+Data!AP113+Data!AP114+Data!AP115+Data!AP116+Data!AP117+Data!AP118+Data!AP119+Data!AP120+Data!AP121)</f>
        <v>0.0204381301458882</v>
      </c>
      <c r="X121" s="18" t="n">
        <f aca="false">(Data!AC110+Data!AC111+Data!AC112+Data!AC113+Data!AC114+Data!AC115+Data!AC116+Data!AC117+Data!AC118+Data!AC119+Data!AC120+Data!AC121)/(Data!AP110+Data!AP111+Data!AP112+Data!AP113+Data!AP114+Data!AP115+Data!AP116+Data!AP117+Data!AP118+Data!AP119+Data!AP120+Data!AP121)</f>
        <v>0.00586441388734761</v>
      </c>
      <c r="Y121" s="18" t="n">
        <f aca="false">(Data!AD110+Data!AE110+Data!AF110+Data!AG110+Data!AH110+Data!AD111+Data!AE111+Data!AF111+Data!AG111+Data!AH111+Data!AD112+Data!AE112+Data!AF112+Data!AG112+Data!AH112+Data!AD113+Data!AE113+Data!AF113+Data!AG113+Data!AH113+Data!AD114+Data!AE114+Data!AF114+Data!AG114+Data!AH114+Data!AD115+Data!AE115+Data!AF115+Data!AG115+Data!AH115+Data!AD116+Data!AE116+Data!AF116+Data!AG116+Data!AH116+Data!AD117+Data!AE117+Data!AF117+Data!AG117+Data!AH117+Data!AD118+Data!AE118+Data!AF118+Data!AG118+Data!AH118+Data!AD119+Data!AE119+Data!AF119+Data!AG119+Data!AH119+Data!AD120+Data!AE120+Data!AF120+Data!AG120+Data!AH120+Data!AD121+Data!AE121+Data!AF121+Data!AG121+Data!AH121)/(Data!AP110+Data!AP111+Data!AP112+Data!AP113+Data!AP114+Data!AP115+Data!AP116+Data!AP117+Data!AP118+Data!AP119+Data!AP120+Data!AP121)</f>
        <v>0.00336807323495804</v>
      </c>
      <c r="Z121" s="18" t="n">
        <f aca="false">(Data!AI110+Data!AI111+Data!AI112+Data!AI113+Data!AI114+Data!AI115+Data!AI116+Data!AI117+Data!AI118+Data!AI119+Data!AI120+Data!AI121)/(Data!AP110+Data!AP111+Data!AP112+Data!AP113+Data!AP114+Data!AP115+Data!AP116+Data!AP117+Data!AP118+Data!AP119+Data!AP120+Data!AP121)</f>
        <v>0.00535656471766622</v>
      </c>
      <c r="AA121" s="18" t="n">
        <f aca="false">(Data!AJ110+Data!AJ111+Data!AJ112+Data!AJ113+Data!AJ114+Data!AJ115+Data!AJ116+Data!AJ117+Data!AJ118+Data!AJ119+Data!AJ120+Data!AJ121)/(Data!AP110+Data!AP111+Data!AP112+Data!AP113+Data!AP114+Data!AP115+Data!AP116+Data!AP117+Data!AP118+Data!AP119+Data!AP120+Data!AP121)</f>
        <v>0</v>
      </c>
      <c r="AB121" s="18" t="n">
        <f aca="false">(Data!AK110+Data!AK111+Data!AK112+Data!AK113+Data!AK114+Data!AK115+Data!AK116+Data!AK117+Data!AK118+Data!AK119+Data!AK120+Data!AK121)/(Data!AP110+Data!AP111+Data!AP112+Data!AP113+Data!AP114+Data!AP115+Data!AP116+Data!AP117+Data!AP118+Data!AP119+Data!AP120+Data!AP121)</f>
        <v>0.0016335750676139</v>
      </c>
      <c r="AC121" s="18" t="n">
        <f aca="false">(Data!AL110+Data!AL111+Data!AL112+Data!AL113+Data!AL114+Data!AL115+Data!AL116+Data!AL117+Data!AL118+Data!AL119+Data!AL120+Data!AL121)/(Data!AP110+Data!AP111+Data!AP112+Data!AP113+Data!AP114+Data!AP115+Data!AP116+Data!AP117+Data!AP118+Data!AP119+Data!AP120+Data!AP121)</f>
        <v>0.00361973771996809</v>
      </c>
      <c r="AD121" s="17" t="n">
        <f aca="false">(Data!AM110+Data!AM111+Data!AM112+Data!AM113+Data!AM114+Data!AM115+Data!AM116+Data!AM117+Data!AM118+Data!AM119+Data!AM120+Data!AM121)/(Data!AP110+Data!AP111+Data!AP112+Data!AP113+Data!AP114+Data!AP115+Data!AP116+Data!AP117+Data!AP118+Data!AP119+Data!AP120+Data!AP121)</f>
        <v>0.0159927666806407</v>
      </c>
      <c r="AE121" s="18" t="n">
        <f aca="false">(Data!AN110+Data!AN111+Data!AN112+Data!AN113+Data!AN114+Data!AN115+Data!AN116+Data!AN117+Data!AN118+Data!AN119+Data!AN120+Data!AN121)/(Data!AP110+Data!AP111+Data!AP112+Data!AP113+Data!AP114+Data!AP115+Data!AP116+Data!AP117+Data!AP118+Data!AP119+Data!AP120+Data!AP121)</f>
        <v>0.0123627460736368</v>
      </c>
      <c r="AF121" s="17" t="n">
        <f aca="false">(Data!AO110+Data!AO111+Data!AO112+Data!AO113+Data!AO114+Data!AO115+Data!AO116+Data!AO117+Data!AO118+Data!AO119+Data!AO120+Data!AO121)/(Data!AP110+Data!AP111+Data!AP112+Data!AP113+Data!AP114+Data!AP115+Data!AP116+Data!AP117+Data!AP118+Data!AP119+Data!AP120+Data!AP121)</f>
        <v>0.00363002194157716</v>
      </c>
    </row>
    <row r="122" customFormat="false" ht="15" hidden="false" customHeight="false" outlineLevel="0" collapsed="false">
      <c r="B122" s="14" t="str">
        <f aca="false">Data!B122</f>
        <v>2025-08</v>
      </c>
      <c r="C122" s="17" t="n">
        <f aca="false">(Data!D111+Data!E111+Data!F111+Data!G111+Data!H111+Data!I111+Data!J111+Data!K111+Data!L111+Data!M111+Data!N111+Data!O111+Data!P111+Data!Q111+Data!R111+Data!S111+Data!D112+Data!E112+Data!F112+Data!G112+Data!H112+Data!I112+Data!J112+Data!K112+Data!L112+Data!M112+Data!N112+Data!O112+Data!P112+Data!Q112+Data!R112+Data!S112+Data!D113+Data!E113+Data!F113+Data!G113+Data!H113+Data!I113+Data!J113+Data!K113+Data!L113+Data!M113+Data!N113+Data!O113+Data!P113+Data!Q113+Data!R113+Data!S113+Data!D114+Data!E114+Data!F114+Data!G114+Data!H114+Data!I114+Data!J114+Data!K114+Data!L114+Data!M114+Data!N114+Data!O114+Data!P114+Data!Q114+Data!R114+Data!S114+Data!D115+Data!E115+Data!F115+Data!G115+Data!H115+Data!I115+Data!J115+Data!K115+Data!L115+Data!M115+Data!N115+Data!O115+Data!P115+Data!Q115+Data!R115+Data!S115+Data!D116+Data!E116+Data!F116+Data!G116+Data!H116+Data!I116+Data!J116+Data!K116+Data!L116+Data!M116+Data!N116+Data!O116+Data!P116+Data!Q116+Data!R116+Data!S116+Data!D117+Data!E117+Data!F117+Data!G117+Data!H117+Data!I117+Data!J117+Data!K117+Data!L117+Data!M117+Data!N117+Data!O117+Data!P117+Data!Q117+Data!R117+Data!S117+Data!D118+Data!E118+Data!F118+Data!G118+Data!H118+Data!I118+Data!J118+Data!K118+Data!L118+Data!M118+Data!N118+Data!O118+Data!P118+Data!Q118+Data!R118+Data!S118+Data!D119+Data!E119+Data!F119+Data!G119+Data!H119+Data!I119+Data!J119+Data!K119+Data!L119+Data!M119+Data!N119+Data!O119+Data!P119+Data!Q119+Data!R119+Data!S119+Data!D120+Data!E120+Data!F120+Data!G120+Data!H120+Data!I120+Data!J120+Data!K120+Data!L120+Data!M120+Data!N120+Data!O120+Data!P120+Data!Q120+Data!R120+Data!S120+Data!D121+Data!E121+Data!F121+Data!G121+Data!H121+Data!I121+Data!J121+Data!K121+Data!L121+Data!M121+Data!N121+Data!O121+Data!P121+Data!Q121+Data!R121+Data!S121+Data!D122+Data!E122+Data!F122+Data!G122+Data!H122+Data!I122+Data!J122+Data!K122+Data!L122+Data!M122+Data!N122+Data!O122+Data!P122+Data!Q122+Data!R122+Data!S122)/(Data!AP111+Data!AP112+Data!AP113+Data!AP114+Data!AP115+Data!AP116+Data!AP117+Data!AP118+Data!AP119+Data!AP120+Data!AP121+Data!AP122)</f>
        <v>0.163687054384073</v>
      </c>
      <c r="D122" s="18" t="n">
        <f aca="false">(Data!D111+Data!E111+Data!G111+Data!H111+Data!I111+Data!J111+Data!K111+Data!L111+Data!M111+Data!D112+Data!E112+Data!G112+Data!H112+Data!I112+Data!J112+Data!K112+Data!L112+Data!M112+Data!D113+Data!E113+Data!G113+Data!H113+Data!I113+Data!J113+Data!K113+Data!L113+Data!M113+Data!D114+Data!E114+Data!G114+Data!H114+Data!I114+Data!J114+Data!K114+Data!L114+Data!M114+Data!D115+Data!E115+Data!G115+Data!H115+Data!I115+Data!J115+Data!K115+Data!L115+Data!M115+Data!D116+Data!E116+Data!G116+Data!H116+Data!I116+Data!J116+Data!K116+Data!L116+Data!M116+Data!D117+Data!E117+Data!G117+Data!H117+Data!I117+Data!J117+Data!K117+Data!L117+Data!M117+Data!D118+Data!E118+Data!G118+Data!H118+Data!I118+Data!J118+Data!K118+Data!L118+Data!M118+Data!D119+Data!E119+Data!G119+Data!H119+Data!I119+Data!J119+Data!K119+Data!L119+Data!M119+Data!D120+Data!E120+Data!G120+Data!H120+Data!I120+Data!J120+Data!K120+Data!L120+Data!M120+Data!D121+Data!E121+Data!G121+Data!H121+Data!I121+Data!J121+Data!K121+Data!L121+Data!M121+Data!D122+Data!E122+Data!G122+Data!H122+Data!I122+Data!J122+Data!K122+Data!L122+Data!M122)/(Data!AP111+Data!AP112+Data!AP113+Data!AP114+Data!AP115+Data!AP116+Data!AP117+Data!AP118+Data!AP119+Data!AP120+Data!AP121+Data!AP122)</f>
        <v>0.0953138118317064</v>
      </c>
      <c r="E122" s="18" t="n">
        <f aca="false">(Data!D111+Data!D112+Data!D113+Data!D114+Data!D115+Data!D116+Data!D117+Data!D118+Data!D119+Data!D120+Data!D121+Data!D122)/(Data!AP111+Data!AP112+Data!AP113+Data!AP114+Data!AP115+Data!AP116+Data!AP117+Data!AP118+Data!AP119+Data!AP120+Data!AP121+Data!AP122)</f>
        <v>0.0334210578994801</v>
      </c>
      <c r="F122" s="18" t="n">
        <f aca="false">(Data!E111+Data!E112+Data!E113+Data!E114+Data!E115+Data!E116+Data!E117+Data!E118+Data!E119+Data!E120+Data!E121+Data!E122)/(Data!AP111+Data!AP112+Data!AP113+Data!AP114+Data!AP115+Data!AP116+Data!AP117+Data!AP118+Data!AP119+Data!AP120+Data!AP121+Data!AP122)</f>
        <v>0.0149291326009356</v>
      </c>
      <c r="G122" s="18" t="n">
        <f aca="false">(Data!K111+Data!K112+Data!K113+Data!K114+Data!K115+Data!K116+Data!K117+Data!K118+Data!K119+Data!K120+Data!K121+Data!K122)/(Data!AP111+Data!AP112+Data!AP113+Data!AP114+Data!AP115+Data!AP116+Data!AP117+Data!AP118+Data!AP119+Data!AP120+Data!AP121+Data!AP122)</f>
        <v>0.0102940366289163</v>
      </c>
      <c r="H122" s="18" t="n">
        <f aca="false">(Data!L111+Data!L112+Data!L113+Data!L114+Data!L115+Data!L116+Data!L117+Data!L118+Data!L119+Data!L120+Data!L121+Data!L122)/(Data!AP111+Data!AP112+Data!AP113+Data!AP114+Data!AP115+Data!AP116+Data!AP117+Data!AP118+Data!AP119+Data!AP120+Data!AP121+Data!AP122)</f>
        <v>0.00606200682277417</v>
      </c>
      <c r="I122" s="18" t="n">
        <f aca="false">(Data!G111+Data!G112+Data!G113+Data!G114+Data!G115+Data!G116+Data!G117+Data!G118+Data!G119+Data!G120+Data!G121+Data!G122)/(Data!AP111+Data!AP112+Data!AP113+Data!AP114+Data!AP115+Data!AP116+Data!AP117+Data!AP118+Data!AP119+Data!AP120+Data!AP121+Data!AP122)</f>
        <v>0.0161269362585769</v>
      </c>
      <c r="J122" s="18" t="n">
        <f aca="false">(Data!H111+Data!I111+Data!J111+Data!M111+Data!H112+Data!I112+Data!J112+Data!M112+Data!H113+Data!I113+Data!J113+Data!M113+Data!H114+Data!I114+Data!J114+Data!M114+Data!H115+Data!I115+Data!J115+Data!M115+Data!H116+Data!I116+Data!J116+Data!M116+Data!H117+Data!I117+Data!J117+Data!M117+Data!H118+Data!I118+Data!J118+Data!M118+Data!H119+Data!I119+Data!J119+Data!M119+Data!H120+Data!I120+Data!J120+Data!M120+Data!H121+Data!I121+Data!J121+Data!M121+Data!H122+Data!I122+Data!J122+Data!M122)/(Data!AP111+Data!AP112+Data!AP113+Data!AP114+Data!AP115+Data!AP116+Data!AP117+Data!AP118+Data!AP119+Data!AP120+Data!AP121+Data!AP122)</f>
        <v>0.0144806416210234</v>
      </c>
      <c r="K122" s="18" t="n">
        <f aca="false">(Data!F111+Data!F112+Data!F113+Data!F114+Data!F115+Data!F116+Data!F117+Data!F118+Data!F119+Data!F120+Data!F121+Data!F122)/(Data!AP111+Data!AP112+Data!AP113+Data!AP114+Data!AP115+Data!AP116+Data!AP117+Data!AP118+Data!AP119+Data!AP120+Data!AP121+Data!AP122)</f>
        <v>0.0558786784246475</v>
      </c>
      <c r="L122" s="18" t="n">
        <f aca="false">(Data!N111+Data!O111+Data!P111+Data!Q111+Data!R111+Data!S111+Data!N112+Data!O112+Data!P112+Data!Q112+Data!R112+Data!S112+Data!N113+Data!O113+Data!P113+Data!Q113+Data!R113+Data!S113+Data!N114+Data!O114+Data!P114+Data!Q114+Data!R114+Data!S114+Data!N115+Data!O115+Data!P115+Data!Q115+Data!R115+Data!S115+Data!N116+Data!O116+Data!P116+Data!Q116+Data!R116+Data!S116+Data!N117+Data!O117+Data!P117+Data!Q117+Data!R117+Data!S117+Data!N118+Data!O118+Data!P118+Data!Q118+Data!R118+Data!S118+Data!N119+Data!O119+Data!P119+Data!Q119+Data!R119+Data!S119+Data!N120+Data!O120+Data!P120+Data!Q120+Data!R120+Data!S120+Data!N121+Data!O121+Data!P121+Data!Q121+Data!R121+Data!S121+Data!N122+Data!O122+Data!P122+Data!Q122+Data!R122+Data!S122)/(Data!AP111+Data!AP112+Data!AP113+Data!AP114+Data!AP115+Data!AP116+Data!AP117+Data!AP118+Data!AP119+Data!AP120+Data!AP121+Data!AP122)</f>
        <v>0.0124945641277193</v>
      </c>
      <c r="M122" s="17" t="n">
        <f aca="false">(Data!T111+Data!U111+Data!V111+Data!W111+Data!X111+Data!Y111+Data!Z111+Data!AA111+Data!AB111+Data!AC111+Data!AD111+Data!AE111+Data!AF111+Data!AG111+Data!AH111+Data!AI111+Data!AJ111+Data!AK111+Data!AL111+Data!T112+Data!U112+Data!V112+Data!W112+Data!X112+Data!Y112+Data!Z112+Data!AA112+Data!AB112+Data!AC112+Data!AD112+Data!AE112+Data!AF112+Data!AG112+Data!AH112+Data!AI112+Data!AJ112+Data!AK112+Data!AL112+Data!T113+Data!U113+Data!V113+Data!W113+Data!X113+Data!Y113+Data!Z113+Data!AA113+Data!AB113+Data!AC113+Data!AD113+Data!AE113+Data!AF113+Data!AG113+Data!AH113+Data!AI113+Data!AJ113+Data!AK113+Data!AL113+Data!T114+Data!U114+Data!V114+Data!W114+Data!X114+Data!Y114+Data!Z114+Data!AA114+Data!AB114+Data!AC114+Data!AD114+Data!AE114+Data!AF114+Data!AG114+Data!AH114+Data!AI114+Data!AJ114+Data!AK114+Data!AL114+Data!T115+Data!U115+Data!V115+Data!W115+Data!X115+Data!Y115+Data!Z115+Data!AA115+Data!AB115+Data!AC115+Data!AD115+Data!AE115+Data!AF115+Data!AG115+Data!AH115+Data!AI115+Data!AJ115+Data!AK115+Data!AL115+Data!T116+Data!U116+Data!V116+Data!W116+Data!X116+Data!Y116+Data!Z116+Data!AA116+Data!AB116+Data!AC116+Data!AD116+Data!AE116+Data!AF116+Data!AG116+Data!AH116+Data!AI116+Data!AJ116+Data!AK116+Data!AL116+Data!T117+Data!U117+Data!V117+Data!W117+Data!X117+Data!Y117+Data!Z117+Data!AA117+Data!AB117+Data!AC117+Data!AD117+Data!AE117+Data!AF117+Data!AG117+Data!AH117+Data!AI117+Data!AJ117+Data!AK117+Data!AL117+Data!T118+Data!U118+Data!V118+Data!W118+Data!X118+Data!Y118+Data!Z118+Data!AA118+Data!AB118+Data!AC118+Data!AD118+Data!AE118+Data!AF118+Data!AG118+Data!AH118+Data!AI118+Data!AJ118+Data!AK118+Data!AL118+Data!T119+Data!U119+Data!V119+Data!W119+Data!X119+Data!Y119+Data!Z119+Data!AA119+Data!AB119+Data!AC119+Data!AD119+Data!AE119+Data!AF119+Data!AG119+Data!AH119+Data!AI119+Data!AJ119+Data!AK119+Data!AL119+Data!T120+Data!U120+Data!V120+Data!W120+Data!X120+Data!Y120+Data!Z120+Data!AA120+Data!AB120+Data!AC120+Data!AD120+Data!AE120+Data!AF120+Data!AG120+Data!AH120+Data!AI120+Data!AJ120+Data!AK120+Data!AL120+Data!T121+Data!U121+Data!V121+Data!W121+Data!X121+Data!Y121+Data!Z121+Data!AA121+Data!AB121+Data!AC121+Data!AD121+Data!AE121+Data!AF121+Data!AG121+Data!AH121+Data!AI121+Data!AJ121+Data!AK121+Data!AL121+Data!T122+Data!U122+Data!V122+Data!W122+Data!X122+Data!Y122+Data!Z122+Data!AA122+Data!AB122+Data!AC122+Data!AD122+Data!AE122+Data!AF122+Data!AG122+Data!AH122+Data!AI122+Data!AJ122+Data!AK122+Data!AL122)/(Data!AP111+Data!AP112+Data!AP113+Data!AP114+Data!AP115+Data!AP116+Data!AP117+Data!AP118+Data!AP119+Data!AP120+Data!AP121+Data!AP122)</f>
        <v>0.14727059516348</v>
      </c>
      <c r="N122" s="18" t="n">
        <f aca="false">(Data!T111+Data!U111+Data!V111+Data!W111+Data!T112+Data!U112+Data!V112+Data!W112+Data!T113+Data!U113+Data!V113+Data!W113+Data!T114+Data!U114+Data!V114+Data!W114+Data!T115+Data!U115+Data!V115+Data!W115+Data!T116+Data!U116+Data!V116+Data!W116+Data!T117+Data!U117+Data!V117+Data!W117+Data!T118+Data!U118+Data!V118+Data!W118+Data!T119+Data!U119+Data!V119+Data!W119+Data!T120+Data!U120+Data!V120+Data!W120+Data!T121+Data!U121+Data!V121+Data!W121+Data!T122+Data!U122+Data!V122+Data!W122)/(Data!AP111+Data!AP112+Data!AP113+Data!AP114+Data!AP115+Data!AP116+Data!AP117+Data!AP118+Data!AP119+Data!AP120+Data!AP121+Data!AP122)</f>
        <v>0.0857815645419949</v>
      </c>
      <c r="O122" s="18" t="n">
        <f aca="false">(Data!T111+Data!T112+Data!T113+Data!T114+Data!T115+Data!T116+Data!T117+Data!T118+Data!T119+Data!T120+Data!T121+Data!T122)/(Data!AP111+Data!AP112+Data!AP113+Data!AP114+Data!AP115+Data!AP116+Data!AP117+Data!AP118+Data!AP119+Data!AP120+Data!AP121+Data!AP122)</f>
        <v>0.0605514797066098</v>
      </c>
      <c r="P122" s="18" t="n">
        <f aca="false">(Data!U111+Data!U112+Data!U113+Data!U114+Data!U115+Data!U116+Data!U117+Data!U118+Data!U119+Data!U120+Data!U121+Data!U122)/(Data!AP111+Data!AP112+Data!AP113+Data!AP114+Data!AP115+Data!AP116+Data!AP117+Data!AP118+Data!AP119+Data!AP120+Data!AP121+Data!AP122)</f>
        <v>0.0103306925850056</v>
      </c>
      <c r="Q122" s="18" t="n">
        <f aca="false">(Data!V111+Data!V112+Data!V113+Data!V114+Data!V115+Data!V116+Data!V117+Data!V118+Data!V119+Data!V120+Data!V121+Data!V122)/(Data!AP111+Data!AP112+Data!AP113+Data!AP114+Data!AP115+Data!AP116+Data!AP117+Data!AP118+Data!AP119+Data!AP120+Data!AP121+Data!AP122)</f>
        <v>0.00522663933681153</v>
      </c>
      <c r="R122" s="18" t="n">
        <f aca="false">(Data!W111+Data!W112+Data!W113+Data!W114+Data!W115+Data!W116+Data!W117+Data!W118+Data!W119+Data!W120+Data!W121+Data!W122)/(Data!AP111+Data!AP112+Data!AP113+Data!AP114+Data!AP115+Data!AP116+Data!AP117+Data!AP118+Data!AP119+Data!AP120+Data!AP121+Data!AP122)</f>
        <v>0.00967275291356797</v>
      </c>
      <c r="S122" s="18" t="n">
        <f aca="false">(Data!X111+Data!X112+Data!X113+Data!X114+Data!X115+Data!X116+Data!X117+Data!X118+Data!X119+Data!X120+Data!X121+Data!X122)/(Data!AP111+Data!AP112+Data!AP113+Data!AP114+Data!AP115+Data!AP116+Data!AP117+Data!AP118+Data!AP119+Data!AP120+Data!AP121+Data!AP122)</f>
        <v>0.0115661820720109</v>
      </c>
      <c r="T122" s="18" t="n">
        <f aca="false">(Data!Y111+Data!Z111+Data!AA111+Data!Y112+Data!Z112+Data!AA112+Data!Y113+Data!Z113+Data!AA113+Data!Y114+Data!Z114+Data!AA114+Data!Y115+Data!Z115+Data!AA115+Data!Y116+Data!Z116+Data!AA116+Data!Y117+Data!Z117+Data!AA117+Data!Y118+Data!Z118+Data!AA118+Data!Y119+Data!Z119+Data!AA119+Data!Y120+Data!Z120+Data!AA120+Data!Y121+Data!Z121+Data!AA121+Data!Y122+Data!Z122+Data!AA122)/(Data!AP111+Data!AP112+Data!AP113+Data!AP114+Data!AP115+Data!AP116+Data!AP117+Data!AP118+Data!AP119+Data!AP120+Data!AP121+Data!AP122)</f>
        <v>0.0101245659815466</v>
      </c>
      <c r="U122" s="18" t="n">
        <f aca="false">(Data!Y111+Data!Y112+Data!Y113+Data!Y114+Data!Y115+Data!Y116+Data!Y117+Data!Y118+Data!Y119+Data!Y120+Data!Y121+Data!Y122)/(Data!AP111+Data!AP112+Data!AP113+Data!AP114+Data!AP115+Data!AP116+Data!AP117+Data!AP118+Data!AP119+Data!AP120+Data!AP121+Data!AP122)</f>
        <v>0.00666479697515659</v>
      </c>
      <c r="V122" s="18" t="n">
        <f aca="false">(Data!Z111+Data!Z112+Data!Z113+Data!Z114+Data!Z115+Data!Z116+Data!Z117+Data!Z118+Data!Z119+Data!Z120+Data!Z121+Data!Z122)/(Data!AP111+Data!AP112+Data!AP113+Data!AP114+Data!AP115+Data!AP116+Data!AP117+Data!AP118+Data!AP119+Data!AP120+Data!AP121+Data!AP122)</f>
        <v>0.00333456732536994</v>
      </c>
      <c r="W122" s="18" t="n">
        <f aca="false">(Data!AB111+Data!AB112+Data!AB113+Data!AB114+Data!AB115+Data!AB116+Data!AB117+Data!AB118+Data!AB119+Data!AB120+Data!AB121+Data!AB122)/(Data!AP111+Data!AP112+Data!AP113+Data!AP114+Data!AP115+Data!AP116+Data!AP117+Data!AP118+Data!AP119+Data!AP120+Data!AP121+Data!AP122)</f>
        <v>0.0202174058921878</v>
      </c>
      <c r="X122" s="18" t="n">
        <f aca="false">(Data!AC111+Data!AC112+Data!AC113+Data!AC114+Data!AC115+Data!AC116+Data!AC117+Data!AC118+Data!AC119+Data!AC120+Data!AC121+Data!AC122)/(Data!AP111+Data!AP112+Data!AP113+Data!AP114+Data!AP115+Data!AP116+Data!AP117+Data!AP118+Data!AP119+Data!AP120+Data!AP121+Data!AP122)</f>
        <v>0.00585199059704812</v>
      </c>
      <c r="Y122" s="18" t="n">
        <f aca="false">(Data!AD111+Data!AE111+Data!AF111+Data!AG111+Data!AH111+Data!AD112+Data!AE112+Data!AF112+Data!AG112+Data!AH112+Data!AD113+Data!AE113+Data!AF113+Data!AG113+Data!AH113+Data!AD114+Data!AE114+Data!AF114+Data!AG114+Data!AH114+Data!AD115+Data!AE115+Data!AF115+Data!AG115+Data!AH115+Data!AD116+Data!AE116+Data!AF116+Data!AG116+Data!AH116+Data!AD117+Data!AE117+Data!AF117+Data!AG117+Data!AH117+Data!AD118+Data!AE118+Data!AF118+Data!AG118+Data!AH118+Data!AD119+Data!AE119+Data!AF119+Data!AG119+Data!AH119+Data!AD120+Data!AE120+Data!AF120+Data!AG120+Data!AH120+Data!AD121+Data!AE121+Data!AF121+Data!AG121+Data!AH121+Data!AD122+Data!AE122+Data!AF122+Data!AG122+Data!AH122)/(Data!AP111+Data!AP112+Data!AP113+Data!AP114+Data!AP115+Data!AP116+Data!AP117+Data!AP118+Data!AP119+Data!AP120+Data!AP121+Data!AP122)</f>
        <v>0.00317470449954674</v>
      </c>
      <c r="Z122" s="18" t="n">
        <f aca="false">(Data!AI111+Data!AI112+Data!AI113+Data!AI114+Data!AI115+Data!AI116+Data!AI117+Data!AI118+Data!AI119+Data!AI120+Data!AI121+Data!AI122)/(Data!AP111+Data!AP112+Data!AP113+Data!AP114+Data!AP115+Data!AP116+Data!AP117+Data!AP118+Data!AP119+Data!AP120+Data!AP121+Data!AP122)</f>
        <v>0.00535208517442133</v>
      </c>
      <c r="AA122" s="18" t="n">
        <f aca="false">(Data!AJ111+Data!AJ112+Data!AJ113+Data!AJ114+Data!AJ115+Data!AJ116+Data!AJ117+Data!AJ118+Data!AJ119+Data!AJ120+Data!AJ121+Data!AJ122)/(Data!AP111+Data!AP112+Data!AP113+Data!AP114+Data!AP115+Data!AP116+Data!AP117+Data!AP118+Data!AP119+Data!AP120+Data!AP121+Data!AP122)</f>
        <v>0</v>
      </c>
      <c r="AB122" s="18" t="n">
        <f aca="false">(Data!AK111+Data!AK112+Data!AK113+Data!AK114+Data!AK115+Data!AK116+Data!AK117+Data!AK118+Data!AK119+Data!AK120+Data!AK121+Data!AK122)/(Data!AP111+Data!AP112+Data!AP113+Data!AP114+Data!AP115+Data!AP116+Data!AP117+Data!AP118+Data!AP119+Data!AP120+Data!AP121+Data!AP122)</f>
        <v>0.00173241048493438</v>
      </c>
      <c r="AC122" s="18" t="n">
        <f aca="false">(Data!AL111+Data!AL112+Data!AL113+Data!AL114+Data!AL115+Data!AL116+Data!AL117+Data!AL118+Data!AL119+Data!AL120+Data!AL121+Data!AL122)/(Data!AP111+Data!AP112+Data!AP113+Data!AP114+Data!AP115+Data!AP116+Data!AP117+Data!AP118+Data!AP119+Data!AP120+Data!AP121+Data!AP122)</f>
        <v>0.00346968591978942</v>
      </c>
      <c r="AD122" s="17" t="n">
        <f aca="false">(Data!AM111+Data!AM112+Data!AM113+Data!AM114+Data!AM115+Data!AM116+Data!AM117+Data!AM118+Data!AM119+Data!AM120+Data!AM121+Data!AM122)/(Data!AP111+Data!AP112+Data!AP113+Data!AP114+Data!AP115+Data!AP116+Data!AP117+Data!AP118+Data!AP119+Data!AP120+Data!AP121+Data!AP122)</f>
        <v>0.016416459220593</v>
      </c>
      <c r="AE122" s="18" t="n">
        <f aca="false">(Data!AN111+Data!AN112+Data!AN113+Data!AN114+Data!AN115+Data!AN116+Data!AN117+Data!AN118+Data!AN119+Data!AN120+Data!AN121+Data!AN122)/(Data!AP111+Data!AP112+Data!AP113+Data!AP114+Data!AP115+Data!AP116+Data!AP117+Data!AP118+Data!AP119+Data!AP120+Data!AP121+Data!AP122)</f>
        <v>0.0123817001467116</v>
      </c>
      <c r="AF122" s="17" t="n">
        <f aca="false">(Data!AO111+Data!AO112+Data!AO113+Data!AO114+Data!AO115+Data!AO116+Data!AO117+Data!AO118+Data!AO119+Data!AO120+Data!AO121+Data!AO122)/(Data!AP111+Data!AP112+Data!AP113+Data!AP114+Data!AP115+Data!AP116+Data!AP117+Data!AP118+Data!AP119+Data!AP120+Data!AP121+Data!AP122)</f>
        <v>0.00403476296999725</v>
      </c>
    </row>
    <row r="123" customFormat="false" ht="15" hidden="false" customHeight="false" outlineLevel="0" collapsed="false">
      <c r="B123" s="14" t="str">
        <f aca="false">Data!B123</f>
        <v>2025-09</v>
      </c>
      <c r="C123" s="17" t="n">
        <f aca="false">(Data!D112+Data!E112+Data!F112+Data!G112+Data!H112+Data!I112+Data!J112+Data!K112+Data!L112+Data!M112+Data!N112+Data!O112+Data!P112+Data!Q112+Data!R112+Data!S112+Data!D113+Data!E113+Data!F113+Data!G113+Data!H113+Data!I113+Data!J113+Data!K113+Data!L113+Data!M113+Data!N113+Data!O113+Data!P113+Data!Q113+Data!R113+Data!S113+Data!D114+Data!E114+Data!F114+Data!G114+Data!H114+Data!I114+Data!J114+Data!K114+Data!L114+Data!M114+Data!N114+Data!O114+Data!P114+Data!Q114+Data!R114+Data!S114+Data!D115+Data!E115+Data!F115+Data!G115+Data!H115+Data!I115+Data!J115+Data!K115+Data!L115+Data!M115+Data!N115+Data!O115+Data!P115+Data!Q115+Data!R115+Data!S115+Data!D116+Data!E116+Data!F116+Data!G116+Data!H116+Data!I116+Data!J116+Data!K116+Data!L116+Data!M116+Data!N116+Data!O116+Data!P116+Data!Q116+Data!R116+Data!S116+Data!D117+Data!E117+Data!F117+Data!G117+Data!H117+Data!I117+Data!J117+Data!K117+Data!L117+Data!M117+Data!N117+Data!O117+Data!P117+Data!Q117+Data!R117+Data!S117+Data!D118+Data!E118+Data!F118+Data!G118+Data!H118+Data!I118+Data!J118+Data!K118+Data!L118+Data!M118+Data!N118+Data!O118+Data!P118+Data!Q118+Data!R118+Data!S118+Data!D119+Data!E119+Data!F119+Data!G119+Data!H119+Data!I119+Data!J119+Data!K119+Data!L119+Data!M119+Data!N119+Data!O119+Data!P119+Data!Q119+Data!R119+Data!S119+Data!D120+Data!E120+Data!F120+Data!G120+Data!H120+Data!I120+Data!J120+Data!K120+Data!L120+Data!M120+Data!N120+Data!O120+Data!P120+Data!Q120+Data!R120+Data!S120+Data!D121+Data!E121+Data!F121+Data!G121+Data!H121+Data!I121+Data!J121+Data!K121+Data!L121+Data!M121+Data!N121+Data!O121+Data!P121+Data!Q121+Data!R121+Data!S121+Data!D122+Data!E122+Data!F122+Data!G122+Data!H122+Data!I122+Data!J122+Data!K122+Data!L122+Data!M122+Data!N122+Data!O122+Data!P122+Data!Q122+Data!R122+Data!S122+Data!D123+Data!E123+Data!F123+Data!G123+Data!H123+Data!I123+Data!J123+Data!K123+Data!L123+Data!M123+Data!N123+Data!O123+Data!P123+Data!Q123+Data!R123+Data!S123)/(Data!AP112+Data!AP113+Data!AP114+Data!AP115+Data!AP116+Data!AP117+Data!AP118+Data!AP119+Data!AP120+Data!AP121+Data!AP122+Data!AP123)</f>
        <v>0.162648655637254</v>
      </c>
      <c r="D123" s="18" t="n">
        <f aca="false">(Data!D112+Data!E112+Data!G112+Data!H112+Data!I112+Data!J112+Data!K112+Data!L112+Data!M112+Data!D113+Data!E113+Data!G113+Data!H113+Data!I113+Data!J113+Data!K113+Data!L113+Data!M113+Data!D114+Data!E114+Data!G114+Data!H114+Data!I114+Data!J114+Data!K114+Data!L114+Data!M114+Data!D115+Data!E115+Data!G115+Data!H115+Data!I115+Data!J115+Data!K115+Data!L115+Data!M115+Data!D116+Data!E116+Data!G116+Data!H116+Data!I116+Data!J116+Data!K116+Data!L116+Data!M116+Data!D117+Data!E117+Data!G117+Data!H117+Data!I117+Data!J117+Data!K117+Data!L117+Data!M117+Data!D118+Data!E118+Data!G118+Data!H118+Data!I118+Data!J118+Data!K118+Data!L118+Data!M118+Data!D119+Data!E119+Data!G119+Data!H119+Data!I119+Data!J119+Data!K119+Data!L119+Data!M119+Data!D120+Data!E120+Data!G120+Data!H120+Data!I120+Data!J120+Data!K120+Data!L120+Data!M120+Data!D121+Data!E121+Data!G121+Data!H121+Data!I121+Data!J121+Data!K121+Data!L121+Data!M121+Data!D122+Data!E122+Data!G122+Data!H122+Data!I122+Data!J122+Data!K122+Data!L122+Data!M122+Data!D123+Data!E123+Data!G123+Data!H123+Data!I123+Data!J123+Data!K123+Data!L123+Data!M123)/(Data!AP112+Data!AP113+Data!AP114+Data!AP115+Data!AP116+Data!AP117+Data!AP118+Data!AP119+Data!AP120+Data!AP121+Data!AP122+Data!AP123)</f>
        <v>0.093990862935377</v>
      </c>
      <c r="E123" s="18" t="n">
        <f aca="false">(Data!D112+Data!D113+Data!D114+Data!D115+Data!D116+Data!D117+Data!D118+Data!D119+Data!D120+Data!D121+Data!D122+Data!D123)/(Data!AP112+Data!AP113+Data!AP114+Data!AP115+Data!AP116+Data!AP117+Data!AP118+Data!AP119+Data!AP120+Data!AP121+Data!AP122+Data!AP123)</f>
        <v>0.0333554453263445</v>
      </c>
      <c r="F123" s="18" t="n">
        <f aca="false">(Data!E112+Data!E113+Data!E114+Data!E115+Data!E116+Data!E117+Data!E118+Data!E119+Data!E120+Data!E121+Data!E122+Data!E123)/(Data!AP112+Data!AP113+Data!AP114+Data!AP115+Data!AP116+Data!AP117+Data!AP118+Data!AP119+Data!AP120+Data!AP121+Data!AP122+Data!AP123)</f>
        <v>0.0147651692621203</v>
      </c>
      <c r="G123" s="18" t="n">
        <f aca="false">(Data!K112+Data!K113+Data!K114+Data!K115+Data!K116+Data!K117+Data!K118+Data!K119+Data!K120+Data!K121+Data!K122+Data!K123)/(Data!AP112+Data!AP113+Data!AP114+Data!AP115+Data!AP116+Data!AP117+Data!AP118+Data!AP119+Data!AP120+Data!AP121+Data!AP122+Data!AP123)</f>
        <v>0.0100150774481594</v>
      </c>
      <c r="H123" s="18" t="n">
        <f aca="false">(Data!L112+Data!L113+Data!L114+Data!L115+Data!L116+Data!L117+Data!L118+Data!L119+Data!L120+Data!L121+Data!L122+Data!L123)/(Data!AP112+Data!AP113+Data!AP114+Data!AP115+Data!AP116+Data!AP117+Data!AP118+Data!AP119+Data!AP120+Data!AP121+Data!AP122+Data!AP123)</f>
        <v>0.00628388904402768</v>
      </c>
      <c r="I123" s="18" t="n">
        <f aca="false">(Data!G112+Data!G113+Data!G114+Data!G115+Data!G116+Data!G117+Data!G118+Data!G119+Data!G120+Data!G121+Data!G122+Data!G123)/(Data!AP112+Data!AP113+Data!AP114+Data!AP115+Data!AP116+Data!AP117+Data!AP118+Data!AP119+Data!AP120+Data!AP121+Data!AP122+Data!AP123)</f>
        <v>0.0161275047511361</v>
      </c>
      <c r="J123" s="18" t="n">
        <f aca="false">(Data!H112+Data!I112+Data!J112+Data!M112+Data!H113+Data!I113+Data!J113+Data!M113+Data!H114+Data!I114+Data!J114+Data!M114+Data!H115+Data!I115+Data!J115+Data!M115+Data!H116+Data!I116+Data!J116+Data!M116+Data!H117+Data!I117+Data!J117+Data!M117+Data!H118+Data!I118+Data!J118+Data!M118+Data!H119+Data!I119+Data!J119+Data!M119+Data!H120+Data!I120+Data!J120+Data!M120+Data!H121+Data!I121+Data!J121+Data!M121+Data!H122+Data!I122+Data!J122+Data!M122+Data!H123+Data!I123+Data!J123+Data!M123)/(Data!AP112+Data!AP113+Data!AP114+Data!AP115+Data!AP116+Data!AP117+Data!AP118+Data!AP119+Data!AP120+Data!AP121+Data!AP122+Data!AP123)</f>
        <v>0.0134437771035889</v>
      </c>
      <c r="K123" s="18" t="n">
        <f aca="false">(Data!F112+Data!F113+Data!F114+Data!F115+Data!F116+Data!F117+Data!F118+Data!F119+Data!F120+Data!F121+Data!F122+Data!F123)/(Data!AP112+Data!AP113+Data!AP114+Data!AP115+Data!AP116+Data!AP117+Data!AP118+Data!AP119+Data!AP120+Data!AP121+Data!AP122+Data!AP123)</f>
        <v>0.0557550211977072</v>
      </c>
      <c r="L123" s="18" t="n">
        <f aca="false">(Data!N112+Data!O112+Data!P112+Data!Q112+Data!R112+Data!S112+Data!N113+Data!O113+Data!P113+Data!Q113+Data!R113+Data!S113+Data!N114+Data!O114+Data!P114+Data!Q114+Data!R114+Data!S114+Data!N115+Data!O115+Data!P115+Data!Q115+Data!R115+Data!S115+Data!N116+Data!O116+Data!P116+Data!Q116+Data!R116+Data!S116+Data!N117+Data!O117+Data!P117+Data!Q117+Data!R117+Data!S117+Data!N118+Data!O118+Data!P118+Data!Q118+Data!R118+Data!S118+Data!N119+Data!O119+Data!P119+Data!Q119+Data!R119+Data!S119+Data!N120+Data!O120+Data!P120+Data!Q120+Data!R120+Data!S120+Data!N121+Data!O121+Data!P121+Data!Q121+Data!R121+Data!S121+Data!N122+Data!O122+Data!P122+Data!Q122+Data!R122+Data!S122+Data!N123+Data!O123+Data!P123+Data!Q123+Data!R123+Data!S123)/(Data!AP112+Data!AP113+Data!AP114+Data!AP115+Data!AP116+Data!AP117+Data!AP118+Data!AP119+Data!AP120+Data!AP121+Data!AP122+Data!AP123)</f>
        <v>0.0129027715041701</v>
      </c>
      <c r="M123" s="17" t="n">
        <f aca="false">(Data!T112+Data!U112+Data!V112+Data!W112+Data!X112+Data!Y112+Data!Z112+Data!AA112+Data!AB112+Data!AC112+Data!AD112+Data!AE112+Data!AF112+Data!AG112+Data!AH112+Data!AI112+Data!AJ112+Data!AK112+Data!AL112+Data!T113+Data!U113+Data!V113+Data!W113+Data!X113+Data!Y113+Data!Z113+Data!AA113+Data!AB113+Data!AC113+Data!AD113+Data!AE113+Data!AF113+Data!AG113+Data!AH113+Data!AI113+Data!AJ113+Data!AK113+Data!AL113+Data!T114+Data!U114+Data!V114+Data!W114+Data!X114+Data!Y114+Data!Z114+Data!AA114+Data!AB114+Data!AC114+Data!AD114+Data!AE114+Data!AF114+Data!AG114+Data!AH114+Data!AI114+Data!AJ114+Data!AK114+Data!AL114+Data!T115+Data!U115+Data!V115+Data!W115+Data!X115+Data!Y115+Data!Z115+Data!AA115+Data!AB115+Data!AC115+Data!AD115+Data!AE115+Data!AF115+Data!AG115+Data!AH115+Data!AI115+Data!AJ115+Data!AK115+Data!AL115+Data!T116+Data!U116+Data!V116+Data!W116+Data!X116+Data!Y116+Data!Z116+Data!AA116+Data!AB116+Data!AC116+Data!AD116+Data!AE116+Data!AF116+Data!AG116+Data!AH116+Data!AI116+Data!AJ116+Data!AK116+Data!AL116+Data!T117+Data!U117+Data!V117+Data!W117+Data!X117+Data!Y117+Data!Z117+Data!AA117+Data!AB117+Data!AC117+Data!AD117+Data!AE117+Data!AF117+Data!AG117+Data!AH117+Data!AI117+Data!AJ117+Data!AK117+Data!AL117+Data!T118+Data!U118+Data!V118+Data!W118+Data!X118+Data!Y118+Data!Z118+Data!AA118+Data!AB118+Data!AC118+Data!AD118+Data!AE118+Data!AF118+Data!AG118+Data!AH118+Data!AI118+Data!AJ118+Data!AK118+Data!AL118+Data!T119+Data!U119+Data!V119+Data!W119+Data!X119+Data!Y119+Data!Z119+Data!AA119+Data!AB119+Data!AC119+Data!AD119+Data!AE119+Data!AF119+Data!AG119+Data!AH119+Data!AI119+Data!AJ119+Data!AK119+Data!AL119+Data!T120+Data!U120+Data!V120+Data!W120+Data!X120+Data!Y120+Data!Z120+Data!AA120+Data!AB120+Data!AC120+Data!AD120+Data!AE120+Data!AF120+Data!AG120+Data!AH120+Data!AI120+Data!AJ120+Data!AK120+Data!AL120+Data!T121+Data!U121+Data!V121+Data!W121+Data!X121+Data!Y121+Data!Z121+Data!AA121+Data!AB121+Data!AC121+Data!AD121+Data!AE121+Data!AF121+Data!AG121+Data!AH121+Data!AI121+Data!AJ121+Data!AK121+Data!AL121+Data!T122+Data!U122+Data!V122+Data!W122+Data!X122+Data!Y122+Data!Z122+Data!AA122+Data!AB122+Data!AC122+Data!AD122+Data!AE122+Data!AF122+Data!AG122+Data!AH122+Data!AI122+Data!AJ122+Data!AK122+Data!AL122+Data!T123+Data!U123+Data!V123+Data!W123+Data!X123+Data!Y123+Data!Z123+Data!AA123+Data!AB123+Data!AC123+Data!AD123+Data!AE123+Data!AF123+Data!AG123+Data!AH123+Data!AI123+Data!AJ123+Data!AK123+Data!AL123)/(Data!AP112+Data!AP113+Data!AP114+Data!AP115+Data!AP116+Data!AP117+Data!AP118+Data!AP119+Data!AP120+Data!AP121+Data!AP122+Data!AP123)</f>
        <v>0.146807307595601</v>
      </c>
      <c r="N123" s="18" t="n">
        <f aca="false">(Data!T112+Data!U112+Data!V112+Data!W112+Data!T113+Data!U113+Data!V113+Data!W113+Data!T114+Data!U114+Data!V114+Data!W114+Data!T115+Data!U115+Data!V115+Data!W115+Data!T116+Data!U116+Data!V116+Data!W116+Data!T117+Data!U117+Data!V117+Data!W117+Data!T118+Data!U118+Data!V118+Data!W118+Data!T119+Data!U119+Data!V119+Data!W119+Data!T120+Data!U120+Data!V120+Data!W120+Data!T121+Data!U121+Data!V121+Data!W121+Data!T122+Data!U122+Data!V122+Data!W122+Data!T123+Data!U123+Data!V123+Data!W123)/(Data!AP112+Data!AP113+Data!AP114+Data!AP115+Data!AP116+Data!AP117+Data!AP118+Data!AP119+Data!AP120+Data!AP121+Data!AP122+Data!AP123)</f>
        <v>0.0857240196468246</v>
      </c>
      <c r="O123" s="18" t="n">
        <f aca="false">(Data!T112+Data!T113+Data!T114+Data!T115+Data!T116+Data!T117+Data!T118+Data!T119+Data!T120+Data!T121+Data!T122+Data!T123)/(Data!AP112+Data!AP113+Data!AP114+Data!AP115+Data!AP116+Data!AP117+Data!AP118+Data!AP119+Data!AP120+Data!AP121+Data!AP122+Data!AP123)</f>
        <v>0.0606238438624386</v>
      </c>
      <c r="P123" s="18" t="n">
        <f aca="false">(Data!U112+Data!U113+Data!U114+Data!U115+Data!U116+Data!U117+Data!U118+Data!U119+Data!U120+Data!U121+Data!U122+Data!U123)/(Data!AP112+Data!AP113+Data!AP114+Data!AP115+Data!AP116+Data!AP117+Data!AP118+Data!AP119+Data!AP120+Data!AP121+Data!AP122+Data!AP123)</f>
        <v>0.0104423736441439</v>
      </c>
      <c r="Q123" s="18" t="n">
        <f aca="false">(Data!V112+Data!V113+Data!V114+Data!V115+Data!V116+Data!V117+Data!V118+Data!V119+Data!V120+Data!V121+Data!V122+Data!V123)/(Data!AP112+Data!AP113+Data!AP114+Data!AP115+Data!AP116+Data!AP117+Data!AP118+Data!AP119+Data!AP120+Data!AP121+Data!AP122+Data!AP123)</f>
        <v>0.00514975170467694</v>
      </c>
      <c r="R123" s="18" t="n">
        <f aca="false">(Data!W112+Data!W113+Data!W114+Data!W115+Data!W116+Data!W117+Data!W118+Data!W119+Data!W120+Data!W121+Data!W122+Data!W123)/(Data!AP112+Data!AP113+Data!AP114+Data!AP115+Data!AP116+Data!AP117+Data!AP118+Data!AP119+Data!AP120+Data!AP121+Data!AP122+Data!AP123)</f>
        <v>0.00950805043556518</v>
      </c>
      <c r="S123" s="18" t="n">
        <f aca="false">(Data!X112+Data!X113+Data!X114+Data!X115+Data!X116+Data!X117+Data!X118+Data!X119+Data!X120+Data!X121+Data!X122+Data!X123)/(Data!AP112+Data!AP113+Data!AP114+Data!AP115+Data!AP116+Data!AP117+Data!AP118+Data!AP119+Data!AP120+Data!AP121+Data!AP122+Data!AP123)</f>
        <v>0.011218867284775</v>
      </c>
      <c r="T123" s="18" t="n">
        <f aca="false">(Data!Y112+Data!Z112+Data!AA112+Data!Y113+Data!Z113+Data!AA113+Data!Y114+Data!Z114+Data!AA114+Data!Y115+Data!Z115+Data!AA115+Data!Y116+Data!Z116+Data!AA116+Data!Y117+Data!Z117+Data!AA117+Data!Y118+Data!Z118+Data!AA118+Data!Y119+Data!Z119+Data!AA119+Data!Y120+Data!Z120+Data!AA120+Data!Y121+Data!Z121+Data!AA121+Data!Y122+Data!Z122+Data!AA122+Data!Y123+Data!Z123+Data!AA123)/(Data!AP112+Data!AP113+Data!AP114+Data!AP115+Data!AP116+Data!AP117+Data!AP118+Data!AP119+Data!AP120+Data!AP121+Data!AP122+Data!AP123)</f>
        <v>0.0101893491248449</v>
      </c>
      <c r="U123" s="18" t="n">
        <f aca="false">(Data!Y112+Data!Y113+Data!Y114+Data!Y115+Data!Y116+Data!Y117+Data!Y118+Data!Y119+Data!Y120+Data!Y121+Data!Y122+Data!Y123)/(Data!AP112+Data!AP113+Data!AP114+Data!AP115+Data!AP116+Data!AP117+Data!AP118+Data!AP119+Data!AP120+Data!AP121+Data!AP122+Data!AP123)</f>
        <v>0.0067293264678663</v>
      </c>
      <c r="V123" s="18" t="n">
        <f aca="false">(Data!Z112+Data!Z113+Data!Z114+Data!Z115+Data!Z116+Data!Z117+Data!Z118+Data!Z119+Data!Z120+Data!Z121+Data!Z122+Data!Z123)/(Data!AP112+Data!AP113+Data!AP114+Data!AP115+Data!AP116+Data!AP117+Data!AP118+Data!AP119+Data!AP120+Data!AP121+Data!AP122+Data!AP123)</f>
        <v>0.00335266945193601</v>
      </c>
      <c r="W123" s="18" t="n">
        <f aca="false">(Data!AB112+Data!AB113+Data!AB114+Data!AB115+Data!AB116+Data!AB117+Data!AB118+Data!AB119+Data!AB120+Data!AB121+Data!AB122+Data!AB123)/(Data!AP112+Data!AP113+Data!AP114+Data!AP115+Data!AP116+Data!AP117+Data!AP118+Data!AP119+Data!AP120+Data!AP121+Data!AP122+Data!AP123)</f>
        <v>0.0199353610028675</v>
      </c>
      <c r="X123" s="18" t="n">
        <f aca="false">(Data!AC112+Data!AC113+Data!AC114+Data!AC115+Data!AC116+Data!AC117+Data!AC118+Data!AC119+Data!AC120+Data!AC121+Data!AC122+Data!AC123)/(Data!AP112+Data!AP113+Data!AP114+Data!AP115+Data!AP116+Data!AP117+Data!AP118+Data!AP119+Data!AP120+Data!AP121+Data!AP122+Data!AP123)</f>
        <v>0.00592544322950778</v>
      </c>
      <c r="Y123" s="18" t="n">
        <f aca="false">(Data!AD112+Data!AE112+Data!AF112+Data!AG112+Data!AH112+Data!AD113+Data!AE113+Data!AF113+Data!AG113+Data!AH113+Data!AD114+Data!AE114+Data!AF114+Data!AG114+Data!AH114+Data!AD115+Data!AE115+Data!AF115+Data!AG115+Data!AH115+Data!AD116+Data!AE116+Data!AF116+Data!AG116+Data!AH116+Data!AD117+Data!AE117+Data!AF117+Data!AG117+Data!AH117+Data!AD118+Data!AE118+Data!AF118+Data!AG118+Data!AH118+Data!AD119+Data!AE119+Data!AF119+Data!AG119+Data!AH119+Data!AD120+Data!AE120+Data!AF120+Data!AG120+Data!AH120+Data!AD121+Data!AE121+Data!AF121+Data!AG121+Data!AH121+Data!AD122+Data!AE122+Data!AF122+Data!AG122+Data!AH122+Data!AD123+Data!AE123+Data!AF123+Data!AG123+Data!AH123)/(Data!AP112+Data!AP113+Data!AP114+Data!AP115+Data!AP116+Data!AP117+Data!AP118+Data!AP119+Data!AP120+Data!AP121+Data!AP122+Data!AP123)</f>
        <v>0.00305657485663185</v>
      </c>
      <c r="Z123" s="18" t="n">
        <f aca="false">(Data!AI112+Data!AI113+Data!AI114+Data!AI115+Data!AI116+Data!AI117+Data!AI118+Data!AI119+Data!AI120+Data!AI121+Data!AI122+Data!AI123)/(Data!AP112+Data!AP113+Data!AP114+Data!AP115+Data!AP116+Data!AP117+Data!AP118+Data!AP119+Data!AP120+Data!AP121+Data!AP122+Data!AP123)</f>
        <v>0.00534053507427854</v>
      </c>
      <c r="AA123" s="18" t="n">
        <f aca="false">(Data!AJ112+Data!AJ113+Data!AJ114+Data!AJ115+Data!AJ116+Data!AJ117+Data!AJ118+Data!AJ119+Data!AJ120+Data!AJ121+Data!AJ122+Data!AJ123)/(Data!AP112+Data!AP113+Data!AP114+Data!AP115+Data!AP116+Data!AP117+Data!AP118+Data!AP119+Data!AP120+Data!AP121+Data!AP122+Data!AP123)</f>
        <v>0</v>
      </c>
      <c r="AB123" s="18" t="n">
        <f aca="false">(Data!AK112+Data!AK113+Data!AK114+Data!AK115+Data!AK116+Data!AK117+Data!AK118+Data!AK119+Data!AK120+Data!AK121+Data!AK122+Data!AK123)/(Data!AP112+Data!AP113+Data!AP114+Data!AP115+Data!AP116+Data!AP117+Data!AP118+Data!AP119+Data!AP120+Data!AP121+Data!AP122+Data!AP123)</f>
        <v>0.00182129501643938</v>
      </c>
      <c r="AC123" s="18" t="n">
        <f aca="false">(Data!AL112+Data!AL113+Data!AL114+Data!AL115+Data!AL116+Data!AL117+Data!AL118+Data!AL119+Data!AL120+Data!AL121+Data!AL122+Data!AL123)/(Data!AP112+Data!AP113+Data!AP114+Data!AP115+Data!AP116+Data!AP117+Data!AP118+Data!AP119+Data!AP120+Data!AP121+Data!AP122+Data!AP123)</f>
        <v>0.00359586235943124</v>
      </c>
      <c r="AD123" s="17" t="n">
        <f aca="false">(Data!AM112+Data!AM113+Data!AM114+Data!AM115+Data!AM116+Data!AM117+Data!AM118+Data!AM119+Data!AM120+Data!AM121+Data!AM122+Data!AM123)/(Data!AP112+Data!AP113+Data!AP114+Data!AP115+Data!AP116+Data!AP117+Data!AP118+Data!AP119+Data!AP120+Data!AP121+Data!AP122+Data!AP123)</f>
        <v>0.0158413480416535</v>
      </c>
      <c r="AE123" s="18" t="n">
        <f aca="false">(Data!AN112+Data!AN113+Data!AN114+Data!AN115+Data!AN116+Data!AN117+Data!AN118+Data!AN119+Data!AN120+Data!AN121+Data!AN122+Data!AN123)/(Data!AP112+Data!AP113+Data!AP114+Data!AP115+Data!AP116+Data!AP117+Data!AP118+Data!AP119+Data!AP120+Data!AP121+Data!AP122+Data!AP123)</f>
        <v>0.0121094258407329</v>
      </c>
      <c r="AF123" s="17" t="n">
        <f aca="false">(Data!AO112+Data!AO113+Data!AO114+Data!AO115+Data!AO116+Data!AO117+Data!AO118+Data!AO119+Data!AO120+Data!AO121+Data!AO122+Data!AO123)/(Data!AP112+Data!AP113+Data!AP114+Data!AP115+Data!AP116+Data!AP117+Data!AP118+Data!AP119+Data!AP120+Data!AP121+Data!AP122+Data!AP123)</f>
        <v>0.0037319259964212</v>
      </c>
    </row>
    <row r="124" customFormat="false" ht="15" hidden="false" customHeight="false" outlineLevel="0" collapsed="false">
      <c r="B124" s="14" t="str">
        <f aca="false">Data!B124</f>
        <v>2025-10</v>
      </c>
      <c r="C124" s="17" t="n">
        <f aca="false">(Data!D113+Data!E113+Data!F113+Data!G113+Data!H113+Data!I113+Data!J113+Data!K113+Data!L113+Data!M113+Data!N113+Data!O113+Data!P113+Data!Q113+Data!R113+Data!S113+Data!D114+Data!E114+Data!F114+Data!G114+Data!H114+Data!I114+Data!J114+Data!K114+Data!L114+Data!M114+Data!N114+Data!O114+Data!P114+Data!Q114+Data!R114+Data!S114+Data!D115+Data!E115+Data!F115+Data!G115+Data!H115+Data!I115+Data!J115+Data!K115+Data!L115+Data!M115+Data!N115+Data!O115+Data!P115+Data!Q115+Data!R115+Data!S115+Data!D116+Data!E116+Data!F116+Data!G116+Data!H116+Data!I116+Data!J116+Data!K116+Data!L116+Data!M116+Data!N116+Data!O116+Data!P116+Data!Q116+Data!R116+Data!S116+Data!D117+Data!E117+Data!F117+Data!G117+Data!H117+Data!I117+Data!J117+Data!K117+Data!L117+Data!M117+Data!N117+Data!O117+Data!P117+Data!Q117+Data!R117+Data!S117+Data!D118+Data!E118+Data!F118+Data!G118+Data!H118+Data!I118+Data!J118+Data!K118+Data!L118+Data!M118+Data!N118+Data!O118+Data!P118+Data!Q118+Data!R118+Data!S118+Data!D119+Data!E119+Data!F119+Data!G119+Data!H119+Data!I119+Data!J119+Data!K119+Data!L119+Data!M119+Data!N119+Data!O119+Data!P119+Data!Q119+Data!R119+Data!S119+Data!D120+Data!E120+Data!F120+Data!G120+Data!H120+Data!I120+Data!J120+Data!K120+Data!L120+Data!M120+Data!N120+Data!O120+Data!P120+Data!Q120+Data!R120+Data!S120+Data!D121+Data!E121+Data!F121+Data!G121+Data!H121+Data!I121+Data!J121+Data!K121+Data!L121+Data!M121+Data!N121+Data!O121+Data!P121+Data!Q121+Data!R121+Data!S121+Data!D122+Data!E122+Data!F122+Data!G122+Data!H122+Data!I122+Data!J122+Data!K122+Data!L122+Data!M122+Data!N122+Data!O122+Data!P122+Data!Q122+Data!R122+Data!S122+Data!D123+Data!E123+Data!F123+Data!G123+Data!H123+Data!I123+Data!J123+Data!K123+Data!L123+Data!M123+Data!N123+Data!O123+Data!P123+Data!Q123+Data!R123+Data!S123+Data!D124+Data!E124+Data!F124+Data!G124+Data!H124+Data!I124+Data!J124+Data!K124+Data!L124+Data!M124+Data!N124+Data!O124+Data!P124+Data!Q124+Data!R124+Data!S124)/(Data!AP113+Data!AP114+Data!AP115+Data!AP116+Data!AP117+Data!AP118+Data!AP119+Data!AP120+Data!AP121+Data!AP122+Data!AP123+Data!AP124)</f>
        <v>0.161851404418892</v>
      </c>
      <c r="D124" s="18" t="n">
        <f aca="false">(Data!D113+Data!E113+Data!G113+Data!H113+Data!I113+Data!J113+Data!K113+Data!L113+Data!M113+Data!D114+Data!E114+Data!G114+Data!H114+Data!I114+Data!J114+Data!K114+Data!L114+Data!M114+Data!D115+Data!E115+Data!G115+Data!H115+Data!I115+Data!J115+Data!K115+Data!L115+Data!M115+Data!D116+Data!E116+Data!G116+Data!H116+Data!I116+Data!J116+Data!K116+Data!L116+Data!M116+Data!D117+Data!E117+Data!G117+Data!H117+Data!I117+Data!J117+Data!K117+Data!L117+Data!M117+Data!D118+Data!E118+Data!G118+Data!H118+Data!I118+Data!J118+Data!K118+Data!L118+Data!M118+Data!D119+Data!E119+Data!G119+Data!H119+Data!I119+Data!J119+Data!K119+Data!L119+Data!M119+Data!D120+Data!E120+Data!G120+Data!H120+Data!I120+Data!J120+Data!K120+Data!L120+Data!M120+Data!D121+Data!E121+Data!G121+Data!H121+Data!I121+Data!J121+Data!K121+Data!L121+Data!M121+Data!D122+Data!E122+Data!G122+Data!H122+Data!I122+Data!J122+Data!K122+Data!L122+Data!M122+Data!D123+Data!E123+Data!G123+Data!H123+Data!I123+Data!J123+Data!K123+Data!L123+Data!M123+Data!D124+Data!E124+Data!G124+Data!H124+Data!I124+Data!J124+Data!K124+Data!L124+Data!M124)/(Data!AP113+Data!AP114+Data!AP115+Data!AP116+Data!AP117+Data!AP118+Data!AP119+Data!AP120+Data!AP121+Data!AP122+Data!AP123+Data!AP124)</f>
        <v>0.0930030428289594</v>
      </c>
      <c r="E124" s="18" t="n">
        <f aca="false">(Data!D113+Data!D114+Data!D115+Data!D116+Data!D117+Data!D118+Data!D119+Data!D120+Data!D121+Data!D122+Data!D123+Data!D124)/(Data!AP113+Data!AP114+Data!AP115+Data!AP116+Data!AP117+Data!AP118+Data!AP119+Data!AP120+Data!AP121+Data!AP122+Data!AP123+Data!AP124)</f>
        <v>0.0333034331477878</v>
      </c>
      <c r="F124" s="18" t="n">
        <f aca="false">(Data!E113+Data!E114+Data!E115+Data!E116+Data!E117+Data!E118+Data!E119+Data!E120+Data!E121+Data!E122+Data!E123+Data!E124)/(Data!AP113+Data!AP114+Data!AP115+Data!AP116+Data!AP117+Data!AP118+Data!AP119+Data!AP120+Data!AP121+Data!AP122+Data!AP123+Data!AP124)</f>
        <v>0.0147918846001994</v>
      </c>
      <c r="G124" s="18" t="n">
        <f aca="false">(Data!K113+Data!K114+Data!K115+Data!K116+Data!K117+Data!K118+Data!K119+Data!K120+Data!K121+Data!K122+Data!K123+Data!K124)/(Data!AP113+Data!AP114+Data!AP115+Data!AP116+Data!AP117+Data!AP118+Data!AP119+Data!AP120+Data!AP121+Data!AP122+Data!AP123+Data!AP124)</f>
        <v>0.00942657590580297</v>
      </c>
      <c r="H124" s="18" t="n">
        <f aca="false">(Data!L113+Data!L114+Data!L115+Data!L116+Data!L117+Data!L118+Data!L119+Data!L120+Data!L121+Data!L122+Data!L123+Data!L124)/(Data!AP113+Data!AP114+Data!AP115+Data!AP116+Data!AP117+Data!AP118+Data!AP119+Data!AP120+Data!AP121+Data!AP122+Data!AP123+Data!AP124)</f>
        <v>0.00645094171961857</v>
      </c>
      <c r="I124" s="18" t="n">
        <f aca="false">(Data!G113+Data!G114+Data!G115+Data!G116+Data!G117+Data!G118+Data!G119+Data!G120+Data!G121+Data!G122+Data!G123+Data!G124)/(Data!AP113+Data!AP114+Data!AP115+Data!AP116+Data!AP117+Data!AP118+Data!AP119+Data!AP120+Data!AP121+Data!AP122+Data!AP123+Data!AP124)</f>
        <v>0.0162010528113507</v>
      </c>
      <c r="J124" s="18" t="n">
        <f aca="false">(Data!H113+Data!I113+Data!J113+Data!M113+Data!H114+Data!I114+Data!J114+Data!M114+Data!H115+Data!I115+Data!J115+Data!M115+Data!H116+Data!I116+Data!J116+Data!M116+Data!H117+Data!I117+Data!J117+Data!M117+Data!H118+Data!I118+Data!J118+Data!M118+Data!H119+Data!I119+Data!J119+Data!M119+Data!H120+Data!I120+Data!J120+Data!M120+Data!H121+Data!I121+Data!J121+Data!M121+Data!H122+Data!I122+Data!J122+Data!M122+Data!H123+Data!I123+Data!J123+Data!M123+Data!H124+Data!I124+Data!J124+Data!M124)/(Data!AP113+Data!AP114+Data!AP115+Data!AP116+Data!AP117+Data!AP118+Data!AP119+Data!AP120+Data!AP121+Data!AP122+Data!AP123+Data!AP124)</f>
        <v>0.0128291546442001</v>
      </c>
      <c r="K124" s="18" t="n">
        <f aca="false">(Data!F113+Data!F114+Data!F115+Data!F116+Data!F117+Data!F118+Data!F119+Data!F120+Data!F121+Data!F122+Data!F123+Data!F124)/(Data!AP113+Data!AP114+Data!AP115+Data!AP116+Data!AP117+Data!AP118+Data!AP119+Data!AP120+Data!AP121+Data!AP122+Data!AP123+Data!AP124)</f>
        <v>0.0556333137578301</v>
      </c>
      <c r="L124" s="18" t="n">
        <f aca="false">(Data!N113+Data!O113+Data!P113+Data!Q113+Data!R113+Data!S113+Data!N114+Data!O114+Data!P114+Data!Q114+Data!R114+Data!S114+Data!N115+Data!O115+Data!P115+Data!Q115+Data!R115+Data!S115+Data!N116+Data!O116+Data!P116+Data!Q116+Data!R116+Data!S116+Data!N117+Data!O117+Data!P117+Data!Q117+Data!R117+Data!S117+Data!N118+Data!O118+Data!P118+Data!Q118+Data!R118+Data!S118+Data!N119+Data!O119+Data!P119+Data!Q119+Data!R119+Data!S119+Data!N120+Data!O120+Data!P120+Data!Q120+Data!R120+Data!S120+Data!N121+Data!O121+Data!P121+Data!Q121+Data!R121+Data!S121+Data!N122+Data!O122+Data!P122+Data!Q122+Data!R122+Data!S122+Data!N123+Data!O123+Data!P123+Data!Q123+Data!R123+Data!S123+Data!N124+Data!O124+Data!P124+Data!Q124+Data!R124+Data!S124)/(Data!AP113+Data!AP114+Data!AP115+Data!AP116+Data!AP117+Data!AP118+Data!AP119+Data!AP120+Data!AP121+Data!AP122+Data!AP123+Data!AP124)</f>
        <v>0.0132150478321029</v>
      </c>
      <c r="M124" s="17" t="n">
        <f aca="false">(Data!T113+Data!U113+Data!V113+Data!W113+Data!X113+Data!Y113+Data!Z113+Data!AA113+Data!AB113+Data!AC113+Data!AD113+Data!AE113+Data!AF113+Data!AG113+Data!AH113+Data!AI113+Data!AJ113+Data!AK113+Data!AL113+Data!T114+Data!U114+Data!V114+Data!W114+Data!X114+Data!Y114+Data!Z114+Data!AA114+Data!AB114+Data!AC114+Data!AD114+Data!AE114+Data!AF114+Data!AG114+Data!AH114+Data!AI114+Data!AJ114+Data!AK114+Data!AL114+Data!T115+Data!U115+Data!V115+Data!W115+Data!X115+Data!Y115+Data!Z115+Data!AA115+Data!AB115+Data!AC115+Data!AD115+Data!AE115+Data!AF115+Data!AG115+Data!AH115+Data!AI115+Data!AJ115+Data!AK115+Data!AL115+Data!T116+Data!U116+Data!V116+Data!W116+Data!X116+Data!Y116+Data!Z116+Data!AA116+Data!AB116+Data!AC116+Data!AD116+Data!AE116+Data!AF116+Data!AG116+Data!AH116+Data!AI116+Data!AJ116+Data!AK116+Data!AL116+Data!T117+Data!U117+Data!V117+Data!W117+Data!X117+Data!Y117+Data!Z117+Data!AA117+Data!AB117+Data!AC117+Data!AD117+Data!AE117+Data!AF117+Data!AG117+Data!AH117+Data!AI117+Data!AJ117+Data!AK117+Data!AL117+Data!T118+Data!U118+Data!V118+Data!W118+Data!X118+Data!Y118+Data!Z118+Data!AA118+Data!AB118+Data!AC118+Data!AD118+Data!AE118+Data!AF118+Data!AG118+Data!AH118+Data!AI118+Data!AJ118+Data!AK118+Data!AL118+Data!T119+Data!U119+Data!V119+Data!W119+Data!X119+Data!Y119+Data!Z119+Data!AA119+Data!AB119+Data!AC119+Data!AD119+Data!AE119+Data!AF119+Data!AG119+Data!AH119+Data!AI119+Data!AJ119+Data!AK119+Data!AL119+Data!T120+Data!U120+Data!V120+Data!W120+Data!X120+Data!Y120+Data!Z120+Data!AA120+Data!AB120+Data!AC120+Data!AD120+Data!AE120+Data!AF120+Data!AG120+Data!AH120+Data!AI120+Data!AJ120+Data!AK120+Data!AL120+Data!T121+Data!U121+Data!V121+Data!W121+Data!X121+Data!Y121+Data!Z121+Data!AA121+Data!AB121+Data!AC121+Data!AD121+Data!AE121+Data!AF121+Data!AG121+Data!AH121+Data!AI121+Data!AJ121+Data!AK121+Data!AL121+Data!T122+Data!U122+Data!V122+Data!W122+Data!X122+Data!Y122+Data!Z122+Data!AA122+Data!AB122+Data!AC122+Data!AD122+Data!AE122+Data!AF122+Data!AG122+Data!AH122+Data!AI122+Data!AJ122+Data!AK122+Data!AL122+Data!T123+Data!U123+Data!V123+Data!W123+Data!X123+Data!Y123+Data!Z123+Data!AA123+Data!AB123+Data!AC123+Data!AD123+Data!AE123+Data!AF123+Data!AG123+Data!AH123+Data!AI123+Data!AJ123+Data!AK123+Data!AL123+Data!T124+Data!U124+Data!V124+Data!W124+Data!X124+Data!Y124+Data!Z124+Data!AA124+Data!AB124+Data!AC124+Data!AD124+Data!AE124+Data!AF124+Data!AG124+Data!AH124+Data!AI124+Data!AJ124+Data!AK124+Data!AL124)/(Data!AP113+Data!AP114+Data!AP115+Data!AP116+Data!AP117+Data!AP118+Data!AP119+Data!AP120+Data!AP121+Data!AP122+Data!AP123+Data!AP124)</f>
        <v>0.146308592234027</v>
      </c>
      <c r="N124" s="18" t="n">
        <f aca="false">(Data!T113+Data!U113+Data!V113+Data!W113+Data!T114+Data!U114+Data!V114+Data!W114+Data!T115+Data!U115+Data!V115+Data!W115+Data!T116+Data!U116+Data!V116+Data!W116+Data!T117+Data!U117+Data!V117+Data!W117+Data!T118+Data!U118+Data!V118+Data!W118+Data!T119+Data!U119+Data!V119+Data!W119+Data!T120+Data!U120+Data!V120+Data!W120+Data!T121+Data!U121+Data!V121+Data!W121+Data!T122+Data!U122+Data!V122+Data!W122+Data!T123+Data!U123+Data!V123+Data!W123+Data!T124+Data!U124+Data!V124+Data!W124)/(Data!AP113+Data!AP114+Data!AP115+Data!AP116+Data!AP117+Data!AP118+Data!AP119+Data!AP120+Data!AP121+Data!AP122+Data!AP123+Data!AP124)</f>
        <v>0.0856589742339679</v>
      </c>
      <c r="O124" s="18" t="n">
        <f aca="false">(Data!T113+Data!T114+Data!T115+Data!T116+Data!T117+Data!T118+Data!T119+Data!T120+Data!T121+Data!T122+Data!T123+Data!T124)/(Data!AP113+Data!AP114+Data!AP115+Data!AP116+Data!AP117+Data!AP118+Data!AP119+Data!AP120+Data!AP121+Data!AP122+Data!AP123+Data!AP124)</f>
        <v>0.0607013732664172</v>
      </c>
      <c r="P124" s="18" t="n">
        <f aca="false">(Data!U113+Data!U114+Data!U115+Data!U116+Data!U117+Data!U118+Data!U119+Data!U120+Data!U121+Data!U122+Data!U123+Data!U124)/(Data!AP113+Data!AP114+Data!AP115+Data!AP116+Data!AP117+Data!AP118+Data!AP119+Data!AP120+Data!AP121+Data!AP122+Data!AP123+Data!AP124)</f>
        <v>0.0104048676449827</v>
      </c>
      <c r="Q124" s="18" t="n">
        <f aca="false">(Data!V113+Data!V114+Data!V115+Data!V116+Data!V117+Data!V118+Data!V119+Data!V120+Data!V121+Data!V122+Data!V123+Data!V124)/(Data!AP113+Data!AP114+Data!AP115+Data!AP116+Data!AP117+Data!AP118+Data!AP119+Data!AP120+Data!AP121+Data!AP122+Data!AP123+Data!AP124)</f>
        <v>0.00510359113364338</v>
      </c>
      <c r="R124" s="18" t="n">
        <f aca="false">(Data!W113+Data!W114+Data!W115+Data!W116+Data!W117+Data!W118+Data!W119+Data!W120+Data!W121+Data!W122+Data!W123+Data!W124)/(Data!AP113+Data!AP114+Data!AP115+Data!AP116+Data!AP117+Data!AP118+Data!AP119+Data!AP120+Data!AP121+Data!AP122+Data!AP123+Data!AP124)</f>
        <v>0.00944914218892465</v>
      </c>
      <c r="S124" s="18" t="n">
        <f aca="false">(Data!X113+Data!X114+Data!X115+Data!X116+Data!X117+Data!X118+Data!X119+Data!X120+Data!X121+Data!X122+Data!X123+Data!X124)/(Data!AP113+Data!AP114+Data!AP115+Data!AP116+Data!AP117+Data!AP118+Data!AP119+Data!AP120+Data!AP121+Data!AP122+Data!AP123+Data!AP124)</f>
        <v>0.0109106603276588</v>
      </c>
      <c r="T124" s="18" t="n">
        <f aca="false">(Data!Y113+Data!Z113+Data!AA113+Data!Y114+Data!Z114+Data!AA114+Data!Y115+Data!Z115+Data!AA115+Data!Y116+Data!Z116+Data!AA116+Data!Y117+Data!Z117+Data!AA117+Data!Y118+Data!Z118+Data!AA118+Data!Y119+Data!Z119+Data!AA119+Data!Y120+Data!Z120+Data!AA120+Data!Y121+Data!Z121+Data!AA121+Data!Y122+Data!Z122+Data!AA122+Data!Y123+Data!Z123+Data!AA123+Data!Y124+Data!Z124+Data!AA124)/(Data!AP113+Data!AP114+Data!AP115+Data!AP116+Data!AP117+Data!AP118+Data!AP119+Data!AP120+Data!AP121+Data!AP122+Data!AP123+Data!AP124)</f>
        <v>0.010210435631706</v>
      </c>
      <c r="U124" s="18" t="n">
        <f aca="false">(Data!Y113+Data!Y114+Data!Y115+Data!Y116+Data!Y117+Data!Y118+Data!Y119+Data!Y120+Data!Y121+Data!Y122+Data!Y123+Data!Y124)/(Data!AP113+Data!AP114+Data!AP115+Data!AP116+Data!AP117+Data!AP118+Data!AP119+Data!AP120+Data!AP121+Data!AP122+Data!AP123+Data!AP124)</f>
        <v>0.00677382055747372</v>
      </c>
      <c r="V124" s="18" t="n">
        <f aca="false">(Data!Z113+Data!Z114+Data!Z115+Data!Z116+Data!Z117+Data!Z118+Data!Z119+Data!Z120+Data!Z121+Data!Z122+Data!Z123+Data!Z124)/(Data!AP113+Data!AP114+Data!AP115+Data!AP116+Data!AP117+Data!AP118+Data!AP119+Data!AP120+Data!AP121+Data!AP122+Data!AP123+Data!AP124)</f>
        <v>0.00333755216333316</v>
      </c>
      <c r="W124" s="18" t="n">
        <f aca="false">(Data!AB113+Data!AB114+Data!AB115+Data!AB116+Data!AB117+Data!AB118+Data!AB119+Data!AB120+Data!AB121+Data!AB122+Data!AB123+Data!AB124)/(Data!AP113+Data!AP114+Data!AP115+Data!AP116+Data!AP117+Data!AP118+Data!AP119+Data!AP120+Data!AP121+Data!AP122+Data!AP123+Data!AP124)</f>
        <v>0.0197541030469132</v>
      </c>
      <c r="X124" s="18" t="n">
        <f aca="false">(Data!AC113+Data!AC114+Data!AC115+Data!AC116+Data!AC117+Data!AC118+Data!AC119+Data!AC120+Data!AC121+Data!AC122+Data!AC123+Data!AC124)/(Data!AP113+Data!AP114+Data!AP115+Data!AP116+Data!AP117+Data!AP118+Data!AP119+Data!AP120+Data!AP121+Data!AP122+Data!AP123+Data!AP124)</f>
        <v>0.00607532309329447</v>
      </c>
      <c r="Y124" s="18" t="n">
        <f aca="false">(Data!AD113+Data!AE113+Data!AF113+Data!AG113+Data!AH113+Data!AD114+Data!AE114+Data!AF114+Data!AG114+Data!AH114+Data!AD115+Data!AE115+Data!AF115+Data!AG115+Data!AH115+Data!AD116+Data!AE116+Data!AF116+Data!AG116+Data!AH116+Data!AD117+Data!AE117+Data!AF117+Data!AG117+Data!AH117+Data!AD118+Data!AE118+Data!AF118+Data!AG118+Data!AH118+Data!AD119+Data!AE119+Data!AF119+Data!AG119+Data!AH119+Data!AD120+Data!AE120+Data!AF120+Data!AG120+Data!AH120+Data!AD121+Data!AE121+Data!AF121+Data!AG121+Data!AH121+Data!AD122+Data!AE122+Data!AF122+Data!AG122+Data!AH122+Data!AD123+Data!AE123+Data!AF123+Data!AG123+Data!AH123+Data!AD124+Data!AE124+Data!AF124+Data!AG124+Data!AH124)/(Data!AP113+Data!AP114+Data!AP115+Data!AP116+Data!AP117+Data!AP118+Data!AP119+Data!AP120+Data!AP121+Data!AP122+Data!AP123+Data!AP124)</f>
        <v>0.00295933158571588</v>
      </c>
      <c r="Z124" s="18" t="n">
        <f aca="false">(Data!AI113+Data!AI114+Data!AI115+Data!AI116+Data!AI117+Data!AI118+Data!AI119+Data!AI120+Data!AI121+Data!AI122+Data!AI123+Data!AI124)/(Data!AP113+Data!AP114+Data!AP115+Data!AP116+Data!AP117+Data!AP118+Data!AP119+Data!AP120+Data!AP121+Data!AP122+Data!AP123+Data!AP124)</f>
        <v>0.00531770618671689</v>
      </c>
      <c r="AA124" s="18" t="n">
        <f aca="false">(Data!AJ113+Data!AJ114+Data!AJ115+Data!AJ116+Data!AJ117+Data!AJ118+Data!AJ119+Data!AJ120+Data!AJ121+Data!AJ122+Data!AJ123+Data!AJ124)/(Data!AP113+Data!AP114+Data!AP115+Data!AP116+Data!AP117+Data!AP118+Data!AP119+Data!AP120+Data!AP121+Data!AP122+Data!AP123+Data!AP124)</f>
        <v>0</v>
      </c>
      <c r="AB124" s="18" t="n">
        <f aca="false">(Data!AK113+Data!AK114+Data!AK115+Data!AK116+Data!AK117+Data!AK118+Data!AK119+Data!AK120+Data!AK121+Data!AK122+Data!AK123+Data!AK124)/(Data!AP113+Data!AP114+Data!AP115+Data!AP116+Data!AP117+Data!AP118+Data!AP119+Data!AP120+Data!AP121+Data!AP122+Data!AP123+Data!AP124)</f>
        <v>0.00186709313269684</v>
      </c>
      <c r="AC124" s="18" t="n">
        <f aca="false">(Data!AL113+Data!AL114+Data!AL115+Data!AL116+Data!AL117+Data!AL118+Data!AL119+Data!AL120+Data!AL121+Data!AL122+Data!AL123+Data!AL124)/(Data!AP113+Data!AP114+Data!AP115+Data!AP116+Data!AP117+Data!AP118+Data!AP119+Data!AP120+Data!AP121+Data!AP122+Data!AP123+Data!AP124)</f>
        <v>0.00355496499535721</v>
      </c>
      <c r="AD124" s="17" t="n">
        <f aca="false">(Data!AM113+Data!AM114+Data!AM115+Data!AM116+Data!AM117+Data!AM118+Data!AM119+Data!AM120+Data!AM121+Data!AM122+Data!AM123+Data!AM124)/(Data!AP113+Data!AP114+Data!AP115+Data!AP116+Data!AP117+Data!AP118+Data!AP119+Data!AP120+Data!AP121+Data!AP122+Data!AP123+Data!AP124)</f>
        <v>0.0155428121848654</v>
      </c>
      <c r="AE124" s="18" t="n">
        <f aca="false">(Data!AN113+Data!AN114+Data!AN115+Data!AN116+Data!AN117+Data!AN118+Data!AN119+Data!AN120+Data!AN121+Data!AN122+Data!AN123+Data!AN124)/(Data!AP113+Data!AP114+Data!AP115+Data!AP116+Data!AP117+Data!AP118+Data!AP119+Data!AP120+Data!AP121+Data!AP122+Data!AP123+Data!AP124)</f>
        <v>0.0119106646039692</v>
      </c>
      <c r="AF124" s="17" t="n">
        <f aca="false">(Data!AO113+Data!AO114+Data!AO115+Data!AO116+Data!AO117+Data!AO118+Data!AO119+Data!AO120+Data!AO121+Data!AO122+Data!AO123+Data!AO124)/(Data!AP113+Data!AP114+Data!AP115+Data!AP116+Data!AP117+Data!AP118+Data!AP119+Data!AP120+Data!AP121+Data!AP122+Data!AP123+Data!AP124)</f>
        <v>0.00363215128210706</v>
      </c>
    </row>
    <row r="125" customFormat="false" ht="15" hidden="false" customHeight="false" outlineLevel="0" collapsed="false">
      <c r="B125" s="14" t="str">
        <f aca="false">Data!B125</f>
        <v>2025-11</v>
      </c>
      <c r="C125" s="17" t="n">
        <f aca="false">(Data!D114+Data!E114+Data!F114+Data!G114+Data!H114+Data!I114+Data!J114+Data!K114+Data!L114+Data!M114+Data!N114+Data!O114+Data!P114+Data!Q114+Data!R114+Data!S114+Data!D115+Data!E115+Data!F115+Data!G115+Data!H115+Data!I115+Data!J115+Data!K115+Data!L115+Data!M115+Data!N115+Data!O115+Data!P115+Data!Q115+Data!R115+Data!S115+Data!D116+Data!E116+Data!F116+Data!G116+Data!H116+Data!I116+Data!J116+Data!K116+Data!L116+Data!M116+Data!N116+Data!O116+Data!P116+Data!Q116+Data!R116+Data!S116+Data!D117+Data!E117+Data!F117+Data!G117+Data!H117+Data!I117+Data!J117+Data!K117+Data!L117+Data!M117+Data!N117+Data!O117+Data!P117+Data!Q117+Data!R117+Data!S117+Data!D118+Data!E118+Data!F118+Data!G118+Data!H118+Data!I118+Data!J118+Data!K118+Data!L118+Data!M118+Data!N118+Data!O118+Data!P118+Data!Q118+Data!R118+Data!S118+Data!D119+Data!E119+Data!F119+Data!G119+Data!H119+Data!I119+Data!J119+Data!K119+Data!L119+Data!M119+Data!N119+Data!O119+Data!P119+Data!Q119+Data!R119+Data!S119+Data!D120+Data!E120+Data!F120+Data!G120+Data!H120+Data!I120+Data!J120+Data!K120+Data!L120+Data!M120+Data!N120+Data!O120+Data!P120+Data!Q120+Data!R120+Data!S120+Data!D121+Data!E121+Data!F121+Data!G121+Data!H121+Data!I121+Data!J121+Data!K121+Data!L121+Data!M121+Data!N121+Data!O121+Data!P121+Data!Q121+Data!R121+Data!S121+Data!D122+Data!E122+Data!F122+Data!G122+Data!H122+Data!I122+Data!J122+Data!K122+Data!L122+Data!M122+Data!N122+Data!O122+Data!P122+Data!Q122+Data!R122+Data!S122+Data!D123+Data!E123+Data!F123+Data!G123+Data!H123+Data!I123+Data!J123+Data!K123+Data!L123+Data!M123+Data!N123+Data!O123+Data!P123+Data!Q123+Data!R123+Data!S123+Data!D124+Data!E124+Data!F124+Data!G124+Data!H124+Data!I124+Data!J124+Data!K124+Data!L124+Data!M124+Data!N124+Data!O124+Data!P124+Data!Q124+Data!R124+Data!S124+Data!D125+Data!E125+Data!F125+Data!G125+Data!H125+Data!I125+Data!J125+Data!K125+Data!L125+Data!M125+Data!N125+Data!O125+Data!P125+Data!Q125+Data!R125+Data!S125)/(Data!AP114+Data!AP115+Data!AP116+Data!AP117+Data!AP118+Data!AP119+Data!AP120+Data!AP121+Data!AP122+Data!AP123+Data!AP124+Data!AP125)</f>
        <v>0.160155132685262</v>
      </c>
      <c r="D125" s="18" t="n">
        <f aca="false">(Data!D114+Data!E114+Data!G114+Data!H114+Data!I114+Data!J114+Data!K114+Data!L114+Data!M114+Data!D115+Data!E115+Data!G115+Data!H115+Data!I115+Data!J115+Data!K115+Data!L115+Data!M115+Data!D116+Data!E116+Data!G116+Data!H116+Data!I116+Data!J116+Data!K116+Data!L116+Data!M116+Data!D117+Data!E117+Data!G117+Data!H117+Data!I117+Data!J117+Data!K117+Data!L117+Data!M117+Data!D118+Data!E118+Data!G118+Data!H118+Data!I118+Data!J118+Data!K118+Data!L118+Data!M118+Data!D119+Data!E119+Data!G119+Data!H119+Data!I119+Data!J119+Data!K119+Data!L119+Data!M119+Data!D120+Data!E120+Data!G120+Data!H120+Data!I120+Data!J120+Data!K120+Data!L120+Data!M120+Data!D121+Data!E121+Data!G121+Data!H121+Data!I121+Data!J121+Data!K121+Data!L121+Data!M121+Data!D122+Data!E122+Data!G122+Data!H122+Data!I122+Data!J122+Data!K122+Data!L122+Data!M122+Data!D123+Data!E123+Data!G123+Data!H123+Data!I123+Data!J123+Data!K123+Data!L123+Data!M123+Data!D124+Data!E124+Data!G124+Data!H124+Data!I124+Data!J124+Data!K124+Data!L124+Data!M124+Data!D125+Data!E125+Data!G125+Data!H125+Data!I125+Data!J125+Data!K125+Data!L125+Data!M125)/(Data!AP114+Data!AP115+Data!AP116+Data!AP117+Data!AP118+Data!AP119+Data!AP120+Data!AP121+Data!AP122+Data!AP123+Data!AP124+Data!AP125)</f>
        <v>0.0914256419537284</v>
      </c>
      <c r="E125" s="18" t="n">
        <f aca="false">(Data!D114+Data!D115+Data!D116+Data!D117+Data!D118+Data!D119+Data!D120+Data!D121+Data!D122+Data!D123+Data!D124+Data!D125)/(Data!AP114+Data!AP115+Data!AP116+Data!AP117+Data!AP118+Data!AP119+Data!AP120+Data!AP121+Data!AP122+Data!AP123+Data!AP124+Data!AP125)</f>
        <v>0.0331318144682362</v>
      </c>
      <c r="F125" s="18" t="n">
        <f aca="false">(Data!E114+Data!E115+Data!E116+Data!E117+Data!E118+Data!E119+Data!E120+Data!E121+Data!E122+Data!E123+Data!E124+Data!E125)/(Data!AP114+Data!AP115+Data!AP116+Data!AP117+Data!AP118+Data!AP119+Data!AP120+Data!AP121+Data!AP122+Data!AP123+Data!AP124+Data!AP125)</f>
        <v>0.0146822286508184</v>
      </c>
      <c r="G125" s="18" t="n">
        <f aca="false">(Data!K114+Data!K115+Data!K116+Data!K117+Data!K118+Data!K119+Data!K120+Data!K121+Data!K122+Data!K123+Data!K124+Data!K125)/(Data!AP114+Data!AP115+Data!AP116+Data!AP117+Data!AP118+Data!AP119+Data!AP120+Data!AP121+Data!AP122+Data!AP123+Data!AP124+Data!AP125)</f>
        <v>0.00881886715980169</v>
      </c>
      <c r="H125" s="18" t="n">
        <f aca="false">(Data!L114+Data!L115+Data!L116+Data!L117+Data!L118+Data!L119+Data!L120+Data!L121+Data!L122+Data!L123+Data!L124+Data!L125)/(Data!AP114+Data!AP115+Data!AP116+Data!AP117+Data!AP118+Data!AP119+Data!AP120+Data!AP121+Data!AP122+Data!AP123+Data!AP124+Data!AP125)</f>
        <v>0.00646702296294313</v>
      </c>
      <c r="I125" s="18" t="n">
        <f aca="false">(Data!G114+Data!G115+Data!G116+Data!G117+Data!G118+Data!G119+Data!G120+Data!G121+Data!G122+Data!G123+Data!G124+Data!G125)/(Data!AP114+Data!AP115+Data!AP116+Data!AP117+Data!AP118+Data!AP119+Data!AP120+Data!AP121+Data!AP122+Data!AP123+Data!AP124+Data!AP125)</f>
        <v>0.0160833063605874</v>
      </c>
      <c r="J125" s="18" t="n">
        <f aca="false">(Data!H114+Data!I114+Data!J114+Data!M114+Data!H115+Data!I115+Data!J115+Data!M115+Data!H116+Data!I116+Data!J116+Data!M116+Data!H117+Data!I117+Data!J117+Data!M117+Data!H118+Data!I118+Data!J118+Data!M118+Data!H119+Data!I119+Data!J119+Data!M119+Data!H120+Data!I120+Data!J120+Data!M120+Data!H121+Data!I121+Data!J121+Data!M121+Data!H122+Data!I122+Data!J122+Data!M122+Data!H123+Data!I123+Data!J123+Data!M123+Data!H124+Data!I124+Data!J124+Data!M124+Data!H125+Data!I125+Data!J125+Data!M125)/(Data!AP114+Data!AP115+Data!AP116+Data!AP117+Data!AP118+Data!AP119+Data!AP120+Data!AP121+Data!AP122+Data!AP123+Data!AP124+Data!AP125)</f>
        <v>0.0122424023513415</v>
      </c>
      <c r="K125" s="18" t="n">
        <f aca="false">(Data!F114+Data!F115+Data!F116+Data!F117+Data!F118+Data!F119+Data!F120+Data!F121+Data!F122+Data!F123+Data!F124+Data!F125)/(Data!AP114+Data!AP115+Data!AP116+Data!AP117+Data!AP118+Data!AP119+Data!AP120+Data!AP121+Data!AP122+Data!AP123+Data!AP124+Data!AP125)</f>
        <v>0.0554212878290717</v>
      </c>
      <c r="L125" s="18" t="n">
        <f aca="false">(Data!N114+Data!O114+Data!P114+Data!Q114+Data!R114+Data!S114+Data!N115+Data!O115+Data!P115+Data!Q115+Data!R115+Data!S115+Data!N116+Data!O116+Data!P116+Data!Q116+Data!R116+Data!S116+Data!N117+Data!O117+Data!P117+Data!Q117+Data!R117+Data!S117+Data!N118+Data!O118+Data!P118+Data!Q118+Data!R118+Data!S118+Data!N119+Data!O119+Data!P119+Data!Q119+Data!R119+Data!S119+Data!N120+Data!O120+Data!P120+Data!Q120+Data!R120+Data!S120+Data!N121+Data!O121+Data!P121+Data!Q121+Data!R121+Data!S121+Data!N122+Data!O122+Data!P122+Data!Q122+Data!R122+Data!S122+Data!N123+Data!O123+Data!P123+Data!Q123+Data!R123+Data!S123+Data!N124+Data!O124+Data!P124+Data!Q124+Data!R124+Data!S124+Data!N125+Data!O125+Data!P125+Data!Q125+Data!R125+Data!S125)/(Data!AP114+Data!AP115+Data!AP116+Data!AP117+Data!AP118+Data!AP119+Data!AP120+Data!AP121+Data!AP122+Data!AP123+Data!AP124+Data!AP125)</f>
        <v>0.0133082029024618</v>
      </c>
      <c r="M125" s="17" t="n">
        <f aca="false">(Data!T114+Data!U114+Data!V114+Data!W114+Data!X114+Data!Y114+Data!Z114+Data!AA114+Data!AB114+Data!AC114+Data!AD114+Data!AE114+Data!AF114+Data!AG114+Data!AH114+Data!AI114+Data!AJ114+Data!AK114+Data!AL114+Data!T115+Data!U115+Data!V115+Data!W115+Data!X115+Data!Y115+Data!Z115+Data!AA115+Data!AB115+Data!AC115+Data!AD115+Data!AE115+Data!AF115+Data!AG115+Data!AH115+Data!AI115+Data!AJ115+Data!AK115+Data!AL115+Data!T116+Data!U116+Data!V116+Data!W116+Data!X116+Data!Y116+Data!Z116+Data!AA116+Data!AB116+Data!AC116+Data!AD116+Data!AE116+Data!AF116+Data!AG116+Data!AH116+Data!AI116+Data!AJ116+Data!AK116+Data!AL116+Data!T117+Data!U117+Data!V117+Data!W117+Data!X117+Data!Y117+Data!Z117+Data!AA117+Data!AB117+Data!AC117+Data!AD117+Data!AE117+Data!AF117+Data!AG117+Data!AH117+Data!AI117+Data!AJ117+Data!AK117+Data!AL117+Data!T118+Data!U118+Data!V118+Data!W118+Data!X118+Data!Y118+Data!Z118+Data!AA118+Data!AB118+Data!AC118+Data!AD118+Data!AE118+Data!AF118+Data!AG118+Data!AH118+Data!AI118+Data!AJ118+Data!AK118+Data!AL118+Data!T119+Data!U119+Data!V119+Data!W119+Data!X119+Data!Y119+Data!Z119+Data!AA119+Data!AB119+Data!AC119+Data!AD119+Data!AE119+Data!AF119+Data!AG119+Data!AH119+Data!AI119+Data!AJ119+Data!AK119+Data!AL119+Data!T120+Data!U120+Data!V120+Data!W120+Data!X120+Data!Y120+Data!Z120+Data!AA120+Data!AB120+Data!AC120+Data!AD120+Data!AE120+Data!AF120+Data!AG120+Data!AH120+Data!AI120+Data!AJ120+Data!AK120+Data!AL120+Data!T121+Data!U121+Data!V121+Data!W121+Data!X121+Data!Y121+Data!Z121+Data!AA121+Data!AB121+Data!AC121+Data!AD121+Data!AE121+Data!AF121+Data!AG121+Data!AH121+Data!AI121+Data!AJ121+Data!AK121+Data!AL121+Data!T122+Data!U122+Data!V122+Data!W122+Data!X122+Data!Y122+Data!Z122+Data!AA122+Data!AB122+Data!AC122+Data!AD122+Data!AE122+Data!AF122+Data!AG122+Data!AH122+Data!AI122+Data!AJ122+Data!AK122+Data!AL122+Data!T123+Data!U123+Data!V123+Data!W123+Data!X123+Data!Y123+Data!Z123+Data!AA123+Data!AB123+Data!AC123+Data!AD123+Data!AE123+Data!AF123+Data!AG123+Data!AH123+Data!AI123+Data!AJ123+Data!AK123+Data!AL123+Data!T124+Data!U124+Data!V124+Data!W124+Data!X124+Data!Y124+Data!Z124+Data!AA124+Data!AB124+Data!AC124+Data!AD124+Data!AE124+Data!AF124+Data!AG124+Data!AH124+Data!AI124+Data!AJ124+Data!AK124+Data!AL124+Data!T125+Data!U125+Data!V125+Data!W125+Data!X125+Data!Y125+Data!Z125+Data!AA125+Data!AB125+Data!AC125+Data!AD125+Data!AE125+Data!AF125+Data!AG125+Data!AH125+Data!AI125+Data!AJ125+Data!AK125+Data!AL125)/(Data!AP114+Data!AP115+Data!AP116+Data!AP117+Data!AP118+Data!AP119+Data!AP120+Data!AP121+Data!AP122+Data!AP123+Data!AP124+Data!AP125)</f>
        <v>0.144083626481291</v>
      </c>
      <c r="N125" s="18" t="n">
        <f aca="false">(Data!T114+Data!U114+Data!V114+Data!W114+Data!T115+Data!U115+Data!V115+Data!W115+Data!T116+Data!U116+Data!V116+Data!W116+Data!T117+Data!U117+Data!V117+Data!W117+Data!T118+Data!U118+Data!V118+Data!W118+Data!T119+Data!U119+Data!V119+Data!W119+Data!T120+Data!U120+Data!V120+Data!W120+Data!T121+Data!U121+Data!V121+Data!W121+Data!T122+Data!U122+Data!V122+Data!W122+Data!T123+Data!U123+Data!V123+Data!W123+Data!T124+Data!U124+Data!V124+Data!W124+Data!T125+Data!U125+Data!V125+Data!W125)/(Data!AP114+Data!AP115+Data!AP116+Data!AP117+Data!AP118+Data!AP119+Data!AP120+Data!AP121+Data!AP122+Data!AP123+Data!AP124+Data!AP125)</f>
        <v>0.0851470397197904</v>
      </c>
      <c r="O125" s="18" t="n">
        <f aca="false">(Data!T114+Data!T115+Data!T116+Data!T117+Data!T118+Data!T119+Data!T120+Data!T121+Data!T122+Data!T123+Data!T124+Data!T125)/(Data!AP114+Data!AP115+Data!AP116+Data!AP117+Data!AP118+Data!AP119+Data!AP120+Data!AP121+Data!AP122+Data!AP123+Data!AP124+Data!AP125)</f>
        <v>0.0607466883935687</v>
      </c>
      <c r="P125" s="18" t="n">
        <f aca="false">(Data!U114+Data!U115+Data!U116+Data!U117+Data!U118+Data!U119+Data!U120+Data!U121+Data!U122+Data!U123+Data!U124+Data!U125)/(Data!AP114+Data!AP115+Data!AP116+Data!AP117+Data!AP118+Data!AP119+Data!AP120+Data!AP121+Data!AP122+Data!AP123+Data!AP124+Data!AP125)</f>
        <v>0.0103765203504383</v>
      </c>
      <c r="Q125" s="18" t="n">
        <f aca="false">(Data!V114+Data!V115+Data!V116+Data!V117+Data!V118+Data!V119+Data!V120+Data!V121+Data!V122+Data!V123+Data!V124+Data!V125)/(Data!AP114+Data!AP115+Data!AP116+Data!AP117+Data!AP118+Data!AP119+Data!AP120+Data!AP121+Data!AP122+Data!AP123+Data!AP124+Data!AP125)</f>
        <v>0.00503700969868699</v>
      </c>
      <c r="R125" s="18" t="n">
        <f aca="false">(Data!W114+Data!W115+Data!W116+Data!W117+Data!W118+Data!W119+Data!W120+Data!W121+Data!W122+Data!W123+Data!W124+Data!W125)/(Data!AP114+Data!AP115+Data!AP116+Data!AP117+Data!AP118+Data!AP119+Data!AP120+Data!AP121+Data!AP122+Data!AP123+Data!AP124+Data!AP125)</f>
        <v>0.00898682127709638</v>
      </c>
      <c r="S125" s="18" t="n">
        <f aca="false">(Data!X114+Data!X115+Data!X116+Data!X117+Data!X118+Data!X119+Data!X120+Data!X121+Data!X122+Data!X123+Data!X124+Data!X125)/(Data!AP114+Data!AP115+Data!AP116+Data!AP117+Data!AP118+Data!AP119+Data!AP120+Data!AP121+Data!AP122+Data!AP123+Data!AP124+Data!AP125)</f>
        <v>0.0102850131346932</v>
      </c>
      <c r="T125" s="18" t="n">
        <f aca="false">(Data!Y114+Data!Z114+Data!AA114+Data!Y115+Data!Z115+Data!AA115+Data!Y116+Data!Z116+Data!AA116+Data!Y117+Data!Z117+Data!AA117+Data!Y118+Data!Z118+Data!AA118+Data!Y119+Data!Z119+Data!AA119+Data!Y120+Data!Z120+Data!AA120+Data!Y121+Data!Z121+Data!AA121+Data!Y122+Data!Z122+Data!AA122+Data!Y123+Data!Z123+Data!AA123+Data!Y124+Data!Z124+Data!AA124+Data!Y125+Data!Z125+Data!AA125)/(Data!AP114+Data!AP115+Data!AP116+Data!AP117+Data!AP118+Data!AP119+Data!AP120+Data!AP121+Data!AP122+Data!AP123+Data!AP124+Data!AP125)</f>
        <v>0.010134861621512</v>
      </c>
      <c r="U125" s="18" t="n">
        <f aca="false">(Data!Y114+Data!Y115+Data!Y116+Data!Y117+Data!Y118+Data!Y119+Data!Y120+Data!Y121+Data!Y122+Data!Y123+Data!Y124+Data!Y125)/(Data!AP114+Data!AP115+Data!AP116+Data!AP117+Data!AP118+Data!AP119+Data!AP120+Data!AP121+Data!AP122+Data!AP123+Data!AP124+Data!AP125)</f>
        <v>0.00678378093315637</v>
      </c>
      <c r="V125" s="18" t="n">
        <f aca="false">(Data!Z114+Data!Z115+Data!Z116+Data!Z117+Data!Z118+Data!Z119+Data!Z120+Data!Z121+Data!Z122+Data!Z123+Data!Z124+Data!Z125)/(Data!AP114+Data!AP115+Data!AP116+Data!AP117+Data!AP118+Data!AP119+Data!AP120+Data!AP121+Data!AP122+Data!AP123+Data!AP124+Data!AP125)</f>
        <v>0.00326153655234967</v>
      </c>
      <c r="W125" s="18" t="n">
        <f aca="false">(Data!AB114+Data!AB115+Data!AB116+Data!AB117+Data!AB118+Data!AB119+Data!AB120+Data!AB121+Data!AB122+Data!AB123+Data!AB124+Data!AB125)/(Data!AP114+Data!AP115+Data!AP116+Data!AP117+Data!AP118+Data!AP119+Data!AP120+Data!AP121+Data!AP122+Data!AP123+Data!AP124+Data!AP125)</f>
        <v>0.0194209357375275</v>
      </c>
      <c r="X125" s="18" t="n">
        <f aca="false">(Data!AC114+Data!AC115+Data!AC116+Data!AC117+Data!AC118+Data!AC119+Data!AC120+Data!AC121+Data!AC122+Data!AC123+Data!AC124+Data!AC125)/(Data!AP114+Data!AP115+Data!AP116+Data!AP117+Data!AP118+Data!AP119+Data!AP120+Data!AP121+Data!AP122+Data!AP123+Data!AP124+Data!AP125)</f>
        <v>0.0059868765412581</v>
      </c>
      <c r="Y125" s="18" t="n">
        <f aca="false">(Data!AD114+Data!AE114+Data!AF114+Data!AG114+Data!AH114+Data!AD115+Data!AE115+Data!AF115+Data!AG115+Data!AH115+Data!AD116+Data!AE116+Data!AF116+Data!AG116+Data!AH116+Data!AD117+Data!AE117+Data!AF117+Data!AG117+Data!AH117+Data!AD118+Data!AE118+Data!AF118+Data!AG118+Data!AH118+Data!AD119+Data!AE119+Data!AF119+Data!AG119+Data!AH119+Data!AD120+Data!AE120+Data!AF120+Data!AG120+Data!AH120+Data!AD121+Data!AE121+Data!AF121+Data!AG121+Data!AH121+Data!AD122+Data!AE122+Data!AF122+Data!AG122+Data!AH122+Data!AD123+Data!AE123+Data!AF123+Data!AG123+Data!AH123+Data!AD124+Data!AE124+Data!AF124+Data!AG124+Data!AH124+Data!AD125+Data!AE125+Data!AF125+Data!AG125+Data!AH125)/(Data!AP114+Data!AP115+Data!AP116+Data!AP117+Data!AP118+Data!AP119+Data!AP120+Data!AP121+Data!AP122+Data!AP123+Data!AP124+Data!AP125)</f>
        <v>0.00285250419964659</v>
      </c>
      <c r="Z125" s="18" t="n">
        <f aca="false">(Data!AI114+Data!AI115+Data!AI116+Data!AI117+Data!AI118+Data!AI119+Data!AI120+Data!AI121+Data!AI122+Data!AI123+Data!AI124+Data!AI125)/(Data!AP114+Data!AP115+Data!AP116+Data!AP117+Data!AP118+Data!AP119+Data!AP120+Data!AP121+Data!AP122+Data!AP123+Data!AP124+Data!AP125)</f>
        <v>0.00484168326463607</v>
      </c>
      <c r="AA125" s="18" t="n">
        <f aca="false">(Data!AJ114+Data!AJ115+Data!AJ116+Data!AJ117+Data!AJ118+Data!AJ119+Data!AJ120+Data!AJ121+Data!AJ122+Data!AJ123+Data!AJ124+Data!AJ125)/(Data!AP114+Data!AP115+Data!AP116+Data!AP117+Data!AP118+Data!AP119+Data!AP120+Data!AP121+Data!AP122+Data!AP123+Data!AP124+Data!AP125)</f>
        <v>0</v>
      </c>
      <c r="AB125" s="18" t="n">
        <f aca="false">(Data!AK114+Data!AK115+Data!AK116+Data!AK117+Data!AK118+Data!AK119+Data!AK120+Data!AK121+Data!AK122+Data!AK123+Data!AK124+Data!AK125)/(Data!AP114+Data!AP115+Data!AP116+Data!AP117+Data!AP118+Data!AP119+Data!AP120+Data!AP121+Data!AP122+Data!AP123+Data!AP124+Data!AP125)</f>
        <v>0.00197838092208045</v>
      </c>
      <c r="AC125" s="18" t="n">
        <f aca="false">(Data!AL114+Data!AL115+Data!AL116+Data!AL117+Data!AL118+Data!AL119+Data!AL120+Data!AL121+Data!AL122+Data!AL123+Data!AL124+Data!AL125)/(Data!AP114+Data!AP115+Data!AP116+Data!AP117+Data!AP118+Data!AP119+Data!AP120+Data!AP121+Data!AP122+Data!AP123+Data!AP124+Data!AP125)</f>
        <v>0.00343633134014662</v>
      </c>
      <c r="AD125" s="17" t="n">
        <f aca="false">(Data!AM114+Data!AM115+Data!AM116+Data!AM117+Data!AM118+Data!AM119+Data!AM120+Data!AM121+Data!AM122+Data!AM123+Data!AM124+Data!AM125)/(Data!AP114+Data!AP115+Data!AP116+Data!AP117+Data!AP118+Data!AP119+Data!AP120+Data!AP121+Data!AP122+Data!AP123+Data!AP124+Data!AP125)</f>
        <v>0.016071506203971</v>
      </c>
      <c r="AE125" s="18" t="n">
        <f aca="false">(Data!AN114+Data!AN115+Data!AN116+Data!AN117+Data!AN118+Data!AN119+Data!AN120+Data!AN121+Data!AN122+Data!AN123+Data!AN124+Data!AN125)/(Data!AP114+Data!AP115+Data!AP116+Data!AP117+Data!AP118+Data!AP119+Data!AP120+Data!AP121+Data!AP122+Data!AP123+Data!AP124+Data!AP125)</f>
        <v>0.0122334902101942</v>
      </c>
      <c r="AF125" s="17" t="n">
        <f aca="false">(Data!AO114+Data!AO115+Data!AO116+Data!AO117+Data!AO118+Data!AO119+Data!AO120+Data!AO121+Data!AO122+Data!AO123+Data!AO124+Data!AO125)/(Data!AP114+Data!AP115+Data!AP116+Data!AP117+Data!AP118+Data!AP119+Data!AP120+Data!AP121+Data!AP122+Data!AP123+Data!AP124+Data!AP125)</f>
        <v>0.00383802081115035</v>
      </c>
    </row>
    <row r="126" customFormat="false" ht="15" hidden="false" customHeight="false" outlineLevel="0" collapsed="false">
      <c r="B126" s="14" t="str">
        <f aca="false">Data!B126</f>
        <v>2025-12</v>
      </c>
      <c r="C126" s="17" t="n">
        <f aca="false">(Data!D115+Data!E115+Data!F115+Data!G115+Data!H115+Data!I115+Data!J115+Data!K115+Data!L115+Data!M115+Data!N115+Data!O115+Data!P115+Data!Q115+Data!R115+Data!S115+Data!D116+Data!E116+Data!F116+Data!G116+Data!H116+Data!I116+Data!J116+Data!K116+Data!L116+Data!M116+Data!N116+Data!O116+Data!P116+Data!Q116+Data!R116+Data!S116+Data!D117+Data!E117+Data!F117+Data!G117+Data!H117+Data!I117+Data!J117+Data!K117+Data!L117+Data!M117+Data!N117+Data!O117+Data!P117+Data!Q117+Data!R117+Data!S117+Data!D118+Data!E118+Data!F118+Data!G118+Data!H118+Data!I118+Data!J118+Data!K118+Data!L118+Data!M118+Data!N118+Data!O118+Data!P118+Data!Q118+Data!R118+Data!S118+Data!D119+Data!E119+Data!F119+Data!G119+Data!H119+Data!I119+Data!J119+Data!K119+Data!L119+Data!M119+Data!N119+Data!O119+Data!P119+Data!Q119+Data!R119+Data!S119+Data!D120+Data!E120+Data!F120+Data!G120+Data!H120+Data!I120+Data!J120+Data!K120+Data!L120+Data!M120+Data!N120+Data!O120+Data!P120+Data!Q120+Data!R120+Data!S120+Data!D121+Data!E121+Data!F121+Data!G121+Data!H121+Data!I121+Data!J121+Data!K121+Data!L121+Data!M121+Data!N121+Data!O121+Data!P121+Data!Q121+Data!R121+Data!S121+Data!D122+Data!E122+Data!F122+Data!G122+Data!H122+Data!I122+Data!J122+Data!K122+Data!L122+Data!M122+Data!N122+Data!O122+Data!P122+Data!Q122+Data!R122+Data!S122+Data!D123+Data!E123+Data!F123+Data!G123+Data!H123+Data!I123+Data!J123+Data!K123+Data!L123+Data!M123+Data!N123+Data!O123+Data!P123+Data!Q123+Data!R123+Data!S123+Data!D124+Data!E124+Data!F124+Data!G124+Data!H124+Data!I124+Data!J124+Data!K124+Data!L124+Data!M124+Data!N124+Data!O124+Data!P124+Data!Q124+Data!R124+Data!S124+Data!D125+Data!E125+Data!F125+Data!G125+Data!H125+Data!I125+Data!J125+Data!K125+Data!L125+Data!M125+Data!N125+Data!O125+Data!P125+Data!Q125+Data!R125+Data!S125+Data!D126+Data!E126+Data!F126+Data!G126+Data!H126+Data!I126+Data!J126+Data!K126+Data!L126+Data!M126+Data!N126+Data!O126+Data!P126+Data!Q126+Data!R126+Data!S126)/(Data!AP115+Data!AP116+Data!AP117+Data!AP118+Data!AP119+Data!AP120+Data!AP121+Data!AP122+Data!AP123+Data!AP124+Data!AP125+Data!AP126)</f>
        <v>0.158989307819072</v>
      </c>
      <c r="D126" s="18" t="n">
        <f aca="false">(Data!D115+Data!E115+Data!G115+Data!H115+Data!I115+Data!J115+Data!K115+Data!L115+Data!M115+Data!D116+Data!E116+Data!G116+Data!H116+Data!I116+Data!J116+Data!K116+Data!L116+Data!M116+Data!D117+Data!E117+Data!G117+Data!H117+Data!I117+Data!J117+Data!K117+Data!L117+Data!M117+Data!D118+Data!E118+Data!G118+Data!H118+Data!I118+Data!J118+Data!K118+Data!L118+Data!M118+Data!D119+Data!E119+Data!G119+Data!H119+Data!I119+Data!J119+Data!K119+Data!L119+Data!M119+Data!D120+Data!E120+Data!G120+Data!H120+Data!I120+Data!J120+Data!K120+Data!L120+Data!M120+Data!D121+Data!E121+Data!G121+Data!H121+Data!I121+Data!J121+Data!K121+Data!L121+Data!M121+Data!D122+Data!E122+Data!G122+Data!H122+Data!I122+Data!J122+Data!K122+Data!L122+Data!M122+Data!D123+Data!E123+Data!G123+Data!H123+Data!I123+Data!J123+Data!K123+Data!L123+Data!M123+Data!D124+Data!E124+Data!G124+Data!H124+Data!I124+Data!J124+Data!K124+Data!L124+Data!M124+Data!D125+Data!E125+Data!G125+Data!H125+Data!I125+Data!J125+Data!K125+Data!L125+Data!M125+Data!D126+Data!E126+Data!G126+Data!H126+Data!I126+Data!J126+Data!K126+Data!L126+Data!M126)/(Data!AP115+Data!AP116+Data!AP117+Data!AP118+Data!AP119+Data!AP120+Data!AP121+Data!AP122+Data!AP123+Data!AP124+Data!AP125+Data!AP126)</f>
        <v>0.0907162522397007</v>
      </c>
      <c r="E126" s="18" t="n">
        <f aca="false">(Data!D115+Data!D116+Data!D117+Data!D118+Data!D119+Data!D120+Data!D121+Data!D122+Data!D123+Data!D124+Data!D125+Data!D126)/(Data!AP115+Data!AP116+Data!AP117+Data!AP118+Data!AP119+Data!AP120+Data!AP121+Data!AP122+Data!AP123+Data!AP124+Data!AP125+Data!AP126)</f>
        <v>0.0329711594993882</v>
      </c>
      <c r="F126" s="18" t="n">
        <f aca="false">(Data!E115+Data!E116+Data!E117+Data!E118+Data!E119+Data!E120+Data!E121+Data!E122+Data!E123+Data!E124+Data!E125+Data!E126)/(Data!AP115+Data!AP116+Data!AP117+Data!AP118+Data!AP119+Data!AP120+Data!AP121+Data!AP122+Data!AP123+Data!AP124+Data!AP125+Data!AP126)</f>
        <v>0.0146391535964164</v>
      </c>
      <c r="G126" s="18" t="n">
        <f aca="false">(Data!K115+Data!K116+Data!K117+Data!K118+Data!K119+Data!K120+Data!K121+Data!K122+Data!K123+Data!K124+Data!K125+Data!K126)/(Data!AP115+Data!AP116+Data!AP117+Data!AP118+Data!AP119+Data!AP120+Data!AP121+Data!AP122+Data!AP123+Data!AP124+Data!AP125+Data!AP126)</f>
        <v>0.00832167467903998</v>
      </c>
      <c r="H126" s="18" t="n">
        <f aca="false">(Data!L115+Data!L116+Data!L117+Data!L118+Data!L119+Data!L120+Data!L121+Data!L122+Data!L123+Data!L124+Data!L125+Data!L126)/(Data!AP115+Data!AP116+Data!AP117+Data!AP118+Data!AP119+Data!AP120+Data!AP121+Data!AP122+Data!AP123+Data!AP124+Data!AP125+Data!AP126)</f>
        <v>0.00649154275243678</v>
      </c>
      <c r="I126" s="18" t="n">
        <f aca="false">(Data!G115+Data!G116+Data!G117+Data!G118+Data!G119+Data!G120+Data!G121+Data!G122+Data!G123+Data!G124+Data!G125+Data!G126)/(Data!AP115+Data!AP116+Data!AP117+Data!AP118+Data!AP119+Data!AP120+Data!AP121+Data!AP122+Data!AP123+Data!AP124+Data!AP125+Data!AP126)</f>
        <v>0.0161939914230625</v>
      </c>
      <c r="J126" s="18" t="n">
        <f aca="false">(Data!H115+Data!I115+Data!J115+Data!M115+Data!H116+Data!I116+Data!J116+Data!M116+Data!H117+Data!I117+Data!J117+Data!M117+Data!H118+Data!I118+Data!J118+Data!M118+Data!H119+Data!I119+Data!J119+Data!M119+Data!H120+Data!I120+Data!J120+Data!M120+Data!H121+Data!I121+Data!J121+Data!M121+Data!H122+Data!I122+Data!J122+Data!M122+Data!H123+Data!I123+Data!J123+Data!M123+Data!H124+Data!I124+Data!J124+Data!M124+Data!H125+Data!I125+Data!J125+Data!M125+Data!H126+Data!I126+Data!J126+Data!M126)/(Data!AP115+Data!AP116+Data!AP117+Data!AP118+Data!AP119+Data!AP120+Data!AP121+Data!AP122+Data!AP123+Data!AP124+Data!AP125+Data!AP126)</f>
        <v>0.0120987302893569</v>
      </c>
      <c r="K126" s="18" t="n">
        <f aca="false">(Data!F115+Data!F116+Data!F117+Data!F118+Data!F119+Data!F120+Data!F121+Data!F122+Data!F123+Data!F124+Data!F125+Data!F126)/(Data!AP115+Data!AP116+Data!AP117+Data!AP118+Data!AP119+Data!AP120+Data!AP121+Data!AP122+Data!AP123+Data!AP124+Data!AP125+Data!AP126)</f>
        <v>0.0552649677162869</v>
      </c>
      <c r="L126" s="18" t="n">
        <f aca="false">(Data!N115+Data!O115+Data!P115+Data!Q115+Data!R115+Data!S115+Data!N116+Data!O116+Data!P116+Data!Q116+Data!R116+Data!S116+Data!N117+Data!O117+Data!P117+Data!Q117+Data!R117+Data!S117+Data!N118+Data!O118+Data!P118+Data!Q118+Data!R118+Data!S118+Data!N119+Data!O119+Data!P119+Data!Q119+Data!R119+Data!S119+Data!N120+Data!O120+Data!P120+Data!Q120+Data!R120+Data!S120+Data!N121+Data!O121+Data!P121+Data!Q121+Data!R121+Data!S121+Data!N122+Data!O122+Data!P122+Data!Q122+Data!R122+Data!S122+Data!N123+Data!O123+Data!P123+Data!Q123+Data!R123+Data!S123+Data!N124+Data!O124+Data!P124+Data!Q124+Data!R124+Data!S124+Data!N125+Data!O125+Data!P125+Data!Q125+Data!R125+Data!S125+Data!N126+Data!O126+Data!P126+Data!Q126+Data!R126+Data!S126)/(Data!AP115+Data!AP116+Data!AP117+Data!AP118+Data!AP119+Data!AP120+Data!AP121+Data!AP122+Data!AP123+Data!AP124+Data!AP125+Data!AP126)</f>
        <v>0.013008087863084</v>
      </c>
      <c r="M126" s="17" t="n">
        <f aca="false">(Data!T115+Data!U115+Data!V115+Data!W115+Data!X115+Data!Y115+Data!Z115+Data!AA115+Data!AB115+Data!AC115+Data!AD115+Data!AE115+Data!AF115+Data!AG115+Data!AH115+Data!AI115+Data!AJ115+Data!AK115+Data!AL115+Data!T116+Data!U116+Data!V116+Data!W116+Data!X116+Data!Y116+Data!Z116+Data!AA116+Data!AB116+Data!AC116+Data!AD116+Data!AE116+Data!AF116+Data!AG116+Data!AH116+Data!AI116+Data!AJ116+Data!AK116+Data!AL116+Data!T117+Data!U117+Data!V117+Data!W117+Data!X117+Data!Y117+Data!Z117+Data!AA117+Data!AB117+Data!AC117+Data!AD117+Data!AE117+Data!AF117+Data!AG117+Data!AH117+Data!AI117+Data!AJ117+Data!AK117+Data!AL117+Data!T118+Data!U118+Data!V118+Data!W118+Data!X118+Data!Y118+Data!Z118+Data!AA118+Data!AB118+Data!AC118+Data!AD118+Data!AE118+Data!AF118+Data!AG118+Data!AH118+Data!AI118+Data!AJ118+Data!AK118+Data!AL118+Data!T119+Data!U119+Data!V119+Data!W119+Data!X119+Data!Y119+Data!Z119+Data!AA119+Data!AB119+Data!AC119+Data!AD119+Data!AE119+Data!AF119+Data!AG119+Data!AH119+Data!AI119+Data!AJ119+Data!AK119+Data!AL119+Data!T120+Data!U120+Data!V120+Data!W120+Data!X120+Data!Y120+Data!Z120+Data!AA120+Data!AB120+Data!AC120+Data!AD120+Data!AE120+Data!AF120+Data!AG120+Data!AH120+Data!AI120+Data!AJ120+Data!AK120+Data!AL120+Data!T121+Data!U121+Data!V121+Data!W121+Data!X121+Data!Y121+Data!Z121+Data!AA121+Data!AB121+Data!AC121+Data!AD121+Data!AE121+Data!AF121+Data!AG121+Data!AH121+Data!AI121+Data!AJ121+Data!AK121+Data!AL121+Data!T122+Data!U122+Data!V122+Data!W122+Data!X122+Data!Y122+Data!Z122+Data!AA122+Data!AB122+Data!AC122+Data!AD122+Data!AE122+Data!AF122+Data!AG122+Data!AH122+Data!AI122+Data!AJ122+Data!AK122+Data!AL122+Data!T123+Data!U123+Data!V123+Data!W123+Data!X123+Data!Y123+Data!Z123+Data!AA123+Data!AB123+Data!AC123+Data!AD123+Data!AE123+Data!AF123+Data!AG123+Data!AH123+Data!AI123+Data!AJ123+Data!AK123+Data!AL123+Data!T124+Data!U124+Data!V124+Data!W124+Data!X124+Data!Y124+Data!Z124+Data!AA124+Data!AB124+Data!AC124+Data!AD124+Data!AE124+Data!AF124+Data!AG124+Data!AH124+Data!AI124+Data!AJ124+Data!AK124+Data!AL124+Data!T125+Data!U125+Data!V125+Data!W125+Data!X125+Data!Y125+Data!Z125+Data!AA125+Data!AB125+Data!AC125+Data!AD125+Data!AE125+Data!AF125+Data!AG125+Data!AH125+Data!AI125+Data!AJ125+Data!AK125+Data!AL125+Data!T126+Data!U126+Data!V126+Data!W126+Data!X126+Data!Y126+Data!Z126+Data!AA126+Data!AB126+Data!AC126+Data!AD126+Data!AE126+Data!AF126+Data!AG126+Data!AH126+Data!AI126+Data!AJ126+Data!AK126+Data!AL126)/(Data!AP115+Data!AP116+Data!AP117+Data!AP118+Data!AP119+Data!AP120+Data!AP121+Data!AP122+Data!AP123+Data!AP124+Data!AP125+Data!AP126)</f>
        <v>0.145147075281179</v>
      </c>
      <c r="N126" s="18" t="n">
        <f aca="false">(Data!T115+Data!U115+Data!V115+Data!W115+Data!T116+Data!U116+Data!V116+Data!W116+Data!T117+Data!U117+Data!V117+Data!W117+Data!T118+Data!U118+Data!V118+Data!W118+Data!T119+Data!U119+Data!V119+Data!W119+Data!T120+Data!U120+Data!V120+Data!W120+Data!T121+Data!U121+Data!V121+Data!W121+Data!T122+Data!U122+Data!V122+Data!W122+Data!T123+Data!U123+Data!V123+Data!W123+Data!T124+Data!U124+Data!V124+Data!W124+Data!T125+Data!U125+Data!V125+Data!W125+Data!T126+Data!U126+Data!V126+Data!W126)/(Data!AP115+Data!AP116+Data!AP117+Data!AP118+Data!AP119+Data!AP120+Data!AP121+Data!AP122+Data!AP123+Data!AP124+Data!AP125+Data!AP126)</f>
        <v>0.0861412934949782</v>
      </c>
      <c r="O126" s="18" t="n">
        <f aca="false">(Data!T115+Data!T116+Data!T117+Data!T118+Data!T119+Data!T120+Data!T121+Data!T122+Data!T123+Data!T124+Data!T125+Data!T126)/(Data!AP115+Data!AP116+Data!AP117+Data!AP118+Data!AP119+Data!AP120+Data!AP121+Data!AP122+Data!AP123+Data!AP124+Data!AP125+Data!AP126)</f>
        <v>0.0615241889514148</v>
      </c>
      <c r="P126" s="18" t="n">
        <f aca="false">(Data!U115+Data!U116+Data!U117+Data!U118+Data!U119+Data!U120+Data!U121+Data!U122+Data!U123+Data!U124+Data!U125+Data!U126)/(Data!AP115+Data!AP116+Data!AP117+Data!AP118+Data!AP119+Data!AP120+Data!AP121+Data!AP122+Data!AP123+Data!AP124+Data!AP125+Data!AP126)</f>
        <v>0.0103830660696326</v>
      </c>
      <c r="Q126" s="18" t="n">
        <f aca="false">(Data!V115+Data!V116+Data!V117+Data!V118+Data!V119+Data!V120+Data!V121+Data!V122+Data!V123+Data!V124+Data!V125+Data!V126)/(Data!AP115+Data!AP116+Data!AP117+Data!AP118+Data!AP119+Data!AP120+Data!AP121+Data!AP122+Data!AP123+Data!AP124+Data!AP125+Data!AP126)</f>
        <v>0.00513128885416641</v>
      </c>
      <c r="R126" s="18" t="n">
        <f aca="false">(Data!W115+Data!W116+Data!W117+Data!W118+Data!W119+Data!W120+Data!W121+Data!W122+Data!W123+Data!W124+Data!W125+Data!W126)/(Data!AP115+Data!AP116+Data!AP117+Data!AP118+Data!AP119+Data!AP120+Data!AP121+Data!AP122+Data!AP123+Data!AP124+Data!AP125+Data!AP126)</f>
        <v>0.00910274961976435</v>
      </c>
      <c r="S126" s="18" t="n">
        <f aca="false">(Data!X115+Data!X116+Data!X117+Data!X118+Data!X119+Data!X120+Data!X121+Data!X122+Data!X123+Data!X124+Data!X125+Data!X126)/(Data!AP115+Data!AP116+Data!AP117+Data!AP118+Data!AP119+Data!AP120+Data!AP121+Data!AP122+Data!AP123+Data!AP124+Data!AP125+Data!AP126)</f>
        <v>0.0104011739023078</v>
      </c>
      <c r="T126" s="18" t="n">
        <f aca="false">(Data!Y115+Data!Z115+Data!AA115+Data!Y116+Data!Z116+Data!AA116+Data!Y117+Data!Z117+Data!AA117+Data!Y118+Data!Z118+Data!AA118+Data!Y119+Data!Z119+Data!AA119+Data!Y120+Data!Z120+Data!AA120+Data!Y121+Data!Z121+Data!AA121+Data!Y122+Data!Z122+Data!AA122+Data!Y123+Data!Z123+Data!AA123+Data!Y124+Data!Z124+Data!AA124+Data!Y125+Data!Z125+Data!AA125+Data!Y126+Data!Z126+Data!AA126)/(Data!AP115+Data!AP116+Data!AP117+Data!AP118+Data!AP119+Data!AP120+Data!AP121+Data!AP122+Data!AP123+Data!AP124+Data!AP125+Data!AP126)</f>
        <v>0.0100302561910239</v>
      </c>
      <c r="U126" s="18" t="n">
        <f aca="false">(Data!Y115+Data!Y116+Data!Y117+Data!Y118+Data!Y119+Data!Y120+Data!Y121+Data!Y122+Data!Y123+Data!Y124+Data!Y125+Data!Y126)/(Data!AP115+Data!AP116+Data!AP117+Data!AP118+Data!AP119+Data!AP120+Data!AP121+Data!AP122+Data!AP123+Data!AP124+Data!AP125+Data!AP126)</f>
        <v>0.00671810354199542</v>
      </c>
      <c r="V126" s="18" t="n">
        <f aca="false">(Data!Z115+Data!Z116+Data!Z117+Data!Z118+Data!Z119+Data!Z120+Data!Z121+Data!Z122+Data!Z123+Data!Z124+Data!Z125+Data!Z126)/(Data!AP115+Data!AP116+Data!AP117+Data!AP118+Data!AP119+Data!AP120+Data!AP121+Data!AP122+Data!AP123+Data!AP124+Data!AP125+Data!AP126)</f>
        <v>0.00322791288496486</v>
      </c>
      <c r="W126" s="18" t="n">
        <f aca="false">(Data!AB115+Data!AB116+Data!AB117+Data!AB118+Data!AB119+Data!AB120+Data!AB121+Data!AB122+Data!AB123+Data!AB124+Data!AB125+Data!AB126)/(Data!AP115+Data!AP116+Data!AP117+Data!AP118+Data!AP119+Data!AP120+Data!AP121+Data!AP122+Data!AP123+Data!AP124+Data!AP125+Data!AP126)</f>
        <v>0.0192382231861532</v>
      </c>
      <c r="X126" s="18" t="n">
        <f aca="false">(Data!AC115+Data!AC116+Data!AC117+Data!AC118+Data!AC119+Data!AC120+Data!AC121+Data!AC122+Data!AC123+Data!AC124+Data!AC125+Data!AC126)/(Data!AP115+Data!AP116+Data!AP117+Data!AP118+Data!AP119+Data!AP120+Data!AP121+Data!AP122+Data!AP123+Data!AP124+Data!AP125+Data!AP126)</f>
        <v>0.00593832588234669</v>
      </c>
      <c r="Y126" s="18" t="n">
        <f aca="false">(Data!AD115+Data!AE115+Data!AF115+Data!AG115+Data!AH115+Data!AD116+Data!AE116+Data!AF116+Data!AG116+Data!AH116+Data!AD117+Data!AE117+Data!AF117+Data!AG117+Data!AH117+Data!AD118+Data!AE118+Data!AF118+Data!AG118+Data!AH118+Data!AD119+Data!AE119+Data!AF119+Data!AG119+Data!AH119+Data!AD120+Data!AE120+Data!AF120+Data!AG120+Data!AH120+Data!AD121+Data!AE121+Data!AF121+Data!AG121+Data!AH121+Data!AD122+Data!AE122+Data!AF122+Data!AG122+Data!AH122+Data!AD123+Data!AE123+Data!AF123+Data!AG123+Data!AH123+Data!AD124+Data!AE124+Data!AF124+Data!AG124+Data!AH124+Data!AD125+Data!AE125+Data!AF125+Data!AG125+Data!AH125+Data!AD126+Data!AE126+Data!AF126+Data!AG126+Data!AH126)/(Data!AP115+Data!AP116+Data!AP117+Data!AP118+Data!AP119+Data!AP120+Data!AP121+Data!AP122+Data!AP123+Data!AP124+Data!AP125+Data!AP126)</f>
        <v>0.002865036434528</v>
      </c>
      <c r="Z126" s="18" t="n">
        <f aca="false">(Data!AI115+Data!AI116+Data!AI117+Data!AI118+Data!AI119+Data!AI120+Data!AI121+Data!AI122+Data!AI123+Data!AI124+Data!AI125+Data!AI126)/(Data!AP115+Data!AP116+Data!AP117+Data!AP118+Data!AP119+Data!AP120+Data!AP121+Data!AP122+Data!AP123+Data!AP124+Data!AP125+Data!AP126)</f>
        <v>0.00475897389001053</v>
      </c>
      <c r="AA126" s="18" t="n">
        <f aca="false">(Data!AJ115+Data!AJ116+Data!AJ117+Data!AJ118+Data!AJ119+Data!AJ120+Data!AJ121+Data!AJ122+Data!AJ123+Data!AJ124+Data!AJ125+Data!AJ126)/(Data!AP115+Data!AP116+Data!AP117+Data!AP118+Data!AP119+Data!AP120+Data!AP121+Data!AP122+Data!AP123+Data!AP124+Data!AP125+Data!AP126)</f>
        <v>0</v>
      </c>
      <c r="AB126" s="18" t="n">
        <f aca="false">(Data!AK115+Data!AK116+Data!AK117+Data!AK118+Data!AK119+Data!AK120+Data!AK121+Data!AK122+Data!AK123+Data!AK124+Data!AK125+Data!AK126)/(Data!AP115+Data!AP116+Data!AP117+Data!AP118+Data!AP119+Data!AP120+Data!AP121+Data!AP122+Data!AP123+Data!AP124+Data!AP125+Data!AP126)</f>
        <v>0.00217672003105941</v>
      </c>
      <c r="AC126" s="18" t="n">
        <f aca="false">(Data!AL115+Data!AL116+Data!AL117+Data!AL118+Data!AL119+Data!AL120+Data!AL121+Data!AL122+Data!AL123+Data!AL124+Data!AL125+Data!AL126)/(Data!AP115+Data!AP116+Data!AP117+Data!AP118+Data!AP119+Data!AP120+Data!AP121+Data!AP122+Data!AP123+Data!AP124+Data!AP125+Data!AP126)</f>
        <v>0.00359707226877083</v>
      </c>
      <c r="AD126" s="17" t="n">
        <f aca="false">(Data!AM115+Data!AM116+Data!AM117+Data!AM118+Data!AM119+Data!AM120+Data!AM121+Data!AM122+Data!AM123+Data!AM124+Data!AM125+Data!AM126)/(Data!AP115+Data!AP116+Data!AP117+Data!AP118+Data!AP119+Data!AP120+Data!AP121+Data!AP122+Data!AP123+Data!AP124+Data!AP125+Data!AP126)</f>
        <v>0.0138422325378931</v>
      </c>
      <c r="AE126" s="18" t="n">
        <f aca="false">(Data!AN115+Data!AN116+Data!AN117+Data!AN118+Data!AN119+Data!AN120+Data!AN121+Data!AN122+Data!AN123+Data!AN124+Data!AN125+Data!AN126)/(Data!AP115+Data!AP116+Data!AP117+Data!AP118+Data!AP119+Data!AP120+Data!AP121+Data!AP122+Data!AP123+Data!AP124+Data!AP125+Data!AP126)</f>
        <v>0.0121323431595844</v>
      </c>
      <c r="AF126" s="17" t="n">
        <f aca="false">(Data!AO115+Data!AO116+Data!AO117+Data!AO118+Data!AO119+Data!AO120+Data!AO121+Data!AO122+Data!AO123+Data!AO124+Data!AO125+Data!AO126)/(Data!AP115+Data!AP116+Data!AP117+Data!AP118+Data!AP119+Data!AP120+Data!AP121+Data!AP122+Data!AP123+Data!AP124+Data!AP125+Data!AP126)</f>
        <v>0.00170989290672499</v>
      </c>
    </row>
    <row r="127" customFormat="false" ht="15" hidden="false" customHeight="false" outlineLevel="0" collapsed="false">
      <c r="B127" s="14" t="str">
        <f aca="false">Data!B127</f>
        <v>2026-01</v>
      </c>
      <c r="C127" s="17" t="n">
        <f aca="false">(Data!D116+Data!E116+Data!F116+Data!G116+Data!H116+Data!I116+Data!J116+Data!K116+Data!L116+Data!M116+Data!N116+Data!O116+Data!P116+Data!Q116+Data!R116+Data!S116+Data!D117+Data!E117+Data!F117+Data!G117+Data!H117+Data!I117+Data!J117+Data!K117+Data!L117+Data!M117+Data!N117+Data!O117+Data!P117+Data!Q117+Data!R117+Data!S117+Data!D118+Data!E118+Data!F118+Data!G118+Data!H118+Data!I118+Data!J118+Data!K118+Data!L118+Data!M118+Data!N118+Data!O118+Data!P118+Data!Q118+Data!R118+Data!S118+Data!D119+Data!E119+Data!F119+Data!G119+Data!H119+Data!I119+Data!J119+Data!K119+Data!L119+Data!M119+Data!N119+Data!O119+Data!P119+Data!Q119+Data!R119+Data!S119+Data!D120+Data!E120+Data!F120+Data!G120+Data!H120+Data!I120+Data!J120+Data!K120+Data!L120+Data!M120+Data!N120+Data!O120+Data!P120+Data!Q120+Data!R120+Data!S120+Data!D121+Data!E121+Data!F121+Data!G121+Data!H121+Data!I121+Data!J121+Data!K121+Data!L121+Data!M121+Data!N121+Data!O121+Data!P121+Data!Q121+Data!R121+Data!S121+Data!D122+Data!E122+Data!F122+Data!G122+Data!H122+Data!I122+Data!J122+Data!K122+Data!L122+Data!M122+Data!N122+Data!O122+Data!P122+Data!Q122+Data!R122+Data!S122+Data!D123+Data!E123+Data!F123+Data!G123+Data!H123+Data!I123+Data!J123+Data!K123+Data!L123+Data!M123+Data!N123+Data!O123+Data!P123+Data!Q123+Data!R123+Data!S123+Data!D124+Data!E124+Data!F124+Data!G124+Data!H124+Data!I124+Data!J124+Data!K124+Data!L124+Data!M124+Data!N124+Data!O124+Data!P124+Data!Q124+Data!R124+Data!S124+Data!D125+Data!E125+Data!F125+Data!G125+Data!H125+Data!I125+Data!J125+Data!K125+Data!L125+Data!M125+Data!N125+Data!O125+Data!P125+Data!Q125+Data!R125+Data!S125+Data!D126+Data!E126+Data!F126+Data!G126+Data!H126+Data!I126+Data!J126+Data!K126+Data!L126+Data!M126+Data!N126+Data!O126+Data!P126+Data!Q126+Data!R126+Data!S126+Data!D127+Data!E127+Data!F127+Data!G127+Data!H127+Data!I127+Data!J127+Data!K127+Data!L127+Data!M127+Data!N127+Data!O127+Data!P127+Data!Q127+Data!R127+Data!S127)/(Data!AP116+Data!AP117+Data!AP118+Data!AP119+Data!AP120+Data!AP121+Data!AP122+Data!AP123+Data!AP124+Data!AP125+Data!AP126+Data!AP127)</f>
        <v>0.159267775685821</v>
      </c>
      <c r="D127" s="18" t="n">
        <f aca="false">(Data!D116+Data!E116+Data!G116+Data!H116+Data!I116+Data!J116+Data!K116+Data!L116+Data!M116+Data!D117+Data!E117+Data!G117+Data!H117+Data!I117+Data!J117+Data!K117+Data!L117+Data!M117+Data!D118+Data!E118+Data!G118+Data!H118+Data!I118+Data!J118+Data!K118+Data!L118+Data!M118+Data!D119+Data!E119+Data!G119+Data!H119+Data!I119+Data!J119+Data!K119+Data!L119+Data!M119+Data!D120+Data!E120+Data!G120+Data!H120+Data!I120+Data!J120+Data!K120+Data!L120+Data!M120+Data!D121+Data!E121+Data!G121+Data!H121+Data!I121+Data!J121+Data!K121+Data!L121+Data!M121+Data!D122+Data!E122+Data!G122+Data!H122+Data!I122+Data!J122+Data!K122+Data!L122+Data!M122+Data!D123+Data!E123+Data!G123+Data!H123+Data!I123+Data!J123+Data!K123+Data!L123+Data!M123+Data!D124+Data!E124+Data!G124+Data!H124+Data!I124+Data!J124+Data!K124+Data!L124+Data!M124+Data!D125+Data!E125+Data!G125+Data!H125+Data!I125+Data!J125+Data!K125+Data!L125+Data!M125+Data!D126+Data!E126+Data!G126+Data!H126+Data!I126+Data!J126+Data!K126+Data!L126+Data!M126+Data!D127+Data!E127+Data!G127+Data!H127+Data!I127+Data!J127+Data!K127+Data!L127+Data!M127)/(Data!AP116+Data!AP117+Data!AP118+Data!AP119+Data!AP120+Data!AP121+Data!AP122+Data!AP123+Data!AP124+Data!AP125+Data!AP126+Data!AP127)</f>
        <v>0.0898529027378531</v>
      </c>
      <c r="E127" s="18" t="n">
        <f aca="false">(Data!D116+Data!D117+Data!D118+Data!D119+Data!D120+Data!D121+Data!D122+Data!D123+Data!D124+Data!D125+Data!D126+Data!D127)/(Data!AP116+Data!AP117+Data!AP118+Data!AP119+Data!AP120+Data!AP121+Data!AP122+Data!AP123+Data!AP124+Data!AP125+Data!AP126+Data!AP127)</f>
        <v>0.0326766361605156</v>
      </c>
      <c r="F127" s="18" t="n">
        <f aca="false">(Data!E116+Data!E117+Data!E118+Data!E119+Data!E120+Data!E121+Data!E122+Data!E123+Data!E124+Data!E125+Data!E126+Data!E127)/(Data!AP116+Data!AP117+Data!AP118+Data!AP119+Data!AP120+Data!AP121+Data!AP122+Data!AP123+Data!AP124+Data!AP125+Data!AP126+Data!AP127)</f>
        <v>0.0145897215746906</v>
      </c>
      <c r="G127" s="18" t="n">
        <f aca="false">(Data!K116+Data!K117+Data!K118+Data!K119+Data!K120+Data!K121+Data!K122+Data!K123+Data!K124+Data!K125+Data!K126+Data!K127)/(Data!AP116+Data!AP117+Data!AP118+Data!AP119+Data!AP120+Data!AP121+Data!AP122+Data!AP123+Data!AP124+Data!AP125+Data!AP126+Data!AP127)</f>
        <v>0.00799665768123636</v>
      </c>
      <c r="H127" s="18" t="n">
        <f aca="false">(Data!L116+Data!L117+Data!L118+Data!L119+Data!L120+Data!L121+Data!L122+Data!L123+Data!L124+Data!L125+Data!L126+Data!L127)/(Data!AP116+Data!AP117+Data!AP118+Data!AP119+Data!AP120+Data!AP121+Data!AP122+Data!AP123+Data!AP124+Data!AP125+Data!AP126+Data!AP127)</f>
        <v>0.00640698270697738</v>
      </c>
      <c r="I127" s="18" t="n">
        <f aca="false">(Data!G116+Data!G117+Data!G118+Data!G119+Data!G120+Data!G121+Data!G122+Data!G123+Data!G124+Data!G125+Data!G126+Data!G127)/(Data!AP116+Data!AP117+Data!AP118+Data!AP119+Data!AP120+Data!AP121+Data!AP122+Data!AP123+Data!AP124+Data!AP125+Data!AP126+Data!AP127)</f>
        <v>0.0161608296848924</v>
      </c>
      <c r="J127" s="18" t="n">
        <f aca="false">(Data!H116+Data!I116+Data!J116+Data!M116+Data!H117+Data!I117+Data!J117+Data!M117+Data!H118+Data!I118+Data!J118+Data!M118+Data!H119+Data!I119+Data!J119+Data!M119+Data!H120+Data!I120+Data!J120+Data!M120+Data!H121+Data!I121+Data!J121+Data!M121+Data!H122+Data!I122+Data!J122+Data!M122+Data!H123+Data!I123+Data!J123+Data!M123+Data!H124+Data!I124+Data!J124+Data!M124+Data!H125+Data!I125+Data!J125+Data!M125+Data!H126+Data!I126+Data!J126+Data!M126+Data!H127+Data!I127+Data!J127+Data!M127)/(Data!AP116+Data!AP117+Data!AP118+Data!AP119+Data!AP120+Data!AP121+Data!AP122+Data!AP123+Data!AP124+Data!AP125+Data!AP126+Data!AP127)</f>
        <v>0.0120220749295408</v>
      </c>
      <c r="K127" s="18" t="n">
        <f aca="false">(Data!F116+Data!F117+Data!F118+Data!F119+Data!F120+Data!F121+Data!F122+Data!F123+Data!F124+Data!F125+Data!F126+Data!F127)/(Data!AP116+Data!AP117+Data!AP118+Data!AP119+Data!AP120+Data!AP121+Data!AP122+Data!AP123+Data!AP124+Data!AP125+Data!AP126+Data!AP127)</f>
        <v>0.055372534288269</v>
      </c>
      <c r="L127" s="18" t="n">
        <f aca="false">(Data!N116+Data!O116+Data!P116+Data!Q116+Data!R116+Data!S116+Data!N117+Data!O117+Data!P117+Data!Q117+Data!R117+Data!S117+Data!N118+Data!O118+Data!P118+Data!Q118+Data!R118+Data!S118+Data!N119+Data!O119+Data!P119+Data!Q119+Data!R119+Data!S119+Data!N120+Data!O120+Data!P120+Data!Q120+Data!R120+Data!S120+Data!N121+Data!O121+Data!P121+Data!Q121+Data!R121+Data!S121+Data!N122+Data!O122+Data!P122+Data!Q122+Data!R122+Data!S122+Data!N123+Data!O123+Data!P123+Data!Q123+Data!R123+Data!S123+Data!N124+Data!O124+Data!P124+Data!Q124+Data!R124+Data!S124+Data!N125+Data!O125+Data!P125+Data!Q125+Data!R125+Data!S125+Data!N126+Data!O126+Data!P126+Data!Q126+Data!R126+Data!S126+Data!N127+Data!O127+Data!P127+Data!Q127+Data!R127+Data!S127)/(Data!AP116+Data!AP117+Data!AP118+Data!AP119+Data!AP120+Data!AP121+Data!AP122+Data!AP123+Data!AP124+Data!AP125+Data!AP126+Data!AP127)</f>
        <v>0.0140423386596993</v>
      </c>
      <c r="M127" s="17" t="n">
        <f aca="false">(Data!T116+Data!U116+Data!V116+Data!W116+Data!X116+Data!Y116+Data!Z116+Data!AA116+Data!AB116+Data!AC116+Data!AD116+Data!AE116+Data!AF116+Data!AG116+Data!AH116+Data!AI116+Data!AJ116+Data!AK116+Data!AL116+Data!T117+Data!U117+Data!V117+Data!W117+Data!X117+Data!Y117+Data!Z117+Data!AA117+Data!AB117+Data!AC117+Data!AD117+Data!AE117+Data!AF117+Data!AG117+Data!AH117+Data!AI117+Data!AJ117+Data!AK117+Data!AL117+Data!T118+Data!U118+Data!V118+Data!W118+Data!X118+Data!Y118+Data!Z118+Data!AA118+Data!AB118+Data!AC118+Data!AD118+Data!AE118+Data!AF118+Data!AG118+Data!AH118+Data!AI118+Data!AJ118+Data!AK118+Data!AL118+Data!T119+Data!U119+Data!V119+Data!W119+Data!X119+Data!Y119+Data!Z119+Data!AA119+Data!AB119+Data!AC119+Data!AD119+Data!AE119+Data!AF119+Data!AG119+Data!AH119+Data!AI119+Data!AJ119+Data!AK119+Data!AL119+Data!T120+Data!U120+Data!V120+Data!W120+Data!X120+Data!Y120+Data!Z120+Data!AA120+Data!AB120+Data!AC120+Data!AD120+Data!AE120+Data!AF120+Data!AG120+Data!AH120+Data!AI120+Data!AJ120+Data!AK120+Data!AL120+Data!T121+Data!U121+Data!V121+Data!W121+Data!X121+Data!Y121+Data!Z121+Data!AA121+Data!AB121+Data!AC121+Data!AD121+Data!AE121+Data!AF121+Data!AG121+Data!AH121+Data!AI121+Data!AJ121+Data!AK121+Data!AL121+Data!T122+Data!U122+Data!V122+Data!W122+Data!X122+Data!Y122+Data!Z122+Data!AA122+Data!AB122+Data!AC122+Data!AD122+Data!AE122+Data!AF122+Data!AG122+Data!AH122+Data!AI122+Data!AJ122+Data!AK122+Data!AL122+Data!T123+Data!U123+Data!V123+Data!W123+Data!X123+Data!Y123+Data!Z123+Data!AA123+Data!AB123+Data!AC123+Data!AD123+Data!AE123+Data!AF123+Data!AG123+Data!AH123+Data!AI123+Data!AJ123+Data!AK123+Data!AL123+Data!T124+Data!U124+Data!V124+Data!W124+Data!X124+Data!Y124+Data!Z124+Data!AA124+Data!AB124+Data!AC124+Data!AD124+Data!AE124+Data!AF124+Data!AG124+Data!AH124+Data!AI124+Data!AJ124+Data!AK124+Data!AL124+Data!T125+Data!U125+Data!V125+Data!W125+Data!X125+Data!Y125+Data!Z125+Data!AA125+Data!AB125+Data!AC125+Data!AD125+Data!AE125+Data!AF125+Data!AG125+Data!AH125+Data!AI125+Data!AJ125+Data!AK125+Data!AL125+Data!T126+Data!U126+Data!V126+Data!W126+Data!X126+Data!Y126+Data!Z126+Data!AA126+Data!AB126+Data!AC126+Data!AD126+Data!AE126+Data!AF126+Data!AG126+Data!AH126+Data!AI126+Data!AJ126+Data!AK126+Data!AL126+Data!T127+Data!U127+Data!V127+Data!W127+Data!X127+Data!Y127+Data!Z127+Data!AA127+Data!AB127+Data!AC127+Data!AD127+Data!AE127+Data!AF127+Data!AG127+Data!AH127+Data!AI127+Data!AJ127+Data!AK127+Data!AL127)/(Data!AP116+Data!AP117+Data!AP118+Data!AP119+Data!AP120+Data!AP121+Data!AP122+Data!AP123+Data!AP124+Data!AP125+Data!AP126+Data!AP127)</f>
        <v>0.144949227774534</v>
      </c>
      <c r="N127" s="18" t="n">
        <f aca="false">(Data!T116+Data!U116+Data!V116+Data!W116+Data!T117+Data!U117+Data!V117+Data!W117+Data!T118+Data!U118+Data!V118+Data!W118+Data!T119+Data!U119+Data!V119+Data!W119+Data!T120+Data!U120+Data!V120+Data!W120+Data!T121+Data!U121+Data!V121+Data!W121+Data!T122+Data!U122+Data!V122+Data!W122+Data!T123+Data!U123+Data!V123+Data!W123+Data!T124+Data!U124+Data!V124+Data!W124+Data!T125+Data!U125+Data!V125+Data!W125+Data!T126+Data!U126+Data!V126+Data!W126+Data!T127+Data!U127+Data!V127+Data!W127)/(Data!AP116+Data!AP117+Data!AP118+Data!AP119+Data!AP120+Data!AP121+Data!AP122+Data!AP123+Data!AP124+Data!AP125+Data!AP126+Data!AP127)</f>
        <v>0.0861375085664062</v>
      </c>
      <c r="O127" s="18" t="n">
        <f aca="false">(Data!T116+Data!T117+Data!T118+Data!T119+Data!T120+Data!T121+Data!T122+Data!T123+Data!T124+Data!T125+Data!T126+Data!T127)/(Data!AP116+Data!AP117+Data!AP118+Data!AP119+Data!AP120+Data!AP121+Data!AP122+Data!AP123+Data!AP124+Data!AP125+Data!AP126+Data!AP127)</f>
        <v>0.0615451771310399</v>
      </c>
      <c r="P127" s="18" t="n">
        <f aca="false">(Data!U116+Data!U117+Data!U118+Data!U119+Data!U120+Data!U121+Data!U122+Data!U123+Data!U124+Data!U125+Data!U126+Data!U127)/(Data!AP116+Data!AP117+Data!AP118+Data!AP119+Data!AP120+Data!AP121+Data!AP122+Data!AP123+Data!AP124+Data!AP125+Data!AP126+Data!AP127)</f>
        <v>0.0103744263385944</v>
      </c>
      <c r="Q127" s="18" t="n">
        <f aca="false">(Data!V116+Data!V117+Data!V118+Data!V119+Data!V120+Data!V121+Data!V122+Data!V123+Data!V124+Data!V125+Data!V126+Data!V127)/(Data!AP116+Data!AP117+Data!AP118+Data!AP119+Data!AP120+Data!AP121+Data!AP122+Data!AP123+Data!AP124+Data!AP125+Data!AP126+Data!AP127)</f>
        <v>0.0050917415430135</v>
      </c>
      <c r="R127" s="18" t="n">
        <f aca="false">(Data!W116+Data!W117+Data!W118+Data!W119+Data!W120+Data!W121+Data!W122+Data!W123+Data!W124+Data!W125+Data!W126+Data!W127)/(Data!AP116+Data!AP117+Data!AP118+Data!AP119+Data!AP120+Data!AP121+Data!AP122+Data!AP123+Data!AP124+Data!AP125+Data!AP126+Data!AP127)</f>
        <v>0.00912616355375845</v>
      </c>
      <c r="S127" s="18" t="n">
        <f aca="false">(Data!X116+Data!X117+Data!X118+Data!X119+Data!X120+Data!X121+Data!X122+Data!X123+Data!X124+Data!X125+Data!X126+Data!X127)/(Data!AP116+Data!AP117+Data!AP118+Data!AP119+Data!AP120+Data!AP121+Data!AP122+Data!AP123+Data!AP124+Data!AP125+Data!AP126+Data!AP127)</f>
        <v>0.010172406400835</v>
      </c>
      <c r="T127" s="18" t="n">
        <f aca="false">(Data!Y116+Data!Z116+Data!AA116+Data!Y117+Data!Z117+Data!AA117+Data!Y118+Data!Z118+Data!AA118+Data!Y119+Data!Z119+Data!AA119+Data!Y120+Data!Z120+Data!AA120+Data!Y121+Data!Z121+Data!AA121+Data!Y122+Data!Z122+Data!AA122+Data!Y123+Data!Z123+Data!AA123+Data!Y124+Data!Z124+Data!AA124+Data!Y125+Data!Z125+Data!AA125+Data!Y126+Data!Z126+Data!AA126+Data!Y127+Data!Z127+Data!AA127)/(Data!AP116+Data!AP117+Data!AP118+Data!AP119+Data!AP120+Data!AP121+Data!AP122+Data!AP123+Data!AP124+Data!AP125+Data!AP126+Data!AP127)</f>
        <v>0.0105457409097878</v>
      </c>
      <c r="U127" s="18" t="n">
        <f aca="false">(Data!Y116+Data!Y117+Data!Y118+Data!Y119+Data!Y120+Data!Y121+Data!Y122+Data!Y123+Data!Y124+Data!Y125+Data!Y126+Data!Y127)/(Data!AP116+Data!AP117+Data!AP118+Data!AP119+Data!AP120+Data!AP121+Data!AP122+Data!AP123+Data!AP124+Data!AP125+Data!AP126+Data!AP127)</f>
        <v>0.00726430136320273</v>
      </c>
      <c r="V127" s="18" t="n">
        <f aca="false">(Data!Z116+Data!Z117+Data!Z118+Data!Z119+Data!Z120+Data!Z121+Data!Z122+Data!Z123+Data!Z124+Data!Z125+Data!Z126+Data!Z127)/(Data!AP116+Data!AP117+Data!AP118+Data!AP119+Data!AP120+Data!AP121+Data!AP122+Data!AP123+Data!AP124+Data!AP125+Data!AP126+Data!AP127)</f>
        <v>0.00320509786929929</v>
      </c>
      <c r="W127" s="18" t="n">
        <f aca="false">(Data!AB116+Data!AB117+Data!AB118+Data!AB119+Data!AB120+Data!AB121+Data!AB122+Data!AB123+Data!AB124+Data!AB125+Data!AB126+Data!AB127)/(Data!AP116+Data!AP117+Data!AP118+Data!AP119+Data!AP120+Data!AP121+Data!AP122+Data!AP123+Data!AP124+Data!AP125+Data!AP126+Data!AP127)</f>
        <v>0.0190734060766156</v>
      </c>
      <c r="X127" s="18" t="n">
        <f aca="false">(Data!AC116+Data!AC117+Data!AC118+Data!AC119+Data!AC120+Data!AC121+Data!AC122+Data!AC123+Data!AC124+Data!AC125+Data!AC126+Data!AC127)/(Data!AP116+Data!AP117+Data!AP118+Data!AP119+Data!AP120+Data!AP121+Data!AP122+Data!AP123+Data!AP124+Data!AP125+Data!AP126+Data!AP127)</f>
        <v>0.00576179998184525</v>
      </c>
      <c r="Y127" s="18" t="n">
        <f aca="false">(Data!AD116+Data!AE116+Data!AF116+Data!AG116+Data!AH116+Data!AD117+Data!AE117+Data!AF117+Data!AG117+Data!AH117+Data!AD118+Data!AE118+Data!AF118+Data!AG118+Data!AH118+Data!AD119+Data!AE119+Data!AF119+Data!AG119+Data!AH119+Data!AD120+Data!AE120+Data!AF120+Data!AG120+Data!AH120+Data!AD121+Data!AE121+Data!AF121+Data!AG121+Data!AH121+Data!AD122+Data!AE122+Data!AF122+Data!AG122+Data!AH122+Data!AD123+Data!AE123+Data!AF123+Data!AG123+Data!AH123+Data!AD124+Data!AE124+Data!AF124+Data!AG124+Data!AH124+Data!AD125+Data!AE125+Data!AF125+Data!AG125+Data!AH125+Data!AD126+Data!AE126+Data!AF126+Data!AG126+Data!AH126+Data!AD127+Data!AE127+Data!AF127+Data!AG127+Data!AH127)/(Data!AP116+Data!AP117+Data!AP118+Data!AP119+Data!AP120+Data!AP121+Data!AP122+Data!AP123+Data!AP124+Data!AP125+Data!AP126+Data!AP127)</f>
        <v>0.00292034926221166</v>
      </c>
      <c r="Z127" s="18" t="n">
        <f aca="false">(Data!AI116+Data!AI117+Data!AI118+Data!AI119+Data!AI120+Data!AI121+Data!AI122+Data!AI123+Data!AI124+Data!AI125+Data!AI126+Data!AI127)/(Data!AP116+Data!AP117+Data!AP118+Data!AP119+Data!AP120+Data!AP121+Data!AP122+Data!AP123+Data!AP124+Data!AP125+Data!AP126+Data!AP127)</f>
        <v>0.00472622357236092</v>
      </c>
      <c r="AA127" s="18" t="n">
        <f aca="false">(Data!AJ116+Data!AJ117+Data!AJ118+Data!AJ119+Data!AJ120+Data!AJ121+Data!AJ122+Data!AJ123+Data!AJ124+Data!AJ125+Data!AJ126+Data!AJ127)/(Data!AP116+Data!AP117+Data!AP118+Data!AP119+Data!AP120+Data!AP121+Data!AP122+Data!AP123+Data!AP124+Data!AP125+Data!AP126+Data!AP127)</f>
        <v>0</v>
      </c>
      <c r="AB127" s="18" t="n">
        <f aca="false">(Data!AK116+Data!AK117+Data!AK118+Data!AK119+Data!AK120+Data!AK121+Data!AK122+Data!AK123+Data!AK124+Data!AK125+Data!AK126+Data!AK127)/(Data!AP116+Data!AP117+Data!AP118+Data!AP119+Data!AP120+Data!AP121+Data!AP122+Data!AP123+Data!AP124+Data!AP125+Data!AP126+Data!AP127)</f>
        <v>0.00212689592979882</v>
      </c>
      <c r="AC127" s="18" t="n">
        <f aca="false">(Data!AL116+Data!AL117+Data!AL118+Data!AL119+Data!AL120+Data!AL121+Data!AL122+Data!AL123+Data!AL124+Data!AL125+Data!AL126+Data!AL127)/(Data!AP116+Data!AP117+Data!AP118+Data!AP119+Data!AP120+Data!AP121+Data!AP122+Data!AP123+Data!AP124+Data!AP125+Data!AP126+Data!AP127)</f>
        <v>0.00348489707467286</v>
      </c>
      <c r="AD127" s="17" t="n">
        <f aca="false">(Data!AM116+Data!AM117+Data!AM118+Data!AM119+Data!AM120+Data!AM121+Data!AM122+Data!AM123+Data!AM124+Data!AM125+Data!AM126+Data!AM127)/(Data!AP116+Data!AP117+Data!AP118+Data!AP119+Data!AP120+Data!AP121+Data!AP122+Data!AP123+Data!AP124+Data!AP125+Data!AP126+Data!AP127)</f>
        <v>0.0143185479112872</v>
      </c>
      <c r="AE127" s="18" t="n">
        <f aca="false">(Data!AN116+Data!AN117+Data!AN118+Data!AN119+Data!AN120+Data!AN121+Data!AN122+Data!AN123+Data!AN124+Data!AN125+Data!AN126+Data!AN127)/(Data!AP116+Data!AP117+Data!AP118+Data!AP119+Data!AP120+Data!AP121+Data!AP122+Data!AP123+Data!AP124+Data!AP125+Data!AP126+Data!AP127)</f>
        <v>0.0120671021892022</v>
      </c>
      <c r="AF127" s="17" t="n">
        <f aca="false">(Data!AO116+Data!AO117+Data!AO118+Data!AO119+Data!AO120+Data!AO121+Data!AO122+Data!AO123+Data!AO124+Data!AO125+Data!AO126+Data!AO127)/(Data!AP116+Data!AP117+Data!AP118+Data!AP119+Data!AP120+Data!AP121+Data!AP122+Data!AP123+Data!AP124+Data!AP125+Data!AP126+Data!AP127)</f>
        <v>0.00225144916954379</v>
      </c>
    </row>
    <row r="128" customFormat="false" ht="15" hidden="false" customHeight="false" outlineLevel="0" collapsed="false">
      <c r="B128" s="14" t="str">
        <f aca="false">Data!B128</f>
        <v>2026-02</v>
      </c>
      <c r="C128" s="17" t="n">
        <f aca="false">(Data!D117+Data!E117+Data!F117+Data!G117+Data!H117+Data!I117+Data!J117+Data!K117+Data!L117+Data!M117+Data!N117+Data!O117+Data!P117+Data!Q117+Data!R117+Data!S117+Data!D118+Data!E118+Data!F118+Data!G118+Data!H118+Data!I118+Data!J118+Data!K118+Data!L118+Data!M118+Data!N118+Data!O118+Data!P118+Data!Q118+Data!R118+Data!S118+Data!D119+Data!E119+Data!F119+Data!G119+Data!H119+Data!I119+Data!J119+Data!K119+Data!L119+Data!M119+Data!N119+Data!O119+Data!P119+Data!Q119+Data!R119+Data!S119+Data!D120+Data!E120+Data!F120+Data!G120+Data!H120+Data!I120+Data!J120+Data!K120+Data!L120+Data!M120+Data!N120+Data!O120+Data!P120+Data!Q120+Data!R120+Data!S120+Data!D121+Data!E121+Data!F121+Data!G121+Data!H121+Data!I121+Data!J121+Data!K121+Data!L121+Data!M121+Data!N121+Data!O121+Data!P121+Data!Q121+Data!R121+Data!S121+Data!D122+Data!E122+Data!F122+Data!G122+Data!H122+Data!I122+Data!J122+Data!K122+Data!L122+Data!M122+Data!N122+Data!O122+Data!P122+Data!Q122+Data!R122+Data!S122+Data!D123+Data!E123+Data!F123+Data!G123+Data!H123+Data!I123+Data!J123+Data!K123+Data!L123+Data!M123+Data!N123+Data!O123+Data!P123+Data!Q123+Data!R123+Data!S123+Data!D124+Data!E124+Data!F124+Data!G124+Data!H124+Data!I124+Data!J124+Data!K124+Data!L124+Data!M124+Data!N124+Data!O124+Data!P124+Data!Q124+Data!R124+Data!S124+Data!D125+Data!E125+Data!F125+Data!G125+Data!H125+Data!I125+Data!J125+Data!K125+Data!L125+Data!M125+Data!N125+Data!O125+Data!P125+Data!Q125+Data!R125+Data!S125+Data!D126+Data!E126+Data!F126+Data!G126+Data!H126+Data!I126+Data!J126+Data!K126+Data!L126+Data!M126+Data!N126+Data!O126+Data!P126+Data!Q126+Data!R126+Data!S126+Data!D127+Data!E127+Data!F127+Data!G127+Data!H127+Data!I127+Data!J127+Data!K127+Data!L127+Data!M127+Data!N127+Data!O127+Data!P127+Data!Q127+Data!R127+Data!S127+Data!D128+Data!E128+Data!F128+Data!G128+Data!H128+Data!I128+Data!J128+Data!K128+Data!L128+Data!M128+Data!N128+Data!O128+Data!P128+Data!Q128+Data!R128+Data!S128)/(Data!AP117+Data!AP118+Data!AP119+Data!AP120+Data!AP121+Data!AP122+Data!AP123+Data!AP124+Data!AP125+Data!AP126+Data!AP127+Data!AP128)</f>
        <v>0.157985827072489</v>
      </c>
      <c r="D128" s="18" t="n">
        <f aca="false">(Data!D117+Data!E117+Data!G117+Data!H117+Data!I117+Data!J117+Data!K117+Data!L117+Data!M117+Data!D118+Data!E118+Data!G118+Data!H118+Data!I118+Data!J118+Data!K118+Data!L118+Data!M118+Data!D119+Data!E119+Data!G119+Data!H119+Data!I119+Data!J119+Data!K119+Data!L119+Data!M119+Data!D120+Data!E120+Data!G120+Data!H120+Data!I120+Data!J120+Data!K120+Data!L120+Data!M120+Data!D121+Data!E121+Data!G121+Data!H121+Data!I121+Data!J121+Data!K121+Data!L121+Data!M121+Data!D122+Data!E122+Data!G122+Data!H122+Data!I122+Data!J122+Data!K122+Data!L122+Data!M122+Data!D123+Data!E123+Data!G123+Data!H123+Data!I123+Data!J123+Data!K123+Data!L123+Data!M123+Data!D124+Data!E124+Data!G124+Data!H124+Data!I124+Data!J124+Data!K124+Data!L124+Data!M124+Data!D125+Data!E125+Data!G125+Data!H125+Data!I125+Data!J125+Data!K125+Data!L125+Data!M125+Data!D126+Data!E126+Data!G126+Data!H126+Data!I126+Data!J126+Data!K126+Data!L126+Data!M126+Data!D127+Data!E127+Data!G127+Data!H127+Data!I127+Data!J127+Data!K127+Data!L127+Data!M127+Data!D128+Data!E128+Data!G128+Data!H128+Data!I128+Data!J128+Data!K128+Data!L128+Data!M128)/(Data!AP117+Data!AP118+Data!AP119+Data!AP120+Data!AP121+Data!AP122+Data!AP123+Data!AP124+Data!AP125+Data!AP126+Data!AP127+Data!AP128)</f>
        <v>0.0888277425877025</v>
      </c>
      <c r="E128" s="18" t="n">
        <f aca="false">(Data!D117+Data!D118+Data!D119+Data!D120+Data!D121+Data!D122+Data!D123+Data!D124+Data!D125+Data!D126+Data!D127+Data!D128)/(Data!AP117+Data!AP118+Data!AP119+Data!AP120+Data!AP121+Data!AP122+Data!AP123+Data!AP124+Data!AP125+Data!AP126+Data!AP127+Data!AP128)</f>
        <v>0.0323183144985946</v>
      </c>
      <c r="F128" s="18" t="n">
        <f aca="false">(Data!E117+Data!E118+Data!E119+Data!E120+Data!E121+Data!E122+Data!E123+Data!E124+Data!E125+Data!E126+Data!E127+Data!E128)/(Data!AP117+Data!AP118+Data!AP119+Data!AP120+Data!AP121+Data!AP122+Data!AP123+Data!AP124+Data!AP125+Data!AP126+Data!AP127+Data!AP128)</f>
        <v>0.0145390224226716</v>
      </c>
      <c r="G128" s="18" t="n">
        <f aca="false">(Data!K117+Data!K118+Data!K119+Data!K120+Data!K121+Data!K122+Data!K123+Data!K124+Data!K125+Data!K126+Data!K127+Data!K128)/(Data!AP117+Data!AP118+Data!AP119+Data!AP120+Data!AP121+Data!AP122+Data!AP123+Data!AP124+Data!AP125+Data!AP126+Data!AP127+Data!AP128)</f>
        <v>0.00769627588071833</v>
      </c>
      <c r="H128" s="18" t="n">
        <f aca="false">(Data!L117+Data!L118+Data!L119+Data!L120+Data!L121+Data!L122+Data!L123+Data!L124+Data!L125+Data!L126+Data!L127+Data!L128)/(Data!AP117+Data!AP118+Data!AP119+Data!AP120+Data!AP121+Data!AP122+Data!AP123+Data!AP124+Data!AP125+Data!AP126+Data!AP127+Data!AP128)</f>
        <v>0.00622809633219813</v>
      </c>
      <c r="I128" s="18" t="n">
        <f aca="false">(Data!G117+Data!G118+Data!G119+Data!G120+Data!G121+Data!G122+Data!G123+Data!G124+Data!G125+Data!G126+Data!G127+Data!G128)/(Data!AP117+Data!AP118+Data!AP119+Data!AP120+Data!AP121+Data!AP122+Data!AP123+Data!AP124+Data!AP125+Data!AP126+Data!AP127+Data!AP128)</f>
        <v>0.0160450282065341</v>
      </c>
      <c r="J128" s="18" t="n">
        <f aca="false">(Data!H117+Data!I117+Data!J117+Data!M117+Data!H118+Data!I118+Data!J118+Data!M118+Data!H119+Data!I119+Data!J119+Data!M119+Data!H120+Data!I120+Data!J120+Data!M120+Data!H121+Data!I121+Data!J121+Data!M121+Data!H122+Data!I122+Data!J122+Data!M122+Data!H123+Data!I123+Data!J123+Data!M123+Data!H124+Data!I124+Data!J124+Data!M124+Data!H125+Data!I125+Data!J125+Data!M125+Data!H126+Data!I126+Data!J126+Data!M126+Data!H127+Data!I127+Data!J127+Data!M127+Data!H128+Data!I128+Data!J128+Data!M128)/(Data!AP117+Data!AP118+Data!AP119+Data!AP120+Data!AP121+Data!AP122+Data!AP123+Data!AP124+Data!AP125+Data!AP126+Data!AP127+Data!AP128)</f>
        <v>0.0120010052469857</v>
      </c>
      <c r="K128" s="18" t="n">
        <f aca="false">(Data!F117+Data!F118+Data!F119+Data!F120+Data!F121+Data!F122+Data!F123+Data!F124+Data!F125+Data!F126+Data!F127+Data!F128)/(Data!AP117+Data!AP118+Data!AP119+Data!AP120+Data!AP121+Data!AP122+Data!AP123+Data!AP124+Data!AP125+Data!AP126+Data!AP127+Data!AP128)</f>
        <v>0.0551380644737637</v>
      </c>
      <c r="L128" s="18" t="n">
        <f aca="false">(Data!N117+Data!O117+Data!P117+Data!Q117+Data!R117+Data!S117+Data!N118+Data!O118+Data!P118+Data!Q118+Data!R118+Data!S118+Data!N119+Data!O119+Data!P119+Data!Q119+Data!R119+Data!S119+Data!N120+Data!O120+Data!P120+Data!Q120+Data!R120+Data!S120+Data!N121+Data!O121+Data!P121+Data!Q121+Data!R121+Data!S121+Data!N122+Data!O122+Data!P122+Data!Q122+Data!R122+Data!S122+Data!N123+Data!O123+Data!P123+Data!Q123+Data!R123+Data!S123+Data!N124+Data!O124+Data!P124+Data!Q124+Data!R124+Data!S124+Data!N125+Data!O125+Data!P125+Data!Q125+Data!R125+Data!S125+Data!N126+Data!O126+Data!P126+Data!Q126+Data!R126+Data!S126+Data!N127+Data!O127+Data!P127+Data!Q127+Data!R127+Data!S127+Data!N128+Data!O128+Data!P128+Data!Q128+Data!R128+Data!S128)/(Data!AP117+Data!AP118+Data!AP119+Data!AP120+Data!AP121+Data!AP122+Data!AP123+Data!AP124+Data!AP125+Data!AP126+Data!AP127+Data!AP128)</f>
        <v>0.0140200200110224</v>
      </c>
      <c r="M128" s="17" t="n">
        <f aca="false">(Data!T117+Data!U117+Data!V117+Data!W117+Data!X117+Data!Y117+Data!Z117+Data!AA117+Data!AB117+Data!AC117+Data!AD117+Data!AE117+Data!AF117+Data!AG117+Data!AH117+Data!AI117+Data!AJ117+Data!AK117+Data!AL117+Data!T118+Data!U118+Data!V118+Data!W118+Data!X118+Data!Y118+Data!Z118+Data!AA118+Data!AB118+Data!AC118+Data!AD118+Data!AE118+Data!AF118+Data!AG118+Data!AH118+Data!AI118+Data!AJ118+Data!AK118+Data!AL118+Data!T119+Data!U119+Data!V119+Data!W119+Data!X119+Data!Y119+Data!Z119+Data!AA119+Data!AB119+Data!AC119+Data!AD119+Data!AE119+Data!AF119+Data!AG119+Data!AH119+Data!AI119+Data!AJ119+Data!AK119+Data!AL119+Data!T120+Data!U120+Data!V120+Data!W120+Data!X120+Data!Y120+Data!Z120+Data!AA120+Data!AB120+Data!AC120+Data!AD120+Data!AE120+Data!AF120+Data!AG120+Data!AH120+Data!AI120+Data!AJ120+Data!AK120+Data!AL120+Data!T121+Data!U121+Data!V121+Data!W121+Data!X121+Data!Y121+Data!Z121+Data!AA121+Data!AB121+Data!AC121+Data!AD121+Data!AE121+Data!AF121+Data!AG121+Data!AH121+Data!AI121+Data!AJ121+Data!AK121+Data!AL121+Data!T122+Data!U122+Data!V122+Data!W122+Data!X122+Data!Y122+Data!Z122+Data!AA122+Data!AB122+Data!AC122+Data!AD122+Data!AE122+Data!AF122+Data!AG122+Data!AH122+Data!AI122+Data!AJ122+Data!AK122+Data!AL122+Data!T123+Data!U123+Data!V123+Data!W123+Data!X123+Data!Y123+Data!Z123+Data!AA123+Data!AB123+Data!AC123+Data!AD123+Data!AE123+Data!AF123+Data!AG123+Data!AH123+Data!AI123+Data!AJ123+Data!AK123+Data!AL123+Data!T124+Data!U124+Data!V124+Data!W124+Data!X124+Data!Y124+Data!Z124+Data!AA124+Data!AB124+Data!AC124+Data!AD124+Data!AE124+Data!AF124+Data!AG124+Data!AH124+Data!AI124+Data!AJ124+Data!AK124+Data!AL124+Data!T125+Data!U125+Data!V125+Data!W125+Data!X125+Data!Y125+Data!Z125+Data!AA125+Data!AB125+Data!AC125+Data!AD125+Data!AE125+Data!AF125+Data!AG125+Data!AH125+Data!AI125+Data!AJ125+Data!AK125+Data!AL125+Data!T126+Data!U126+Data!V126+Data!W126+Data!X126+Data!Y126+Data!Z126+Data!AA126+Data!AB126+Data!AC126+Data!AD126+Data!AE126+Data!AF126+Data!AG126+Data!AH126+Data!AI126+Data!AJ126+Data!AK126+Data!AL126+Data!T127+Data!U127+Data!V127+Data!W127+Data!X127+Data!Y127+Data!Z127+Data!AA127+Data!AB127+Data!AC127+Data!AD127+Data!AE127+Data!AF127+Data!AG127+Data!AH127+Data!AI127+Data!AJ127+Data!AK127+Data!AL127+Data!T128+Data!U128+Data!V128+Data!W128+Data!X128+Data!Y128+Data!Z128+Data!AA128+Data!AB128+Data!AC128+Data!AD128+Data!AE128+Data!AF128+Data!AG128+Data!AH128+Data!AI128+Data!AJ128+Data!AK128+Data!AL128)/(Data!AP117+Data!AP118+Data!AP119+Data!AP120+Data!AP121+Data!AP122+Data!AP123+Data!AP124+Data!AP125+Data!AP126+Data!AP127+Data!AP128)</f>
        <v>0.143728048892841</v>
      </c>
      <c r="N128" s="18" t="n">
        <f aca="false">(Data!T117+Data!U117+Data!V117+Data!W117+Data!T118+Data!U118+Data!V118+Data!W118+Data!T119+Data!U119+Data!V119+Data!W119+Data!T120+Data!U120+Data!V120+Data!W120+Data!T121+Data!U121+Data!V121+Data!W121+Data!T122+Data!U122+Data!V122+Data!W122+Data!T123+Data!U123+Data!V123+Data!W123+Data!T124+Data!U124+Data!V124+Data!W124+Data!T125+Data!U125+Data!V125+Data!W125+Data!T126+Data!U126+Data!V126+Data!W126+Data!T127+Data!U127+Data!V127+Data!W127+Data!T128+Data!U128+Data!V128+Data!W128)/(Data!AP117+Data!AP118+Data!AP119+Data!AP120+Data!AP121+Data!AP122+Data!AP123+Data!AP124+Data!AP125+Data!AP126+Data!AP127+Data!AP128)</f>
        <v>0.0861223743383284</v>
      </c>
      <c r="O128" s="18" t="n">
        <f aca="false">(Data!T117+Data!T118+Data!T119+Data!T120+Data!T121+Data!T122+Data!T123+Data!T124+Data!T125+Data!T126+Data!T127+Data!T128)/(Data!AP117+Data!AP118+Data!AP119+Data!AP120+Data!AP121+Data!AP122+Data!AP123+Data!AP124+Data!AP125+Data!AP126+Data!AP127+Data!AP128)</f>
        <v>0.061574551609642</v>
      </c>
      <c r="P128" s="18" t="n">
        <f aca="false">(Data!U117+Data!U118+Data!U119+Data!U120+Data!U121+Data!U122+Data!U123+Data!U124+Data!U125+Data!U126+Data!U127+Data!U128)/(Data!AP117+Data!AP118+Data!AP119+Data!AP120+Data!AP121+Data!AP122+Data!AP123+Data!AP124+Data!AP125+Data!AP126+Data!AP127+Data!AP128)</f>
        <v>0.0104268050855784</v>
      </c>
      <c r="Q128" s="18" t="n">
        <f aca="false">(Data!V117+Data!V118+Data!V119+Data!V120+Data!V121+Data!V122+Data!V123+Data!V124+Data!V125+Data!V126+Data!V127+Data!V128)/(Data!AP117+Data!AP118+Data!AP119+Data!AP120+Data!AP121+Data!AP122+Data!AP123+Data!AP124+Data!AP125+Data!AP126+Data!AP127+Data!AP128)</f>
        <v>0.0050816807119461</v>
      </c>
      <c r="R128" s="18" t="n">
        <f aca="false">(Data!W117+Data!W118+Data!W119+Data!W120+Data!W121+Data!W122+Data!W123+Data!W124+Data!W125+Data!W126+Data!W127+Data!W128)/(Data!AP117+Data!AP118+Data!AP119+Data!AP120+Data!AP121+Data!AP122+Data!AP123+Data!AP124+Data!AP125+Data!AP126+Data!AP127+Data!AP128)</f>
        <v>0.00903933693116193</v>
      </c>
      <c r="S128" s="18" t="n">
        <f aca="false">(Data!X117+Data!X118+Data!X119+Data!X120+Data!X121+Data!X122+Data!X123+Data!X124+Data!X125+Data!X126+Data!X127+Data!X128)/(Data!AP117+Data!AP118+Data!AP119+Data!AP120+Data!AP121+Data!AP122+Data!AP123+Data!AP124+Data!AP125+Data!AP126+Data!AP127+Data!AP128)</f>
        <v>0.00953293802107024</v>
      </c>
      <c r="T128" s="18" t="n">
        <f aca="false">(Data!Y117+Data!Z117+Data!AA117+Data!Y118+Data!Z118+Data!AA118+Data!Y119+Data!Z119+Data!AA119+Data!Y120+Data!Z120+Data!AA120+Data!Y121+Data!Z121+Data!AA121+Data!Y122+Data!Z122+Data!AA122+Data!Y123+Data!Z123+Data!AA123+Data!Y124+Data!Z124+Data!AA124+Data!Y125+Data!Z125+Data!AA125+Data!Y126+Data!Z126+Data!AA126+Data!Y127+Data!Z127+Data!AA127+Data!Y128+Data!Z128+Data!AA128)/(Data!AP117+Data!AP118+Data!AP119+Data!AP120+Data!AP121+Data!AP122+Data!AP123+Data!AP124+Data!AP125+Data!AP126+Data!AP127+Data!AP128)</f>
        <v>0.0104521996680785</v>
      </c>
      <c r="U128" s="18" t="n">
        <f aca="false">(Data!Y117+Data!Y118+Data!Y119+Data!Y120+Data!Y121+Data!Y122+Data!Y123+Data!Y124+Data!Y125+Data!Y126+Data!Y127+Data!Y128)/(Data!AP117+Data!AP118+Data!AP119+Data!AP120+Data!AP121+Data!AP122+Data!AP123+Data!AP124+Data!AP125+Data!AP126+Data!AP127+Data!AP128)</f>
        <v>0.00731650843018528</v>
      </c>
      <c r="V128" s="18" t="n">
        <f aca="false">(Data!Z117+Data!Z118+Data!Z119+Data!Z120+Data!Z121+Data!Z122+Data!Z123+Data!Z124+Data!Z125+Data!Z126+Data!Z127+Data!Z128)/(Data!AP117+Data!AP118+Data!AP119+Data!AP120+Data!AP121+Data!AP122+Data!AP123+Data!AP124+Data!AP125+Data!AP126+Data!AP127+Data!AP128)</f>
        <v>0.00306738566287542</v>
      </c>
      <c r="W128" s="18" t="n">
        <f aca="false">(Data!AB117+Data!AB118+Data!AB119+Data!AB120+Data!AB121+Data!AB122+Data!AB123+Data!AB124+Data!AB125+Data!AB126+Data!AB127+Data!AB128)/(Data!AP117+Data!AP118+Data!AP119+Data!AP120+Data!AP121+Data!AP122+Data!AP123+Data!AP124+Data!AP125+Data!AP126+Data!AP127+Data!AP128)</f>
        <v>0.0189486570574755</v>
      </c>
      <c r="X128" s="18" t="n">
        <f aca="false">(Data!AC117+Data!AC118+Data!AC119+Data!AC120+Data!AC121+Data!AC122+Data!AC123+Data!AC124+Data!AC125+Data!AC126+Data!AC127+Data!AC128)/(Data!AP117+Data!AP118+Data!AP119+Data!AP120+Data!AP121+Data!AP122+Data!AP123+Data!AP124+Data!AP125+Data!AP126+Data!AP127+Data!AP128)</f>
        <v>0.0056125981013104</v>
      </c>
      <c r="Y128" s="18" t="n">
        <f aca="false">(Data!AD117+Data!AE117+Data!AF117+Data!AG117+Data!AH117+Data!AD118+Data!AE118+Data!AF118+Data!AG118+Data!AH118+Data!AD119+Data!AE119+Data!AF119+Data!AG119+Data!AH119+Data!AD120+Data!AE120+Data!AF120+Data!AG120+Data!AH120+Data!AD121+Data!AE121+Data!AF121+Data!AG121+Data!AH121+Data!AD122+Data!AE122+Data!AF122+Data!AG122+Data!AH122+Data!AD123+Data!AE123+Data!AF123+Data!AG123+Data!AH123+Data!AD124+Data!AE124+Data!AF124+Data!AG124+Data!AH124+Data!AD125+Data!AE125+Data!AF125+Data!AG125+Data!AH125+Data!AD126+Data!AE126+Data!AF126+Data!AG126+Data!AH126+Data!AD127+Data!AE127+Data!AF127+Data!AG127+Data!AH127+Data!AD128+Data!AE128+Data!AF128+Data!AG128+Data!AH128)/(Data!AP117+Data!AP118+Data!AP119+Data!AP120+Data!AP121+Data!AP122+Data!AP123+Data!AP124+Data!AP125+Data!AP126+Data!AP127+Data!AP128)</f>
        <v>0.00280582561898977</v>
      </c>
      <c r="Z128" s="18" t="n">
        <f aca="false">(Data!AI117+Data!AI118+Data!AI119+Data!AI120+Data!AI121+Data!AI122+Data!AI123+Data!AI124+Data!AI125+Data!AI126+Data!AI127+Data!AI128)/(Data!AP117+Data!AP118+Data!AP119+Data!AP120+Data!AP121+Data!AP122+Data!AP123+Data!AP124+Data!AP125+Data!AP126+Data!AP127+Data!AP128)</f>
        <v>0.00472701581014561</v>
      </c>
      <c r="AA128" s="18" t="n">
        <f aca="false">(Data!AJ117+Data!AJ118+Data!AJ119+Data!AJ120+Data!AJ121+Data!AJ122+Data!AJ123+Data!AJ124+Data!AJ125+Data!AJ126+Data!AJ127+Data!AJ128)/(Data!AP117+Data!AP118+Data!AP119+Data!AP120+Data!AP121+Data!AP122+Data!AP123+Data!AP124+Data!AP125+Data!AP126+Data!AP127+Data!AP128)</f>
        <v>0</v>
      </c>
      <c r="AB128" s="18" t="n">
        <f aca="false">(Data!AK117+Data!AK118+Data!AK119+Data!AK120+Data!AK121+Data!AK122+Data!AK123+Data!AK124+Data!AK125+Data!AK126+Data!AK127+Data!AK128)/(Data!AP117+Data!AP118+Data!AP119+Data!AP120+Data!AP121+Data!AP122+Data!AP123+Data!AP124+Data!AP125+Data!AP126+Data!AP127+Data!AP128)</f>
        <v>0.00210366973720876</v>
      </c>
      <c r="AC128" s="18" t="n">
        <f aca="false">(Data!AL117+Data!AL118+Data!AL119+Data!AL120+Data!AL121+Data!AL122+Data!AL123+Data!AL124+Data!AL125+Data!AL126+Data!AL127+Data!AL128)/(Data!AP117+Data!AP118+Data!AP119+Data!AP120+Data!AP121+Data!AP122+Data!AP123+Data!AP124+Data!AP125+Data!AP126+Data!AP127+Data!AP128)</f>
        <v>0.00342277054023355</v>
      </c>
      <c r="AD128" s="17" t="n">
        <f aca="false">(Data!AM117+Data!AM118+Data!AM119+Data!AM120+Data!AM121+Data!AM122+Data!AM123+Data!AM124+Data!AM125+Data!AM126+Data!AM127+Data!AM128)/(Data!AP117+Data!AP118+Data!AP119+Data!AP120+Data!AP121+Data!AP122+Data!AP123+Data!AP124+Data!AP125+Data!AP126+Data!AP127+Data!AP128)</f>
        <v>0.0142577781796478</v>
      </c>
      <c r="AE128" s="18" t="n">
        <f aca="false">(Data!AN117+Data!AN118+Data!AN119+Data!AN120+Data!AN121+Data!AN122+Data!AN123+Data!AN124+Data!AN125+Data!AN126+Data!AN127+Data!AN128)/(Data!AP117+Data!AP118+Data!AP119+Data!AP120+Data!AP121+Data!AP122+Data!AP123+Data!AP124+Data!AP125+Data!AP126+Data!AP127+Data!AP128)</f>
        <v>0.0122439604934663</v>
      </c>
      <c r="AF128" s="17" t="n">
        <f aca="false">(Data!AO117+Data!AO118+Data!AO119+Data!AO120+Data!AO121+Data!AO122+Data!AO123+Data!AO124+Data!AO125+Data!AO126+Data!AO127+Data!AO128)/(Data!AP117+Data!AP118+Data!AP119+Data!AP120+Data!AP121+Data!AP122+Data!AP123+Data!AP124+Data!AP125+Data!AP126+Data!AP127+Data!AP128)</f>
        <v>0.00201381993259505</v>
      </c>
    </row>
    <row r="129" customFormat="false" ht="15" hidden="false" customHeight="false" outlineLevel="0" collapsed="false">
      <c r="B129" s="14" t="str">
        <f aca="false">Data!B129</f>
        <v>2026-03</v>
      </c>
      <c r="C129" s="17" t="n">
        <f aca="false">(Data!D118+Data!E118+Data!F118+Data!G118+Data!H118+Data!I118+Data!J118+Data!K118+Data!L118+Data!M118+Data!N118+Data!O118+Data!P118+Data!Q118+Data!R118+Data!S118+Data!D119+Data!E119+Data!F119+Data!G119+Data!H119+Data!I119+Data!J119+Data!K119+Data!L119+Data!M119+Data!N119+Data!O119+Data!P119+Data!Q119+Data!R119+Data!S119+Data!D120+Data!E120+Data!F120+Data!G120+Data!H120+Data!I120+Data!J120+Data!K120+Data!L120+Data!M120+Data!N120+Data!O120+Data!P120+Data!Q120+Data!R120+Data!S120+Data!D121+Data!E121+Data!F121+Data!G121+Data!H121+Data!I121+Data!J121+Data!K121+Data!L121+Data!M121+Data!N121+Data!O121+Data!P121+Data!Q121+Data!R121+Data!S121+Data!D122+Data!E122+Data!F122+Data!G122+Data!H122+Data!I122+Data!J122+Data!K122+Data!L122+Data!M122+Data!N122+Data!O122+Data!P122+Data!Q122+Data!R122+Data!S122+Data!D123+Data!E123+Data!F123+Data!G123+Data!H123+Data!I123+Data!J123+Data!K123+Data!L123+Data!M123+Data!N123+Data!O123+Data!P123+Data!Q123+Data!R123+Data!S123+Data!D124+Data!E124+Data!F124+Data!G124+Data!H124+Data!I124+Data!J124+Data!K124+Data!L124+Data!M124+Data!N124+Data!O124+Data!P124+Data!Q124+Data!R124+Data!S124+Data!D125+Data!E125+Data!F125+Data!G125+Data!H125+Data!I125+Data!J125+Data!K125+Data!L125+Data!M125+Data!N125+Data!O125+Data!P125+Data!Q125+Data!R125+Data!S125+Data!D126+Data!E126+Data!F126+Data!G126+Data!H126+Data!I126+Data!J126+Data!K126+Data!L126+Data!M126+Data!N126+Data!O126+Data!P126+Data!Q126+Data!R126+Data!S126+Data!D127+Data!E127+Data!F127+Data!G127+Data!H127+Data!I127+Data!J127+Data!K127+Data!L127+Data!M127+Data!N127+Data!O127+Data!P127+Data!Q127+Data!R127+Data!S127+Data!D128+Data!E128+Data!F128+Data!G128+Data!H128+Data!I128+Data!J128+Data!K128+Data!L128+Data!M128+Data!N128+Data!O128+Data!P128+Data!Q128+Data!R128+Data!S128+Data!D129+Data!E129+Data!F129+Data!G129+Data!H129+Data!I129+Data!J129+Data!K129+Data!L129+Data!M129+Data!N129+Data!O129+Data!P129+Data!Q129+Data!R129+Data!S129)/(Data!AP118+Data!AP119+Data!AP120+Data!AP121+Data!AP122+Data!AP123+Data!AP124+Data!AP125+Data!AP126+Data!AP127+Data!AP128+Data!AP129)</f>
        <v>0.156944225998573</v>
      </c>
      <c r="D129" s="18" t="n">
        <f aca="false">(Data!D118+Data!E118+Data!G118+Data!H118+Data!I118+Data!J118+Data!K118+Data!L118+Data!M118+Data!D119+Data!E119+Data!G119+Data!H119+Data!I119+Data!J119+Data!K119+Data!L119+Data!M119+Data!D120+Data!E120+Data!G120+Data!H120+Data!I120+Data!J120+Data!K120+Data!L120+Data!M120+Data!D121+Data!E121+Data!G121+Data!H121+Data!I121+Data!J121+Data!K121+Data!L121+Data!M121+Data!D122+Data!E122+Data!G122+Data!H122+Data!I122+Data!J122+Data!K122+Data!L122+Data!M122+Data!D123+Data!E123+Data!G123+Data!H123+Data!I123+Data!J123+Data!K123+Data!L123+Data!M123+Data!D124+Data!E124+Data!G124+Data!H124+Data!I124+Data!J124+Data!K124+Data!L124+Data!M124+Data!D125+Data!E125+Data!G125+Data!H125+Data!I125+Data!J125+Data!K125+Data!L125+Data!M125+Data!D126+Data!E126+Data!G126+Data!H126+Data!I126+Data!J126+Data!K126+Data!L126+Data!M126+Data!D127+Data!E127+Data!G127+Data!H127+Data!I127+Data!J127+Data!K127+Data!L127+Data!M127+Data!D128+Data!E128+Data!G128+Data!H128+Data!I128+Data!J128+Data!K128+Data!L128+Data!M128+Data!D129+Data!E129+Data!G129+Data!H129+Data!I129+Data!J129+Data!K129+Data!L129+Data!M129)/(Data!AP118+Data!AP119+Data!AP120+Data!AP121+Data!AP122+Data!AP123+Data!AP124+Data!AP125+Data!AP126+Data!AP127+Data!AP128+Data!AP129)</f>
        <v>0.0880880495949654</v>
      </c>
      <c r="E129" s="18" t="n">
        <f aca="false">(Data!D118+Data!D119+Data!D120+Data!D121+Data!D122+Data!D123+Data!D124+Data!D125+Data!D126+Data!D127+Data!D128+Data!D129)/(Data!AP118+Data!AP119+Data!AP120+Data!AP121+Data!AP122+Data!AP123+Data!AP124+Data!AP125+Data!AP126+Data!AP127+Data!AP128+Data!AP129)</f>
        <v>0.0321707073313553</v>
      </c>
      <c r="F129" s="18" t="n">
        <f aca="false">(Data!E118+Data!E119+Data!E120+Data!E121+Data!E122+Data!E123+Data!E124+Data!E125+Data!E126+Data!E127+Data!E128+Data!E129)/(Data!AP118+Data!AP119+Data!AP120+Data!AP121+Data!AP122+Data!AP123+Data!AP124+Data!AP125+Data!AP126+Data!AP127+Data!AP128+Data!AP129)</f>
        <v>0.0142114700658978</v>
      </c>
      <c r="G129" s="18" t="n">
        <f aca="false">(Data!K118+Data!K119+Data!K120+Data!K121+Data!K122+Data!K123+Data!K124+Data!K125+Data!K126+Data!K127+Data!K128+Data!K129)/(Data!AP118+Data!AP119+Data!AP120+Data!AP121+Data!AP122+Data!AP123+Data!AP124+Data!AP125+Data!AP126+Data!AP127+Data!AP128+Data!AP129)</f>
        <v>0.00744348696926633</v>
      </c>
      <c r="H129" s="18" t="n">
        <f aca="false">(Data!L118+Data!L119+Data!L120+Data!L121+Data!L122+Data!L123+Data!L124+Data!L125+Data!L126+Data!L127+Data!L128+Data!L129)/(Data!AP118+Data!AP119+Data!AP120+Data!AP121+Data!AP122+Data!AP123+Data!AP124+Data!AP125+Data!AP126+Data!AP127+Data!AP128+Data!AP129)</f>
        <v>0.00613718317080977</v>
      </c>
      <c r="I129" s="18" t="n">
        <f aca="false">(Data!G118+Data!G119+Data!G120+Data!G121+Data!G122+Data!G123+Data!G124+Data!G125+Data!G126+Data!G127+Data!G128+Data!G129)/(Data!AP118+Data!AP119+Data!AP120+Data!AP121+Data!AP122+Data!AP123+Data!AP124+Data!AP125+Data!AP126+Data!AP127+Data!AP128+Data!AP129)</f>
        <v>0.0160651091577788</v>
      </c>
      <c r="J129" s="18" t="n">
        <f aca="false">(Data!H118+Data!I118+Data!J118+Data!M118+Data!H119+Data!I119+Data!J119+Data!M119+Data!H120+Data!I120+Data!J120+Data!M120+Data!H121+Data!I121+Data!J121+Data!M121+Data!H122+Data!I122+Data!J122+Data!M122+Data!H123+Data!I123+Data!J123+Data!M123+Data!H124+Data!I124+Data!J124+Data!M124+Data!H125+Data!I125+Data!J125+Data!M125+Data!H126+Data!I126+Data!J126+Data!M126+Data!H127+Data!I127+Data!J127+Data!M127+Data!H128+Data!I128+Data!J128+Data!M128+Data!H129+Data!I129+Data!J129+Data!M129)/(Data!AP118+Data!AP119+Data!AP120+Data!AP121+Data!AP122+Data!AP123+Data!AP124+Data!AP125+Data!AP126+Data!AP127+Data!AP128+Data!AP129)</f>
        <v>0.0120600928998574</v>
      </c>
      <c r="K129" s="18" t="n">
        <f aca="false">(Data!F118+Data!F119+Data!F120+Data!F121+Data!F122+Data!F123+Data!F124+Data!F125+Data!F126+Data!F127+Data!F128+Data!F129)/(Data!AP118+Data!AP119+Data!AP120+Data!AP121+Data!AP122+Data!AP123+Data!AP124+Data!AP125+Data!AP126+Data!AP127+Data!AP128+Data!AP129)</f>
        <v>0.0549959425417482</v>
      </c>
      <c r="L129" s="18" t="n">
        <f aca="false">(Data!N118+Data!O118+Data!P118+Data!Q118+Data!R118+Data!S118+Data!N119+Data!O119+Data!P119+Data!Q119+Data!R119+Data!S119+Data!N120+Data!O120+Data!P120+Data!Q120+Data!R120+Data!S120+Data!N121+Data!O121+Data!P121+Data!Q121+Data!R121+Data!S121+Data!N122+Data!O122+Data!P122+Data!Q122+Data!R122+Data!S122+Data!N123+Data!O123+Data!P123+Data!Q123+Data!R123+Data!S123+Data!N124+Data!O124+Data!P124+Data!Q124+Data!R124+Data!S124+Data!N125+Data!O125+Data!P125+Data!Q125+Data!R125+Data!S125+Data!N126+Data!O126+Data!P126+Data!Q126+Data!R126+Data!S126+Data!N127+Data!O127+Data!P127+Data!Q127+Data!R127+Data!S127+Data!N128+Data!O128+Data!P128+Data!Q128+Data!R128+Data!S128+Data!N129+Data!O129+Data!P129+Data!Q129+Data!R129+Data!S129)/(Data!AP118+Data!AP119+Data!AP120+Data!AP121+Data!AP122+Data!AP123+Data!AP124+Data!AP125+Data!AP126+Data!AP127+Data!AP128+Data!AP129)</f>
        <v>0.0138602338618589</v>
      </c>
      <c r="M129" s="17" t="n">
        <f aca="false">(Data!T118+Data!U118+Data!V118+Data!W118+Data!X118+Data!Y118+Data!Z118+Data!AA118+Data!AB118+Data!AC118+Data!AD118+Data!AE118+Data!AF118+Data!AG118+Data!AH118+Data!AI118+Data!AJ118+Data!AK118+Data!AL118+Data!T119+Data!U119+Data!V119+Data!W119+Data!X119+Data!Y119+Data!Z119+Data!AA119+Data!AB119+Data!AC119+Data!AD119+Data!AE119+Data!AF119+Data!AG119+Data!AH119+Data!AI119+Data!AJ119+Data!AK119+Data!AL119+Data!T120+Data!U120+Data!V120+Data!W120+Data!X120+Data!Y120+Data!Z120+Data!AA120+Data!AB120+Data!AC120+Data!AD120+Data!AE120+Data!AF120+Data!AG120+Data!AH120+Data!AI120+Data!AJ120+Data!AK120+Data!AL120+Data!T121+Data!U121+Data!V121+Data!W121+Data!X121+Data!Y121+Data!Z121+Data!AA121+Data!AB121+Data!AC121+Data!AD121+Data!AE121+Data!AF121+Data!AG121+Data!AH121+Data!AI121+Data!AJ121+Data!AK121+Data!AL121+Data!T122+Data!U122+Data!V122+Data!W122+Data!X122+Data!Y122+Data!Z122+Data!AA122+Data!AB122+Data!AC122+Data!AD122+Data!AE122+Data!AF122+Data!AG122+Data!AH122+Data!AI122+Data!AJ122+Data!AK122+Data!AL122+Data!T123+Data!U123+Data!V123+Data!W123+Data!X123+Data!Y123+Data!Z123+Data!AA123+Data!AB123+Data!AC123+Data!AD123+Data!AE123+Data!AF123+Data!AG123+Data!AH123+Data!AI123+Data!AJ123+Data!AK123+Data!AL123+Data!T124+Data!U124+Data!V124+Data!W124+Data!X124+Data!Y124+Data!Z124+Data!AA124+Data!AB124+Data!AC124+Data!AD124+Data!AE124+Data!AF124+Data!AG124+Data!AH124+Data!AI124+Data!AJ124+Data!AK124+Data!AL124+Data!T125+Data!U125+Data!V125+Data!W125+Data!X125+Data!Y125+Data!Z125+Data!AA125+Data!AB125+Data!AC125+Data!AD125+Data!AE125+Data!AF125+Data!AG125+Data!AH125+Data!AI125+Data!AJ125+Data!AK125+Data!AL125+Data!T126+Data!U126+Data!V126+Data!W126+Data!X126+Data!Y126+Data!Z126+Data!AA126+Data!AB126+Data!AC126+Data!AD126+Data!AE126+Data!AF126+Data!AG126+Data!AH126+Data!AI126+Data!AJ126+Data!AK126+Data!AL126+Data!T127+Data!U127+Data!V127+Data!W127+Data!X127+Data!Y127+Data!Z127+Data!AA127+Data!AB127+Data!AC127+Data!AD127+Data!AE127+Data!AF127+Data!AG127+Data!AH127+Data!AI127+Data!AJ127+Data!AK127+Data!AL127+Data!T128+Data!U128+Data!V128+Data!W128+Data!X128+Data!Y128+Data!Z128+Data!AA128+Data!AB128+Data!AC128+Data!AD128+Data!AE128+Data!AF128+Data!AG128+Data!AH128+Data!AI128+Data!AJ128+Data!AK128+Data!AL128+Data!T129+Data!U129+Data!V129+Data!W129+Data!X129+Data!Y129+Data!Z129+Data!AA129+Data!AB129+Data!AC129+Data!AD129+Data!AE129+Data!AF129+Data!AG129+Data!AH129+Data!AI129+Data!AJ129+Data!AK129+Data!AL129)/(Data!AP118+Data!AP119+Data!AP120+Data!AP121+Data!AP122+Data!AP123+Data!AP124+Data!AP125+Data!AP126+Data!AP127+Data!AP128+Data!AP129)</f>
        <v>0.142811687401827</v>
      </c>
      <c r="N129" s="18" t="n">
        <f aca="false">(Data!T118+Data!U118+Data!V118+Data!W118+Data!T119+Data!U119+Data!V119+Data!W119+Data!T120+Data!U120+Data!V120+Data!W120+Data!T121+Data!U121+Data!V121+Data!W121+Data!T122+Data!U122+Data!V122+Data!W122+Data!T123+Data!U123+Data!V123+Data!W123+Data!T124+Data!U124+Data!V124+Data!W124+Data!T125+Data!U125+Data!V125+Data!W125+Data!T126+Data!U126+Data!V126+Data!W126+Data!T127+Data!U127+Data!V127+Data!W127+Data!T128+Data!U128+Data!V128+Data!W128+Data!T129+Data!U129+Data!V129+Data!W129)/(Data!AP118+Data!AP119+Data!AP120+Data!AP121+Data!AP122+Data!AP123+Data!AP124+Data!AP125+Data!AP126+Data!AP127+Data!AP128+Data!AP129)</f>
        <v>0.0858443839849434</v>
      </c>
      <c r="O129" s="18" t="n">
        <f aca="false">(Data!T118+Data!T119+Data!T120+Data!T121+Data!T122+Data!T123+Data!T124+Data!T125+Data!T126+Data!T127+Data!T128+Data!T129)/(Data!AP118+Data!AP119+Data!AP120+Data!AP121+Data!AP122+Data!AP123+Data!AP124+Data!AP125+Data!AP126+Data!AP127+Data!AP128+Data!AP129)</f>
        <v>0.0615745873378477</v>
      </c>
      <c r="P129" s="18" t="n">
        <f aca="false">(Data!U118+Data!U119+Data!U120+Data!U121+Data!U122+Data!U123+Data!U124+Data!U125+Data!U126+Data!U127+Data!U128+Data!U129)/(Data!AP118+Data!AP119+Data!AP120+Data!AP121+Data!AP122+Data!AP123+Data!AP124+Data!AP125+Data!AP126+Data!AP127+Data!AP128+Data!AP129)</f>
        <v>0.0103851818070274</v>
      </c>
      <c r="Q129" s="18" t="n">
        <f aca="false">(Data!V118+Data!V119+Data!V120+Data!V121+Data!V122+Data!V123+Data!V124+Data!V125+Data!V126+Data!V127+Data!V128+Data!V129)/(Data!AP118+Data!AP119+Data!AP120+Data!AP121+Data!AP122+Data!AP123+Data!AP124+Data!AP125+Data!AP126+Data!AP127+Data!AP128+Data!AP129)</f>
        <v>0.00507243080296799</v>
      </c>
      <c r="R129" s="18" t="n">
        <f aca="false">(Data!W118+Data!W119+Data!W120+Data!W121+Data!W122+Data!W123+Data!W124+Data!W125+Data!W126+Data!W127+Data!W128+Data!W129)/(Data!AP118+Data!AP119+Data!AP120+Data!AP121+Data!AP122+Data!AP123+Data!AP124+Data!AP125+Data!AP126+Data!AP127+Data!AP128+Data!AP129)</f>
        <v>0.00881218403710029</v>
      </c>
      <c r="S129" s="18" t="n">
        <f aca="false">(Data!X118+Data!X119+Data!X120+Data!X121+Data!X122+Data!X123+Data!X124+Data!X125+Data!X126+Data!X127+Data!X128+Data!X129)/(Data!AP118+Data!AP119+Data!AP120+Data!AP121+Data!AP122+Data!AP123+Data!AP124+Data!AP125+Data!AP126+Data!AP127+Data!AP128+Data!AP129)</f>
        <v>0.00952726831764909</v>
      </c>
      <c r="T129" s="18" t="n">
        <f aca="false">(Data!Y118+Data!Z118+Data!AA118+Data!Y119+Data!Z119+Data!AA119+Data!Y120+Data!Z120+Data!AA120+Data!Y121+Data!Z121+Data!AA121+Data!Y122+Data!Z122+Data!AA122+Data!Y123+Data!Z123+Data!AA123+Data!Y124+Data!Z124+Data!AA124+Data!Y125+Data!Z125+Data!AA125+Data!Y126+Data!Z126+Data!AA126+Data!Y127+Data!Z127+Data!AA127+Data!Y128+Data!Z128+Data!AA128+Data!Y129+Data!Z129+Data!AA129)/(Data!AP118+Data!AP119+Data!AP120+Data!AP121+Data!AP122+Data!AP123+Data!AP124+Data!AP125+Data!AP126+Data!AP127+Data!AP128+Data!AP129)</f>
        <v>0.010069247433441</v>
      </c>
      <c r="U129" s="18" t="n">
        <f aca="false">(Data!Y118+Data!Y119+Data!Y120+Data!Y121+Data!Y122+Data!Y123+Data!Y124+Data!Y125+Data!Y126+Data!Y127+Data!Y128+Data!Y129)/(Data!AP118+Data!AP119+Data!AP120+Data!AP121+Data!AP122+Data!AP123+Data!AP124+Data!AP125+Data!AP126+Data!AP127+Data!AP128+Data!AP129)</f>
        <v>0.00708051677476956</v>
      </c>
      <c r="V129" s="18" t="n">
        <f aca="false">(Data!Z118+Data!Z119+Data!Z120+Data!Z121+Data!Z122+Data!Z123+Data!Z124+Data!Z125+Data!Z126+Data!Z127+Data!Z128+Data!Z129)/(Data!AP118+Data!AP119+Data!AP120+Data!AP121+Data!AP122+Data!AP123+Data!AP124+Data!AP125+Data!AP126+Data!AP127+Data!AP128+Data!AP129)</f>
        <v>0.00294344730972972</v>
      </c>
      <c r="W129" s="18" t="n">
        <f aca="false">(Data!AB118+Data!AB119+Data!AB120+Data!AB121+Data!AB122+Data!AB123+Data!AB124+Data!AB125+Data!AB126+Data!AB127+Data!AB128+Data!AB129)/(Data!AP118+Data!AP119+Data!AP120+Data!AP121+Data!AP122+Data!AP123+Data!AP124+Data!AP125+Data!AP126+Data!AP127+Data!AP128+Data!AP129)</f>
        <v>0.0188356016400464</v>
      </c>
      <c r="X129" s="18" t="n">
        <f aca="false">(Data!AC118+Data!AC119+Data!AC120+Data!AC121+Data!AC122+Data!AC123+Data!AC124+Data!AC125+Data!AC126+Data!AC127+Data!AC128+Data!AC129)/(Data!AP118+Data!AP119+Data!AP120+Data!AP121+Data!AP122+Data!AP123+Data!AP124+Data!AP125+Data!AP126+Data!AP127+Data!AP128+Data!AP129)</f>
        <v>0.00548156552047715</v>
      </c>
      <c r="Y129" s="18" t="n">
        <f aca="false">(Data!AD118+Data!AE118+Data!AF118+Data!AG118+Data!AH118+Data!AD119+Data!AE119+Data!AF119+Data!AG119+Data!AH119+Data!AD120+Data!AE120+Data!AF120+Data!AG120+Data!AH120+Data!AD121+Data!AE121+Data!AF121+Data!AG121+Data!AH121+Data!AD122+Data!AE122+Data!AF122+Data!AG122+Data!AH122+Data!AD123+Data!AE123+Data!AF123+Data!AG123+Data!AH123+Data!AD124+Data!AE124+Data!AF124+Data!AG124+Data!AH124+Data!AD125+Data!AE125+Data!AF125+Data!AG125+Data!AH125+Data!AD126+Data!AE126+Data!AF126+Data!AG126+Data!AH126+Data!AD127+Data!AE127+Data!AF127+Data!AG127+Data!AH127+Data!AD128+Data!AE128+Data!AF128+Data!AG128+Data!AH128+Data!AD129+Data!AE129+Data!AF129+Data!AG129+Data!AH129)/(Data!AP118+Data!AP119+Data!AP120+Data!AP121+Data!AP122+Data!AP123+Data!AP124+Data!AP125+Data!AP126+Data!AP127+Data!AP128+Data!AP129)</f>
        <v>0.00256083231048437</v>
      </c>
      <c r="Z129" s="18" t="n">
        <f aca="false">(Data!AI118+Data!AI119+Data!AI120+Data!AI121+Data!AI122+Data!AI123+Data!AI124+Data!AI125+Data!AI126+Data!AI127+Data!AI128+Data!AI129)/(Data!AP118+Data!AP119+Data!AP120+Data!AP121+Data!AP122+Data!AP123+Data!AP124+Data!AP125+Data!AP126+Data!AP127+Data!AP128+Data!AP129)</f>
        <v>0.00498822874967967</v>
      </c>
      <c r="AA129" s="18" t="n">
        <f aca="false">(Data!AJ118+Data!AJ119+Data!AJ120+Data!AJ121+Data!AJ122+Data!AJ123+Data!AJ124+Data!AJ125+Data!AJ126+Data!AJ127+Data!AJ128+Data!AJ129)/(Data!AP118+Data!AP119+Data!AP120+Data!AP121+Data!AP122+Data!AP123+Data!AP124+Data!AP125+Data!AP126+Data!AP127+Data!AP128+Data!AP129)</f>
        <v>0</v>
      </c>
      <c r="AB129" s="18" t="n">
        <f aca="false">(Data!AK118+Data!AK119+Data!AK120+Data!AK121+Data!AK122+Data!AK123+Data!AK124+Data!AK125+Data!AK126+Data!AK127+Data!AK128+Data!AK129)/(Data!AP118+Data!AP119+Data!AP120+Data!AP121+Data!AP122+Data!AP123+Data!AP124+Data!AP125+Data!AP126+Data!AP127+Data!AP128+Data!AP129)</f>
        <v>0.00215925835181321</v>
      </c>
      <c r="AC129" s="18" t="n">
        <f aca="false">(Data!AL118+Data!AL119+Data!AL120+Data!AL121+Data!AL122+Data!AL123+Data!AL124+Data!AL125+Data!AL126+Data!AL127+Data!AL128+Data!AL129)/(Data!AP118+Data!AP119+Data!AP120+Data!AP121+Data!AP122+Data!AP123+Data!AP124+Data!AP125+Data!AP126+Data!AP127+Data!AP128+Data!AP129)</f>
        <v>0.00334530109329256</v>
      </c>
      <c r="AD129" s="17" t="n">
        <f aca="false">(Data!AM118+Data!AM119+Data!AM120+Data!AM121+Data!AM122+Data!AM123+Data!AM124+Data!AM125+Data!AM126+Data!AM127+Data!AM128+Data!AM129)/(Data!AP118+Data!AP119+Data!AP120+Data!AP121+Data!AP122+Data!AP123+Data!AP124+Data!AP125+Data!AP126+Data!AP127+Data!AP128+Data!AP129)</f>
        <v>0.0141325385967458</v>
      </c>
      <c r="AE129" s="18" t="n">
        <f aca="false">(Data!AN118+Data!AN119+Data!AN120+Data!AN121+Data!AN122+Data!AN123+Data!AN124+Data!AN125+Data!AN126+Data!AN127+Data!AN128+Data!AN129)/(Data!AP118+Data!AP119+Data!AP120+Data!AP121+Data!AP122+Data!AP123+Data!AP124+Data!AP125+Data!AP126+Data!AP127+Data!AP128+Data!AP129)</f>
        <v>0.0120708348836404</v>
      </c>
      <c r="AF129" s="17" t="n">
        <f aca="false">(Data!AO118+Data!AO119+Data!AO120+Data!AO121+Data!AO122+Data!AO123+Data!AO124+Data!AO125+Data!AO126+Data!AO127+Data!AO128+Data!AO129)/(Data!AP118+Data!AP119+Data!AP120+Data!AP121+Data!AP122+Data!AP123+Data!AP124+Data!AP125+Data!AP126+Data!AP127+Data!AP128+Data!AP129)</f>
        <v>0.00206170590781037</v>
      </c>
    </row>
    <row r="130" customFormat="false" ht="15" hidden="false" customHeight="false" outlineLevel="0" collapsed="false">
      <c r="B130" s="14" t="str">
        <f aca="false">Data!B130</f>
        <v>2026-04</v>
      </c>
      <c r="C130" s="17" t="n">
        <f aca="false">(Data!D119+Data!E119+Data!F119+Data!G119+Data!H119+Data!I119+Data!J119+Data!K119+Data!L119+Data!M119+Data!N119+Data!O119+Data!P119+Data!Q119+Data!R119+Data!S119+Data!D120+Data!E120+Data!F120+Data!G120+Data!H120+Data!I120+Data!J120+Data!K120+Data!L120+Data!M120+Data!N120+Data!O120+Data!P120+Data!Q120+Data!R120+Data!S120+Data!D121+Data!E121+Data!F121+Data!G121+Data!H121+Data!I121+Data!J121+Data!K121+Data!L121+Data!M121+Data!N121+Data!O121+Data!P121+Data!Q121+Data!R121+Data!S121+Data!D122+Data!E122+Data!F122+Data!G122+Data!H122+Data!I122+Data!J122+Data!K122+Data!L122+Data!M122+Data!N122+Data!O122+Data!P122+Data!Q122+Data!R122+Data!S122+Data!D123+Data!E123+Data!F123+Data!G123+Data!H123+Data!I123+Data!J123+Data!K123+Data!L123+Data!M123+Data!N123+Data!O123+Data!P123+Data!Q123+Data!R123+Data!S123+Data!D124+Data!E124+Data!F124+Data!G124+Data!H124+Data!I124+Data!J124+Data!K124+Data!L124+Data!M124+Data!N124+Data!O124+Data!P124+Data!Q124+Data!R124+Data!S124+Data!D125+Data!E125+Data!F125+Data!G125+Data!H125+Data!I125+Data!J125+Data!K125+Data!L125+Data!M125+Data!N125+Data!O125+Data!P125+Data!Q125+Data!R125+Data!S125+Data!D126+Data!E126+Data!F126+Data!G126+Data!H126+Data!I126+Data!J126+Data!K126+Data!L126+Data!M126+Data!N126+Data!O126+Data!P126+Data!Q126+Data!R126+Data!S126+Data!D127+Data!E127+Data!F127+Data!G127+Data!H127+Data!I127+Data!J127+Data!K127+Data!L127+Data!M127+Data!N127+Data!O127+Data!P127+Data!Q127+Data!R127+Data!S127+Data!D128+Data!E128+Data!F128+Data!G128+Data!H128+Data!I128+Data!J128+Data!K128+Data!L128+Data!M128+Data!N128+Data!O128+Data!P128+Data!Q128+Data!R128+Data!S128+Data!D129+Data!E129+Data!F129+Data!G129+Data!H129+Data!I129+Data!J129+Data!K129+Data!L129+Data!M129+Data!N129+Data!O129+Data!P129+Data!Q129+Data!R129+Data!S129+Data!D130+Data!E130+Data!F130+Data!G130+Data!H130+Data!I130+Data!J130+Data!K130+Data!L130+Data!M130+Data!N130+Data!O130+Data!P130+Data!Q130+Data!R130+Data!S130)/(Data!AP119+Data!AP120+Data!AP121+Data!AP122+Data!AP123+Data!AP124+Data!AP125+Data!AP126+Data!AP127+Data!AP128+Data!AP129+Data!AP130)</f>
        <v>0.156350580320182</v>
      </c>
      <c r="D130" s="18" t="n">
        <f aca="false">(Data!D119+Data!E119+Data!G119+Data!H119+Data!I119+Data!J119+Data!K119+Data!L119+Data!M119+Data!D120+Data!E120+Data!G120+Data!H120+Data!I120+Data!J120+Data!K120+Data!L120+Data!M120+Data!D121+Data!E121+Data!G121+Data!H121+Data!I121+Data!J121+Data!K121+Data!L121+Data!M121+Data!D122+Data!E122+Data!G122+Data!H122+Data!I122+Data!J122+Data!K122+Data!L122+Data!M122+Data!D123+Data!E123+Data!G123+Data!H123+Data!I123+Data!J123+Data!K123+Data!L123+Data!M123+Data!D124+Data!E124+Data!G124+Data!H124+Data!I124+Data!J124+Data!K124+Data!L124+Data!M124+Data!D125+Data!E125+Data!G125+Data!H125+Data!I125+Data!J125+Data!K125+Data!L125+Data!M125+Data!D126+Data!E126+Data!G126+Data!H126+Data!I126+Data!J126+Data!K126+Data!L126+Data!M126+Data!D127+Data!E127+Data!G127+Data!H127+Data!I127+Data!J127+Data!K127+Data!L127+Data!M127+Data!D128+Data!E128+Data!G128+Data!H128+Data!I128+Data!J128+Data!K128+Data!L128+Data!M128+Data!D129+Data!E129+Data!G129+Data!H129+Data!I129+Data!J129+Data!K129+Data!L129+Data!M129+Data!D130+Data!E130+Data!G130+Data!H130+Data!I130+Data!J130+Data!K130+Data!L130+Data!M130)/(Data!AP119+Data!AP120+Data!AP121+Data!AP122+Data!AP123+Data!AP124+Data!AP125+Data!AP126+Data!AP127+Data!AP128+Data!AP129+Data!AP130)</f>
        <v>0.0875239803745422</v>
      </c>
      <c r="E130" s="18" t="n">
        <f aca="false">(Data!D119+Data!D120+Data!D121+Data!D122+Data!D123+Data!D124+Data!D125+Data!D126+Data!D127+Data!D128+Data!D129+Data!D130)/(Data!AP119+Data!AP120+Data!AP121+Data!AP122+Data!AP123+Data!AP124+Data!AP125+Data!AP126+Data!AP127+Data!AP128+Data!AP129+Data!AP130)</f>
        <v>0.0320234454371351</v>
      </c>
      <c r="F130" s="18" t="n">
        <f aca="false">(Data!E119+Data!E120+Data!E121+Data!E122+Data!E123+Data!E124+Data!E125+Data!E126+Data!E127+Data!E128+Data!E129+Data!E130)/(Data!AP119+Data!AP120+Data!AP121+Data!AP122+Data!AP123+Data!AP124+Data!AP125+Data!AP126+Data!AP127+Data!AP128+Data!AP129+Data!AP130)</f>
        <v>0.0141023624502958</v>
      </c>
      <c r="G130" s="18" t="n">
        <f aca="false">(Data!K119+Data!K120+Data!K121+Data!K122+Data!K123+Data!K124+Data!K125+Data!K126+Data!K127+Data!K128+Data!K129+Data!K130)/(Data!AP119+Data!AP120+Data!AP121+Data!AP122+Data!AP123+Data!AP124+Data!AP125+Data!AP126+Data!AP127+Data!AP128+Data!AP129+Data!AP130)</f>
        <v>0.00713124496262731</v>
      </c>
      <c r="H130" s="18" t="n">
        <f aca="false">(Data!L119+Data!L120+Data!L121+Data!L122+Data!L123+Data!L124+Data!L125+Data!L126+Data!L127+Data!L128+Data!L129+Data!L130)/(Data!AP119+Data!AP120+Data!AP121+Data!AP122+Data!AP123+Data!AP124+Data!AP125+Data!AP126+Data!AP127+Data!AP128+Data!AP129+Data!AP130)</f>
        <v>0.00604390325840851</v>
      </c>
      <c r="I130" s="18" t="n">
        <f aca="false">(Data!G119+Data!G120+Data!G121+Data!G122+Data!G123+Data!G124+Data!G125+Data!G126+Data!G127+Data!G128+Data!G129+Data!G130)/(Data!AP119+Data!AP120+Data!AP121+Data!AP122+Data!AP123+Data!AP124+Data!AP125+Data!AP126+Data!AP127+Data!AP128+Data!AP129+Data!AP130)</f>
        <v>0.0160578237841032</v>
      </c>
      <c r="J130" s="18" t="n">
        <f aca="false">(Data!H119+Data!I119+Data!J119+Data!M119+Data!H120+Data!I120+Data!J120+Data!M120+Data!H121+Data!I121+Data!J121+Data!M121+Data!H122+Data!I122+Data!J122+Data!M122+Data!H123+Data!I123+Data!J123+Data!M123+Data!H124+Data!I124+Data!J124+Data!M124+Data!H125+Data!I125+Data!J125+Data!M125+Data!H126+Data!I126+Data!J126+Data!M126+Data!H127+Data!I127+Data!J127+Data!M127+Data!H128+Data!I128+Data!J128+Data!M128+Data!H129+Data!I129+Data!J129+Data!M129+Data!H130+Data!I130+Data!J130+Data!M130)/(Data!AP119+Data!AP120+Data!AP121+Data!AP122+Data!AP123+Data!AP124+Data!AP125+Data!AP126+Data!AP127+Data!AP128+Data!AP129+Data!AP130)</f>
        <v>0.0121652004819722</v>
      </c>
      <c r="K130" s="18" t="n">
        <f aca="false">(Data!F119+Data!F120+Data!F121+Data!F122+Data!F123+Data!F124+Data!F125+Data!F126+Data!F127+Data!F128+Data!F129+Data!F130)/(Data!AP119+Data!AP120+Data!AP121+Data!AP122+Data!AP123+Data!AP124+Data!AP125+Data!AP126+Data!AP127+Data!AP128+Data!AP129+Data!AP130)</f>
        <v>0.0547620948561984</v>
      </c>
      <c r="L130" s="18" t="n">
        <f aca="false">(Data!N119+Data!O119+Data!P119+Data!Q119+Data!R119+Data!S119+Data!N120+Data!O120+Data!P120+Data!Q120+Data!R120+Data!S120+Data!N121+Data!O121+Data!P121+Data!Q121+Data!R121+Data!S121+Data!N122+Data!O122+Data!P122+Data!Q122+Data!R122+Data!S122+Data!N123+Data!O123+Data!P123+Data!Q123+Data!R123+Data!S123+Data!N124+Data!O124+Data!P124+Data!Q124+Data!R124+Data!S124+Data!N125+Data!O125+Data!P125+Data!Q125+Data!R125+Data!S125+Data!N126+Data!O126+Data!P126+Data!Q126+Data!R126+Data!S126+Data!N127+Data!O127+Data!P127+Data!Q127+Data!R127+Data!S127+Data!N128+Data!O128+Data!P128+Data!Q128+Data!R128+Data!S128+Data!N129+Data!O129+Data!P129+Data!Q129+Data!R129+Data!S129+Data!N130+Data!O130+Data!P130+Data!Q130+Data!R130+Data!S130)/(Data!AP119+Data!AP120+Data!AP121+Data!AP122+Data!AP123+Data!AP124+Data!AP125+Data!AP126+Data!AP127+Data!AP128+Data!AP129+Data!AP130)</f>
        <v>0.0140645050894414</v>
      </c>
      <c r="M130" s="17" t="n">
        <f aca="false">(Data!T119+Data!U119+Data!V119+Data!W119+Data!X119+Data!Y119+Data!Z119+Data!AA119+Data!AB119+Data!AC119+Data!AD119+Data!AE119+Data!AF119+Data!AG119+Data!AH119+Data!AI119+Data!AJ119+Data!AK119+Data!AL119+Data!T120+Data!U120+Data!V120+Data!W120+Data!X120+Data!Y120+Data!Z120+Data!AA120+Data!AB120+Data!AC120+Data!AD120+Data!AE120+Data!AF120+Data!AG120+Data!AH120+Data!AI120+Data!AJ120+Data!AK120+Data!AL120+Data!T121+Data!U121+Data!V121+Data!W121+Data!X121+Data!Y121+Data!Z121+Data!AA121+Data!AB121+Data!AC121+Data!AD121+Data!AE121+Data!AF121+Data!AG121+Data!AH121+Data!AI121+Data!AJ121+Data!AK121+Data!AL121+Data!T122+Data!U122+Data!V122+Data!W122+Data!X122+Data!Y122+Data!Z122+Data!AA122+Data!AB122+Data!AC122+Data!AD122+Data!AE122+Data!AF122+Data!AG122+Data!AH122+Data!AI122+Data!AJ122+Data!AK122+Data!AL122+Data!T123+Data!U123+Data!V123+Data!W123+Data!X123+Data!Y123+Data!Z123+Data!AA123+Data!AB123+Data!AC123+Data!AD123+Data!AE123+Data!AF123+Data!AG123+Data!AH123+Data!AI123+Data!AJ123+Data!AK123+Data!AL123+Data!T124+Data!U124+Data!V124+Data!W124+Data!X124+Data!Y124+Data!Z124+Data!AA124+Data!AB124+Data!AC124+Data!AD124+Data!AE124+Data!AF124+Data!AG124+Data!AH124+Data!AI124+Data!AJ124+Data!AK124+Data!AL124+Data!T125+Data!U125+Data!V125+Data!W125+Data!X125+Data!Y125+Data!Z125+Data!AA125+Data!AB125+Data!AC125+Data!AD125+Data!AE125+Data!AF125+Data!AG125+Data!AH125+Data!AI125+Data!AJ125+Data!AK125+Data!AL125+Data!T126+Data!U126+Data!V126+Data!W126+Data!X126+Data!Y126+Data!Z126+Data!AA126+Data!AB126+Data!AC126+Data!AD126+Data!AE126+Data!AF126+Data!AG126+Data!AH126+Data!AI126+Data!AJ126+Data!AK126+Data!AL126+Data!T127+Data!U127+Data!V127+Data!W127+Data!X127+Data!Y127+Data!Z127+Data!AA127+Data!AB127+Data!AC127+Data!AD127+Data!AE127+Data!AF127+Data!AG127+Data!AH127+Data!AI127+Data!AJ127+Data!AK127+Data!AL127+Data!T128+Data!U128+Data!V128+Data!W128+Data!X128+Data!Y128+Data!Z128+Data!AA128+Data!AB128+Data!AC128+Data!AD128+Data!AE128+Data!AF128+Data!AG128+Data!AH128+Data!AI128+Data!AJ128+Data!AK128+Data!AL128+Data!T129+Data!U129+Data!V129+Data!W129+Data!X129+Data!Y129+Data!Z129+Data!AA129+Data!AB129+Data!AC129+Data!AD129+Data!AE129+Data!AF129+Data!AG129+Data!AH129+Data!AI129+Data!AJ129+Data!AK129+Data!AL129+Data!T130+Data!U130+Data!V130+Data!W130+Data!X130+Data!Y130+Data!Z130+Data!AA130+Data!AB130+Data!AC130+Data!AD130+Data!AE130+Data!AF130+Data!AG130+Data!AH130+Data!AI130+Data!AJ130+Data!AK130+Data!AL130)/(Data!AP119+Data!AP120+Data!AP121+Data!AP122+Data!AP123+Data!AP124+Data!AP125+Data!AP126+Data!AP127+Data!AP128+Data!AP129+Data!AP130)</f>
        <v>0.142794993021305</v>
      </c>
      <c r="N130" s="18" t="n">
        <f aca="false">(Data!T119+Data!U119+Data!V119+Data!W119+Data!T120+Data!U120+Data!V120+Data!W120+Data!T121+Data!U121+Data!V121+Data!W121+Data!T122+Data!U122+Data!V122+Data!W122+Data!T123+Data!U123+Data!V123+Data!W123+Data!T124+Data!U124+Data!V124+Data!W124+Data!T125+Data!U125+Data!V125+Data!W125+Data!T126+Data!U126+Data!V126+Data!W126+Data!T127+Data!U127+Data!V127+Data!W127+Data!T128+Data!U128+Data!V128+Data!W128+Data!T129+Data!U129+Data!V129+Data!W129+Data!T130+Data!U130+Data!V130+Data!W130)/(Data!AP119+Data!AP120+Data!AP121+Data!AP122+Data!AP123+Data!AP124+Data!AP125+Data!AP126+Data!AP127+Data!AP128+Data!AP129+Data!AP130)</f>
        <v>0.0857676790258814</v>
      </c>
      <c r="O130" s="18" t="n">
        <f aca="false">(Data!T119+Data!T120+Data!T121+Data!T122+Data!T123+Data!T124+Data!T125+Data!T126+Data!T127+Data!T128+Data!T129+Data!T130)/(Data!AP119+Data!AP120+Data!AP121+Data!AP122+Data!AP123+Data!AP124+Data!AP125+Data!AP126+Data!AP127+Data!AP128+Data!AP129+Data!AP130)</f>
        <v>0.0615413922258678</v>
      </c>
      <c r="P130" s="18" t="n">
        <f aca="false">(Data!U119+Data!U120+Data!U121+Data!U122+Data!U123+Data!U124+Data!U125+Data!U126+Data!U127+Data!U128+Data!U129+Data!U130)/(Data!AP119+Data!AP120+Data!AP121+Data!AP122+Data!AP123+Data!AP124+Data!AP125+Data!AP126+Data!AP127+Data!AP128+Data!AP129+Data!AP130)</f>
        <v>0.010386984417693</v>
      </c>
      <c r="Q130" s="18" t="n">
        <f aca="false">(Data!V119+Data!V120+Data!V121+Data!V122+Data!V123+Data!V124+Data!V125+Data!V126+Data!V127+Data!V128+Data!V129+Data!V130)/(Data!AP119+Data!AP120+Data!AP121+Data!AP122+Data!AP123+Data!AP124+Data!AP125+Data!AP126+Data!AP127+Data!AP128+Data!AP129+Data!AP130)</f>
        <v>0.00505787162772595</v>
      </c>
      <c r="R130" s="18" t="n">
        <f aca="false">(Data!W119+Data!W120+Data!W121+Data!W122+Data!W123+Data!W124+Data!W125+Data!W126+Data!W127+Data!W128+Data!W129+Data!W130)/(Data!AP119+Data!AP120+Data!AP121+Data!AP122+Data!AP123+Data!AP124+Data!AP125+Data!AP126+Data!AP127+Data!AP128+Data!AP129+Data!AP130)</f>
        <v>0.00878143075459464</v>
      </c>
      <c r="S130" s="18" t="n">
        <f aca="false">(Data!X119+Data!X120+Data!X121+Data!X122+Data!X123+Data!X124+Data!X125+Data!X126+Data!X127+Data!X128+Data!X129+Data!X130)/(Data!AP119+Data!AP120+Data!AP121+Data!AP122+Data!AP123+Data!AP124+Data!AP125+Data!AP126+Data!AP127+Data!AP128+Data!AP129+Data!AP130)</f>
        <v>0.00936206155160588</v>
      </c>
      <c r="T130" s="18" t="n">
        <f aca="false">(Data!Y119+Data!Z119+Data!AA119+Data!Y120+Data!Z120+Data!AA120+Data!Y121+Data!Z121+Data!AA121+Data!Y122+Data!Z122+Data!AA122+Data!Y123+Data!Z123+Data!AA123+Data!Y124+Data!Z124+Data!AA124+Data!Y125+Data!Z125+Data!AA125+Data!Y126+Data!Z126+Data!AA126+Data!Y127+Data!Z127+Data!AA127+Data!Y128+Data!Z128+Data!AA128+Data!Y129+Data!Z129+Data!AA129+Data!Y130+Data!Z130+Data!AA130)/(Data!AP119+Data!AP120+Data!AP121+Data!AP122+Data!AP123+Data!AP124+Data!AP125+Data!AP126+Data!AP127+Data!AP128+Data!AP129+Data!AP130)</f>
        <v>0.0105718681578877</v>
      </c>
      <c r="U130" s="18" t="n">
        <f aca="false">(Data!Y119+Data!Y120+Data!Y121+Data!Y122+Data!Y123+Data!Y124+Data!Y125+Data!Y126+Data!Y127+Data!Y128+Data!Y129+Data!Y130)/(Data!AP119+Data!AP120+Data!AP121+Data!AP122+Data!AP123+Data!AP124+Data!AP125+Data!AP126+Data!AP127+Data!AP128+Data!AP129+Data!AP130)</f>
        <v>0.00752806870453431</v>
      </c>
      <c r="V130" s="18" t="n">
        <f aca="false">(Data!Z119+Data!Z120+Data!Z121+Data!Z122+Data!Z123+Data!Z124+Data!Z125+Data!Z126+Data!Z127+Data!Z128+Data!Z129+Data!Z130)/(Data!AP119+Data!AP120+Data!AP121+Data!AP122+Data!AP123+Data!AP124+Data!AP125+Data!AP126+Data!AP127+Data!AP128+Data!AP129+Data!AP130)</f>
        <v>0.00300273237223422</v>
      </c>
      <c r="W130" s="18" t="n">
        <f aca="false">(Data!AB119+Data!AB120+Data!AB121+Data!AB122+Data!AB123+Data!AB124+Data!AB125+Data!AB126+Data!AB127+Data!AB128+Data!AB129+Data!AB130)/(Data!AP119+Data!AP120+Data!AP121+Data!AP122+Data!AP123+Data!AP124+Data!AP125+Data!AP126+Data!AP127+Data!AP128+Data!AP129+Data!AP130)</f>
        <v>0.0187513548879449</v>
      </c>
      <c r="X130" s="18" t="n">
        <f aca="false">(Data!AC119+Data!AC120+Data!AC121+Data!AC122+Data!AC123+Data!AC124+Data!AC125+Data!AC126+Data!AC127+Data!AC128+Data!AC129+Data!AC130)/(Data!AP119+Data!AP120+Data!AP121+Data!AP122+Data!AP123+Data!AP124+Data!AP125+Data!AP126+Data!AP127+Data!AP128+Data!AP129+Data!AP130)</f>
        <v>0.0055002928761874</v>
      </c>
      <c r="Y130" s="18" t="n">
        <f aca="false">(Data!AD119+Data!AE119+Data!AF119+Data!AG119+Data!AH119+Data!AD120+Data!AE120+Data!AF120+Data!AG120+Data!AH120+Data!AD121+Data!AE121+Data!AF121+Data!AG121+Data!AH121+Data!AD122+Data!AE122+Data!AF122+Data!AG122+Data!AH122+Data!AD123+Data!AE123+Data!AF123+Data!AG123+Data!AH123+Data!AD124+Data!AE124+Data!AF124+Data!AG124+Data!AH124+Data!AD125+Data!AE125+Data!AF125+Data!AG125+Data!AH125+Data!AD126+Data!AE126+Data!AF126+Data!AG126+Data!AH126+Data!AD127+Data!AE127+Data!AF127+Data!AG127+Data!AH127+Data!AD128+Data!AE128+Data!AF128+Data!AG128+Data!AH128+Data!AD129+Data!AE129+Data!AF129+Data!AG129+Data!AH129+Data!AD130+Data!AE130+Data!AF130+Data!AG130+Data!AH130)/(Data!AP119+Data!AP120+Data!AP121+Data!AP122+Data!AP123+Data!AP124+Data!AP125+Data!AP126+Data!AP127+Data!AP128+Data!AP129+Data!AP130)</f>
        <v>0.00239022591712254</v>
      </c>
      <c r="Z130" s="18" t="n">
        <f aca="false">(Data!AI119+Data!AI120+Data!AI121+Data!AI122+Data!AI123+Data!AI124+Data!AI125+Data!AI126+Data!AI127+Data!AI128+Data!AI129+Data!AI130)/(Data!AP119+Data!AP120+Data!AP121+Data!AP122+Data!AP123+Data!AP124+Data!AP125+Data!AP126+Data!AP127+Data!AP128+Data!AP129+Data!AP130)</f>
        <v>0.00465345008516572</v>
      </c>
      <c r="AA130" s="18" t="n">
        <f aca="false">(Data!AJ119+Data!AJ120+Data!AJ121+Data!AJ122+Data!AJ123+Data!AJ124+Data!AJ125+Data!AJ126+Data!AJ127+Data!AJ128+Data!AJ129+Data!AJ130)/(Data!AP119+Data!AP120+Data!AP121+Data!AP122+Data!AP123+Data!AP124+Data!AP125+Data!AP126+Data!AP127+Data!AP128+Data!AP129+Data!AP130)</f>
        <v>0</v>
      </c>
      <c r="AB130" s="18" t="n">
        <f aca="false">(Data!AK119+Data!AK120+Data!AK121+Data!AK122+Data!AK123+Data!AK124+Data!AK125+Data!AK126+Data!AK127+Data!AK128+Data!AK129+Data!AK130)/(Data!AP119+Data!AP120+Data!AP121+Data!AP122+Data!AP123+Data!AP124+Data!AP125+Data!AP126+Data!AP127+Data!AP128+Data!AP129+Data!AP130)</f>
        <v>0.00228683097027</v>
      </c>
      <c r="AC130" s="18" t="n">
        <f aca="false">(Data!AL119+Data!AL120+Data!AL121+Data!AL122+Data!AL123+Data!AL124+Data!AL125+Data!AL126+Data!AL127+Data!AL128+Data!AL129+Data!AL130)/(Data!AP119+Data!AP120+Data!AP121+Data!AP122+Data!AP123+Data!AP124+Data!AP125+Data!AP126+Data!AP127+Data!AP128+Data!AP129+Data!AP130)</f>
        <v>0.00351122954923896</v>
      </c>
      <c r="AD130" s="17" t="n">
        <f aca="false">(Data!AM119+Data!AM120+Data!AM121+Data!AM122+Data!AM123+Data!AM124+Data!AM125+Data!AM126+Data!AM127+Data!AM128+Data!AM129+Data!AM130)/(Data!AP119+Data!AP120+Data!AP121+Data!AP122+Data!AP123+Data!AP124+Data!AP125+Data!AP126+Data!AP127+Data!AP128+Data!AP129+Data!AP130)</f>
        <v>0.0135555872988774</v>
      </c>
      <c r="AE130" s="18" t="n">
        <f aca="false">(Data!AN119+Data!AN120+Data!AN121+Data!AN122+Data!AN123+Data!AN124+Data!AN125+Data!AN126+Data!AN127+Data!AN128+Data!AN129+Data!AN130)/(Data!AP119+Data!AP120+Data!AP121+Data!AP122+Data!AP123+Data!AP124+Data!AP125+Data!AP126+Data!AP127+Data!AP128+Data!AP129+Data!AP130)</f>
        <v>0.0118703931875176</v>
      </c>
      <c r="AF130" s="17" t="n">
        <f aca="false">(Data!AO119+Data!AO120+Data!AO121+Data!AO122+Data!AO123+Data!AO124+Data!AO125+Data!AO126+Data!AO127+Data!AO128+Data!AO129+Data!AO130)/(Data!AP119+Data!AP120+Data!AP121+Data!AP122+Data!AP123+Data!AP124+Data!AP125+Data!AP126+Data!AP127+Data!AP128+Data!AP129+Data!AP130)</f>
        <v>0.0016851962518868</v>
      </c>
    </row>
    <row r="131" customFormat="false" ht="15" hidden="false" customHeight="false" outlineLevel="0" collapsed="false">
      <c r="B131" s="14" t="str">
        <f aca="false">Data!B131</f>
        <v>2026-05</v>
      </c>
      <c r="C131" s="17" t="n">
        <f aca="false">(Data!D120+Data!E120+Data!F120+Data!G120+Data!H120+Data!I120+Data!J120+Data!K120+Data!L120+Data!M120+Data!N120+Data!O120+Data!P120+Data!Q120+Data!R120+Data!S120+Data!D121+Data!E121+Data!F121+Data!G121+Data!H121+Data!I121+Data!J121+Data!K121+Data!L121+Data!M121+Data!N121+Data!O121+Data!P121+Data!Q121+Data!R121+Data!S121+Data!D122+Data!E122+Data!F122+Data!G122+Data!H122+Data!I122+Data!J122+Data!K122+Data!L122+Data!M122+Data!N122+Data!O122+Data!P122+Data!Q122+Data!R122+Data!S122+Data!D123+Data!E123+Data!F123+Data!G123+Data!H123+Data!I123+Data!J123+Data!K123+Data!L123+Data!M123+Data!N123+Data!O123+Data!P123+Data!Q123+Data!R123+Data!S123+Data!D124+Data!E124+Data!F124+Data!G124+Data!H124+Data!I124+Data!J124+Data!K124+Data!L124+Data!M124+Data!N124+Data!O124+Data!P124+Data!Q124+Data!R124+Data!S124+Data!D125+Data!E125+Data!F125+Data!G125+Data!H125+Data!I125+Data!J125+Data!K125+Data!L125+Data!M125+Data!N125+Data!O125+Data!P125+Data!Q125+Data!R125+Data!S125+Data!D126+Data!E126+Data!F126+Data!G126+Data!H126+Data!I126+Data!J126+Data!K126+Data!L126+Data!M126+Data!N126+Data!O126+Data!P126+Data!Q126+Data!R126+Data!S126+Data!D127+Data!E127+Data!F127+Data!G127+Data!H127+Data!I127+Data!J127+Data!K127+Data!L127+Data!M127+Data!N127+Data!O127+Data!P127+Data!Q127+Data!R127+Data!S127+Data!D128+Data!E128+Data!F128+Data!G128+Data!H128+Data!I128+Data!J128+Data!K128+Data!L128+Data!M128+Data!N128+Data!O128+Data!P128+Data!Q128+Data!R128+Data!S128+Data!D129+Data!E129+Data!F129+Data!G129+Data!H129+Data!I129+Data!J129+Data!K129+Data!L129+Data!M129+Data!N129+Data!O129+Data!P129+Data!Q129+Data!R129+Data!S129+Data!D130+Data!E130+Data!F130+Data!G130+Data!H130+Data!I130+Data!J130+Data!K130+Data!L130+Data!M130+Data!N130+Data!O130+Data!P130+Data!Q130+Data!R130+Data!S130+Data!D131+Data!E131+Data!F131+Data!G131+Data!H131+Data!I131+Data!J131+Data!K131+Data!L131+Data!M131+Data!N131+Data!O131+Data!P131+Data!Q131+Data!R131+Data!S131)/(Data!AP120+Data!AP121+Data!AP122+Data!AP123+Data!AP124+Data!AP125+Data!AP126+Data!AP127+Data!AP128+Data!AP129+Data!AP130+Data!AP131)</f>
        <v>0.155706808736323</v>
      </c>
      <c r="D131" s="18" t="n">
        <f aca="false">(Data!D120+Data!E120+Data!G120+Data!H120+Data!I120+Data!J120+Data!K120+Data!L120+Data!M120+Data!D121+Data!E121+Data!G121+Data!H121+Data!I121+Data!J121+Data!K121+Data!L121+Data!M121+Data!D122+Data!E122+Data!G122+Data!H122+Data!I122+Data!J122+Data!K122+Data!L122+Data!M122+Data!D123+Data!E123+Data!G123+Data!H123+Data!I123+Data!J123+Data!K123+Data!L123+Data!M123+Data!D124+Data!E124+Data!G124+Data!H124+Data!I124+Data!J124+Data!K124+Data!L124+Data!M124+Data!D125+Data!E125+Data!G125+Data!H125+Data!I125+Data!J125+Data!K125+Data!L125+Data!M125+Data!D126+Data!E126+Data!G126+Data!H126+Data!I126+Data!J126+Data!K126+Data!L126+Data!M126+Data!D127+Data!E127+Data!G127+Data!H127+Data!I127+Data!J127+Data!K127+Data!L127+Data!M127+Data!D128+Data!E128+Data!G128+Data!H128+Data!I128+Data!J128+Data!K128+Data!L128+Data!M128+Data!D129+Data!E129+Data!G129+Data!H129+Data!I129+Data!J129+Data!K129+Data!L129+Data!M129+Data!D130+Data!E130+Data!G130+Data!H130+Data!I130+Data!J130+Data!K130+Data!L130+Data!M130+Data!D131+Data!E131+Data!G131+Data!H131+Data!I131+Data!J131+Data!K131+Data!L131+Data!M131)/(Data!AP120+Data!AP121+Data!AP122+Data!AP123+Data!AP124+Data!AP125+Data!AP126+Data!AP127+Data!AP128+Data!AP129+Data!AP130+Data!AP131)</f>
        <v>0.0875181105236312</v>
      </c>
      <c r="E131" s="18" t="n">
        <f aca="false">(Data!D120+Data!D121+Data!D122+Data!D123+Data!D124+Data!D125+Data!D126+Data!D127+Data!D128+Data!D129+Data!D130+Data!D131)/(Data!AP120+Data!AP121+Data!AP122+Data!AP123+Data!AP124+Data!AP125+Data!AP126+Data!AP127+Data!AP128+Data!AP129+Data!AP130+Data!AP131)</f>
        <v>0.0316505120331699</v>
      </c>
      <c r="F131" s="18" t="n">
        <f aca="false">(Data!E120+Data!E121+Data!E122+Data!E123+Data!E124+Data!E125+Data!E126+Data!E127+Data!E128+Data!E129+Data!E130+Data!E131)/(Data!AP120+Data!AP121+Data!AP122+Data!AP123+Data!AP124+Data!AP125+Data!AP126+Data!AP127+Data!AP128+Data!AP129+Data!AP130+Data!AP131)</f>
        <v>0.0150496822769712</v>
      </c>
      <c r="G131" s="18" t="n">
        <f aca="false">(Data!K120+Data!K121+Data!K122+Data!K123+Data!K124+Data!K125+Data!K126+Data!K127+Data!K128+Data!K129+Data!K130+Data!K131)/(Data!AP120+Data!AP121+Data!AP122+Data!AP123+Data!AP124+Data!AP125+Data!AP126+Data!AP127+Data!AP128+Data!AP129+Data!AP130+Data!AP131)</f>
        <v>0.0068313646690899</v>
      </c>
      <c r="H131" s="18" t="n">
        <f aca="false">(Data!L120+Data!L121+Data!L122+Data!L123+Data!L124+Data!L125+Data!L126+Data!L127+Data!L128+Data!L129+Data!L130+Data!L131)/(Data!AP120+Data!AP121+Data!AP122+Data!AP123+Data!AP124+Data!AP125+Data!AP126+Data!AP127+Data!AP128+Data!AP129+Data!AP130+Data!AP131)</f>
        <v>0.0058947581295187</v>
      </c>
      <c r="I131" s="18" t="n">
        <f aca="false">(Data!G120+Data!G121+Data!G122+Data!G123+Data!G124+Data!G125+Data!G126+Data!G127+Data!G128+Data!G129+Data!G130+Data!G131)/(Data!AP120+Data!AP121+Data!AP122+Data!AP123+Data!AP124+Data!AP125+Data!AP126+Data!AP127+Data!AP128+Data!AP129+Data!AP130+Data!AP131)</f>
        <v>0.0159812913782013</v>
      </c>
      <c r="J131" s="18" t="n">
        <f aca="false">(Data!H120+Data!I120+Data!J120+Data!M120+Data!H121+Data!I121+Data!J121+Data!M121+Data!H122+Data!I122+Data!J122+Data!M122+Data!H123+Data!I123+Data!J123+Data!M123+Data!H124+Data!I124+Data!J124+Data!M124+Data!H125+Data!I125+Data!J125+Data!M125+Data!H126+Data!I126+Data!J126+Data!M126+Data!H127+Data!I127+Data!J127+Data!M127+Data!H128+Data!I128+Data!J128+Data!M128+Data!H129+Data!I129+Data!J129+Data!M129+Data!H130+Data!I130+Data!J130+Data!M130+Data!H131+Data!I131+Data!J131+Data!M131)/(Data!AP120+Data!AP121+Data!AP122+Data!AP123+Data!AP124+Data!AP125+Data!AP126+Data!AP127+Data!AP128+Data!AP129+Data!AP130+Data!AP131)</f>
        <v>0.0121105020366803</v>
      </c>
      <c r="K131" s="18" t="n">
        <f aca="false">(Data!F120+Data!F121+Data!F122+Data!F123+Data!F124+Data!F125+Data!F126+Data!F127+Data!F128+Data!F129+Data!F130+Data!F131)/(Data!AP120+Data!AP121+Data!AP122+Data!AP123+Data!AP124+Data!AP125+Data!AP126+Data!AP127+Data!AP128+Data!AP129+Data!AP130+Data!AP131)</f>
        <v>0.0544465315143258</v>
      </c>
      <c r="L131" s="18" t="n">
        <f aca="false">(Data!N120+Data!O120+Data!P120+Data!Q120+Data!R120+Data!S120+Data!N121+Data!O121+Data!P121+Data!Q121+Data!R121+Data!S121+Data!N122+Data!O122+Data!P122+Data!Q122+Data!R122+Data!S122+Data!N123+Data!O123+Data!P123+Data!Q123+Data!R123+Data!S123+Data!N124+Data!O124+Data!P124+Data!Q124+Data!R124+Data!S124+Data!N125+Data!O125+Data!P125+Data!Q125+Data!R125+Data!S125+Data!N126+Data!O126+Data!P126+Data!Q126+Data!R126+Data!S126+Data!N127+Data!O127+Data!P127+Data!Q127+Data!R127+Data!S127+Data!N128+Data!O128+Data!P128+Data!Q128+Data!R128+Data!S128+Data!N129+Data!O129+Data!P129+Data!Q129+Data!R129+Data!S129+Data!N130+Data!O130+Data!P130+Data!Q130+Data!R130+Data!S130+Data!N131+Data!O131+Data!P131+Data!Q131+Data!R131+Data!S131)/(Data!AP120+Data!AP121+Data!AP122+Data!AP123+Data!AP124+Data!AP125+Data!AP126+Data!AP127+Data!AP128+Data!AP129+Data!AP130+Data!AP131)</f>
        <v>0.0137421666983664</v>
      </c>
      <c r="M131" s="17" t="n">
        <f aca="false">(Data!T120+Data!U120+Data!V120+Data!W120+Data!X120+Data!Y120+Data!Z120+Data!AA120+Data!AB120+Data!AC120+Data!AD120+Data!AE120+Data!AF120+Data!AG120+Data!AH120+Data!AI120+Data!AJ120+Data!AK120+Data!AL120+Data!T121+Data!U121+Data!V121+Data!W121+Data!X121+Data!Y121+Data!Z121+Data!AA121+Data!AB121+Data!AC121+Data!AD121+Data!AE121+Data!AF121+Data!AG121+Data!AH121+Data!AI121+Data!AJ121+Data!AK121+Data!AL121+Data!T122+Data!U122+Data!V122+Data!W122+Data!X122+Data!Y122+Data!Z122+Data!AA122+Data!AB122+Data!AC122+Data!AD122+Data!AE122+Data!AF122+Data!AG122+Data!AH122+Data!AI122+Data!AJ122+Data!AK122+Data!AL122+Data!T123+Data!U123+Data!V123+Data!W123+Data!X123+Data!Y123+Data!Z123+Data!AA123+Data!AB123+Data!AC123+Data!AD123+Data!AE123+Data!AF123+Data!AG123+Data!AH123+Data!AI123+Data!AJ123+Data!AK123+Data!AL123+Data!T124+Data!U124+Data!V124+Data!W124+Data!X124+Data!Y124+Data!Z124+Data!AA124+Data!AB124+Data!AC124+Data!AD124+Data!AE124+Data!AF124+Data!AG124+Data!AH124+Data!AI124+Data!AJ124+Data!AK124+Data!AL124+Data!T125+Data!U125+Data!V125+Data!W125+Data!X125+Data!Y125+Data!Z125+Data!AA125+Data!AB125+Data!AC125+Data!AD125+Data!AE125+Data!AF125+Data!AG125+Data!AH125+Data!AI125+Data!AJ125+Data!AK125+Data!AL125+Data!T126+Data!U126+Data!V126+Data!W126+Data!X126+Data!Y126+Data!Z126+Data!AA126+Data!AB126+Data!AC126+Data!AD126+Data!AE126+Data!AF126+Data!AG126+Data!AH126+Data!AI126+Data!AJ126+Data!AK126+Data!AL126+Data!T127+Data!U127+Data!V127+Data!W127+Data!X127+Data!Y127+Data!Z127+Data!AA127+Data!AB127+Data!AC127+Data!AD127+Data!AE127+Data!AF127+Data!AG127+Data!AH127+Data!AI127+Data!AJ127+Data!AK127+Data!AL127+Data!T128+Data!U128+Data!V128+Data!W128+Data!X128+Data!Y128+Data!Z128+Data!AA128+Data!AB128+Data!AC128+Data!AD128+Data!AE128+Data!AF128+Data!AG128+Data!AH128+Data!AI128+Data!AJ128+Data!AK128+Data!AL128+Data!T129+Data!U129+Data!V129+Data!W129+Data!X129+Data!Y129+Data!Z129+Data!AA129+Data!AB129+Data!AC129+Data!AD129+Data!AE129+Data!AF129+Data!AG129+Data!AH129+Data!AI129+Data!AJ129+Data!AK129+Data!AL129+Data!T130+Data!U130+Data!V130+Data!W130+Data!X130+Data!Y130+Data!Z130+Data!AA130+Data!AB130+Data!AC130+Data!AD130+Data!AE130+Data!AF130+Data!AG130+Data!AH130+Data!AI130+Data!AJ130+Data!AK130+Data!AL130+Data!T131+Data!U131+Data!V131+Data!W131+Data!X131+Data!Y131+Data!Z131+Data!AA131+Data!AB131+Data!AC131+Data!AD131+Data!AE131+Data!AF131+Data!AG131+Data!AH131+Data!AI131+Data!AJ131+Data!AK131+Data!AL131)/(Data!AP120+Data!AP121+Data!AP122+Data!AP123+Data!AP124+Data!AP125+Data!AP126+Data!AP127+Data!AP128+Data!AP129+Data!AP130+Data!AP131)</f>
        <v>0.142255348973108</v>
      </c>
      <c r="N131" s="18" t="n">
        <f aca="false">(Data!T120+Data!U120+Data!V120+Data!W120+Data!T121+Data!U121+Data!V121+Data!W121+Data!T122+Data!U122+Data!V122+Data!W122+Data!T123+Data!U123+Data!V123+Data!W123+Data!T124+Data!U124+Data!V124+Data!W124+Data!T125+Data!U125+Data!V125+Data!W125+Data!T126+Data!U126+Data!V126+Data!W126+Data!T127+Data!U127+Data!V127+Data!W127+Data!T128+Data!U128+Data!V128+Data!W128+Data!T129+Data!U129+Data!V129+Data!W129+Data!T130+Data!U130+Data!V130+Data!W130+Data!T131+Data!U131+Data!V131+Data!W131)/(Data!AP120+Data!AP121+Data!AP122+Data!AP123+Data!AP124+Data!AP125+Data!AP126+Data!AP127+Data!AP128+Data!AP129+Data!AP130+Data!AP131)</f>
        <v>0.0856670906612722</v>
      </c>
      <c r="O131" s="18" t="n">
        <f aca="false">(Data!T120+Data!T121+Data!T122+Data!T123+Data!T124+Data!T125+Data!T126+Data!T127+Data!T128+Data!T129+Data!T130+Data!T131)/(Data!AP120+Data!AP121+Data!AP122+Data!AP123+Data!AP124+Data!AP125+Data!AP126+Data!AP127+Data!AP128+Data!AP129+Data!AP130+Data!AP131)</f>
        <v>0.0614063199157174</v>
      </c>
      <c r="P131" s="18" t="n">
        <f aca="false">(Data!U120+Data!U121+Data!U122+Data!U123+Data!U124+Data!U125+Data!U126+Data!U127+Data!U128+Data!U129+Data!U130+Data!U131)/(Data!AP120+Data!AP121+Data!AP122+Data!AP123+Data!AP124+Data!AP125+Data!AP126+Data!AP127+Data!AP128+Data!AP129+Data!AP130+Data!AP131)</f>
        <v>0.0103844473454328</v>
      </c>
      <c r="Q131" s="18" t="n">
        <f aca="false">(Data!V120+Data!V121+Data!V122+Data!V123+Data!V124+Data!V125+Data!V126+Data!V127+Data!V128+Data!V129+Data!V130+Data!V131)/(Data!AP120+Data!AP121+Data!AP122+Data!AP123+Data!AP124+Data!AP125+Data!AP126+Data!AP127+Data!AP128+Data!AP129+Data!AP130+Data!AP131)</f>
        <v>0.00503100881576718</v>
      </c>
      <c r="R131" s="18" t="n">
        <f aca="false">(Data!W120+Data!W121+Data!W122+Data!W123+Data!W124+Data!W125+Data!W126+Data!W127+Data!W128+Data!W129+Data!W130+Data!W131)/(Data!AP120+Data!AP121+Data!AP122+Data!AP123+Data!AP124+Data!AP125+Data!AP126+Data!AP127+Data!AP128+Data!AP129+Data!AP130+Data!AP131)</f>
        <v>0.00884531458435486</v>
      </c>
      <c r="S131" s="18" t="n">
        <f aca="false">(Data!X120+Data!X121+Data!X122+Data!X123+Data!X124+Data!X125+Data!X126+Data!X127+Data!X128+Data!X129+Data!X130+Data!X131)/(Data!AP120+Data!AP121+Data!AP122+Data!AP123+Data!AP124+Data!AP125+Data!AP126+Data!AP127+Data!AP128+Data!AP129+Data!AP130+Data!AP131)</f>
        <v>0.00924689266252746</v>
      </c>
      <c r="T131" s="18" t="n">
        <f aca="false">(Data!Y120+Data!Z120+Data!AA120+Data!Y121+Data!Z121+Data!AA121+Data!Y122+Data!Z122+Data!AA122+Data!Y123+Data!Z123+Data!AA123+Data!Y124+Data!Z124+Data!AA124+Data!Y125+Data!Z125+Data!AA125+Data!Y126+Data!Z126+Data!AA126+Data!Y127+Data!Z127+Data!AA127+Data!Y128+Data!Z128+Data!AA128+Data!Y129+Data!Z129+Data!AA129+Data!Y130+Data!Z130+Data!AA130+Data!Y131+Data!Z131+Data!AA131)/(Data!AP120+Data!AP121+Data!AP122+Data!AP123+Data!AP124+Data!AP125+Data!AP126+Data!AP127+Data!AP128+Data!AP129+Data!AP130+Data!AP131)</f>
        <v>0.0103578618081032</v>
      </c>
      <c r="U131" s="18" t="n">
        <f aca="false">(Data!Y120+Data!Y121+Data!Y122+Data!Y123+Data!Y124+Data!Y125+Data!Y126+Data!Y127+Data!Y128+Data!Y129+Data!Y130+Data!Y131)/(Data!AP120+Data!AP121+Data!AP122+Data!AP123+Data!AP124+Data!AP125+Data!AP126+Data!AP127+Data!AP128+Data!AP129+Data!AP130+Data!AP131)</f>
        <v>0.0073813489297829</v>
      </c>
      <c r="V131" s="18" t="n">
        <f aca="false">(Data!Z120+Data!Z121+Data!Z122+Data!Z123+Data!Z124+Data!Z125+Data!Z126+Data!Z127+Data!Z128+Data!Z129+Data!Z130+Data!Z131)/(Data!AP120+Data!AP121+Data!AP122+Data!AP123+Data!AP124+Data!AP125+Data!AP126+Data!AP127+Data!AP128+Data!AP129+Data!AP130+Data!AP131)</f>
        <v>0.00293831116594057</v>
      </c>
      <c r="W131" s="18" t="n">
        <f aca="false">(Data!AB120+Data!AB121+Data!AB122+Data!AB123+Data!AB124+Data!AB125+Data!AB126+Data!AB127+Data!AB128+Data!AB129+Data!AB130+Data!AB131)/(Data!AP120+Data!AP121+Data!AP122+Data!AP123+Data!AP124+Data!AP125+Data!AP126+Data!AP127+Data!AP128+Data!AP129+Data!AP130+Data!AP131)</f>
        <v>0.0186368299552507</v>
      </c>
      <c r="X131" s="18" t="n">
        <f aca="false">(Data!AC120+Data!AC121+Data!AC122+Data!AC123+Data!AC124+Data!AC125+Data!AC126+Data!AC127+Data!AC128+Data!AC129+Data!AC130+Data!AC131)/(Data!AP120+Data!AP121+Data!AP122+Data!AP123+Data!AP124+Data!AP125+Data!AP126+Data!AP127+Data!AP128+Data!AP129+Data!AP130+Data!AP131)</f>
        <v>0.00542431242974698</v>
      </c>
      <c r="Y131" s="18" t="n">
        <f aca="false">(Data!AD120+Data!AE120+Data!AF120+Data!AG120+Data!AH120+Data!AD121+Data!AE121+Data!AF121+Data!AG121+Data!AH121+Data!AD122+Data!AE122+Data!AF122+Data!AG122+Data!AH122+Data!AD123+Data!AE123+Data!AF123+Data!AG123+Data!AH123+Data!AD124+Data!AE124+Data!AF124+Data!AG124+Data!AH124+Data!AD125+Data!AE125+Data!AF125+Data!AG125+Data!AH125+Data!AD126+Data!AE126+Data!AF126+Data!AG126+Data!AH126+Data!AD127+Data!AE127+Data!AF127+Data!AG127+Data!AH127+Data!AD128+Data!AE128+Data!AF128+Data!AG128+Data!AH128+Data!AD129+Data!AE129+Data!AF129+Data!AG129+Data!AH129+Data!AD130+Data!AE130+Data!AF130+Data!AG130+Data!AH130+Data!AD131+Data!AE131+Data!AF131+Data!AG131+Data!AH131)/(Data!AP120+Data!AP121+Data!AP122+Data!AP123+Data!AP124+Data!AP125+Data!AP126+Data!AP127+Data!AP128+Data!AP129+Data!AP130+Data!AP131)</f>
        <v>0.00228768433957382</v>
      </c>
      <c r="Z131" s="18" t="n">
        <f aca="false">(Data!AI120+Data!AI121+Data!AI122+Data!AI123+Data!AI124+Data!AI125+Data!AI126+Data!AI127+Data!AI128+Data!AI129+Data!AI130+Data!AI131)/(Data!AP120+Data!AP121+Data!AP122+Data!AP123+Data!AP124+Data!AP125+Data!AP126+Data!AP127+Data!AP128+Data!AP129+Data!AP130+Data!AP131)</f>
        <v>0.00500772221372666</v>
      </c>
      <c r="AA131" s="18" t="n">
        <f aca="false">(Data!AJ120+Data!AJ121+Data!AJ122+Data!AJ123+Data!AJ124+Data!AJ125+Data!AJ126+Data!AJ127+Data!AJ128+Data!AJ129+Data!AJ130+Data!AJ131)/(Data!AP120+Data!AP121+Data!AP122+Data!AP123+Data!AP124+Data!AP125+Data!AP126+Data!AP127+Data!AP128+Data!AP129+Data!AP130+Data!AP131)</f>
        <v>0</v>
      </c>
      <c r="AB131" s="18" t="n">
        <f aca="false">(Data!AK120+Data!AK121+Data!AK122+Data!AK123+Data!AK124+Data!AK125+Data!AK126+Data!AK127+Data!AK128+Data!AK129+Data!AK130+Data!AK131)/(Data!AP120+Data!AP121+Data!AP122+Data!AP123+Data!AP124+Data!AP125+Data!AP126+Data!AP127+Data!AP128+Data!AP129+Data!AP130+Data!AP131)</f>
        <v>0.0022118150877644</v>
      </c>
      <c r="AC131" s="18" t="n">
        <f aca="false">(Data!AL120+Data!AL121+Data!AL122+Data!AL123+Data!AL124+Data!AL125+Data!AL126+Data!AL127+Data!AL128+Data!AL129+Data!AL130+Data!AL131)/(Data!AP120+Data!AP121+Data!AP122+Data!AP123+Data!AP124+Data!AP125+Data!AP126+Data!AP127+Data!AP128+Data!AP129+Data!AP130+Data!AP131)</f>
        <v>0.00341513981514257</v>
      </c>
      <c r="AD131" s="17" t="n">
        <f aca="false">(Data!AM120+Data!AM121+Data!AM122+Data!AM123+Data!AM124+Data!AM125+Data!AM126+Data!AM127+Data!AM128+Data!AM129+Data!AM130+Data!AM131)/(Data!AP120+Data!AP121+Data!AP122+Data!AP123+Data!AP124+Data!AP125+Data!AP126+Data!AP127+Data!AP128+Data!AP129+Data!AP130+Data!AP131)</f>
        <v>0.0134514597632155</v>
      </c>
      <c r="AE131" s="18" t="n">
        <f aca="false">(Data!AN120+Data!AN121+Data!AN122+Data!AN123+Data!AN124+Data!AN125+Data!AN126+Data!AN127+Data!AN128+Data!AN129+Data!AN130+Data!AN131)/(Data!AP120+Data!AP121+Data!AP122+Data!AP123+Data!AP124+Data!AP125+Data!AP126+Data!AP127+Data!AP128+Data!AP129+Data!AP130+Data!AP131)</f>
        <v>0.0120001671532217</v>
      </c>
      <c r="AF131" s="17" t="n">
        <f aca="false">(Data!AO120+Data!AO121+Data!AO122+Data!AO123+Data!AO124+Data!AO125+Data!AO126+Data!AO127+Data!AO128+Data!AO129+Data!AO130+Data!AO131)/(Data!AP120+Data!AP121+Data!AP122+Data!AP123+Data!AP124+Data!AP125+Data!AP126+Data!AP127+Data!AP128+Data!AP129+Data!AP130+Data!AP131)</f>
        <v>0.00145129365330028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AA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13" min="3" style="0" width="14"/>
    <col collapsed="false" customWidth="true" hidden="false" outlineLevel="0" max="25" min="15" style="0" width="14"/>
    <col collapsed="false" customWidth="true" hidden="false" outlineLevel="0" max="27" min="27" style="0" width="14"/>
  </cols>
  <sheetData>
    <row r="2" customFormat="false" ht="25.5" hidden="false" customHeight="true" outlineLevel="0" collapsed="false">
      <c r="B2" s="1" t="s">
        <v>232</v>
      </c>
    </row>
    <row r="3" customFormat="false" ht="15" hidden="false" customHeight="false" outlineLevel="0" collapsed="false">
      <c r="B3" s="2" t="s">
        <v>233</v>
      </c>
    </row>
    <row r="5" customFormat="false" ht="15" hidden="false" customHeight="false" outlineLevel="0" collapsed="false">
      <c r="C5" s="9" t="n">
        <v>2016</v>
      </c>
      <c r="D5" s="9" t="n">
        <v>2017</v>
      </c>
      <c r="E5" s="9" t="n">
        <v>2018</v>
      </c>
      <c r="F5" s="9" t="n">
        <v>2019</v>
      </c>
      <c r="G5" s="9" t="n">
        <v>2020</v>
      </c>
      <c r="H5" s="9" t="n">
        <v>2021</v>
      </c>
      <c r="I5" s="9" t="n">
        <v>2022</v>
      </c>
      <c r="J5" s="9" t="n">
        <v>2023</v>
      </c>
      <c r="K5" s="9" t="n">
        <v>2024</v>
      </c>
      <c r="L5" s="9" t="n">
        <v>2025</v>
      </c>
      <c r="M5" s="9" t="n">
        <v>2026</v>
      </c>
    </row>
    <row r="6" customFormat="false" ht="33.75" hidden="false" customHeight="true" outlineLevel="0" collapsed="false">
      <c r="B6" s="6" t="s">
        <v>234</v>
      </c>
      <c r="C6" s="6" t="s">
        <v>235</v>
      </c>
      <c r="D6" s="6" t="s">
        <v>236</v>
      </c>
      <c r="E6" s="6" t="s">
        <v>237</v>
      </c>
      <c r="F6" s="6" t="s">
        <v>238</v>
      </c>
      <c r="G6" s="6" t="s">
        <v>239</v>
      </c>
      <c r="H6" s="6" t="s">
        <v>240</v>
      </c>
      <c r="I6" s="6" t="s">
        <v>241</v>
      </c>
      <c r="J6" s="6" t="s">
        <v>242</v>
      </c>
      <c r="K6" s="6" t="s">
        <v>243</v>
      </c>
      <c r="L6" s="6" t="s">
        <v>244</v>
      </c>
      <c r="M6" s="6" t="s">
        <v>245</v>
      </c>
      <c r="O6" s="7" t="s">
        <v>246</v>
      </c>
      <c r="P6" s="7" t="s">
        <v>247</v>
      </c>
      <c r="Q6" s="7" t="s">
        <v>248</v>
      </c>
      <c r="R6" s="7" t="s">
        <v>249</v>
      </c>
      <c r="S6" s="7" t="s">
        <v>250</v>
      </c>
      <c r="T6" s="7" t="s">
        <v>251</v>
      </c>
      <c r="U6" s="7" t="s">
        <v>252</v>
      </c>
      <c r="V6" s="7" t="s">
        <v>253</v>
      </c>
      <c r="W6" s="7" t="s">
        <v>254</v>
      </c>
      <c r="X6" s="7" t="s">
        <v>255</v>
      </c>
      <c r="Y6" s="7" t="s">
        <v>256</v>
      </c>
      <c r="AA6" s="7" t="s">
        <v>257</v>
      </c>
    </row>
    <row r="7" customFormat="false" ht="15" hidden="false" customHeight="false" outlineLevel="0" collapsed="false">
      <c r="B7" s="19" t="s">
        <v>198</v>
      </c>
      <c r="C7" s="15" t="n">
        <f aca="false">SUMIF(Data!$C$7:$C$131,C$5,Data!D$7:D$131)+SUMIF(Data!$C$7:$C$131,C$5,Data!E$7:E$131)+SUMIF(Data!$C$7:$C$131,C$5,Data!F$7:F$131)+SUMIF(Data!$C$7:$C$131,C$5,Data!G$7:G$131)+SUMIF(Data!$C$7:$C$131,C$5,Data!H$7:H$131)+SUMIF(Data!$C$7:$C$131,C$5,Data!I$7:I$131)+SUMIF(Data!$C$7:$C$131,C$5,Data!J$7:J$131)+SUMIF(Data!$C$7:$C$131,C$5,Data!K$7:K$131)+SUMIF(Data!$C$7:$C$131,C$5,Data!L$7:L$131)+SUMIF(Data!$C$7:$C$131,C$5,Data!M$7:M$131)+SUMIF(Data!$C$7:$C$131,C$5,Data!N$7:N$131)+SUMIF(Data!$C$7:$C$131,C$5,Data!O$7:O$131)+SUMIF(Data!$C$7:$C$131,C$5,Data!P$7:P$131)+SUMIF(Data!$C$7:$C$131,C$5,Data!Q$7:Q$131)+SUMIF(Data!$C$7:$C$131,C$5,Data!R$7:R$131)+SUMIF(Data!$C$7:$C$131,C$5,Data!S$7:S$131)</f>
        <v>1629314</v>
      </c>
      <c r="D7" s="15" t="n">
        <f aca="false">SUMIF(Data!$C$7:$C$131,D$5,Data!D$7:D$131)+SUMIF(Data!$C$7:$C$131,D$5,Data!E$7:E$131)+SUMIF(Data!$C$7:$C$131,D$5,Data!F$7:F$131)+SUMIF(Data!$C$7:$C$131,D$5,Data!G$7:G$131)+SUMIF(Data!$C$7:$C$131,D$5,Data!H$7:H$131)+SUMIF(Data!$C$7:$C$131,D$5,Data!I$7:I$131)+SUMIF(Data!$C$7:$C$131,D$5,Data!J$7:J$131)+SUMIF(Data!$C$7:$C$131,D$5,Data!K$7:K$131)+SUMIF(Data!$C$7:$C$131,D$5,Data!L$7:L$131)+SUMIF(Data!$C$7:$C$131,D$5,Data!M$7:M$131)+SUMIF(Data!$C$7:$C$131,D$5,Data!N$7:N$131)+SUMIF(Data!$C$7:$C$131,D$5,Data!O$7:O$131)+SUMIF(Data!$C$7:$C$131,D$5,Data!P$7:P$131)+SUMIF(Data!$C$7:$C$131,D$5,Data!Q$7:Q$131)+SUMIF(Data!$C$7:$C$131,D$5,Data!R$7:R$131)+SUMIF(Data!$C$7:$C$131,D$5,Data!S$7:S$131)</f>
        <v>1998097</v>
      </c>
      <c r="E7" s="15" t="n">
        <f aca="false">SUMIF(Data!$C$7:$C$131,E$5,Data!D$7:D$131)+SUMIF(Data!$C$7:$C$131,E$5,Data!E$7:E$131)+SUMIF(Data!$C$7:$C$131,E$5,Data!F$7:F$131)+SUMIF(Data!$C$7:$C$131,E$5,Data!G$7:G$131)+SUMIF(Data!$C$7:$C$131,E$5,Data!H$7:H$131)+SUMIF(Data!$C$7:$C$131,E$5,Data!I$7:I$131)+SUMIF(Data!$C$7:$C$131,E$5,Data!J$7:J$131)+SUMIF(Data!$C$7:$C$131,E$5,Data!K$7:K$131)+SUMIF(Data!$C$7:$C$131,E$5,Data!L$7:L$131)+SUMIF(Data!$C$7:$C$131,E$5,Data!M$7:M$131)+SUMIF(Data!$C$7:$C$131,E$5,Data!N$7:N$131)+SUMIF(Data!$C$7:$C$131,E$5,Data!O$7:O$131)+SUMIF(Data!$C$7:$C$131,E$5,Data!P$7:P$131)+SUMIF(Data!$C$7:$C$131,E$5,Data!Q$7:Q$131)+SUMIF(Data!$C$7:$C$131,E$5,Data!R$7:R$131)+SUMIF(Data!$C$7:$C$131,E$5,Data!S$7:S$131)</f>
        <v>2600570</v>
      </c>
      <c r="F7" s="15" t="n">
        <f aca="false">SUMIF(Data!$C$7:$C$131,F$5,Data!D$7:D$131)+SUMIF(Data!$C$7:$C$131,F$5,Data!E$7:E$131)+SUMIF(Data!$C$7:$C$131,F$5,Data!F$7:F$131)+SUMIF(Data!$C$7:$C$131,F$5,Data!G$7:G$131)+SUMIF(Data!$C$7:$C$131,F$5,Data!H$7:H$131)+SUMIF(Data!$C$7:$C$131,F$5,Data!I$7:I$131)+SUMIF(Data!$C$7:$C$131,F$5,Data!J$7:J$131)+SUMIF(Data!$C$7:$C$131,F$5,Data!K$7:K$131)+SUMIF(Data!$C$7:$C$131,F$5,Data!L$7:L$131)+SUMIF(Data!$C$7:$C$131,F$5,Data!M$7:M$131)+SUMIF(Data!$C$7:$C$131,F$5,Data!N$7:N$131)+SUMIF(Data!$C$7:$C$131,F$5,Data!O$7:O$131)+SUMIF(Data!$C$7:$C$131,F$5,Data!P$7:P$131)+SUMIF(Data!$C$7:$C$131,F$5,Data!Q$7:Q$131)+SUMIF(Data!$C$7:$C$131,F$5,Data!R$7:R$131)+SUMIF(Data!$C$7:$C$131,F$5,Data!S$7:S$131)</f>
        <v>3937088</v>
      </c>
      <c r="G7" s="15" t="n">
        <f aca="false">SUMIF(Data!$C$7:$C$131,G$5,Data!D$7:D$131)+SUMIF(Data!$C$7:$C$131,G$5,Data!E$7:E$131)+SUMIF(Data!$C$7:$C$131,G$5,Data!F$7:F$131)+SUMIF(Data!$C$7:$C$131,G$5,Data!G$7:G$131)+SUMIF(Data!$C$7:$C$131,G$5,Data!H$7:H$131)+SUMIF(Data!$C$7:$C$131,G$5,Data!I$7:I$131)+SUMIF(Data!$C$7:$C$131,G$5,Data!J$7:J$131)+SUMIF(Data!$C$7:$C$131,G$5,Data!K$7:K$131)+SUMIF(Data!$C$7:$C$131,G$5,Data!L$7:L$131)+SUMIF(Data!$C$7:$C$131,G$5,Data!M$7:M$131)+SUMIF(Data!$C$7:$C$131,G$5,Data!N$7:N$131)+SUMIF(Data!$C$7:$C$131,G$5,Data!O$7:O$131)+SUMIF(Data!$C$7:$C$131,G$5,Data!P$7:P$131)+SUMIF(Data!$C$7:$C$131,G$5,Data!Q$7:Q$131)+SUMIF(Data!$C$7:$C$131,G$5,Data!R$7:R$131)+SUMIF(Data!$C$7:$C$131,G$5,Data!S$7:S$131)</f>
        <v>4841466</v>
      </c>
      <c r="H7" s="15" t="n">
        <f aca="false">SUMIF(Data!$C$7:$C$131,H$5,Data!D$7:D$131)+SUMIF(Data!$C$7:$C$131,H$5,Data!E$7:E$131)+SUMIF(Data!$C$7:$C$131,H$5,Data!F$7:F$131)+SUMIF(Data!$C$7:$C$131,H$5,Data!G$7:G$131)+SUMIF(Data!$C$7:$C$131,H$5,Data!H$7:H$131)+SUMIF(Data!$C$7:$C$131,H$5,Data!I$7:I$131)+SUMIF(Data!$C$7:$C$131,H$5,Data!J$7:J$131)+SUMIF(Data!$C$7:$C$131,H$5,Data!K$7:K$131)+SUMIF(Data!$C$7:$C$131,H$5,Data!L$7:L$131)+SUMIF(Data!$C$7:$C$131,H$5,Data!M$7:M$131)+SUMIF(Data!$C$7:$C$131,H$5,Data!N$7:N$131)+SUMIF(Data!$C$7:$C$131,H$5,Data!O$7:O$131)+SUMIF(Data!$C$7:$C$131,H$5,Data!P$7:P$131)+SUMIF(Data!$C$7:$C$131,H$5,Data!Q$7:Q$131)+SUMIF(Data!$C$7:$C$131,H$5,Data!R$7:R$131)+SUMIF(Data!$C$7:$C$131,H$5,Data!S$7:S$131)</f>
        <v>8880150</v>
      </c>
      <c r="I7" s="15" t="n">
        <f aca="false">SUMIF(Data!$C$7:$C$131,I$5,Data!D$7:D$131)+SUMIF(Data!$C$7:$C$131,I$5,Data!E$7:E$131)+SUMIF(Data!$C$7:$C$131,I$5,Data!F$7:F$131)+SUMIF(Data!$C$7:$C$131,I$5,Data!G$7:G$131)+SUMIF(Data!$C$7:$C$131,I$5,Data!H$7:H$131)+SUMIF(Data!$C$7:$C$131,I$5,Data!I$7:I$131)+SUMIF(Data!$C$7:$C$131,I$5,Data!J$7:J$131)+SUMIF(Data!$C$7:$C$131,I$5,Data!K$7:K$131)+SUMIF(Data!$C$7:$C$131,I$5,Data!L$7:L$131)+SUMIF(Data!$C$7:$C$131,I$5,Data!M$7:M$131)+SUMIF(Data!$C$7:$C$131,I$5,Data!N$7:N$131)+SUMIF(Data!$C$7:$C$131,I$5,Data!O$7:O$131)+SUMIF(Data!$C$7:$C$131,I$5,Data!P$7:P$131)+SUMIF(Data!$C$7:$C$131,I$5,Data!Q$7:Q$131)+SUMIF(Data!$C$7:$C$131,I$5,Data!R$7:R$131)+SUMIF(Data!$C$7:$C$131,I$5,Data!S$7:S$131)</f>
        <v>15149628</v>
      </c>
      <c r="J7" s="15" t="n">
        <f aca="false">SUMIF(Data!$C$7:$C$131,J$5,Data!D$7:D$131)+SUMIF(Data!$C$7:$C$131,J$5,Data!E$7:E$131)+SUMIF(Data!$C$7:$C$131,J$5,Data!F$7:F$131)+SUMIF(Data!$C$7:$C$131,J$5,Data!G$7:G$131)+SUMIF(Data!$C$7:$C$131,J$5,Data!H$7:H$131)+SUMIF(Data!$C$7:$C$131,J$5,Data!I$7:I$131)+SUMIF(Data!$C$7:$C$131,J$5,Data!J$7:J$131)+SUMIF(Data!$C$7:$C$131,J$5,Data!K$7:K$131)+SUMIF(Data!$C$7:$C$131,J$5,Data!L$7:L$131)+SUMIF(Data!$C$7:$C$131,J$5,Data!M$7:M$131)+SUMIF(Data!$C$7:$C$131,J$5,Data!N$7:N$131)+SUMIF(Data!$C$7:$C$131,J$5,Data!O$7:O$131)+SUMIF(Data!$C$7:$C$131,J$5,Data!P$7:P$131)+SUMIF(Data!$C$7:$C$131,J$5,Data!Q$7:Q$131)+SUMIF(Data!$C$7:$C$131,J$5,Data!R$7:R$131)+SUMIF(Data!$C$7:$C$131,J$5,Data!S$7:S$131)</f>
        <v>32320186</v>
      </c>
      <c r="K7" s="15" t="n">
        <f aca="false">SUMIF(Data!$C$7:$C$131,K$5,Data!D$7:D$131)+SUMIF(Data!$C$7:$C$131,K$5,Data!E$7:E$131)+SUMIF(Data!$C$7:$C$131,K$5,Data!F$7:F$131)+SUMIF(Data!$C$7:$C$131,K$5,Data!G$7:G$131)+SUMIF(Data!$C$7:$C$131,K$5,Data!H$7:H$131)+SUMIF(Data!$C$7:$C$131,K$5,Data!I$7:I$131)+SUMIF(Data!$C$7:$C$131,K$5,Data!J$7:J$131)+SUMIF(Data!$C$7:$C$131,K$5,Data!K$7:K$131)+SUMIF(Data!$C$7:$C$131,K$5,Data!L$7:L$131)+SUMIF(Data!$C$7:$C$131,K$5,Data!M$7:M$131)+SUMIF(Data!$C$7:$C$131,K$5,Data!N$7:N$131)+SUMIF(Data!$C$7:$C$131,K$5,Data!O$7:O$131)+SUMIF(Data!$C$7:$C$131,K$5,Data!P$7:P$131)+SUMIF(Data!$C$7:$C$131,K$5,Data!Q$7:Q$131)+SUMIF(Data!$C$7:$C$131,K$5,Data!R$7:R$131)+SUMIF(Data!$C$7:$C$131,K$5,Data!S$7:S$131)</f>
        <v>98018504</v>
      </c>
      <c r="L7" s="15" t="n">
        <f aca="false">SUMIF(Data!$C$7:$C$131,L$5,Data!D$7:D$131)+SUMIF(Data!$C$7:$C$131,L$5,Data!E$7:E$131)+SUMIF(Data!$C$7:$C$131,L$5,Data!F$7:F$131)+SUMIF(Data!$C$7:$C$131,L$5,Data!G$7:G$131)+SUMIF(Data!$C$7:$C$131,L$5,Data!H$7:H$131)+SUMIF(Data!$C$7:$C$131,L$5,Data!I$7:I$131)+SUMIF(Data!$C$7:$C$131,L$5,Data!J$7:J$131)+SUMIF(Data!$C$7:$C$131,L$5,Data!K$7:K$131)+SUMIF(Data!$C$7:$C$131,L$5,Data!L$7:L$131)+SUMIF(Data!$C$7:$C$131,L$5,Data!M$7:M$131)+SUMIF(Data!$C$7:$C$131,L$5,Data!N$7:N$131)+SUMIF(Data!$C$7:$C$131,L$5,Data!O$7:O$131)+SUMIF(Data!$C$7:$C$131,L$5,Data!P$7:P$131)+SUMIF(Data!$C$7:$C$131,L$5,Data!Q$7:Q$131)+SUMIF(Data!$C$7:$C$131,L$5,Data!R$7:R$131)+SUMIF(Data!$C$7:$C$131,L$5,Data!S$7:S$131)</f>
        <v>135179037</v>
      </c>
      <c r="M7" s="15" t="n">
        <f aca="false">SUMIF(Data!$C$7:$C$131,M$5,Data!D$7:D$131)+SUMIF(Data!$C$7:$C$131,M$5,Data!E$7:E$131)+SUMIF(Data!$C$7:$C$131,M$5,Data!F$7:F$131)+SUMIF(Data!$C$7:$C$131,M$5,Data!G$7:G$131)+SUMIF(Data!$C$7:$C$131,M$5,Data!H$7:H$131)+SUMIF(Data!$C$7:$C$131,M$5,Data!I$7:I$131)+SUMIF(Data!$C$7:$C$131,M$5,Data!J$7:J$131)+SUMIF(Data!$C$7:$C$131,M$5,Data!K$7:K$131)+SUMIF(Data!$C$7:$C$131,M$5,Data!L$7:L$131)+SUMIF(Data!$C$7:$C$131,M$5,Data!M$7:M$131)+SUMIF(Data!$C$7:$C$131,M$5,Data!N$7:N$131)+SUMIF(Data!$C$7:$C$131,M$5,Data!O$7:O$131)+SUMIF(Data!$C$7:$C$131,M$5,Data!P$7:P$131)+SUMIF(Data!$C$7:$C$131,M$5,Data!Q$7:Q$131)+SUMIF(Data!$C$7:$C$131,M$5,Data!R$7:R$131)+SUMIF(Data!$C$7:$C$131,M$5,Data!S$7:S$131)</f>
        <v>66095081</v>
      </c>
      <c r="O7" s="17" t="n">
        <f aca="false">C7/SUMIF(Data!$C$7:$C$131,C$5,Data!$AP$7:$AP$131)</f>
        <v>0.198016821235033</v>
      </c>
      <c r="P7" s="17" t="n">
        <f aca="false">D7/SUMIF(Data!$C$7:$C$131,D$5,Data!$AP$7:$AP$131)</f>
        <v>0.187434725341307</v>
      </c>
      <c r="Q7" s="17" t="n">
        <f aca="false">E7/SUMIF(Data!$C$7:$C$131,E$5,Data!$AP$7:$AP$131)</f>
        <v>0.176371881397546</v>
      </c>
      <c r="R7" s="17" t="n">
        <f aca="false">F7/SUMIF(Data!$C$7:$C$131,F$5,Data!$AP$7:$AP$131)</f>
        <v>0.182623939499177</v>
      </c>
      <c r="S7" s="17" t="n">
        <f aca="false">G7/SUMIF(Data!$C$7:$C$131,G$5,Data!$AP$7:$AP$131)</f>
        <v>0.177930873562925</v>
      </c>
      <c r="T7" s="17" t="n">
        <f aca="false">H7/SUMIF(Data!$C$7:$C$131,H$5,Data!$AP$7:$AP$131)</f>
        <v>0.192131676475591</v>
      </c>
      <c r="U7" s="17" t="n">
        <f aca="false">I7/SUMIF(Data!$C$7:$C$131,I$5,Data!$AP$7:$AP$131)</f>
        <v>0.18294432654928</v>
      </c>
      <c r="V7" s="17" t="n">
        <f aca="false">J7/SUMIF(Data!$C$7:$C$131,J$5,Data!$AP$7:$AP$131)</f>
        <v>0.166645129234905</v>
      </c>
      <c r="W7" s="17" t="n">
        <f aca="false">K7/SUMIF(Data!$C$7:$C$131,K$5,Data!$AP$7:$AP$131)</f>
        <v>0.167731622138577</v>
      </c>
      <c r="X7" s="17" t="n">
        <f aca="false">L7/SUMIF(Data!$C$7:$C$131,L$5,Data!$AP$7:$AP$131)</f>
        <v>0.158989307819072</v>
      </c>
      <c r="Y7" s="17" t="n">
        <f aca="false">M7/SUMIF(Data!$C$7:$C$131,M$5,Data!$AP$7:$AP$131)</f>
        <v>0.154463023724501</v>
      </c>
      <c r="AA7" s="20" t="n">
        <f aca="false">'Rolling 12m %GDP'!C131</f>
        <v>0.155706808736323</v>
      </c>
    </row>
    <row r="8" customFormat="false" ht="15" hidden="false" customHeight="false" outlineLevel="0" collapsed="false">
      <c r="B8" s="8" t="s">
        <v>199</v>
      </c>
      <c r="C8" s="16" t="n">
        <f aca="false">SUMIF(Data!$C$7:$C$131,C$5,Data!D$7:D$131)+SUMIF(Data!$C$7:$C$131,C$5,Data!E$7:E$131)+SUMIF(Data!$C$7:$C$131,C$5,Data!G$7:G$131)+SUMIF(Data!$C$7:$C$131,C$5,Data!H$7:H$131)+SUMIF(Data!$C$7:$C$131,C$5,Data!I$7:I$131)+SUMIF(Data!$C$7:$C$131,C$5,Data!J$7:J$131)+SUMIF(Data!$C$7:$C$131,C$5,Data!K$7:K$131)+SUMIF(Data!$C$7:$C$131,C$5,Data!L$7:L$131)+SUMIF(Data!$C$7:$C$131,C$5,Data!M$7:M$131)</f>
        <v>976663</v>
      </c>
      <c r="D8" s="16" t="n">
        <f aca="false">SUMIF(Data!$C$7:$C$131,D$5,Data!D$7:D$131)+SUMIF(Data!$C$7:$C$131,D$5,Data!E$7:E$131)+SUMIF(Data!$C$7:$C$131,D$5,Data!G$7:G$131)+SUMIF(Data!$C$7:$C$131,D$5,Data!H$7:H$131)+SUMIF(Data!$C$7:$C$131,D$5,Data!I$7:I$131)+SUMIF(Data!$C$7:$C$131,D$5,Data!J$7:J$131)+SUMIF(Data!$C$7:$C$131,D$5,Data!K$7:K$131)+SUMIF(Data!$C$7:$C$131,D$5,Data!L$7:L$131)+SUMIF(Data!$C$7:$C$131,D$5,Data!M$7:M$131)</f>
        <v>1117617</v>
      </c>
      <c r="E8" s="16" t="n">
        <f aca="false">SUMIF(Data!$C$7:$C$131,E$5,Data!D$7:D$131)+SUMIF(Data!$C$7:$C$131,E$5,Data!E$7:E$131)+SUMIF(Data!$C$7:$C$131,E$5,Data!G$7:G$131)+SUMIF(Data!$C$7:$C$131,E$5,Data!H$7:H$131)+SUMIF(Data!$C$7:$C$131,E$5,Data!I$7:I$131)+SUMIF(Data!$C$7:$C$131,E$5,Data!J$7:J$131)+SUMIF(Data!$C$7:$C$131,E$5,Data!K$7:K$131)+SUMIF(Data!$C$7:$C$131,E$5,Data!L$7:L$131)+SUMIF(Data!$C$7:$C$131,E$5,Data!M$7:M$131)</f>
        <v>1414611</v>
      </c>
      <c r="F8" s="16" t="n">
        <f aca="false">SUMIF(Data!$C$7:$C$131,F$5,Data!D$7:D$131)+SUMIF(Data!$C$7:$C$131,F$5,Data!E$7:E$131)+SUMIF(Data!$C$7:$C$131,F$5,Data!G$7:G$131)+SUMIF(Data!$C$7:$C$131,F$5,Data!H$7:H$131)+SUMIF(Data!$C$7:$C$131,F$5,Data!I$7:I$131)+SUMIF(Data!$C$7:$C$131,F$5,Data!J$7:J$131)+SUMIF(Data!$C$7:$C$131,F$5,Data!K$7:K$131)+SUMIF(Data!$C$7:$C$131,F$5,Data!L$7:L$131)+SUMIF(Data!$C$7:$C$131,F$5,Data!M$7:M$131)</f>
        <v>2209314</v>
      </c>
      <c r="G8" s="16" t="n">
        <f aca="false">SUMIF(Data!$C$7:$C$131,G$5,Data!D$7:D$131)+SUMIF(Data!$C$7:$C$131,G$5,Data!E$7:E$131)+SUMIF(Data!$C$7:$C$131,G$5,Data!G$7:G$131)+SUMIF(Data!$C$7:$C$131,G$5,Data!H$7:H$131)+SUMIF(Data!$C$7:$C$131,G$5,Data!I$7:I$131)+SUMIF(Data!$C$7:$C$131,G$5,Data!J$7:J$131)+SUMIF(Data!$C$7:$C$131,G$5,Data!K$7:K$131)+SUMIF(Data!$C$7:$C$131,G$5,Data!L$7:L$131)+SUMIF(Data!$C$7:$C$131,G$5,Data!M$7:M$131)</f>
        <v>2868202</v>
      </c>
      <c r="H8" s="16" t="n">
        <f aca="false">SUMIF(Data!$C$7:$C$131,H$5,Data!D$7:D$131)+SUMIF(Data!$C$7:$C$131,H$5,Data!E$7:E$131)+SUMIF(Data!$C$7:$C$131,H$5,Data!G$7:G$131)+SUMIF(Data!$C$7:$C$131,H$5,Data!H$7:H$131)+SUMIF(Data!$C$7:$C$131,H$5,Data!I$7:I$131)+SUMIF(Data!$C$7:$C$131,H$5,Data!J$7:J$131)+SUMIF(Data!$C$7:$C$131,H$5,Data!K$7:K$131)+SUMIF(Data!$C$7:$C$131,H$5,Data!L$7:L$131)+SUMIF(Data!$C$7:$C$131,H$5,Data!M$7:M$131)</f>
        <v>5128530</v>
      </c>
      <c r="I8" s="16" t="n">
        <f aca="false">SUMIF(Data!$C$7:$C$131,I$5,Data!D$7:D$131)+SUMIF(Data!$C$7:$C$131,I$5,Data!E$7:E$131)+SUMIF(Data!$C$7:$C$131,I$5,Data!G$7:G$131)+SUMIF(Data!$C$7:$C$131,I$5,Data!H$7:H$131)+SUMIF(Data!$C$7:$C$131,I$5,Data!I$7:I$131)+SUMIF(Data!$C$7:$C$131,I$5,Data!J$7:J$131)+SUMIF(Data!$C$7:$C$131,I$5,Data!K$7:K$131)+SUMIF(Data!$C$7:$C$131,I$5,Data!L$7:L$131)+SUMIF(Data!$C$7:$C$131,I$5,Data!M$7:M$131)</f>
        <v>9152137</v>
      </c>
      <c r="J8" s="16" t="n">
        <f aca="false">SUMIF(Data!$C$7:$C$131,J$5,Data!D$7:D$131)+SUMIF(Data!$C$7:$C$131,J$5,Data!E$7:E$131)+SUMIF(Data!$C$7:$C$131,J$5,Data!G$7:G$131)+SUMIF(Data!$C$7:$C$131,J$5,Data!H$7:H$131)+SUMIF(Data!$C$7:$C$131,J$5,Data!I$7:I$131)+SUMIF(Data!$C$7:$C$131,J$5,Data!J$7:J$131)+SUMIF(Data!$C$7:$C$131,J$5,Data!K$7:K$131)+SUMIF(Data!$C$7:$C$131,J$5,Data!L$7:L$131)+SUMIF(Data!$C$7:$C$131,J$5,Data!M$7:M$131)</f>
        <v>19005565</v>
      </c>
      <c r="K8" s="16" t="n">
        <f aca="false">SUMIF(Data!$C$7:$C$131,K$5,Data!D$7:D$131)+SUMIF(Data!$C$7:$C$131,K$5,Data!E$7:E$131)+SUMIF(Data!$C$7:$C$131,K$5,Data!G$7:G$131)+SUMIF(Data!$C$7:$C$131,K$5,Data!H$7:H$131)+SUMIF(Data!$C$7:$C$131,K$5,Data!I$7:I$131)+SUMIF(Data!$C$7:$C$131,K$5,Data!J$7:J$131)+SUMIF(Data!$C$7:$C$131,K$5,Data!K$7:K$131)+SUMIF(Data!$C$7:$C$131,K$5,Data!L$7:L$131)+SUMIF(Data!$C$7:$C$131,K$5,Data!M$7:M$131)</f>
        <v>60630333</v>
      </c>
      <c r="L8" s="16" t="n">
        <f aca="false">SUMIF(Data!$C$7:$C$131,L$5,Data!D$7:D$131)+SUMIF(Data!$C$7:$C$131,L$5,Data!E$7:E$131)+SUMIF(Data!$C$7:$C$131,L$5,Data!G$7:G$131)+SUMIF(Data!$C$7:$C$131,L$5,Data!H$7:H$131)+SUMIF(Data!$C$7:$C$131,L$5,Data!I$7:I$131)+SUMIF(Data!$C$7:$C$131,L$5,Data!J$7:J$131)+SUMIF(Data!$C$7:$C$131,L$5,Data!K$7:K$131)+SUMIF(Data!$C$7:$C$131,L$5,Data!L$7:L$131)+SUMIF(Data!$C$7:$C$131,L$5,Data!M$7:M$131)</f>
        <v>77130568</v>
      </c>
      <c r="M8" s="16" t="n">
        <f aca="false">SUMIF(Data!$C$7:$C$131,M$5,Data!D$7:D$131)+SUMIF(Data!$C$7:$C$131,M$5,Data!E$7:E$131)+SUMIF(Data!$C$7:$C$131,M$5,Data!G$7:G$131)+SUMIF(Data!$C$7:$C$131,M$5,Data!H$7:H$131)+SUMIF(Data!$C$7:$C$131,M$5,Data!I$7:I$131)+SUMIF(Data!$C$7:$C$131,M$5,Data!J$7:J$131)+SUMIF(Data!$C$7:$C$131,M$5,Data!K$7:K$131)+SUMIF(Data!$C$7:$C$131,M$5,Data!L$7:L$131)+SUMIF(Data!$C$7:$C$131,M$5,Data!M$7:M$131)</f>
        <v>36232686</v>
      </c>
      <c r="O8" s="18" t="n">
        <f aca="false">C8/SUMIF(Data!$C$7:$C$131,C$5,Data!$AP$7:$AP$131)</f>
        <v>0.118697625306031</v>
      </c>
      <c r="P8" s="18" t="n">
        <f aca="false">D8/SUMIF(Data!$C$7:$C$131,D$5,Data!$AP$7:$AP$131)</f>
        <v>0.104839872854909</v>
      </c>
      <c r="Q8" s="18" t="n">
        <f aca="false">E8/SUMIF(Data!$C$7:$C$131,E$5,Data!$AP$7:$AP$131)</f>
        <v>0.0959395838280317</v>
      </c>
      <c r="R8" s="18" t="n">
        <f aca="false">F8/SUMIF(Data!$C$7:$C$131,F$5,Data!$AP$7:$AP$131)</f>
        <v>0.10248021539541</v>
      </c>
      <c r="S8" s="18" t="n">
        <f aca="false">G8/SUMIF(Data!$C$7:$C$131,G$5,Data!$AP$7:$AP$131)</f>
        <v>0.105410569322377</v>
      </c>
      <c r="T8" s="18" t="n">
        <f aca="false">H8/SUMIF(Data!$C$7:$C$131,H$5,Data!$AP$7:$AP$131)</f>
        <v>0.110961308846738</v>
      </c>
      <c r="U8" s="18" t="n">
        <f aca="false">I8/SUMIF(Data!$C$7:$C$131,I$5,Data!$AP$7:$AP$131)</f>
        <v>0.110519647079898</v>
      </c>
      <c r="V8" s="18" t="n">
        <f aca="false">J8/SUMIF(Data!$C$7:$C$131,J$5,Data!$AP$7:$AP$131)</f>
        <v>0.0979940163589218</v>
      </c>
      <c r="W8" s="18" t="n">
        <f aca="false">K8/SUMIF(Data!$C$7:$C$131,K$5,Data!$AP$7:$AP$131)</f>
        <v>0.103752084452259</v>
      </c>
      <c r="X8" s="18" t="n">
        <f aca="false">L8/SUMIF(Data!$C$7:$C$131,L$5,Data!$AP$7:$AP$131)</f>
        <v>0.0907162522397007</v>
      </c>
      <c r="Y8" s="18" t="n">
        <f aca="false">M8/SUMIF(Data!$C$7:$C$131,M$5,Data!$AP$7:$AP$131)</f>
        <v>0.084675140003541</v>
      </c>
      <c r="AA8" s="21" t="n">
        <f aca="false">'Rolling 12m %GDP'!D131</f>
        <v>0.0875181105236312</v>
      </c>
    </row>
    <row r="9" customFormat="false" ht="15" hidden="false" customHeight="false" outlineLevel="0" collapsed="false">
      <c r="B9" s="8" t="s">
        <v>200</v>
      </c>
      <c r="C9" s="16" t="n">
        <f aca="false">SUMIF(Data!$C$7:$C$131,C$5,Data!D$7:D$131)</f>
        <v>277842</v>
      </c>
      <c r="D9" s="16" t="n">
        <f aca="false">SUMIF(Data!$C$7:$C$131,D$5,Data!D$7:D$131)</f>
        <v>348556</v>
      </c>
      <c r="E9" s="16" t="n">
        <f aca="false">SUMIF(Data!$C$7:$C$131,E$5,Data!D$7:D$131)</f>
        <v>495578</v>
      </c>
      <c r="F9" s="16" t="n">
        <f aca="false">SUMIF(Data!$C$7:$C$131,F$5,Data!D$7:D$131)</f>
        <v>685753</v>
      </c>
      <c r="G9" s="16" t="n">
        <f aca="false">SUMIF(Data!$C$7:$C$131,G$5,Data!D$7:D$131)</f>
        <v>834496</v>
      </c>
      <c r="H9" s="16" t="n">
        <f aca="false">SUMIF(Data!$C$7:$C$131,H$5,Data!D$7:D$131)</f>
        <v>1457449</v>
      </c>
      <c r="I9" s="16" t="n">
        <f aca="false">SUMIF(Data!$C$7:$C$131,I$5,Data!D$7:D$131)</f>
        <v>2634872</v>
      </c>
      <c r="J9" s="16" t="n">
        <f aca="false">SUMIF(Data!$C$7:$C$131,J$5,Data!D$7:D$131)</f>
        <v>6650748</v>
      </c>
      <c r="K9" s="16" t="n">
        <f aca="false">SUMIF(Data!$C$7:$C$131,K$5,Data!D$7:D$131)</f>
        <v>19590558</v>
      </c>
      <c r="L9" s="16" t="n">
        <f aca="false">SUMIF(Data!$C$7:$C$131,L$5,Data!D$7:D$131)</f>
        <v>28033392</v>
      </c>
      <c r="M9" s="16" t="n">
        <f aca="false">SUMIF(Data!$C$7:$C$131,M$5,Data!D$7:D$131)</f>
        <v>13096612</v>
      </c>
      <c r="O9" s="18" t="n">
        <f aca="false">C9/SUMIF(Data!$C$7:$C$131,C$5,Data!$AP$7:$AP$131)</f>
        <v>0.0337672110137051</v>
      </c>
      <c r="P9" s="18" t="n">
        <f aca="false">D9/SUMIF(Data!$C$7:$C$131,D$5,Data!$AP$7:$AP$131)</f>
        <v>0.0326968601254417</v>
      </c>
      <c r="Q9" s="18" t="n">
        <f aca="false">E9/SUMIF(Data!$C$7:$C$131,E$5,Data!$AP$7:$AP$131)</f>
        <v>0.0336103332112703</v>
      </c>
      <c r="R9" s="18" t="n">
        <f aca="false">F9/SUMIF(Data!$C$7:$C$131,F$5,Data!$AP$7:$AP$131)</f>
        <v>0.0318090208761855</v>
      </c>
      <c r="S9" s="18" t="n">
        <f aca="false">G9/SUMIF(Data!$C$7:$C$131,G$5,Data!$AP$7:$AP$131)</f>
        <v>0.0306689342163648</v>
      </c>
      <c r="T9" s="18" t="n">
        <f aca="false">H9/SUMIF(Data!$C$7:$C$131,H$5,Data!$AP$7:$AP$131)</f>
        <v>0.0315334898338061</v>
      </c>
      <c r="U9" s="18" t="n">
        <f aca="false">I9/SUMIF(Data!$C$7:$C$131,I$5,Data!$AP$7:$AP$131)</f>
        <v>0.0318182653450998</v>
      </c>
      <c r="V9" s="18" t="n">
        <f aca="false">J9/SUMIF(Data!$C$7:$C$131,J$5,Data!$AP$7:$AP$131)</f>
        <v>0.0342917197310928</v>
      </c>
      <c r="W9" s="18" t="n">
        <f aca="false">K9/SUMIF(Data!$C$7:$C$131,K$5,Data!$AP$7:$AP$131)</f>
        <v>0.0335238341521707</v>
      </c>
      <c r="X9" s="18" t="n">
        <f aca="false">L9/SUMIF(Data!$C$7:$C$131,L$5,Data!$AP$7:$AP$131)</f>
        <v>0.0329711594993882</v>
      </c>
      <c r="Y9" s="18" t="n">
        <f aca="false">M9/SUMIF(Data!$C$7:$C$131,M$5,Data!$AP$7:$AP$131)</f>
        <v>0.0306065483158509</v>
      </c>
      <c r="AA9" s="21" t="n">
        <f aca="false">'Rolling 12m %GDP'!E131</f>
        <v>0.0316505120331699</v>
      </c>
    </row>
    <row r="10" customFormat="false" ht="15" hidden="false" customHeight="false" outlineLevel="0" collapsed="false">
      <c r="B10" s="8" t="s">
        <v>201</v>
      </c>
      <c r="C10" s="16" t="n">
        <f aca="false">SUMIF(Data!$C$7:$C$131,C$5,Data!E$7:E$131)</f>
        <v>223422</v>
      </c>
      <c r="D10" s="16" t="n">
        <f aca="false">SUMIF(Data!$C$7:$C$131,D$5,Data!E$7:E$131)</f>
        <v>274173</v>
      </c>
      <c r="E10" s="16" t="n">
        <f aca="false">SUMIF(Data!$C$7:$C$131,E$5,Data!E$7:E$131)</f>
        <v>286728</v>
      </c>
      <c r="F10" s="16" t="n">
        <f aca="false">SUMIF(Data!$C$7:$C$131,F$5,Data!E$7:E$131)</f>
        <v>351953</v>
      </c>
      <c r="G10" s="16" t="n">
        <f aca="false">SUMIF(Data!$C$7:$C$131,G$5,Data!E$7:E$131)</f>
        <v>479658</v>
      </c>
      <c r="H10" s="16" t="n">
        <f aca="false">SUMIF(Data!$C$7:$C$131,H$5,Data!E$7:E$131)</f>
        <v>822300</v>
      </c>
      <c r="I10" s="16" t="n">
        <f aca="false">SUMIF(Data!$C$7:$C$131,I$5,Data!E$7:E$131)</f>
        <v>1696305</v>
      </c>
      <c r="J10" s="16" t="n">
        <f aca="false">SUMIF(Data!$C$7:$C$131,J$5,Data!E$7:E$131)</f>
        <v>3108216</v>
      </c>
      <c r="K10" s="16" t="n">
        <f aca="false">SUMIF(Data!$C$7:$C$131,K$5,Data!E$7:E$131)</f>
        <v>9520962</v>
      </c>
      <c r="L10" s="16" t="n">
        <f aca="false">SUMIF(Data!$C$7:$C$131,L$5,Data!E$7:E$131)</f>
        <v>12446791</v>
      </c>
      <c r="M10" s="16" t="n">
        <f aca="false">SUMIF(Data!$C$7:$C$131,M$5,Data!E$7:E$131)</f>
        <v>7002538</v>
      </c>
      <c r="O10" s="18" t="n">
        <f aca="false">C10/SUMIF(Data!$C$7:$C$131,C$5,Data!$AP$7:$AP$131)</f>
        <v>0.0271533382969602</v>
      </c>
      <c r="P10" s="18" t="n">
        <f aca="false">D10/SUMIF(Data!$C$7:$C$131,D$5,Data!$AP$7:$AP$131)</f>
        <v>0.0257192423345825</v>
      </c>
      <c r="Q10" s="18" t="n">
        <f aca="false">E10/SUMIF(Data!$C$7:$C$131,E$5,Data!$AP$7:$AP$131)</f>
        <v>0.0194460279128636</v>
      </c>
      <c r="R10" s="18" t="n">
        <f aca="false">F10/SUMIF(Data!$C$7:$C$131,F$5,Data!$AP$7:$AP$131)</f>
        <v>0.0163255287609913</v>
      </c>
      <c r="S10" s="18" t="n">
        <f aca="false">G10/SUMIF(Data!$C$7:$C$131,G$5,Data!$AP$7:$AP$131)</f>
        <v>0.0176281248182773</v>
      </c>
      <c r="T10" s="18" t="n">
        <f aca="false">H10/SUMIF(Data!$C$7:$C$131,H$5,Data!$AP$7:$AP$131)</f>
        <v>0.0177913523494398</v>
      </c>
      <c r="U10" s="18" t="n">
        <f aca="false">I10/SUMIF(Data!$C$7:$C$131,I$5,Data!$AP$7:$AP$131)</f>
        <v>0.0204842901652223</v>
      </c>
      <c r="V10" s="18" t="n">
        <f aca="false">J10/SUMIF(Data!$C$7:$C$131,J$5,Data!$AP$7:$AP$131)</f>
        <v>0.0160261780984181</v>
      </c>
      <c r="W10" s="18" t="n">
        <f aca="false">K10/SUMIF(Data!$C$7:$C$131,K$5,Data!$AP$7:$AP$131)</f>
        <v>0.016292499226266</v>
      </c>
      <c r="X10" s="18" t="n">
        <f aca="false">L10/SUMIF(Data!$C$7:$C$131,L$5,Data!$AP$7:$AP$131)</f>
        <v>0.0146391535964164</v>
      </c>
      <c r="Y10" s="18" t="n">
        <f aca="false">M10/SUMIF(Data!$C$7:$C$131,M$5,Data!$AP$7:$AP$131)</f>
        <v>0.0163648062285561</v>
      </c>
      <c r="AA10" s="21" t="n">
        <f aca="false">'Rolling 12m %GDP'!F131</f>
        <v>0.0150496822769712</v>
      </c>
    </row>
    <row r="11" customFormat="false" ht="15" hidden="false" customHeight="false" outlineLevel="0" collapsed="false">
      <c r="B11" s="8" t="s">
        <v>202</v>
      </c>
      <c r="C11" s="16" t="n">
        <f aca="false">SUMIF(Data!$C$7:$C$131,C$5,Data!K$7:K$131)</f>
        <v>72118</v>
      </c>
      <c r="D11" s="16" t="n">
        <f aca="false">SUMIF(Data!$C$7:$C$131,D$5,Data!K$7:K$131)</f>
        <v>65625</v>
      </c>
      <c r="E11" s="16" t="n">
        <f aca="false">SUMIF(Data!$C$7:$C$131,E$5,Data!K$7:K$131)</f>
        <v>96565</v>
      </c>
      <c r="F11" s="16" t="n">
        <f aca="false">SUMIF(Data!$C$7:$C$131,F$5,Data!K$7:K$131)</f>
        <v>390718</v>
      </c>
      <c r="G11" s="16" t="n">
        <f aca="false">SUMIF(Data!$C$7:$C$131,G$5,Data!K$7:K$131)</f>
        <v>376805</v>
      </c>
      <c r="H11" s="16" t="n">
        <f aca="false">SUMIF(Data!$C$7:$C$131,H$5,Data!K$7:K$131)</f>
        <v>936843</v>
      </c>
      <c r="I11" s="16" t="n">
        <f aca="false">SUMIF(Data!$C$7:$C$131,I$5,Data!K$7:K$131)</f>
        <v>1518048</v>
      </c>
      <c r="J11" s="16" t="n">
        <f aca="false">SUMIF(Data!$C$7:$C$131,J$5,Data!K$7:K$131)</f>
        <v>1529861</v>
      </c>
      <c r="K11" s="16" t="n">
        <f aca="false">SUMIF(Data!$C$7:$C$131,K$5,Data!K$7:K$131)</f>
        <v>5902180</v>
      </c>
      <c r="L11" s="16" t="n">
        <f aca="false">SUMIF(Data!$C$7:$C$131,L$5,Data!K$7:K$131)</f>
        <v>7075419</v>
      </c>
      <c r="M11" s="16" t="n">
        <f aca="false">SUMIF(Data!$C$7:$C$131,M$5,Data!K$7:K$131)</f>
        <v>2451196</v>
      </c>
      <c r="O11" s="18" t="n">
        <f aca="false">C11/SUMIF(Data!$C$7:$C$131,C$5,Data!$AP$7:$AP$131)</f>
        <v>0.00876477898908872</v>
      </c>
      <c r="P11" s="18" t="n">
        <f aca="false">D11/SUMIF(Data!$C$7:$C$131,D$5,Data!$AP$7:$AP$131)</f>
        <v>0.00615605941579577</v>
      </c>
      <c r="Q11" s="18" t="n">
        <f aca="false">E11/SUMIF(Data!$C$7:$C$131,E$5,Data!$AP$7:$AP$131)</f>
        <v>0.00654908374977565</v>
      </c>
      <c r="R11" s="18" t="n">
        <f aca="false">F11/SUMIF(Data!$C$7:$C$131,F$5,Data!$AP$7:$AP$131)</f>
        <v>0.0181236640870713</v>
      </c>
      <c r="S11" s="18" t="n">
        <f aca="false">G11/SUMIF(Data!$C$7:$C$131,G$5,Data!$AP$7:$AP$131)</f>
        <v>0.0138481284001329</v>
      </c>
      <c r="T11" s="18" t="n">
        <f aca="false">H11/SUMIF(Data!$C$7:$C$131,H$5,Data!$AP$7:$AP$131)</f>
        <v>0.0202696143853901</v>
      </c>
      <c r="U11" s="18" t="n">
        <f aca="false">I11/SUMIF(Data!$C$7:$C$131,I$5,Data!$AP$7:$AP$131)</f>
        <v>0.0183316890044746</v>
      </c>
      <c r="V11" s="18" t="n">
        <f aca="false">J11/SUMIF(Data!$C$7:$C$131,J$5,Data!$AP$7:$AP$131)</f>
        <v>0.00788806982906725</v>
      </c>
      <c r="W11" s="18" t="n">
        <f aca="false">K11/SUMIF(Data!$C$7:$C$131,K$5,Data!$AP$7:$AP$131)</f>
        <v>0.0100999524085153</v>
      </c>
      <c r="X11" s="18" t="n">
        <f aca="false">L11/SUMIF(Data!$C$7:$C$131,L$5,Data!$AP$7:$AP$131)</f>
        <v>0.00832167467903998</v>
      </c>
      <c r="Y11" s="18" t="n">
        <f aca="false">M11/SUMIF(Data!$C$7:$C$131,M$5,Data!$AP$7:$AP$131)</f>
        <v>0.00572840126939857</v>
      </c>
      <c r="AA11" s="21" t="n">
        <f aca="false">'Rolling 12m %GDP'!G131</f>
        <v>0.0068313646690899</v>
      </c>
    </row>
    <row r="12" customFormat="false" ht="15" hidden="false" customHeight="false" outlineLevel="0" collapsed="false">
      <c r="B12" s="8" t="s">
        <v>203</v>
      </c>
      <c r="C12" s="16" t="n">
        <f aca="false">SUMIF(Data!$C$7:$C$131,C$5,Data!L$7:L$131)</f>
        <v>55396</v>
      </c>
      <c r="D12" s="16" t="n">
        <f aca="false">SUMIF(Data!$C$7:$C$131,D$5,Data!L$7:L$131)</f>
        <v>66174</v>
      </c>
      <c r="E12" s="16" t="n">
        <f aca="false">SUMIF(Data!$C$7:$C$131,E$5,Data!L$7:L$131)</f>
        <v>104050</v>
      </c>
      <c r="F12" s="16" t="n">
        <f aca="false">SUMIF(Data!$C$7:$C$131,F$5,Data!L$7:L$131)</f>
        <v>130990</v>
      </c>
      <c r="G12" s="16" t="n">
        <f aca="false">SUMIF(Data!$C$7:$C$131,G$5,Data!L$7:L$131)</f>
        <v>161216</v>
      </c>
      <c r="H12" s="16" t="n">
        <f aca="false">SUMIF(Data!$C$7:$C$131,H$5,Data!L$7:L$131)</f>
        <v>300220</v>
      </c>
      <c r="I12" s="16" t="n">
        <f aca="false">SUMIF(Data!$C$7:$C$131,I$5,Data!L$7:L$131)</f>
        <v>520726</v>
      </c>
      <c r="J12" s="16" t="n">
        <f aca="false">SUMIF(Data!$C$7:$C$131,J$5,Data!L$7:L$131)</f>
        <v>1099261</v>
      </c>
      <c r="K12" s="16" t="n">
        <f aca="false">SUMIF(Data!$C$7:$C$131,K$5,Data!L$7:L$131)</f>
        <v>3147990</v>
      </c>
      <c r="L12" s="16" t="n">
        <f aca="false">SUMIF(Data!$C$7:$C$131,L$5,Data!L$7:L$131)</f>
        <v>5519368</v>
      </c>
      <c r="M12" s="16" t="n">
        <f aca="false">SUMIF(Data!$C$7:$C$131,M$5,Data!L$7:L$131)</f>
        <v>2097010</v>
      </c>
      <c r="O12" s="18" t="n">
        <f aca="false">C12/SUMIF(Data!$C$7:$C$131,C$5,Data!$AP$7:$AP$131)</f>
        <v>0.00673248976510106</v>
      </c>
      <c r="P12" s="18" t="n">
        <f aca="false">D12/SUMIF(Data!$C$7:$C$131,D$5,Data!$AP$7:$AP$131)</f>
        <v>0.0062075592499942</v>
      </c>
      <c r="Q12" s="18" t="n">
        <f aca="false">E12/SUMIF(Data!$C$7:$C$131,E$5,Data!$AP$7:$AP$131)</f>
        <v>0.00705671997270394</v>
      </c>
      <c r="R12" s="18" t="n">
        <f aca="false">F12/SUMIF(Data!$C$7:$C$131,F$5,Data!$AP$7:$AP$131)</f>
        <v>0.00607604143849394</v>
      </c>
      <c r="S12" s="18" t="n">
        <f aca="false">G12/SUMIF(Data!$C$7:$C$131,G$5,Data!$AP$7:$AP$131)</f>
        <v>0.00592492102853155</v>
      </c>
      <c r="T12" s="18" t="n">
        <f aca="false">H12/SUMIF(Data!$C$7:$C$131,H$5,Data!$AP$7:$AP$131)</f>
        <v>0.00649558531235417</v>
      </c>
      <c r="U12" s="18" t="n">
        <f aca="false">I12/SUMIF(Data!$C$7:$C$131,I$5,Data!$AP$7:$AP$131)</f>
        <v>0.00628819845521621</v>
      </c>
      <c r="V12" s="18" t="n">
        <f aca="false">J12/SUMIF(Data!$C$7:$C$131,J$5,Data!$AP$7:$AP$131)</f>
        <v>0.00566786624952874</v>
      </c>
      <c r="W12" s="18" t="n">
        <f aca="false">K12/SUMIF(Data!$C$7:$C$131,K$5,Data!$AP$7:$AP$131)</f>
        <v>0.00538691622120676</v>
      </c>
      <c r="X12" s="18" t="n">
        <f aca="false">L12/SUMIF(Data!$C$7:$C$131,L$5,Data!$AP$7:$AP$131)</f>
        <v>0.00649154275243678</v>
      </c>
      <c r="Y12" s="18" t="n">
        <f aca="false">M12/SUMIF(Data!$C$7:$C$131,M$5,Data!$AP$7:$AP$131)</f>
        <v>0.00490067491377331</v>
      </c>
      <c r="AA12" s="21" t="n">
        <f aca="false">'Rolling 12m %GDP'!H131</f>
        <v>0.0058947581295187</v>
      </c>
    </row>
    <row r="13" customFormat="false" ht="15" hidden="false" customHeight="false" outlineLevel="0" collapsed="false">
      <c r="B13" s="8" t="s">
        <v>204</v>
      </c>
      <c r="C13" s="16" t="n">
        <f aca="false">SUMIF(Data!$C$7:$C$131,C$5,Data!G$7:G$131)</f>
        <v>109339</v>
      </c>
      <c r="D13" s="16" t="n">
        <f aca="false">SUMIF(Data!$C$7:$C$131,D$5,Data!G$7:G$131)</f>
        <v>139006</v>
      </c>
      <c r="E13" s="16" t="n">
        <f aca="false">SUMIF(Data!$C$7:$C$131,E$5,Data!G$7:G$131)</f>
        <v>232592</v>
      </c>
      <c r="F13" s="16" t="n">
        <f aca="false">SUMIF(Data!$C$7:$C$131,F$5,Data!G$7:G$131)</f>
        <v>343315</v>
      </c>
      <c r="G13" s="16" t="n">
        <f aca="false">SUMIF(Data!$C$7:$C$131,G$5,Data!G$7:G$131)</f>
        <v>440836</v>
      </c>
      <c r="H13" s="16" t="n">
        <f aca="false">SUMIF(Data!$C$7:$C$131,H$5,Data!G$7:G$131)</f>
        <v>739435</v>
      </c>
      <c r="I13" s="16" t="n">
        <f aca="false">SUMIF(Data!$C$7:$C$131,I$5,Data!G$7:G$131)</f>
        <v>1317857</v>
      </c>
      <c r="J13" s="16" t="n">
        <f aca="false">SUMIF(Data!$C$7:$C$131,J$5,Data!G$7:G$131)</f>
        <v>3007930</v>
      </c>
      <c r="K13" s="16" t="n">
        <f aca="false">SUMIF(Data!$C$7:$C$131,K$5,Data!G$7:G$131)</f>
        <v>9277118</v>
      </c>
      <c r="L13" s="16" t="n">
        <f aca="false">SUMIF(Data!$C$7:$C$131,L$5,Data!G$7:G$131)</f>
        <v>13768776</v>
      </c>
      <c r="M13" s="16" t="n">
        <f aca="false">SUMIF(Data!$C$7:$C$131,M$5,Data!G$7:G$131)</f>
        <v>6678189</v>
      </c>
      <c r="O13" s="18" t="n">
        <f aca="false">C13/SUMIF(Data!$C$7:$C$131,C$5,Data!$AP$7:$AP$131)</f>
        <v>0.0132883908301391</v>
      </c>
      <c r="P13" s="18" t="n">
        <f aca="false">D13/SUMIF(Data!$C$7:$C$131,D$5,Data!$AP$7:$AP$131)</f>
        <v>0.0130396829737464</v>
      </c>
      <c r="Q13" s="18" t="n">
        <f aca="false">E13/SUMIF(Data!$C$7:$C$131,E$5,Data!$AP$7:$AP$131)</f>
        <v>0.0157744989129376</v>
      </c>
      <c r="R13" s="18" t="n">
        <f aca="false">F13/SUMIF(Data!$C$7:$C$131,F$5,Data!$AP$7:$AP$131)</f>
        <v>0.0159248504958893</v>
      </c>
      <c r="S13" s="18" t="n">
        <f aca="false">G13/SUMIF(Data!$C$7:$C$131,G$5,Data!$AP$7:$AP$131)</f>
        <v>0.0162013602032908</v>
      </c>
      <c r="T13" s="18" t="n">
        <f aca="false">H13/SUMIF(Data!$C$7:$C$131,H$5,Data!$AP$7:$AP$131)</f>
        <v>0.0159984782007881</v>
      </c>
      <c r="U13" s="18" t="n">
        <f aca="false">I13/SUMIF(Data!$C$7:$C$131,I$5,Data!$AP$7:$AP$131)</f>
        <v>0.0159142165968204</v>
      </c>
      <c r="V13" s="18" t="n">
        <f aca="false">J13/SUMIF(Data!$C$7:$C$131,J$5,Data!$AP$7:$AP$131)</f>
        <v>0.0155090965002352</v>
      </c>
      <c r="W13" s="18" t="n">
        <f aca="false">K13/SUMIF(Data!$C$7:$C$131,K$5,Data!$AP$7:$AP$131)</f>
        <v>0.0158752275071551</v>
      </c>
      <c r="X13" s="18" t="n">
        <f aca="false">L13/SUMIF(Data!$C$7:$C$131,L$5,Data!$AP$7:$AP$131)</f>
        <v>0.0161939914230625</v>
      </c>
      <c r="Y13" s="18" t="n">
        <f aca="false">M13/SUMIF(Data!$C$7:$C$131,M$5,Data!$AP$7:$AP$131)</f>
        <v>0.0156068084089904</v>
      </c>
      <c r="AA13" s="21" t="n">
        <f aca="false">'Rolling 12m %GDP'!I131</f>
        <v>0.0159812913782013</v>
      </c>
    </row>
    <row r="14" customFormat="false" ht="15" hidden="false" customHeight="false" outlineLevel="0" collapsed="false">
      <c r="B14" s="8" t="s">
        <v>205</v>
      </c>
      <c r="C14" s="16" t="n">
        <f aca="false">SUMIF(Data!$C$7:$C$131,C$5,Data!H$7:H$131)+SUMIF(Data!$C$7:$C$131,C$5,Data!I$7:I$131)+SUMIF(Data!$C$7:$C$131,C$5,Data!J$7:J$131)+SUMIF(Data!$C$7:$C$131,C$5,Data!M$7:M$131)</f>
        <v>238546</v>
      </c>
      <c r="D14" s="16" t="n">
        <f aca="false">SUMIF(Data!$C$7:$C$131,D$5,Data!H$7:H$131)+SUMIF(Data!$C$7:$C$131,D$5,Data!I$7:I$131)+SUMIF(Data!$C$7:$C$131,D$5,Data!J$7:J$131)+SUMIF(Data!$C$7:$C$131,D$5,Data!M$7:M$131)</f>
        <v>224083</v>
      </c>
      <c r="E14" s="16" t="n">
        <f aca="false">SUMIF(Data!$C$7:$C$131,E$5,Data!H$7:H$131)+SUMIF(Data!$C$7:$C$131,E$5,Data!I$7:I$131)+SUMIF(Data!$C$7:$C$131,E$5,Data!J$7:J$131)+SUMIF(Data!$C$7:$C$131,E$5,Data!M$7:M$131)</f>
        <v>199098</v>
      </c>
      <c r="F14" s="16" t="n">
        <f aca="false">SUMIF(Data!$C$7:$C$131,F$5,Data!H$7:H$131)+SUMIF(Data!$C$7:$C$131,F$5,Data!I$7:I$131)+SUMIF(Data!$C$7:$C$131,F$5,Data!J$7:J$131)+SUMIF(Data!$C$7:$C$131,F$5,Data!M$7:M$131)</f>
        <v>306585</v>
      </c>
      <c r="G14" s="16" t="n">
        <f aca="false">SUMIF(Data!$C$7:$C$131,G$5,Data!H$7:H$131)+SUMIF(Data!$C$7:$C$131,G$5,Data!I$7:I$131)+SUMIF(Data!$C$7:$C$131,G$5,Data!J$7:J$131)+SUMIF(Data!$C$7:$C$131,G$5,Data!M$7:M$131)</f>
        <v>575191</v>
      </c>
      <c r="H14" s="16" t="n">
        <f aca="false">SUMIF(Data!$C$7:$C$131,H$5,Data!H$7:H$131)+SUMIF(Data!$C$7:$C$131,H$5,Data!I$7:I$131)+SUMIF(Data!$C$7:$C$131,H$5,Data!J$7:J$131)+SUMIF(Data!$C$7:$C$131,H$5,Data!M$7:M$131)</f>
        <v>872283</v>
      </c>
      <c r="I14" s="16" t="n">
        <f aca="false">SUMIF(Data!$C$7:$C$131,I$5,Data!H$7:H$131)+SUMIF(Data!$C$7:$C$131,I$5,Data!I$7:I$131)+SUMIF(Data!$C$7:$C$131,I$5,Data!J$7:J$131)+SUMIF(Data!$C$7:$C$131,I$5,Data!M$7:M$131)</f>
        <v>1464329</v>
      </c>
      <c r="J14" s="16" t="n">
        <f aca="false">SUMIF(Data!$C$7:$C$131,J$5,Data!H$7:H$131)+SUMIF(Data!$C$7:$C$131,J$5,Data!I$7:I$131)+SUMIF(Data!$C$7:$C$131,J$5,Data!J$7:J$131)+SUMIF(Data!$C$7:$C$131,J$5,Data!M$7:M$131)</f>
        <v>3609549</v>
      </c>
      <c r="K14" s="16" t="n">
        <f aca="false">SUMIF(Data!$C$7:$C$131,K$5,Data!H$7:H$131)+SUMIF(Data!$C$7:$C$131,K$5,Data!I$7:I$131)+SUMIF(Data!$C$7:$C$131,K$5,Data!J$7:J$131)+SUMIF(Data!$C$7:$C$131,K$5,Data!M$7:M$131)</f>
        <v>13191525</v>
      </c>
      <c r="L14" s="16" t="n">
        <f aca="false">SUMIF(Data!$C$7:$C$131,L$5,Data!H$7:H$131)+SUMIF(Data!$C$7:$C$131,L$5,Data!I$7:I$131)+SUMIF(Data!$C$7:$C$131,L$5,Data!J$7:J$131)+SUMIF(Data!$C$7:$C$131,L$5,Data!M$7:M$131)</f>
        <v>10286822</v>
      </c>
      <c r="M14" s="16" t="n">
        <f aca="false">SUMIF(Data!$C$7:$C$131,M$5,Data!H$7:H$131)+SUMIF(Data!$C$7:$C$131,M$5,Data!I$7:I$131)+SUMIF(Data!$C$7:$C$131,M$5,Data!J$7:J$131)+SUMIF(Data!$C$7:$C$131,M$5,Data!M$7:M$131)</f>
        <v>4907141</v>
      </c>
      <c r="O14" s="18" t="n">
        <f aca="false">C14/SUMIF(Data!$C$7:$C$131,C$5,Data!$AP$7:$AP$131)</f>
        <v>0.0289914164110369</v>
      </c>
      <c r="P14" s="18" t="n">
        <f aca="false">D14/SUMIF(Data!$C$7:$C$131,D$5,Data!$AP$7:$AP$131)</f>
        <v>0.0210204687553488</v>
      </c>
      <c r="Q14" s="18" t="n">
        <f aca="false">E14/SUMIF(Data!$C$7:$C$131,E$5,Data!$AP$7:$AP$131)</f>
        <v>0.0135029200684806</v>
      </c>
      <c r="R14" s="18" t="n">
        <f aca="false">F14/SUMIF(Data!$C$7:$C$131,F$5,Data!$AP$7:$AP$131)</f>
        <v>0.0142211097367789</v>
      </c>
      <c r="S14" s="18" t="n">
        <f aca="false">G14/SUMIF(Data!$C$7:$C$131,G$5,Data!$AP$7:$AP$131)</f>
        <v>0.0211391006557792</v>
      </c>
      <c r="T14" s="18" t="n">
        <f aca="false">H14/SUMIF(Data!$C$7:$C$131,H$5,Data!$AP$7:$AP$131)</f>
        <v>0.0188727887649598</v>
      </c>
      <c r="U14" s="18" t="n">
        <f aca="false">I14/SUMIF(Data!$C$7:$C$131,I$5,Data!$AP$7:$AP$131)</f>
        <v>0.017682987513065</v>
      </c>
      <c r="V14" s="18" t="n">
        <f aca="false">J14/SUMIF(Data!$C$7:$C$131,J$5,Data!$AP$7:$AP$131)</f>
        <v>0.0186110859505797</v>
      </c>
      <c r="W14" s="18" t="n">
        <f aca="false">K14/SUMIF(Data!$C$7:$C$131,K$5,Data!$AP$7:$AP$131)</f>
        <v>0.0225736549369453</v>
      </c>
      <c r="X14" s="18" t="n">
        <f aca="false">L14/SUMIF(Data!$C$7:$C$131,L$5,Data!$AP$7:$AP$131)</f>
        <v>0.0120987302893569</v>
      </c>
      <c r="Y14" s="18" t="n">
        <f aca="false">M14/SUMIF(Data!$C$7:$C$131,M$5,Data!$AP$7:$AP$131)</f>
        <v>0.0114679008669718</v>
      </c>
      <c r="AA14" s="21" t="n">
        <f aca="false">'Rolling 12m %GDP'!J131</f>
        <v>0.0121105020366803</v>
      </c>
    </row>
    <row r="15" customFormat="false" ht="15" hidden="false" customHeight="false" outlineLevel="0" collapsed="false">
      <c r="B15" s="8" t="s">
        <v>206</v>
      </c>
      <c r="C15" s="16" t="n">
        <f aca="false">SUMIF(Data!$C$7:$C$131,C$5,Data!F$7:F$131)</f>
        <v>558088</v>
      </c>
      <c r="D15" s="16" t="n">
        <f aca="false">SUMIF(Data!$C$7:$C$131,D$5,Data!F$7:F$131)</f>
        <v>727255</v>
      </c>
      <c r="E15" s="16" t="n">
        <f aca="false">SUMIF(Data!$C$7:$C$131,E$5,Data!F$7:F$131)</f>
        <v>901923</v>
      </c>
      <c r="F15" s="16" t="n">
        <f aca="false">SUMIF(Data!$C$7:$C$131,F$5,Data!F$7:F$131)</f>
        <v>1224439</v>
      </c>
      <c r="G15" s="16" t="n">
        <f aca="false">SUMIF(Data!$C$7:$C$131,G$5,Data!F$7:F$131)</f>
        <v>1533019</v>
      </c>
      <c r="H15" s="16" t="n">
        <f aca="false">SUMIF(Data!$C$7:$C$131,H$5,Data!F$7:F$131)</f>
        <v>2382291</v>
      </c>
      <c r="I15" s="16" t="n">
        <f aca="false">SUMIF(Data!$C$7:$C$131,I$5,Data!F$7:F$131)</f>
        <v>4274214</v>
      </c>
      <c r="J15" s="16" t="n">
        <f aca="false">SUMIF(Data!$C$7:$C$131,J$5,Data!F$7:F$131)</f>
        <v>9619769</v>
      </c>
      <c r="K15" s="16" t="n">
        <f aca="false">SUMIF(Data!$C$7:$C$131,K$5,Data!F$7:F$131)</f>
        <v>29444259</v>
      </c>
      <c r="L15" s="16" t="n">
        <f aca="false">SUMIF(Data!$C$7:$C$131,L$5,Data!F$7:F$131)</f>
        <v>46988475</v>
      </c>
      <c r="M15" s="16" t="n">
        <f aca="false">SUMIF(Data!$C$7:$C$131,M$5,Data!F$7:F$131)</f>
        <v>24021173</v>
      </c>
      <c r="O15" s="18" t="n">
        <f aca="false">C15/SUMIF(Data!$C$7:$C$131,C$5,Data!$AP$7:$AP$131)</f>
        <v>0.067826589429304</v>
      </c>
      <c r="P15" s="18" t="n">
        <f aca="false">D15/SUMIF(Data!$C$7:$C$131,D$5,Data!$AP$7:$AP$131)</f>
        <v>0.0682213331875742</v>
      </c>
      <c r="Q15" s="18" t="n">
        <f aca="false">E15/SUMIF(Data!$C$7:$C$131,E$5,Data!$AP$7:$AP$131)</f>
        <v>0.0611688423636815</v>
      </c>
      <c r="R15" s="18" t="n">
        <f aca="false">F15/SUMIF(Data!$C$7:$C$131,F$5,Data!$AP$7:$AP$131)</f>
        <v>0.0567962600420496</v>
      </c>
      <c r="S15" s="18" t="n">
        <f aca="false">G15/SUMIF(Data!$C$7:$C$131,G$5,Data!$AP$7:$AP$131)</f>
        <v>0.0563406641415146</v>
      </c>
      <c r="T15" s="18" t="n">
        <f aca="false">H15/SUMIF(Data!$C$7:$C$131,H$5,Data!$AP$7:$AP$131)</f>
        <v>0.0515434495681617</v>
      </c>
      <c r="U15" s="18" t="n">
        <f aca="false">I15/SUMIF(Data!$C$7:$C$131,I$5,Data!$AP$7:$AP$131)</f>
        <v>0.051614680027622</v>
      </c>
      <c r="V15" s="18" t="n">
        <f aca="false">J15/SUMIF(Data!$C$7:$C$131,J$5,Data!$AP$7:$AP$131)</f>
        <v>0.049600198718378</v>
      </c>
      <c r="W15" s="18" t="n">
        <f aca="false">K15/SUMIF(Data!$C$7:$C$131,K$5,Data!$AP$7:$AP$131)</f>
        <v>0.0503857243601515</v>
      </c>
      <c r="X15" s="18" t="n">
        <f aca="false">L15/SUMIF(Data!$C$7:$C$131,L$5,Data!$AP$7:$AP$131)</f>
        <v>0.0552649677162869</v>
      </c>
      <c r="Y15" s="18" t="n">
        <f aca="false">M15/SUMIF(Data!$C$7:$C$131,M$5,Data!$AP$7:$AP$131)</f>
        <v>0.0561370522412906</v>
      </c>
      <c r="AA15" s="21" t="n">
        <f aca="false">'Rolling 12m %GDP'!K131</f>
        <v>0.0544465315143258</v>
      </c>
    </row>
    <row r="16" customFormat="false" ht="15" hidden="false" customHeight="false" outlineLevel="0" collapsed="false">
      <c r="B16" s="8" t="s">
        <v>207</v>
      </c>
      <c r="C16" s="16" t="n">
        <f aca="false">SUMIF(Data!$C$7:$C$131,C$5,Data!N$7:N$131)+SUMIF(Data!$C$7:$C$131,C$5,Data!O$7:O$131)+SUMIF(Data!$C$7:$C$131,C$5,Data!P$7:P$131)+SUMIF(Data!$C$7:$C$131,C$5,Data!Q$7:Q$131)+SUMIF(Data!$C$7:$C$131,C$5,Data!R$7:R$131)+SUMIF(Data!$C$7:$C$131,C$5,Data!S$7:S$131)</f>
        <v>94563</v>
      </c>
      <c r="D16" s="16" t="n">
        <f aca="false">SUMIF(Data!$C$7:$C$131,D$5,Data!N$7:N$131)+SUMIF(Data!$C$7:$C$131,D$5,Data!O$7:O$131)+SUMIF(Data!$C$7:$C$131,D$5,Data!P$7:P$131)+SUMIF(Data!$C$7:$C$131,D$5,Data!Q$7:Q$131)+SUMIF(Data!$C$7:$C$131,D$5,Data!R$7:R$131)+SUMIF(Data!$C$7:$C$131,D$5,Data!S$7:S$131)</f>
        <v>153225</v>
      </c>
      <c r="E16" s="16" t="n">
        <f aca="false">SUMIF(Data!$C$7:$C$131,E$5,Data!N$7:N$131)+SUMIF(Data!$C$7:$C$131,E$5,Data!O$7:O$131)+SUMIF(Data!$C$7:$C$131,E$5,Data!P$7:P$131)+SUMIF(Data!$C$7:$C$131,E$5,Data!Q$7:Q$131)+SUMIF(Data!$C$7:$C$131,E$5,Data!R$7:R$131)+SUMIF(Data!$C$7:$C$131,E$5,Data!S$7:S$131)</f>
        <v>284036</v>
      </c>
      <c r="F16" s="16" t="n">
        <f aca="false">SUMIF(Data!$C$7:$C$131,F$5,Data!N$7:N$131)+SUMIF(Data!$C$7:$C$131,F$5,Data!O$7:O$131)+SUMIF(Data!$C$7:$C$131,F$5,Data!P$7:P$131)+SUMIF(Data!$C$7:$C$131,F$5,Data!Q$7:Q$131)+SUMIF(Data!$C$7:$C$131,F$5,Data!R$7:R$131)+SUMIF(Data!$C$7:$C$131,F$5,Data!S$7:S$131)</f>
        <v>503335</v>
      </c>
      <c r="G16" s="16" t="n">
        <f aca="false">SUMIF(Data!$C$7:$C$131,G$5,Data!N$7:N$131)+SUMIF(Data!$C$7:$C$131,G$5,Data!O$7:O$131)+SUMIF(Data!$C$7:$C$131,G$5,Data!P$7:P$131)+SUMIF(Data!$C$7:$C$131,G$5,Data!Q$7:Q$131)+SUMIF(Data!$C$7:$C$131,G$5,Data!R$7:R$131)+SUMIF(Data!$C$7:$C$131,G$5,Data!S$7:S$131)</f>
        <v>440245</v>
      </c>
      <c r="H16" s="16" t="n">
        <f aca="false">SUMIF(Data!$C$7:$C$131,H$5,Data!N$7:N$131)+SUMIF(Data!$C$7:$C$131,H$5,Data!O$7:O$131)+SUMIF(Data!$C$7:$C$131,H$5,Data!P$7:P$131)+SUMIF(Data!$C$7:$C$131,H$5,Data!Q$7:Q$131)+SUMIF(Data!$C$7:$C$131,H$5,Data!R$7:R$131)+SUMIF(Data!$C$7:$C$131,H$5,Data!S$7:S$131)</f>
        <v>1369329</v>
      </c>
      <c r="I16" s="16" t="n">
        <f aca="false">SUMIF(Data!$C$7:$C$131,I$5,Data!N$7:N$131)+SUMIF(Data!$C$7:$C$131,I$5,Data!O$7:O$131)+SUMIF(Data!$C$7:$C$131,I$5,Data!P$7:P$131)+SUMIF(Data!$C$7:$C$131,I$5,Data!Q$7:Q$131)+SUMIF(Data!$C$7:$C$131,I$5,Data!R$7:R$131)+SUMIF(Data!$C$7:$C$131,I$5,Data!S$7:S$131)</f>
        <v>1723277</v>
      </c>
      <c r="J16" s="16" t="n">
        <f aca="false">SUMIF(Data!$C$7:$C$131,J$5,Data!N$7:N$131)+SUMIF(Data!$C$7:$C$131,J$5,Data!O$7:O$131)+SUMIF(Data!$C$7:$C$131,J$5,Data!P$7:P$131)+SUMIF(Data!$C$7:$C$131,J$5,Data!Q$7:Q$131)+SUMIF(Data!$C$7:$C$131,J$5,Data!R$7:R$131)+SUMIF(Data!$C$7:$C$131,J$5,Data!S$7:S$131)</f>
        <v>3694852</v>
      </c>
      <c r="K16" s="16" t="n">
        <f aca="false">SUMIF(Data!$C$7:$C$131,K$5,Data!N$7:N$131)+SUMIF(Data!$C$7:$C$131,K$5,Data!O$7:O$131)+SUMIF(Data!$C$7:$C$131,K$5,Data!P$7:P$131)+SUMIF(Data!$C$7:$C$131,K$5,Data!Q$7:Q$131)+SUMIF(Data!$C$7:$C$131,K$5,Data!R$7:R$131)+SUMIF(Data!$C$7:$C$131,K$5,Data!S$7:S$131)</f>
        <v>7943912</v>
      </c>
      <c r="L16" s="16" t="n">
        <f aca="false">SUMIF(Data!$C$7:$C$131,L$5,Data!N$7:N$131)+SUMIF(Data!$C$7:$C$131,L$5,Data!O$7:O$131)+SUMIF(Data!$C$7:$C$131,L$5,Data!P$7:P$131)+SUMIF(Data!$C$7:$C$131,L$5,Data!Q$7:Q$131)+SUMIF(Data!$C$7:$C$131,L$5,Data!R$7:R$131)+SUMIF(Data!$C$7:$C$131,L$5,Data!S$7:S$131)</f>
        <v>11059994</v>
      </c>
      <c r="M16" s="16" t="n">
        <f aca="false">SUMIF(Data!$C$7:$C$131,M$5,Data!N$7:N$131)+SUMIF(Data!$C$7:$C$131,M$5,Data!O$7:O$131)+SUMIF(Data!$C$7:$C$131,M$5,Data!P$7:P$131)+SUMIF(Data!$C$7:$C$131,M$5,Data!Q$7:Q$131)+SUMIF(Data!$C$7:$C$131,M$5,Data!R$7:R$131)+SUMIF(Data!$C$7:$C$131,M$5,Data!S$7:S$131)</f>
        <v>5841222</v>
      </c>
      <c r="O16" s="18" t="n">
        <f aca="false">C16/SUMIF(Data!$C$7:$C$131,C$5,Data!$AP$7:$AP$131)</f>
        <v>0.0114926064996977</v>
      </c>
      <c r="P16" s="18" t="n">
        <f aca="false">D16/SUMIF(Data!$C$7:$C$131,D$5,Data!$AP$7:$AP$131)</f>
        <v>0.0143735192988237</v>
      </c>
      <c r="Q16" s="18" t="n">
        <f aca="false">E16/SUMIF(Data!$C$7:$C$131,E$5,Data!$AP$7:$AP$131)</f>
        <v>0.0192634552058331</v>
      </c>
      <c r="R16" s="18" t="n">
        <f aca="false">F16/SUMIF(Data!$C$7:$C$131,F$5,Data!$AP$7:$AP$131)</f>
        <v>0.0233474640617173</v>
      </c>
      <c r="S16" s="18" t="n">
        <f aca="false">G16/SUMIF(Data!$C$7:$C$131,G$5,Data!$AP$7:$AP$131)</f>
        <v>0.0161796400990341</v>
      </c>
      <c r="T16" s="18" t="n">
        <f aca="false">H16/SUMIF(Data!$C$7:$C$131,H$5,Data!$AP$7:$AP$131)</f>
        <v>0.0296269180606909</v>
      </c>
      <c r="U16" s="18" t="n">
        <f aca="false">I16/SUMIF(Data!$C$7:$C$131,I$5,Data!$AP$7:$AP$131)</f>
        <v>0.0208099994417594</v>
      </c>
      <c r="V16" s="18" t="n">
        <f aca="false">J16/SUMIF(Data!$C$7:$C$131,J$5,Data!$AP$7:$AP$131)</f>
        <v>0.0190509141576057</v>
      </c>
      <c r="W16" s="18" t="n">
        <f aca="false">K16/SUMIF(Data!$C$7:$C$131,K$5,Data!$AP$7:$AP$131)</f>
        <v>0.0135938133261666</v>
      </c>
      <c r="X16" s="18" t="n">
        <f aca="false">L16/SUMIF(Data!$C$7:$C$131,L$5,Data!$AP$7:$AP$131)</f>
        <v>0.013008087863084</v>
      </c>
      <c r="Y16" s="18" t="n">
        <f aca="false">M16/SUMIF(Data!$C$7:$C$131,M$5,Data!$AP$7:$AP$131)</f>
        <v>0.013650831479669</v>
      </c>
      <c r="AA16" s="21" t="n">
        <f aca="false">'Rolling 12m %GDP'!L131</f>
        <v>0.0137421666983664</v>
      </c>
    </row>
    <row r="17" customFormat="false" ht="15" hidden="false" customHeight="false" outlineLevel="0" collapsed="false">
      <c r="B17" s="19" t="s">
        <v>208</v>
      </c>
      <c r="C17" s="15" t="n">
        <f aca="false">SUMIF(Data!$C$7:$C$131,C$5,Data!T$7:T$131)+SUMIF(Data!$C$7:$C$131,C$5,Data!U$7:U$131)+SUMIF(Data!$C$7:$C$131,C$5,Data!V$7:V$131)+SUMIF(Data!$C$7:$C$131,C$5,Data!W$7:W$131)+SUMIF(Data!$C$7:$C$131,C$5,Data!X$7:X$131)+SUMIF(Data!$C$7:$C$131,C$5,Data!Y$7:Y$131)+SUMIF(Data!$C$7:$C$131,C$5,Data!Z$7:Z$131)+SUMIF(Data!$C$7:$C$131,C$5,Data!AA$7:AA$131)+SUMIF(Data!$C$7:$C$131,C$5,Data!AB$7:AB$131)+SUMIF(Data!$C$7:$C$131,C$5,Data!AC$7:AC$131)+SUMIF(Data!$C$7:$C$131,C$5,Data!AD$7:AD$131)+SUMIF(Data!$C$7:$C$131,C$5,Data!AE$7:AE$131)+SUMIF(Data!$C$7:$C$131,C$5,Data!AF$7:AF$131)+SUMIF(Data!$C$7:$C$131,C$5,Data!AG$7:AG$131)+SUMIF(Data!$C$7:$C$131,C$5,Data!AH$7:AH$131)+SUMIF(Data!$C$7:$C$131,C$5,Data!AI$7:AI$131)+SUMIF(Data!$C$7:$C$131,C$5,Data!AJ$7:AJ$131)+SUMIF(Data!$C$7:$C$131,C$5,Data!AK$7:AK$131)+SUMIF(Data!$C$7:$C$131,C$5,Data!AL$7:AL$131)</f>
        <v>1972838</v>
      </c>
      <c r="D17" s="15" t="n">
        <f aca="false">SUMIF(Data!$C$7:$C$131,D$5,Data!T$7:T$131)+SUMIF(Data!$C$7:$C$131,D$5,Data!U$7:U$131)+SUMIF(Data!$C$7:$C$131,D$5,Data!V$7:V$131)+SUMIF(Data!$C$7:$C$131,D$5,Data!W$7:W$131)+SUMIF(Data!$C$7:$C$131,D$5,Data!X$7:X$131)+SUMIF(Data!$C$7:$C$131,D$5,Data!Y$7:Y$131)+SUMIF(Data!$C$7:$C$131,D$5,Data!Z$7:Z$131)+SUMIF(Data!$C$7:$C$131,D$5,Data!AA$7:AA$131)+SUMIF(Data!$C$7:$C$131,D$5,Data!AB$7:AB$131)+SUMIF(Data!$C$7:$C$131,D$5,Data!AC$7:AC$131)+SUMIF(Data!$C$7:$C$131,D$5,Data!AD$7:AD$131)+SUMIF(Data!$C$7:$C$131,D$5,Data!AE$7:AE$131)+SUMIF(Data!$C$7:$C$131,D$5,Data!AF$7:AF$131)+SUMIF(Data!$C$7:$C$131,D$5,Data!AG$7:AG$131)+SUMIF(Data!$C$7:$C$131,D$5,Data!AH$7:AH$131)+SUMIF(Data!$C$7:$C$131,D$5,Data!AI$7:AI$131)+SUMIF(Data!$C$7:$C$131,D$5,Data!AJ$7:AJ$131)+SUMIF(Data!$C$7:$C$131,D$5,Data!AK$7:AK$131)+SUMIF(Data!$C$7:$C$131,D$5,Data!AL$7:AL$131)</f>
        <v>2402240</v>
      </c>
      <c r="E17" s="15" t="n">
        <f aca="false">SUMIF(Data!$C$7:$C$131,E$5,Data!T$7:T$131)+SUMIF(Data!$C$7:$C$131,E$5,Data!U$7:U$131)+SUMIF(Data!$C$7:$C$131,E$5,Data!V$7:V$131)+SUMIF(Data!$C$7:$C$131,E$5,Data!W$7:W$131)+SUMIF(Data!$C$7:$C$131,E$5,Data!X$7:X$131)+SUMIF(Data!$C$7:$C$131,E$5,Data!Y$7:Y$131)+SUMIF(Data!$C$7:$C$131,E$5,Data!Z$7:Z$131)+SUMIF(Data!$C$7:$C$131,E$5,Data!AA$7:AA$131)+SUMIF(Data!$C$7:$C$131,E$5,Data!AB$7:AB$131)+SUMIF(Data!$C$7:$C$131,E$5,Data!AC$7:AC$131)+SUMIF(Data!$C$7:$C$131,E$5,Data!AD$7:AD$131)+SUMIF(Data!$C$7:$C$131,E$5,Data!AE$7:AE$131)+SUMIF(Data!$C$7:$C$131,E$5,Data!AF$7:AF$131)+SUMIF(Data!$C$7:$C$131,E$5,Data!AG$7:AG$131)+SUMIF(Data!$C$7:$C$131,E$5,Data!AH$7:AH$131)+SUMIF(Data!$C$7:$C$131,E$5,Data!AI$7:AI$131)+SUMIF(Data!$C$7:$C$131,E$5,Data!AJ$7:AJ$131)+SUMIF(Data!$C$7:$C$131,E$5,Data!AK$7:AK$131)+SUMIF(Data!$C$7:$C$131,E$5,Data!AL$7:AL$131)</f>
        <v>2939557</v>
      </c>
      <c r="F17" s="15" t="n">
        <f aca="false">SUMIF(Data!$C$7:$C$131,F$5,Data!T$7:T$131)+SUMIF(Data!$C$7:$C$131,F$5,Data!U$7:U$131)+SUMIF(Data!$C$7:$C$131,F$5,Data!V$7:V$131)+SUMIF(Data!$C$7:$C$131,F$5,Data!W$7:W$131)+SUMIF(Data!$C$7:$C$131,F$5,Data!X$7:X$131)+SUMIF(Data!$C$7:$C$131,F$5,Data!Y$7:Y$131)+SUMIF(Data!$C$7:$C$131,F$5,Data!Z$7:Z$131)+SUMIF(Data!$C$7:$C$131,F$5,Data!AA$7:AA$131)+SUMIF(Data!$C$7:$C$131,F$5,Data!AB$7:AB$131)+SUMIF(Data!$C$7:$C$131,F$5,Data!AC$7:AC$131)+SUMIF(Data!$C$7:$C$131,F$5,Data!AD$7:AD$131)+SUMIF(Data!$C$7:$C$131,F$5,Data!AE$7:AE$131)+SUMIF(Data!$C$7:$C$131,F$5,Data!AF$7:AF$131)+SUMIF(Data!$C$7:$C$131,F$5,Data!AG$7:AG$131)+SUMIF(Data!$C$7:$C$131,F$5,Data!AH$7:AH$131)+SUMIF(Data!$C$7:$C$131,F$5,Data!AI$7:AI$131)+SUMIF(Data!$C$7:$C$131,F$5,Data!AJ$7:AJ$131)+SUMIF(Data!$C$7:$C$131,F$5,Data!AK$7:AK$131)+SUMIF(Data!$C$7:$C$131,F$5,Data!AL$7:AL$131)</f>
        <v>4032208</v>
      </c>
      <c r="G17" s="15" t="n">
        <f aca="false">SUMIF(Data!$C$7:$C$131,G$5,Data!T$7:T$131)+SUMIF(Data!$C$7:$C$131,G$5,Data!U$7:U$131)+SUMIF(Data!$C$7:$C$131,G$5,Data!V$7:V$131)+SUMIF(Data!$C$7:$C$131,G$5,Data!W$7:W$131)+SUMIF(Data!$C$7:$C$131,G$5,Data!X$7:X$131)+SUMIF(Data!$C$7:$C$131,G$5,Data!Y$7:Y$131)+SUMIF(Data!$C$7:$C$131,G$5,Data!Z$7:Z$131)+SUMIF(Data!$C$7:$C$131,G$5,Data!AA$7:AA$131)+SUMIF(Data!$C$7:$C$131,G$5,Data!AB$7:AB$131)+SUMIF(Data!$C$7:$C$131,G$5,Data!AC$7:AC$131)+SUMIF(Data!$C$7:$C$131,G$5,Data!AD$7:AD$131)+SUMIF(Data!$C$7:$C$131,G$5,Data!AE$7:AE$131)+SUMIF(Data!$C$7:$C$131,G$5,Data!AF$7:AF$131)+SUMIF(Data!$C$7:$C$131,G$5,Data!AG$7:AG$131)+SUMIF(Data!$C$7:$C$131,G$5,Data!AH$7:AH$131)+SUMIF(Data!$C$7:$C$131,G$5,Data!AI$7:AI$131)+SUMIF(Data!$C$7:$C$131,G$5,Data!AJ$7:AJ$131)+SUMIF(Data!$C$7:$C$131,G$5,Data!AK$7:AK$131)+SUMIF(Data!$C$7:$C$131,G$5,Data!AL$7:AL$131)</f>
        <v>6591424</v>
      </c>
      <c r="H17" s="15" t="n">
        <f aca="false">SUMIF(Data!$C$7:$C$131,H$5,Data!T$7:T$131)+SUMIF(Data!$C$7:$C$131,H$5,Data!U$7:U$131)+SUMIF(Data!$C$7:$C$131,H$5,Data!V$7:V$131)+SUMIF(Data!$C$7:$C$131,H$5,Data!W$7:W$131)+SUMIF(Data!$C$7:$C$131,H$5,Data!X$7:X$131)+SUMIF(Data!$C$7:$C$131,H$5,Data!Y$7:Y$131)+SUMIF(Data!$C$7:$C$131,H$5,Data!Z$7:Z$131)+SUMIF(Data!$C$7:$C$131,H$5,Data!AA$7:AA$131)+SUMIF(Data!$C$7:$C$131,H$5,Data!AB$7:AB$131)+SUMIF(Data!$C$7:$C$131,H$5,Data!AC$7:AC$131)+SUMIF(Data!$C$7:$C$131,H$5,Data!AD$7:AD$131)+SUMIF(Data!$C$7:$C$131,H$5,Data!AE$7:AE$131)+SUMIF(Data!$C$7:$C$131,H$5,Data!AF$7:AF$131)+SUMIF(Data!$C$7:$C$131,H$5,Data!AG$7:AG$131)+SUMIF(Data!$C$7:$C$131,H$5,Data!AH$7:AH$131)+SUMIF(Data!$C$7:$C$131,H$5,Data!AI$7:AI$131)+SUMIF(Data!$C$7:$C$131,H$5,Data!AJ$7:AJ$131)+SUMIF(Data!$C$7:$C$131,H$5,Data!AK$7:AK$131)+SUMIF(Data!$C$7:$C$131,H$5,Data!AL$7:AL$131)</f>
        <v>9860390</v>
      </c>
      <c r="I17" s="15" t="n">
        <f aca="false">SUMIF(Data!$C$7:$C$131,I$5,Data!T$7:T$131)+SUMIF(Data!$C$7:$C$131,I$5,Data!U$7:U$131)+SUMIF(Data!$C$7:$C$131,I$5,Data!V$7:V$131)+SUMIF(Data!$C$7:$C$131,I$5,Data!W$7:W$131)+SUMIF(Data!$C$7:$C$131,I$5,Data!X$7:X$131)+SUMIF(Data!$C$7:$C$131,I$5,Data!Y$7:Y$131)+SUMIF(Data!$C$7:$C$131,I$5,Data!Z$7:Z$131)+SUMIF(Data!$C$7:$C$131,I$5,Data!AA$7:AA$131)+SUMIF(Data!$C$7:$C$131,I$5,Data!AB$7:AB$131)+SUMIF(Data!$C$7:$C$131,I$5,Data!AC$7:AC$131)+SUMIF(Data!$C$7:$C$131,I$5,Data!AD$7:AD$131)+SUMIF(Data!$C$7:$C$131,I$5,Data!AE$7:AE$131)+SUMIF(Data!$C$7:$C$131,I$5,Data!AF$7:AF$131)+SUMIF(Data!$C$7:$C$131,I$5,Data!AG$7:AG$131)+SUMIF(Data!$C$7:$C$131,I$5,Data!AH$7:AH$131)+SUMIF(Data!$C$7:$C$131,I$5,Data!AI$7:AI$131)+SUMIF(Data!$C$7:$C$131,I$5,Data!AJ$7:AJ$131)+SUMIF(Data!$C$7:$C$131,I$5,Data!AK$7:AK$131)+SUMIF(Data!$C$7:$C$131,I$5,Data!AL$7:AL$131)</f>
        <v>16809375</v>
      </c>
      <c r="J17" s="15" t="n">
        <f aca="false">SUMIF(Data!$C$7:$C$131,J$5,Data!T$7:T$131)+SUMIF(Data!$C$7:$C$131,J$5,Data!U$7:U$131)+SUMIF(Data!$C$7:$C$131,J$5,Data!V$7:V$131)+SUMIF(Data!$C$7:$C$131,J$5,Data!W$7:W$131)+SUMIF(Data!$C$7:$C$131,J$5,Data!X$7:X$131)+SUMIF(Data!$C$7:$C$131,J$5,Data!Y$7:Y$131)+SUMIF(Data!$C$7:$C$131,J$5,Data!Z$7:Z$131)+SUMIF(Data!$C$7:$C$131,J$5,Data!AA$7:AA$131)+SUMIF(Data!$C$7:$C$131,J$5,Data!AB$7:AB$131)+SUMIF(Data!$C$7:$C$131,J$5,Data!AC$7:AC$131)+SUMIF(Data!$C$7:$C$131,J$5,Data!AD$7:AD$131)+SUMIF(Data!$C$7:$C$131,J$5,Data!AE$7:AE$131)+SUMIF(Data!$C$7:$C$131,J$5,Data!AF$7:AF$131)+SUMIF(Data!$C$7:$C$131,J$5,Data!AG$7:AG$131)+SUMIF(Data!$C$7:$C$131,J$5,Data!AH$7:AH$131)+SUMIF(Data!$C$7:$C$131,J$5,Data!AI$7:AI$131)+SUMIF(Data!$C$7:$C$131,J$5,Data!AJ$7:AJ$131)+SUMIF(Data!$C$7:$C$131,J$5,Data!AK$7:AK$131)+SUMIF(Data!$C$7:$C$131,J$5,Data!AL$7:AL$131)</f>
        <v>37484822</v>
      </c>
      <c r="K17" s="15" t="n">
        <f aca="false">SUMIF(Data!$C$7:$C$131,K$5,Data!T$7:T$131)+SUMIF(Data!$C$7:$C$131,K$5,Data!U$7:U$131)+SUMIF(Data!$C$7:$C$131,K$5,Data!V$7:V$131)+SUMIF(Data!$C$7:$C$131,K$5,Data!W$7:W$131)+SUMIF(Data!$C$7:$C$131,K$5,Data!X$7:X$131)+SUMIF(Data!$C$7:$C$131,K$5,Data!Y$7:Y$131)+SUMIF(Data!$C$7:$C$131,K$5,Data!Z$7:Z$131)+SUMIF(Data!$C$7:$C$131,K$5,Data!AA$7:AA$131)+SUMIF(Data!$C$7:$C$131,K$5,Data!AB$7:AB$131)+SUMIF(Data!$C$7:$C$131,K$5,Data!AC$7:AC$131)+SUMIF(Data!$C$7:$C$131,K$5,Data!AD$7:AD$131)+SUMIF(Data!$C$7:$C$131,K$5,Data!AE$7:AE$131)+SUMIF(Data!$C$7:$C$131,K$5,Data!AF$7:AF$131)+SUMIF(Data!$C$7:$C$131,K$5,Data!AG$7:AG$131)+SUMIF(Data!$C$7:$C$131,K$5,Data!AH$7:AH$131)+SUMIF(Data!$C$7:$C$131,K$5,Data!AI$7:AI$131)+SUMIF(Data!$C$7:$C$131,K$5,Data!AJ$7:AJ$131)+SUMIF(Data!$C$7:$C$131,K$5,Data!AK$7:AK$131)+SUMIF(Data!$C$7:$C$131,K$5,Data!AL$7:AL$131)</f>
        <v>87612693</v>
      </c>
      <c r="L17" s="15" t="n">
        <f aca="false">SUMIF(Data!$C$7:$C$131,L$5,Data!T$7:T$131)+SUMIF(Data!$C$7:$C$131,L$5,Data!U$7:U$131)+SUMIF(Data!$C$7:$C$131,L$5,Data!V$7:V$131)+SUMIF(Data!$C$7:$C$131,L$5,Data!W$7:W$131)+SUMIF(Data!$C$7:$C$131,L$5,Data!X$7:X$131)+SUMIF(Data!$C$7:$C$131,L$5,Data!Y$7:Y$131)+SUMIF(Data!$C$7:$C$131,L$5,Data!Z$7:Z$131)+SUMIF(Data!$C$7:$C$131,L$5,Data!AA$7:AA$131)+SUMIF(Data!$C$7:$C$131,L$5,Data!AB$7:AB$131)+SUMIF(Data!$C$7:$C$131,L$5,Data!AC$7:AC$131)+SUMIF(Data!$C$7:$C$131,L$5,Data!AD$7:AD$131)+SUMIF(Data!$C$7:$C$131,L$5,Data!AE$7:AE$131)+SUMIF(Data!$C$7:$C$131,L$5,Data!AF$7:AF$131)+SUMIF(Data!$C$7:$C$131,L$5,Data!AG$7:AG$131)+SUMIF(Data!$C$7:$C$131,L$5,Data!AH$7:AH$131)+SUMIF(Data!$C$7:$C$131,L$5,Data!AI$7:AI$131)+SUMIF(Data!$C$7:$C$131,L$5,Data!AJ$7:AJ$131)+SUMIF(Data!$C$7:$C$131,L$5,Data!AK$7:AK$131)+SUMIF(Data!$C$7:$C$131,L$5,Data!AL$7:AL$131)</f>
        <v>123409820</v>
      </c>
      <c r="M17" s="15" t="n">
        <f aca="false">SUMIF(Data!$C$7:$C$131,M$5,Data!T$7:T$131)+SUMIF(Data!$C$7:$C$131,M$5,Data!U$7:U$131)+SUMIF(Data!$C$7:$C$131,M$5,Data!V$7:V$131)+SUMIF(Data!$C$7:$C$131,M$5,Data!W$7:W$131)+SUMIF(Data!$C$7:$C$131,M$5,Data!X$7:X$131)+SUMIF(Data!$C$7:$C$131,M$5,Data!Y$7:Y$131)+SUMIF(Data!$C$7:$C$131,M$5,Data!Z$7:Z$131)+SUMIF(Data!$C$7:$C$131,M$5,Data!AA$7:AA$131)+SUMIF(Data!$C$7:$C$131,M$5,Data!AB$7:AB$131)+SUMIF(Data!$C$7:$C$131,M$5,Data!AC$7:AC$131)+SUMIF(Data!$C$7:$C$131,M$5,Data!AD$7:AD$131)+SUMIF(Data!$C$7:$C$131,M$5,Data!AE$7:AE$131)+SUMIF(Data!$C$7:$C$131,M$5,Data!AF$7:AF$131)+SUMIF(Data!$C$7:$C$131,M$5,Data!AG$7:AG$131)+SUMIF(Data!$C$7:$C$131,M$5,Data!AH$7:AH$131)+SUMIF(Data!$C$7:$C$131,M$5,Data!AI$7:AI$131)+SUMIF(Data!$C$7:$C$131,M$5,Data!AJ$7:AJ$131)+SUMIF(Data!$C$7:$C$131,M$5,Data!AK$7:AK$131)+SUMIF(Data!$C$7:$C$131,M$5,Data!AL$7:AL$131)</f>
        <v>58071209</v>
      </c>
      <c r="O17" s="17" t="n">
        <f aca="false">C17/SUMIF(Data!$C$7:$C$131,C$5,Data!$AP$7:$AP$131)</f>
        <v>0.239766619308298</v>
      </c>
      <c r="P17" s="17" t="n">
        <f aca="false">D17/SUMIF(Data!$C$7:$C$131,D$5,Data!$AP$7:$AP$131)</f>
        <v>0.225346014034305</v>
      </c>
      <c r="Q17" s="17" t="n">
        <f aca="false">E17/SUMIF(Data!$C$7:$C$131,E$5,Data!$AP$7:$AP$131)</f>
        <v>0.199362139286897</v>
      </c>
      <c r="R17" s="17" t="n">
        <f aca="false">F17/SUMIF(Data!$C$7:$C$131,F$5,Data!$AP$7:$AP$131)</f>
        <v>0.187036131740032</v>
      </c>
      <c r="S17" s="17" t="n">
        <f aca="false">G17/SUMIF(Data!$C$7:$C$131,G$5,Data!$AP$7:$AP$131)</f>
        <v>0.242244359527389</v>
      </c>
      <c r="T17" s="17" t="n">
        <f aca="false">H17/SUMIF(Data!$C$7:$C$131,H$5,Data!$AP$7:$AP$131)</f>
        <v>0.213340232023462</v>
      </c>
      <c r="U17" s="17" t="n">
        <f aca="false">I17/SUMIF(Data!$C$7:$C$131,I$5,Data!$AP$7:$AP$131)</f>
        <v>0.202987148535218</v>
      </c>
      <c r="V17" s="17" t="n">
        <f aca="false">J17/SUMIF(Data!$C$7:$C$131,J$5,Data!$AP$7:$AP$131)</f>
        <v>0.193274352026855</v>
      </c>
      <c r="W17" s="17" t="n">
        <f aca="false">K17/SUMIF(Data!$C$7:$C$131,K$5,Data!$AP$7:$AP$131)</f>
        <v>0.149924948016134</v>
      </c>
      <c r="X17" s="17" t="n">
        <f aca="false">L17/SUMIF(Data!$C$7:$C$131,L$5,Data!$AP$7:$AP$131)</f>
        <v>0.145147075281179</v>
      </c>
      <c r="Y17" s="17" t="n">
        <f aca="false">M17/SUMIF(Data!$C$7:$C$131,M$5,Data!$AP$7:$AP$131)</f>
        <v>0.135711378180737</v>
      </c>
      <c r="AA17" s="20" t="n">
        <f aca="false">'Rolling 12m %GDP'!M131</f>
        <v>0.142255348973108</v>
      </c>
    </row>
    <row r="18" customFormat="false" ht="15" hidden="false" customHeight="false" outlineLevel="0" collapsed="false">
      <c r="B18" s="8" t="s">
        <v>209</v>
      </c>
      <c r="C18" s="16" t="n">
        <f aca="false">SUMIF(Data!$C$7:$C$131,C$5,Data!T$7:T$131)+SUMIF(Data!$C$7:$C$131,C$5,Data!U$7:U$131)+SUMIF(Data!$C$7:$C$131,C$5,Data!V$7:V$131)+SUMIF(Data!$C$7:$C$131,C$5,Data!W$7:W$131)</f>
        <v>924288</v>
      </c>
      <c r="D18" s="16" t="n">
        <f aca="false">SUMIF(Data!$C$7:$C$131,D$5,Data!T$7:T$131)+SUMIF(Data!$C$7:$C$131,D$5,Data!U$7:U$131)+SUMIF(Data!$C$7:$C$131,D$5,Data!V$7:V$131)+SUMIF(Data!$C$7:$C$131,D$5,Data!W$7:W$131)</f>
        <v>1265289</v>
      </c>
      <c r="E18" s="16" t="n">
        <f aca="false">SUMIF(Data!$C$7:$C$131,E$5,Data!T$7:T$131)+SUMIF(Data!$C$7:$C$131,E$5,Data!U$7:U$131)+SUMIF(Data!$C$7:$C$131,E$5,Data!V$7:V$131)+SUMIF(Data!$C$7:$C$131,E$5,Data!W$7:W$131)</f>
        <v>1605653</v>
      </c>
      <c r="F18" s="16" t="n">
        <f aca="false">SUMIF(Data!$C$7:$C$131,F$5,Data!T$7:T$131)+SUMIF(Data!$C$7:$C$131,F$5,Data!U$7:U$131)+SUMIF(Data!$C$7:$C$131,F$5,Data!V$7:V$131)+SUMIF(Data!$C$7:$C$131,F$5,Data!W$7:W$131)</f>
        <v>2303229</v>
      </c>
      <c r="G18" s="16" t="n">
        <f aca="false">SUMIF(Data!$C$7:$C$131,G$5,Data!T$7:T$131)+SUMIF(Data!$C$7:$C$131,G$5,Data!U$7:U$131)+SUMIF(Data!$C$7:$C$131,G$5,Data!V$7:V$131)+SUMIF(Data!$C$7:$C$131,G$5,Data!W$7:W$131)</f>
        <v>3268191</v>
      </c>
      <c r="H18" s="16" t="n">
        <f aca="false">SUMIF(Data!$C$7:$C$131,H$5,Data!T$7:T$131)+SUMIF(Data!$C$7:$C$131,H$5,Data!U$7:U$131)+SUMIF(Data!$C$7:$C$131,H$5,Data!V$7:V$131)+SUMIF(Data!$C$7:$C$131,H$5,Data!W$7:W$131)</f>
        <v>4630733</v>
      </c>
      <c r="I18" s="16" t="n">
        <f aca="false">SUMIF(Data!$C$7:$C$131,I$5,Data!T$7:T$131)+SUMIF(Data!$C$7:$C$131,I$5,Data!U$7:U$131)+SUMIF(Data!$C$7:$C$131,I$5,Data!V$7:V$131)+SUMIF(Data!$C$7:$C$131,I$5,Data!W$7:W$131)</f>
        <v>7874955</v>
      </c>
      <c r="J18" s="16" t="n">
        <f aca="false">SUMIF(Data!$C$7:$C$131,J$5,Data!T$7:T$131)+SUMIF(Data!$C$7:$C$131,J$5,Data!U$7:U$131)+SUMIF(Data!$C$7:$C$131,J$5,Data!V$7:V$131)+SUMIF(Data!$C$7:$C$131,J$5,Data!W$7:W$131)</f>
        <v>16251418</v>
      </c>
      <c r="K18" s="16" t="n">
        <f aca="false">SUMIF(Data!$C$7:$C$131,K$5,Data!T$7:T$131)+SUMIF(Data!$C$7:$C$131,K$5,Data!U$7:U$131)+SUMIF(Data!$C$7:$C$131,K$5,Data!V$7:V$131)+SUMIF(Data!$C$7:$C$131,K$5,Data!W$7:W$131)</f>
        <v>46776549</v>
      </c>
      <c r="L18" s="16" t="n">
        <f aca="false">SUMIF(Data!$C$7:$C$131,L$5,Data!T$7:T$131)+SUMIF(Data!$C$7:$C$131,L$5,Data!U$7:U$131)+SUMIF(Data!$C$7:$C$131,L$5,Data!V$7:V$131)+SUMIF(Data!$C$7:$C$131,L$5,Data!W$7:W$131)</f>
        <v>73240756</v>
      </c>
      <c r="M18" s="16" t="n">
        <f aca="false">SUMIF(Data!$C$7:$C$131,M$5,Data!T$7:T$131)+SUMIF(Data!$C$7:$C$131,M$5,Data!U$7:U$131)+SUMIF(Data!$C$7:$C$131,M$5,Data!V$7:V$131)+SUMIF(Data!$C$7:$C$131,M$5,Data!W$7:W$131)</f>
        <v>35443076</v>
      </c>
      <c r="O18" s="18" t="n">
        <f aca="false">C18/SUMIF(Data!$C$7:$C$131,C$5,Data!$AP$7:$AP$131)</f>
        <v>0.112332289335073</v>
      </c>
      <c r="P18" s="18" t="n">
        <f aca="false">D18/SUMIF(Data!$C$7:$C$131,D$5,Data!$AP$7:$AP$131)</f>
        <v>0.11869248399471</v>
      </c>
      <c r="Q18" s="18" t="n">
        <f aca="false">E18/SUMIF(Data!$C$7:$C$131,E$5,Data!$AP$7:$AP$131)</f>
        <v>0.108896142184834</v>
      </c>
      <c r="R18" s="18" t="n">
        <f aca="false">F18/SUMIF(Data!$C$7:$C$131,F$5,Data!$AP$7:$AP$131)</f>
        <v>0.106836513064669</v>
      </c>
      <c r="S18" s="18" t="n">
        <f aca="false">G18/SUMIF(Data!$C$7:$C$131,G$5,Data!$AP$7:$AP$131)</f>
        <v>0.120110743233659</v>
      </c>
      <c r="T18" s="18" t="n">
        <f aca="false">H18/SUMIF(Data!$C$7:$C$131,H$5,Data!$AP$7:$AP$131)</f>
        <v>0.100190930851488</v>
      </c>
      <c r="U18" s="18" t="n">
        <f aca="false">I18/SUMIF(Data!$C$7:$C$131,I$5,Data!$AP$7:$AP$131)</f>
        <v>0.0950966148529115</v>
      </c>
      <c r="V18" s="18" t="n">
        <f aca="false">J18/SUMIF(Data!$C$7:$C$131,J$5,Data!$AP$7:$AP$131)</f>
        <v>0.0837934426757466</v>
      </c>
      <c r="W18" s="18" t="n">
        <f aca="false">K18/SUMIF(Data!$C$7:$C$131,K$5,Data!$AP$7:$AP$131)</f>
        <v>0.0800451559821261</v>
      </c>
      <c r="X18" s="18" t="n">
        <f aca="false">L18/SUMIF(Data!$C$7:$C$131,L$5,Data!$AP$7:$AP$131)</f>
        <v>0.0861412934949782</v>
      </c>
      <c r="Y18" s="18" t="n">
        <f aca="false">M18/SUMIF(Data!$C$7:$C$131,M$5,Data!$AP$7:$AP$131)</f>
        <v>0.0828298355373417</v>
      </c>
      <c r="AA18" s="21" t="n">
        <f aca="false">'Rolling 12m %GDP'!N131</f>
        <v>0.0856670906612722</v>
      </c>
    </row>
    <row r="19" customFormat="false" ht="15" hidden="false" customHeight="false" outlineLevel="0" collapsed="false">
      <c r="B19" s="8" t="s">
        <v>210</v>
      </c>
      <c r="C19" s="16" t="n">
        <f aca="false">SUMIF(Data!$C$7:$C$131,C$5,Data!T$7:T$131)</f>
        <v>654470</v>
      </c>
      <c r="D19" s="16" t="n">
        <f aca="false">SUMIF(Data!$C$7:$C$131,D$5,Data!T$7:T$131)</f>
        <v>922143</v>
      </c>
      <c r="E19" s="16" t="n">
        <f aca="false">SUMIF(Data!$C$7:$C$131,E$5,Data!T$7:T$131)</f>
        <v>1170424</v>
      </c>
      <c r="F19" s="16" t="n">
        <f aca="false">SUMIF(Data!$C$7:$C$131,F$5,Data!T$7:T$131)</f>
        <v>1687707</v>
      </c>
      <c r="G19" s="16" t="n">
        <f aca="false">SUMIF(Data!$C$7:$C$131,G$5,Data!T$7:T$131)</f>
        <v>2372557</v>
      </c>
      <c r="H19" s="16" t="n">
        <f aca="false">SUMIF(Data!$C$7:$C$131,H$5,Data!T$7:T$131)</f>
        <v>3372722</v>
      </c>
      <c r="I19" s="16" t="n">
        <f aca="false">SUMIF(Data!$C$7:$C$131,I$5,Data!T$7:T$131)</f>
        <v>5690234</v>
      </c>
      <c r="J19" s="16" t="n">
        <f aca="false">SUMIF(Data!$C$7:$C$131,J$5,Data!T$7:T$131)</f>
        <v>11836839</v>
      </c>
      <c r="K19" s="16" t="n">
        <f aca="false">SUMIF(Data!$C$7:$C$131,K$5,Data!T$7:T$131)</f>
        <v>32654891</v>
      </c>
      <c r="L19" s="16" t="n">
        <f aca="false">SUMIF(Data!$C$7:$C$131,L$5,Data!T$7:T$131)</f>
        <v>52310314</v>
      </c>
      <c r="M19" s="16" t="n">
        <f aca="false">SUMIF(Data!$C$7:$C$131,M$5,Data!T$7:T$131)</f>
        <v>24844566</v>
      </c>
      <c r="O19" s="18" t="n">
        <f aca="false">C19/SUMIF(Data!$C$7:$C$131,C$5,Data!$AP$7:$AP$131)</f>
        <v>0.0795402660221982</v>
      </c>
      <c r="P19" s="18" t="n">
        <f aca="false">D19/SUMIF(Data!$C$7:$C$131,D$5,Data!$AP$7:$AP$131)</f>
        <v>0.0865031176816787</v>
      </c>
      <c r="Q19" s="18" t="n">
        <f aca="false">E19/SUMIF(Data!$C$7:$C$131,E$5,Data!$AP$7:$AP$131)</f>
        <v>0.0793787065577322</v>
      </c>
      <c r="R19" s="18" t="n">
        <f aca="false">F19/SUMIF(Data!$C$7:$C$131,F$5,Data!$AP$7:$AP$131)</f>
        <v>0.078285194809041</v>
      </c>
      <c r="S19" s="18" t="n">
        <f aca="false">G19/SUMIF(Data!$C$7:$C$131,G$5,Data!$AP$7:$AP$131)</f>
        <v>0.0871948991458028</v>
      </c>
      <c r="T19" s="18" t="n">
        <f aca="false">H19/SUMIF(Data!$C$7:$C$131,H$5,Data!$AP$7:$AP$131)</f>
        <v>0.0729724984539796</v>
      </c>
      <c r="U19" s="18" t="n">
        <f aca="false">I19/SUMIF(Data!$C$7:$C$131,I$5,Data!$AP$7:$AP$131)</f>
        <v>0.068714296287527</v>
      </c>
      <c r="V19" s="18" t="n">
        <f aca="false">J19/SUMIF(Data!$C$7:$C$131,J$5,Data!$AP$7:$AP$131)</f>
        <v>0.0610315659967974</v>
      </c>
      <c r="W19" s="18" t="n">
        <f aca="false">K19/SUMIF(Data!$C$7:$C$131,K$5,Data!$AP$7:$AP$131)</f>
        <v>0.0558798350787769</v>
      </c>
      <c r="X19" s="18" t="n">
        <f aca="false">L19/SUMIF(Data!$C$7:$C$131,L$5,Data!$AP$7:$AP$131)</f>
        <v>0.0615241889514148</v>
      </c>
      <c r="Y19" s="18" t="n">
        <f aca="false">M19/SUMIF(Data!$C$7:$C$131,M$5,Data!$AP$7:$AP$131)</f>
        <v>0.0580613069750671</v>
      </c>
      <c r="AA19" s="21" t="n">
        <f aca="false">'Rolling 12m %GDP'!O131</f>
        <v>0.0614063199157174</v>
      </c>
    </row>
    <row r="20" customFormat="false" ht="15" hidden="false" customHeight="false" outlineLevel="0" collapsed="false">
      <c r="B20" s="8" t="s">
        <v>211</v>
      </c>
      <c r="C20" s="16" t="n">
        <f aca="false">SUMIF(Data!$C$7:$C$131,C$5,Data!U$7:U$131)</f>
        <v>108160</v>
      </c>
      <c r="D20" s="16" t="n">
        <f aca="false">SUMIF(Data!$C$7:$C$131,D$5,Data!U$7:U$131)</f>
        <v>141556</v>
      </c>
      <c r="E20" s="16" t="n">
        <f aca="false">SUMIF(Data!$C$7:$C$131,E$5,Data!U$7:U$131)</f>
        <v>184912</v>
      </c>
      <c r="F20" s="16" t="n">
        <f aca="false">SUMIF(Data!$C$7:$C$131,F$5,Data!U$7:U$131)</f>
        <v>267399</v>
      </c>
      <c r="G20" s="16" t="n">
        <f aca="false">SUMIF(Data!$C$7:$C$131,G$5,Data!U$7:U$131)</f>
        <v>389609</v>
      </c>
      <c r="H20" s="16" t="n">
        <f aca="false">SUMIF(Data!$C$7:$C$131,H$5,Data!U$7:U$131)</f>
        <v>573965</v>
      </c>
      <c r="I20" s="16" t="n">
        <f aca="false">SUMIF(Data!$C$7:$C$131,I$5,Data!U$7:U$131)</f>
        <v>965224</v>
      </c>
      <c r="J20" s="16" t="n">
        <f aca="false">SUMIF(Data!$C$7:$C$131,J$5,Data!U$7:U$131)</f>
        <v>1548321</v>
      </c>
      <c r="K20" s="16" t="n">
        <f aca="false">SUMIF(Data!$C$7:$C$131,K$5,Data!U$7:U$131)</f>
        <v>5600997</v>
      </c>
      <c r="L20" s="16" t="n">
        <f aca="false">SUMIF(Data!$C$7:$C$131,L$5,Data!U$7:U$131)</f>
        <v>8828096</v>
      </c>
      <c r="M20" s="16" t="n">
        <f aca="false">SUMIF(Data!$C$7:$C$131,M$5,Data!U$7:U$131)</f>
        <v>4765003</v>
      </c>
      <c r="O20" s="18" t="n">
        <f aca="false">C20/SUMIF(Data!$C$7:$C$131,C$5,Data!$AP$7:$AP$131)</f>
        <v>0.0131451024079957</v>
      </c>
      <c r="P20" s="18" t="n">
        <f aca="false">D20/SUMIF(Data!$C$7:$C$131,D$5,Data!$AP$7:$AP$131)</f>
        <v>0.013278889853903</v>
      </c>
      <c r="Q20" s="18" t="n">
        <f aca="false">E20/SUMIF(Data!$C$7:$C$131,E$5,Data!$AP$7:$AP$131)</f>
        <v>0.0125408188716255</v>
      </c>
      <c r="R20" s="18" t="n">
        <f aca="false">F20/SUMIF(Data!$C$7:$C$131,F$5,Data!$AP$7:$AP$131)</f>
        <v>0.0124034460997927</v>
      </c>
      <c r="S20" s="18" t="n">
        <f aca="false">G20/SUMIF(Data!$C$7:$C$131,G$5,Data!$AP$7:$AP$131)</f>
        <v>0.0143186939075845</v>
      </c>
      <c r="T20" s="18" t="n">
        <f aca="false">H20/SUMIF(Data!$C$7:$C$131,H$5,Data!$AP$7:$AP$131)</f>
        <v>0.0124183552854752</v>
      </c>
      <c r="U20" s="18" t="n">
        <f aca="false">I20/SUMIF(Data!$C$7:$C$131,I$5,Data!$AP$7:$AP$131)</f>
        <v>0.0116558805700841</v>
      </c>
      <c r="V20" s="18" t="n">
        <f aca="false">J20/SUMIF(Data!$C$7:$C$131,J$5,Data!$AP$7:$AP$131)</f>
        <v>0.00798325087430246</v>
      </c>
      <c r="W20" s="18" t="n">
        <f aca="false">K20/SUMIF(Data!$C$7:$C$131,K$5,Data!$AP$7:$AP$131)</f>
        <v>0.00958456081316345</v>
      </c>
      <c r="X20" s="18" t="n">
        <f aca="false">L20/SUMIF(Data!$C$7:$C$131,L$5,Data!$AP$7:$AP$131)</f>
        <v>0.0103830660696326</v>
      </c>
      <c r="Y20" s="18" t="n">
        <f aca="false">M20/SUMIF(Data!$C$7:$C$131,M$5,Data!$AP$7:$AP$131)</f>
        <v>0.0111357268998024</v>
      </c>
      <c r="AA20" s="21" t="n">
        <f aca="false">'Rolling 12m %GDP'!P131</f>
        <v>0.0103844473454328</v>
      </c>
    </row>
    <row r="21" customFormat="false" ht="15" hidden="false" customHeight="false" outlineLevel="0" collapsed="false">
      <c r="B21" s="8" t="s">
        <v>212</v>
      </c>
      <c r="C21" s="16" t="n">
        <f aca="false">SUMIF(Data!$C$7:$C$131,C$5,Data!V$7:V$131)</f>
        <v>80249</v>
      </c>
      <c r="D21" s="16" t="n">
        <f aca="false">SUMIF(Data!$C$7:$C$131,D$5,Data!V$7:V$131)</f>
        <v>100400</v>
      </c>
      <c r="E21" s="16" t="n">
        <f aca="false">SUMIF(Data!$C$7:$C$131,E$5,Data!V$7:V$131)</f>
        <v>121255</v>
      </c>
      <c r="F21" s="16" t="n">
        <f aca="false">SUMIF(Data!$C$7:$C$131,F$5,Data!V$7:V$131)</f>
        <v>178979</v>
      </c>
      <c r="G21" s="16" t="n">
        <f aca="false">SUMIF(Data!$C$7:$C$131,G$5,Data!V$7:V$131)</f>
        <v>241274</v>
      </c>
      <c r="H21" s="16" t="n">
        <f aca="false">SUMIF(Data!$C$7:$C$131,H$5,Data!V$7:V$131)</f>
        <v>336825</v>
      </c>
      <c r="I21" s="16" t="n">
        <f aca="false">SUMIF(Data!$C$7:$C$131,I$5,Data!V$7:V$131)</f>
        <v>597923</v>
      </c>
      <c r="J21" s="16" t="n">
        <f aca="false">SUMIF(Data!$C$7:$C$131,J$5,Data!V$7:V$131)</f>
        <v>1077353</v>
      </c>
      <c r="K21" s="16" t="n">
        <f aca="false">SUMIF(Data!$C$7:$C$131,K$5,Data!V$7:V$131)</f>
        <v>3078278</v>
      </c>
      <c r="L21" s="16" t="n">
        <f aca="false">SUMIF(Data!$C$7:$C$131,L$5,Data!V$7:V$131)</f>
        <v>4362826</v>
      </c>
      <c r="M21" s="16" t="n">
        <f aca="false">SUMIF(Data!$C$7:$C$131,M$5,Data!V$7:V$131)</f>
        <v>2005776</v>
      </c>
      <c r="O21" s="18" t="n">
        <f aca="false">C21/SUMIF(Data!$C$7:$C$131,C$5,Data!$AP$7:$AP$131)</f>
        <v>0.00975297081304779</v>
      </c>
      <c r="P21" s="18" t="n">
        <f aca="false">D21/SUMIF(Data!$C$7:$C$131,D$5,Data!$AP$7:$AP$131)</f>
        <v>0.0094181846147946</v>
      </c>
      <c r="Q21" s="18" t="n">
        <f aca="false">E21/SUMIF(Data!$C$7:$C$131,E$5,Data!$AP$7:$AP$131)</f>
        <v>0.00822357117049703</v>
      </c>
      <c r="R21" s="18" t="n">
        <f aca="false">F21/SUMIF(Data!$C$7:$C$131,F$5,Data!$AP$7:$AP$131)</f>
        <v>0.00830203695412021</v>
      </c>
      <c r="S21" s="18" t="n">
        <f aca="false">G21/SUMIF(Data!$C$7:$C$131,G$5,Data!$AP$7:$AP$131)</f>
        <v>0.00886716824780371</v>
      </c>
      <c r="T21" s="18" t="n">
        <f aca="false">H21/SUMIF(Data!$C$7:$C$131,H$5,Data!$AP$7:$AP$131)</f>
        <v>0.00728757418837417</v>
      </c>
      <c r="U21" s="18" t="n">
        <f aca="false">I21/SUMIF(Data!$C$7:$C$131,I$5,Data!$AP$7:$AP$131)</f>
        <v>0.00722041627446727</v>
      </c>
      <c r="V21" s="18" t="n">
        <f aca="false">J21/SUMIF(Data!$C$7:$C$131,J$5,Data!$AP$7:$AP$131)</f>
        <v>0.00555490707623443</v>
      </c>
      <c r="W21" s="18" t="n">
        <f aca="false">K21/SUMIF(Data!$C$7:$C$131,K$5,Data!$AP$7:$AP$131)</f>
        <v>0.00526762336970064</v>
      </c>
      <c r="X21" s="18" t="n">
        <f aca="false">L21/SUMIF(Data!$C$7:$C$131,L$5,Data!$AP$7:$AP$131)</f>
        <v>0.00513128885416641</v>
      </c>
      <c r="Y21" s="18" t="n">
        <f aca="false">M21/SUMIF(Data!$C$7:$C$131,M$5,Data!$AP$7:$AP$131)</f>
        <v>0.0046874626853704</v>
      </c>
      <c r="AA21" s="21" t="n">
        <f aca="false">'Rolling 12m %GDP'!Q131</f>
        <v>0.00503100881576718</v>
      </c>
    </row>
    <row r="22" customFormat="false" ht="15" hidden="false" customHeight="false" outlineLevel="0" collapsed="false">
      <c r="B22" s="8" t="s">
        <v>213</v>
      </c>
      <c r="C22" s="16" t="n">
        <f aca="false">SUMIF(Data!$C$7:$C$131,C$5,Data!W$7:W$131)</f>
        <v>81409</v>
      </c>
      <c r="D22" s="16" t="n">
        <f aca="false">SUMIF(Data!$C$7:$C$131,D$5,Data!W$7:W$131)</f>
        <v>101190</v>
      </c>
      <c r="E22" s="16" t="n">
        <f aca="false">SUMIF(Data!$C$7:$C$131,E$5,Data!W$7:W$131)</f>
        <v>129062</v>
      </c>
      <c r="F22" s="16" t="n">
        <f aca="false">SUMIF(Data!$C$7:$C$131,F$5,Data!W$7:W$131)</f>
        <v>169144</v>
      </c>
      <c r="G22" s="16" t="n">
        <f aca="false">SUMIF(Data!$C$7:$C$131,G$5,Data!W$7:W$131)</f>
        <v>264751</v>
      </c>
      <c r="H22" s="16" t="n">
        <f aca="false">SUMIF(Data!$C$7:$C$131,H$5,Data!W$7:W$131)</f>
        <v>347221</v>
      </c>
      <c r="I22" s="16" t="n">
        <f aca="false">SUMIF(Data!$C$7:$C$131,I$5,Data!W$7:W$131)</f>
        <v>621574</v>
      </c>
      <c r="J22" s="16" t="n">
        <f aca="false">SUMIF(Data!$C$7:$C$131,J$5,Data!W$7:W$131)</f>
        <v>1788905</v>
      </c>
      <c r="K22" s="16" t="n">
        <f aca="false">SUMIF(Data!$C$7:$C$131,K$5,Data!W$7:W$131)</f>
        <v>5442383</v>
      </c>
      <c r="L22" s="16" t="n">
        <f aca="false">SUMIF(Data!$C$7:$C$131,L$5,Data!W$7:W$131)</f>
        <v>7739520</v>
      </c>
      <c r="M22" s="16" t="n">
        <f aca="false">SUMIF(Data!$C$7:$C$131,M$5,Data!W$7:W$131)</f>
        <v>3827731</v>
      </c>
      <c r="O22" s="18" t="n">
        <f aca="false">C22/SUMIF(Data!$C$7:$C$131,C$5,Data!$AP$7:$AP$131)</f>
        <v>0.00989395009183176</v>
      </c>
      <c r="P22" s="18" t="n">
        <f aca="false">D22/SUMIF(Data!$C$7:$C$131,D$5,Data!$AP$7:$AP$131)</f>
        <v>0.00949229184433332</v>
      </c>
      <c r="Q22" s="18" t="n">
        <f aca="false">E22/SUMIF(Data!$C$7:$C$131,E$5,Data!$AP$7:$AP$131)</f>
        <v>0.00875304558497949</v>
      </c>
      <c r="R22" s="18" t="n">
        <f aca="false">F22/SUMIF(Data!$C$7:$C$131,F$5,Data!$AP$7:$AP$131)</f>
        <v>0.00784583520171478</v>
      </c>
      <c r="S22" s="18" t="n">
        <f aca="false">G22/SUMIF(Data!$C$7:$C$131,G$5,Data!$AP$7:$AP$131)</f>
        <v>0.00972998193246798</v>
      </c>
      <c r="T22" s="18" t="n">
        <f aca="false">H22/SUMIF(Data!$C$7:$C$131,H$5,Data!$AP$7:$AP$131)</f>
        <v>0.00751250292365907</v>
      </c>
      <c r="U22" s="18" t="n">
        <f aca="false">I22/SUMIF(Data!$C$7:$C$131,I$5,Data!$AP$7:$AP$131)</f>
        <v>0.00750602172083315</v>
      </c>
      <c r="V22" s="18" t="n">
        <f aca="false">J22/SUMIF(Data!$C$7:$C$131,J$5,Data!$AP$7:$AP$131)</f>
        <v>0.00922371872841228</v>
      </c>
      <c r="W22" s="18" t="n">
        <f aca="false">K22/SUMIF(Data!$C$7:$C$131,K$5,Data!$AP$7:$AP$131)</f>
        <v>0.00931313672048511</v>
      </c>
      <c r="X22" s="18" t="n">
        <f aca="false">L22/SUMIF(Data!$C$7:$C$131,L$5,Data!$AP$7:$AP$131)</f>
        <v>0.00910274961976435</v>
      </c>
      <c r="Y22" s="18" t="n">
        <f aca="false">M22/SUMIF(Data!$C$7:$C$131,M$5,Data!$AP$7:$AP$131)</f>
        <v>0.00894533897710189</v>
      </c>
      <c r="AA22" s="21" t="n">
        <f aca="false">'Rolling 12m %GDP'!R131</f>
        <v>0.00884531458435486</v>
      </c>
    </row>
    <row r="23" customFormat="false" ht="15" hidden="false" customHeight="false" outlineLevel="0" collapsed="false">
      <c r="B23" s="8" t="s">
        <v>214</v>
      </c>
      <c r="C23" s="16" t="n">
        <f aca="false">SUMIF(Data!$C$7:$C$131,C$5,Data!X$7:X$131)</f>
        <v>30302</v>
      </c>
      <c r="D23" s="16" t="n">
        <f aca="false">SUMIF(Data!$C$7:$C$131,D$5,Data!X$7:X$131)</f>
        <v>39238</v>
      </c>
      <c r="E23" s="16" t="n">
        <f aca="false">SUMIF(Data!$C$7:$C$131,E$5,Data!X$7:X$131)</f>
        <v>59339</v>
      </c>
      <c r="F23" s="16" t="n">
        <f aca="false">SUMIF(Data!$C$7:$C$131,F$5,Data!X$7:X$131)</f>
        <v>135069</v>
      </c>
      <c r="G23" s="16" t="n">
        <f aca="false">SUMIF(Data!$C$7:$C$131,G$5,Data!X$7:X$131)</f>
        <v>829870</v>
      </c>
      <c r="H23" s="16" t="n">
        <f aca="false">SUMIF(Data!$C$7:$C$131,H$5,Data!X$7:X$131)</f>
        <v>801677</v>
      </c>
      <c r="I23" s="16" t="n">
        <f aca="false">SUMIF(Data!$C$7:$C$131,I$5,Data!X$7:X$131)</f>
        <v>1476926</v>
      </c>
      <c r="J23" s="16" t="n">
        <f aca="false">SUMIF(Data!$C$7:$C$131,J$5,Data!X$7:X$131)</f>
        <v>4132425</v>
      </c>
      <c r="K23" s="16" t="n">
        <f aca="false">SUMIF(Data!$C$7:$C$131,K$5,Data!X$7:X$131)</f>
        <v>8559466</v>
      </c>
      <c r="L23" s="16" t="n">
        <f aca="false">SUMIF(Data!$C$7:$C$131,L$5,Data!X$7:X$131)</f>
        <v>8843492</v>
      </c>
      <c r="M23" s="16" t="n">
        <f aca="false">SUMIF(Data!$C$7:$C$131,M$5,Data!X$7:X$131)</f>
        <v>3675321</v>
      </c>
      <c r="O23" s="18" t="n">
        <f aca="false">C23/SUMIF(Data!$C$7:$C$131,C$5,Data!$AP$7:$AP$131)</f>
        <v>0.00368271905664836</v>
      </c>
      <c r="P23" s="18" t="n">
        <f aca="false">D23/SUMIF(Data!$C$7:$C$131,D$5,Data!$AP$7:$AP$131)</f>
        <v>0.00368078414258277</v>
      </c>
      <c r="Q23" s="18" t="n">
        <f aca="false">E23/SUMIF(Data!$C$7:$C$131,E$5,Data!$AP$7:$AP$131)</f>
        <v>0.00402439890879653</v>
      </c>
      <c r="R23" s="18" t="n">
        <f aca="false">F23/SUMIF(Data!$C$7:$C$131,F$5,Data!$AP$7:$AP$131)</f>
        <v>0.00626524804226229</v>
      </c>
      <c r="S23" s="18" t="n">
        <f aca="false">G23/SUMIF(Data!$C$7:$C$131,G$5,Data!$AP$7:$AP$131)</f>
        <v>0.0304989220297457</v>
      </c>
      <c r="T23" s="18" t="n">
        <f aca="false">H23/SUMIF(Data!$C$7:$C$131,H$5,Data!$AP$7:$AP$131)</f>
        <v>0.0173451513771639</v>
      </c>
      <c r="U23" s="18" t="n">
        <f aca="false">I23/SUMIF(Data!$C$7:$C$131,I$5,Data!$AP$7:$AP$131)</f>
        <v>0.0178351067388006</v>
      </c>
      <c r="V23" s="18" t="n">
        <f aca="false">J23/SUMIF(Data!$C$7:$C$131,J$5,Data!$AP$7:$AP$131)</f>
        <v>0.0213070710106233</v>
      </c>
      <c r="W23" s="18" t="n">
        <f aca="false">K23/SUMIF(Data!$C$7:$C$131,K$5,Data!$AP$7:$AP$131)</f>
        <v>0.0146471641397424</v>
      </c>
      <c r="X23" s="18" t="n">
        <f aca="false">L23/SUMIF(Data!$C$7:$C$131,L$5,Data!$AP$7:$AP$131)</f>
        <v>0.0104011739023078</v>
      </c>
      <c r="Y23" s="18" t="n">
        <f aca="false">M23/SUMIF(Data!$C$7:$C$131,M$5,Data!$AP$7:$AP$131)</f>
        <v>0.00858915952940818</v>
      </c>
      <c r="AA23" s="21" t="n">
        <f aca="false">'Rolling 12m %GDP'!S131</f>
        <v>0.00924689266252746</v>
      </c>
    </row>
    <row r="24" customFormat="false" ht="15" hidden="false" customHeight="false" outlineLevel="0" collapsed="false">
      <c r="B24" s="8" t="s">
        <v>215</v>
      </c>
      <c r="C24" s="16" t="n">
        <f aca="false">SUMIF(Data!$C$7:$C$131,C$5,Data!Y$7:Y$131)+SUMIF(Data!$C$7:$C$131,C$5,Data!Z$7:Z$131)+SUMIF(Data!$C$7:$C$131,C$5,Data!AA$7:AA$131)</f>
        <v>291171</v>
      </c>
      <c r="D24" s="16" t="n">
        <f aca="false">SUMIF(Data!$C$7:$C$131,D$5,Data!Y$7:Y$131)+SUMIF(Data!$C$7:$C$131,D$5,Data!Z$7:Z$131)+SUMIF(Data!$C$7:$C$131,D$5,Data!AA$7:AA$131)</f>
        <v>225708</v>
      </c>
      <c r="E24" s="16" t="n">
        <f aca="false">SUMIF(Data!$C$7:$C$131,E$5,Data!Y$7:Y$131)+SUMIF(Data!$C$7:$C$131,E$5,Data!Z$7:Z$131)+SUMIF(Data!$C$7:$C$131,E$5,Data!AA$7:AA$131)</f>
        <v>281238</v>
      </c>
      <c r="F24" s="16" t="n">
        <f aca="false">SUMIF(Data!$C$7:$C$131,F$5,Data!Y$7:Y$131)+SUMIF(Data!$C$7:$C$131,F$5,Data!Z$7:Z$131)+SUMIF(Data!$C$7:$C$131,F$5,Data!AA$7:AA$131)</f>
        <v>338411</v>
      </c>
      <c r="G24" s="16" t="n">
        <f aca="false">SUMIF(Data!$C$7:$C$131,G$5,Data!Y$7:Y$131)+SUMIF(Data!$C$7:$C$131,G$5,Data!Z$7:Z$131)+SUMIF(Data!$C$7:$C$131,G$5,Data!AA$7:AA$131)</f>
        <v>696810</v>
      </c>
      <c r="H24" s="16" t="n">
        <f aca="false">SUMIF(Data!$C$7:$C$131,H$5,Data!Y$7:Y$131)+SUMIF(Data!$C$7:$C$131,H$5,Data!Z$7:Z$131)+SUMIF(Data!$C$7:$C$131,H$5,Data!AA$7:AA$131)</f>
        <v>1381538</v>
      </c>
      <c r="I24" s="16" t="n">
        <f aca="false">SUMIF(Data!$C$7:$C$131,I$5,Data!Y$7:Y$131)+SUMIF(Data!$C$7:$C$131,I$5,Data!Z$7:Z$131)+SUMIF(Data!$C$7:$C$131,I$5,Data!AA$7:AA$131)</f>
        <v>2139431</v>
      </c>
      <c r="J24" s="16" t="n">
        <f aca="false">SUMIF(Data!$C$7:$C$131,J$5,Data!Y$7:Y$131)+SUMIF(Data!$C$7:$C$131,J$5,Data!Z$7:Z$131)+SUMIF(Data!$C$7:$C$131,J$5,Data!AA$7:AA$131)</f>
        <v>3979784</v>
      </c>
      <c r="K24" s="16" t="n">
        <f aca="false">SUMIF(Data!$C$7:$C$131,K$5,Data!Y$7:Y$131)+SUMIF(Data!$C$7:$C$131,K$5,Data!Z$7:Z$131)+SUMIF(Data!$C$7:$C$131,K$5,Data!AA$7:AA$131)</f>
        <v>8725938</v>
      </c>
      <c r="L24" s="16" t="n">
        <f aca="false">SUMIF(Data!$C$7:$C$131,L$5,Data!Y$7:Y$131)+SUMIF(Data!$C$7:$C$131,L$5,Data!Z$7:Z$131)+SUMIF(Data!$C$7:$C$131,L$5,Data!AA$7:AA$131)</f>
        <v>8528123</v>
      </c>
      <c r="M24" s="16" t="n">
        <f aca="false">SUMIF(Data!$C$7:$C$131,M$5,Data!Y$7:Y$131)+SUMIF(Data!$C$7:$C$131,M$5,Data!Z$7:Z$131)+SUMIF(Data!$C$7:$C$131,M$5,Data!AA$7:AA$131)</f>
        <v>3839176</v>
      </c>
      <c r="O24" s="18" t="n">
        <f aca="false">C24/SUMIF(Data!$C$7:$C$131,C$5,Data!$AP$7:$AP$131)</f>
        <v>0.0353871358472496</v>
      </c>
      <c r="P24" s="18" t="n">
        <f aca="false">D24/SUMIF(Data!$C$7:$C$131,D$5,Data!$AP$7:$AP$131)</f>
        <v>0.0211729045123114</v>
      </c>
      <c r="Q24" s="18" t="n">
        <f aca="false">E24/SUMIF(Data!$C$7:$C$131,E$5,Data!$AP$7:$AP$131)</f>
        <v>0.0190736935289122</v>
      </c>
      <c r="R24" s="18" t="n">
        <f aca="false">F24/SUMIF(Data!$C$7:$C$131,F$5,Data!$AP$7:$AP$131)</f>
        <v>0.0156973758244307</v>
      </c>
      <c r="S24" s="18" t="n">
        <f aca="false">G24/SUMIF(Data!$C$7:$C$131,G$5,Data!$AP$7:$AP$131)</f>
        <v>0.025608774699106</v>
      </c>
      <c r="T24" s="18" t="n">
        <f aca="false">H24/SUMIF(Data!$C$7:$C$131,H$5,Data!$AP$7:$AP$131)</f>
        <v>0.0298910730173178</v>
      </c>
      <c r="U24" s="18" t="n">
        <f aca="false">I24/SUMIF(Data!$C$7:$C$131,I$5,Data!$AP$7:$AP$131)</f>
        <v>0.0258354042418502</v>
      </c>
      <c r="V24" s="18" t="n">
        <f aca="false">J24/SUMIF(Data!$C$7:$C$131,J$5,Data!$AP$7:$AP$131)</f>
        <v>0.0205200433873434</v>
      </c>
      <c r="W24" s="18" t="n">
        <f aca="false">K24/SUMIF(Data!$C$7:$C$131,K$5,Data!$AP$7:$AP$131)</f>
        <v>0.0149320350310657</v>
      </c>
      <c r="X24" s="18" t="n">
        <f aca="false">L24/SUMIF(Data!$C$7:$C$131,L$5,Data!$AP$7:$AP$131)</f>
        <v>0.0100302561910239</v>
      </c>
      <c r="Y24" s="18" t="n">
        <f aca="false">M24/SUMIF(Data!$C$7:$C$131,M$5,Data!$AP$7:$AP$131)</f>
        <v>0.00897208573767439</v>
      </c>
      <c r="AA24" s="21" t="n">
        <f aca="false">'Rolling 12m %GDP'!T131</f>
        <v>0.0103578618081032</v>
      </c>
    </row>
    <row r="25" customFormat="false" ht="15" hidden="false" customHeight="false" outlineLevel="0" collapsed="false">
      <c r="B25" s="8" t="s">
        <v>216</v>
      </c>
      <c r="C25" s="16" t="n">
        <f aca="false">SUMIF(Data!$C$7:$C$131,C$5,Data!Y$7:Y$131)</f>
        <v>209203</v>
      </c>
      <c r="D25" s="16" t="n">
        <f aca="false">SUMIF(Data!$C$7:$C$131,D$5,Data!Y$7:Y$131)</f>
        <v>125654</v>
      </c>
      <c r="E25" s="16" t="n">
        <f aca="false">SUMIF(Data!$C$7:$C$131,E$5,Data!Y$7:Y$131)</f>
        <v>177887</v>
      </c>
      <c r="F25" s="16" t="n">
        <f aca="false">SUMIF(Data!$C$7:$C$131,F$5,Data!Y$7:Y$131)</f>
        <v>214137</v>
      </c>
      <c r="G25" s="16" t="n">
        <f aca="false">SUMIF(Data!$C$7:$C$131,G$5,Data!Y$7:Y$131)</f>
        <v>492339</v>
      </c>
      <c r="H25" s="16" t="n">
        <f aca="false">SUMIF(Data!$C$7:$C$131,H$5,Data!Y$7:Y$131)</f>
        <v>1050803</v>
      </c>
      <c r="I25" s="16" t="n">
        <f aca="false">SUMIF(Data!$C$7:$C$131,I$5,Data!Y$7:Y$131)</f>
        <v>1656944</v>
      </c>
      <c r="J25" s="16" t="n">
        <f aca="false">SUMIF(Data!$C$7:$C$131,J$5,Data!Y$7:Y$131)</f>
        <v>2951668</v>
      </c>
      <c r="K25" s="16" t="n">
        <f aca="false">SUMIF(Data!$C$7:$C$131,K$5,Data!Y$7:Y$131)</f>
        <v>6484063</v>
      </c>
      <c r="L25" s="16" t="n">
        <f aca="false">SUMIF(Data!$C$7:$C$131,L$5,Data!Y$7:Y$131)</f>
        <v>5711999</v>
      </c>
      <c r="M25" s="16" t="n">
        <f aca="false">SUMIF(Data!$C$7:$C$131,M$5,Data!Y$7:Y$131)</f>
        <v>2611186</v>
      </c>
      <c r="O25" s="18" t="n">
        <f aca="false">C25/SUMIF(Data!$C$7:$C$131,C$5,Data!$AP$7:$AP$131)</f>
        <v>0.0254252483271073</v>
      </c>
      <c r="P25" s="18" t="n">
        <f aca="false">D25/SUMIF(Data!$C$7:$C$131,D$5,Data!$AP$7:$AP$131)</f>
        <v>0.0117871769879223</v>
      </c>
      <c r="Q25" s="18" t="n">
        <f aca="false">E25/SUMIF(Data!$C$7:$C$131,E$5,Data!$AP$7:$AP$131)</f>
        <v>0.0120643800652031</v>
      </c>
      <c r="R25" s="18" t="n">
        <f aca="false">F25/SUMIF(Data!$C$7:$C$131,F$5,Data!$AP$7:$AP$131)</f>
        <v>0.00993285964970437</v>
      </c>
      <c r="S25" s="18" t="n">
        <f aca="false">G25/SUMIF(Data!$C$7:$C$131,G$5,Data!$AP$7:$AP$131)</f>
        <v>0.0180941698979394</v>
      </c>
      <c r="T25" s="18" t="n">
        <f aca="false">H25/SUMIF(Data!$C$7:$C$131,H$5,Data!$AP$7:$AP$131)</f>
        <v>0.0227352625840307</v>
      </c>
      <c r="U25" s="18" t="n">
        <f aca="false">I25/SUMIF(Data!$C$7:$C$131,I$5,Data!$AP$7:$AP$131)</f>
        <v>0.0200089734355108</v>
      </c>
      <c r="V25" s="18" t="n">
        <f aca="false">J25/SUMIF(Data!$C$7:$C$131,J$5,Data!$AP$7:$AP$131)</f>
        <v>0.0152190057111223</v>
      </c>
      <c r="W25" s="18" t="n">
        <f aca="false">K25/SUMIF(Data!$C$7:$C$131,K$5,Data!$AP$7:$AP$131)</f>
        <v>0.0110956845968464</v>
      </c>
      <c r="X25" s="18" t="n">
        <f aca="false">L25/SUMIF(Data!$C$7:$C$131,L$5,Data!$AP$7:$AP$131)</f>
        <v>0.00671810354199542</v>
      </c>
      <c r="Y25" s="18" t="n">
        <f aca="false">M25/SUMIF(Data!$C$7:$C$131,M$5,Data!$AP$7:$AP$131)</f>
        <v>0.00610229504170036</v>
      </c>
      <c r="AA25" s="21" t="n">
        <f aca="false">'Rolling 12m %GDP'!U131</f>
        <v>0.0073813489297829</v>
      </c>
    </row>
    <row r="26" customFormat="false" ht="15" hidden="false" customHeight="false" outlineLevel="0" collapsed="false">
      <c r="B26" s="8" t="s">
        <v>217</v>
      </c>
      <c r="C26" s="16" t="n">
        <f aca="false">SUMIF(Data!$C$7:$C$131,C$5,Data!Z$7:Z$131)</f>
        <v>80247</v>
      </c>
      <c r="D26" s="16" t="n">
        <f aca="false">SUMIF(Data!$C$7:$C$131,D$5,Data!Z$7:Z$131)</f>
        <v>90496</v>
      </c>
      <c r="E26" s="16" t="n">
        <f aca="false">SUMIF(Data!$C$7:$C$131,E$5,Data!Z$7:Z$131)</f>
        <v>102128</v>
      </c>
      <c r="F26" s="16" t="n">
        <f aca="false">SUMIF(Data!$C$7:$C$131,F$5,Data!Z$7:Z$131)</f>
        <v>120352</v>
      </c>
      <c r="G26" s="16" t="n">
        <f aca="false">SUMIF(Data!$C$7:$C$131,G$5,Data!Z$7:Z$131)</f>
        <v>197098</v>
      </c>
      <c r="H26" s="16" t="n">
        <f aca="false">SUMIF(Data!$C$7:$C$131,H$5,Data!Z$7:Z$131)</f>
        <v>304298</v>
      </c>
      <c r="I26" s="16" t="n">
        <f aca="false">SUMIF(Data!$C$7:$C$131,I$5,Data!Z$7:Z$131)</f>
        <v>460270</v>
      </c>
      <c r="J26" s="16" t="n">
        <f aca="false">SUMIF(Data!$C$7:$C$131,J$5,Data!Z$7:Z$131)</f>
        <v>916051</v>
      </c>
      <c r="K26" s="16" t="n">
        <f aca="false">SUMIF(Data!$C$7:$C$131,K$5,Data!Z$7:Z$131)</f>
        <v>2093841</v>
      </c>
      <c r="L26" s="16" t="n">
        <f aca="false">SUMIF(Data!$C$7:$C$131,L$5,Data!Z$7:Z$131)</f>
        <v>2744500</v>
      </c>
      <c r="M26" s="16" t="n">
        <f aca="false">SUMIF(Data!$C$7:$C$131,M$5,Data!Z$7:Z$131)</f>
        <v>1222948</v>
      </c>
      <c r="O26" s="18" t="n">
        <f aca="false">C26/SUMIF(Data!$C$7:$C$131,C$5,Data!$AP$7:$AP$131)</f>
        <v>0.00975272774532575</v>
      </c>
      <c r="P26" s="18" t="n">
        <f aca="false">D26/SUMIF(Data!$C$7:$C$131,D$5,Data!$AP$7:$AP$131)</f>
        <v>0.00848912385359016</v>
      </c>
      <c r="Q26" s="18" t="n">
        <f aca="false">E26/SUMIF(Data!$C$7:$C$131,E$5,Data!$AP$7:$AP$131)</f>
        <v>0.00692636902808561</v>
      </c>
      <c r="R26" s="18" t="n">
        <f aca="false">F26/SUMIF(Data!$C$7:$C$131,F$5,Data!$AP$7:$AP$131)</f>
        <v>0.00558259210020324</v>
      </c>
      <c r="S26" s="18" t="n">
        <f aca="false">G26/SUMIF(Data!$C$7:$C$131,G$5,Data!$AP$7:$AP$131)</f>
        <v>0.00724363639391569</v>
      </c>
      <c r="T26" s="18" t="n">
        <f aca="false">H26/SUMIF(Data!$C$7:$C$131,H$5,Data!$AP$7:$AP$131)</f>
        <v>0.00658381726526796</v>
      </c>
      <c r="U26" s="18" t="n">
        <f aca="false">I26/SUMIF(Data!$C$7:$C$131,I$5,Data!$AP$7:$AP$131)</f>
        <v>0.00555814209965004</v>
      </c>
      <c r="V26" s="18" t="n">
        <f aca="false">J26/SUMIF(Data!$C$7:$C$131,J$5,Data!$AP$7:$AP$131)</f>
        <v>0.00472322273395222</v>
      </c>
      <c r="W26" s="18" t="n">
        <f aca="false">K26/SUMIF(Data!$C$7:$C$131,K$5,Data!$AP$7:$AP$131)</f>
        <v>0.00358303109207075</v>
      </c>
      <c r="X26" s="18" t="n">
        <f aca="false">L26/SUMIF(Data!$C$7:$C$131,L$5,Data!$AP$7:$AP$131)</f>
        <v>0.00322791288496486</v>
      </c>
      <c r="Y26" s="18" t="n">
        <f aca="false">M26/SUMIF(Data!$C$7:$C$131,M$5,Data!$AP$7:$AP$131)</f>
        <v>0.00285800763203287</v>
      </c>
      <c r="AA26" s="21" t="n">
        <f aca="false">'Rolling 12m %GDP'!V131</f>
        <v>0.00293831116594057</v>
      </c>
    </row>
    <row r="27" customFormat="false" ht="15" hidden="false" customHeight="false" outlineLevel="0" collapsed="false">
      <c r="B27" s="8" t="s">
        <v>218</v>
      </c>
      <c r="C27" s="16" t="n">
        <f aca="false">SUMIF(Data!$C$7:$C$131,C$5,Data!AB$7:AB$131)</f>
        <v>266830</v>
      </c>
      <c r="D27" s="16" t="n">
        <f aca="false">SUMIF(Data!$C$7:$C$131,D$5,Data!AB$7:AB$131)</f>
        <v>333195</v>
      </c>
      <c r="E27" s="16" t="n">
        <f aca="false">SUMIF(Data!$C$7:$C$131,E$5,Data!AB$7:AB$131)</f>
        <v>400835</v>
      </c>
      <c r="F27" s="16" t="n">
        <f aca="false">SUMIF(Data!$C$7:$C$131,F$5,Data!AB$7:AB$131)</f>
        <v>536940</v>
      </c>
      <c r="G27" s="16" t="n">
        <f aca="false">SUMIF(Data!$C$7:$C$131,G$5,Data!AB$7:AB$131)</f>
        <v>696028</v>
      </c>
      <c r="H27" s="16" t="n">
        <f aca="false">SUMIF(Data!$C$7:$C$131,H$5,Data!AB$7:AB$131)</f>
        <v>1078561</v>
      </c>
      <c r="I27" s="16" t="n">
        <f aca="false">SUMIF(Data!$C$7:$C$131,I$5,Data!AB$7:AB$131)</f>
        <v>1987025</v>
      </c>
      <c r="J27" s="16" t="n">
        <f aca="false">SUMIF(Data!$C$7:$C$131,J$5,Data!AB$7:AB$131)</f>
        <v>5037828</v>
      </c>
      <c r="K27" s="16" t="n">
        <f aca="false">SUMIF(Data!$C$7:$C$131,K$5,Data!AB$7:AB$131)</f>
        <v>12588607</v>
      </c>
      <c r="L27" s="16" t="n">
        <f aca="false">SUMIF(Data!$C$7:$C$131,L$5,Data!AB$7:AB$131)</f>
        <v>16357103</v>
      </c>
      <c r="M27" s="16" t="n">
        <f aca="false">SUMIF(Data!$C$7:$C$131,M$5,Data!AB$7:AB$131)</f>
        <v>7744786</v>
      </c>
      <c r="O27" s="18" t="n">
        <f aca="false">C27/SUMIF(Data!$C$7:$C$131,C$5,Data!$AP$7:$AP$131)</f>
        <v>0.0324288801361455</v>
      </c>
      <c r="P27" s="18" t="n">
        <f aca="false">D27/SUMIF(Data!$C$7:$C$131,D$5,Data!$AP$7:$AP$131)</f>
        <v>0.0312558966407021</v>
      </c>
      <c r="Q27" s="18" t="n">
        <f aca="false">E27/SUMIF(Data!$C$7:$C$131,E$5,Data!$AP$7:$AP$131)</f>
        <v>0.0271848183590465</v>
      </c>
      <c r="R27" s="18" t="n">
        <f aca="false">F27/SUMIF(Data!$C$7:$C$131,F$5,Data!$AP$7:$AP$131)</f>
        <v>0.0249062500189704</v>
      </c>
      <c r="S27" s="18" t="n">
        <f aca="false">G27/SUMIF(Data!$C$7:$C$131,G$5,Data!$AP$7:$AP$131)</f>
        <v>0.0255800350687696</v>
      </c>
      <c r="T27" s="18" t="n">
        <f aca="false">H27/SUMIF(Data!$C$7:$C$131,H$5,Data!$AP$7:$AP$131)</f>
        <v>0.0233358370197789</v>
      </c>
      <c r="U27" s="18" t="n">
        <f aca="false">I27/SUMIF(Data!$C$7:$C$131,I$5,Data!$AP$7:$AP$131)</f>
        <v>0.0239949753526346</v>
      </c>
      <c r="V27" s="18" t="n">
        <f aca="false">J27/SUMIF(Data!$C$7:$C$131,J$5,Data!$AP$7:$AP$131)</f>
        <v>0.025975391915233</v>
      </c>
      <c r="W27" s="18" t="n">
        <f aca="false">K27/SUMIF(Data!$C$7:$C$131,K$5,Data!$AP$7:$AP$131)</f>
        <v>0.0215419271505618</v>
      </c>
      <c r="X27" s="18" t="n">
        <f aca="false">L27/SUMIF(Data!$C$7:$C$131,L$5,Data!$AP$7:$AP$131)</f>
        <v>0.0192382231861532</v>
      </c>
      <c r="Y27" s="18" t="n">
        <f aca="false">M27/SUMIF(Data!$C$7:$C$131,M$5,Data!$AP$7:$AP$131)</f>
        <v>0.0180994265467226</v>
      </c>
      <c r="AA27" s="21" t="n">
        <f aca="false">'Rolling 12m %GDP'!W131</f>
        <v>0.0186368299552507</v>
      </c>
    </row>
    <row r="28" customFormat="false" ht="15" hidden="false" customHeight="false" outlineLevel="0" collapsed="false">
      <c r="B28" s="8" t="s">
        <v>219</v>
      </c>
      <c r="C28" s="16" t="n">
        <f aca="false">SUMIF(Data!$C$7:$C$131,C$5,Data!AC$7:AC$131)</f>
        <v>79340</v>
      </c>
      <c r="D28" s="16" t="n">
        <f aca="false">SUMIF(Data!$C$7:$C$131,D$5,Data!AC$7:AC$131)</f>
        <v>104534</v>
      </c>
      <c r="E28" s="16" t="n">
        <f aca="false">SUMIF(Data!$C$7:$C$131,E$5,Data!AC$7:AC$131)</f>
        <v>135367</v>
      </c>
      <c r="F28" s="16" t="n">
        <f aca="false">SUMIF(Data!$C$7:$C$131,F$5,Data!AC$7:AC$131)</f>
        <v>168797</v>
      </c>
      <c r="G28" s="16" t="n">
        <f aca="false">SUMIF(Data!$C$7:$C$131,G$5,Data!AC$7:AC$131)</f>
        <v>210951</v>
      </c>
      <c r="H28" s="16" t="n">
        <f aca="false">SUMIF(Data!$C$7:$C$131,H$5,Data!AC$7:AC$131)</f>
        <v>450752</v>
      </c>
      <c r="I28" s="16" t="n">
        <f aca="false">SUMIF(Data!$C$7:$C$131,I$5,Data!AC$7:AC$131)</f>
        <v>606019</v>
      </c>
      <c r="J28" s="16" t="n">
        <f aca="false">SUMIF(Data!$C$7:$C$131,J$5,Data!AC$7:AC$131)</f>
        <v>1271571</v>
      </c>
      <c r="K28" s="16" t="n">
        <f aca="false">SUMIF(Data!$C$7:$C$131,K$5,Data!AC$7:AC$131)</f>
        <v>3040245</v>
      </c>
      <c r="L28" s="16" t="n">
        <f aca="false">SUMIF(Data!$C$7:$C$131,L$5,Data!AC$7:AC$131)</f>
        <v>5049001</v>
      </c>
      <c r="M28" s="16" t="n">
        <f aca="false">SUMIF(Data!$C$7:$C$131,M$5,Data!AC$7:AC$131)</f>
        <v>2078119</v>
      </c>
      <c r="O28" s="18" t="n">
        <f aca="false">C28/SUMIF(Data!$C$7:$C$131,C$5,Data!$AP$7:$AP$131)</f>
        <v>0.00964249653338</v>
      </c>
      <c r="P28" s="18" t="n">
        <f aca="false">D28/SUMIF(Data!$C$7:$C$131,D$5,Data!$AP$7:$AP$131)</f>
        <v>0.00980598118050736</v>
      </c>
      <c r="Q28" s="18" t="n">
        <f aca="false">E28/SUMIF(Data!$C$7:$C$131,E$5,Data!$AP$7:$AP$131)</f>
        <v>0.00918065365252296</v>
      </c>
      <c r="R28" s="18" t="n">
        <f aca="false">F28/SUMIF(Data!$C$7:$C$131,F$5,Data!$AP$7:$AP$131)</f>
        <v>0.00782973942051654</v>
      </c>
      <c r="S28" s="18" t="n">
        <f aca="false">G28/SUMIF(Data!$C$7:$C$131,G$5,Data!$AP$7:$AP$131)</f>
        <v>0.00775275416763696</v>
      </c>
      <c r="T28" s="18" t="n">
        <f aca="false">H28/SUMIF(Data!$C$7:$C$131,H$5,Data!$AP$7:$AP$131)</f>
        <v>0.00975250839622365</v>
      </c>
      <c r="U28" s="18" t="n">
        <f aca="false">I28/SUMIF(Data!$C$7:$C$131,I$5,Data!$AP$7:$AP$131)</f>
        <v>0.00731818219107875</v>
      </c>
      <c r="V28" s="18" t="n">
        <f aca="false">J28/SUMIF(Data!$C$7:$C$131,J$5,Data!$AP$7:$AP$131)</f>
        <v>0.00655630860621774</v>
      </c>
      <c r="W28" s="18" t="n">
        <f aca="false">K28/SUMIF(Data!$C$7:$C$131,K$5,Data!$AP$7:$AP$131)</f>
        <v>0.00520254038511646</v>
      </c>
      <c r="X28" s="18" t="n">
        <f aca="false">L28/SUMIF(Data!$C$7:$C$131,L$5,Data!$AP$7:$AP$131)</f>
        <v>0.00593832588234669</v>
      </c>
      <c r="Y28" s="18" t="n">
        <f aca="false">M28/SUMIF(Data!$C$7:$C$131,M$5,Data!$AP$7:$AP$131)</f>
        <v>0.00485652698419926</v>
      </c>
      <c r="AA28" s="21" t="n">
        <f aca="false">'Rolling 12m %GDP'!X131</f>
        <v>0.00542431242974698</v>
      </c>
    </row>
    <row r="29" customFormat="false" ht="15" hidden="false" customHeight="false" outlineLevel="0" collapsed="false">
      <c r="B29" s="8" t="s">
        <v>220</v>
      </c>
      <c r="C29" s="16" t="n">
        <f aca="false">SUMIF(Data!$C$7:$C$131,C$5,Data!AD$7:AD$131)+SUMIF(Data!$C$7:$C$131,C$5,Data!AE$7:AE$131)+SUMIF(Data!$C$7:$C$131,C$5,Data!AF$7:AF$131)+SUMIF(Data!$C$7:$C$131,C$5,Data!AG$7:AG$131)+SUMIF(Data!$C$7:$C$131,C$5,Data!AH$7:AH$131)</f>
        <v>73593</v>
      </c>
      <c r="D29" s="16" t="n">
        <f aca="false">SUMIF(Data!$C$7:$C$131,D$5,Data!AD$7:AD$131)+SUMIF(Data!$C$7:$C$131,D$5,Data!AE$7:AE$131)+SUMIF(Data!$C$7:$C$131,D$5,Data!AF$7:AF$131)+SUMIF(Data!$C$7:$C$131,D$5,Data!AG$7:AG$131)+SUMIF(Data!$C$7:$C$131,D$5,Data!AH$7:AH$131)</f>
        <v>82661</v>
      </c>
      <c r="E29" s="16" t="n">
        <f aca="false">SUMIF(Data!$C$7:$C$131,E$5,Data!AD$7:AD$131)+SUMIF(Data!$C$7:$C$131,E$5,Data!AE$7:AE$131)+SUMIF(Data!$C$7:$C$131,E$5,Data!AF$7:AF$131)+SUMIF(Data!$C$7:$C$131,E$5,Data!AG$7:AG$131)+SUMIF(Data!$C$7:$C$131,E$5,Data!AH$7:AH$131)</f>
        <v>79271</v>
      </c>
      <c r="F29" s="16" t="n">
        <f aca="false">SUMIF(Data!$C$7:$C$131,F$5,Data!AD$7:AD$131)+SUMIF(Data!$C$7:$C$131,F$5,Data!AE$7:AE$131)+SUMIF(Data!$C$7:$C$131,F$5,Data!AF$7:AF$131)+SUMIF(Data!$C$7:$C$131,F$5,Data!AG$7:AG$131)+SUMIF(Data!$C$7:$C$131,F$5,Data!AH$7:AH$131)</f>
        <v>127838</v>
      </c>
      <c r="G29" s="16" t="n">
        <f aca="false">SUMIF(Data!$C$7:$C$131,G$5,Data!AD$7:AD$131)+SUMIF(Data!$C$7:$C$131,G$5,Data!AE$7:AE$131)+SUMIF(Data!$C$7:$C$131,G$5,Data!AF$7:AF$131)+SUMIF(Data!$C$7:$C$131,G$5,Data!AG$7:AG$131)+SUMIF(Data!$C$7:$C$131,G$5,Data!AH$7:AH$131)</f>
        <v>323729</v>
      </c>
      <c r="H29" s="16" t="n">
        <f aca="false">SUMIF(Data!$C$7:$C$131,H$5,Data!AD$7:AD$131)+SUMIF(Data!$C$7:$C$131,H$5,Data!AE$7:AE$131)+SUMIF(Data!$C$7:$C$131,H$5,Data!AF$7:AF$131)+SUMIF(Data!$C$7:$C$131,H$5,Data!AG$7:AG$131)+SUMIF(Data!$C$7:$C$131,H$5,Data!AH$7:AH$131)</f>
        <v>360094</v>
      </c>
      <c r="I29" s="16" t="n">
        <f aca="false">SUMIF(Data!$C$7:$C$131,I$5,Data!AD$7:AD$131)+SUMIF(Data!$C$7:$C$131,I$5,Data!AE$7:AE$131)+SUMIF(Data!$C$7:$C$131,I$5,Data!AF$7:AF$131)+SUMIF(Data!$C$7:$C$131,I$5,Data!AG$7:AG$131)+SUMIF(Data!$C$7:$C$131,I$5,Data!AH$7:AH$131)</f>
        <v>554887</v>
      </c>
      <c r="J29" s="16" t="n">
        <f aca="false">SUMIF(Data!$C$7:$C$131,J$5,Data!AD$7:AD$131)+SUMIF(Data!$C$7:$C$131,J$5,Data!AE$7:AE$131)+SUMIF(Data!$C$7:$C$131,J$5,Data!AF$7:AF$131)+SUMIF(Data!$C$7:$C$131,J$5,Data!AG$7:AG$131)+SUMIF(Data!$C$7:$C$131,J$5,Data!AH$7:AH$131)</f>
        <v>1437660</v>
      </c>
      <c r="K29" s="16" t="n">
        <f aca="false">SUMIF(Data!$C$7:$C$131,K$5,Data!AD$7:AD$131)+SUMIF(Data!$C$7:$C$131,K$5,Data!AE$7:AE$131)+SUMIF(Data!$C$7:$C$131,K$5,Data!AF$7:AF$131)+SUMIF(Data!$C$7:$C$131,K$5,Data!AG$7:AG$131)+SUMIF(Data!$C$7:$C$131,K$5,Data!AH$7:AH$131)</f>
        <v>1451668</v>
      </c>
      <c r="L29" s="16" t="n">
        <f aca="false">SUMIF(Data!$C$7:$C$131,L$5,Data!AD$7:AD$131)+SUMIF(Data!$C$7:$C$131,L$5,Data!AE$7:AE$131)+SUMIF(Data!$C$7:$C$131,L$5,Data!AF$7:AF$131)+SUMIF(Data!$C$7:$C$131,L$5,Data!AG$7:AG$131)+SUMIF(Data!$C$7:$C$131,L$5,Data!AH$7:AH$131)</f>
        <v>2435968</v>
      </c>
      <c r="M29" s="16" t="n">
        <f aca="false">SUMIF(Data!$C$7:$C$131,M$5,Data!AD$7:AD$131)+SUMIF(Data!$C$7:$C$131,M$5,Data!AE$7:AE$131)+SUMIF(Data!$C$7:$C$131,M$5,Data!AF$7:AF$131)+SUMIF(Data!$C$7:$C$131,M$5,Data!AG$7:AG$131)+SUMIF(Data!$C$7:$C$131,M$5,Data!AH$7:AH$131)</f>
        <v>774426</v>
      </c>
      <c r="O29" s="18" t="n">
        <f aca="false">C29/SUMIF(Data!$C$7:$C$131,C$5,Data!$AP$7:$AP$131)</f>
        <v>0.0089440414340942</v>
      </c>
      <c r="P29" s="18" t="n">
        <f aca="false">D29/SUMIF(Data!$C$7:$C$131,D$5,Data!$AP$7:$AP$131)</f>
        <v>0.00775414898848144</v>
      </c>
      <c r="Q29" s="18" t="n">
        <f aca="false">E29/SUMIF(Data!$C$7:$C$131,E$5,Data!$AP$7:$AP$131)</f>
        <v>0.00537619653009336</v>
      </c>
      <c r="R29" s="18" t="n">
        <f aca="false">F29/SUMIF(Data!$C$7:$C$131,F$5,Data!$AP$7:$AP$131)</f>
        <v>0.00592983422714855</v>
      </c>
      <c r="S29" s="18" t="n">
        <f aca="false">G29/SUMIF(Data!$C$7:$C$131,G$5,Data!$AP$7:$AP$131)</f>
        <v>0.0118975086818026</v>
      </c>
      <c r="T29" s="18" t="n">
        <f aca="false">H29/SUMIF(Data!$C$7:$C$131,H$5,Data!$AP$7:$AP$131)</f>
        <v>0.00779102424044654</v>
      </c>
      <c r="U29" s="18" t="n">
        <f aca="false">I29/SUMIF(Data!$C$7:$C$131,I$5,Data!$AP$7:$AP$131)</f>
        <v>0.00670072087089863</v>
      </c>
      <c r="V29" s="18" t="n">
        <f aca="false">J29/SUMIF(Data!$C$7:$C$131,J$5,Data!$AP$7:$AP$131)</f>
        <v>0.00741267505378385</v>
      </c>
      <c r="W29" s="18" t="n">
        <f aca="false">K29/SUMIF(Data!$C$7:$C$131,K$5,Data!$AP$7:$AP$131)</f>
        <v>0.00248412920530459</v>
      </c>
      <c r="X29" s="18" t="n">
        <f aca="false">L29/SUMIF(Data!$C$7:$C$131,L$5,Data!$AP$7:$AP$131)</f>
        <v>0.002865036434528</v>
      </c>
      <c r="Y29" s="18" t="n">
        <f aca="false">M29/SUMIF(Data!$C$7:$C$131,M$5,Data!$AP$7:$AP$131)</f>
        <v>0.00180981972941179</v>
      </c>
      <c r="AA29" s="21" t="n">
        <f aca="false">'Rolling 12m %GDP'!Y131</f>
        <v>0.00228768433957382</v>
      </c>
    </row>
    <row r="30" customFormat="false" ht="15" hidden="false" customHeight="false" outlineLevel="0" collapsed="false">
      <c r="B30" s="8" t="s">
        <v>221</v>
      </c>
      <c r="C30" s="16" t="n">
        <f aca="false">SUMIF(Data!$C$7:$C$131,C$5,Data!AI$7:AI$131)</f>
        <v>62502</v>
      </c>
      <c r="D30" s="16" t="n">
        <f aca="false">SUMIF(Data!$C$7:$C$131,D$5,Data!AI$7:AI$131)</f>
        <v>84775</v>
      </c>
      <c r="E30" s="16" t="n">
        <f aca="false">SUMIF(Data!$C$7:$C$131,E$5,Data!AI$7:AI$131)</f>
        <v>108740</v>
      </c>
      <c r="F30" s="16" t="n">
        <f aca="false">SUMIF(Data!$C$7:$C$131,F$5,Data!AI$7:AI$131)</f>
        <v>142141</v>
      </c>
      <c r="G30" s="16" t="n">
        <f aca="false">SUMIF(Data!$C$7:$C$131,G$5,Data!AI$7:AI$131)</f>
        <v>205180</v>
      </c>
      <c r="H30" s="16" t="n">
        <f aca="false">SUMIF(Data!$C$7:$C$131,H$5,Data!AI$7:AI$131)</f>
        <v>291879</v>
      </c>
      <c r="I30" s="16" t="n">
        <f aca="false">SUMIF(Data!$C$7:$C$131,I$5,Data!AI$7:AI$131)</f>
        <v>514015</v>
      </c>
      <c r="J30" s="16" t="n">
        <f aca="false">SUMIF(Data!$C$7:$C$131,J$5,Data!AI$7:AI$131)</f>
        <v>1412796</v>
      </c>
      <c r="K30" s="16" t="n">
        <f aca="false">SUMIF(Data!$C$7:$C$131,K$5,Data!AI$7:AI$131)</f>
        <v>3251601</v>
      </c>
      <c r="L30" s="16" t="n">
        <f aca="false">SUMIF(Data!$C$7:$C$131,L$5,Data!AI$7:AI$131)</f>
        <v>4046269</v>
      </c>
      <c r="M30" s="16" t="n">
        <f aca="false">SUMIF(Data!$C$7:$C$131,M$5,Data!AI$7:AI$131)</f>
        <v>2350071</v>
      </c>
      <c r="O30" s="18" t="n">
        <f aca="false">C30/SUMIF(Data!$C$7:$C$131,C$5,Data!$AP$7:$AP$131)</f>
        <v>0.00759610938151395</v>
      </c>
      <c r="P30" s="18" t="n">
        <f aca="false">D30/SUMIF(Data!$C$7:$C$131,D$5,Data!$AP$7:$AP$131)</f>
        <v>0.00795245618246227</v>
      </c>
      <c r="Q30" s="18" t="n">
        <f aca="false">E30/SUMIF(Data!$C$7:$C$131,E$5,Data!$AP$7:$AP$131)</f>
        <v>0.00737479798012327</v>
      </c>
      <c r="R30" s="18" t="n">
        <f aca="false">F30/SUMIF(Data!$C$7:$C$131,F$5,Data!$AP$7:$AP$131)</f>
        <v>0.00659328655705754</v>
      </c>
      <c r="S30" s="18" t="n">
        <f aca="false">G30/SUMIF(Data!$C$7:$C$131,G$5,Data!$AP$7:$AP$131)</f>
        <v>0.00754066157598566</v>
      </c>
      <c r="T30" s="18" t="n">
        <f aca="false">H30/SUMIF(Data!$C$7:$C$131,H$5,Data!$AP$7:$AP$131)</f>
        <v>0.00631511873087943</v>
      </c>
      <c r="U30" s="18" t="n">
        <f aca="false">I30/SUMIF(Data!$C$7:$C$131,I$5,Data!$AP$7:$AP$131)</f>
        <v>0.00620715756262979</v>
      </c>
      <c r="V30" s="18" t="n">
        <f aca="false">J30/SUMIF(Data!$C$7:$C$131,J$5,Data!$AP$7:$AP$131)</f>
        <v>0.00728447453868482</v>
      </c>
      <c r="W30" s="18" t="n">
        <f aca="false">K30/SUMIF(Data!$C$7:$C$131,K$5,Data!$AP$7:$AP$131)</f>
        <v>0.00556421785704279</v>
      </c>
      <c r="X30" s="18" t="n">
        <f aca="false">L30/SUMIF(Data!$C$7:$C$131,L$5,Data!$AP$7:$AP$131)</f>
        <v>0.00475897389001053</v>
      </c>
      <c r="Y30" s="18" t="n">
        <f aca="false">M30/SUMIF(Data!$C$7:$C$131,M$5,Data!$AP$7:$AP$131)</f>
        <v>0.00549207395066602</v>
      </c>
      <c r="AA30" s="21" t="n">
        <f aca="false">'Rolling 12m %GDP'!Z131</f>
        <v>0.00500772221372666</v>
      </c>
    </row>
    <row r="31" customFormat="false" ht="15" hidden="false" customHeight="false" outlineLevel="0" collapsed="false">
      <c r="B31" s="8" t="s">
        <v>222</v>
      </c>
      <c r="C31" s="16" t="n">
        <f aca="false">SUMIF(Data!$C$7:$C$131,C$5,Data!AJ$7:AJ$131)</f>
        <v>8139</v>
      </c>
      <c r="D31" s="16" t="n">
        <f aca="false">SUMIF(Data!$C$7:$C$131,D$5,Data!AJ$7:AJ$131)</f>
        <v>8543</v>
      </c>
      <c r="E31" s="16" t="n">
        <f aca="false">SUMIF(Data!$C$7:$C$131,E$5,Data!AJ$7:AJ$131)</f>
        <v>3824</v>
      </c>
      <c r="F31" s="16" t="n">
        <f aca="false">SUMIF(Data!$C$7:$C$131,F$5,Data!AJ$7:AJ$131)</f>
        <v>-5724</v>
      </c>
      <c r="G31" s="16" t="n">
        <f aca="false">SUMIF(Data!$C$7:$C$131,G$5,Data!AJ$7:AJ$131)</f>
        <v>0</v>
      </c>
      <c r="H31" s="16" t="n">
        <f aca="false">SUMIF(Data!$C$7:$C$131,H$5,Data!AJ$7:AJ$131)</f>
        <v>0</v>
      </c>
      <c r="I31" s="16" t="n">
        <f aca="false">SUMIF(Data!$C$7:$C$131,I$5,Data!AJ$7:AJ$131)</f>
        <v>0</v>
      </c>
      <c r="J31" s="16" t="n">
        <f aca="false">SUMIF(Data!$C$7:$C$131,J$5,Data!AJ$7:AJ$131)</f>
        <v>0</v>
      </c>
      <c r="K31" s="16" t="n">
        <f aca="false">SUMIF(Data!$C$7:$C$131,K$5,Data!AJ$7:AJ$131)</f>
        <v>0</v>
      </c>
      <c r="L31" s="16" t="n">
        <f aca="false">SUMIF(Data!$C$7:$C$131,L$5,Data!AJ$7:AJ$131)</f>
        <v>0</v>
      </c>
      <c r="M31" s="16" t="n">
        <f aca="false">SUMIF(Data!$C$7:$C$131,M$5,Data!AJ$7:AJ$131)</f>
        <v>0</v>
      </c>
      <c r="O31" s="18" t="n">
        <f aca="false">C31/SUMIF(Data!$C$7:$C$131,C$5,Data!$AP$7:$AP$131)</f>
        <v>0.000989164094847237</v>
      </c>
      <c r="P31" s="18" t="n">
        <f aca="false">D31/SUMIF(Data!$C$7:$C$131,D$5,Data!$AP$7:$AP$131)</f>
        <v>0.000801389951834564</v>
      </c>
      <c r="Q31" s="18" t="n">
        <f aca="false">E31/SUMIF(Data!$C$7:$C$131,E$5,Data!$AP$7:$AP$131)</f>
        <v>0.000259345479823353</v>
      </c>
      <c r="R31" s="18" t="n">
        <f aca="false">F31/SUMIF(Data!$C$7:$C$131,F$5,Data!$AP$7:$AP$131)</f>
        <v>-0.000265510811466061</v>
      </c>
      <c r="S31" s="18" t="n">
        <f aca="false">G31/SUMIF(Data!$C$7:$C$131,G$5,Data!$AP$7:$AP$131)</f>
        <v>0</v>
      </c>
      <c r="T31" s="18" t="n">
        <f aca="false">H31/SUMIF(Data!$C$7:$C$131,H$5,Data!$AP$7:$AP$131)</f>
        <v>0</v>
      </c>
      <c r="U31" s="18" t="n">
        <f aca="false">I31/SUMIF(Data!$C$7:$C$131,I$5,Data!$AP$7:$AP$131)</f>
        <v>0</v>
      </c>
      <c r="V31" s="18" t="n">
        <f aca="false">J31/SUMIF(Data!$C$7:$C$131,J$5,Data!$AP$7:$AP$131)</f>
        <v>0</v>
      </c>
      <c r="W31" s="18" t="n">
        <f aca="false">K31/SUMIF(Data!$C$7:$C$131,K$5,Data!$AP$7:$AP$131)</f>
        <v>0</v>
      </c>
      <c r="X31" s="18" t="n">
        <f aca="false">L31/SUMIF(Data!$C$7:$C$131,L$5,Data!$AP$7:$AP$131)</f>
        <v>0</v>
      </c>
      <c r="Y31" s="18" t="n">
        <f aca="false">M31/SUMIF(Data!$C$7:$C$131,M$5,Data!$AP$7:$AP$131)</f>
        <v>0</v>
      </c>
      <c r="AA31" s="21" t="n">
        <f aca="false">'Rolling 12m %GDP'!AA131</f>
        <v>0</v>
      </c>
    </row>
    <row r="32" customFormat="false" ht="15" hidden="false" customHeight="false" outlineLevel="0" collapsed="false">
      <c r="B32" s="8" t="s">
        <v>223</v>
      </c>
      <c r="C32" s="16" t="n">
        <f aca="false">SUMIF(Data!$C$7:$C$131,C$5,Data!AK$7:AK$131)</f>
        <v>54630</v>
      </c>
      <c r="D32" s="16" t="n">
        <f aca="false">SUMIF(Data!$C$7:$C$131,D$5,Data!AK$7:AK$131)</f>
        <v>50355</v>
      </c>
      <c r="E32" s="16" t="n">
        <f aca="false">SUMIF(Data!$C$7:$C$131,E$5,Data!AK$7:AK$131)</f>
        <v>54997</v>
      </c>
      <c r="F32" s="16" t="n">
        <f aca="false">SUMIF(Data!$C$7:$C$131,F$5,Data!AK$7:AK$131)</f>
        <v>49141</v>
      </c>
      <c r="G32" s="16" t="n">
        <f aca="false">SUMIF(Data!$C$7:$C$131,G$5,Data!AK$7:AK$131)</f>
        <v>81026</v>
      </c>
      <c r="H32" s="16" t="n">
        <f aca="false">SUMIF(Data!$C$7:$C$131,H$5,Data!AK$7:AK$131)</f>
        <v>214098</v>
      </c>
      <c r="I32" s="16" t="n">
        <f aca="false">SUMIF(Data!$C$7:$C$131,I$5,Data!AK$7:AK$131)</f>
        <v>323714</v>
      </c>
      <c r="J32" s="16" t="n">
        <f aca="false">SUMIF(Data!$C$7:$C$131,J$5,Data!AK$7:AK$131)</f>
        <v>890985</v>
      </c>
      <c r="K32" s="16" t="n">
        <f aca="false">SUMIF(Data!$C$7:$C$131,K$5,Data!AK$7:AK$131)</f>
        <v>849413</v>
      </c>
      <c r="L32" s="16" t="n">
        <f aca="false">SUMIF(Data!$C$7:$C$131,L$5,Data!AK$7:AK$131)</f>
        <v>1850734</v>
      </c>
      <c r="M32" s="16" t="n">
        <f aca="false">SUMIF(Data!$C$7:$C$131,M$5,Data!AK$7:AK$131)</f>
        <v>1002649</v>
      </c>
      <c r="O32" s="18" t="n">
        <f aca="false">C32/SUMIF(Data!$C$7:$C$131,C$5,Data!$AP$7:$AP$131)</f>
        <v>0.00663939482755923</v>
      </c>
      <c r="P32" s="18" t="n">
        <f aca="false">D32/SUMIF(Data!$C$7:$C$131,D$5,Data!$AP$7:$AP$131)</f>
        <v>0.00472363233344604</v>
      </c>
      <c r="Q32" s="18" t="n">
        <f aca="false">E32/SUMIF(Data!$C$7:$C$131,E$5,Data!$AP$7:$AP$131)</f>
        <v>0.00372992242516866</v>
      </c>
      <c r="R32" s="18" t="n">
        <f aca="false">F32/SUMIF(Data!$C$7:$C$131,F$5,Data!$AP$7:$AP$131)</f>
        <v>0.00227943165378296</v>
      </c>
      <c r="S32" s="18" t="n">
        <f aca="false">G32/SUMIF(Data!$C$7:$C$131,G$5,Data!$AP$7:$AP$131)</f>
        <v>0.00297782261846093</v>
      </c>
      <c r="T32" s="18" t="n">
        <f aca="false">H32/SUMIF(Data!$C$7:$C$131,H$5,Data!$AP$7:$AP$131)</f>
        <v>0.00463224243622811</v>
      </c>
      <c r="U32" s="18" t="n">
        <f aca="false">I32/SUMIF(Data!$C$7:$C$131,I$5,Data!$AP$7:$AP$131)</f>
        <v>0.00390911510992703</v>
      </c>
      <c r="V32" s="18" t="n">
        <f aca="false">J32/SUMIF(Data!$C$7:$C$131,J$5,Data!$AP$7:$AP$131)</f>
        <v>0.0045939806927894</v>
      </c>
      <c r="W32" s="18" t="n">
        <f aca="false">K32/SUMIF(Data!$C$7:$C$131,K$5,Data!$AP$7:$AP$131)</f>
        <v>0.00145353596047125</v>
      </c>
      <c r="X32" s="18" t="n">
        <f aca="false">L32/SUMIF(Data!$C$7:$C$131,L$5,Data!$AP$7:$AP$131)</f>
        <v>0.00217672003105941</v>
      </c>
      <c r="Y32" s="18" t="n">
        <f aca="false">M32/SUMIF(Data!$C$7:$C$131,M$5,Data!$AP$7:$AP$131)</f>
        <v>0.00234317280395415</v>
      </c>
      <c r="AA32" s="21" t="n">
        <f aca="false">'Rolling 12m %GDP'!AB131</f>
        <v>0.0022118150877644</v>
      </c>
    </row>
    <row r="33" customFormat="false" ht="15" hidden="false" customHeight="false" outlineLevel="0" collapsed="false">
      <c r="B33" s="8" t="s">
        <v>224</v>
      </c>
      <c r="C33" s="16" t="n">
        <f aca="false">SUMIF(Data!$C$7:$C$131,C$5,Data!AL$7:AL$131)</f>
        <v>182043</v>
      </c>
      <c r="D33" s="16" t="n">
        <f aca="false">SUMIF(Data!$C$7:$C$131,D$5,Data!AL$7:AL$131)</f>
        <v>207942</v>
      </c>
      <c r="E33" s="16" t="n">
        <f aca="false">SUMIF(Data!$C$7:$C$131,E$5,Data!AL$7:AL$131)</f>
        <v>210293</v>
      </c>
      <c r="F33" s="16" t="n">
        <f aca="false">SUMIF(Data!$C$7:$C$131,F$5,Data!AL$7:AL$131)</f>
        <v>236366</v>
      </c>
      <c r="G33" s="16" t="n">
        <f aca="false">SUMIF(Data!$C$7:$C$131,G$5,Data!AL$7:AL$131)</f>
        <v>279639</v>
      </c>
      <c r="H33" s="16" t="n">
        <f aca="false">SUMIF(Data!$C$7:$C$131,H$5,Data!AL$7:AL$131)</f>
        <v>651058</v>
      </c>
      <c r="I33" s="16" t="n">
        <f aca="false">SUMIF(Data!$C$7:$C$131,I$5,Data!AL$7:AL$131)</f>
        <v>1332403</v>
      </c>
      <c r="J33" s="16" t="n">
        <f aca="false">SUMIF(Data!$C$7:$C$131,J$5,Data!AL$7:AL$131)</f>
        <v>3070355</v>
      </c>
      <c r="K33" s="16" t="n">
        <f aca="false">SUMIF(Data!$C$7:$C$131,K$5,Data!AL$7:AL$131)</f>
        <v>2369206</v>
      </c>
      <c r="L33" s="16" t="n">
        <f aca="false">SUMIF(Data!$C$7:$C$131,L$5,Data!AL$7:AL$131)</f>
        <v>3058374</v>
      </c>
      <c r="M33" s="16" t="n">
        <f aca="false">SUMIF(Data!$C$7:$C$131,M$5,Data!AL$7:AL$131)</f>
        <v>1163585</v>
      </c>
      <c r="O33" s="18" t="n">
        <f aca="false">C33/SUMIF(Data!$C$7:$C$131,C$5,Data!$AP$7:$AP$131)</f>
        <v>0.0221243886617859</v>
      </c>
      <c r="P33" s="18" t="n">
        <f aca="false">D33/SUMIF(Data!$C$7:$C$131,D$5,Data!$AP$7:$AP$131)</f>
        <v>0.0195063361072671</v>
      </c>
      <c r="Q33" s="18" t="n">
        <f aca="false">E33/SUMIF(Data!$C$7:$C$131,E$5,Data!$AP$7:$AP$131)</f>
        <v>0.0142621702375765</v>
      </c>
      <c r="R33" s="18" t="n">
        <f aca="false">F33/SUMIF(Data!$C$7:$C$131,F$5,Data!$AP$7:$AP$131)</f>
        <v>0.0109639637426602</v>
      </c>
      <c r="S33" s="18" t="n">
        <f aca="false">G33/SUMIF(Data!$C$7:$C$131,G$5,Data!$AP$7:$AP$131)</f>
        <v>0.0102771374522227</v>
      </c>
      <c r="T33" s="18" t="n">
        <f aca="false">H33/SUMIF(Data!$C$7:$C$131,H$5,Data!$AP$7:$AP$131)</f>
        <v>0.014086345953936</v>
      </c>
      <c r="U33" s="18" t="n">
        <f aca="false">I33/SUMIF(Data!$C$7:$C$131,I$5,Data!$AP$7:$AP$131)</f>
        <v>0.0160898716144872</v>
      </c>
      <c r="V33" s="18" t="n">
        <f aca="false">J33/SUMIF(Data!$C$7:$C$131,J$5,Data!$AP$7:$AP$131)</f>
        <v>0.0158309641464328</v>
      </c>
      <c r="W33" s="18" t="n">
        <f aca="false">K33/SUMIF(Data!$C$7:$C$131,K$5,Data!$AP$7:$AP$131)</f>
        <v>0.00405424230470249</v>
      </c>
      <c r="X33" s="18" t="n">
        <f aca="false">L33/SUMIF(Data!$C$7:$C$131,L$5,Data!$AP$7:$AP$131)</f>
        <v>0.00359707226877083</v>
      </c>
      <c r="Y33" s="18" t="n">
        <f aca="false">M33/SUMIF(Data!$C$7:$C$131,M$5,Data!$AP$7:$AP$131)</f>
        <v>0.00271927736135875</v>
      </c>
      <c r="AA33" s="21" t="n">
        <f aca="false">'Rolling 12m %GDP'!AC131</f>
        <v>0.00341513981514257</v>
      </c>
    </row>
    <row r="34" customFormat="false" ht="15" hidden="false" customHeight="false" outlineLevel="0" collapsed="false">
      <c r="B34" s="19" t="s">
        <v>225</v>
      </c>
      <c r="C34" s="15" t="n">
        <f aca="false">SUMIF(Data!$C$7:$C$131,C$5,Data!AM$7:AM$131)</f>
        <v>-343524</v>
      </c>
      <c r="D34" s="15" t="n">
        <f aca="false">SUMIF(Data!$C$7:$C$131,D$5,Data!AM$7:AM$131)</f>
        <v>-404143</v>
      </c>
      <c r="E34" s="15" t="n">
        <f aca="false">SUMIF(Data!$C$7:$C$131,E$5,Data!AM$7:AM$131)</f>
        <v>-338987</v>
      </c>
      <c r="F34" s="15" t="n">
        <f aca="false">SUMIF(Data!$C$7:$C$131,F$5,Data!AM$7:AM$131)</f>
        <v>-95120</v>
      </c>
      <c r="G34" s="15" t="n">
        <f aca="false">SUMIF(Data!$C$7:$C$131,G$5,Data!AM$7:AM$131)</f>
        <v>-1749958</v>
      </c>
      <c r="H34" s="15" t="n">
        <f aca="false">SUMIF(Data!$C$7:$C$131,H$5,Data!AM$7:AM$131)</f>
        <v>-980240</v>
      </c>
      <c r="I34" s="15" t="n">
        <f aca="false">SUMIF(Data!$C$7:$C$131,I$5,Data!AM$7:AM$131)</f>
        <v>-1659747</v>
      </c>
      <c r="J34" s="15" t="n">
        <f aca="false">SUMIF(Data!$C$7:$C$131,J$5,Data!AM$7:AM$131)</f>
        <v>-5164636</v>
      </c>
      <c r="K34" s="15" t="n">
        <f aca="false">SUMIF(Data!$C$7:$C$131,K$5,Data!AM$7:AM$131)</f>
        <v>10405811</v>
      </c>
      <c r="L34" s="15" t="n">
        <f aca="false">SUMIF(Data!$C$7:$C$131,L$5,Data!AM$7:AM$131)</f>
        <v>11769217</v>
      </c>
      <c r="M34" s="15" t="n">
        <f aca="false">SUMIF(Data!$C$7:$C$131,M$5,Data!AM$7:AM$131)</f>
        <v>8023872</v>
      </c>
      <c r="O34" s="17" t="n">
        <f aca="false">C34/SUMIF(Data!$C$7:$C$131,C$5,Data!$AP$7:$AP$131)</f>
        <v>-0.0417497980732648</v>
      </c>
      <c r="P34" s="17" t="n">
        <f aca="false">D34/SUMIF(Data!$C$7:$C$131,D$5,Data!$AP$7:$AP$131)</f>
        <v>-0.0379112886929974</v>
      </c>
      <c r="Q34" s="17" t="n">
        <f aca="false">E34/SUMIF(Data!$C$7:$C$131,E$5,Data!$AP$7:$AP$131)</f>
        <v>-0.0229902578893512</v>
      </c>
      <c r="R34" s="17" t="n">
        <f aca="false">F34/SUMIF(Data!$C$7:$C$131,F$5,Data!$AP$7:$AP$131)</f>
        <v>-0.00441219224085459</v>
      </c>
      <c r="S34" s="17" t="n">
        <f aca="false">G34/SUMIF(Data!$C$7:$C$131,G$5,Data!$AP$7:$AP$131)</f>
        <v>-0.064313485964464</v>
      </c>
      <c r="T34" s="17" t="n">
        <f aca="false">H34/SUMIF(Data!$C$7:$C$131,H$5,Data!$AP$7:$AP$131)</f>
        <v>-0.0212085555478717</v>
      </c>
      <c r="U34" s="17" t="n">
        <f aca="false">I34/SUMIF(Data!$C$7:$C$131,I$5,Data!$AP$7:$AP$131)</f>
        <v>-0.0200428219859384</v>
      </c>
      <c r="V34" s="17" t="n">
        <f aca="false">J34/SUMIF(Data!$C$7:$C$131,J$5,Data!$AP$7:$AP$131)</f>
        <v>-0.0266292227919494</v>
      </c>
      <c r="W34" s="17" t="n">
        <f aca="false">K34/SUMIF(Data!$C$7:$C$131,K$5,Data!$AP$7:$AP$131)</f>
        <v>0.0178066741224438</v>
      </c>
      <c r="X34" s="17" t="n">
        <f aca="false">L34/SUMIF(Data!$C$7:$C$131,L$5,Data!$AP$7:$AP$131)</f>
        <v>0.0138422325378931</v>
      </c>
      <c r="Y34" s="17" t="n">
        <f aca="false">M34/SUMIF(Data!$C$7:$C$131,M$5,Data!$AP$7:$AP$131)</f>
        <v>0.0187516455437638</v>
      </c>
      <c r="AA34" s="20" t="n">
        <f aca="false">'Rolling 12m %GDP'!AD131</f>
        <v>0.0134514597632155</v>
      </c>
    </row>
    <row r="35" customFormat="false" ht="15" hidden="false" customHeight="false" outlineLevel="0" collapsed="false">
      <c r="B35" s="8" t="s">
        <v>226</v>
      </c>
      <c r="C35" s="16" t="n">
        <f aca="false">SUMIF(Data!$C$7:$C$131,C$5,Data!AN$7:AN$131)</f>
        <v>131259</v>
      </c>
      <c r="D35" s="16" t="n">
        <f aca="false">SUMIF(Data!$C$7:$C$131,D$5,Data!AN$7:AN$131)</f>
        <v>224908</v>
      </c>
      <c r="E35" s="16" t="n">
        <f aca="false">SUMIF(Data!$C$7:$C$131,E$5,Data!AN$7:AN$131)</f>
        <v>388940</v>
      </c>
      <c r="F35" s="16" t="n">
        <f aca="false">SUMIF(Data!$C$7:$C$131,F$5,Data!AN$7:AN$131)</f>
        <v>724285</v>
      </c>
      <c r="G35" s="16" t="n">
        <f aca="false">SUMIF(Data!$C$7:$C$131,G$5,Data!AN$7:AN$131)</f>
        <v>542875</v>
      </c>
      <c r="H35" s="16" t="n">
        <f aca="false">SUMIF(Data!$C$7:$C$131,H$5,Data!AN$7:AN$131)</f>
        <v>684241</v>
      </c>
      <c r="I35" s="16" t="n">
        <f aca="false">SUMIF(Data!$C$7:$C$131,I$5,Data!AN$7:AN$131)</f>
        <v>1493010</v>
      </c>
      <c r="J35" s="16" t="n">
        <f aca="false">SUMIF(Data!$C$7:$C$131,J$5,Data!AN$7:AN$131)</f>
        <v>3253831</v>
      </c>
      <c r="K35" s="16" t="n">
        <f aca="false">SUMIF(Data!$C$7:$C$131,K$5,Data!AN$7:AN$131)</f>
        <v>8641024</v>
      </c>
      <c r="L35" s="16" t="n">
        <f aca="false">SUMIF(Data!$C$7:$C$131,L$5,Data!AN$7:AN$131)</f>
        <v>10315401</v>
      </c>
      <c r="M35" s="16" t="n">
        <f aca="false">SUMIF(Data!$C$7:$C$131,M$5,Data!AN$7:AN$131)</f>
        <v>5542786</v>
      </c>
      <c r="O35" s="18" t="n">
        <f aca="false">C35/SUMIF(Data!$C$7:$C$131,C$5,Data!$AP$7:$AP$131)</f>
        <v>0.0159524130637122</v>
      </c>
      <c r="P35" s="18" t="n">
        <f aca="false">D35/SUMIF(Data!$C$7:$C$131,D$5,Data!$AP$7:$AP$131)</f>
        <v>0.0210978592165759</v>
      </c>
      <c r="Q35" s="18" t="n">
        <f aca="false">E35/SUMIF(Data!$C$7:$C$131,E$5,Data!$AP$7:$AP$131)</f>
        <v>0.0263780938604851</v>
      </c>
      <c r="R35" s="18" t="n">
        <f aca="false">F35/SUMIF(Data!$C$7:$C$131,F$5,Data!$AP$7:$AP$131)</f>
        <v>0.033596348372239</v>
      </c>
      <c r="S35" s="18" t="n">
        <f aca="false">G35/SUMIF(Data!$C$7:$C$131,G$5,Data!$AP$7:$AP$131)</f>
        <v>0.0199514409448446</v>
      </c>
      <c r="T35" s="18" t="n">
        <f aca="false">H35/SUMIF(Data!$C$7:$C$131,H$5,Data!$AP$7:$AP$131)</f>
        <v>0.0148042961485262</v>
      </c>
      <c r="U35" s="18" t="n">
        <f aca="false">I35/SUMIF(Data!$C$7:$C$131,I$5,Data!$AP$7:$AP$131)</f>
        <v>0.0180293343824245</v>
      </c>
      <c r="V35" s="18" t="n">
        <f aca="false">J35/SUMIF(Data!$C$7:$C$131,J$5,Data!$AP$7:$AP$131)</f>
        <v>0.0167769791765289</v>
      </c>
      <c r="W35" s="18" t="n">
        <f aca="false">K35/SUMIF(Data!$C$7:$C$131,K$5,Data!$AP$7:$AP$131)</f>
        <v>0.0147867281514353</v>
      </c>
      <c r="X35" s="18" t="n">
        <f aca="false">L35/SUMIF(Data!$C$7:$C$131,L$5,Data!$AP$7:$AP$131)</f>
        <v>0.0121323431595844</v>
      </c>
      <c r="Y35" s="18" t="n">
        <f aca="false">M35/SUMIF(Data!$C$7:$C$131,M$5,Data!$AP$7:$AP$131)</f>
        <v>0.0129533918782523</v>
      </c>
      <c r="AA35" s="21" t="n">
        <f aca="false">'Rolling 12m %GDP'!AE131</f>
        <v>0.0120001671532217</v>
      </c>
    </row>
    <row r="36" customFormat="false" ht="15" hidden="false" customHeight="false" outlineLevel="0" collapsed="false">
      <c r="B36" s="19" t="s">
        <v>227</v>
      </c>
      <c r="C36" s="15" t="n">
        <f aca="false">SUMIF(Data!$C$7:$C$131,C$5,Data!AO$7:AO$131)</f>
        <v>-474785</v>
      </c>
      <c r="D36" s="15" t="n">
        <f aca="false">SUMIF(Data!$C$7:$C$131,D$5,Data!AO$7:AO$131)</f>
        <v>-629050</v>
      </c>
      <c r="E36" s="15" t="n">
        <f aca="false">SUMIF(Data!$C$7:$C$131,E$5,Data!AO$7:AO$131)</f>
        <v>-727927</v>
      </c>
      <c r="F36" s="15" t="n">
        <f aca="false">SUMIF(Data!$C$7:$C$131,F$5,Data!AO$7:AO$131)</f>
        <v>-819406</v>
      </c>
      <c r="G36" s="15" t="n">
        <f aca="false">SUMIF(Data!$C$7:$C$131,G$5,Data!AO$7:AO$131)</f>
        <v>-2292829</v>
      </c>
      <c r="H36" s="15" t="n">
        <f aca="false">SUMIF(Data!$C$7:$C$131,H$5,Data!AO$7:AO$131)</f>
        <v>-1664482</v>
      </c>
      <c r="I36" s="15" t="n">
        <f aca="false">SUMIF(Data!$C$7:$C$131,I$5,Data!AO$7:AO$131)</f>
        <v>-3152757</v>
      </c>
      <c r="J36" s="15" t="n">
        <f aca="false">SUMIF(Data!$C$7:$C$131,J$5,Data!AO$7:AO$131)</f>
        <v>-8418468</v>
      </c>
      <c r="K36" s="15" t="n">
        <f aca="false">SUMIF(Data!$C$7:$C$131,K$5,Data!AO$7:AO$131)</f>
        <v>1764786</v>
      </c>
      <c r="L36" s="15" t="n">
        <f aca="false">SUMIF(Data!$C$7:$C$131,L$5,Data!AO$7:AO$131)</f>
        <v>1453819</v>
      </c>
      <c r="M36" s="15" t="n">
        <f aca="false">SUMIF(Data!$C$7:$C$131,M$5,Data!AO$7:AO$131)</f>
        <v>2481085</v>
      </c>
      <c r="O36" s="17" t="n">
        <f aca="false">C36/SUMIF(Data!$C$7:$C$131,C$5,Data!$AP$7:$AP$131)</f>
        <v>-0.057702454204699</v>
      </c>
      <c r="P36" s="17" t="n">
        <f aca="false">D36/SUMIF(Data!$C$7:$C$131,D$5,Data!$AP$7:$AP$131)</f>
        <v>-0.0590090541029536</v>
      </c>
      <c r="Q36" s="17" t="n">
        <f aca="false">E36/SUMIF(Data!$C$7:$C$131,E$5,Data!$AP$7:$AP$131)</f>
        <v>-0.0493683517498362</v>
      </c>
      <c r="R36" s="17" t="n">
        <f aca="false">F36/SUMIF(Data!$C$7:$C$131,F$5,Data!$AP$7:$AP$131)</f>
        <v>-0.0380085869986301</v>
      </c>
      <c r="S36" s="17" t="n">
        <f aca="false">G36/SUMIF(Data!$C$7:$C$131,G$5,Data!$AP$7:$AP$131)</f>
        <v>-0.0842647799035268</v>
      </c>
      <c r="T36" s="17" t="n">
        <f aca="false">H36/SUMIF(Data!$C$7:$C$131,H$5,Data!$AP$7:$AP$131)</f>
        <v>-0.0360128733324825</v>
      </c>
      <c r="U36" s="17" t="n">
        <f aca="false">I36/SUMIF(Data!$C$7:$C$131,I$5,Data!$AP$7:$AP$131)</f>
        <v>-0.0380721563683628</v>
      </c>
      <c r="V36" s="17" t="n">
        <f aca="false">J36/SUMIF(Data!$C$7:$C$131,J$5,Data!$AP$7:$AP$131)</f>
        <v>-0.043406207124548</v>
      </c>
      <c r="W36" s="17" t="n">
        <f aca="false">K36/SUMIF(Data!$C$7:$C$131,K$5,Data!$AP$7:$AP$131)</f>
        <v>0.00301994425978437</v>
      </c>
      <c r="X36" s="17" t="n">
        <f aca="false">L36/SUMIF(Data!$C$7:$C$131,L$5,Data!$AP$7:$AP$131)</f>
        <v>0.00170989290672499</v>
      </c>
      <c r="Y36" s="17" t="n">
        <f aca="false">M36/SUMIF(Data!$C$7:$C$131,M$5,Data!$AP$7:$AP$131)</f>
        <v>0.00579825132852931</v>
      </c>
      <c r="AA36" s="20" t="n">
        <f aca="false">'Rolling 12m %GDP'!AF131</f>
        <v>0.00145129365330028</v>
      </c>
    </row>
    <row r="38" customFormat="false" ht="15" hidden="false" customHeight="false" outlineLevel="0" collapsed="false">
      <c r="B38" s="13" t="s">
        <v>258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J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8" min="3" style="0" width="13"/>
    <col collapsed="false" customWidth="true" hidden="false" outlineLevel="0" max="10" min="9" style="0" width="15"/>
  </cols>
  <sheetData>
    <row r="2" customFormat="false" ht="25.5" hidden="false" customHeight="true" outlineLevel="0" collapsed="false">
      <c r="B2" s="1" t="s">
        <v>259</v>
      </c>
    </row>
    <row r="3" customFormat="false" ht="15" hidden="false" customHeight="false" outlineLevel="0" collapsed="false">
      <c r="B3" s="2" t="s">
        <v>260</v>
      </c>
    </row>
    <row r="6" customFormat="false" ht="39.75" hidden="false" customHeight="true" outlineLevel="0" collapsed="false">
      <c r="B6" s="6" t="s">
        <v>234</v>
      </c>
      <c r="C6" s="7" t="s">
        <v>261</v>
      </c>
      <c r="D6" s="7" t="s">
        <v>262</v>
      </c>
      <c r="E6" s="7" t="s">
        <v>263</v>
      </c>
      <c r="F6" s="7" t="s">
        <v>264</v>
      </c>
      <c r="G6" s="7" t="s">
        <v>265</v>
      </c>
      <c r="H6" s="7" t="s">
        <v>266</v>
      </c>
      <c r="I6" s="7" t="s">
        <v>267</v>
      </c>
      <c r="J6" s="7" t="s">
        <v>268</v>
      </c>
    </row>
    <row r="7" customFormat="false" ht="15" hidden="false" customHeight="false" outlineLevel="0" collapsed="false">
      <c r="B7" s="19" t="s">
        <v>198</v>
      </c>
      <c r="C7" s="17" t="n">
        <f aca="false">'Rolling 12m %GDP'!C101</f>
        <v>0.168894274513279</v>
      </c>
      <c r="D7" s="17" t="n">
        <f aca="false">'Rolling 12m %GDP'!C114</f>
        <v>0.167731622138577</v>
      </c>
      <c r="E7" s="17" t="n">
        <f aca="false">'Rolling 12m %GDP'!C126</f>
        <v>0.158989307819072</v>
      </c>
      <c r="F7" s="17" t="n">
        <f aca="false">'Rolling 12m %GDP'!C131</f>
        <v>0.155706808736323</v>
      </c>
      <c r="G7" s="22" t="n">
        <f aca="false">(D7-C7)*100</f>
        <v>-0.116265237470195</v>
      </c>
      <c r="H7" s="22" t="n">
        <f aca="false">(F7-D7)*100</f>
        <v>-1.20248134022539</v>
      </c>
      <c r="I7" s="22" t="n">
        <f aca="false">(F7-C7)*100</f>
        <v>-1.31874657769558</v>
      </c>
    </row>
    <row r="8" customFormat="false" ht="15" hidden="false" customHeight="false" outlineLevel="0" collapsed="false">
      <c r="B8" s="8" t="s">
        <v>199</v>
      </c>
      <c r="C8" s="18" t="n">
        <f aca="false">'Rolling 12m %GDP'!D101</f>
        <v>0.0991382632864318</v>
      </c>
      <c r="D8" s="18" t="n">
        <f aca="false">'Rolling 12m %GDP'!D114</f>
        <v>0.103752084452259</v>
      </c>
      <c r="E8" s="18" t="n">
        <f aca="false">'Rolling 12m %GDP'!D126</f>
        <v>0.0907162522397007</v>
      </c>
      <c r="F8" s="18" t="n">
        <f aca="false">'Rolling 12m %GDP'!D131</f>
        <v>0.0875181105236312</v>
      </c>
      <c r="G8" s="23" t="n">
        <f aca="false">(D8-C8)*100</f>
        <v>0.461382116582745</v>
      </c>
      <c r="H8" s="23" t="n">
        <f aca="false">(F8-D8)*100</f>
        <v>-1.62339739286281</v>
      </c>
      <c r="I8" s="23" t="n">
        <f aca="false">(F8-C8)*100</f>
        <v>-1.16201527628007</v>
      </c>
    </row>
    <row r="9" customFormat="false" ht="15" hidden="false" customHeight="false" outlineLevel="0" collapsed="false">
      <c r="B9" s="8" t="s">
        <v>200</v>
      </c>
      <c r="C9" s="18" t="n">
        <f aca="false">'Rolling 12m %GDP'!E101</f>
        <v>0.0343204611238884</v>
      </c>
      <c r="D9" s="18" t="n">
        <f aca="false">'Rolling 12m %GDP'!E114</f>
        <v>0.0335238341521707</v>
      </c>
      <c r="E9" s="18" t="n">
        <f aca="false">'Rolling 12m %GDP'!E126</f>
        <v>0.0329711594993882</v>
      </c>
      <c r="F9" s="18" t="n">
        <f aca="false">'Rolling 12m %GDP'!E131</f>
        <v>0.0316505120331699</v>
      </c>
      <c r="G9" s="23" t="n">
        <f aca="false">(D9-C9)*100</f>
        <v>-0.0796626971717625</v>
      </c>
      <c r="H9" s="23" t="n">
        <f aca="false">(F9-D9)*100</f>
        <v>-0.187332211900085</v>
      </c>
      <c r="I9" s="23" t="n">
        <f aca="false">(F9-C9)*100</f>
        <v>-0.266994909071848</v>
      </c>
    </row>
    <row r="10" customFormat="false" ht="15" hidden="false" customHeight="false" outlineLevel="0" collapsed="false">
      <c r="B10" s="8" t="s">
        <v>201</v>
      </c>
      <c r="C10" s="18" t="n">
        <f aca="false">'Rolling 12m %GDP'!F101</f>
        <v>0.0171973086996342</v>
      </c>
      <c r="D10" s="18" t="n">
        <f aca="false">'Rolling 12m %GDP'!F114</f>
        <v>0.016292499226266</v>
      </c>
      <c r="E10" s="18" t="n">
        <f aca="false">'Rolling 12m %GDP'!F126</f>
        <v>0.0146391535964164</v>
      </c>
      <c r="F10" s="18" t="n">
        <f aca="false">'Rolling 12m %GDP'!F131</f>
        <v>0.0150496822769712</v>
      </c>
      <c r="G10" s="23" t="n">
        <f aca="false">(D10-C10)*100</f>
        <v>-0.0904809473368181</v>
      </c>
      <c r="H10" s="23" t="n">
        <f aca="false">(F10-D10)*100</f>
        <v>-0.124281694929484</v>
      </c>
      <c r="I10" s="23" t="n">
        <f aca="false">(F10-C10)*100</f>
        <v>-0.214762642266302</v>
      </c>
    </row>
    <row r="11" customFormat="false" ht="15" hidden="false" customHeight="false" outlineLevel="0" collapsed="false">
      <c r="B11" s="8" t="s">
        <v>202</v>
      </c>
      <c r="C11" s="18" t="n">
        <f aca="false">'Rolling 12m %GDP'!G101</f>
        <v>0.00743006634781906</v>
      </c>
      <c r="D11" s="18" t="n">
        <f aca="false">'Rolling 12m %GDP'!G114</f>
        <v>0.0100999524085153</v>
      </c>
      <c r="E11" s="18" t="n">
        <f aca="false">'Rolling 12m %GDP'!G126</f>
        <v>0.00832167467903998</v>
      </c>
      <c r="F11" s="18" t="n">
        <f aca="false">'Rolling 12m %GDP'!G131</f>
        <v>0.0068313646690899</v>
      </c>
      <c r="G11" s="23" t="n">
        <f aca="false">(D11-C11)*100</f>
        <v>0.266988606069626</v>
      </c>
      <c r="H11" s="23" t="n">
        <f aca="false">(F11-D11)*100</f>
        <v>-0.326858773942541</v>
      </c>
      <c r="I11" s="23" t="n">
        <f aca="false">(F11-C11)*100</f>
        <v>-0.0598701678729157</v>
      </c>
    </row>
    <row r="12" customFormat="false" ht="15" hidden="false" customHeight="false" outlineLevel="0" collapsed="false">
      <c r="B12" s="8" t="s">
        <v>203</v>
      </c>
      <c r="C12" s="18" t="n">
        <f aca="false">'Rolling 12m %GDP'!H101</f>
        <v>0.00572701270017211</v>
      </c>
      <c r="D12" s="18" t="n">
        <f aca="false">'Rolling 12m %GDP'!H114</f>
        <v>0.00538691622120676</v>
      </c>
      <c r="E12" s="18" t="n">
        <f aca="false">'Rolling 12m %GDP'!H126</f>
        <v>0.00649154275243678</v>
      </c>
      <c r="F12" s="18" t="n">
        <f aca="false">'Rolling 12m %GDP'!H131</f>
        <v>0.0058947581295187</v>
      </c>
      <c r="G12" s="23" t="n">
        <f aca="false">(D12-C12)*100</f>
        <v>-0.0340096478965345</v>
      </c>
      <c r="H12" s="23" t="n">
        <f aca="false">(F12-D12)*100</f>
        <v>0.0507841908311936</v>
      </c>
      <c r="I12" s="23" t="n">
        <f aca="false">(F12-C12)*100</f>
        <v>0.0167745429346591</v>
      </c>
    </row>
    <row r="13" customFormat="false" ht="15" hidden="false" customHeight="false" outlineLevel="0" collapsed="false">
      <c r="B13" s="8" t="s">
        <v>204</v>
      </c>
      <c r="C13" s="18" t="n">
        <f aca="false">'Rolling 12m %GDP'!I101</f>
        <v>0.0160054433626486</v>
      </c>
      <c r="D13" s="18" t="n">
        <f aca="false">'Rolling 12m %GDP'!I114</f>
        <v>0.0158752275071551</v>
      </c>
      <c r="E13" s="18" t="n">
        <f aca="false">'Rolling 12m %GDP'!I126</f>
        <v>0.0161939914230625</v>
      </c>
      <c r="F13" s="18" t="n">
        <f aca="false">'Rolling 12m %GDP'!I131</f>
        <v>0.0159812913782013</v>
      </c>
      <c r="G13" s="23" t="n">
        <f aca="false">(D13-C13)*100</f>
        <v>-0.0130215855493478</v>
      </c>
      <c r="H13" s="23" t="n">
        <f aca="false">(F13-D13)*100</f>
        <v>0.0106063871046141</v>
      </c>
      <c r="I13" s="23" t="n">
        <f aca="false">(F13-C13)*100</f>
        <v>-0.00241519844473362</v>
      </c>
    </row>
    <row r="14" customFormat="false" ht="15" hidden="false" customHeight="false" outlineLevel="0" collapsed="false">
      <c r="B14" s="8" t="s">
        <v>205</v>
      </c>
      <c r="C14" s="18" t="n">
        <f aca="false">'Rolling 12m %GDP'!J101</f>
        <v>0.0184579710522695</v>
      </c>
      <c r="D14" s="18" t="n">
        <f aca="false">'Rolling 12m %GDP'!J114</f>
        <v>0.0225736549369453</v>
      </c>
      <c r="E14" s="18" t="n">
        <f aca="false">'Rolling 12m %GDP'!J126</f>
        <v>0.0120987302893569</v>
      </c>
      <c r="F14" s="18" t="n">
        <f aca="false">'Rolling 12m %GDP'!J131</f>
        <v>0.0121105020366803</v>
      </c>
      <c r="G14" s="23" t="n">
        <f aca="false">(D14-C14)*100</f>
        <v>0.411568388467582</v>
      </c>
      <c r="H14" s="23" t="n">
        <f aca="false">(F14-D14)*100</f>
        <v>-1.04631529002651</v>
      </c>
      <c r="I14" s="23" t="n">
        <f aca="false">(F14-C14)*100</f>
        <v>-0.634746901558925</v>
      </c>
    </row>
    <row r="15" customFormat="false" ht="15" hidden="false" customHeight="false" outlineLevel="0" collapsed="false">
      <c r="B15" s="8" t="s">
        <v>206</v>
      </c>
      <c r="C15" s="18" t="n">
        <f aca="false">'Rolling 12m %GDP'!K101</f>
        <v>0.0505494621781462</v>
      </c>
      <c r="D15" s="18" t="n">
        <f aca="false">'Rolling 12m %GDP'!K114</f>
        <v>0.0503857243601515</v>
      </c>
      <c r="E15" s="18" t="n">
        <f aca="false">'Rolling 12m %GDP'!K126</f>
        <v>0.0552649677162869</v>
      </c>
      <c r="F15" s="18" t="n">
        <f aca="false">'Rolling 12m %GDP'!K131</f>
        <v>0.0544465315143258</v>
      </c>
      <c r="G15" s="23" t="n">
        <f aca="false">(D15-C15)*100</f>
        <v>-0.0163737817994676</v>
      </c>
      <c r="H15" s="23" t="n">
        <f aca="false">(F15-D15)*100</f>
        <v>0.406080715417435</v>
      </c>
      <c r="I15" s="23" t="n">
        <f aca="false">(F15-C15)*100</f>
        <v>0.389706933617967</v>
      </c>
    </row>
    <row r="16" customFormat="false" ht="15" hidden="false" customHeight="false" outlineLevel="0" collapsed="false">
      <c r="B16" s="8" t="s">
        <v>207</v>
      </c>
      <c r="C16" s="18" t="n">
        <f aca="false">'Rolling 12m %GDP'!L101</f>
        <v>0.0192065490487013</v>
      </c>
      <c r="D16" s="18" t="n">
        <f aca="false">'Rolling 12m %GDP'!L114</f>
        <v>0.0135938133261666</v>
      </c>
      <c r="E16" s="18" t="n">
        <f aca="false">'Rolling 12m %GDP'!L126</f>
        <v>0.013008087863084</v>
      </c>
      <c r="F16" s="18" t="n">
        <f aca="false">'Rolling 12m %GDP'!L131</f>
        <v>0.0137421666983664</v>
      </c>
      <c r="G16" s="23" t="n">
        <f aca="false">(D16-C16)*100</f>
        <v>-0.561273572253471</v>
      </c>
      <c r="H16" s="23" t="n">
        <f aca="false">(F16-D16)*100</f>
        <v>0.0148353372199846</v>
      </c>
      <c r="I16" s="23" t="n">
        <f aca="false">(F16-C16)*100</f>
        <v>-0.546438235033487</v>
      </c>
    </row>
    <row r="17" customFormat="false" ht="15" hidden="false" customHeight="false" outlineLevel="0" collapsed="false">
      <c r="B17" s="19" t="s">
        <v>208</v>
      </c>
      <c r="C17" s="17" t="n">
        <f aca="false">'Rolling 12m %GDP'!M101</f>
        <v>0.189394616914981</v>
      </c>
      <c r="D17" s="17" t="n">
        <f aca="false">'Rolling 12m %GDP'!M114</f>
        <v>0.149924948016134</v>
      </c>
      <c r="E17" s="17" t="n">
        <f aca="false">'Rolling 12m %GDP'!M126</f>
        <v>0.145147075281179</v>
      </c>
      <c r="F17" s="17" t="n">
        <f aca="false">'Rolling 12m %GDP'!M131</f>
        <v>0.142255348973108</v>
      </c>
      <c r="G17" s="22" t="n">
        <f aca="false">(D17-C17)*100</f>
        <v>-3.94696688988471</v>
      </c>
      <c r="H17" s="22" t="n">
        <f aca="false">(F17-D17)*100</f>
        <v>-0.766959904302558</v>
      </c>
      <c r="I17" s="22" t="n">
        <f aca="false">(F17-C17)*100</f>
        <v>-4.71392679418727</v>
      </c>
    </row>
    <row r="18" customFormat="false" ht="15" hidden="false" customHeight="false" outlineLevel="0" collapsed="false">
      <c r="B18" s="8" t="s">
        <v>209</v>
      </c>
      <c r="C18" s="18" t="n">
        <f aca="false">'Rolling 12m %GDP'!N101</f>
        <v>0.0838014854029023</v>
      </c>
      <c r="D18" s="18" t="n">
        <f aca="false">'Rolling 12m %GDP'!N114</f>
        <v>0.0800451559821261</v>
      </c>
      <c r="E18" s="18" t="n">
        <f aca="false">'Rolling 12m %GDP'!N126</f>
        <v>0.0861412934949782</v>
      </c>
      <c r="F18" s="18" t="n">
        <f aca="false">'Rolling 12m %GDP'!N131</f>
        <v>0.0856670906612722</v>
      </c>
      <c r="G18" s="23" t="n">
        <f aca="false">(D18-C18)*100</f>
        <v>-0.375632942077628</v>
      </c>
      <c r="H18" s="23" t="n">
        <f aca="false">(F18-D18)*100</f>
        <v>0.562193467914615</v>
      </c>
      <c r="I18" s="23" t="n">
        <f aca="false">(F18-C18)*100</f>
        <v>0.186560525836987</v>
      </c>
      <c r="J18" s="24" t="n">
        <f aca="false">IFERROR(I18/I$17,"")</f>
        <v>-0.0395764580109803</v>
      </c>
    </row>
    <row r="19" customFormat="false" ht="15" hidden="false" customHeight="false" outlineLevel="0" collapsed="false">
      <c r="B19" s="8" t="s">
        <v>210</v>
      </c>
      <c r="C19" s="18" t="n">
        <f aca="false">'Rolling 12m %GDP'!O101</f>
        <v>0.0607370803262711</v>
      </c>
      <c r="D19" s="18" t="n">
        <f aca="false">'Rolling 12m %GDP'!O114</f>
        <v>0.0558798350787769</v>
      </c>
      <c r="E19" s="18" t="n">
        <f aca="false">'Rolling 12m %GDP'!O126</f>
        <v>0.0615241889514148</v>
      </c>
      <c r="F19" s="18" t="n">
        <f aca="false">'Rolling 12m %GDP'!O131</f>
        <v>0.0614063199157174</v>
      </c>
      <c r="G19" s="23" t="n">
        <f aca="false">(D19-C19)*100</f>
        <v>-0.485724524749423</v>
      </c>
      <c r="H19" s="23" t="n">
        <f aca="false">(F19-D19)*100</f>
        <v>0.552648483694053</v>
      </c>
      <c r="I19" s="23" t="n">
        <f aca="false">(F19-C19)*100</f>
        <v>0.0669239589446299</v>
      </c>
    </row>
    <row r="20" customFormat="false" ht="15" hidden="false" customHeight="false" outlineLevel="0" collapsed="false">
      <c r="B20" s="8" t="s">
        <v>211</v>
      </c>
      <c r="C20" s="18" t="n">
        <f aca="false">'Rolling 12m %GDP'!P101</f>
        <v>0.00820959761367758</v>
      </c>
      <c r="D20" s="18" t="n">
        <f aca="false">'Rolling 12m %GDP'!P114</f>
        <v>0.00958456081316345</v>
      </c>
      <c r="E20" s="18" t="n">
        <f aca="false">'Rolling 12m %GDP'!P126</f>
        <v>0.0103830660696326</v>
      </c>
      <c r="F20" s="18" t="n">
        <f aca="false">'Rolling 12m %GDP'!P131</f>
        <v>0.0103844473454328</v>
      </c>
      <c r="G20" s="23" t="n">
        <f aca="false">(D20-C20)*100</f>
        <v>0.137496319948588</v>
      </c>
      <c r="H20" s="23" t="n">
        <f aca="false">(F20-D20)*100</f>
        <v>0.0799886532269329</v>
      </c>
      <c r="I20" s="23" t="n">
        <f aca="false">(F20-C20)*100</f>
        <v>0.217484973175521</v>
      </c>
    </row>
    <row r="21" customFormat="false" ht="15" hidden="false" customHeight="false" outlineLevel="0" collapsed="false">
      <c r="B21" s="8" t="s">
        <v>212</v>
      </c>
      <c r="C21" s="18" t="n">
        <f aca="false">'Rolling 12m %GDP'!Q101</f>
        <v>0.00568000433625154</v>
      </c>
      <c r="D21" s="18" t="n">
        <f aca="false">'Rolling 12m %GDP'!Q114</f>
        <v>0.00526762336970064</v>
      </c>
      <c r="E21" s="18" t="n">
        <f aca="false">'Rolling 12m %GDP'!Q126</f>
        <v>0.00513128885416641</v>
      </c>
      <c r="F21" s="18" t="n">
        <f aca="false">'Rolling 12m %GDP'!Q131</f>
        <v>0.00503100881576718</v>
      </c>
      <c r="G21" s="23" t="n">
        <f aca="false">(D21-C21)*100</f>
        <v>-0.0412380966550906</v>
      </c>
      <c r="H21" s="23" t="n">
        <f aca="false">(F21-D21)*100</f>
        <v>-0.0236614553933462</v>
      </c>
      <c r="I21" s="23" t="n">
        <f aca="false">(F21-C21)*100</f>
        <v>-0.0648995520484368</v>
      </c>
    </row>
    <row r="22" customFormat="false" ht="15" hidden="false" customHeight="false" outlineLevel="0" collapsed="false">
      <c r="B22" s="8" t="s">
        <v>213</v>
      </c>
      <c r="C22" s="18" t="n">
        <f aca="false">'Rolling 12m %GDP'!R101</f>
        <v>0.00917480312670213</v>
      </c>
      <c r="D22" s="18" t="n">
        <f aca="false">'Rolling 12m %GDP'!R114</f>
        <v>0.00931313672048511</v>
      </c>
      <c r="E22" s="18" t="n">
        <f aca="false">'Rolling 12m %GDP'!R126</f>
        <v>0.00910274961976435</v>
      </c>
      <c r="F22" s="18" t="n">
        <f aca="false">'Rolling 12m %GDP'!R131</f>
        <v>0.00884531458435486</v>
      </c>
      <c r="G22" s="23" t="n">
        <f aca="false">(D22-C22)*100</f>
        <v>0.0138333593782984</v>
      </c>
      <c r="H22" s="23" t="n">
        <f aca="false">(F22-D22)*100</f>
        <v>-0.0467822136130253</v>
      </c>
      <c r="I22" s="23" t="n">
        <f aca="false">(F22-C22)*100</f>
        <v>-0.0329488542347269</v>
      </c>
    </row>
    <row r="23" customFormat="false" ht="15" hidden="false" customHeight="false" outlineLevel="0" collapsed="false">
      <c r="B23" s="8" t="s">
        <v>214</v>
      </c>
      <c r="C23" s="18" t="n">
        <f aca="false">'Rolling 12m %GDP'!S101</f>
        <v>0.0214938867727922</v>
      </c>
      <c r="D23" s="18" t="n">
        <f aca="false">'Rolling 12m %GDP'!S114</f>
        <v>0.0146471641397424</v>
      </c>
      <c r="E23" s="18" t="n">
        <f aca="false">'Rolling 12m %GDP'!S126</f>
        <v>0.0104011739023078</v>
      </c>
      <c r="F23" s="18" t="n">
        <f aca="false">'Rolling 12m %GDP'!S131</f>
        <v>0.00924689266252746</v>
      </c>
      <c r="G23" s="23" t="n">
        <f aca="false">(D23-C23)*100</f>
        <v>-0.684672263304976</v>
      </c>
      <c r="H23" s="23" t="n">
        <f aca="false">(F23-D23)*100</f>
        <v>-0.540027147721497</v>
      </c>
      <c r="I23" s="23" t="n">
        <f aca="false">(F23-C23)*100</f>
        <v>-1.22469941102647</v>
      </c>
      <c r="J23" s="24" t="n">
        <f aca="false">IFERROR(I23/I$17,"")</f>
        <v>0.259804503654288</v>
      </c>
    </row>
    <row r="24" customFormat="false" ht="15" hidden="false" customHeight="false" outlineLevel="0" collapsed="false">
      <c r="B24" s="8" t="s">
        <v>215</v>
      </c>
      <c r="C24" s="18" t="n">
        <f aca="false">'Rolling 12m %GDP'!T101</f>
        <v>0.0192408539821499</v>
      </c>
      <c r="D24" s="18" t="n">
        <f aca="false">'Rolling 12m %GDP'!T114</f>
        <v>0.0149320350310657</v>
      </c>
      <c r="E24" s="18" t="n">
        <f aca="false">'Rolling 12m %GDP'!T126</f>
        <v>0.0100302561910239</v>
      </c>
      <c r="F24" s="18" t="n">
        <f aca="false">'Rolling 12m %GDP'!T131</f>
        <v>0.0103578618081032</v>
      </c>
      <c r="G24" s="23" t="n">
        <f aca="false">(D24-C24)*100</f>
        <v>-0.430881895108418</v>
      </c>
      <c r="H24" s="23" t="n">
        <f aca="false">(F24-D24)*100</f>
        <v>-0.45741732229625</v>
      </c>
      <c r="I24" s="23" t="n">
        <f aca="false">(F24-C24)*100</f>
        <v>-0.888299217404668</v>
      </c>
      <c r="J24" s="24" t="n">
        <f aca="false">IFERROR(I24/I$17,"")</f>
        <v>0.188441453630554</v>
      </c>
    </row>
    <row r="25" customFormat="false" ht="15" hidden="false" customHeight="false" outlineLevel="0" collapsed="false">
      <c r="B25" s="8" t="s">
        <v>216</v>
      </c>
      <c r="C25" s="18" t="n">
        <f aca="false">'Rolling 12m %GDP'!U101</f>
        <v>0.0139305251438066</v>
      </c>
      <c r="D25" s="18" t="n">
        <f aca="false">'Rolling 12m %GDP'!U114</f>
        <v>0.0110956845968464</v>
      </c>
      <c r="E25" s="18" t="n">
        <f aca="false">'Rolling 12m %GDP'!U126</f>
        <v>0.00671810354199542</v>
      </c>
      <c r="F25" s="18" t="n">
        <f aca="false">'Rolling 12m %GDP'!U131</f>
        <v>0.0073813489297829</v>
      </c>
      <c r="G25" s="23" t="n">
        <f aca="false">(D25-C25)*100</f>
        <v>-0.283484054696021</v>
      </c>
      <c r="H25" s="23" t="n">
        <f aca="false">(F25-D25)*100</f>
        <v>-0.371433566706353</v>
      </c>
      <c r="I25" s="23" t="n">
        <f aca="false">(F25-C25)*100</f>
        <v>-0.654917621402375</v>
      </c>
    </row>
    <row r="26" customFormat="false" ht="15" hidden="false" customHeight="false" outlineLevel="0" collapsed="false">
      <c r="B26" s="8" t="s">
        <v>217</v>
      </c>
      <c r="C26" s="18" t="n">
        <f aca="false">'Rolling 12m %GDP'!V101</f>
        <v>0.00480197611484081</v>
      </c>
      <c r="D26" s="18" t="n">
        <f aca="false">'Rolling 12m %GDP'!V114</f>
        <v>0.00358303109207075</v>
      </c>
      <c r="E26" s="18" t="n">
        <f aca="false">'Rolling 12m %GDP'!V126</f>
        <v>0.00322791288496486</v>
      </c>
      <c r="F26" s="18" t="n">
        <f aca="false">'Rolling 12m %GDP'!V131</f>
        <v>0.00293831116594057</v>
      </c>
      <c r="G26" s="23" t="n">
        <f aca="false">(D26-C26)*100</f>
        <v>-0.121894502277006</v>
      </c>
      <c r="H26" s="23" t="n">
        <f aca="false">(F26-D26)*100</f>
        <v>-0.0644719926130175</v>
      </c>
      <c r="I26" s="23" t="n">
        <f aca="false">(F26-C26)*100</f>
        <v>-0.186366494890024</v>
      </c>
    </row>
    <row r="27" customFormat="false" ht="15" hidden="false" customHeight="false" outlineLevel="0" collapsed="false">
      <c r="B27" s="8" t="s">
        <v>218</v>
      </c>
      <c r="C27" s="18" t="n">
        <f aca="false">'Rolling 12m %GDP'!W101</f>
        <v>0.0244649526149904</v>
      </c>
      <c r="D27" s="18" t="n">
        <f aca="false">'Rolling 12m %GDP'!W114</f>
        <v>0.0215419271505618</v>
      </c>
      <c r="E27" s="18" t="n">
        <f aca="false">'Rolling 12m %GDP'!W126</f>
        <v>0.0192382231861532</v>
      </c>
      <c r="F27" s="18" t="n">
        <f aca="false">'Rolling 12m %GDP'!W131</f>
        <v>0.0186368299552507</v>
      </c>
      <c r="G27" s="23" t="n">
        <f aca="false">(D27-C27)*100</f>
        <v>-0.292302546442857</v>
      </c>
      <c r="H27" s="23" t="n">
        <f aca="false">(F27-D27)*100</f>
        <v>-0.290509719531113</v>
      </c>
      <c r="I27" s="23" t="n">
        <f aca="false">(F27-C27)*100</f>
        <v>-0.582812265973971</v>
      </c>
      <c r="J27" s="24" t="n">
        <f aca="false">IFERROR(I27/I$17,"")</f>
        <v>0.123636257290341</v>
      </c>
    </row>
    <row r="28" customFormat="false" ht="15" hidden="false" customHeight="false" outlineLevel="0" collapsed="false">
      <c r="B28" s="8" t="s">
        <v>219</v>
      </c>
      <c r="C28" s="18" t="n">
        <f aca="false">'Rolling 12m %GDP'!X101</f>
        <v>0.00669980057325961</v>
      </c>
      <c r="D28" s="18" t="n">
        <f aca="false">'Rolling 12m %GDP'!X114</f>
        <v>0.00520254038511646</v>
      </c>
      <c r="E28" s="18" t="n">
        <f aca="false">'Rolling 12m %GDP'!X126</f>
        <v>0.00593832588234669</v>
      </c>
      <c r="F28" s="18" t="n">
        <f aca="false">'Rolling 12m %GDP'!X131</f>
        <v>0.00542431242974698</v>
      </c>
      <c r="G28" s="23" t="n">
        <f aca="false">(D28-C28)*100</f>
        <v>-0.149726018814315</v>
      </c>
      <c r="H28" s="23" t="n">
        <f aca="false">(F28-D28)*100</f>
        <v>0.022177204463052</v>
      </c>
      <c r="I28" s="23" t="n">
        <f aca="false">(F28-C28)*100</f>
        <v>-0.127548814351263</v>
      </c>
      <c r="J28" s="24" t="n">
        <f aca="false">IFERROR(I28/I$17,"")</f>
        <v>0.0270578691439467</v>
      </c>
    </row>
    <row r="29" customFormat="false" ht="15" hidden="false" customHeight="false" outlineLevel="0" collapsed="false">
      <c r="B29" s="8" t="s">
        <v>220</v>
      </c>
      <c r="C29" s="18" t="n">
        <f aca="false">'Rolling 12m %GDP'!Y101</f>
        <v>0.0068445119283279</v>
      </c>
      <c r="D29" s="18" t="n">
        <f aca="false">'Rolling 12m %GDP'!Y114</f>
        <v>0.00248412920530459</v>
      </c>
      <c r="E29" s="18" t="n">
        <f aca="false">'Rolling 12m %GDP'!Y126</f>
        <v>0.002865036434528</v>
      </c>
      <c r="F29" s="18" t="n">
        <f aca="false">'Rolling 12m %GDP'!Y131</f>
        <v>0.00228768433957382</v>
      </c>
      <c r="G29" s="23" t="n">
        <f aca="false">(D29-C29)*100</f>
        <v>-0.436038272302332</v>
      </c>
      <c r="H29" s="23" t="n">
        <f aca="false">(F29-D29)*100</f>
        <v>-0.0196444865730761</v>
      </c>
      <c r="I29" s="23" t="n">
        <f aca="false">(F29-C29)*100</f>
        <v>-0.455682758875408</v>
      </c>
      <c r="J29" s="24" t="n">
        <f aca="false">IFERROR(I29/I$17,"")</f>
        <v>0.0966673388813142</v>
      </c>
    </row>
    <row r="30" customFormat="false" ht="15" hidden="false" customHeight="false" outlineLevel="0" collapsed="false">
      <c r="B30" s="8" t="s">
        <v>221</v>
      </c>
      <c r="C30" s="18" t="n">
        <f aca="false">'Rolling 12m %GDP'!Z101</f>
        <v>0.00636232600312799</v>
      </c>
      <c r="D30" s="18" t="n">
        <f aca="false">'Rolling 12m %GDP'!Z114</f>
        <v>0.00556421785704279</v>
      </c>
      <c r="E30" s="18" t="n">
        <f aca="false">'Rolling 12m %GDP'!Z126</f>
        <v>0.00475897389001053</v>
      </c>
      <c r="F30" s="18" t="n">
        <f aca="false">'Rolling 12m %GDP'!Z131</f>
        <v>0.00500772221372666</v>
      </c>
      <c r="G30" s="23" t="n">
        <f aca="false">(D30-C30)*100</f>
        <v>-0.0798108146085196</v>
      </c>
      <c r="H30" s="23" t="n">
        <f aca="false">(F30-D30)*100</f>
        <v>-0.0556495643316128</v>
      </c>
      <c r="I30" s="23" t="n">
        <f aca="false">(F30-C30)*100</f>
        <v>-0.135460378940132</v>
      </c>
      <c r="J30" s="24" t="n">
        <f aca="false">IFERROR(I30/I$17,"")</f>
        <v>0.0287362075938829</v>
      </c>
    </row>
    <row r="31" customFormat="false" ht="15" hidden="false" customHeight="false" outlineLevel="0" collapsed="false">
      <c r="B31" s="8" t="s">
        <v>222</v>
      </c>
      <c r="C31" s="18" t="n">
        <f aca="false">'Rolling 12m %GDP'!AA101</f>
        <v>0</v>
      </c>
      <c r="D31" s="18" t="n">
        <f aca="false">'Rolling 12m %GDP'!AA114</f>
        <v>0</v>
      </c>
      <c r="E31" s="18" t="n">
        <f aca="false">'Rolling 12m %GDP'!AA126</f>
        <v>0</v>
      </c>
      <c r="F31" s="18" t="n">
        <f aca="false">'Rolling 12m %GDP'!AA131</f>
        <v>0</v>
      </c>
      <c r="G31" s="23" t="n">
        <f aca="false">(D31-C31)*100</f>
        <v>0</v>
      </c>
      <c r="H31" s="23" t="n">
        <f aca="false">(F31-D31)*100</f>
        <v>0</v>
      </c>
      <c r="I31" s="23" t="n">
        <f aca="false">(F31-C31)*100</f>
        <v>0</v>
      </c>
      <c r="J31" s="24" t="n">
        <f aca="false">IFERROR(I31/I$17,"")</f>
        <v>-0</v>
      </c>
    </row>
    <row r="32" customFormat="false" ht="15" hidden="false" customHeight="false" outlineLevel="0" collapsed="false">
      <c r="B32" s="8" t="s">
        <v>223</v>
      </c>
      <c r="C32" s="18" t="n">
        <f aca="false">'Rolling 12m %GDP'!AB101</f>
        <v>0.00388821949522769</v>
      </c>
      <c r="D32" s="18" t="n">
        <f aca="false">'Rolling 12m %GDP'!AB114</f>
        <v>0.00145353596047125</v>
      </c>
      <c r="E32" s="18" t="n">
        <f aca="false">'Rolling 12m %GDP'!AB126</f>
        <v>0.00217672003105941</v>
      </c>
      <c r="F32" s="18" t="n">
        <f aca="false">'Rolling 12m %GDP'!AB131</f>
        <v>0.0022118150877644</v>
      </c>
      <c r="G32" s="23" t="n">
        <f aca="false">(D32-C32)*100</f>
        <v>-0.243468353475643</v>
      </c>
      <c r="H32" s="23" t="n">
        <f aca="false">(F32-D32)*100</f>
        <v>0.0758279127293151</v>
      </c>
      <c r="I32" s="23" t="n">
        <f aca="false">(F32-C32)*100</f>
        <v>-0.167640440746328</v>
      </c>
      <c r="J32" s="24" t="n">
        <f aca="false">IFERROR(I32/I$17,"")</f>
        <v>0.0355628010500811</v>
      </c>
    </row>
    <row r="33" customFormat="false" ht="15" hidden="false" customHeight="false" outlineLevel="0" collapsed="false">
      <c r="B33" s="8" t="s">
        <v>224</v>
      </c>
      <c r="C33" s="18" t="n">
        <f aca="false">'Rolling 12m %GDP'!AC101</f>
        <v>0.0165985801422027</v>
      </c>
      <c r="D33" s="18" t="n">
        <f aca="false">'Rolling 12m %GDP'!AC114</f>
        <v>0.00405424230470249</v>
      </c>
      <c r="E33" s="18" t="n">
        <f aca="false">'Rolling 12m %GDP'!AC126</f>
        <v>0.00359707226877083</v>
      </c>
      <c r="F33" s="18" t="n">
        <f aca="false">'Rolling 12m %GDP'!AC131</f>
        <v>0.00341513981514257</v>
      </c>
      <c r="G33" s="23" t="n">
        <f aca="false">(D33-C33)*100</f>
        <v>-1.25443378375002</v>
      </c>
      <c r="H33" s="23" t="n">
        <f aca="false">(F33-D33)*100</f>
        <v>-0.0639102489559916</v>
      </c>
      <c r="I33" s="23" t="n">
        <f aca="false">(F33-C33)*100</f>
        <v>-1.31834403270601</v>
      </c>
      <c r="J33" s="24" t="n">
        <f aca="false">IFERROR(I33/I$17,"")</f>
        <v>0.279670026766572</v>
      </c>
    </row>
    <row r="34" customFormat="false" ht="15" hidden="false" customHeight="false" outlineLevel="0" collapsed="false">
      <c r="B34" s="19" t="s">
        <v>225</v>
      </c>
      <c r="C34" s="17" t="n">
        <f aca="false">'Rolling 12m %GDP'!AD101</f>
        <v>-0.0205003424017014</v>
      </c>
      <c r="D34" s="17" t="n">
        <f aca="false">'Rolling 12m %GDP'!AD114</f>
        <v>0.0178066741224438</v>
      </c>
      <c r="E34" s="17" t="n">
        <f aca="false">'Rolling 12m %GDP'!AD126</f>
        <v>0.0138422325378931</v>
      </c>
      <c r="F34" s="17" t="n">
        <f aca="false">'Rolling 12m %GDP'!AD131</f>
        <v>0.0134514597632155</v>
      </c>
      <c r="G34" s="22" t="n">
        <f aca="false">(D34-C34)*100</f>
        <v>3.83070165241452</v>
      </c>
      <c r="H34" s="22" t="n">
        <f aca="false">(F34-D34)*100</f>
        <v>-0.435521435922831</v>
      </c>
      <c r="I34" s="22" t="n">
        <f aca="false">(F34-C34)*100</f>
        <v>3.39518021649169</v>
      </c>
    </row>
    <row r="35" customFormat="false" ht="15" hidden="false" customHeight="false" outlineLevel="0" collapsed="false">
      <c r="B35" s="8" t="s">
        <v>226</v>
      </c>
      <c r="C35" s="18" t="n">
        <f aca="false">'Rolling 12m %GDP'!AE101</f>
        <v>0.0175147583532495</v>
      </c>
      <c r="D35" s="18" t="n">
        <f aca="false">'Rolling 12m %GDP'!AE114</f>
        <v>0.0147867281514353</v>
      </c>
      <c r="E35" s="18" t="n">
        <f aca="false">'Rolling 12m %GDP'!AE126</f>
        <v>0.0121323431595844</v>
      </c>
      <c r="F35" s="18" t="n">
        <f aca="false">'Rolling 12m %GDP'!AE131</f>
        <v>0.0120001671532217</v>
      </c>
      <c r="G35" s="23" t="n">
        <f aca="false">(D35-C35)*100</f>
        <v>-0.27280302018142</v>
      </c>
      <c r="H35" s="23" t="n">
        <f aca="false">(F35-D35)*100</f>
        <v>-0.278656099821362</v>
      </c>
      <c r="I35" s="23" t="n">
        <f aca="false">(F35-C35)*100</f>
        <v>-0.551459120002782</v>
      </c>
    </row>
    <row r="36" customFormat="false" ht="15" hidden="false" customHeight="false" outlineLevel="0" collapsed="false">
      <c r="B36" s="19" t="s">
        <v>227</v>
      </c>
      <c r="C36" s="17" t="n">
        <f aca="false">'Rolling 12m %GDP'!AF101</f>
        <v>-0.0380151064261253</v>
      </c>
      <c r="D36" s="17" t="n">
        <f aca="false">'Rolling 12m %GDP'!AF114</f>
        <v>0.00301994425978437</v>
      </c>
      <c r="E36" s="17" t="n">
        <f aca="false">'Rolling 12m %GDP'!AF126</f>
        <v>0.00170989290672499</v>
      </c>
      <c r="F36" s="17" t="n">
        <f aca="false">'Rolling 12m %GDP'!AF131</f>
        <v>0.00145129365330028</v>
      </c>
      <c r="G36" s="22" t="n">
        <f aca="false">(D36-C36)*100</f>
        <v>4.10350506859096</v>
      </c>
      <c r="H36" s="22" t="n">
        <f aca="false">(F36-D36)*100</f>
        <v>-0.156865060648409</v>
      </c>
      <c r="I36" s="22" t="n">
        <f aca="false">(F36-C36)*100</f>
        <v>3.94664000794255</v>
      </c>
    </row>
    <row r="38" customFormat="false" ht="15" hidden="false" customHeight="false" outlineLevel="0" collapsed="false">
      <c r="B38" s="13" t="s">
        <v>269</v>
      </c>
    </row>
    <row r="39" customFormat="false" ht="15" hidden="false" customHeight="false" outlineLevel="0" collapsed="false">
      <c r="B39" s="13" t="s">
        <v>270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B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s>
  <sheetData>
    <row r="2" customFormat="false" ht="25.5" hidden="false" customHeight="true" outlineLevel="0" collapsed="false">
      <c r="B2" s="1" t="s">
        <v>271</v>
      </c>
    </row>
    <row r="3" customFormat="false" ht="15" hidden="false" customHeight="false" outlineLevel="0" collapsed="false">
      <c r="B3" s="2" t="s">
        <v>272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2026-08-04T18:07:22Z</dcterms:created>
  <dc:creator>openpyxl</dc:creator>
  <dc:description/>
  <dc:language>en-US</dc:language>
  <cp:lastModifiedBy/>
  <dcterms:modified xsi:type="dcterms:W3CDTF">2026-08-04T18:07:27Z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