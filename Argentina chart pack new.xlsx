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PI Data" sheetId="2" state="visible" r:id="rId4"/>
    <sheet name="Ch4 Monthly CPI" sheetId="3" state="visible" r:id="rId5"/>
    <sheet name="Ch3 Regulated" sheetId="4" state="visible" r:id="rId6"/>
    <sheet name="Ch1 GDP contributions" sheetId="5" state="visible" r:id="rId7"/>
    <sheet name="Ch2 Industry vs mining" sheetId="6" state="visible" r:id="rId8"/>
    <sheet name="Ch5 Expectations" sheetId="7" state="visible" r:id="rId9"/>
    <sheet name="Ch6 Trade balance" sheetId="8" state="visible" r:id="rId10"/>
    <sheet name="Ch7 Fiscal" sheetId="9" state="visible" r:id="rId11"/>
    <sheet name="Source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<sst xmlns="http://schemas.openxmlformats.org/spreadsheetml/2006/main" count="792" uniqueCount="360">
  <si>
    <t xml:space="preserve">Argentina — chart pack</t>
  </si>
  <si>
    <t xml:space="preserve">UBS sovereign research. CPI data through 2026-06 (INDEC). Built Aug-2026.</t>
  </si>
  <si>
    <t xml:space="preserve">STATUS</t>
  </si>
  <si>
    <t xml:space="preserve">Live now</t>
  </si>
  <si>
    <t xml:space="preserve">Charts 1, 3, 4 and 7 are fully populated and recalculate end-to-end. CPI runs through 2026-06, GDP through 2026-Q1, fiscal through 2026-05, and the regulated decomposition through 2026-04. Nothing to do on these.</t>
  </si>
  <si>
    <t xml:space="preserve">Still needs data</t>
  </si>
  <si>
    <t xml:space="preserve">Charts 2, 5 and 6 are fully built — every transformation, chart, axis and format is wired — but the underlying series were not in the files supplied. Chart 2 needs EMAE manufacturing and mining sub-indices plus registered jobs by sector; chart 5 needs the BCRA REM; chart 6 needs monthly ICA trade with the energy split. Paste into the yellow columns and the charts populate. The Sources tab gives the exact identifier for each.</t>
  </si>
  <si>
    <t xml:space="preserve">THE SEVEN CHARTS</t>
  </si>
  <si>
    <t xml:space="preserve">1. GDP contributions</t>
  </si>
  <si>
    <t xml:space="preserve">Stacked bars: contribution to y/y real GDP growth, pp, by demand component (private consumption, government consumption, GFCF, inventories+discrepancy, exports, imports) with headline GDP growth as a line. From 1Q-2023.</t>
  </si>
  <si>
    <t xml:space="preserve">2. Industry vs mining</t>
  </si>
  <si>
    <t xml:space="preserve">Manufacturing and industrial activity against oil and mining, plus registered jobs in each — the point being that mining/oil job creation does not offset manufacturing job losses.</t>
  </si>
  <si>
    <t xml:space="preserve">3. Regulated prices</t>
  </si>
  <si>
    <t xml:space="preserve">Shows the regulated-price catch-up is largely done: regulated prices are up 405% since Dec-2023 against 216% for core, a 60% relative-price gain, and the monthly wedge over core has compressed toward zero.</t>
  </si>
  <si>
    <t xml:space="preserve">4. Monthly CPI</t>
  </si>
  <si>
    <t xml:space="preserve">Headline and core m/m in bars with the 2% monthly threshold as a line, and a panel explaining why 2% is the number that matters.</t>
  </si>
  <si>
    <t xml:space="preserve">5. Inflation expectations</t>
  </si>
  <si>
    <t xml:space="preserve">BCRA REM expectations at the 12-month and 24-month horizon.</t>
  </si>
  <si>
    <t xml:space="preserve">6. Trade balance</t>
  </si>
  <si>
    <t xml:space="preserve">12-month rolling goods balance in bars, with the energy and non-energy balances as lines, ten years.</t>
  </si>
  <si>
    <t xml:space="preserve">7. Fiscal</t>
  </si>
  <si>
    <t xml:space="preserve">12-month rolling primary and overall balance of the national public sector, % of GDP, with markers on the government's year-end targets.</t>
  </si>
  <si>
    <t xml:space="preserve">CONVENTIONS</t>
  </si>
  <si>
    <t xml:space="preserve">Cell colours</t>
  </si>
  <si>
    <t xml:space="preserve">Blue = hardcoded input from source. Black = formula. Green = link to another tab. Yellow fill = paste your data here.</t>
  </si>
  <si>
    <t xml:space="preserve">Percentages</t>
  </si>
  <si>
    <t xml:space="preserve">Stored as fractions, so 0.02 renders as 2.0%. Contributions are in percentage points.</t>
  </si>
  <si>
    <t xml:space="preserve">Refreshing</t>
  </si>
  <si>
    <t xml:space="preserve">INDEC publishes CPI around the 13th-15th. Paste new index levels into the yellow rows on CPI Data; every rate, wedge and chart updates by formula.</t>
  </si>
  <si>
    <t xml:space="preserve">INDEC IPC nacional — levels and derived series</t>
  </si>
  <si>
    <t xml:space="preserve">Blue = INDEC index level (base dic-2016 = 100). Black = formula. Paste new prints into the yellow rows.</t>
  </si>
  <si>
    <t xml:space="preserve">Month</t>
  </si>
  <si>
    <t xml:space="preserve">Year</t>
  </si>
  <si>
    <t xml:space="preserve">M#</t>
  </si>
  <si>
    <t xml:space="preserve">Nivel General
(index)</t>
  </si>
  <si>
    <t xml:space="preserve">Núcleo
(index)</t>
  </si>
  <si>
    <t xml:space="preserve">Regulados
(index)</t>
  </si>
  <si>
    <t xml:space="preserve">Estacionales
(index)</t>
  </si>
  <si>
    <t xml:space="preserve">m/m
Headline</t>
  </si>
  <si>
    <t xml:space="preserve">m/m
Core</t>
  </si>
  <si>
    <t xml:space="preserve">m/m
Regulated</t>
  </si>
  <si>
    <t xml:space="preserve">m/m
Seasonal</t>
  </si>
  <si>
    <t xml:space="preserve">y/y
Headline</t>
  </si>
  <si>
    <t xml:space="preserve">y/y
Core</t>
  </si>
  <si>
    <t xml:space="preserve">Regulated
Dec-23=100</t>
  </si>
  <si>
    <t xml:space="preserve">Core
Dec-23=100</t>
  </si>
  <si>
    <t xml:space="preserve">Relative price
Reg/Core, Dec-23=100</t>
  </si>
  <si>
    <t xml:space="preserve">Monthly wedge
Reg m/m − Core m/m</t>
  </si>
  <si>
    <t xml:space="preserve">Wedge
3m average</t>
  </si>
  <si>
    <t xml:space="preserve">2% line</t>
  </si>
  <si>
    <t xml:space="preserve">2018-12</t>
  </si>
  <si>
    <t xml:space="preserve">2019-01</t>
  </si>
  <si>
    <t xml:space="preserve">2019-02</t>
  </si>
  <si>
    <t xml:space="preserve">2019-03</t>
  </si>
  <si>
    <t xml:space="preserve">2019-04</t>
  </si>
  <si>
    <t xml:space="preserve">2019-05</t>
  </si>
  <si>
    <t xml:space="preserve">2019-06</t>
  </si>
  <si>
    <t xml:space="preserve">2019-07</t>
  </si>
  <si>
    <t xml:space="preserve">2019-08</t>
  </si>
  <si>
    <t xml:space="preserve">2019-09</t>
  </si>
  <si>
    <t xml:space="preserve">2019-10</t>
  </si>
  <si>
    <t xml:space="preserve">2019-11</t>
  </si>
  <si>
    <t xml:space="preserve">2019-12</t>
  </si>
  <si>
    <t xml:space="preserve">2020-01</t>
  </si>
  <si>
    <t xml:space="preserve">2020-02</t>
  </si>
  <si>
    <t xml:space="preserve">2020-03</t>
  </si>
  <si>
    <t xml:space="preserve">2020-04</t>
  </si>
  <si>
    <t xml:space="preserve">2020-05</t>
  </si>
  <si>
    <t xml:space="preserve">2020-06</t>
  </si>
  <si>
    <t xml:space="preserve">2020-07</t>
  </si>
  <si>
    <t xml:space="preserve">2020-08</t>
  </si>
  <si>
    <t xml:space="preserve">2020-09</t>
  </si>
  <si>
    <t xml:space="preserve">2020-10</t>
  </si>
  <si>
    <t xml:space="preserve">2020-11</t>
  </si>
  <si>
    <t xml:space="preserve">2020-12</t>
  </si>
  <si>
    <t xml:space="preserve">2021-01</t>
  </si>
  <si>
    <t xml:space="preserve">2021-02</t>
  </si>
  <si>
    <t xml:space="preserve">2021-03</t>
  </si>
  <si>
    <t xml:space="preserve">2021-04</t>
  </si>
  <si>
    <t xml:space="preserve">2021-05</t>
  </si>
  <si>
    <t xml:space="preserve">2021-06</t>
  </si>
  <si>
    <t xml:space="preserve">2021-07</t>
  </si>
  <si>
    <t xml:space="preserve">2021-08</t>
  </si>
  <si>
    <t xml:space="preserve">2021-09</t>
  </si>
  <si>
    <t xml:space="preserve">2021-10</t>
  </si>
  <si>
    <t xml:space="preserve">2021-11</t>
  </si>
  <si>
    <t xml:space="preserve">2021-12</t>
  </si>
  <si>
    <t xml:space="preserve">2022-01</t>
  </si>
  <si>
    <t xml:space="preserve">2022-02</t>
  </si>
  <si>
    <t xml:space="preserve">2022-03</t>
  </si>
  <si>
    <t xml:space="preserve">2022-04</t>
  </si>
  <si>
    <t xml:space="preserve">2022-05</t>
  </si>
  <si>
    <t xml:space="preserve">2022-06</t>
  </si>
  <si>
    <t xml:space="preserve">2022-07</t>
  </si>
  <si>
    <t xml:space="preserve">2022-08</t>
  </si>
  <si>
    <t xml:space="preserve">2022-09</t>
  </si>
  <si>
    <t xml:space="preserve">2022-10</t>
  </si>
  <si>
    <t xml:space="preserve">2022-11</t>
  </si>
  <si>
    <t xml:space="preserve">2022-12</t>
  </si>
  <si>
    <t xml:space="preserve">2023-01</t>
  </si>
  <si>
    <t xml:space="preserve">2023-02</t>
  </si>
  <si>
    <t xml:space="preserve">2023-03</t>
  </si>
  <si>
    <t xml:space="preserve">2023-04</t>
  </si>
  <si>
    <t xml:space="preserve">2023-05</t>
  </si>
  <si>
    <t xml:space="preserve">2023-06</t>
  </si>
  <si>
    <t xml:space="preserve">2023-07</t>
  </si>
  <si>
    <t xml:space="preserve">2023-08</t>
  </si>
  <si>
    <t xml:space="preserve">2023-09</t>
  </si>
  <si>
    <t xml:space="preserve">2023-10</t>
  </si>
  <si>
    <t xml:space="preserve">2023-11</t>
  </si>
  <si>
    <t xml:space="preserve">2023-12</t>
  </si>
  <si>
    <t xml:space="preserve">2024-01</t>
  </si>
  <si>
    <t xml:space="preserve">2024-02</t>
  </si>
  <si>
    <t xml:space="preserve">2024-03</t>
  </si>
  <si>
    <t xml:space="preserve">2024-04</t>
  </si>
  <si>
    <t xml:space="preserve">2024-05</t>
  </si>
  <si>
    <t xml:space="preserve">2024-06</t>
  </si>
  <si>
    <t xml:space="preserve">2024-07</t>
  </si>
  <si>
    <t xml:space="preserve">2024-08</t>
  </si>
  <si>
    <t xml:space="preserve">2024-09</t>
  </si>
  <si>
    <t xml:space="preserve">2024-10</t>
  </si>
  <si>
    <t xml:space="preserve">2024-11</t>
  </si>
  <si>
    <t xml:space="preserve">2024-12</t>
  </si>
  <si>
    <t xml:space="preserve">2025-01</t>
  </si>
  <si>
    <t xml:space="preserve">2025-02</t>
  </si>
  <si>
    <t xml:space="preserve">2025-03</t>
  </si>
  <si>
    <t xml:space="preserve">2025-04</t>
  </si>
  <si>
    <t xml:space="preserve">2025-05</t>
  </si>
  <si>
    <t xml:space="preserve">2025-06</t>
  </si>
  <si>
    <t xml:space="preserve">2025-07</t>
  </si>
  <si>
    <t xml:space="preserve">2025-08</t>
  </si>
  <si>
    <t xml:space="preserve">2025-09</t>
  </si>
  <si>
    <t xml:space="preserve">2025-10</t>
  </si>
  <si>
    <t xml:space="preserve">2025-11</t>
  </si>
  <si>
    <t xml:space="preserve">2025-12</t>
  </si>
  <si>
    <t xml:space="preserve">2026-01</t>
  </si>
  <si>
    <t xml:space="preserve">2026-02</t>
  </si>
  <si>
    <t xml:space="preserve">2026-03</t>
  </si>
  <si>
    <t xml:space="preserve">2026-04</t>
  </si>
  <si>
    <t xml:space="preserve">2026-05</t>
  </si>
  <si>
    <t xml:space="preserve">2026-06</t>
  </si>
  <si>
    <t xml:space="preserve">2026-07</t>
  </si>
  <si>
    <t xml:space="preserve">2026-08</t>
  </si>
  <si>
    <t xml:space="preserve">2026-09</t>
  </si>
  <si>
    <t xml:space="preserve">2026-10</t>
  </si>
  <si>
    <t xml:space="preserve">2026-11</t>
  </si>
  <si>
    <t xml:space="preserve">2026-12</t>
  </si>
  <si>
    <t xml:space="preserve">2027-01</t>
  </si>
  <si>
    <t xml:space="preserve">2027-02</t>
  </si>
  <si>
    <t xml:space="preserve">2027-03</t>
  </si>
  <si>
    <t xml:space="preserve">2027-04</t>
  </si>
  <si>
    <t xml:space="preserve">2027-05</t>
  </si>
  <si>
    <t xml:space="preserve">2027-06</t>
  </si>
  <si>
    <t xml:space="preserve">2027-07</t>
  </si>
  <si>
    <t xml:space="preserve">2027-08</t>
  </si>
  <si>
    <t xml:space="preserve">2027-09</t>
  </si>
  <si>
    <t xml:space="preserve">2027-10</t>
  </si>
  <si>
    <t xml:space="preserve">2027-11</t>
  </si>
  <si>
    <t xml:space="preserve">2027-12</t>
  </si>
  <si>
    <t xml:space="preserve">Source: INDEC, Índice de precios al consumidor nacional, base dic-2016 = 100 (series 148.3_INIVELNAL_DICI_M_26 headline, 148.3_INUCLEONAL_DICI_M_19 core, 148.3_IREGULANAL_DICI_M_22 regulated, 148.3_IESTACINAL_DICI_M_25 seasonal). Regulated and seasonal sub-indices begin 2022-01. The 2% column is a constant threshold, not data.</t>
  </si>
  <si>
    <t xml:space="preserve">Monthly inflation against the 2% threshold</t>
  </si>
  <si>
    <t xml:space="preserve">Headline and core, month on month. INDEC through 2026-06.</t>
  </si>
  <si>
    <t xml:space="preserve">Headline m/m</t>
  </si>
  <si>
    <t xml:space="preserve">Core m/m</t>
  </si>
  <si>
    <t xml:space="preserve">2% threshold</t>
  </si>
  <si>
    <t xml:space="preserve">Below 2%?</t>
  </si>
  <si>
    <t xml:space="preserve">Why 2% a month is the number that matters</t>
  </si>
  <si>
    <t xml:space="preserve">Arithmetic</t>
  </si>
  <si>
    <t xml:space="preserve">2.0% a month compounds to 26.8% a year. Sustained sub-2% is what puts the annual print into the low-20s and below — the zone where indexation stops being the rational default for wage and contract setting.</t>
  </si>
  <si>
    <t xml:space="preserve">The nominal anchor</t>
  </si>
  <si>
    <t xml:space="preserve">The FX band crawls at 1% a month. Any monthly CPI meaningfully above that appreciates the real exchange rate. 2% is roughly the level at which the crawl and domestic price-setting stop pulling against each other; above it, disinflation is being bought with real appreciation.</t>
  </si>
  <si>
    <t xml:space="preserve">Real rates</t>
  </si>
  <si>
    <t xml:space="preserve">At prevailing policy rates, sub-2% monthly inflation is what makes the ex-post real rate decisively positive and keeps peso demand intact.</t>
  </si>
  <si>
    <t xml:space="preserve">Expectations</t>
  </si>
  <si>
    <t xml:space="preserve">It is a visible, round threshold. Breaking it durably — not for one month — is what shifts the REM and, more importantly, private contract behaviour.</t>
  </si>
  <si>
    <t xml:space="preserve">Where we are</t>
  </si>
  <si>
    <t xml:space="preserve">Since Jan-2024 only five months have printed below 2 per cent. 2026-06 came in at 1.89% headline and 1.57% core, the cleanest reading of the series — but one print is not a regime.</t>
  </si>
  <si>
    <t xml:space="preserve">The regulated-price adjustment is largely behind us</t>
  </si>
  <si>
    <t xml:space="preserve">Regulated vs core prices since Dec-2023. INDEC through 2026-06.</t>
  </si>
  <si>
    <t xml:space="preserve">Relative price
Reg/Core</t>
  </si>
  <si>
    <t xml:space="preserve">Monthly wedge
(Reg − Core)</t>
  </si>
  <si>
    <t xml:space="preserve">Wedge, 3m avg</t>
  </si>
  <si>
    <t xml:space="preserve">Reading</t>
  </si>
  <si>
    <t xml:space="preserve">Decomposition of headline y/y</t>
  </si>
  <si>
    <t xml:space="preserve">Headline y/y</t>
  </si>
  <si>
    <t xml:space="preserve">of which:
Regulated (pp)</t>
  </si>
  <si>
    <t xml:space="preserve">of which:
Non-regulated (pp)</t>
  </si>
  <si>
    <t xml:space="preserve">Regulated share
of headline</t>
  </si>
  <si>
    <t xml:space="preserve">Regulated prices are up 405% since Dec-2023 against 216% for core: a 60% gain in relative price. That is the tariff and transport catch-up being paid for, and it is the reason headline has run above core through most of the adjustment. The third panel is the operative one — the monthly wedge over core has compressed from double digits in early 2024 toward roughly zero, so the mechanical drag regulated prices impose on headline from here is far smaller than the drag already absorbed. Residual risk sits in the items still lagging rather than in the aggregate. The fourth panel puts a number on it: regulated prices carry a 21% basket weight and contributed 8.7pp of the 32.4% headline y/y in Apr-2026 — still material, but the contribution has been falling as the wedge closes.</t>
  </si>
  <si>
    <t xml:space="preserve">Source: INDEC IPC by category with the regulated weight estimated at 21.0% of the basket (IPC_Regulados_Annual.xlsx, tab 'Weights'). Contributions are weight x category y/y and sum to headline. Data run to 2026-04.</t>
  </si>
  <si>
    <t xml:space="preserve">Contributions to real GDP growth, y/y</t>
  </si>
  <si>
    <t xml:space="preserve">Demand-side decomposition, percentage points. Paste INDEC constant-price levels (millions of 2004 pesos).</t>
  </si>
  <si>
    <t xml:space="preserve">Chart runs from 2023-Q1; 2022 rows are the base for the first y/y. Imports enter with the sign already flipped, so the six bars sum to GDP growth.</t>
  </si>
  <si>
    <t xml:space="preserve">POPULATED FROM SOURCE — blue cells are data, black are formulas</t>
  </si>
  <si>
    <t xml:space="preserve">Period</t>
  </si>
  <si>
    <t xml:space="preserve">Private
consumption</t>
  </si>
  <si>
    <t xml:space="preserve">Government
consumption</t>
  </si>
  <si>
    <t xml:space="preserve">GFCF
(IBIF)</t>
  </si>
  <si>
    <t xml:space="preserve">Inventories +
discrepancy</t>
  </si>
  <si>
    <t xml:space="preserve">Exports</t>
  </si>
  <si>
    <t xml:space="preserve">Imports</t>
  </si>
  <si>
    <t xml:space="preserve">GDP</t>
  </si>
  <si>
    <t xml:space="preserve">Consumption
pp</t>
  </si>
  <si>
    <t xml:space="preserve">Government
pp</t>
  </si>
  <si>
    <t xml:space="preserve">GFCF
pp</t>
  </si>
  <si>
    <t xml:space="preserve">Invent.+disc.
pp</t>
  </si>
  <si>
    <t xml:space="preserve">Exports
pp</t>
  </si>
  <si>
    <t xml:space="preserve">Imports
pp</t>
  </si>
  <si>
    <t xml:space="preserve">GDP y/y
%</t>
  </si>
  <si>
    <t xml:space="preserve">Check: sum − GDP
(should be 0)</t>
  </si>
  <si>
    <t xml:space="preserve">2022-Q1</t>
  </si>
  <si>
    <t xml:space="preserve">2022-Q2</t>
  </si>
  <si>
    <t xml:space="preserve">2022-Q3</t>
  </si>
  <si>
    <t xml:space="preserve">2022-Q4</t>
  </si>
  <si>
    <t xml:space="preserve">2023-Q1</t>
  </si>
  <si>
    <t xml:space="preserve">2023-Q2</t>
  </si>
  <si>
    <t xml:space="preserve">2023-Q3</t>
  </si>
  <si>
    <t xml:space="preserve">2023-Q4</t>
  </si>
  <si>
    <t xml:space="preserve">2024-Q1</t>
  </si>
  <si>
    <t xml:space="preserve">2024-Q2</t>
  </si>
  <si>
    <t xml:space="preserve">2024-Q3</t>
  </si>
  <si>
    <t xml:space="preserve">2024-Q4</t>
  </si>
  <si>
    <t xml:space="preserve">2025-Q1</t>
  </si>
  <si>
    <t xml:space="preserve">2025-Q2</t>
  </si>
  <si>
    <t xml:space="preserve">2025-Q3</t>
  </si>
  <si>
    <t xml:space="preserve">2025-Q4</t>
  </si>
  <si>
    <t xml:space="preserve">2026-Q1</t>
  </si>
  <si>
    <t xml:space="preserve">2026-Q2</t>
  </si>
  <si>
    <t xml:space="preserve">2026-Q3</t>
  </si>
  <si>
    <t xml:space="preserve">2026-Q4</t>
  </si>
  <si>
    <t xml:space="preserve">2027-Q1</t>
  </si>
  <si>
    <t xml:space="preserve">2027-Q2</t>
  </si>
  <si>
    <t xml:space="preserve">2027-Q3</t>
  </si>
  <si>
    <t xml:space="preserve">2027-Q4</t>
  </si>
  <si>
    <t xml:space="preserve">Source: INDEC, Oferta y demanda globales, precios constantes base 2004, valores trimestrales (dataset 4.2). Bulk CSV: infra.datos.gob.ar/catalog/sspm/dataset/4.0/distribution/4.2/. IMPORTANT: quarterly national accounts are published at ANNUAL RATES — a year's level is the AVERAGE of its four quarters, never the sum. The statistical discrepancy exists only from Q1-2024; before that it sits inside variación de existencias, which is why the two are combined in one column. Levels taken from Argentina_GDP.xlsx, tab 'Data Constant', which carries the INDEC vintage through 2026-Q1; contributions are recomputed here rather than copied.</t>
  </si>
  <si>
    <t xml:space="preserve">Manufacturing decline is not offset by oil and mining</t>
  </si>
  <si>
    <t xml:space="preserve">Activity rebased to Nov-2023 = 100; jobs as cumulative change on Nov-2023, in thousands.</t>
  </si>
  <si>
    <t xml:space="preserve">The black line is the net of the two. If mining and oil were offsetting manufacturing, it would sit near zero.</t>
  </si>
  <si>
    <t xml:space="preserve">PASTE INTO THE YELLOW COLUMNS →</t>
  </si>
  <si>
    <t xml:space="preserve">EMAE Manufacturing
(index 2004=100)</t>
  </si>
  <si>
    <t xml:space="preserve">EMAE Mining &amp; quarrying
(index 2004=100)</t>
  </si>
  <si>
    <t xml:space="preserve">Registered jobs —
manufacturing (000s)</t>
  </si>
  <si>
    <t xml:space="preserve">Registered jobs —
mining &amp; oil (000s)</t>
  </si>
  <si>
    <t xml:space="preserve">Manufacturing
Nov-23=100</t>
  </si>
  <si>
    <t xml:space="preserve">Mining
Nov-23=100</t>
  </si>
  <si>
    <t xml:space="preserve">Manufacturing jobs,
change vs Nov-23 (000s)</t>
  </si>
  <si>
    <t xml:space="preserve">Mining &amp; oil jobs,
change vs Nov-23 (000s)</t>
  </si>
  <si>
    <t xml:space="preserve">Net jobs,
both sectors (000s)</t>
  </si>
  <si>
    <t xml:space="preserve">EXAMPLE — overwrite</t>
  </si>
  <si>
    <t xml:space="preserve">Sources: INDEC, EMAE apertura por sectores, base 2004 (dataset 11.3 — bulk CSV at infra.datos.gob.ar/catalog/sspm/dataset/11.0/distribution/11.3/), for the two activity indices; and Puestos de trabajo registrados por sector de actividad económica en el sector privado (dataset 325.2) for registered jobs. Nov-2023 is used as the base — the last full month before the change of administration.</t>
  </si>
  <si>
    <t xml:space="preserve">Inflation expectations, 12 and 24 months ahead</t>
  </si>
  <si>
    <t xml:space="preserve">BCRA Relevamiento de Expectativas de Mercado (REM), median of respondents. Enter as fractions: 0.25 = 25%.</t>
  </si>
  <si>
    <t xml:space="preserve">REM expected inflation,
next 12 months (%)</t>
  </si>
  <si>
    <t xml:space="preserve">REM expected inflation,
next 24 months (%)</t>
  </si>
  <si>
    <t xml:space="preserve">1Y − 2Y spread
(pp)</t>
  </si>
  <si>
    <t xml:space="preserve">Source: BCRA, Relevamiento de Expectativas de Mercado (REM), published around the 6th of each month at bcra.gob.ar. The 24-month horizon is the closest thing Argentina has to a long-term expectations anchor; the gap between the two is the market's implied disinflation path.</t>
  </si>
  <si>
    <t xml:space="preserve">Goods trade balance, 12-month rolling</t>
  </si>
  <si>
    <t xml:space="preserve">Total balance in bars; energy and non-energy balances as lines. USD millions.</t>
  </si>
  <si>
    <t xml:space="preserve">Rolling sums need 12 months of history, so the first usable reading is Dec-2015. Chart categories start Jul-2016 to give a clean ten years.</t>
  </si>
  <si>
    <t xml:space="preserve">Exports, total
(USD mn)</t>
  </si>
  <si>
    <t xml:space="preserve">Imports, total
(USD mn, CIF)</t>
  </si>
  <si>
    <t xml:space="preserve">Energy exports
(Comb. y energía)</t>
  </si>
  <si>
    <t xml:space="preserve">Energy imports
(Comb. y lubricantes)</t>
  </si>
  <si>
    <t xml:space="preserve">Total balance
(monthly)</t>
  </si>
  <si>
    <t xml:space="preserve">Energy balance
(monthly)</t>
  </si>
  <si>
    <t xml:space="preserve">Non-energy balance
(monthly)</t>
  </si>
  <si>
    <t xml:space="preserve">Total balance
12m rolling</t>
  </si>
  <si>
    <t xml:space="preserve">Energy balance
12m rolling</t>
  </si>
  <si>
    <t xml:space="preserve">Non-energy balance
12m rolling</t>
  </si>
  <si>
    <t xml:space="preserve">2015-01</t>
  </si>
  <si>
    <t xml:space="preserve">2015-02</t>
  </si>
  <si>
    <t xml:space="preserve">2015-03</t>
  </si>
  <si>
    <t xml:space="preserve">2015-04</t>
  </si>
  <si>
    <t xml:space="preserve">2015-05</t>
  </si>
  <si>
    <t xml:space="preserve">2015-06</t>
  </si>
  <si>
    <t xml:space="preserve">2015-07</t>
  </si>
  <si>
    <t xml:space="preserve">2015-08</t>
  </si>
  <si>
    <t xml:space="preserve">2015-09</t>
  </si>
  <si>
    <t xml:space="preserve">2015-10</t>
  </si>
  <si>
    <t xml:space="preserve">2015-11</t>
  </si>
  <si>
    <t xml:space="preserve">2015-12</t>
  </si>
  <si>
    <t xml:space="preserve">2016-01</t>
  </si>
  <si>
    <t xml:space="preserve">2016-02</t>
  </si>
  <si>
    <t xml:space="preserve">2016-03</t>
  </si>
  <si>
    <t xml:space="preserve">2016-04</t>
  </si>
  <si>
    <t xml:space="preserve">2016-05</t>
  </si>
  <si>
    <t xml:space="preserve">2016-06</t>
  </si>
  <si>
    <t xml:space="preserve">2016-07</t>
  </si>
  <si>
    <t xml:space="preserve">2016-08</t>
  </si>
  <si>
    <t xml:space="preserve">2016-09</t>
  </si>
  <si>
    <t xml:space="preserve">2016-10</t>
  </si>
  <si>
    <t xml:space="preserve">2016-11</t>
  </si>
  <si>
    <t xml:space="preserve">2016-12</t>
  </si>
  <si>
    <t xml:space="preserve">2017-01</t>
  </si>
  <si>
    <t xml:space="preserve">2017-02</t>
  </si>
  <si>
    <t xml:space="preserve">2017-03</t>
  </si>
  <si>
    <t xml:space="preserve">2017-04</t>
  </si>
  <si>
    <t xml:space="preserve">2017-05</t>
  </si>
  <si>
    <t xml:space="preserve">2017-06</t>
  </si>
  <si>
    <t xml:space="preserve">2017-07</t>
  </si>
  <si>
    <t xml:space="preserve">2017-08</t>
  </si>
  <si>
    <t xml:space="preserve">2017-09</t>
  </si>
  <si>
    <t xml:space="preserve">2017-10</t>
  </si>
  <si>
    <t xml:space="preserve">2017-11</t>
  </si>
  <si>
    <t xml:space="preserve">2017-12</t>
  </si>
  <si>
    <t xml:space="preserve">2018-01</t>
  </si>
  <si>
    <t xml:space="preserve">2018-02</t>
  </si>
  <si>
    <t xml:space="preserve">2018-03</t>
  </si>
  <si>
    <t xml:space="preserve">2018-04</t>
  </si>
  <si>
    <t xml:space="preserve">2018-05</t>
  </si>
  <si>
    <t xml:space="preserve">2018-06</t>
  </si>
  <si>
    <t xml:space="preserve">2018-07</t>
  </si>
  <si>
    <t xml:space="preserve">2018-08</t>
  </si>
  <si>
    <t xml:space="preserve">2018-09</t>
  </si>
  <si>
    <t xml:space="preserve">2018-10</t>
  </si>
  <si>
    <t xml:space="preserve">2018-11</t>
  </si>
  <si>
    <t xml:space="preserve">Source: INDEC, Intercambio Comercial Argentino (ICA), monthly, FOB exports and CIF imports. Energy exports are the 'Combustibles y energía' large economic category; energy imports are 'Combustibles y lubricantes'. Non-energy is the residual, computed here rather than taken from source, so it will absorb any classification difference between the two energy definitions.</t>
  </si>
  <si>
    <t xml:space="preserve">National public sector balance, 12-month rolling, % of GDP</t>
  </si>
  <si>
    <t xml:space="preserve">Primary and overall. Blue = source data. Enter year-end targets in the yellow columns on the December row of the relevant year; they plot as standalone markers.</t>
  </si>
  <si>
    <t xml:space="preserve">Primary balance
12m, % GDP</t>
  </si>
  <si>
    <t xml:space="preserve">Overall balance
12m, % GDP</t>
  </si>
  <si>
    <t xml:space="preserve">Year-end target
primary</t>
  </si>
  <si>
    <t xml:space="preserve">Year-end target
overall</t>
  </si>
  <si>
    <t xml:space="preserve">Target marker
primary</t>
  </si>
  <si>
    <t xml:space="preserve">Target marker
overall</t>
  </si>
  <si>
    <t xml:space="preserve">Source: Ministerio de Economía, Secretaría de Hacienda, Resultado del Sector Público Nacional no Financiero; twelve-month rolling sums expressed against rolling nominal GDP, taken from Argentina_Fiscal.xlsx tab 'Rolling 12m %GDP'. Data run to 2026-05. Positive = surplus; overall = primary less net interest. Targets are the government's own year-end objectives — enter them yourself and note the vintage (Presupuesto vs IMF programme), since the two differ.</t>
  </si>
  <si>
    <t xml:space="preserve">Sources and series identifiers</t>
  </si>
  <si>
    <t xml:space="preserve">Everything needed to refresh each tab.</t>
  </si>
  <si>
    <t xml:space="preserve">Tab</t>
  </si>
  <si>
    <t xml:space="preserve">Series</t>
  </si>
  <si>
    <t xml:space="preserve">Identifier / location</t>
  </si>
  <si>
    <t xml:space="preserve">CPI Data</t>
  </si>
  <si>
    <t xml:space="preserve">IPC nacional, nivel general</t>
  </si>
  <si>
    <t xml:space="preserve">INDEC 148.3_INIVELNAL_DICI_M_26 (base dic-2016=100)</t>
  </si>
  <si>
    <t xml:space="preserve">IPC núcleo</t>
  </si>
  <si>
    <t xml:space="preserve">INDEC 148.3_INUCLEONAL_DICI_M_19</t>
  </si>
  <si>
    <t xml:space="preserve">IPC regulados</t>
  </si>
  <si>
    <t xml:space="preserve">INDEC 148.3_IREGULANAL_DICI_M_22 (starts 2022-01)</t>
  </si>
  <si>
    <t xml:space="preserve">IPC estacionales</t>
  </si>
  <si>
    <t xml:space="preserve">INDEC 148.3_IESTACINAL_DICI_M_25 (starts 2022-01)</t>
  </si>
  <si>
    <t xml:space="preserve">Ch1</t>
  </si>
  <si>
    <t xml:space="preserve">Oferta y demanda globales, constant 2004 prices, quarterly</t>
  </si>
  <si>
    <t xml:space="preserve">INDEC dataset 4.2 — pib 4.2_OGP_2004_T_17 · cons_priv 4.2_MGCP_2004_T_25 · cons_pub 4.2_DGCP_2004_T_30 · ibif 4.2_DGIT_2004_T_25 · var_exist 4.2_VE_2004_T_21 · discrep 4.2_DE_2004_T_24 · expo 4.2_DGE_2004_T_26 · impo 4.2_OGI_2004_T_25</t>
  </si>
  <si>
    <t xml:space="preserve">Ch2</t>
  </si>
  <si>
    <t xml:space="preserve">EMAE apertura por sectores, base 2004, monthly</t>
  </si>
  <si>
    <t xml:space="preserve">INDEC dataset 11.3</t>
  </si>
  <si>
    <t xml:space="preserve">Puestos de trabajo registrados, sector privado, by sector</t>
  </si>
  <si>
    <t xml:space="preserve">INDEC dataset 325.2</t>
  </si>
  <si>
    <t xml:space="preserve">Ch5</t>
  </si>
  <si>
    <t xml:space="preserve">REM — expected inflation, 12m and 24m ahead</t>
  </si>
  <si>
    <t xml:space="preserve">BCRA, Relevamiento de Expectativas de Mercado</t>
  </si>
  <si>
    <t xml:space="preserve">Ch6</t>
  </si>
  <si>
    <t xml:space="preserve">Intercambio Comercial Argentino (ICA), monthly</t>
  </si>
  <si>
    <t xml:space="preserve">INDEC ICA — exports FOB, imports CIF, by large economic category</t>
  </si>
  <si>
    <t xml:space="preserve">Ch7</t>
  </si>
  <si>
    <t xml:space="preserve">Resultado del SPNF, monthly</t>
  </si>
  <si>
    <t xml:space="preserve">MECON, Secretaría de Hacienda</t>
  </si>
  <si>
    <t xml:space="preserve">Nominal GDP, current prices, quarterly</t>
  </si>
  <si>
    <t xml:space="preserve">INDEC dataset 4.4 — pib_n 4.4_OGP_2004_T_17</t>
  </si>
  <si>
    <t xml:space="preserve">All INDEC/MECON series are available through the official time-series API at apis.datos.gob.ar/series/api/series/?ids=&lt;ID&gt;&amp;format=csv, or as bulk CSVs under infra.datos.gob.ar/catalog/sspm/dataset/&lt;N&gt;/distribution/&lt;N.M&gt;/download/. Commas between IDs must be percent-encoded; three IDs per call is reliable.</t>
  </si>
</sst>
</file>

<file path=xl/styles.xml><?xml version="1.0" encoding="utf-8"?>
<styleSheet xmlns="http://schemas.openxmlformats.org/spreadsheetml/2006/main">
  <numFmts count="10">
    <numFmt numFmtId="164" formatCode="General"/>
    <numFmt numFmtId="165" formatCode="0"/>
    <numFmt numFmtId="166" formatCode="#,##0.00"/>
    <numFmt numFmtId="167" formatCode="0.00%"/>
    <numFmt numFmtId="168" formatCode="0.0%"/>
    <numFmt numFmtId="169" formatCode="#,##0"/>
    <numFmt numFmtId="170" formatCode="#,##0.0"/>
    <numFmt numFmtId="171" formatCode="#,##0;\(#,##0\);\-"/>
    <numFmt numFmtId="172" formatCode="\+0.00;\-0.00;\-"/>
    <numFmt numFmtId="173" formatCode="#,##0.0;\(#,##0.0\);\-"/>
  </numFmts>
  <fonts count="19">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6B6B6B"/>
      <name val="Arial"/>
      <family val="0"/>
      <charset val="1"/>
    </font>
    <font>
      <b val="true"/>
      <sz val="11"/>
      <color rgb="FFEC0016"/>
      <name val="Arial"/>
      <family val="0"/>
      <charset val="1"/>
    </font>
    <font>
      <b val="true"/>
      <sz val="10"/>
      <color rgb="FF1A1A1A"/>
      <name val="Arial"/>
      <family val="0"/>
      <charset val="1"/>
    </font>
    <font>
      <sz val="10"/>
      <color rgb="FF1A1A1A"/>
      <name val="Arial"/>
      <family val="0"/>
      <charset val="1"/>
    </font>
    <font>
      <b val="true"/>
      <sz val="9"/>
      <color rgb="FF1A1A1A"/>
      <name val="Arial"/>
      <family val="0"/>
      <charset val="1"/>
    </font>
    <font>
      <sz val="9"/>
      <color rgb="FF1A1A1A"/>
      <name val="Arial"/>
      <family val="0"/>
      <charset val="1"/>
    </font>
    <font>
      <sz val="9"/>
      <color rgb="FF6B6B6B"/>
      <name val="Arial"/>
      <family val="0"/>
      <charset val="1"/>
    </font>
    <font>
      <sz val="9"/>
      <color rgb="FF0000FF"/>
      <name val="Arial"/>
      <family val="0"/>
      <charset val="1"/>
    </font>
    <font>
      <i val="true"/>
      <sz val="8"/>
      <color rgb="FF6B6B6B"/>
      <name val="Arial"/>
      <family val="0"/>
      <charset val="1"/>
    </font>
    <font>
      <sz val="9"/>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9"/>
      <color rgb="FFEC0016"/>
      <name val="Arial"/>
      <family val="0"/>
      <charset val="1"/>
    </font>
  </fonts>
  <fills count="6">
    <fill>
      <patternFill patternType="none"/>
    </fill>
    <fill>
      <patternFill patternType="gray125"/>
    </fill>
    <fill>
      <patternFill patternType="solid">
        <fgColor rgb="FFEC0016"/>
        <bgColor rgb="FF8C0014"/>
      </patternFill>
    </fill>
    <fill>
      <patternFill patternType="solid">
        <fgColor rgb="FF1A1A1A"/>
        <bgColor rgb="FF003300"/>
      </patternFill>
    </fill>
    <fill>
      <patternFill patternType="solid">
        <fgColor rgb="FFF2F2F2"/>
        <bgColor rgb="FFFFFFFF"/>
      </patternFill>
    </fill>
    <fill>
      <patternFill patternType="solid">
        <fgColor rgb="FFFFF6CC"/>
        <bgColor rgb="FFF2F2F2"/>
      </patternFill>
    </fill>
  </fills>
  <borders count="2">
    <border diagonalUp="false" diagonalDown="false">
      <left/>
      <right/>
      <top/>
      <bottom/>
      <diagonal/>
    </border>
    <border diagonalUp="false" diagonalDown="false">
      <left/>
      <right/>
      <top/>
      <bottom style="thin">
        <color rgb="FFEC001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center" textRotation="0" wrapText="false" indent="1"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6" fontId="12" fillId="5"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9" fontId="14" fillId="0" borderId="0" xfId="0" applyFont="true" applyBorder="false" applyAlignment="false" applyProtection="false">
      <alignment horizontal="general" vertical="bottom" textRotation="0" wrapText="false" indent="0" shrinkToFit="false"/>
      <protection locked="true" hidden="false"/>
    </xf>
    <xf numFmtId="170" fontId="14"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71" fontId="12" fillId="0"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3" fontId="13" fillId="0" borderId="0" xfId="0" applyFont="true" applyBorder="false" applyAlignment="false" applyProtection="false">
      <alignment horizontal="general" vertical="bottom" textRotation="0" wrapText="false" indent="0" shrinkToFit="false"/>
      <protection locked="true" hidden="false"/>
    </xf>
    <xf numFmtId="173" fontId="12" fillId="5"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8" fontId="12" fillId="5" borderId="0" xfId="0" applyFont="true" applyBorder="false" applyAlignment="false" applyProtection="false">
      <alignment horizontal="general" vertical="bottom" textRotation="0" wrapText="false" indent="0" shrinkToFit="false"/>
      <protection locked="true" hidden="false"/>
    </xf>
    <xf numFmtId="171" fontId="13" fillId="0" borderId="0" xfId="0" applyFont="true" applyBorder="false" applyAlignment="false" applyProtection="false">
      <alignment horizontal="general" vertical="bottom" textRotation="0" wrapText="false" indent="0" shrinkToFit="false"/>
      <protection locked="true" hidden="false"/>
    </xf>
    <xf numFmtId="171" fontId="12" fillId="5"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EC0016"/>
      <rgbColor rgb="FF00FF00"/>
      <rgbColor rgb="FF0000FF"/>
      <rgbColor rgb="FFFFFF00"/>
      <rgbColor rgb="FFFF00FF"/>
      <rgbColor rgb="FF00FFFF"/>
      <rgbColor rgb="FF8C0014"/>
      <rgbColor rgb="FF008000"/>
      <rgbColor rgb="FF000080"/>
      <rgbColor rgb="FFB8860B"/>
      <rgbColor rgb="FF800080"/>
      <rgbColor rgb="FF00707F"/>
      <rgbColor rgb="FFA6A6A6"/>
      <rgbColor rgb="FF878787"/>
      <rgbColor rgb="FF9999FF"/>
      <rgbColor rgb="FF993366"/>
      <rgbColor rgb="FFFFF6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6B6B"/>
      <rgbColor rgb="FF8FA3B5"/>
      <rgbColor rgb="FF003366"/>
      <rgbColor rgb="FF5B7C99"/>
      <rgbColor rgb="FF003300"/>
      <rgbColor rgb="FF1A1A1A"/>
      <rgbColor rgb="FF993300"/>
      <rgbColor rgb="FF993366"/>
      <rgbColor rgb="FF333399"/>
      <rgbColor rgb="FF3F3F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Argentina CPI: headline and core, m/m</a:t>
            </a:r>
          </a:p>
        </c:rich>
      </c:tx>
      <c:overlay val="0"/>
      <c:spPr>
        <a:noFill/>
        <a:ln w="0">
          <a:noFill/>
        </a:ln>
      </c:spPr>
    </c:title>
    <c:autoTitleDeleted val="0"/>
    <c:plotArea>
      <c:barChart>
        <c:barDir val="col"/>
        <c:grouping val="clustered"/>
        <c:varyColors val="0"/>
        <c:ser>
          <c:idx val="0"/>
          <c:order val="0"/>
          <c:tx>
            <c:strRef>
              <c:f>'Ch4 Monthly CPI'!C5</c:f>
              <c:strCache>
                <c:ptCount val="1"/>
                <c:pt idx="0">
                  <c:v>Headline m/m</c:v>
                </c:pt>
              </c:strCache>
            </c:strRef>
          </c:tx>
          <c:spPr>
            <a:solidFill>
              <a:srgbClr val="ec0016"/>
            </a:solidFill>
            <a:ln w="0">
              <a:solidFill>
                <a:srgbClr val="ec001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'Ch4 Monthly CPI'!$B$6:$B$35</c:f>
              <c:strCache>
                <c:ptCount val="30"/>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pt idx="23">
                  <c:v>2025-12</c:v>
                </c:pt>
                <c:pt idx="24">
                  <c:v>2026-01</c:v>
                </c:pt>
                <c:pt idx="25">
                  <c:v>2026-02</c:v>
                </c:pt>
                <c:pt idx="26">
                  <c:v>2026-03</c:v>
                </c:pt>
                <c:pt idx="27">
                  <c:v>2026-04</c:v>
                </c:pt>
                <c:pt idx="28">
                  <c:v>2026-05</c:v>
                </c:pt>
                <c:pt idx="29">
                  <c:v>2026-06</c:v>
                </c:pt>
              </c:strCache>
            </c:strRef>
          </c:cat>
          <c:val>
            <c:numRef>
              <c:f>'Ch4 Monthly CPI'!$C$6:$C$35</c:f>
              <c:numCache>
                <c:formatCode>0.00%</c:formatCode>
                <c:ptCount val="30"/>
                <c:pt idx="0">
                  <c:v>0.206142252889611</c:v>
                </c:pt>
                <c:pt idx="1">
                  <c:v>0.132406760535248</c:v>
                </c:pt>
                <c:pt idx="2">
                  <c:v>0.110097001565402</c:v>
                </c:pt>
                <c:pt idx="3">
                  <c:v>0.0883192076060508</c:v>
                </c:pt>
                <c:pt idx="4">
                  <c:v>0.0417604487482142</c:v>
                </c:pt>
                <c:pt idx="5">
                  <c:v>0.0457734988557224</c:v>
                </c:pt>
                <c:pt idx="6">
                  <c:v>0.040309336951464</c:v>
                </c:pt>
                <c:pt idx="7">
                  <c:v>0.0417227327937253</c:v>
                </c:pt>
                <c:pt idx="8">
                  <c:v>0.0346920810480664</c:v>
                </c:pt>
                <c:pt idx="9">
                  <c:v>0.0269173804131146</c:v>
                </c:pt>
                <c:pt idx="10">
                  <c:v>0.0242655607550837</c:v>
                </c:pt>
                <c:pt idx="11">
                  <c:v>0.0270410405146337</c:v>
                </c:pt>
                <c:pt idx="12">
                  <c:v>0.0221104801366518</c:v>
                </c:pt>
                <c:pt idx="13">
                  <c:v>0.0240162743075179</c:v>
                </c:pt>
                <c:pt idx="14">
                  <c:v>0.0372933530661217</c:v>
                </c:pt>
                <c:pt idx="15">
                  <c:v>0.0278083584485096</c:v>
                </c:pt>
                <c:pt idx="16">
                  <c:v>0.0150110863438231</c:v>
                </c:pt>
                <c:pt idx="17">
                  <c:v>0.0161892488199333</c:v>
                </c:pt>
                <c:pt idx="18">
                  <c:v>0.0190168375533129</c:v>
                </c:pt>
                <c:pt idx="19">
                  <c:v>0.0187579351135028</c:v>
                </c:pt>
                <c:pt idx="20">
                  <c:v>0.0207596032395136</c:v>
                </c:pt>
                <c:pt idx="21">
                  <c:v>0.0234194310239195</c:v>
                </c:pt>
                <c:pt idx="22">
                  <c:v>0.0247291967107857</c:v>
                </c:pt>
                <c:pt idx="23">
                  <c:v>0.0284527193457171</c:v>
                </c:pt>
                <c:pt idx="24">
                  <c:v>0.0288161935366171</c:v>
                </c:pt>
                <c:pt idx="25">
                  <c:v>0.0289631907267269</c:v>
                </c:pt>
                <c:pt idx="26">
                  <c:v>0.0338262219244152</c:v>
                </c:pt>
                <c:pt idx="27">
                  <c:v>0.0258217956156745</c:v>
                </c:pt>
                <c:pt idx="28">
                  <c:v>0.0214997233499086</c:v>
                </c:pt>
                <c:pt idx="29">
                  <c:v>0.0188687146882938</c:v>
                </c:pt>
              </c:numCache>
            </c:numRef>
          </c:val>
        </c:ser>
        <c:ser>
          <c:idx val="1"/>
          <c:order val="1"/>
          <c:tx>
            <c:strRef>
              <c:f>'Ch4 Monthly CPI'!D5</c:f>
              <c:strCache>
                <c:ptCount val="1"/>
                <c:pt idx="0">
                  <c:v>Core m/m</c:v>
                </c:pt>
              </c:strCache>
            </c:strRef>
          </c:tx>
          <c:spPr>
            <a:solidFill>
              <a:srgbClr val="5b7c99"/>
            </a:solidFill>
            <a:ln w="0">
              <a:solidFill>
                <a:srgbClr val="5b7c99"/>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'Ch4 Monthly CPI'!$B$6:$B$35</c:f>
              <c:strCache>
                <c:ptCount val="30"/>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pt idx="23">
                  <c:v>2025-12</c:v>
                </c:pt>
                <c:pt idx="24">
                  <c:v>2026-01</c:v>
                </c:pt>
                <c:pt idx="25">
                  <c:v>2026-02</c:v>
                </c:pt>
                <c:pt idx="26">
                  <c:v>2026-03</c:v>
                </c:pt>
                <c:pt idx="27">
                  <c:v>2026-04</c:v>
                </c:pt>
                <c:pt idx="28">
                  <c:v>2026-05</c:v>
                </c:pt>
                <c:pt idx="29">
                  <c:v>2026-06</c:v>
                </c:pt>
              </c:strCache>
            </c:strRef>
          </c:cat>
          <c:val>
            <c:numRef>
              <c:f>'Ch4 Monthly CPI'!$D$6:$D$35</c:f>
              <c:numCache>
                <c:formatCode>0.00%</c:formatCode>
                <c:ptCount val="30"/>
                <c:pt idx="0">
                  <c:v>0.202164887120713</c:v>
                </c:pt>
                <c:pt idx="1">
                  <c:v>0.122901408397057</c:v>
                </c:pt>
                <c:pt idx="2">
                  <c:v>0.0941204797536992</c:v>
                </c:pt>
                <c:pt idx="3">
                  <c:v>0.0629843839865203</c:v>
                </c:pt>
                <c:pt idx="4">
                  <c:v>0.0373468674243314</c:v>
                </c:pt>
                <c:pt idx="5">
                  <c:v>0.0365113028584356</c:v>
                </c:pt>
                <c:pt idx="6">
                  <c:v>0.0378558792889565</c:v>
                </c:pt>
                <c:pt idx="7">
                  <c:v>0.0412028557309136</c:v>
                </c:pt>
                <c:pt idx="8">
                  <c:v>0.032622057516509</c:v>
                </c:pt>
                <c:pt idx="9">
                  <c:v>0.0291781680760621</c:v>
                </c:pt>
                <c:pt idx="10">
                  <c:v>0.0271483385629572</c:v>
                </c:pt>
                <c:pt idx="11">
                  <c:v>0.0319728150615013</c:v>
                </c:pt>
                <c:pt idx="12">
                  <c:v>0.0239768943123944</c:v>
                </c:pt>
                <c:pt idx="13">
                  <c:v>0.0292035280913883</c:v>
                </c:pt>
                <c:pt idx="14">
                  <c:v>0.0319279024268895</c:v>
                </c:pt>
                <c:pt idx="15">
                  <c:v>0.0321471596642027</c:v>
                </c:pt>
                <c:pt idx="16">
                  <c:v>0.0219726503339355</c:v>
                </c:pt>
                <c:pt idx="17">
                  <c:v>0.0171373496627161</c:v>
                </c:pt>
                <c:pt idx="18">
                  <c:v>0.0147914831949412</c:v>
                </c:pt>
                <c:pt idx="19">
                  <c:v>0.020449004208132</c:v>
                </c:pt>
                <c:pt idx="20">
                  <c:v>0.0189587619236489</c:v>
                </c:pt>
                <c:pt idx="21">
                  <c:v>0.0221671871181035</c:v>
                </c:pt>
                <c:pt idx="22">
                  <c:v>0.0263899736538846</c:v>
                </c:pt>
                <c:pt idx="23">
                  <c:v>0.0303389211337597</c:v>
                </c:pt>
                <c:pt idx="24">
                  <c:v>0.0263036906585312</c:v>
                </c:pt>
                <c:pt idx="25">
                  <c:v>0.0307537518963203</c:v>
                </c:pt>
                <c:pt idx="26">
                  <c:v>0.0318894584518437</c:v>
                </c:pt>
                <c:pt idx="27">
                  <c:v>0.0228647443545247</c:v>
                </c:pt>
                <c:pt idx="28">
                  <c:v>0.0190347773268631</c:v>
                </c:pt>
                <c:pt idx="29">
                  <c:v>0.0156958117905071</c:v>
                </c:pt>
              </c:numCache>
            </c:numRef>
          </c:val>
        </c:ser>
        <c:gapWidth val="60"/>
        <c:overlap val="0"/>
        <c:axId val="87079514"/>
        <c:axId val="52464457"/>
      </c:barChart>
      <c:lineChart>
        <c:grouping val="standard"/>
        <c:varyColors val="0"/>
        <c:ser>
          <c:idx val="2"/>
          <c:order val="2"/>
          <c:tx>
            <c:strRef>
              <c:f>'Ch4 Monthly CPI'!E5</c:f>
              <c:strCache>
                <c:ptCount val="1"/>
                <c:pt idx="0">
                  <c:v>2% threshold</c:v>
                </c:pt>
              </c:strCache>
            </c:strRef>
          </c:tx>
          <c:spPr>
            <a:solidFill>
              <a:srgbClr val="1a1a1a"/>
            </a:solidFill>
            <a:ln w="15840">
              <a:solidFill>
                <a:srgbClr val="1a1a1a"/>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'Ch4 Monthly CPI'!$B$6:$B$35</c:f>
              <c:strCache>
                <c:ptCount val="30"/>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pt idx="23">
                  <c:v>2025-12</c:v>
                </c:pt>
                <c:pt idx="24">
                  <c:v>2026-01</c:v>
                </c:pt>
                <c:pt idx="25">
                  <c:v>2026-02</c:v>
                </c:pt>
                <c:pt idx="26">
                  <c:v>2026-03</c:v>
                </c:pt>
                <c:pt idx="27">
                  <c:v>2026-04</c:v>
                </c:pt>
                <c:pt idx="28">
                  <c:v>2026-05</c:v>
                </c:pt>
                <c:pt idx="29">
                  <c:v>2026-06</c:v>
                </c:pt>
              </c:strCache>
            </c:strRef>
          </c:cat>
          <c:val>
            <c:numRef>
              <c:f>'Ch4 Monthly CPI'!$E$6:$E$35</c:f>
              <c:numCache>
                <c:formatCode>0.0%</c:formatCode>
                <c:ptCount val="30"/>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numCache>
            </c:numRef>
          </c:val>
          <c:smooth val="0"/>
        </c:ser>
        <c:hiLowLines>
          <c:spPr>
            <a:ln w="0">
              <a:noFill/>
            </a:ln>
          </c:spPr>
        </c:hiLowLines>
        <c:marker val="0"/>
        <c:axId val="87079514"/>
        <c:axId val="52464457"/>
      </c:lineChart>
      <c:catAx>
        <c:axId val="8707951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464457"/>
        <c:crosses val="autoZero"/>
        <c:auto val="1"/>
        <c:lblAlgn val="ctr"/>
        <c:lblOffset val="100"/>
        <c:noMultiLvlLbl val="0"/>
      </c:catAx>
      <c:valAx>
        <c:axId val="5246445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m/m</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07951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Regulated vs core prices, Dec-2023 = 100</a:t>
            </a:r>
          </a:p>
        </c:rich>
      </c:tx>
      <c:overlay val="0"/>
      <c:spPr>
        <a:noFill/>
        <a:ln w="0">
          <a:noFill/>
        </a:ln>
      </c:spPr>
    </c:title>
    <c:autoTitleDeleted val="0"/>
    <c:plotArea>
      <c:lineChart>
        <c:grouping val="standard"/>
        <c:varyColors val="0"/>
        <c:ser>
          <c:idx val="0"/>
          <c:order val="0"/>
          <c:tx>
            <c:strRef>
              <c:f>'Ch3 Regulated'!C5</c:f>
              <c:strCache>
                <c:ptCount val="1"/>
                <c:pt idx="0">
                  <c:v>Regulated
Dec-23=100</c:v>
                </c:pt>
              </c:strCache>
            </c:strRef>
          </c:tx>
          <c:spPr>
            <a:solidFill>
              <a:srgbClr val="ec0016"/>
            </a:solidFill>
            <a:ln w="25920">
              <a:solidFill>
                <a:srgbClr val="ec001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'Ch3 Regulated'!$B$6:$B$36</c:f>
              <c:strCache>
                <c:ptCount val="31"/>
                <c:pt idx="0">
                  <c:v>2023-12</c:v>
                </c:pt>
                <c:pt idx="1">
                  <c:v>2024-01</c:v>
                </c:pt>
                <c:pt idx="2">
                  <c:v>2024-02</c:v>
                </c:pt>
                <c:pt idx="3">
                  <c:v>2024-03</c:v>
                </c:pt>
                <c:pt idx="4">
                  <c:v>2024-04</c:v>
                </c:pt>
                <c:pt idx="5">
                  <c:v>2024-05</c:v>
                </c:pt>
                <c:pt idx="6">
                  <c:v>2024-06</c:v>
                </c:pt>
                <c:pt idx="7">
                  <c:v>2024-07</c:v>
                </c:pt>
                <c:pt idx="8">
                  <c:v>2024-08</c:v>
                </c:pt>
                <c:pt idx="9">
                  <c:v>2024-09</c:v>
                </c:pt>
                <c:pt idx="10">
                  <c:v>2024-10</c:v>
                </c:pt>
                <c:pt idx="11">
                  <c:v>2024-11</c:v>
                </c:pt>
                <c:pt idx="12">
                  <c:v>2024-12</c:v>
                </c:pt>
                <c:pt idx="13">
                  <c:v>2025-01</c:v>
                </c:pt>
                <c:pt idx="14">
                  <c:v>2025-02</c:v>
                </c:pt>
                <c:pt idx="15">
                  <c:v>2025-03</c:v>
                </c:pt>
                <c:pt idx="16">
                  <c:v>2025-04</c:v>
                </c:pt>
                <c:pt idx="17">
                  <c:v>2025-05</c:v>
                </c:pt>
                <c:pt idx="18">
                  <c:v>2025-06</c:v>
                </c:pt>
                <c:pt idx="19">
                  <c:v>2025-07</c:v>
                </c:pt>
                <c:pt idx="20">
                  <c:v>2025-08</c:v>
                </c:pt>
                <c:pt idx="21">
                  <c:v>2025-09</c:v>
                </c:pt>
                <c:pt idx="22">
                  <c:v>2025-10</c:v>
                </c:pt>
                <c:pt idx="23">
                  <c:v>2025-11</c:v>
                </c:pt>
                <c:pt idx="24">
                  <c:v>2025-12</c:v>
                </c:pt>
                <c:pt idx="25">
                  <c:v>2026-01</c:v>
                </c:pt>
                <c:pt idx="26">
                  <c:v>2026-02</c:v>
                </c:pt>
                <c:pt idx="27">
                  <c:v>2026-03</c:v>
                </c:pt>
                <c:pt idx="28">
                  <c:v>2026-04</c:v>
                </c:pt>
                <c:pt idx="29">
                  <c:v>2026-05</c:v>
                </c:pt>
                <c:pt idx="30">
                  <c:v>2026-06</c:v>
                </c:pt>
              </c:strCache>
            </c:strRef>
          </c:cat>
          <c:val>
            <c:numRef>
              <c:f>'Ch3 Regulated'!$C$6:$C$36</c:f>
              <c:numCache>
                <c:formatCode>#,##0</c:formatCode>
                <c:ptCount val="31"/>
                <c:pt idx="0">
                  <c:v>100</c:v>
                </c:pt>
                <c:pt idx="1">
                  <c:v>126.571935959801</c:v>
                </c:pt>
                <c:pt idx="2">
                  <c:v>153.286363041122</c:v>
                </c:pt>
                <c:pt idx="3">
                  <c:v>181.072302971268</c:v>
                </c:pt>
                <c:pt idx="4">
                  <c:v>214.378903420945</c:v>
                </c:pt>
                <c:pt idx="5">
                  <c:v>222.991470428465</c:v>
                </c:pt>
                <c:pt idx="6">
                  <c:v>240.956930417529</c:v>
                </c:pt>
                <c:pt idx="7">
                  <c:v>251.395842210999</c:v>
                </c:pt>
                <c:pt idx="8">
                  <c:v>266.202345383475</c:v>
                </c:pt>
                <c:pt idx="9">
                  <c:v>278.265700809252</c:v>
                </c:pt>
                <c:pt idx="10">
                  <c:v>285.768321096628</c:v>
                </c:pt>
                <c:pt idx="11">
                  <c:v>295.894951060517</c:v>
                </c:pt>
                <c:pt idx="12">
                  <c:v>305.878384582029</c:v>
                </c:pt>
                <c:pt idx="13">
                  <c:v>313.872144653236</c:v>
                </c:pt>
                <c:pt idx="14">
                  <c:v>321.157860429967</c:v>
                </c:pt>
                <c:pt idx="15">
                  <c:v>331.459789127817</c:v>
                </c:pt>
                <c:pt idx="16">
                  <c:v>337.326778497124</c:v>
                </c:pt>
                <c:pt idx="17">
                  <c:v>341.754281379154</c:v>
                </c:pt>
                <c:pt idx="18">
                  <c:v>349.360689834785</c:v>
                </c:pt>
                <c:pt idx="19">
                  <c:v>357.415392889811</c:v>
                </c:pt>
                <c:pt idx="20">
                  <c:v>366.952925010449</c:v>
                </c:pt>
                <c:pt idx="21">
                  <c:v>376.619775468239</c:v>
                </c:pt>
                <c:pt idx="22">
                  <c:v>386.279833645387</c:v>
                </c:pt>
                <c:pt idx="23">
                  <c:v>397.438478489997</c:v>
                </c:pt>
                <c:pt idx="24">
                  <c:v>410.517067867848</c:v>
                </c:pt>
                <c:pt idx="25">
                  <c:v>420.493607183738</c:v>
                </c:pt>
                <c:pt idx="26">
                  <c:v>438.368329478938</c:v>
                </c:pt>
                <c:pt idx="27">
                  <c:v>460.64809039066</c:v>
                </c:pt>
                <c:pt idx="28">
                  <c:v>482.229180029031</c:v>
                </c:pt>
                <c:pt idx="29">
                  <c:v>493.783852343484</c:v>
                </c:pt>
                <c:pt idx="30">
                  <c:v>505.117139525186</c:v>
                </c:pt>
              </c:numCache>
            </c:numRef>
          </c:val>
          <c:smooth val="0"/>
        </c:ser>
        <c:ser>
          <c:idx val="1"/>
          <c:order val="1"/>
          <c:tx>
            <c:strRef>
              <c:f>'Ch3 Regulated'!D5</c:f>
              <c:strCache>
                <c:ptCount val="1"/>
                <c:pt idx="0">
                  <c:v>Core
Dec-23=100</c:v>
                </c:pt>
              </c:strCache>
            </c:strRef>
          </c:tx>
          <c:spPr>
            <a:solidFill>
              <a:srgbClr val="5b7c99"/>
            </a:solidFill>
            <a:ln w="25920">
              <a:solidFill>
                <a:srgbClr val="5b7c99"/>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'Ch3 Regulated'!$B$6:$B$36</c:f>
              <c:strCache>
                <c:ptCount val="31"/>
                <c:pt idx="0">
                  <c:v>2023-12</c:v>
                </c:pt>
                <c:pt idx="1">
                  <c:v>2024-01</c:v>
                </c:pt>
                <c:pt idx="2">
                  <c:v>2024-02</c:v>
                </c:pt>
                <c:pt idx="3">
                  <c:v>2024-03</c:v>
                </c:pt>
                <c:pt idx="4">
                  <c:v>2024-04</c:v>
                </c:pt>
                <c:pt idx="5">
                  <c:v>2024-05</c:v>
                </c:pt>
                <c:pt idx="6">
                  <c:v>2024-06</c:v>
                </c:pt>
                <c:pt idx="7">
                  <c:v>2024-07</c:v>
                </c:pt>
                <c:pt idx="8">
                  <c:v>2024-08</c:v>
                </c:pt>
                <c:pt idx="9">
                  <c:v>2024-09</c:v>
                </c:pt>
                <c:pt idx="10">
                  <c:v>2024-10</c:v>
                </c:pt>
                <c:pt idx="11">
                  <c:v>2024-11</c:v>
                </c:pt>
                <c:pt idx="12">
                  <c:v>2024-12</c:v>
                </c:pt>
                <c:pt idx="13">
                  <c:v>2025-01</c:v>
                </c:pt>
                <c:pt idx="14">
                  <c:v>2025-02</c:v>
                </c:pt>
                <c:pt idx="15">
                  <c:v>2025-03</c:v>
                </c:pt>
                <c:pt idx="16">
                  <c:v>2025-04</c:v>
                </c:pt>
                <c:pt idx="17">
                  <c:v>2025-05</c:v>
                </c:pt>
                <c:pt idx="18">
                  <c:v>2025-06</c:v>
                </c:pt>
                <c:pt idx="19">
                  <c:v>2025-07</c:v>
                </c:pt>
                <c:pt idx="20">
                  <c:v>2025-08</c:v>
                </c:pt>
                <c:pt idx="21">
                  <c:v>2025-09</c:v>
                </c:pt>
                <c:pt idx="22">
                  <c:v>2025-10</c:v>
                </c:pt>
                <c:pt idx="23">
                  <c:v>2025-11</c:v>
                </c:pt>
                <c:pt idx="24">
                  <c:v>2025-12</c:v>
                </c:pt>
                <c:pt idx="25">
                  <c:v>2026-01</c:v>
                </c:pt>
                <c:pt idx="26">
                  <c:v>2026-02</c:v>
                </c:pt>
                <c:pt idx="27">
                  <c:v>2026-03</c:v>
                </c:pt>
                <c:pt idx="28">
                  <c:v>2026-04</c:v>
                </c:pt>
                <c:pt idx="29">
                  <c:v>2026-05</c:v>
                </c:pt>
                <c:pt idx="30">
                  <c:v>2026-06</c:v>
                </c:pt>
              </c:strCache>
            </c:strRef>
          </c:cat>
          <c:val>
            <c:numRef>
              <c:f>'Ch3 Regulated'!$D$6:$D$36</c:f>
              <c:numCache>
                <c:formatCode>#,##0</c:formatCode>
                <c:ptCount val="31"/>
                <c:pt idx="0">
                  <c:v>100</c:v>
                </c:pt>
                <c:pt idx="1">
                  <c:v>120.216488712071</c:v>
                </c:pt>
                <c:pt idx="2">
                  <c:v>134.991264487334</c:v>
                </c:pt>
                <c:pt idx="3">
                  <c:v>147.69670706344</c:v>
                </c:pt>
                <c:pt idx="4">
                  <c:v>156.999293174668</c:v>
                </c:pt>
                <c:pt idx="5">
                  <c:v>162.862724962576</c:v>
                </c:pt>
                <c:pt idx="6">
                  <c:v>168.809055238035</c:v>
                </c:pt>
                <c:pt idx="7">
                  <c:v>175.199470456009</c:v>
                </c:pt>
                <c:pt idx="8">
                  <c:v>182.41818896134</c:v>
                </c:pt>
                <c:pt idx="9">
                  <c:v>188.369045613695</c:v>
                </c:pt>
                <c:pt idx="10">
                  <c:v>193.865309286939</c:v>
                </c:pt>
                <c:pt idx="11">
                  <c:v>199.128430339073</c:v>
                </c:pt>
                <c:pt idx="12">
                  <c:v>205.495126815791</c:v>
                </c:pt>
                <c:pt idx="13">
                  <c:v>210.422261753165</c:v>
                </c:pt>
                <c:pt idx="14">
                  <c:v>216.567334185327</c:v>
                </c:pt>
                <c:pt idx="15">
                  <c:v>223.481874900048</c:v>
                </c:pt>
                <c:pt idx="16">
                  <c:v>230.666182414515</c:v>
                </c:pt>
                <c:pt idx="17">
                  <c:v>235.734529784573</c:v>
                </c:pt>
                <c:pt idx="18">
                  <c:v>239.774394849067</c:v>
                </c:pt>
                <c:pt idx="19">
                  <c:v>243.321013781055</c:v>
                </c:pt>
                <c:pt idx="20">
                  <c:v>248.29668621579</c:v>
                </c:pt>
                <c:pt idx="21">
                  <c:v>253.004083976186</c:v>
                </c:pt>
                <c:pt idx="22">
                  <c:v>258.612472847331</c:v>
                </c:pt>
                <c:pt idx="23">
                  <c:v>265.437249192338</c:v>
                </c:pt>
                <c:pt idx="24">
                  <c:v>273.490328961546</c:v>
                </c:pt>
                <c:pt idx="25">
                  <c:v>280.684133972651</c:v>
                </c:pt>
                <c:pt idx="26">
                  <c:v>289.316224190079</c:v>
                </c:pt>
                <c:pt idx="27">
                  <c:v>298.542361900833</c:v>
                </c:pt>
                <c:pt idx="28">
                  <c:v>305.368456684692</c:v>
                </c:pt>
                <c:pt idx="29">
                  <c:v>311.181077260333</c:v>
                </c:pt>
                <c:pt idx="30">
                  <c:v>316.065316881778</c:v>
                </c:pt>
              </c:numCache>
            </c:numRef>
          </c:val>
          <c:smooth val="0"/>
        </c:ser>
        <c:hiLowLines>
          <c:spPr>
            <a:ln w="0">
              <a:noFill/>
            </a:ln>
          </c:spPr>
        </c:hiLowLines>
        <c:marker val="0"/>
        <c:axId val="91114958"/>
        <c:axId val="43399253"/>
      </c:lineChart>
      <c:catAx>
        <c:axId val="9111495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399253"/>
        <c:crosses val="autoZero"/>
        <c:auto val="1"/>
        <c:lblAlgn val="ctr"/>
        <c:lblOffset val="100"/>
        <c:noMultiLvlLbl val="0"/>
      </c:catAx>
      <c:valAx>
        <c:axId val="4339925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Index, Dec-2023 = 100</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11495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Relative price of regulated goods (Reg/Core, Dec-2023 = 100)</a:t>
            </a:r>
          </a:p>
        </c:rich>
      </c:tx>
      <c:overlay val="0"/>
      <c:spPr>
        <a:noFill/>
        <a:ln w="0">
          <a:noFill/>
        </a:ln>
      </c:spPr>
    </c:title>
    <c:autoTitleDeleted val="0"/>
    <c:plotArea>
      <c:lineChart>
        <c:grouping val="standard"/>
        <c:varyColors val="0"/>
        <c:ser>
          <c:idx val="0"/>
          <c:order val="0"/>
          <c:tx>
            <c:strRef>
              <c:f>'Ch3 Regulated'!E5</c:f>
              <c:strCache>
                <c:ptCount val="1"/>
                <c:pt idx="0">
                  <c:v>Relative price
Reg/Core</c:v>
                </c:pt>
              </c:strCache>
            </c:strRef>
          </c:tx>
          <c:spPr>
            <a:solidFill>
              <a:srgbClr val="8c0014"/>
            </a:solidFill>
            <a:ln w="28080">
              <a:solidFill>
                <a:srgbClr val="8c001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'Ch3 Regulated'!$B$6:$B$36</c:f>
              <c:strCache>
                <c:ptCount val="31"/>
                <c:pt idx="0">
                  <c:v>2023-12</c:v>
                </c:pt>
                <c:pt idx="1">
                  <c:v>2024-01</c:v>
                </c:pt>
                <c:pt idx="2">
                  <c:v>2024-02</c:v>
                </c:pt>
                <c:pt idx="3">
                  <c:v>2024-03</c:v>
                </c:pt>
                <c:pt idx="4">
                  <c:v>2024-04</c:v>
                </c:pt>
                <c:pt idx="5">
                  <c:v>2024-05</c:v>
                </c:pt>
                <c:pt idx="6">
                  <c:v>2024-06</c:v>
                </c:pt>
                <c:pt idx="7">
                  <c:v>2024-07</c:v>
                </c:pt>
                <c:pt idx="8">
                  <c:v>2024-08</c:v>
                </c:pt>
                <c:pt idx="9">
                  <c:v>2024-09</c:v>
                </c:pt>
                <c:pt idx="10">
                  <c:v>2024-10</c:v>
                </c:pt>
                <c:pt idx="11">
                  <c:v>2024-11</c:v>
                </c:pt>
                <c:pt idx="12">
                  <c:v>2024-12</c:v>
                </c:pt>
                <c:pt idx="13">
                  <c:v>2025-01</c:v>
                </c:pt>
                <c:pt idx="14">
                  <c:v>2025-02</c:v>
                </c:pt>
                <c:pt idx="15">
                  <c:v>2025-03</c:v>
                </c:pt>
                <c:pt idx="16">
                  <c:v>2025-04</c:v>
                </c:pt>
                <c:pt idx="17">
                  <c:v>2025-05</c:v>
                </c:pt>
                <c:pt idx="18">
                  <c:v>2025-06</c:v>
                </c:pt>
                <c:pt idx="19">
                  <c:v>2025-07</c:v>
                </c:pt>
                <c:pt idx="20">
                  <c:v>2025-08</c:v>
                </c:pt>
                <c:pt idx="21">
                  <c:v>2025-09</c:v>
                </c:pt>
                <c:pt idx="22">
                  <c:v>2025-10</c:v>
                </c:pt>
                <c:pt idx="23">
                  <c:v>2025-11</c:v>
                </c:pt>
                <c:pt idx="24">
                  <c:v>2025-12</c:v>
                </c:pt>
                <c:pt idx="25">
                  <c:v>2026-01</c:v>
                </c:pt>
                <c:pt idx="26">
                  <c:v>2026-02</c:v>
                </c:pt>
                <c:pt idx="27">
                  <c:v>2026-03</c:v>
                </c:pt>
                <c:pt idx="28">
                  <c:v>2026-04</c:v>
                </c:pt>
                <c:pt idx="29">
                  <c:v>2026-05</c:v>
                </c:pt>
                <c:pt idx="30">
                  <c:v>2026-06</c:v>
                </c:pt>
              </c:strCache>
            </c:strRef>
          </c:cat>
          <c:val>
            <c:numRef>
              <c:f>'Ch3 Regulated'!$E$6:$E$36</c:f>
              <c:numCache>
                <c:formatCode>#,##0.0</c:formatCode>
                <c:ptCount val="31"/>
                <c:pt idx="0">
                  <c:v>100</c:v>
                </c:pt>
                <c:pt idx="1">
                  <c:v>105.286668505975</c:v>
                </c:pt>
                <c:pt idx="2">
                  <c:v>113.552801822598</c:v>
                </c:pt>
                <c:pt idx="3">
                  <c:v>122.597386611668</c:v>
                </c:pt>
                <c:pt idx="4">
                  <c:v>136.547686990182</c:v>
                </c:pt>
                <c:pt idx="5">
                  <c:v>136.919894027136</c:v>
                </c:pt>
                <c:pt idx="6">
                  <c:v>142.739339473086</c:v>
                </c:pt>
                <c:pt idx="7">
                  <c:v>143.49121122151</c:v>
                </c:pt>
                <c:pt idx="8">
                  <c:v>145.929716164374</c:v>
                </c:pt>
                <c:pt idx="9">
                  <c:v>147.723687776131</c:v>
                </c:pt>
                <c:pt idx="10">
                  <c:v>147.405599355408</c:v>
                </c:pt>
                <c:pt idx="11">
                  <c:v>148.59503013039</c:v>
                </c:pt>
                <c:pt idx="12">
                  <c:v>148.849459022073</c:v>
                </c:pt>
                <c:pt idx="13">
                  <c:v>149.162993515117</c:v>
                </c:pt>
                <c:pt idx="14">
                  <c:v>148.294691643171</c:v>
                </c:pt>
                <c:pt idx="15">
                  <c:v>148.316184154112</c:v>
                </c:pt>
                <c:pt idx="16">
                  <c:v>146.240239885245</c:v>
                </c:pt>
                <c:pt idx="17">
                  <c:v>144.974213871624</c:v>
                </c:pt>
                <c:pt idx="18">
                  <c:v>145.703918908731</c:v>
                </c:pt>
                <c:pt idx="19">
                  <c:v>146.890474988495</c:v>
                </c:pt>
                <c:pt idx="20">
                  <c:v>147.788087953593</c:v>
                </c:pt>
                <c:pt idx="21">
                  <c:v>148.859168417095</c:v>
                </c:pt>
                <c:pt idx="22">
                  <c:v>149.366281290471</c:v>
                </c:pt>
                <c:pt idx="23">
                  <c:v>149.729730736476</c:v>
                </c:pt>
                <c:pt idx="24">
                  <c:v>150.102955898513</c:v>
                </c:pt>
                <c:pt idx="25">
                  <c:v>149.810251556545</c:v>
                </c:pt>
                <c:pt idx="26">
                  <c:v>151.518751050384</c:v>
                </c:pt>
                <c:pt idx="27">
                  <c:v>154.299070811155</c:v>
                </c:pt>
                <c:pt idx="28">
                  <c:v>157.917155316064</c:v>
                </c:pt>
                <c:pt idx="29">
                  <c:v>158.680552394382</c:v>
                </c:pt>
                <c:pt idx="30">
                  <c:v>159.814162625797</c:v>
                </c:pt>
              </c:numCache>
            </c:numRef>
          </c:val>
          <c:smooth val="0"/>
        </c:ser>
        <c:hiLowLines>
          <c:spPr>
            <a:ln w="0">
              <a:noFill/>
            </a:ln>
          </c:spPr>
        </c:hiLowLines>
        <c:marker val="0"/>
        <c:axId val="178759"/>
        <c:axId val="25564389"/>
      </c:lineChart>
      <c:catAx>
        <c:axId val="17875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564389"/>
        <c:crosses val="autoZero"/>
        <c:auto val="1"/>
        <c:lblAlgn val="ctr"/>
        <c:lblOffset val="100"/>
        <c:noMultiLvlLbl val="0"/>
      </c:catAx>
      <c:valAx>
        <c:axId val="2556438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Index</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875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wedge: regulated m/m less core m/m</a:t>
            </a:r>
          </a:p>
        </c:rich>
      </c:tx>
      <c:overlay val="0"/>
      <c:spPr>
        <a:noFill/>
        <a:ln w="0">
          <a:noFill/>
        </a:ln>
      </c:spPr>
    </c:title>
    <c:autoTitleDeleted val="0"/>
    <c:plotArea>
      <c:barChart>
        <c:barDir val="col"/>
        <c:grouping val="clustered"/>
        <c:varyColors val="0"/>
        <c:ser>
          <c:idx val="0"/>
          <c:order val="0"/>
          <c:tx>
            <c:strRef>
              <c:f>'Ch3 Regulated'!F5</c:f>
              <c:strCache>
                <c:ptCount val="1"/>
                <c:pt idx="0">
                  <c:v>Monthly wedge
(Reg − Core)</c:v>
                </c:pt>
              </c:strCache>
            </c:strRef>
          </c:tx>
          <c:spPr>
            <a:solidFill>
              <a:srgbClr val="8fa3b5"/>
            </a:solidFill>
            <a:ln w="0">
              <a:solidFill>
                <a:srgbClr val="8fa3b5"/>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'Ch3 Regulated'!$B$6:$B$36</c:f>
              <c:strCache>
                <c:ptCount val="31"/>
                <c:pt idx="0">
                  <c:v>2023-12</c:v>
                </c:pt>
                <c:pt idx="1">
                  <c:v>2024-01</c:v>
                </c:pt>
                <c:pt idx="2">
                  <c:v>2024-02</c:v>
                </c:pt>
                <c:pt idx="3">
                  <c:v>2024-03</c:v>
                </c:pt>
                <c:pt idx="4">
                  <c:v>2024-04</c:v>
                </c:pt>
                <c:pt idx="5">
                  <c:v>2024-05</c:v>
                </c:pt>
                <c:pt idx="6">
                  <c:v>2024-06</c:v>
                </c:pt>
                <c:pt idx="7">
                  <c:v>2024-07</c:v>
                </c:pt>
                <c:pt idx="8">
                  <c:v>2024-08</c:v>
                </c:pt>
                <c:pt idx="9">
                  <c:v>2024-09</c:v>
                </c:pt>
                <c:pt idx="10">
                  <c:v>2024-10</c:v>
                </c:pt>
                <c:pt idx="11">
                  <c:v>2024-11</c:v>
                </c:pt>
                <c:pt idx="12">
                  <c:v>2024-12</c:v>
                </c:pt>
                <c:pt idx="13">
                  <c:v>2025-01</c:v>
                </c:pt>
                <c:pt idx="14">
                  <c:v>2025-02</c:v>
                </c:pt>
                <c:pt idx="15">
                  <c:v>2025-03</c:v>
                </c:pt>
                <c:pt idx="16">
                  <c:v>2025-04</c:v>
                </c:pt>
                <c:pt idx="17">
                  <c:v>2025-05</c:v>
                </c:pt>
                <c:pt idx="18">
                  <c:v>2025-06</c:v>
                </c:pt>
                <c:pt idx="19">
                  <c:v>2025-07</c:v>
                </c:pt>
                <c:pt idx="20">
                  <c:v>2025-08</c:v>
                </c:pt>
                <c:pt idx="21">
                  <c:v>2025-09</c:v>
                </c:pt>
                <c:pt idx="22">
                  <c:v>2025-10</c:v>
                </c:pt>
                <c:pt idx="23">
                  <c:v>2025-11</c:v>
                </c:pt>
                <c:pt idx="24">
                  <c:v>2025-12</c:v>
                </c:pt>
                <c:pt idx="25">
                  <c:v>2026-01</c:v>
                </c:pt>
                <c:pt idx="26">
                  <c:v>2026-02</c:v>
                </c:pt>
                <c:pt idx="27">
                  <c:v>2026-03</c:v>
                </c:pt>
                <c:pt idx="28">
                  <c:v>2026-04</c:v>
                </c:pt>
                <c:pt idx="29">
                  <c:v>2026-05</c:v>
                </c:pt>
                <c:pt idx="30">
                  <c:v>2026-06</c:v>
                </c:pt>
              </c:strCache>
            </c:strRef>
          </c:cat>
          <c:val>
            <c:numRef>
              <c:f>'Ch3 Regulated'!$F$6:$F$36</c:f>
              <c:numCache>
                <c:formatCode>0.00%</c:formatCode>
                <c:ptCount val="31"/>
                <c:pt idx="0">
                  <c:v>-0.0757882685539071</c:v>
                </c:pt>
                <c:pt idx="1">
                  <c:v>0.0635544724773016</c:v>
                </c:pt>
                <c:pt idx="2">
                  <c:v>0.0881598104959265</c:v>
                </c:pt>
                <c:pt idx="3">
                  <c:v>0.0871476994821292</c:v>
                </c:pt>
                <c:pt idx="4">
                  <c:v>0.120956505388271</c:v>
                </c:pt>
                <c:pt idx="5">
                  <c:v>0.00282764074827946</c:v>
                </c:pt>
                <c:pt idx="6">
                  <c:v>0.044054379562261</c:v>
                </c:pt>
                <c:pt idx="7">
                  <c:v>0.00546684969577038</c:v>
                </c:pt>
                <c:pt idx="8">
                  <c:v>0.017694312345752</c:v>
                </c:pt>
                <c:pt idx="9">
                  <c:v>0.0126944306173531</c:v>
                </c:pt>
                <c:pt idx="10">
                  <c:v>-0.00221609454146132</c:v>
                </c:pt>
                <c:pt idx="11">
                  <c:v>0.00828816442319802</c:v>
                </c:pt>
                <c:pt idx="12">
                  <c:v>0.00176697497455591</c:v>
                </c:pt>
                <c:pt idx="13">
                  <c:v>0.00215689112043505</c:v>
                </c:pt>
                <c:pt idx="14">
                  <c:v>-0.00599115993179789</c:v>
                </c:pt>
                <c:pt idx="15">
                  <c:v>0.000149558433194086</c:v>
                </c:pt>
                <c:pt idx="16">
                  <c:v>-0.0144467037967075</c:v>
                </c:pt>
                <c:pt idx="17">
                  <c:v>-0.00884738674900354</c:v>
                </c:pt>
                <c:pt idx="18">
                  <c:v>0.00511960180819271</c:v>
                </c:pt>
                <c:pt idx="19">
                  <c:v>0.00826406738470498</c:v>
                </c:pt>
                <c:pt idx="20">
                  <c:v>0.00623572261217698</c:v>
                </c:pt>
                <c:pt idx="21">
                  <c:v>0.00738480914208028</c:v>
                </c:pt>
                <c:pt idx="22">
                  <c:v>0.00348217812071749</c:v>
                </c:pt>
                <c:pt idx="23">
                  <c:v>0.00249749049174275</c:v>
                </c:pt>
                <c:pt idx="24">
                  <c:v>0.00256828359272165</c:v>
                </c:pt>
                <c:pt idx="25">
                  <c:v>-0.00200131666052505</c:v>
                </c:pt>
                <c:pt idx="26">
                  <c:v>0.0117551519010921</c:v>
                </c:pt>
                <c:pt idx="27">
                  <c:v>0.018934835671329</c:v>
                </c:pt>
                <c:pt idx="28">
                  <c:v>0.0239846621415918</c:v>
                </c:pt>
                <c:pt idx="29">
                  <c:v>0.0049261789839028</c:v>
                </c:pt>
                <c:pt idx="30">
                  <c:v>0.0072561076129225</c:v>
                </c:pt>
              </c:numCache>
            </c:numRef>
          </c:val>
        </c:ser>
        <c:gapWidth val="60"/>
        <c:overlap val="0"/>
        <c:axId val="79766268"/>
        <c:axId val="39008303"/>
      </c:barChart>
      <c:lineChart>
        <c:grouping val="standard"/>
        <c:varyColors val="0"/>
        <c:ser>
          <c:idx val="1"/>
          <c:order val="1"/>
          <c:tx>
            <c:strRef>
              <c:f>'Ch3 Regulated'!G5</c:f>
              <c:strCache>
                <c:ptCount val="1"/>
                <c:pt idx="0">
                  <c:v>Wedge, 3m avg</c:v>
                </c:pt>
              </c:strCache>
            </c:strRef>
          </c:tx>
          <c:spPr>
            <a:solidFill>
              <a:srgbClr val="ec0016"/>
            </a:solidFill>
            <a:ln w="25920">
              <a:solidFill>
                <a:srgbClr val="ec001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'Ch3 Regulated'!$B$6:$B$36</c:f>
              <c:strCache>
                <c:ptCount val="31"/>
                <c:pt idx="0">
                  <c:v>2023-12</c:v>
                </c:pt>
                <c:pt idx="1">
                  <c:v>2024-01</c:v>
                </c:pt>
                <c:pt idx="2">
                  <c:v>2024-02</c:v>
                </c:pt>
                <c:pt idx="3">
                  <c:v>2024-03</c:v>
                </c:pt>
                <c:pt idx="4">
                  <c:v>2024-04</c:v>
                </c:pt>
                <c:pt idx="5">
                  <c:v>2024-05</c:v>
                </c:pt>
                <c:pt idx="6">
                  <c:v>2024-06</c:v>
                </c:pt>
                <c:pt idx="7">
                  <c:v>2024-07</c:v>
                </c:pt>
                <c:pt idx="8">
                  <c:v>2024-08</c:v>
                </c:pt>
                <c:pt idx="9">
                  <c:v>2024-09</c:v>
                </c:pt>
                <c:pt idx="10">
                  <c:v>2024-10</c:v>
                </c:pt>
                <c:pt idx="11">
                  <c:v>2024-11</c:v>
                </c:pt>
                <c:pt idx="12">
                  <c:v>2024-12</c:v>
                </c:pt>
                <c:pt idx="13">
                  <c:v>2025-01</c:v>
                </c:pt>
                <c:pt idx="14">
                  <c:v>2025-02</c:v>
                </c:pt>
                <c:pt idx="15">
                  <c:v>2025-03</c:v>
                </c:pt>
                <c:pt idx="16">
                  <c:v>2025-04</c:v>
                </c:pt>
                <c:pt idx="17">
                  <c:v>2025-05</c:v>
                </c:pt>
                <c:pt idx="18">
                  <c:v>2025-06</c:v>
                </c:pt>
                <c:pt idx="19">
                  <c:v>2025-07</c:v>
                </c:pt>
                <c:pt idx="20">
                  <c:v>2025-08</c:v>
                </c:pt>
                <c:pt idx="21">
                  <c:v>2025-09</c:v>
                </c:pt>
                <c:pt idx="22">
                  <c:v>2025-10</c:v>
                </c:pt>
                <c:pt idx="23">
                  <c:v>2025-11</c:v>
                </c:pt>
                <c:pt idx="24">
                  <c:v>2025-12</c:v>
                </c:pt>
                <c:pt idx="25">
                  <c:v>2026-01</c:v>
                </c:pt>
                <c:pt idx="26">
                  <c:v>2026-02</c:v>
                </c:pt>
                <c:pt idx="27">
                  <c:v>2026-03</c:v>
                </c:pt>
                <c:pt idx="28">
                  <c:v>2026-04</c:v>
                </c:pt>
                <c:pt idx="29">
                  <c:v>2026-05</c:v>
                </c:pt>
                <c:pt idx="30">
                  <c:v>2026-06</c:v>
                </c:pt>
              </c:strCache>
            </c:strRef>
          </c:cat>
          <c:val>
            <c:numRef>
              <c:f>'Ch3 Regulated'!$G$6:$G$36</c:f>
              <c:numCache>
                <c:formatCode>0.00%</c:formatCode>
                <c:ptCount val="31"/>
                <c:pt idx="0">
                  <c:v>-0.0437202163510129</c:v>
                </c:pt>
                <c:pt idx="1">
                  <c:v>-0.0152358640647707</c:v>
                </c:pt>
                <c:pt idx="2">
                  <c:v>0.025308671473107</c:v>
                </c:pt>
                <c:pt idx="3">
                  <c:v>0.0796206608184524</c:v>
                </c:pt>
                <c:pt idx="4">
                  <c:v>0.0987546717887756</c:v>
                </c:pt>
                <c:pt idx="5">
                  <c:v>0.0703106152062266</c:v>
                </c:pt>
                <c:pt idx="6">
                  <c:v>0.0559461752329372</c:v>
                </c:pt>
                <c:pt idx="7">
                  <c:v>0.0174496233354369</c:v>
                </c:pt>
                <c:pt idx="8">
                  <c:v>0.0224051805345945</c:v>
                </c:pt>
                <c:pt idx="9">
                  <c:v>0.0119518642196252</c:v>
                </c:pt>
                <c:pt idx="10">
                  <c:v>0.0093908828072146</c:v>
                </c:pt>
                <c:pt idx="11">
                  <c:v>0.00625550016636326</c:v>
                </c:pt>
                <c:pt idx="12">
                  <c:v>0.00261301495209754</c:v>
                </c:pt>
                <c:pt idx="13">
                  <c:v>0.00407067683939633</c:v>
                </c:pt>
                <c:pt idx="14">
                  <c:v>-0.000689097945602309</c:v>
                </c:pt>
                <c:pt idx="15">
                  <c:v>-0.00122823679272292</c:v>
                </c:pt>
                <c:pt idx="16">
                  <c:v>-0.00676276843177045</c:v>
                </c:pt>
                <c:pt idx="17">
                  <c:v>-0.00771484403750566</c:v>
                </c:pt>
                <c:pt idx="18">
                  <c:v>-0.00605816291250612</c:v>
                </c:pt>
                <c:pt idx="19">
                  <c:v>0.00151209414796472</c:v>
                </c:pt>
                <c:pt idx="20">
                  <c:v>0.00653979726835822</c:v>
                </c:pt>
                <c:pt idx="21">
                  <c:v>0.00729486637965408</c:v>
                </c:pt>
                <c:pt idx="22">
                  <c:v>0.00570090329165825</c:v>
                </c:pt>
                <c:pt idx="23">
                  <c:v>0.00445482591818018</c:v>
                </c:pt>
                <c:pt idx="24">
                  <c:v>0.0028493174017273</c:v>
                </c:pt>
                <c:pt idx="25">
                  <c:v>0.00102148580797978</c:v>
                </c:pt>
                <c:pt idx="26">
                  <c:v>0.00410737294442957</c:v>
                </c:pt>
                <c:pt idx="27">
                  <c:v>0.00956289030396536</c:v>
                </c:pt>
                <c:pt idx="28">
                  <c:v>0.0182248832380043</c:v>
                </c:pt>
                <c:pt idx="29">
                  <c:v>0.0159485589322745</c:v>
                </c:pt>
                <c:pt idx="30">
                  <c:v>0.0120556495794724</c:v>
                </c:pt>
              </c:numCache>
            </c:numRef>
          </c:val>
          <c:smooth val="0"/>
        </c:ser>
        <c:hiLowLines>
          <c:spPr>
            <a:ln w="0">
              <a:noFill/>
            </a:ln>
          </c:spPr>
        </c:hiLowLines>
        <c:marker val="0"/>
        <c:axId val="79766268"/>
        <c:axId val="39008303"/>
      </c:lineChart>
      <c:catAx>
        <c:axId val="7976626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008303"/>
        <c:crosses val="autoZero"/>
        <c:auto val="1"/>
        <c:lblAlgn val="ctr"/>
        <c:lblOffset val="100"/>
        <c:noMultiLvlLbl val="0"/>
      </c:catAx>
      <c:valAx>
        <c:axId val="3900830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pp per month</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76626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Headline y/y split: regulated vs non-regulated (pp)</a:t>
            </a:r>
          </a:p>
        </c:rich>
      </c:tx>
      <c:overlay val="0"/>
      <c:spPr>
        <a:noFill/>
        <a:ln w="0">
          <a:noFill/>
        </a:ln>
      </c:spPr>
    </c:title>
    <c:autoTitleDeleted val="0"/>
    <c:plotArea>
      <c:barChart>
        <c:barDir val="col"/>
        <c:grouping val="stacked"/>
        <c:varyColors val="0"/>
        <c:ser>
          <c:idx val="0"/>
          <c:order val="0"/>
          <c:tx>
            <c:strRef>
              <c:f>'Ch3 Regulated'!K41</c:f>
              <c:strCache>
                <c:ptCount val="1"/>
                <c:pt idx="0">
                  <c:v>of which:
Regulated (pp)</c:v>
                </c:pt>
              </c:strCache>
            </c:strRef>
          </c:tx>
          <c:spPr>
            <a:solidFill>
              <a:srgbClr val="ec0016"/>
            </a:solidFill>
            <a:ln w="0">
              <a:solidFill>
                <a:srgbClr val="ec001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'Ch3 Regulated'!$I$42:$I$93</c:f>
              <c:strCache>
                <c:ptCount val="52"/>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pt idx="36">
                  <c:v>2025-01</c:v>
                </c:pt>
                <c:pt idx="37">
                  <c:v>2025-02</c:v>
                </c:pt>
                <c:pt idx="38">
                  <c:v>2025-03</c:v>
                </c:pt>
                <c:pt idx="39">
                  <c:v>2025-04</c:v>
                </c:pt>
                <c:pt idx="40">
                  <c:v>2025-05</c:v>
                </c:pt>
                <c:pt idx="41">
                  <c:v>2025-06</c:v>
                </c:pt>
                <c:pt idx="42">
                  <c:v>2025-07</c:v>
                </c:pt>
                <c:pt idx="43">
                  <c:v>2025-08</c:v>
                </c:pt>
                <c:pt idx="44">
                  <c:v>2025-09</c:v>
                </c:pt>
                <c:pt idx="45">
                  <c:v>2025-10</c:v>
                </c:pt>
                <c:pt idx="46">
                  <c:v>2025-11</c:v>
                </c:pt>
                <c:pt idx="47">
                  <c:v>2025-12</c:v>
                </c:pt>
                <c:pt idx="48">
                  <c:v>2026-01</c:v>
                </c:pt>
                <c:pt idx="49">
                  <c:v>2026-02</c:v>
                </c:pt>
                <c:pt idx="50">
                  <c:v>2026-03</c:v>
                </c:pt>
                <c:pt idx="51">
                  <c:v>2026-04</c:v>
                </c:pt>
              </c:strCache>
            </c:strRef>
          </c:cat>
          <c:val>
            <c:numRef>
              <c:f>'Ch3 Regulated'!$K$42:$K$93</c:f>
              <c:numCache>
                <c:formatCode>0.0%</c:formatCode>
                <c:ptCount val="52"/>
                <c:pt idx="0">
                  <c:v>0.0688983388326135</c:v>
                </c:pt>
                <c:pt idx="1">
                  <c:v>0.0704071000482134</c:v>
                </c:pt>
                <c:pt idx="2">
                  <c:v>0.08017734883245</c:v>
                </c:pt>
                <c:pt idx="3">
                  <c:v>0.0807735373425301</c:v>
                </c:pt>
                <c:pt idx="4">
                  <c:v>0.0862056129777588</c:v>
                </c:pt>
                <c:pt idx="5">
                  <c:v>0.0918228146323579</c:v>
                </c:pt>
                <c:pt idx="6">
                  <c:v>0.100116328747696</c:v>
                </c:pt>
                <c:pt idx="7">
                  <c:v>0.113560052461411</c:v>
                </c:pt>
                <c:pt idx="8">
                  <c:v>0.117580717179366</c:v>
                </c:pt>
                <c:pt idx="9">
                  <c:v>0.132038993510458</c:v>
                </c:pt>
                <c:pt idx="10">
                  <c:v>0.146250780268574</c:v>
                </c:pt>
                <c:pt idx="11">
                  <c:v>0.154046932967641</c:v>
                </c:pt>
                <c:pt idx="12">
                  <c:v>0.166348802621416</c:v>
                </c:pt>
                <c:pt idx="13">
                  <c:v>0.170524306275902</c:v>
                </c:pt>
                <c:pt idx="14">
                  <c:v>0.172781126666022</c:v>
                </c:pt>
                <c:pt idx="15">
                  <c:v>0.172547898130652</c:v>
                </c:pt>
                <c:pt idx="16">
                  <c:v>0.184662159695252</c:v>
                </c:pt>
                <c:pt idx="17">
                  <c:v>0.191180325996138</c:v>
                </c:pt>
                <c:pt idx="18">
                  <c:v>0.192911157476687</c:v>
                </c:pt>
                <c:pt idx="19">
                  <c:v>0.198443610276496</c:v>
                </c:pt>
                <c:pt idx="20">
                  <c:v>0.208508057948165</c:v>
                </c:pt>
                <c:pt idx="21">
                  <c:v>0.2077985605727</c:v>
                </c:pt>
                <c:pt idx="22">
                  <c:v>0.224150644014377</c:v>
                </c:pt>
                <c:pt idx="23">
                  <c:v>0.282705208677603</c:v>
                </c:pt>
                <c:pt idx="24">
                  <c:v>0.368958968496125</c:v>
                </c:pt>
                <c:pt idx="25">
                  <c:v>0.444980175075939</c:v>
                </c:pt>
                <c:pt idx="26">
                  <c:v>0.503772797398361</c:v>
                </c:pt>
                <c:pt idx="27">
                  <c:v>0.571585554041782</c:v>
                </c:pt>
                <c:pt idx="28">
                  <c:v>0.543938137148575</c:v>
                </c:pt>
                <c:pt idx="29">
                  <c:v>0.556132180897824</c:v>
                </c:pt>
                <c:pt idx="30">
                  <c:v>0.541790153926898</c:v>
                </c:pt>
                <c:pt idx="31">
                  <c:v>0.506599415927059</c:v>
                </c:pt>
                <c:pt idx="32">
                  <c:v>0.464157958929192</c:v>
                </c:pt>
                <c:pt idx="33">
                  <c:v>0.434413231578037</c:v>
                </c:pt>
                <c:pt idx="34">
                  <c:v>0.389756297228883</c:v>
                </c:pt>
                <c:pt idx="35">
                  <c:v>0.300217419649432</c:v>
                </c:pt>
                <c:pt idx="36">
                  <c:v>0.226446110527401</c:v>
                </c:pt>
                <c:pt idx="37">
                  <c:v>0.179226042462266</c:v>
                </c:pt>
                <c:pt idx="38">
                  <c:v>0.144635506590524</c:v>
                </c:pt>
                <c:pt idx="39">
                  <c:v>0.10864955561448</c:v>
                </c:pt>
                <c:pt idx="40">
                  <c:v>0.100744078858603</c:v>
                </c:pt>
                <c:pt idx="41">
                  <c:v>0.0879317615861827</c:v>
                </c:pt>
                <c:pt idx="42">
                  <c:v>0.0826656134543208</c:v>
                </c:pt>
                <c:pt idx="43">
                  <c:v>0.0754109384558264</c:v>
                </c:pt>
                <c:pt idx="44">
                  <c:v>0.0711488727316641</c:v>
                </c:pt>
                <c:pt idx="45">
                  <c:v>0.07080370289829</c:v>
                </c:pt>
                <c:pt idx="46">
                  <c:v>0.069836077442957</c:v>
                </c:pt>
                <c:pt idx="47">
                  <c:v>0.0700699906871029</c:v>
                </c:pt>
                <c:pt idx="48">
                  <c:v>0.0698532453140977</c:v>
                </c:pt>
                <c:pt idx="49">
                  <c:v>0.0749896795020688</c:v>
                </c:pt>
                <c:pt idx="50">
                  <c:v>0.0796813504976671</c:v>
                </c:pt>
                <c:pt idx="51">
                  <c:v>0.0869554759876756</c:v>
                </c:pt>
              </c:numCache>
            </c:numRef>
          </c:val>
        </c:ser>
        <c:ser>
          <c:idx val="1"/>
          <c:order val="1"/>
          <c:tx>
            <c:strRef>
              <c:f>'Ch3 Regulated'!L41</c:f>
              <c:strCache>
                <c:ptCount val="1"/>
                <c:pt idx="0">
                  <c:v>of which:
Non-regulated (pp)</c:v>
                </c:pt>
              </c:strCache>
            </c:strRef>
          </c:tx>
          <c:spPr>
            <a:solidFill>
              <a:srgbClr val="d9d9d9"/>
            </a:solidFill>
            <a:ln w="0">
              <a:solidFill>
                <a:srgbClr val="d9d9d9"/>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'Ch3 Regulated'!$I$42:$I$93</c:f>
              <c:strCache>
                <c:ptCount val="52"/>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pt idx="36">
                  <c:v>2025-01</c:v>
                </c:pt>
                <c:pt idx="37">
                  <c:v>2025-02</c:v>
                </c:pt>
                <c:pt idx="38">
                  <c:v>2025-03</c:v>
                </c:pt>
                <c:pt idx="39">
                  <c:v>2025-04</c:v>
                </c:pt>
                <c:pt idx="40">
                  <c:v>2025-05</c:v>
                </c:pt>
                <c:pt idx="41">
                  <c:v>2025-06</c:v>
                </c:pt>
                <c:pt idx="42">
                  <c:v>2025-07</c:v>
                </c:pt>
                <c:pt idx="43">
                  <c:v>2025-08</c:v>
                </c:pt>
                <c:pt idx="44">
                  <c:v>2025-09</c:v>
                </c:pt>
                <c:pt idx="45">
                  <c:v>2025-10</c:v>
                </c:pt>
                <c:pt idx="46">
                  <c:v>2025-11</c:v>
                </c:pt>
                <c:pt idx="47">
                  <c:v>2025-12</c:v>
                </c:pt>
                <c:pt idx="48">
                  <c:v>2026-01</c:v>
                </c:pt>
                <c:pt idx="49">
                  <c:v>2026-02</c:v>
                </c:pt>
                <c:pt idx="50">
                  <c:v>2026-03</c:v>
                </c:pt>
                <c:pt idx="51">
                  <c:v>2026-04</c:v>
                </c:pt>
              </c:strCache>
            </c:strRef>
          </c:cat>
          <c:val>
            <c:numRef>
              <c:f>'Ch3 Regulated'!$L$42:$L$93</c:f>
              <c:numCache>
                <c:formatCode>0.0%</c:formatCode>
                <c:ptCount val="52"/>
                <c:pt idx="0">
                  <c:v>0.438115254899353</c:v>
                </c:pt>
                <c:pt idx="1">
                  <c:v>0.453032217973137</c:v>
                </c:pt>
                <c:pt idx="2">
                  <c:v>0.470898733081314</c:v>
                </c:pt>
                <c:pt idx="3">
                  <c:v>0.499739703348372</c:v>
                </c:pt>
                <c:pt idx="4">
                  <c:v>0.520922120223799</c:v>
                </c:pt>
                <c:pt idx="5">
                  <c:v>0.548490392808261</c:v>
                </c:pt>
                <c:pt idx="6">
                  <c:v>0.610440225959433</c:v>
                </c:pt>
                <c:pt idx="7">
                  <c:v>0.672118042534574</c:v>
                </c:pt>
                <c:pt idx="8">
                  <c:v>0.713432053925776</c:v>
                </c:pt>
                <c:pt idx="9">
                  <c:v>0.749016407451961</c:v>
                </c:pt>
                <c:pt idx="10">
                  <c:v>0.778723490839488</c:v>
                </c:pt>
                <c:pt idx="11">
                  <c:v>0.794987807285167</c:v>
                </c:pt>
                <c:pt idx="12">
                  <c:v>0.822775467065941</c:v>
                </c:pt>
                <c:pt idx="13">
                  <c:v>0.855070718629136</c:v>
                </c:pt>
                <c:pt idx="14">
                  <c:v>0.871105108098198</c:v>
                </c:pt>
                <c:pt idx="15">
                  <c:v>0.916770326573399</c:v>
                </c:pt>
                <c:pt idx="16">
                  <c:v>0.958634295554918</c:v>
                </c:pt>
                <c:pt idx="17">
                  <c:v>0.964979114338489</c:v>
                </c:pt>
                <c:pt idx="18">
                  <c:v>0.941818824734286</c:v>
                </c:pt>
                <c:pt idx="19">
                  <c:v>1.04503330545039</c:v>
                </c:pt>
                <c:pt idx="20">
                  <c:v>1.17423777037677</c:v>
                </c:pt>
                <c:pt idx="21">
                  <c:v>1.21866786671935</c:v>
                </c:pt>
                <c:pt idx="22">
                  <c:v>1.38477746545485</c:v>
                </c:pt>
                <c:pt idx="23">
                  <c:v>1.83072324604211</c:v>
                </c:pt>
                <c:pt idx="24">
                  <c:v>2.17351939941296</c:v>
                </c:pt>
                <c:pt idx="25">
                  <c:v>2.31587975620833</c:v>
                </c:pt>
                <c:pt idx="26">
                  <c:v>2.37457222196761</c:v>
                </c:pt>
                <c:pt idx="27">
                  <c:v>2.32222522214356</c:v>
                </c:pt>
                <c:pt idx="28">
                  <c:v>2.2207551935403</c:v>
                </c:pt>
                <c:pt idx="29">
                  <c:v>2.16008718579081</c:v>
                </c:pt>
                <c:pt idx="30">
                  <c:v>2.09428400752606</c:v>
                </c:pt>
                <c:pt idx="31">
                  <c:v>1.86145112976045</c:v>
                </c:pt>
                <c:pt idx="32">
                  <c:v>1.62676633291772</c:v>
                </c:pt>
                <c:pt idx="33">
                  <c:v>1.49625961609848</c:v>
                </c:pt>
                <c:pt idx="34">
                  <c:v>1.27098859309114</c:v>
                </c:pt>
                <c:pt idx="35">
                  <c:v>0.877966987060285</c:v>
                </c:pt>
                <c:pt idx="36">
                  <c:v>0.619367273820539</c:v>
                </c:pt>
                <c:pt idx="37">
                  <c:v>0.490166366551196</c:v>
                </c:pt>
                <c:pt idx="38">
                  <c:v>0.415195676600904</c:v>
                </c:pt>
                <c:pt idx="39">
                  <c:v>0.364324626521049</c:v>
                </c:pt>
                <c:pt idx="40">
                  <c:v>0.333985501987092</c:v>
                </c:pt>
                <c:pt idx="41">
                  <c:v>0.306141061642978</c:v>
                </c:pt>
                <c:pt idx="42">
                  <c:v>0.282773634722263</c:v>
                </c:pt>
                <c:pt idx="43">
                  <c:v>0.260189409334912</c:v>
                </c:pt>
                <c:pt idx="44">
                  <c:v>0.246432299039779</c:v>
                </c:pt>
                <c:pt idx="45">
                  <c:v>0.242403645367919</c:v>
                </c:pt>
                <c:pt idx="46">
                  <c:v>0.243957655551074</c:v>
                </c:pt>
                <c:pt idx="47">
                  <c:v>0.245499556807204</c:v>
                </c:pt>
                <c:pt idx="48">
                  <c:v>0.254369092255774</c:v>
                </c:pt>
                <c:pt idx="49">
                  <c:v>0.255541844919579</c:v>
                </c:pt>
                <c:pt idx="50">
                  <c:v>0.246263172392237</c:v>
                </c:pt>
                <c:pt idx="51">
                  <c:v>0.236474228584353</c:v>
                </c:pt>
              </c:numCache>
            </c:numRef>
          </c:val>
        </c:ser>
        <c:gapWidth val="60"/>
        <c:overlap val="100"/>
        <c:axId val="28105458"/>
        <c:axId val="43932387"/>
      </c:barChart>
      <c:catAx>
        <c:axId val="2810545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932387"/>
        <c:crosses val="autoZero"/>
        <c:auto val="1"/>
        <c:lblAlgn val="ctr"/>
        <c:lblOffset val="100"/>
        <c:noMultiLvlLbl val="0"/>
      </c:catAx>
      <c:valAx>
        <c:axId val="4393238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pp of headline y/y</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10545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Contributions to real GDP growth, y/y (pp)</a:t>
            </a:r>
          </a:p>
        </c:rich>
      </c:tx>
      <c:overlay val="0"/>
      <c:spPr>
        <a:noFill/>
        <a:ln w="0">
          <a:noFill/>
        </a:ln>
      </c:spPr>
    </c:title>
    <c:autoTitleDeleted val="0"/>
    <c:plotArea>
      <c:barChart>
        <c:barDir val="col"/>
        <c:grouping val="stacked"/>
        <c:varyColors val="0"/>
        <c:ser>
          <c:idx val="0"/>
          <c:order val="0"/>
          <c:tx>
            <c:strRef>
              <c:f>'Ch1 GDP contributions'!J6</c:f>
              <c:strCache>
                <c:ptCount val="1"/>
                <c:pt idx="0">
                  <c:v>Consumption
pp</c:v>
                </c:pt>
              </c:strCache>
            </c:strRef>
          </c:tx>
          <c:spPr>
            <a:solidFill>
              <a:srgbClr val="ec0016"/>
            </a:solidFill>
            <a:ln w="0">
              <a:solidFill>
                <a:srgbClr val="ec001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'Ch1 GDP contributions'!$B$12:$B$31</c:f>
              <c:strCache>
                <c:ptCount val="20"/>
                <c:pt idx="0">
                  <c:v>2023-Q1</c:v>
                </c:pt>
                <c:pt idx="1">
                  <c:v>2023-Q2</c:v>
                </c:pt>
                <c:pt idx="2">
                  <c:v>2023-Q3</c:v>
                </c:pt>
                <c:pt idx="3">
                  <c:v>2023-Q4</c:v>
                </c:pt>
                <c:pt idx="4">
                  <c:v>2024-Q1</c:v>
                </c:pt>
                <c:pt idx="5">
                  <c:v>2024-Q2</c:v>
                </c:pt>
                <c:pt idx="6">
                  <c:v>2024-Q3</c:v>
                </c:pt>
                <c:pt idx="7">
                  <c:v>2024-Q4</c:v>
                </c:pt>
                <c:pt idx="8">
                  <c:v>2025-Q1</c:v>
                </c:pt>
                <c:pt idx="9">
                  <c:v>2025-Q2</c:v>
                </c:pt>
                <c:pt idx="10">
                  <c:v>2025-Q3</c:v>
                </c:pt>
                <c:pt idx="11">
                  <c:v>2025-Q4</c:v>
                </c:pt>
                <c:pt idx="12">
                  <c:v>2026-Q1</c:v>
                </c:pt>
                <c:pt idx="13">
                  <c:v>2026-Q2</c:v>
                </c:pt>
                <c:pt idx="14">
                  <c:v>2026-Q3</c:v>
                </c:pt>
                <c:pt idx="15">
                  <c:v>2026-Q4</c:v>
                </c:pt>
                <c:pt idx="16">
                  <c:v>2027-Q1</c:v>
                </c:pt>
                <c:pt idx="17">
                  <c:v>2027-Q2</c:v>
                </c:pt>
                <c:pt idx="18">
                  <c:v>2027-Q3</c:v>
                </c:pt>
                <c:pt idx="19">
                  <c:v>2027-Q4</c:v>
                </c:pt>
              </c:strCache>
            </c:strRef>
          </c:cat>
          <c:val>
            <c:numRef>
              <c:f>'Ch1 GDP contributions'!$J$7:$J$31</c:f>
              <c:numCache>
                <c:formatCode>\+0.00;\-0.00;\-</c:formatCode>
                <c:ptCount val="25"/>
                <c:pt idx="5">
                  <c:v>0.0277975106629046</c:v>
                </c:pt>
                <c:pt idx="6">
                  <c:v>0.0148932860897339</c:v>
                </c:pt>
                <c:pt idx="7">
                  <c:v>-0.00140011652561374</c:v>
                </c:pt>
                <c:pt idx="8">
                  <c:v>-0.013301207556409</c:v>
                </c:pt>
                <c:pt idx="9">
                  <c:v>-0.0393290095060778</c:v>
                </c:pt>
                <c:pt idx="10">
                  <c:v>-0.067323065020745</c:v>
                </c:pt>
                <c:pt idx="11">
                  <c:v>-0.00858489644135246</c:v>
                </c:pt>
                <c:pt idx="12">
                  <c:v>0.0334137223662558</c:v>
                </c:pt>
                <c:pt idx="13">
                  <c:v>0.0872527640365972</c:v>
                </c:pt>
                <c:pt idx="14">
                  <c:v>0.0859968443725667</c:v>
                </c:pt>
                <c:pt idx="15">
                  <c:v>0.0453807930677264</c:v>
                </c:pt>
                <c:pt idx="16">
                  <c:v>0.0296732790449484</c:v>
                </c:pt>
                <c:pt idx="17">
                  <c:v>0.0219491527171433</c:v>
                </c:pt>
              </c:numCache>
            </c:numRef>
          </c:val>
        </c:ser>
        <c:ser>
          <c:idx val="1"/>
          <c:order val="1"/>
          <c:tx>
            <c:strRef>
              <c:f>'Ch1 GDP contributions'!K6</c:f>
              <c:strCache>
                <c:ptCount val="1"/>
                <c:pt idx="0">
                  <c:v>Government
pp</c:v>
                </c:pt>
              </c:strCache>
            </c:strRef>
          </c:tx>
          <c:spPr>
            <a:solidFill>
              <a:srgbClr val="b8860b"/>
            </a:solidFill>
            <a:ln w="0">
              <a:solidFill>
                <a:srgbClr val="b8860b"/>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'Ch1 GDP contributions'!$B$12:$B$31</c:f>
              <c:strCache>
                <c:ptCount val="20"/>
                <c:pt idx="0">
                  <c:v>2023-Q1</c:v>
                </c:pt>
                <c:pt idx="1">
                  <c:v>2023-Q2</c:v>
                </c:pt>
                <c:pt idx="2">
                  <c:v>2023-Q3</c:v>
                </c:pt>
                <c:pt idx="3">
                  <c:v>2023-Q4</c:v>
                </c:pt>
                <c:pt idx="4">
                  <c:v>2024-Q1</c:v>
                </c:pt>
                <c:pt idx="5">
                  <c:v>2024-Q2</c:v>
                </c:pt>
                <c:pt idx="6">
                  <c:v>2024-Q3</c:v>
                </c:pt>
                <c:pt idx="7">
                  <c:v>2024-Q4</c:v>
                </c:pt>
                <c:pt idx="8">
                  <c:v>2025-Q1</c:v>
                </c:pt>
                <c:pt idx="9">
                  <c:v>2025-Q2</c:v>
                </c:pt>
                <c:pt idx="10">
                  <c:v>2025-Q3</c:v>
                </c:pt>
                <c:pt idx="11">
                  <c:v>2025-Q4</c:v>
                </c:pt>
                <c:pt idx="12">
                  <c:v>2026-Q1</c:v>
                </c:pt>
                <c:pt idx="13">
                  <c:v>2026-Q2</c:v>
                </c:pt>
                <c:pt idx="14">
                  <c:v>2026-Q3</c:v>
                </c:pt>
                <c:pt idx="15">
                  <c:v>2026-Q4</c:v>
                </c:pt>
                <c:pt idx="16">
                  <c:v>2027-Q1</c:v>
                </c:pt>
                <c:pt idx="17">
                  <c:v>2027-Q2</c:v>
                </c:pt>
                <c:pt idx="18">
                  <c:v>2027-Q3</c:v>
                </c:pt>
                <c:pt idx="19">
                  <c:v>2027-Q4</c:v>
                </c:pt>
              </c:strCache>
            </c:strRef>
          </c:cat>
          <c:val>
            <c:numRef>
              <c:f>'Ch1 GDP contributions'!$K$7:$K$31</c:f>
              <c:numCache>
                <c:formatCode>\+0.00;\-0.00;\-</c:formatCode>
                <c:ptCount val="25"/>
                <c:pt idx="5">
                  <c:v>0.00404666742587797</c:v>
                </c:pt>
                <c:pt idx="6">
                  <c:v>0.00557635557969459</c:v>
                </c:pt>
                <c:pt idx="7">
                  <c:v>0.00465213094154099</c:v>
                </c:pt>
                <c:pt idx="8">
                  <c:v>-0.00225829847547122</c:v>
                </c:pt>
                <c:pt idx="9">
                  <c:v>-0.00626211931034804</c:v>
                </c:pt>
                <c:pt idx="10">
                  <c:v>-0.00779317327050467</c:v>
                </c:pt>
                <c:pt idx="11">
                  <c:v>-0.00538452334651886</c:v>
                </c:pt>
                <c:pt idx="12">
                  <c:v>0.00277875724793769</c:v>
                </c:pt>
                <c:pt idx="13">
                  <c:v>-0.00239889925712597</c:v>
                </c:pt>
                <c:pt idx="14">
                  <c:v>0.00201462785997922</c:v>
                </c:pt>
                <c:pt idx="15">
                  <c:v>0.00171195474802175</c:v>
                </c:pt>
                <c:pt idx="16">
                  <c:v>0.000518301211022827</c:v>
                </c:pt>
                <c:pt idx="17">
                  <c:v>-0.00117153731055719</c:v>
                </c:pt>
              </c:numCache>
            </c:numRef>
          </c:val>
        </c:ser>
        <c:ser>
          <c:idx val="2"/>
          <c:order val="2"/>
          <c:tx>
            <c:strRef>
              <c:f>'Ch1 GDP contributions'!L6</c:f>
              <c:strCache>
                <c:ptCount val="1"/>
                <c:pt idx="0">
                  <c:v>GFCF
pp</c:v>
                </c:pt>
              </c:strCache>
            </c:strRef>
          </c:tx>
          <c:spPr>
            <a:solidFill>
              <a:srgbClr val="5b7c99"/>
            </a:solidFill>
            <a:ln w="0">
              <a:solidFill>
                <a:srgbClr val="5b7c99"/>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'Ch1 GDP contributions'!$B$12:$B$31</c:f>
              <c:strCache>
                <c:ptCount val="20"/>
                <c:pt idx="0">
                  <c:v>2023-Q1</c:v>
                </c:pt>
                <c:pt idx="1">
                  <c:v>2023-Q2</c:v>
                </c:pt>
                <c:pt idx="2">
                  <c:v>2023-Q3</c:v>
                </c:pt>
                <c:pt idx="3">
                  <c:v>2023-Q4</c:v>
                </c:pt>
                <c:pt idx="4">
                  <c:v>2024-Q1</c:v>
                </c:pt>
                <c:pt idx="5">
                  <c:v>2024-Q2</c:v>
                </c:pt>
                <c:pt idx="6">
                  <c:v>2024-Q3</c:v>
                </c:pt>
                <c:pt idx="7">
                  <c:v>2024-Q4</c:v>
                </c:pt>
                <c:pt idx="8">
                  <c:v>2025-Q1</c:v>
                </c:pt>
                <c:pt idx="9">
                  <c:v>2025-Q2</c:v>
                </c:pt>
                <c:pt idx="10">
                  <c:v>2025-Q3</c:v>
                </c:pt>
                <c:pt idx="11">
                  <c:v>2025-Q4</c:v>
                </c:pt>
                <c:pt idx="12">
                  <c:v>2026-Q1</c:v>
                </c:pt>
                <c:pt idx="13">
                  <c:v>2026-Q2</c:v>
                </c:pt>
                <c:pt idx="14">
                  <c:v>2026-Q3</c:v>
                </c:pt>
                <c:pt idx="15">
                  <c:v>2026-Q4</c:v>
                </c:pt>
                <c:pt idx="16">
                  <c:v>2027-Q1</c:v>
                </c:pt>
                <c:pt idx="17">
                  <c:v>2027-Q2</c:v>
                </c:pt>
                <c:pt idx="18">
                  <c:v>2027-Q3</c:v>
                </c:pt>
                <c:pt idx="19">
                  <c:v>2027-Q4</c:v>
                </c:pt>
              </c:strCache>
            </c:strRef>
          </c:cat>
          <c:val>
            <c:numRef>
              <c:f>'Ch1 GDP contributions'!$L$7:$L$31</c:f>
              <c:numCache>
                <c:formatCode>\+0.00;\-0.00;\-</c:formatCode>
                <c:ptCount val="25"/>
                <c:pt idx="5">
                  <c:v>-0.00276310355927806</c:v>
                </c:pt>
                <c:pt idx="6">
                  <c:v>-0.00380982684075336</c:v>
                </c:pt>
                <c:pt idx="7">
                  <c:v>0.00167091676185153</c:v>
                </c:pt>
                <c:pt idx="8">
                  <c:v>-0.0162064953358036</c:v>
                </c:pt>
                <c:pt idx="9">
                  <c:v>-0.0482719203518401</c:v>
                </c:pt>
                <c:pt idx="10">
                  <c:v>-0.0627767462499944</c:v>
                </c:pt>
                <c:pt idx="11">
                  <c:v>-0.037303825502015</c:v>
                </c:pt>
                <c:pt idx="12">
                  <c:v>0.00366200142672362</c:v>
                </c:pt>
                <c:pt idx="13">
                  <c:v>0.0506544679471943</c:v>
                </c:pt>
                <c:pt idx="14">
                  <c:v>0.0493192067574695</c:v>
                </c:pt>
                <c:pt idx="15">
                  <c:v>0.0193613968659143</c:v>
                </c:pt>
                <c:pt idx="16">
                  <c:v>-0.00506511912256261</c:v>
                </c:pt>
                <c:pt idx="17">
                  <c:v>-0.0232480949932351</c:v>
                </c:pt>
              </c:numCache>
            </c:numRef>
          </c:val>
        </c:ser>
        <c:ser>
          <c:idx val="3"/>
          <c:order val="3"/>
          <c:tx>
            <c:strRef>
              <c:f>'Ch1 GDP contributions'!M6</c:f>
              <c:strCache>
                <c:ptCount val="1"/>
                <c:pt idx="0">
                  <c:v>Invent.+disc.
pp</c:v>
                </c:pt>
              </c:strCache>
            </c:strRef>
          </c:tx>
          <c:spPr>
            <a:solidFill>
              <a:srgbClr val="d9d9d9"/>
            </a:solidFill>
            <a:ln w="0">
              <a:solidFill>
                <a:srgbClr val="d9d9d9"/>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'Ch1 GDP contributions'!$B$12:$B$31</c:f>
              <c:strCache>
                <c:ptCount val="20"/>
                <c:pt idx="0">
                  <c:v>2023-Q1</c:v>
                </c:pt>
                <c:pt idx="1">
                  <c:v>2023-Q2</c:v>
                </c:pt>
                <c:pt idx="2">
                  <c:v>2023-Q3</c:v>
                </c:pt>
                <c:pt idx="3">
                  <c:v>2023-Q4</c:v>
                </c:pt>
                <c:pt idx="4">
                  <c:v>2024-Q1</c:v>
                </c:pt>
                <c:pt idx="5">
                  <c:v>2024-Q2</c:v>
                </c:pt>
                <c:pt idx="6">
                  <c:v>2024-Q3</c:v>
                </c:pt>
                <c:pt idx="7">
                  <c:v>2024-Q4</c:v>
                </c:pt>
                <c:pt idx="8">
                  <c:v>2025-Q1</c:v>
                </c:pt>
                <c:pt idx="9">
                  <c:v>2025-Q2</c:v>
                </c:pt>
                <c:pt idx="10">
                  <c:v>2025-Q3</c:v>
                </c:pt>
                <c:pt idx="11">
                  <c:v>2025-Q4</c:v>
                </c:pt>
                <c:pt idx="12">
                  <c:v>2026-Q1</c:v>
                </c:pt>
                <c:pt idx="13">
                  <c:v>2026-Q2</c:v>
                </c:pt>
                <c:pt idx="14">
                  <c:v>2026-Q3</c:v>
                </c:pt>
                <c:pt idx="15">
                  <c:v>2026-Q4</c:v>
                </c:pt>
                <c:pt idx="16">
                  <c:v>2027-Q1</c:v>
                </c:pt>
                <c:pt idx="17">
                  <c:v>2027-Q2</c:v>
                </c:pt>
                <c:pt idx="18">
                  <c:v>2027-Q3</c:v>
                </c:pt>
                <c:pt idx="19">
                  <c:v>2027-Q4</c:v>
                </c:pt>
              </c:strCache>
            </c:strRef>
          </c:cat>
          <c:val>
            <c:numRef>
              <c:f>'Ch1 GDP contributions'!$M$7:$M$31</c:f>
              <c:numCache>
                <c:formatCode>\+0.00;\-0.00;\-</c:formatCode>
                <c:ptCount val="25"/>
                <c:pt idx="5">
                  <c:v>0.00320232453114117</c:v>
                </c:pt>
                <c:pt idx="6">
                  <c:v>-0.0366593862476848</c:v>
                </c:pt>
                <c:pt idx="7">
                  <c:v>0.01248312707035</c:v>
                </c:pt>
                <c:pt idx="8">
                  <c:v>0.0375901306485222</c:v>
                </c:pt>
                <c:pt idx="9">
                  <c:v>-0.0238252577724434</c:v>
                </c:pt>
                <c:pt idx="10">
                  <c:v>0.024242840431096</c:v>
                </c:pt>
                <c:pt idx="11">
                  <c:v>-0.040698600367435</c:v>
                </c:pt>
                <c:pt idx="12">
                  <c:v>-0.040853839621313</c:v>
                </c:pt>
                <c:pt idx="13">
                  <c:v>0.0108517998891141</c:v>
                </c:pt>
                <c:pt idx="14">
                  <c:v>0.00779919261296638</c:v>
                </c:pt>
                <c:pt idx="15">
                  <c:v>0.00444552450056138</c:v>
                </c:pt>
                <c:pt idx="16">
                  <c:v>-0.000872010479028237</c:v>
                </c:pt>
                <c:pt idx="17">
                  <c:v>-0.0202007207895711</c:v>
                </c:pt>
              </c:numCache>
            </c:numRef>
          </c:val>
        </c:ser>
        <c:ser>
          <c:idx val="4"/>
          <c:order val="4"/>
          <c:tx>
            <c:strRef>
              <c:f>'Ch1 GDP contributions'!N6</c:f>
              <c:strCache>
                <c:ptCount val="1"/>
                <c:pt idx="0">
                  <c:v>Exports
pp</c:v>
                </c:pt>
              </c:strCache>
            </c:strRef>
          </c:tx>
          <c:spPr>
            <a:solidFill>
              <a:srgbClr val="00707f"/>
            </a:solidFill>
            <a:ln w="0">
              <a:solidFill>
                <a:srgbClr val="00707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'Ch1 GDP contributions'!$B$12:$B$31</c:f>
              <c:strCache>
                <c:ptCount val="20"/>
                <c:pt idx="0">
                  <c:v>2023-Q1</c:v>
                </c:pt>
                <c:pt idx="1">
                  <c:v>2023-Q2</c:v>
                </c:pt>
                <c:pt idx="2">
                  <c:v>2023-Q3</c:v>
                </c:pt>
                <c:pt idx="3">
                  <c:v>2023-Q4</c:v>
                </c:pt>
                <c:pt idx="4">
                  <c:v>2024-Q1</c:v>
                </c:pt>
                <c:pt idx="5">
                  <c:v>2024-Q2</c:v>
                </c:pt>
                <c:pt idx="6">
                  <c:v>2024-Q3</c:v>
                </c:pt>
                <c:pt idx="7">
                  <c:v>2024-Q4</c:v>
                </c:pt>
                <c:pt idx="8">
                  <c:v>2025-Q1</c:v>
                </c:pt>
                <c:pt idx="9">
                  <c:v>2025-Q2</c:v>
                </c:pt>
                <c:pt idx="10">
                  <c:v>2025-Q3</c:v>
                </c:pt>
                <c:pt idx="11">
                  <c:v>2025-Q4</c:v>
                </c:pt>
                <c:pt idx="12">
                  <c:v>2026-Q1</c:v>
                </c:pt>
                <c:pt idx="13">
                  <c:v>2026-Q2</c:v>
                </c:pt>
                <c:pt idx="14">
                  <c:v>2026-Q3</c:v>
                </c:pt>
                <c:pt idx="15">
                  <c:v>2026-Q4</c:v>
                </c:pt>
                <c:pt idx="16">
                  <c:v>2027-Q1</c:v>
                </c:pt>
                <c:pt idx="17">
                  <c:v>2027-Q2</c:v>
                </c:pt>
                <c:pt idx="18">
                  <c:v>2027-Q3</c:v>
                </c:pt>
                <c:pt idx="19">
                  <c:v>2027-Q4</c:v>
                </c:pt>
              </c:strCache>
            </c:strRef>
          </c:cat>
          <c:val>
            <c:numRef>
              <c:f>'Ch1 GDP contributions'!$N$7:$N$31</c:f>
              <c:numCache>
                <c:formatCode>\+0.00;\-0.00;\-</c:formatCode>
                <c:ptCount val="25"/>
                <c:pt idx="5">
                  <c:v>-0.0127516088445654</c:v>
                </c:pt>
                <c:pt idx="6">
                  <c:v>-0.0264686237002997</c:v>
                </c:pt>
                <c:pt idx="7">
                  <c:v>-0.0180156147116516</c:v>
                </c:pt>
                <c:pt idx="8">
                  <c:v>-0.0252794653749478</c:v>
                </c:pt>
                <c:pt idx="9">
                  <c:v>0.029737530346788</c:v>
                </c:pt>
                <c:pt idx="10">
                  <c:v>0.0369413874940062</c:v>
                </c:pt>
                <c:pt idx="11">
                  <c:v>0.0386680751819966</c:v>
                </c:pt>
                <c:pt idx="12">
                  <c:v>0.0520699111802497</c:v>
                </c:pt>
                <c:pt idx="13">
                  <c:v>0.0142154243751415</c:v>
                </c:pt>
                <c:pt idx="14">
                  <c:v>0.0079417543181681</c:v>
                </c:pt>
                <c:pt idx="15">
                  <c:v>0.0247355129999826</c:v>
                </c:pt>
                <c:pt idx="16">
                  <c:v>0.028319701130236</c:v>
                </c:pt>
                <c:pt idx="17">
                  <c:v>0.0217538714485361</c:v>
                </c:pt>
              </c:numCache>
            </c:numRef>
          </c:val>
        </c:ser>
        <c:ser>
          <c:idx val="5"/>
          <c:order val="5"/>
          <c:tx>
            <c:strRef>
              <c:f>'Ch1 GDP contributions'!O6</c:f>
              <c:strCache>
                <c:ptCount val="1"/>
                <c:pt idx="0">
                  <c:v>Imports
pp</c:v>
                </c:pt>
              </c:strCache>
            </c:strRef>
          </c:tx>
          <c:spPr>
            <a:solidFill>
              <a:srgbClr val="a6a6a6"/>
            </a:solidFill>
            <a:ln w="0">
              <a:solidFill>
                <a:srgbClr val="a6a6a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'Ch1 GDP contributions'!$B$12:$B$31</c:f>
              <c:strCache>
                <c:ptCount val="20"/>
                <c:pt idx="0">
                  <c:v>2023-Q1</c:v>
                </c:pt>
                <c:pt idx="1">
                  <c:v>2023-Q2</c:v>
                </c:pt>
                <c:pt idx="2">
                  <c:v>2023-Q3</c:v>
                </c:pt>
                <c:pt idx="3">
                  <c:v>2023-Q4</c:v>
                </c:pt>
                <c:pt idx="4">
                  <c:v>2024-Q1</c:v>
                </c:pt>
                <c:pt idx="5">
                  <c:v>2024-Q2</c:v>
                </c:pt>
                <c:pt idx="6">
                  <c:v>2024-Q3</c:v>
                </c:pt>
                <c:pt idx="7">
                  <c:v>2024-Q4</c:v>
                </c:pt>
                <c:pt idx="8">
                  <c:v>2025-Q1</c:v>
                </c:pt>
                <c:pt idx="9">
                  <c:v>2025-Q2</c:v>
                </c:pt>
                <c:pt idx="10">
                  <c:v>2025-Q3</c:v>
                </c:pt>
                <c:pt idx="11">
                  <c:v>2025-Q4</c:v>
                </c:pt>
                <c:pt idx="12">
                  <c:v>2026-Q1</c:v>
                </c:pt>
                <c:pt idx="13">
                  <c:v>2026-Q2</c:v>
                </c:pt>
                <c:pt idx="14">
                  <c:v>2026-Q3</c:v>
                </c:pt>
                <c:pt idx="15">
                  <c:v>2026-Q4</c:v>
                </c:pt>
                <c:pt idx="16">
                  <c:v>2027-Q1</c:v>
                </c:pt>
                <c:pt idx="17">
                  <c:v>2027-Q2</c:v>
                </c:pt>
                <c:pt idx="18">
                  <c:v>2027-Q3</c:v>
                </c:pt>
                <c:pt idx="19">
                  <c:v>2027-Q4</c:v>
                </c:pt>
              </c:strCache>
            </c:strRef>
          </c:cat>
          <c:val>
            <c:numRef>
              <c:f>'Ch1 GDP contributions'!$O$7:$O$31</c:f>
              <c:numCache>
                <c:formatCode>\+0.00;\-0.00;\-</c:formatCode>
                <c:ptCount val="25"/>
                <c:pt idx="5">
                  <c:v>-0.0103811033775182</c:v>
                </c:pt>
                <c:pt idx="6">
                  <c:v>-0.0100421390173159</c:v>
                </c:pt>
                <c:pt idx="7">
                  <c:v>-0.00501364646840312</c:v>
                </c:pt>
                <c:pt idx="8">
                  <c:v>0.00234215134753881</c:v>
                </c:pt>
                <c:pt idx="9">
                  <c:v>0.0371142069454218</c:v>
                </c:pt>
                <c:pt idx="10">
                  <c:v>0.0655737801236171</c:v>
                </c:pt>
                <c:pt idx="11">
                  <c:v>0.0337537199780103</c:v>
                </c:pt>
                <c:pt idx="12">
                  <c:v>-0.023977117007783</c:v>
                </c:pt>
                <c:pt idx="13">
                  <c:v>-0.0994048101528218</c:v>
                </c:pt>
                <c:pt idx="14">
                  <c:v>-0.0878947848970166</c:v>
                </c:pt>
                <c:pt idx="15">
                  <c:v>-0.0636655969615943</c:v>
                </c:pt>
                <c:pt idx="16">
                  <c:v>-0.0307836353060984</c:v>
                </c:pt>
                <c:pt idx="17">
                  <c:v>0.0241936416490422</c:v>
                </c:pt>
              </c:numCache>
            </c:numRef>
          </c:val>
        </c:ser>
        <c:gapWidth val="60"/>
        <c:overlap val="100"/>
        <c:axId val="30517877"/>
        <c:axId val="6991125"/>
      </c:barChart>
      <c:lineChart>
        <c:grouping val="stacked"/>
        <c:varyColors val="0"/>
        <c:ser>
          <c:idx val="6"/>
          <c:order val="6"/>
          <c:tx>
            <c:strRef>
              <c:f>'Ch1 GDP contributions'!P6</c:f>
              <c:strCache>
                <c:ptCount val="1"/>
                <c:pt idx="0">
                  <c:v>GDP y/y
%</c:v>
                </c:pt>
              </c:strCache>
            </c:strRef>
          </c:tx>
          <c:spPr>
            <a:solidFill>
              <a:srgbClr val="1a1a1a"/>
            </a:solidFill>
            <a:ln w="29880">
              <a:solidFill>
                <a:srgbClr val="1a1a1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'Ch1 GDP contributions'!$B$12:$B$31</c:f>
              <c:strCache>
                <c:ptCount val="20"/>
                <c:pt idx="0">
                  <c:v>2023-Q1</c:v>
                </c:pt>
                <c:pt idx="1">
                  <c:v>2023-Q2</c:v>
                </c:pt>
                <c:pt idx="2">
                  <c:v>2023-Q3</c:v>
                </c:pt>
                <c:pt idx="3">
                  <c:v>2023-Q4</c:v>
                </c:pt>
                <c:pt idx="4">
                  <c:v>2024-Q1</c:v>
                </c:pt>
                <c:pt idx="5">
                  <c:v>2024-Q2</c:v>
                </c:pt>
                <c:pt idx="6">
                  <c:v>2024-Q3</c:v>
                </c:pt>
                <c:pt idx="7">
                  <c:v>2024-Q4</c:v>
                </c:pt>
                <c:pt idx="8">
                  <c:v>2025-Q1</c:v>
                </c:pt>
                <c:pt idx="9">
                  <c:v>2025-Q2</c:v>
                </c:pt>
                <c:pt idx="10">
                  <c:v>2025-Q3</c:v>
                </c:pt>
                <c:pt idx="11">
                  <c:v>2025-Q4</c:v>
                </c:pt>
                <c:pt idx="12">
                  <c:v>2026-Q1</c:v>
                </c:pt>
                <c:pt idx="13">
                  <c:v>2026-Q2</c:v>
                </c:pt>
                <c:pt idx="14">
                  <c:v>2026-Q3</c:v>
                </c:pt>
                <c:pt idx="15">
                  <c:v>2026-Q4</c:v>
                </c:pt>
                <c:pt idx="16">
                  <c:v>2027-Q1</c:v>
                </c:pt>
                <c:pt idx="17">
                  <c:v>2027-Q2</c:v>
                </c:pt>
                <c:pt idx="18">
                  <c:v>2027-Q3</c:v>
                </c:pt>
                <c:pt idx="19">
                  <c:v>2027-Q4</c:v>
                </c:pt>
              </c:strCache>
            </c:strRef>
          </c:cat>
          <c:val>
            <c:numRef>
              <c:f>'Ch1 GDP contributions'!$P$7:$P$31</c:f>
              <c:numCache>
                <c:formatCode>0.0%</c:formatCode>
                <c:ptCount val="25"/>
                <c:pt idx="5">
                  <c:v>0.00915068683856113</c:v>
                </c:pt>
                <c:pt idx="6">
                  <c:v>-0.0565103341366259</c:v>
                </c:pt>
                <c:pt idx="7">
                  <c:v>-0.00562320293192331</c:v>
                </c:pt>
                <c:pt idx="8">
                  <c:v>-0.01711318474657</c:v>
                </c:pt>
                <c:pt idx="9">
                  <c:v>-0.0508365696484986</c:v>
                </c:pt>
                <c:pt idx="10">
                  <c:v>-0.0111349764925253</c:v>
                </c:pt>
                <c:pt idx="11">
                  <c:v>-0.0195500504973161</c:v>
                </c:pt>
                <c:pt idx="12">
                  <c:v>0.02709343559207</c:v>
                </c:pt>
                <c:pt idx="13">
                  <c:v>0.0611707468380993</c:v>
                </c:pt>
                <c:pt idx="14">
                  <c:v>0.0651768410241329</c:v>
                </c:pt>
                <c:pt idx="15">
                  <c:v>0.0319695852206126</c:v>
                </c:pt>
                <c:pt idx="16">
                  <c:v>0.0217905164785202</c:v>
                </c:pt>
                <c:pt idx="17">
                  <c:v>0.0232763127213582</c:v>
                </c:pt>
              </c:numCache>
            </c:numRef>
          </c:val>
          <c:smooth val="0"/>
        </c:ser>
        <c:hiLowLines>
          <c:spPr>
            <a:ln w="0">
              <a:noFill/>
            </a:ln>
          </c:spPr>
        </c:hiLowLines>
        <c:marker val="0"/>
        <c:axId val="30517877"/>
        <c:axId val="6991125"/>
      </c:lineChart>
      <c:catAx>
        <c:axId val="3051787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91125"/>
        <c:crosses val="autoZero"/>
        <c:auto val="1"/>
        <c:lblAlgn val="ctr"/>
        <c:lblOffset val="100"/>
        <c:noMultiLvlLbl val="0"/>
      </c:catAx>
      <c:valAx>
        <c:axId val="699112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pp / % y/y</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51787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Activity: manufacturing vs mining, Nov-2023 = 100</a:t>
            </a:r>
          </a:p>
        </c:rich>
      </c:tx>
      <c:overlay val="0"/>
      <c:spPr>
        <a:noFill/>
        <a:ln w="0">
          <a:noFill/>
        </a:ln>
      </c:spPr>
    </c:title>
    <c:autoTitleDeleted val="0"/>
    <c:plotArea>
      <c:lineChart>
        <c:grouping val="standard"/>
        <c:varyColors val="0"/>
        <c:ser>
          <c:idx val="0"/>
          <c:order val="0"/>
          <c:tx>
            <c:strRef>
              <c:f>'Ch2 Industry vs mining'!G6</c:f>
              <c:strCache>
                <c:ptCount val="1"/>
                <c:pt idx="0">
                  <c:v>Manufacturing
Nov-23=100</c:v>
                </c:pt>
              </c:strCache>
            </c:strRef>
          </c:tx>
          <c:spPr>
            <a:solidFill>
              <a:srgbClr val="ec0016"/>
            </a:solidFill>
            <a:ln w="28080">
              <a:solidFill>
                <a:srgbClr val="ec001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'Ch2 Industry vs mining'!$B$8:$B$67</c:f>
              <c:strCache>
                <c:ptCount val="60"/>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pt idx="48">
                  <c:v>2027-01</c:v>
                </c:pt>
                <c:pt idx="49">
                  <c:v>2027-02</c:v>
                </c:pt>
                <c:pt idx="50">
                  <c:v>2027-03</c:v>
                </c:pt>
                <c:pt idx="51">
                  <c:v>2027-04</c:v>
                </c:pt>
                <c:pt idx="52">
                  <c:v>2027-05</c:v>
                </c:pt>
                <c:pt idx="53">
                  <c:v>2027-06</c:v>
                </c:pt>
                <c:pt idx="54">
                  <c:v>2027-07</c:v>
                </c:pt>
                <c:pt idx="55">
                  <c:v>2027-08</c:v>
                </c:pt>
                <c:pt idx="56">
                  <c:v>2027-09</c:v>
                </c:pt>
                <c:pt idx="57">
                  <c:v>2027-10</c:v>
                </c:pt>
                <c:pt idx="58">
                  <c:v>2027-11</c:v>
                </c:pt>
                <c:pt idx="59">
                  <c:v>2027-12</c:v>
                </c:pt>
              </c:strCache>
            </c:strRef>
          </c:cat>
          <c:val>
            <c:numRef>
              <c:f>'Ch2 Industry vs mining'!$G$7:$G$67</c:f>
              <c:numCache>
                <c:formatCode>General</c:formatCode>
                <c:ptCount val="61"/>
              </c:numCache>
            </c:numRef>
          </c:val>
          <c:smooth val="0"/>
        </c:ser>
        <c:ser>
          <c:idx val="1"/>
          <c:order val="1"/>
          <c:tx>
            <c:strRef>
              <c:f>'Ch2 Industry vs mining'!H6</c:f>
              <c:strCache>
                <c:ptCount val="1"/>
                <c:pt idx="0">
                  <c:v>Mining
Nov-23=100</c:v>
                </c:pt>
              </c:strCache>
            </c:strRef>
          </c:tx>
          <c:spPr>
            <a:solidFill>
              <a:srgbClr val="00707f"/>
            </a:solidFill>
            <a:ln w="28080">
              <a:solidFill>
                <a:srgbClr val="00707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'Ch2 Industry vs mining'!$B$8:$B$67</c:f>
              <c:strCache>
                <c:ptCount val="60"/>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pt idx="48">
                  <c:v>2027-01</c:v>
                </c:pt>
                <c:pt idx="49">
                  <c:v>2027-02</c:v>
                </c:pt>
                <c:pt idx="50">
                  <c:v>2027-03</c:v>
                </c:pt>
                <c:pt idx="51">
                  <c:v>2027-04</c:v>
                </c:pt>
                <c:pt idx="52">
                  <c:v>2027-05</c:v>
                </c:pt>
                <c:pt idx="53">
                  <c:v>2027-06</c:v>
                </c:pt>
                <c:pt idx="54">
                  <c:v>2027-07</c:v>
                </c:pt>
                <c:pt idx="55">
                  <c:v>2027-08</c:v>
                </c:pt>
                <c:pt idx="56">
                  <c:v>2027-09</c:v>
                </c:pt>
                <c:pt idx="57">
                  <c:v>2027-10</c:v>
                </c:pt>
                <c:pt idx="58">
                  <c:v>2027-11</c:v>
                </c:pt>
                <c:pt idx="59">
                  <c:v>2027-12</c:v>
                </c:pt>
              </c:strCache>
            </c:strRef>
          </c:cat>
          <c:val>
            <c:numRef>
              <c:f>'Ch2 Industry vs mining'!$H$7:$H$67</c:f>
              <c:numCache>
                <c:formatCode>General</c:formatCode>
                <c:ptCount val="61"/>
              </c:numCache>
            </c:numRef>
          </c:val>
          <c:smooth val="0"/>
        </c:ser>
        <c:hiLowLines>
          <c:spPr>
            <a:ln w="0">
              <a:noFill/>
            </a:ln>
          </c:spPr>
        </c:hiLowLines>
        <c:marker val="0"/>
        <c:axId val="39135187"/>
        <c:axId val="65083674"/>
      </c:lineChart>
      <c:catAx>
        <c:axId val="3913518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083674"/>
        <c:crosses val="autoZero"/>
        <c:auto val="1"/>
        <c:lblAlgn val="ctr"/>
        <c:lblOffset val="100"/>
        <c:noMultiLvlLbl val="0"/>
      </c:catAx>
      <c:valAx>
        <c:axId val="6508367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Index, Nov-2023 = 100</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13518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Registered jobs: cumulative change on Nov-2023 (000s)</a:t>
            </a:r>
          </a:p>
        </c:rich>
      </c:tx>
      <c:overlay val="0"/>
      <c:spPr>
        <a:noFill/>
        <a:ln w="0">
          <a:noFill/>
        </a:ln>
      </c:spPr>
    </c:title>
    <c:autoTitleDeleted val="0"/>
    <c:plotArea>
      <c:barChart>
        <c:barDir val="col"/>
        <c:grouping val="stacked"/>
        <c:varyColors val="0"/>
        <c:ser>
          <c:idx val="0"/>
          <c:order val="0"/>
          <c:tx>
            <c:strRef>
              <c:f>'Ch2 Industry vs mining'!I6</c:f>
              <c:strCache>
                <c:ptCount val="1"/>
                <c:pt idx="0">
                  <c:v>Manufacturing jobs,
change vs Nov-23 (000s)</c:v>
                </c:pt>
              </c:strCache>
            </c:strRef>
          </c:tx>
          <c:spPr>
            <a:solidFill>
              <a:srgbClr val="ec0016"/>
            </a:solidFill>
            <a:ln w="0">
              <a:solidFill>
                <a:srgbClr val="ec001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'Ch2 Industry vs mining'!$B$8:$B$67</c:f>
              <c:strCache>
                <c:ptCount val="60"/>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pt idx="48">
                  <c:v>2027-01</c:v>
                </c:pt>
                <c:pt idx="49">
                  <c:v>2027-02</c:v>
                </c:pt>
                <c:pt idx="50">
                  <c:v>2027-03</c:v>
                </c:pt>
                <c:pt idx="51">
                  <c:v>2027-04</c:v>
                </c:pt>
                <c:pt idx="52">
                  <c:v>2027-05</c:v>
                </c:pt>
                <c:pt idx="53">
                  <c:v>2027-06</c:v>
                </c:pt>
                <c:pt idx="54">
                  <c:v>2027-07</c:v>
                </c:pt>
                <c:pt idx="55">
                  <c:v>2027-08</c:v>
                </c:pt>
                <c:pt idx="56">
                  <c:v>2027-09</c:v>
                </c:pt>
                <c:pt idx="57">
                  <c:v>2027-10</c:v>
                </c:pt>
                <c:pt idx="58">
                  <c:v>2027-11</c:v>
                </c:pt>
                <c:pt idx="59">
                  <c:v>2027-12</c:v>
                </c:pt>
              </c:strCache>
            </c:strRef>
          </c:cat>
          <c:val>
            <c:numRef>
              <c:f>'Ch2 Industry vs mining'!$I$7:$I$67</c:f>
              <c:numCache>
                <c:formatCode>General</c:formatCode>
                <c:ptCount val="61"/>
              </c:numCache>
            </c:numRef>
          </c:val>
        </c:ser>
        <c:ser>
          <c:idx val="1"/>
          <c:order val="1"/>
          <c:tx>
            <c:strRef>
              <c:f>'Ch2 Industry vs mining'!J6</c:f>
              <c:strCache>
                <c:ptCount val="1"/>
                <c:pt idx="0">
                  <c:v>Mining &amp; oil jobs,
change vs Nov-23 (000s)</c:v>
                </c:pt>
              </c:strCache>
            </c:strRef>
          </c:tx>
          <c:spPr>
            <a:solidFill>
              <a:srgbClr val="00707f"/>
            </a:solidFill>
            <a:ln w="0">
              <a:solidFill>
                <a:srgbClr val="00707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'Ch2 Industry vs mining'!$B$8:$B$67</c:f>
              <c:strCache>
                <c:ptCount val="60"/>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pt idx="48">
                  <c:v>2027-01</c:v>
                </c:pt>
                <c:pt idx="49">
                  <c:v>2027-02</c:v>
                </c:pt>
                <c:pt idx="50">
                  <c:v>2027-03</c:v>
                </c:pt>
                <c:pt idx="51">
                  <c:v>2027-04</c:v>
                </c:pt>
                <c:pt idx="52">
                  <c:v>2027-05</c:v>
                </c:pt>
                <c:pt idx="53">
                  <c:v>2027-06</c:v>
                </c:pt>
                <c:pt idx="54">
                  <c:v>2027-07</c:v>
                </c:pt>
                <c:pt idx="55">
                  <c:v>2027-08</c:v>
                </c:pt>
                <c:pt idx="56">
                  <c:v>2027-09</c:v>
                </c:pt>
                <c:pt idx="57">
                  <c:v>2027-10</c:v>
                </c:pt>
                <c:pt idx="58">
                  <c:v>2027-11</c:v>
                </c:pt>
                <c:pt idx="59">
                  <c:v>2027-12</c:v>
                </c:pt>
              </c:strCache>
            </c:strRef>
          </c:cat>
          <c:val>
            <c:numRef>
              <c:f>'Ch2 Industry vs mining'!$J$7:$J$67</c:f>
              <c:numCache>
                <c:formatCode>General</c:formatCode>
                <c:ptCount val="61"/>
              </c:numCache>
            </c:numRef>
          </c:val>
        </c:ser>
        <c:gapWidth val="60"/>
        <c:overlap val="100"/>
        <c:axId val="88005653"/>
        <c:axId val="18899991"/>
      </c:barChart>
      <c:lineChart>
        <c:grouping val="stacked"/>
        <c:varyColors val="0"/>
        <c:ser>
          <c:idx val="2"/>
          <c:order val="2"/>
          <c:tx>
            <c:strRef>
              <c:f>'Ch2 Industry vs mining'!K6</c:f>
              <c:strCache>
                <c:ptCount val="1"/>
                <c:pt idx="0">
                  <c:v>Net jobs,
both sectors (000s)</c:v>
                </c:pt>
              </c:strCache>
            </c:strRef>
          </c:tx>
          <c:spPr>
            <a:solidFill>
              <a:srgbClr val="1a1a1a"/>
            </a:solidFill>
            <a:ln w="28080">
              <a:solidFill>
                <a:srgbClr val="1a1a1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'Ch2 Industry vs mining'!$B$8:$B$67</c:f>
              <c:strCache>
                <c:ptCount val="60"/>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pt idx="48">
                  <c:v>2027-01</c:v>
                </c:pt>
                <c:pt idx="49">
                  <c:v>2027-02</c:v>
                </c:pt>
                <c:pt idx="50">
                  <c:v>2027-03</c:v>
                </c:pt>
                <c:pt idx="51">
                  <c:v>2027-04</c:v>
                </c:pt>
                <c:pt idx="52">
                  <c:v>2027-05</c:v>
                </c:pt>
                <c:pt idx="53">
                  <c:v>2027-06</c:v>
                </c:pt>
                <c:pt idx="54">
                  <c:v>2027-07</c:v>
                </c:pt>
                <c:pt idx="55">
                  <c:v>2027-08</c:v>
                </c:pt>
                <c:pt idx="56">
                  <c:v>2027-09</c:v>
                </c:pt>
                <c:pt idx="57">
                  <c:v>2027-10</c:v>
                </c:pt>
                <c:pt idx="58">
                  <c:v>2027-11</c:v>
                </c:pt>
                <c:pt idx="59">
                  <c:v>2027-12</c:v>
                </c:pt>
              </c:strCache>
            </c:strRef>
          </c:cat>
          <c:val>
            <c:numRef>
              <c:f>'Ch2 Industry vs mining'!$K$7:$K$67</c:f>
              <c:numCache>
                <c:formatCode>General</c:formatCode>
                <c:ptCount val="61"/>
              </c:numCache>
            </c:numRef>
          </c:val>
          <c:smooth val="0"/>
        </c:ser>
        <c:hiLowLines>
          <c:spPr>
            <a:ln w="0">
              <a:noFill/>
            </a:ln>
          </c:spPr>
        </c:hiLowLines>
        <c:marker val="0"/>
        <c:axId val="88005653"/>
        <c:axId val="18899991"/>
      </c:lineChart>
      <c:catAx>
        <c:axId val="8800565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899991"/>
        <c:crosses val="autoZero"/>
        <c:auto val="1"/>
        <c:lblAlgn val="ctr"/>
        <c:lblOffset val="100"/>
        <c:noMultiLvlLbl val="0"/>
      </c:catAx>
      <c:valAx>
        <c:axId val="1889999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Thousands of jobs</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00565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REM inflation expectations, 12m and 24m ahead</a:t>
            </a:r>
          </a:p>
        </c:rich>
      </c:tx>
      <c:overlay val="0"/>
      <c:spPr>
        <a:noFill/>
        <a:ln w="0">
          <a:noFill/>
        </a:ln>
      </c:spPr>
    </c:title>
    <c:autoTitleDeleted val="0"/>
    <c:plotArea>
      <c:lineChart>
        <c:grouping val="standard"/>
        <c:varyColors val="0"/>
        <c:ser>
          <c:idx val="0"/>
          <c:order val="0"/>
          <c:tx>
            <c:strRef>
              <c:f>'Ch5 Expectations'!C6</c:f>
              <c:strCache>
                <c:ptCount val="1"/>
                <c:pt idx="0">
                  <c:v>REM expected inflation,
next 12 months (%)</c:v>
                </c:pt>
              </c:strCache>
            </c:strRef>
          </c:tx>
          <c:spPr>
            <a:solidFill>
              <a:srgbClr val="ec0016"/>
            </a:solidFill>
            <a:ln w="28080">
              <a:solidFill>
                <a:srgbClr val="ec001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'Ch5 Expectations'!$B$8:$B$67</c:f>
              <c:strCache>
                <c:ptCount val="60"/>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pt idx="48">
                  <c:v>2027-01</c:v>
                </c:pt>
                <c:pt idx="49">
                  <c:v>2027-02</c:v>
                </c:pt>
                <c:pt idx="50">
                  <c:v>2027-03</c:v>
                </c:pt>
                <c:pt idx="51">
                  <c:v>2027-04</c:v>
                </c:pt>
                <c:pt idx="52">
                  <c:v>2027-05</c:v>
                </c:pt>
                <c:pt idx="53">
                  <c:v>2027-06</c:v>
                </c:pt>
                <c:pt idx="54">
                  <c:v>2027-07</c:v>
                </c:pt>
                <c:pt idx="55">
                  <c:v>2027-08</c:v>
                </c:pt>
                <c:pt idx="56">
                  <c:v>2027-09</c:v>
                </c:pt>
                <c:pt idx="57">
                  <c:v>2027-10</c:v>
                </c:pt>
                <c:pt idx="58">
                  <c:v>2027-11</c:v>
                </c:pt>
                <c:pt idx="59">
                  <c:v>2027-12</c:v>
                </c:pt>
              </c:strCache>
            </c:strRef>
          </c:cat>
          <c:val>
            <c:numRef>
              <c:f>'Ch5 Expectations'!$C$7:$C$67</c:f>
              <c:numCache>
                <c:formatCode>0.0%</c:formatCode>
                <c:ptCount val="61"/>
                <c:pt idx="0">
                  <c:v>0.28</c:v>
                </c:pt>
              </c:numCache>
            </c:numRef>
          </c:val>
          <c:smooth val="0"/>
        </c:ser>
        <c:ser>
          <c:idx val="1"/>
          <c:order val="1"/>
          <c:tx>
            <c:strRef>
              <c:f>'Ch5 Expectations'!D6</c:f>
              <c:strCache>
                <c:ptCount val="1"/>
                <c:pt idx="0">
                  <c:v>REM expected inflation,
next 24 months (%)</c:v>
                </c:pt>
              </c:strCache>
            </c:strRef>
          </c:tx>
          <c:spPr>
            <a:solidFill>
              <a:srgbClr val="5b7c99"/>
            </a:solidFill>
            <a:ln w="28080">
              <a:solidFill>
                <a:srgbClr val="5b7c99"/>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'Ch5 Expectations'!$B$8:$B$67</c:f>
              <c:strCache>
                <c:ptCount val="60"/>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pt idx="48">
                  <c:v>2027-01</c:v>
                </c:pt>
                <c:pt idx="49">
                  <c:v>2027-02</c:v>
                </c:pt>
                <c:pt idx="50">
                  <c:v>2027-03</c:v>
                </c:pt>
                <c:pt idx="51">
                  <c:v>2027-04</c:v>
                </c:pt>
                <c:pt idx="52">
                  <c:v>2027-05</c:v>
                </c:pt>
                <c:pt idx="53">
                  <c:v>2027-06</c:v>
                </c:pt>
                <c:pt idx="54">
                  <c:v>2027-07</c:v>
                </c:pt>
                <c:pt idx="55">
                  <c:v>2027-08</c:v>
                </c:pt>
                <c:pt idx="56">
                  <c:v>2027-09</c:v>
                </c:pt>
                <c:pt idx="57">
                  <c:v>2027-10</c:v>
                </c:pt>
                <c:pt idx="58">
                  <c:v>2027-11</c:v>
                </c:pt>
                <c:pt idx="59">
                  <c:v>2027-12</c:v>
                </c:pt>
              </c:strCache>
            </c:strRef>
          </c:cat>
          <c:val>
            <c:numRef>
              <c:f>'Ch5 Expectations'!$D$7:$D$67</c:f>
              <c:numCache>
                <c:formatCode>0.0%</c:formatCode>
                <c:ptCount val="61"/>
                <c:pt idx="0">
                  <c:v>0.19</c:v>
                </c:pt>
              </c:numCache>
            </c:numRef>
          </c:val>
          <c:smooth val="0"/>
        </c:ser>
        <c:hiLowLines>
          <c:spPr>
            <a:ln w="0">
              <a:noFill/>
            </a:ln>
          </c:spPr>
        </c:hiLowLines>
        <c:marker val="0"/>
        <c:axId val="71167869"/>
        <c:axId val="4559182"/>
      </c:lineChart>
      <c:catAx>
        <c:axId val="7116786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59182"/>
        <c:crosses val="autoZero"/>
        <c:auto val="1"/>
        <c:lblAlgn val="ctr"/>
        <c:lblOffset val="100"/>
        <c:noMultiLvlLbl val="0"/>
      </c:catAx>
      <c:valAx>
        <c:axId val="455918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expected inflation</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16786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Argentina goods trade balance, 12-month rolling (USD mn)</a:t>
            </a:r>
          </a:p>
        </c:rich>
      </c:tx>
      <c:overlay val="0"/>
      <c:spPr>
        <a:noFill/>
        <a:ln w="0">
          <a:noFill/>
        </a:ln>
      </c:spPr>
    </c:title>
    <c:autoTitleDeleted val="0"/>
    <c:plotArea>
      <c:barChart>
        <c:barDir val="col"/>
        <c:grouping val="clustered"/>
        <c:varyColors val="0"/>
        <c:ser>
          <c:idx val="0"/>
          <c:order val="0"/>
          <c:tx>
            <c:strRef>
              <c:f>'Ch6 Trade balance'!L6</c:f>
              <c:strCache>
                <c:ptCount val="1"/>
                <c:pt idx="0">
                  <c:v>Non-energy balance
12m rolling</c:v>
                </c:pt>
              </c:strCache>
            </c:strRef>
          </c:tx>
          <c:spPr>
            <a:solidFill>
              <a:srgbClr val="d9d9d9"/>
            </a:solidFill>
            <a:ln w="0">
              <a:solidFill>
                <a:srgbClr val="d9d9d9"/>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'Ch6 Trade balance'!$B$26:$B$163</c:f>
              <c:strCache>
                <c:ptCount val="138"/>
                <c:pt idx="0">
                  <c:v>2016-07</c:v>
                </c:pt>
                <c:pt idx="1">
                  <c:v>2016-08</c:v>
                </c:pt>
                <c:pt idx="2">
                  <c:v>2016-09</c:v>
                </c:pt>
                <c:pt idx="3">
                  <c:v>2016-10</c:v>
                </c:pt>
                <c:pt idx="4">
                  <c:v>2016-11</c:v>
                </c:pt>
                <c:pt idx="5">
                  <c:v>2016-12</c:v>
                </c:pt>
                <c:pt idx="6">
                  <c:v>2017-01</c:v>
                </c:pt>
                <c:pt idx="7">
                  <c:v>2017-02</c:v>
                </c:pt>
                <c:pt idx="8">
                  <c:v>2017-03</c:v>
                </c:pt>
                <c:pt idx="9">
                  <c:v>2017-04</c:v>
                </c:pt>
                <c:pt idx="10">
                  <c:v>2017-05</c:v>
                </c:pt>
                <c:pt idx="11">
                  <c:v>2017-06</c:v>
                </c:pt>
                <c:pt idx="12">
                  <c:v>2017-07</c:v>
                </c:pt>
                <c:pt idx="13">
                  <c:v>2017-08</c:v>
                </c:pt>
                <c:pt idx="14">
                  <c:v>2017-09</c:v>
                </c:pt>
                <c:pt idx="15">
                  <c:v>2017-10</c:v>
                </c:pt>
                <c:pt idx="16">
                  <c:v>2017-11</c:v>
                </c:pt>
                <c:pt idx="17">
                  <c:v>2017-12</c:v>
                </c:pt>
                <c:pt idx="18">
                  <c:v>2018-01</c:v>
                </c:pt>
                <c:pt idx="19">
                  <c:v>2018-02</c:v>
                </c:pt>
                <c:pt idx="20">
                  <c:v>2018-03</c:v>
                </c:pt>
                <c:pt idx="21">
                  <c:v>2018-04</c:v>
                </c:pt>
                <c:pt idx="22">
                  <c:v>2018-05</c:v>
                </c:pt>
                <c:pt idx="23">
                  <c:v>2018-06</c:v>
                </c:pt>
                <c:pt idx="24">
                  <c:v>2018-07</c:v>
                </c:pt>
                <c:pt idx="25">
                  <c:v>2018-08</c:v>
                </c:pt>
                <c:pt idx="26">
                  <c:v>2018-09</c:v>
                </c:pt>
                <c:pt idx="27">
                  <c:v>2018-10</c:v>
                </c:pt>
                <c:pt idx="28">
                  <c:v>2018-11</c:v>
                </c:pt>
                <c:pt idx="29">
                  <c:v>2018-12</c:v>
                </c:pt>
                <c:pt idx="30">
                  <c:v>2019-01</c:v>
                </c:pt>
                <c:pt idx="31">
                  <c:v>2019-02</c:v>
                </c:pt>
                <c:pt idx="32">
                  <c:v>2019-03</c:v>
                </c:pt>
                <c:pt idx="33">
                  <c:v>2019-04</c:v>
                </c:pt>
                <c:pt idx="34">
                  <c:v>2019-05</c:v>
                </c:pt>
                <c:pt idx="35">
                  <c:v>2019-06</c:v>
                </c:pt>
                <c:pt idx="36">
                  <c:v>2019-07</c:v>
                </c:pt>
                <c:pt idx="37">
                  <c:v>2019-08</c:v>
                </c:pt>
                <c:pt idx="38">
                  <c:v>2019-09</c:v>
                </c:pt>
                <c:pt idx="39">
                  <c:v>2019-10</c:v>
                </c:pt>
                <c:pt idx="40">
                  <c:v>2019-11</c:v>
                </c:pt>
                <c:pt idx="41">
                  <c:v>2019-12</c:v>
                </c:pt>
                <c:pt idx="42">
                  <c:v>2020-01</c:v>
                </c:pt>
                <c:pt idx="43">
                  <c:v>2020-02</c:v>
                </c:pt>
                <c:pt idx="44">
                  <c:v>2020-03</c:v>
                </c:pt>
                <c:pt idx="45">
                  <c:v>2020-04</c:v>
                </c:pt>
                <c:pt idx="46">
                  <c:v>2020-05</c:v>
                </c:pt>
                <c:pt idx="47">
                  <c:v>2020-06</c:v>
                </c:pt>
                <c:pt idx="48">
                  <c:v>2020-07</c:v>
                </c:pt>
                <c:pt idx="49">
                  <c:v>2020-08</c:v>
                </c:pt>
                <c:pt idx="50">
                  <c:v>2020-09</c:v>
                </c:pt>
                <c:pt idx="51">
                  <c:v>2020-10</c:v>
                </c:pt>
                <c:pt idx="52">
                  <c:v>2020-11</c:v>
                </c:pt>
                <c:pt idx="53">
                  <c:v>2020-12</c:v>
                </c:pt>
                <c:pt idx="54">
                  <c:v>2021-01</c:v>
                </c:pt>
                <c:pt idx="55">
                  <c:v>2021-02</c:v>
                </c:pt>
                <c:pt idx="56">
                  <c:v>2021-03</c:v>
                </c:pt>
                <c:pt idx="57">
                  <c:v>2021-04</c:v>
                </c:pt>
                <c:pt idx="58">
                  <c:v>2021-05</c:v>
                </c:pt>
                <c:pt idx="59">
                  <c:v>2021-06</c:v>
                </c:pt>
                <c:pt idx="60">
                  <c:v>2021-07</c:v>
                </c:pt>
                <c:pt idx="61">
                  <c:v>2021-08</c:v>
                </c:pt>
                <c:pt idx="62">
                  <c:v>2021-09</c:v>
                </c:pt>
                <c:pt idx="63">
                  <c:v>2021-10</c:v>
                </c:pt>
                <c:pt idx="64">
                  <c:v>2021-11</c:v>
                </c:pt>
                <c:pt idx="65">
                  <c:v>2021-12</c:v>
                </c:pt>
                <c:pt idx="66">
                  <c:v>2022-01</c:v>
                </c:pt>
                <c:pt idx="67">
                  <c:v>2022-02</c:v>
                </c:pt>
                <c:pt idx="68">
                  <c:v>2022-03</c:v>
                </c:pt>
                <c:pt idx="69">
                  <c:v>2022-04</c:v>
                </c:pt>
                <c:pt idx="70">
                  <c:v>2022-05</c:v>
                </c:pt>
                <c:pt idx="71">
                  <c:v>2022-06</c:v>
                </c:pt>
                <c:pt idx="72">
                  <c:v>2022-07</c:v>
                </c:pt>
                <c:pt idx="73">
                  <c:v>2022-08</c:v>
                </c:pt>
                <c:pt idx="74">
                  <c:v>2022-09</c:v>
                </c:pt>
                <c:pt idx="75">
                  <c:v>2022-10</c:v>
                </c:pt>
                <c:pt idx="76">
                  <c:v>2022-11</c:v>
                </c:pt>
                <c:pt idx="77">
                  <c:v>2022-12</c:v>
                </c:pt>
                <c:pt idx="78">
                  <c:v>2023-01</c:v>
                </c:pt>
                <c:pt idx="79">
                  <c:v>2023-02</c:v>
                </c:pt>
                <c:pt idx="80">
                  <c:v>2023-03</c:v>
                </c:pt>
                <c:pt idx="81">
                  <c:v>2023-04</c:v>
                </c:pt>
                <c:pt idx="82">
                  <c:v>2023-05</c:v>
                </c:pt>
                <c:pt idx="83">
                  <c:v>2023-06</c:v>
                </c:pt>
                <c:pt idx="84">
                  <c:v>2023-07</c:v>
                </c:pt>
                <c:pt idx="85">
                  <c:v>2023-08</c:v>
                </c:pt>
                <c:pt idx="86">
                  <c:v>2023-09</c:v>
                </c:pt>
                <c:pt idx="87">
                  <c:v>2023-10</c:v>
                </c:pt>
                <c:pt idx="88">
                  <c:v>2023-11</c:v>
                </c:pt>
                <c:pt idx="89">
                  <c:v>2023-12</c:v>
                </c:pt>
                <c:pt idx="90">
                  <c:v>2024-01</c:v>
                </c:pt>
                <c:pt idx="91">
                  <c:v>2024-02</c:v>
                </c:pt>
                <c:pt idx="92">
                  <c:v>2024-03</c:v>
                </c:pt>
                <c:pt idx="93">
                  <c:v>2024-04</c:v>
                </c:pt>
                <c:pt idx="94">
                  <c:v>2024-05</c:v>
                </c:pt>
                <c:pt idx="95">
                  <c:v>2024-06</c:v>
                </c:pt>
                <c:pt idx="96">
                  <c:v>2024-07</c:v>
                </c:pt>
                <c:pt idx="97">
                  <c:v>2024-08</c:v>
                </c:pt>
                <c:pt idx="98">
                  <c:v>2024-09</c:v>
                </c:pt>
                <c:pt idx="99">
                  <c:v>2024-10</c:v>
                </c:pt>
                <c:pt idx="100">
                  <c:v>2024-11</c:v>
                </c:pt>
                <c:pt idx="101">
                  <c:v>2024-12</c:v>
                </c:pt>
                <c:pt idx="102">
                  <c:v>2025-01</c:v>
                </c:pt>
                <c:pt idx="103">
                  <c:v>2025-02</c:v>
                </c:pt>
                <c:pt idx="104">
                  <c:v>2025-03</c:v>
                </c:pt>
                <c:pt idx="105">
                  <c:v>2025-04</c:v>
                </c:pt>
                <c:pt idx="106">
                  <c:v>2025-05</c:v>
                </c:pt>
                <c:pt idx="107">
                  <c:v>2025-06</c:v>
                </c:pt>
                <c:pt idx="108">
                  <c:v>2025-07</c:v>
                </c:pt>
                <c:pt idx="109">
                  <c:v>2025-08</c:v>
                </c:pt>
                <c:pt idx="110">
                  <c:v>2025-09</c:v>
                </c:pt>
                <c:pt idx="111">
                  <c:v>2025-10</c:v>
                </c:pt>
                <c:pt idx="112">
                  <c:v>2025-11</c:v>
                </c:pt>
                <c:pt idx="113">
                  <c:v>2025-12</c:v>
                </c:pt>
                <c:pt idx="114">
                  <c:v>2026-01</c:v>
                </c:pt>
                <c:pt idx="115">
                  <c:v>2026-02</c:v>
                </c:pt>
                <c:pt idx="116">
                  <c:v>2026-03</c:v>
                </c:pt>
                <c:pt idx="117">
                  <c:v>2026-04</c:v>
                </c:pt>
                <c:pt idx="118">
                  <c:v>2026-05</c:v>
                </c:pt>
                <c:pt idx="119">
                  <c:v>2026-06</c:v>
                </c:pt>
                <c:pt idx="120">
                  <c:v>2026-07</c:v>
                </c:pt>
                <c:pt idx="121">
                  <c:v>2026-08</c:v>
                </c:pt>
                <c:pt idx="122">
                  <c:v>2026-09</c:v>
                </c:pt>
                <c:pt idx="123">
                  <c:v>2026-10</c:v>
                </c:pt>
                <c:pt idx="124">
                  <c:v>2026-11</c:v>
                </c:pt>
                <c:pt idx="125">
                  <c:v>2026-12</c:v>
                </c:pt>
                <c:pt idx="126">
                  <c:v>2027-01</c:v>
                </c:pt>
                <c:pt idx="127">
                  <c:v>2027-02</c:v>
                </c:pt>
                <c:pt idx="128">
                  <c:v>2027-03</c:v>
                </c:pt>
                <c:pt idx="129">
                  <c:v>2027-04</c:v>
                </c:pt>
                <c:pt idx="130">
                  <c:v>2027-05</c:v>
                </c:pt>
                <c:pt idx="131">
                  <c:v>2027-06</c:v>
                </c:pt>
                <c:pt idx="132">
                  <c:v>2027-07</c:v>
                </c:pt>
                <c:pt idx="133">
                  <c:v>2027-08</c:v>
                </c:pt>
                <c:pt idx="134">
                  <c:v>2027-09</c:v>
                </c:pt>
                <c:pt idx="135">
                  <c:v>2027-10</c:v>
                </c:pt>
                <c:pt idx="136">
                  <c:v>2027-11</c:v>
                </c:pt>
                <c:pt idx="137">
                  <c:v>2027-12</c:v>
                </c:pt>
              </c:strCache>
            </c:strRef>
          </c:cat>
          <c:val>
            <c:numRef>
              <c:f>'Ch6 Trade balance'!$L$7:$L$163</c:f>
              <c:numCache>
                <c:formatCode>General</c:formatCode>
                <c:ptCount val="157"/>
              </c:numCache>
            </c:numRef>
          </c:val>
        </c:ser>
        <c:gapWidth val="60"/>
        <c:overlap val="0"/>
        <c:axId val="55955356"/>
        <c:axId val="50293941"/>
      </c:barChart>
      <c:lineChart>
        <c:grouping val="standard"/>
        <c:varyColors val="0"/>
        <c:ser>
          <c:idx val="1"/>
          <c:order val="1"/>
          <c:tx>
            <c:strRef>
              <c:f>'Ch6 Trade balance'!M6</c:f>
              <c:strCache>
                <c:ptCount val="1"/>
                <c:pt idx="0">
                  <c:v/>
                </c:pt>
              </c:strCache>
            </c:strRef>
          </c:tx>
          <c:spPr>
            <a:solidFill>
              <a:srgbClr val="ec0016"/>
            </a:solidFill>
            <a:ln w="28080">
              <a:solidFill>
                <a:srgbClr val="ec001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'Ch6 Trade balance'!$B$26:$B$163</c:f>
              <c:strCache>
                <c:ptCount val="138"/>
                <c:pt idx="0">
                  <c:v>2016-07</c:v>
                </c:pt>
                <c:pt idx="1">
                  <c:v>2016-08</c:v>
                </c:pt>
                <c:pt idx="2">
                  <c:v>2016-09</c:v>
                </c:pt>
                <c:pt idx="3">
                  <c:v>2016-10</c:v>
                </c:pt>
                <c:pt idx="4">
                  <c:v>2016-11</c:v>
                </c:pt>
                <c:pt idx="5">
                  <c:v>2016-12</c:v>
                </c:pt>
                <c:pt idx="6">
                  <c:v>2017-01</c:v>
                </c:pt>
                <c:pt idx="7">
                  <c:v>2017-02</c:v>
                </c:pt>
                <c:pt idx="8">
                  <c:v>2017-03</c:v>
                </c:pt>
                <c:pt idx="9">
                  <c:v>2017-04</c:v>
                </c:pt>
                <c:pt idx="10">
                  <c:v>2017-05</c:v>
                </c:pt>
                <c:pt idx="11">
                  <c:v>2017-06</c:v>
                </c:pt>
                <c:pt idx="12">
                  <c:v>2017-07</c:v>
                </c:pt>
                <c:pt idx="13">
                  <c:v>2017-08</c:v>
                </c:pt>
                <c:pt idx="14">
                  <c:v>2017-09</c:v>
                </c:pt>
                <c:pt idx="15">
                  <c:v>2017-10</c:v>
                </c:pt>
                <c:pt idx="16">
                  <c:v>2017-11</c:v>
                </c:pt>
                <c:pt idx="17">
                  <c:v>2017-12</c:v>
                </c:pt>
                <c:pt idx="18">
                  <c:v>2018-01</c:v>
                </c:pt>
                <c:pt idx="19">
                  <c:v>2018-02</c:v>
                </c:pt>
                <c:pt idx="20">
                  <c:v>2018-03</c:v>
                </c:pt>
                <c:pt idx="21">
                  <c:v>2018-04</c:v>
                </c:pt>
                <c:pt idx="22">
                  <c:v>2018-05</c:v>
                </c:pt>
                <c:pt idx="23">
                  <c:v>2018-06</c:v>
                </c:pt>
                <c:pt idx="24">
                  <c:v>2018-07</c:v>
                </c:pt>
                <c:pt idx="25">
                  <c:v>2018-08</c:v>
                </c:pt>
                <c:pt idx="26">
                  <c:v>2018-09</c:v>
                </c:pt>
                <c:pt idx="27">
                  <c:v>2018-10</c:v>
                </c:pt>
                <c:pt idx="28">
                  <c:v>2018-11</c:v>
                </c:pt>
                <c:pt idx="29">
                  <c:v>2018-12</c:v>
                </c:pt>
                <c:pt idx="30">
                  <c:v>2019-01</c:v>
                </c:pt>
                <c:pt idx="31">
                  <c:v>2019-02</c:v>
                </c:pt>
                <c:pt idx="32">
                  <c:v>2019-03</c:v>
                </c:pt>
                <c:pt idx="33">
                  <c:v>2019-04</c:v>
                </c:pt>
                <c:pt idx="34">
                  <c:v>2019-05</c:v>
                </c:pt>
                <c:pt idx="35">
                  <c:v>2019-06</c:v>
                </c:pt>
                <c:pt idx="36">
                  <c:v>2019-07</c:v>
                </c:pt>
                <c:pt idx="37">
                  <c:v>2019-08</c:v>
                </c:pt>
                <c:pt idx="38">
                  <c:v>2019-09</c:v>
                </c:pt>
                <c:pt idx="39">
                  <c:v>2019-10</c:v>
                </c:pt>
                <c:pt idx="40">
                  <c:v>2019-11</c:v>
                </c:pt>
                <c:pt idx="41">
                  <c:v>2019-12</c:v>
                </c:pt>
                <c:pt idx="42">
                  <c:v>2020-01</c:v>
                </c:pt>
                <c:pt idx="43">
                  <c:v>2020-02</c:v>
                </c:pt>
                <c:pt idx="44">
                  <c:v>2020-03</c:v>
                </c:pt>
                <c:pt idx="45">
                  <c:v>2020-04</c:v>
                </c:pt>
                <c:pt idx="46">
                  <c:v>2020-05</c:v>
                </c:pt>
                <c:pt idx="47">
                  <c:v>2020-06</c:v>
                </c:pt>
                <c:pt idx="48">
                  <c:v>2020-07</c:v>
                </c:pt>
                <c:pt idx="49">
                  <c:v>2020-08</c:v>
                </c:pt>
                <c:pt idx="50">
                  <c:v>2020-09</c:v>
                </c:pt>
                <c:pt idx="51">
                  <c:v>2020-10</c:v>
                </c:pt>
                <c:pt idx="52">
                  <c:v>2020-11</c:v>
                </c:pt>
                <c:pt idx="53">
                  <c:v>2020-12</c:v>
                </c:pt>
                <c:pt idx="54">
                  <c:v>2021-01</c:v>
                </c:pt>
                <c:pt idx="55">
                  <c:v>2021-02</c:v>
                </c:pt>
                <c:pt idx="56">
                  <c:v>2021-03</c:v>
                </c:pt>
                <c:pt idx="57">
                  <c:v>2021-04</c:v>
                </c:pt>
                <c:pt idx="58">
                  <c:v>2021-05</c:v>
                </c:pt>
                <c:pt idx="59">
                  <c:v>2021-06</c:v>
                </c:pt>
                <c:pt idx="60">
                  <c:v>2021-07</c:v>
                </c:pt>
                <c:pt idx="61">
                  <c:v>2021-08</c:v>
                </c:pt>
                <c:pt idx="62">
                  <c:v>2021-09</c:v>
                </c:pt>
                <c:pt idx="63">
                  <c:v>2021-10</c:v>
                </c:pt>
                <c:pt idx="64">
                  <c:v>2021-11</c:v>
                </c:pt>
                <c:pt idx="65">
                  <c:v>2021-12</c:v>
                </c:pt>
                <c:pt idx="66">
                  <c:v>2022-01</c:v>
                </c:pt>
                <c:pt idx="67">
                  <c:v>2022-02</c:v>
                </c:pt>
                <c:pt idx="68">
                  <c:v>2022-03</c:v>
                </c:pt>
                <c:pt idx="69">
                  <c:v>2022-04</c:v>
                </c:pt>
                <c:pt idx="70">
                  <c:v>2022-05</c:v>
                </c:pt>
                <c:pt idx="71">
                  <c:v>2022-06</c:v>
                </c:pt>
                <c:pt idx="72">
                  <c:v>2022-07</c:v>
                </c:pt>
                <c:pt idx="73">
                  <c:v>2022-08</c:v>
                </c:pt>
                <c:pt idx="74">
                  <c:v>2022-09</c:v>
                </c:pt>
                <c:pt idx="75">
                  <c:v>2022-10</c:v>
                </c:pt>
                <c:pt idx="76">
                  <c:v>2022-11</c:v>
                </c:pt>
                <c:pt idx="77">
                  <c:v>2022-12</c:v>
                </c:pt>
                <c:pt idx="78">
                  <c:v>2023-01</c:v>
                </c:pt>
                <c:pt idx="79">
                  <c:v>2023-02</c:v>
                </c:pt>
                <c:pt idx="80">
                  <c:v>2023-03</c:v>
                </c:pt>
                <c:pt idx="81">
                  <c:v>2023-04</c:v>
                </c:pt>
                <c:pt idx="82">
                  <c:v>2023-05</c:v>
                </c:pt>
                <c:pt idx="83">
                  <c:v>2023-06</c:v>
                </c:pt>
                <c:pt idx="84">
                  <c:v>2023-07</c:v>
                </c:pt>
                <c:pt idx="85">
                  <c:v>2023-08</c:v>
                </c:pt>
                <c:pt idx="86">
                  <c:v>2023-09</c:v>
                </c:pt>
                <c:pt idx="87">
                  <c:v>2023-10</c:v>
                </c:pt>
                <c:pt idx="88">
                  <c:v>2023-11</c:v>
                </c:pt>
                <c:pt idx="89">
                  <c:v>2023-12</c:v>
                </c:pt>
                <c:pt idx="90">
                  <c:v>2024-01</c:v>
                </c:pt>
                <c:pt idx="91">
                  <c:v>2024-02</c:v>
                </c:pt>
                <c:pt idx="92">
                  <c:v>2024-03</c:v>
                </c:pt>
                <c:pt idx="93">
                  <c:v>2024-04</c:v>
                </c:pt>
                <c:pt idx="94">
                  <c:v>2024-05</c:v>
                </c:pt>
                <c:pt idx="95">
                  <c:v>2024-06</c:v>
                </c:pt>
                <c:pt idx="96">
                  <c:v>2024-07</c:v>
                </c:pt>
                <c:pt idx="97">
                  <c:v>2024-08</c:v>
                </c:pt>
                <c:pt idx="98">
                  <c:v>2024-09</c:v>
                </c:pt>
                <c:pt idx="99">
                  <c:v>2024-10</c:v>
                </c:pt>
                <c:pt idx="100">
                  <c:v>2024-11</c:v>
                </c:pt>
                <c:pt idx="101">
                  <c:v>2024-12</c:v>
                </c:pt>
                <c:pt idx="102">
                  <c:v>2025-01</c:v>
                </c:pt>
                <c:pt idx="103">
                  <c:v>2025-02</c:v>
                </c:pt>
                <c:pt idx="104">
                  <c:v>2025-03</c:v>
                </c:pt>
                <c:pt idx="105">
                  <c:v>2025-04</c:v>
                </c:pt>
                <c:pt idx="106">
                  <c:v>2025-05</c:v>
                </c:pt>
                <c:pt idx="107">
                  <c:v>2025-06</c:v>
                </c:pt>
                <c:pt idx="108">
                  <c:v>2025-07</c:v>
                </c:pt>
                <c:pt idx="109">
                  <c:v>2025-08</c:v>
                </c:pt>
                <c:pt idx="110">
                  <c:v>2025-09</c:v>
                </c:pt>
                <c:pt idx="111">
                  <c:v>2025-10</c:v>
                </c:pt>
                <c:pt idx="112">
                  <c:v>2025-11</c:v>
                </c:pt>
                <c:pt idx="113">
                  <c:v>2025-12</c:v>
                </c:pt>
                <c:pt idx="114">
                  <c:v>2026-01</c:v>
                </c:pt>
                <c:pt idx="115">
                  <c:v>2026-02</c:v>
                </c:pt>
                <c:pt idx="116">
                  <c:v>2026-03</c:v>
                </c:pt>
                <c:pt idx="117">
                  <c:v>2026-04</c:v>
                </c:pt>
                <c:pt idx="118">
                  <c:v>2026-05</c:v>
                </c:pt>
                <c:pt idx="119">
                  <c:v>2026-06</c:v>
                </c:pt>
                <c:pt idx="120">
                  <c:v>2026-07</c:v>
                </c:pt>
                <c:pt idx="121">
                  <c:v>2026-08</c:v>
                </c:pt>
                <c:pt idx="122">
                  <c:v>2026-09</c:v>
                </c:pt>
                <c:pt idx="123">
                  <c:v>2026-10</c:v>
                </c:pt>
                <c:pt idx="124">
                  <c:v>2026-11</c:v>
                </c:pt>
                <c:pt idx="125">
                  <c:v>2026-12</c:v>
                </c:pt>
                <c:pt idx="126">
                  <c:v>2027-01</c:v>
                </c:pt>
                <c:pt idx="127">
                  <c:v>2027-02</c:v>
                </c:pt>
                <c:pt idx="128">
                  <c:v>2027-03</c:v>
                </c:pt>
                <c:pt idx="129">
                  <c:v>2027-04</c:v>
                </c:pt>
                <c:pt idx="130">
                  <c:v>2027-05</c:v>
                </c:pt>
                <c:pt idx="131">
                  <c:v>2027-06</c:v>
                </c:pt>
                <c:pt idx="132">
                  <c:v>2027-07</c:v>
                </c:pt>
                <c:pt idx="133">
                  <c:v>2027-08</c:v>
                </c:pt>
                <c:pt idx="134">
                  <c:v>2027-09</c:v>
                </c:pt>
                <c:pt idx="135">
                  <c:v>2027-10</c:v>
                </c:pt>
                <c:pt idx="136">
                  <c:v>2027-11</c:v>
                </c:pt>
                <c:pt idx="137">
                  <c:v>2027-12</c:v>
                </c:pt>
              </c:strCache>
            </c:strRef>
          </c:cat>
          <c:val>
            <c:numRef>
              <c:f>'Ch6 Trade balance'!$M$7:$M$163</c:f>
              <c:numCache>
                <c:formatCode>General</c:formatCode>
                <c:ptCount val="157"/>
              </c:numCache>
            </c:numRef>
          </c:val>
          <c:smooth val="0"/>
        </c:ser>
        <c:ser>
          <c:idx val="2"/>
          <c:order val="2"/>
          <c:tx>
            <c:strRef>
              <c:f>'Ch6 Trade balance'!N6</c:f>
              <c:strCache>
                <c:ptCount val="1"/>
                <c:pt idx="0">
                  <c:v/>
                </c:pt>
              </c:strCache>
            </c:strRef>
          </c:tx>
          <c:spPr>
            <a:solidFill>
              <a:srgbClr val="5b7c99"/>
            </a:solidFill>
            <a:ln w="28080">
              <a:solidFill>
                <a:srgbClr val="5b7c99"/>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'Ch6 Trade balance'!$B$26:$B$163</c:f>
              <c:strCache>
                <c:ptCount val="138"/>
                <c:pt idx="0">
                  <c:v>2016-07</c:v>
                </c:pt>
                <c:pt idx="1">
                  <c:v>2016-08</c:v>
                </c:pt>
                <c:pt idx="2">
                  <c:v>2016-09</c:v>
                </c:pt>
                <c:pt idx="3">
                  <c:v>2016-10</c:v>
                </c:pt>
                <c:pt idx="4">
                  <c:v>2016-11</c:v>
                </c:pt>
                <c:pt idx="5">
                  <c:v>2016-12</c:v>
                </c:pt>
                <c:pt idx="6">
                  <c:v>2017-01</c:v>
                </c:pt>
                <c:pt idx="7">
                  <c:v>2017-02</c:v>
                </c:pt>
                <c:pt idx="8">
                  <c:v>2017-03</c:v>
                </c:pt>
                <c:pt idx="9">
                  <c:v>2017-04</c:v>
                </c:pt>
                <c:pt idx="10">
                  <c:v>2017-05</c:v>
                </c:pt>
                <c:pt idx="11">
                  <c:v>2017-06</c:v>
                </c:pt>
                <c:pt idx="12">
                  <c:v>2017-07</c:v>
                </c:pt>
                <c:pt idx="13">
                  <c:v>2017-08</c:v>
                </c:pt>
                <c:pt idx="14">
                  <c:v>2017-09</c:v>
                </c:pt>
                <c:pt idx="15">
                  <c:v>2017-10</c:v>
                </c:pt>
                <c:pt idx="16">
                  <c:v>2017-11</c:v>
                </c:pt>
                <c:pt idx="17">
                  <c:v>2017-12</c:v>
                </c:pt>
                <c:pt idx="18">
                  <c:v>2018-01</c:v>
                </c:pt>
                <c:pt idx="19">
                  <c:v>2018-02</c:v>
                </c:pt>
                <c:pt idx="20">
                  <c:v>2018-03</c:v>
                </c:pt>
                <c:pt idx="21">
                  <c:v>2018-04</c:v>
                </c:pt>
                <c:pt idx="22">
                  <c:v>2018-05</c:v>
                </c:pt>
                <c:pt idx="23">
                  <c:v>2018-06</c:v>
                </c:pt>
                <c:pt idx="24">
                  <c:v>2018-07</c:v>
                </c:pt>
                <c:pt idx="25">
                  <c:v>2018-08</c:v>
                </c:pt>
                <c:pt idx="26">
                  <c:v>2018-09</c:v>
                </c:pt>
                <c:pt idx="27">
                  <c:v>2018-10</c:v>
                </c:pt>
                <c:pt idx="28">
                  <c:v>2018-11</c:v>
                </c:pt>
                <c:pt idx="29">
                  <c:v>2018-12</c:v>
                </c:pt>
                <c:pt idx="30">
                  <c:v>2019-01</c:v>
                </c:pt>
                <c:pt idx="31">
                  <c:v>2019-02</c:v>
                </c:pt>
                <c:pt idx="32">
                  <c:v>2019-03</c:v>
                </c:pt>
                <c:pt idx="33">
                  <c:v>2019-04</c:v>
                </c:pt>
                <c:pt idx="34">
                  <c:v>2019-05</c:v>
                </c:pt>
                <c:pt idx="35">
                  <c:v>2019-06</c:v>
                </c:pt>
                <c:pt idx="36">
                  <c:v>2019-07</c:v>
                </c:pt>
                <c:pt idx="37">
                  <c:v>2019-08</c:v>
                </c:pt>
                <c:pt idx="38">
                  <c:v>2019-09</c:v>
                </c:pt>
                <c:pt idx="39">
                  <c:v>2019-10</c:v>
                </c:pt>
                <c:pt idx="40">
                  <c:v>2019-11</c:v>
                </c:pt>
                <c:pt idx="41">
                  <c:v>2019-12</c:v>
                </c:pt>
                <c:pt idx="42">
                  <c:v>2020-01</c:v>
                </c:pt>
                <c:pt idx="43">
                  <c:v>2020-02</c:v>
                </c:pt>
                <c:pt idx="44">
                  <c:v>2020-03</c:v>
                </c:pt>
                <c:pt idx="45">
                  <c:v>2020-04</c:v>
                </c:pt>
                <c:pt idx="46">
                  <c:v>2020-05</c:v>
                </c:pt>
                <c:pt idx="47">
                  <c:v>2020-06</c:v>
                </c:pt>
                <c:pt idx="48">
                  <c:v>2020-07</c:v>
                </c:pt>
                <c:pt idx="49">
                  <c:v>2020-08</c:v>
                </c:pt>
                <c:pt idx="50">
                  <c:v>2020-09</c:v>
                </c:pt>
                <c:pt idx="51">
                  <c:v>2020-10</c:v>
                </c:pt>
                <c:pt idx="52">
                  <c:v>2020-11</c:v>
                </c:pt>
                <c:pt idx="53">
                  <c:v>2020-12</c:v>
                </c:pt>
                <c:pt idx="54">
                  <c:v>2021-01</c:v>
                </c:pt>
                <c:pt idx="55">
                  <c:v>2021-02</c:v>
                </c:pt>
                <c:pt idx="56">
                  <c:v>2021-03</c:v>
                </c:pt>
                <c:pt idx="57">
                  <c:v>2021-04</c:v>
                </c:pt>
                <c:pt idx="58">
                  <c:v>2021-05</c:v>
                </c:pt>
                <c:pt idx="59">
                  <c:v>2021-06</c:v>
                </c:pt>
                <c:pt idx="60">
                  <c:v>2021-07</c:v>
                </c:pt>
                <c:pt idx="61">
                  <c:v>2021-08</c:v>
                </c:pt>
                <c:pt idx="62">
                  <c:v>2021-09</c:v>
                </c:pt>
                <c:pt idx="63">
                  <c:v>2021-10</c:v>
                </c:pt>
                <c:pt idx="64">
                  <c:v>2021-11</c:v>
                </c:pt>
                <c:pt idx="65">
                  <c:v>2021-12</c:v>
                </c:pt>
                <c:pt idx="66">
                  <c:v>2022-01</c:v>
                </c:pt>
                <c:pt idx="67">
                  <c:v>2022-02</c:v>
                </c:pt>
                <c:pt idx="68">
                  <c:v>2022-03</c:v>
                </c:pt>
                <c:pt idx="69">
                  <c:v>2022-04</c:v>
                </c:pt>
                <c:pt idx="70">
                  <c:v>2022-05</c:v>
                </c:pt>
                <c:pt idx="71">
                  <c:v>2022-06</c:v>
                </c:pt>
                <c:pt idx="72">
                  <c:v>2022-07</c:v>
                </c:pt>
                <c:pt idx="73">
                  <c:v>2022-08</c:v>
                </c:pt>
                <c:pt idx="74">
                  <c:v>2022-09</c:v>
                </c:pt>
                <c:pt idx="75">
                  <c:v>2022-10</c:v>
                </c:pt>
                <c:pt idx="76">
                  <c:v>2022-11</c:v>
                </c:pt>
                <c:pt idx="77">
                  <c:v>2022-12</c:v>
                </c:pt>
                <c:pt idx="78">
                  <c:v>2023-01</c:v>
                </c:pt>
                <c:pt idx="79">
                  <c:v>2023-02</c:v>
                </c:pt>
                <c:pt idx="80">
                  <c:v>2023-03</c:v>
                </c:pt>
                <c:pt idx="81">
                  <c:v>2023-04</c:v>
                </c:pt>
                <c:pt idx="82">
                  <c:v>2023-05</c:v>
                </c:pt>
                <c:pt idx="83">
                  <c:v>2023-06</c:v>
                </c:pt>
                <c:pt idx="84">
                  <c:v>2023-07</c:v>
                </c:pt>
                <c:pt idx="85">
                  <c:v>2023-08</c:v>
                </c:pt>
                <c:pt idx="86">
                  <c:v>2023-09</c:v>
                </c:pt>
                <c:pt idx="87">
                  <c:v>2023-10</c:v>
                </c:pt>
                <c:pt idx="88">
                  <c:v>2023-11</c:v>
                </c:pt>
                <c:pt idx="89">
                  <c:v>2023-12</c:v>
                </c:pt>
                <c:pt idx="90">
                  <c:v>2024-01</c:v>
                </c:pt>
                <c:pt idx="91">
                  <c:v>2024-02</c:v>
                </c:pt>
                <c:pt idx="92">
                  <c:v>2024-03</c:v>
                </c:pt>
                <c:pt idx="93">
                  <c:v>2024-04</c:v>
                </c:pt>
                <c:pt idx="94">
                  <c:v>2024-05</c:v>
                </c:pt>
                <c:pt idx="95">
                  <c:v>2024-06</c:v>
                </c:pt>
                <c:pt idx="96">
                  <c:v>2024-07</c:v>
                </c:pt>
                <c:pt idx="97">
                  <c:v>2024-08</c:v>
                </c:pt>
                <c:pt idx="98">
                  <c:v>2024-09</c:v>
                </c:pt>
                <c:pt idx="99">
                  <c:v>2024-10</c:v>
                </c:pt>
                <c:pt idx="100">
                  <c:v>2024-11</c:v>
                </c:pt>
                <c:pt idx="101">
                  <c:v>2024-12</c:v>
                </c:pt>
                <c:pt idx="102">
                  <c:v>2025-01</c:v>
                </c:pt>
                <c:pt idx="103">
                  <c:v>2025-02</c:v>
                </c:pt>
                <c:pt idx="104">
                  <c:v>2025-03</c:v>
                </c:pt>
                <c:pt idx="105">
                  <c:v>2025-04</c:v>
                </c:pt>
                <c:pt idx="106">
                  <c:v>2025-05</c:v>
                </c:pt>
                <c:pt idx="107">
                  <c:v>2025-06</c:v>
                </c:pt>
                <c:pt idx="108">
                  <c:v>2025-07</c:v>
                </c:pt>
                <c:pt idx="109">
                  <c:v>2025-08</c:v>
                </c:pt>
                <c:pt idx="110">
                  <c:v>2025-09</c:v>
                </c:pt>
                <c:pt idx="111">
                  <c:v>2025-10</c:v>
                </c:pt>
                <c:pt idx="112">
                  <c:v>2025-11</c:v>
                </c:pt>
                <c:pt idx="113">
                  <c:v>2025-12</c:v>
                </c:pt>
                <c:pt idx="114">
                  <c:v>2026-01</c:v>
                </c:pt>
                <c:pt idx="115">
                  <c:v>2026-02</c:v>
                </c:pt>
                <c:pt idx="116">
                  <c:v>2026-03</c:v>
                </c:pt>
                <c:pt idx="117">
                  <c:v>2026-04</c:v>
                </c:pt>
                <c:pt idx="118">
                  <c:v>2026-05</c:v>
                </c:pt>
                <c:pt idx="119">
                  <c:v>2026-06</c:v>
                </c:pt>
                <c:pt idx="120">
                  <c:v>2026-07</c:v>
                </c:pt>
                <c:pt idx="121">
                  <c:v>2026-08</c:v>
                </c:pt>
                <c:pt idx="122">
                  <c:v>2026-09</c:v>
                </c:pt>
                <c:pt idx="123">
                  <c:v>2026-10</c:v>
                </c:pt>
                <c:pt idx="124">
                  <c:v>2026-11</c:v>
                </c:pt>
                <c:pt idx="125">
                  <c:v>2026-12</c:v>
                </c:pt>
                <c:pt idx="126">
                  <c:v>2027-01</c:v>
                </c:pt>
                <c:pt idx="127">
                  <c:v>2027-02</c:v>
                </c:pt>
                <c:pt idx="128">
                  <c:v>2027-03</c:v>
                </c:pt>
                <c:pt idx="129">
                  <c:v>2027-04</c:v>
                </c:pt>
                <c:pt idx="130">
                  <c:v>2027-05</c:v>
                </c:pt>
                <c:pt idx="131">
                  <c:v>2027-06</c:v>
                </c:pt>
                <c:pt idx="132">
                  <c:v>2027-07</c:v>
                </c:pt>
                <c:pt idx="133">
                  <c:v>2027-08</c:v>
                </c:pt>
                <c:pt idx="134">
                  <c:v>2027-09</c:v>
                </c:pt>
                <c:pt idx="135">
                  <c:v>2027-10</c:v>
                </c:pt>
                <c:pt idx="136">
                  <c:v>2027-11</c:v>
                </c:pt>
                <c:pt idx="137">
                  <c:v>2027-12</c:v>
                </c:pt>
              </c:strCache>
            </c:strRef>
          </c:cat>
          <c:val>
            <c:numRef>
              <c:f>'Ch6 Trade balance'!$N$7:$N$163</c:f>
              <c:numCache>
                <c:formatCode>General</c:formatCode>
                <c:ptCount val="157"/>
              </c:numCache>
            </c:numRef>
          </c:val>
          <c:smooth val="0"/>
        </c:ser>
        <c:hiLowLines>
          <c:spPr>
            <a:ln w="0">
              <a:noFill/>
            </a:ln>
          </c:spPr>
        </c:hiLowLines>
        <c:marker val="0"/>
        <c:axId val="55955356"/>
        <c:axId val="50293941"/>
      </c:lineChart>
      <c:catAx>
        <c:axId val="5595535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293941"/>
        <c:crosses val="autoZero"/>
        <c:auto val="1"/>
        <c:lblAlgn val="ctr"/>
        <c:lblOffset val="100"/>
        <c:noMultiLvlLbl val="0"/>
      </c:catAx>
      <c:valAx>
        <c:axId val="5029394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 mn, 12m rolling</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95535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Primary and overall balance, 12-month rolling (% of GDP)</a:t>
            </a:r>
          </a:p>
        </c:rich>
      </c:tx>
      <c:overlay val="0"/>
      <c:spPr>
        <a:noFill/>
        <a:ln w="0">
          <a:noFill/>
        </a:ln>
      </c:spPr>
    </c:title>
    <c:autoTitleDeleted val="0"/>
    <c:plotArea>
      <c:lineChart>
        <c:grouping val="standard"/>
        <c:varyColors val="0"/>
        <c:ser>
          <c:idx val="0"/>
          <c:order val="0"/>
          <c:tx>
            <c:strRef>
              <c:f>'Ch7 Fiscal'!C6</c:f>
              <c:strCache>
                <c:ptCount val="1"/>
                <c:pt idx="0">
                  <c:v>Primary balance
12m, % GDP</c:v>
                </c:pt>
              </c:strCache>
            </c:strRef>
          </c:tx>
          <c:spPr>
            <a:solidFill>
              <a:srgbClr val="ec0016"/>
            </a:solidFill>
            <a:ln w="28080">
              <a:solidFill>
                <a:srgbClr val="ec001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'Ch7 Fiscal'!$B$7:$B$139</c:f>
              <c:strCache>
                <c:ptCount val="133"/>
                <c:pt idx="0">
                  <c:v>2016-12</c:v>
                </c:pt>
                <c:pt idx="1">
                  <c:v>2017-01</c:v>
                </c:pt>
                <c:pt idx="2">
                  <c:v>2017-02</c:v>
                </c:pt>
                <c:pt idx="3">
                  <c:v>2017-03</c:v>
                </c:pt>
                <c:pt idx="4">
                  <c:v>2017-04</c:v>
                </c:pt>
                <c:pt idx="5">
                  <c:v>2017-05</c:v>
                </c:pt>
                <c:pt idx="6">
                  <c:v>2017-06</c:v>
                </c:pt>
                <c:pt idx="7">
                  <c:v>2017-07</c:v>
                </c:pt>
                <c:pt idx="8">
                  <c:v>2017-08</c:v>
                </c:pt>
                <c:pt idx="9">
                  <c:v>2017-09</c:v>
                </c:pt>
                <c:pt idx="10">
                  <c:v>2017-10</c:v>
                </c:pt>
                <c:pt idx="11">
                  <c:v>2017-11</c:v>
                </c:pt>
                <c:pt idx="12">
                  <c:v>2017-12</c:v>
                </c:pt>
                <c:pt idx="13">
                  <c:v>2018-01</c:v>
                </c:pt>
                <c:pt idx="14">
                  <c:v>2018-02</c:v>
                </c:pt>
                <c:pt idx="15">
                  <c:v>2018-03</c:v>
                </c:pt>
                <c:pt idx="16">
                  <c:v>2018-04</c:v>
                </c:pt>
                <c:pt idx="17">
                  <c:v>2018-05</c:v>
                </c:pt>
                <c:pt idx="18">
                  <c:v>2018-06</c:v>
                </c:pt>
                <c:pt idx="19">
                  <c:v>2018-07</c:v>
                </c:pt>
                <c:pt idx="20">
                  <c:v>2018-08</c:v>
                </c:pt>
                <c:pt idx="21">
                  <c:v>2018-09</c:v>
                </c:pt>
                <c:pt idx="22">
                  <c:v>2018-10</c:v>
                </c:pt>
                <c:pt idx="23">
                  <c:v>2018-11</c:v>
                </c:pt>
                <c:pt idx="24">
                  <c:v>2018-12</c:v>
                </c:pt>
                <c:pt idx="25">
                  <c:v>2019-01</c:v>
                </c:pt>
                <c:pt idx="26">
                  <c:v>2019-02</c:v>
                </c:pt>
                <c:pt idx="27">
                  <c:v>2019-03</c:v>
                </c:pt>
                <c:pt idx="28">
                  <c:v>2019-04</c:v>
                </c:pt>
                <c:pt idx="29">
                  <c:v>2019-05</c:v>
                </c:pt>
                <c:pt idx="30">
                  <c:v>2019-06</c:v>
                </c:pt>
                <c:pt idx="31">
                  <c:v>2019-07</c:v>
                </c:pt>
                <c:pt idx="32">
                  <c:v>2019-08</c:v>
                </c:pt>
                <c:pt idx="33">
                  <c:v>2019-09</c:v>
                </c:pt>
                <c:pt idx="34">
                  <c:v>2019-10</c:v>
                </c:pt>
                <c:pt idx="35">
                  <c:v>2019-11</c:v>
                </c:pt>
                <c:pt idx="36">
                  <c:v>2019-12</c:v>
                </c:pt>
                <c:pt idx="37">
                  <c:v>2020-01</c:v>
                </c:pt>
                <c:pt idx="38">
                  <c:v>2020-02</c:v>
                </c:pt>
                <c:pt idx="39">
                  <c:v>2020-03</c:v>
                </c:pt>
                <c:pt idx="40">
                  <c:v>2020-04</c:v>
                </c:pt>
                <c:pt idx="41">
                  <c:v>2020-05</c:v>
                </c:pt>
                <c:pt idx="42">
                  <c:v>2020-06</c:v>
                </c:pt>
                <c:pt idx="43">
                  <c:v>2020-07</c:v>
                </c:pt>
                <c:pt idx="44">
                  <c:v>2020-08</c:v>
                </c:pt>
                <c:pt idx="45">
                  <c:v>2020-09</c:v>
                </c:pt>
                <c:pt idx="46">
                  <c:v>2020-10</c:v>
                </c:pt>
                <c:pt idx="47">
                  <c:v>2020-11</c:v>
                </c:pt>
                <c:pt idx="48">
                  <c:v>2020-12</c:v>
                </c:pt>
                <c:pt idx="49">
                  <c:v>2021-01</c:v>
                </c:pt>
                <c:pt idx="50">
                  <c:v>2021-02</c:v>
                </c:pt>
                <c:pt idx="51">
                  <c:v>2021-03</c:v>
                </c:pt>
                <c:pt idx="52">
                  <c:v>2021-04</c:v>
                </c:pt>
                <c:pt idx="53">
                  <c:v>2021-05</c:v>
                </c:pt>
                <c:pt idx="54">
                  <c:v>2021-06</c:v>
                </c:pt>
                <c:pt idx="55">
                  <c:v>2021-07</c:v>
                </c:pt>
                <c:pt idx="56">
                  <c:v>2021-08</c:v>
                </c:pt>
                <c:pt idx="57">
                  <c:v>2021-09</c:v>
                </c:pt>
                <c:pt idx="58">
                  <c:v>2021-10</c:v>
                </c:pt>
                <c:pt idx="59">
                  <c:v>2021-11</c:v>
                </c:pt>
                <c:pt idx="60">
                  <c:v>2021-12</c:v>
                </c:pt>
                <c:pt idx="61">
                  <c:v>2022-01</c:v>
                </c:pt>
                <c:pt idx="62">
                  <c:v>2022-02</c:v>
                </c:pt>
                <c:pt idx="63">
                  <c:v>2022-03</c:v>
                </c:pt>
                <c:pt idx="64">
                  <c:v>2022-04</c:v>
                </c:pt>
                <c:pt idx="65">
                  <c:v>2022-05</c:v>
                </c:pt>
                <c:pt idx="66">
                  <c:v>2022-06</c:v>
                </c:pt>
                <c:pt idx="67">
                  <c:v>2022-07</c:v>
                </c:pt>
                <c:pt idx="68">
                  <c:v>2022-08</c:v>
                </c:pt>
                <c:pt idx="69">
                  <c:v>2022-09</c:v>
                </c:pt>
                <c:pt idx="70">
                  <c:v>2022-10</c:v>
                </c:pt>
                <c:pt idx="71">
                  <c:v>2022-11</c:v>
                </c:pt>
                <c:pt idx="72">
                  <c:v>2022-12</c:v>
                </c:pt>
                <c:pt idx="73">
                  <c:v>2023-01</c:v>
                </c:pt>
                <c:pt idx="74">
                  <c:v>2023-02</c:v>
                </c:pt>
                <c:pt idx="75">
                  <c:v>2023-03</c:v>
                </c:pt>
                <c:pt idx="76">
                  <c:v>2023-04</c:v>
                </c:pt>
                <c:pt idx="77">
                  <c:v>2023-05</c:v>
                </c:pt>
                <c:pt idx="78">
                  <c:v>2023-06</c:v>
                </c:pt>
                <c:pt idx="79">
                  <c:v>2023-07</c:v>
                </c:pt>
                <c:pt idx="80">
                  <c:v>2023-08</c:v>
                </c:pt>
                <c:pt idx="81">
                  <c:v>2023-09</c:v>
                </c:pt>
                <c:pt idx="82">
                  <c:v>2023-10</c:v>
                </c:pt>
                <c:pt idx="83">
                  <c:v>2023-11</c:v>
                </c:pt>
                <c:pt idx="84">
                  <c:v>2023-12</c:v>
                </c:pt>
                <c:pt idx="85">
                  <c:v>2024-01</c:v>
                </c:pt>
                <c:pt idx="86">
                  <c:v>2024-02</c:v>
                </c:pt>
                <c:pt idx="87">
                  <c:v>2024-03</c:v>
                </c:pt>
                <c:pt idx="88">
                  <c:v>2024-04</c:v>
                </c:pt>
                <c:pt idx="89">
                  <c:v>2024-05</c:v>
                </c:pt>
                <c:pt idx="90">
                  <c:v>2024-06</c:v>
                </c:pt>
                <c:pt idx="91">
                  <c:v>2024-07</c:v>
                </c:pt>
                <c:pt idx="92">
                  <c:v>2024-08</c:v>
                </c:pt>
                <c:pt idx="93">
                  <c:v>2024-09</c:v>
                </c:pt>
                <c:pt idx="94">
                  <c:v>2024-10</c:v>
                </c:pt>
                <c:pt idx="95">
                  <c:v>2024-11</c:v>
                </c:pt>
                <c:pt idx="96">
                  <c:v>2024-12</c:v>
                </c:pt>
                <c:pt idx="97">
                  <c:v>2025-01</c:v>
                </c:pt>
                <c:pt idx="98">
                  <c:v>2025-02</c:v>
                </c:pt>
                <c:pt idx="99">
                  <c:v>2025-03</c:v>
                </c:pt>
                <c:pt idx="100">
                  <c:v>2025-04</c:v>
                </c:pt>
                <c:pt idx="101">
                  <c:v>2025-05</c:v>
                </c:pt>
                <c:pt idx="102">
                  <c:v>2025-06</c:v>
                </c:pt>
                <c:pt idx="103">
                  <c:v>2025-07</c:v>
                </c:pt>
                <c:pt idx="104">
                  <c:v>2025-08</c:v>
                </c:pt>
                <c:pt idx="105">
                  <c:v>2025-09</c:v>
                </c:pt>
                <c:pt idx="106">
                  <c:v>2025-10</c:v>
                </c:pt>
                <c:pt idx="107">
                  <c:v>2025-11</c:v>
                </c:pt>
                <c:pt idx="108">
                  <c:v>2025-12</c:v>
                </c:pt>
                <c:pt idx="109">
                  <c:v>2026-01</c:v>
                </c:pt>
                <c:pt idx="110">
                  <c:v>2026-02</c:v>
                </c:pt>
                <c:pt idx="111">
                  <c:v>2026-03</c:v>
                </c:pt>
                <c:pt idx="112">
                  <c:v>2026-04</c:v>
                </c:pt>
                <c:pt idx="113">
                  <c:v>2026-05</c:v>
                </c:pt>
                <c:pt idx="114">
                  <c:v>2026-06</c:v>
                </c:pt>
                <c:pt idx="115">
                  <c:v>2026-07</c:v>
                </c:pt>
                <c:pt idx="116">
                  <c:v>2026-08</c:v>
                </c:pt>
                <c:pt idx="117">
                  <c:v>2026-09</c:v>
                </c:pt>
                <c:pt idx="118">
                  <c:v>2026-10</c:v>
                </c:pt>
                <c:pt idx="119">
                  <c:v>2026-11</c:v>
                </c:pt>
                <c:pt idx="120">
                  <c:v>2026-12</c:v>
                </c:pt>
                <c:pt idx="121">
                  <c:v>2027-01</c:v>
                </c:pt>
                <c:pt idx="122">
                  <c:v>2027-02</c:v>
                </c:pt>
                <c:pt idx="123">
                  <c:v>2027-03</c:v>
                </c:pt>
                <c:pt idx="124">
                  <c:v>2027-04</c:v>
                </c:pt>
                <c:pt idx="125">
                  <c:v>2027-05</c:v>
                </c:pt>
                <c:pt idx="126">
                  <c:v>2027-06</c:v>
                </c:pt>
                <c:pt idx="127">
                  <c:v>2027-07</c:v>
                </c:pt>
                <c:pt idx="128">
                  <c:v>2027-08</c:v>
                </c:pt>
                <c:pt idx="129">
                  <c:v>2027-09</c:v>
                </c:pt>
                <c:pt idx="130">
                  <c:v>2027-10</c:v>
                </c:pt>
                <c:pt idx="131">
                  <c:v>2027-11</c:v>
                </c:pt>
                <c:pt idx="132">
                  <c:v>2027-12</c:v>
                </c:pt>
              </c:strCache>
            </c:strRef>
          </c:cat>
          <c:val>
            <c:numRef>
              <c:f>'Ch7 Fiscal'!$C$7:$C$139</c:f>
              <c:numCache>
                <c:formatCode>0.0%</c:formatCode>
                <c:ptCount val="133"/>
                <c:pt idx="0">
                  <c:v>-0.0417497980732648</c:v>
                </c:pt>
                <c:pt idx="1">
                  <c:v>-0.0404675044125253</c:v>
                </c:pt>
                <c:pt idx="2">
                  <c:v>-0.0407704838597587</c:v>
                </c:pt>
                <c:pt idx="3">
                  <c:v>-0.0385758380424023</c:v>
                </c:pt>
                <c:pt idx="4">
                  <c:v>-0.0386822257313878</c:v>
                </c:pt>
                <c:pt idx="5">
                  <c:v>-0.0396186860282216</c:v>
                </c:pt>
                <c:pt idx="6">
                  <c:v>-0.0402270574397738</c:v>
                </c:pt>
                <c:pt idx="7">
                  <c:v>-0.0391200646987675</c:v>
                </c:pt>
                <c:pt idx="8">
                  <c:v>-0.037139040245613</c:v>
                </c:pt>
                <c:pt idx="9">
                  <c:v>-0.0357395295316448</c:v>
                </c:pt>
                <c:pt idx="10">
                  <c:v>-0.032076344515757</c:v>
                </c:pt>
                <c:pt idx="11">
                  <c:v>-0.0329453193414222</c:v>
                </c:pt>
                <c:pt idx="12">
                  <c:v>-0.0379112886929974</c:v>
                </c:pt>
                <c:pt idx="13">
                  <c:v>-0.0369975623197944</c:v>
                </c:pt>
                <c:pt idx="14">
                  <c:v>-0.035530905740047</c:v>
                </c:pt>
                <c:pt idx="15">
                  <c:v>-0.0343496436038578</c:v>
                </c:pt>
                <c:pt idx="16">
                  <c:v>-0.0327469660086277</c:v>
                </c:pt>
                <c:pt idx="17">
                  <c:v>-0.0302573915634214</c:v>
                </c:pt>
                <c:pt idx="18">
                  <c:v>-0.0294127935919368</c:v>
                </c:pt>
                <c:pt idx="19">
                  <c:v>-0.02803383312444</c:v>
                </c:pt>
                <c:pt idx="20">
                  <c:v>-0.0262136326832915</c:v>
                </c:pt>
                <c:pt idx="21">
                  <c:v>-0.0248708567603762</c:v>
                </c:pt>
                <c:pt idx="22">
                  <c:v>-0.0229966815704736</c:v>
                </c:pt>
                <c:pt idx="23">
                  <c:v>-0.0225870154356291</c:v>
                </c:pt>
                <c:pt idx="24">
                  <c:v>-0.0229902578893512</c:v>
                </c:pt>
                <c:pt idx="25">
                  <c:v>-0.0215335377110934</c:v>
                </c:pt>
                <c:pt idx="26">
                  <c:v>-0.0192410825956343</c:v>
                </c:pt>
                <c:pt idx="27">
                  <c:v>-0.0186008211994118</c:v>
                </c:pt>
                <c:pt idx="28">
                  <c:v>-0.0173509372078464</c:v>
                </c:pt>
                <c:pt idx="29">
                  <c:v>-0.0147850140521288</c:v>
                </c:pt>
                <c:pt idx="30">
                  <c:v>-0.0114642857945569</c:v>
                </c:pt>
                <c:pt idx="31">
                  <c:v>-0.0100904767020785</c:v>
                </c:pt>
                <c:pt idx="32">
                  <c:v>-0.00850344562076782</c:v>
                </c:pt>
                <c:pt idx="33">
                  <c:v>-0.00836530106459389</c:v>
                </c:pt>
                <c:pt idx="34">
                  <c:v>-0.00683576335370147</c:v>
                </c:pt>
                <c:pt idx="35">
                  <c:v>-0.00528710807075142</c:v>
                </c:pt>
                <c:pt idx="36">
                  <c:v>-0.00441219224085459</c:v>
                </c:pt>
                <c:pt idx="37">
                  <c:v>-0.00519527059129884</c:v>
                </c:pt>
                <c:pt idx="38">
                  <c:v>-0.00654081668174568</c:v>
                </c:pt>
                <c:pt idx="39">
                  <c:v>-0.0111555822880116</c:v>
                </c:pt>
                <c:pt idx="40">
                  <c:v>-0.020670708462954</c:v>
                </c:pt>
                <c:pt idx="41">
                  <c:v>-0.032124933746214</c:v>
                </c:pt>
                <c:pt idx="42">
                  <c:v>-0.042060602942391</c:v>
                </c:pt>
                <c:pt idx="43">
                  <c:v>-0.0479438822885019</c:v>
                </c:pt>
                <c:pt idx="44">
                  <c:v>-0.0512282733141229</c:v>
                </c:pt>
                <c:pt idx="45">
                  <c:v>-0.0558108603937922</c:v>
                </c:pt>
                <c:pt idx="46">
                  <c:v>-0.0581846250972671</c:v>
                </c:pt>
                <c:pt idx="47">
                  <c:v>-0.0589152366489504</c:v>
                </c:pt>
                <c:pt idx="48">
                  <c:v>-0.064313485964464</c:v>
                </c:pt>
                <c:pt idx="49">
                  <c:v>-0.061469616501183</c:v>
                </c:pt>
                <c:pt idx="50">
                  <c:v>-0.0591669631289953</c:v>
                </c:pt>
                <c:pt idx="51">
                  <c:v>-0.0551502448727496</c:v>
                </c:pt>
                <c:pt idx="52">
                  <c:v>-0.0454332815822256</c:v>
                </c:pt>
                <c:pt idx="53">
                  <c:v>-0.0345697111664781</c:v>
                </c:pt>
                <c:pt idx="54">
                  <c:v>-0.0298937805427614</c:v>
                </c:pt>
                <c:pt idx="55">
                  <c:v>-0.027022241415282</c:v>
                </c:pt>
                <c:pt idx="56">
                  <c:v>-0.0268072124678975</c:v>
                </c:pt>
                <c:pt idx="57">
                  <c:v>-0.0144419091889895</c:v>
                </c:pt>
                <c:pt idx="58">
                  <c:v>-0.0168381906024503</c:v>
                </c:pt>
                <c:pt idx="59">
                  <c:v>-0.0178524891257905</c:v>
                </c:pt>
                <c:pt idx="60">
                  <c:v>-0.0212085555478717</c:v>
                </c:pt>
                <c:pt idx="61">
                  <c:v>-0.0212326222887786</c:v>
                </c:pt>
                <c:pt idx="62">
                  <c:v>-0.0215719700036265</c:v>
                </c:pt>
                <c:pt idx="63">
                  <c:v>-0.0211829451547904</c:v>
                </c:pt>
                <c:pt idx="64">
                  <c:v>-0.0214778435493888</c:v>
                </c:pt>
                <c:pt idx="65">
                  <c:v>-0.0237458480684759</c:v>
                </c:pt>
                <c:pt idx="66">
                  <c:v>-0.0253868420604395</c:v>
                </c:pt>
                <c:pt idx="67">
                  <c:v>-0.0226073562130953</c:v>
                </c:pt>
                <c:pt idx="68">
                  <c:v>-0.022745995849143</c:v>
                </c:pt>
                <c:pt idx="69">
                  <c:v>-0.0245757231014615</c:v>
                </c:pt>
                <c:pt idx="70">
                  <c:v>-0.0218598991796385</c:v>
                </c:pt>
                <c:pt idx="71">
                  <c:v>-0.021886381883349</c:v>
                </c:pt>
                <c:pt idx="72">
                  <c:v>-0.0200428219859384</c:v>
                </c:pt>
                <c:pt idx="73">
                  <c:v>-0.0210885479844946</c:v>
                </c:pt>
                <c:pt idx="74">
                  <c:v>-0.0215613130039416</c:v>
                </c:pt>
                <c:pt idx="75">
                  <c:v>-0.0219449055895504</c:v>
                </c:pt>
                <c:pt idx="76">
                  <c:v>-0.0230855797540914</c:v>
                </c:pt>
                <c:pt idx="77">
                  <c:v>-0.0224693197733299</c:v>
                </c:pt>
                <c:pt idx="78">
                  <c:v>-0.0234671074789336</c:v>
                </c:pt>
                <c:pt idx="79">
                  <c:v>-0.0244624869574135</c:v>
                </c:pt>
                <c:pt idx="80">
                  <c:v>-0.0214286906945812</c:v>
                </c:pt>
                <c:pt idx="81">
                  <c:v>-0.0228800784680543</c:v>
                </c:pt>
                <c:pt idx="82">
                  <c:v>-0.022469369781336</c:v>
                </c:pt>
                <c:pt idx="83">
                  <c:v>-0.0205003424017014</c:v>
                </c:pt>
                <c:pt idx="84">
                  <c:v>-0.0266292227919494</c:v>
                </c:pt>
                <c:pt idx="85">
                  <c:v>-0.0136479242632869</c:v>
                </c:pt>
                <c:pt idx="86">
                  <c:v>-0.00613887579258401</c:v>
                </c:pt>
                <c:pt idx="87">
                  <c:v>-0.00223483552983248</c:v>
                </c:pt>
                <c:pt idx="88">
                  <c:v>-3.33160871185499E-005</c:v>
                </c:pt>
                <c:pt idx="89">
                  <c:v>0.00763904905549198</c:v>
                </c:pt>
                <c:pt idx="90">
                  <c:v>0.00988733991015187</c:v>
                </c:pt>
                <c:pt idx="91">
                  <c:v>0.0120885065940057</c:v>
                </c:pt>
                <c:pt idx="92">
                  <c:v>0.0132210031731085</c:v>
                </c:pt>
                <c:pt idx="93">
                  <c:v>0.0147265088673112</c:v>
                </c:pt>
                <c:pt idx="94">
                  <c:v>0.015777257164324</c:v>
                </c:pt>
                <c:pt idx="95">
                  <c:v>0.0176311761299245</c:v>
                </c:pt>
                <c:pt idx="96">
                  <c:v>0.0178066741224438</c:v>
                </c:pt>
                <c:pt idx="97">
                  <c:v>0.0176909324182118</c:v>
                </c:pt>
                <c:pt idx="98">
                  <c:v>0.0169463655582493</c:v>
                </c:pt>
                <c:pt idx="99">
                  <c:v>0.0165360378591884</c:v>
                </c:pt>
                <c:pt idx="100">
                  <c:v>0.0168122593832077</c:v>
                </c:pt>
                <c:pt idx="101">
                  <c:v>0.0153647874862185</c:v>
                </c:pt>
                <c:pt idx="102">
                  <c:v>0.0153091540392814</c:v>
                </c:pt>
                <c:pt idx="103">
                  <c:v>0.0159927666806407</c:v>
                </c:pt>
                <c:pt idx="104">
                  <c:v>0.016416459220593</c:v>
                </c:pt>
                <c:pt idx="105">
                  <c:v>0.0158413480416535</c:v>
                </c:pt>
                <c:pt idx="106">
                  <c:v>0.0155428121848654</c:v>
                </c:pt>
                <c:pt idx="107">
                  <c:v>0.016071506203971</c:v>
                </c:pt>
                <c:pt idx="108">
                  <c:v>0.0138422325378931</c:v>
                </c:pt>
                <c:pt idx="109">
                  <c:v>0.0143185479112872</c:v>
                </c:pt>
                <c:pt idx="110">
                  <c:v>0.0142577781796478</c:v>
                </c:pt>
                <c:pt idx="111">
                  <c:v>0.0141325385967458</c:v>
                </c:pt>
                <c:pt idx="112">
                  <c:v>0.0135555872988774</c:v>
                </c:pt>
                <c:pt idx="113">
                  <c:v>0.0134514597632155</c:v>
                </c:pt>
              </c:numCache>
            </c:numRef>
          </c:val>
          <c:smooth val="0"/>
        </c:ser>
        <c:ser>
          <c:idx val="1"/>
          <c:order val="1"/>
          <c:tx>
            <c:strRef>
              <c:f>'Ch7 Fiscal'!D6</c:f>
              <c:strCache>
                <c:ptCount val="1"/>
                <c:pt idx="0">
                  <c:v>Overall balance
12m, % GDP</c:v>
                </c:pt>
              </c:strCache>
            </c:strRef>
          </c:tx>
          <c:spPr>
            <a:solidFill>
              <a:srgbClr val="3f3f3f"/>
            </a:solidFill>
            <a:ln w="28080">
              <a:solidFill>
                <a:srgbClr val="3f3f3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'Ch7 Fiscal'!$B$7:$B$139</c:f>
              <c:strCache>
                <c:ptCount val="133"/>
                <c:pt idx="0">
                  <c:v>2016-12</c:v>
                </c:pt>
                <c:pt idx="1">
                  <c:v>2017-01</c:v>
                </c:pt>
                <c:pt idx="2">
                  <c:v>2017-02</c:v>
                </c:pt>
                <c:pt idx="3">
                  <c:v>2017-03</c:v>
                </c:pt>
                <c:pt idx="4">
                  <c:v>2017-04</c:v>
                </c:pt>
                <c:pt idx="5">
                  <c:v>2017-05</c:v>
                </c:pt>
                <c:pt idx="6">
                  <c:v>2017-06</c:v>
                </c:pt>
                <c:pt idx="7">
                  <c:v>2017-07</c:v>
                </c:pt>
                <c:pt idx="8">
                  <c:v>2017-08</c:v>
                </c:pt>
                <c:pt idx="9">
                  <c:v>2017-09</c:v>
                </c:pt>
                <c:pt idx="10">
                  <c:v>2017-10</c:v>
                </c:pt>
                <c:pt idx="11">
                  <c:v>2017-11</c:v>
                </c:pt>
                <c:pt idx="12">
                  <c:v>2017-12</c:v>
                </c:pt>
                <c:pt idx="13">
                  <c:v>2018-01</c:v>
                </c:pt>
                <c:pt idx="14">
                  <c:v>2018-02</c:v>
                </c:pt>
                <c:pt idx="15">
                  <c:v>2018-03</c:v>
                </c:pt>
                <c:pt idx="16">
                  <c:v>2018-04</c:v>
                </c:pt>
                <c:pt idx="17">
                  <c:v>2018-05</c:v>
                </c:pt>
                <c:pt idx="18">
                  <c:v>2018-06</c:v>
                </c:pt>
                <c:pt idx="19">
                  <c:v>2018-07</c:v>
                </c:pt>
                <c:pt idx="20">
                  <c:v>2018-08</c:v>
                </c:pt>
                <c:pt idx="21">
                  <c:v>2018-09</c:v>
                </c:pt>
                <c:pt idx="22">
                  <c:v>2018-10</c:v>
                </c:pt>
                <c:pt idx="23">
                  <c:v>2018-11</c:v>
                </c:pt>
                <c:pt idx="24">
                  <c:v>2018-12</c:v>
                </c:pt>
                <c:pt idx="25">
                  <c:v>2019-01</c:v>
                </c:pt>
                <c:pt idx="26">
                  <c:v>2019-02</c:v>
                </c:pt>
                <c:pt idx="27">
                  <c:v>2019-03</c:v>
                </c:pt>
                <c:pt idx="28">
                  <c:v>2019-04</c:v>
                </c:pt>
                <c:pt idx="29">
                  <c:v>2019-05</c:v>
                </c:pt>
                <c:pt idx="30">
                  <c:v>2019-06</c:v>
                </c:pt>
                <c:pt idx="31">
                  <c:v>2019-07</c:v>
                </c:pt>
                <c:pt idx="32">
                  <c:v>2019-08</c:v>
                </c:pt>
                <c:pt idx="33">
                  <c:v>2019-09</c:v>
                </c:pt>
                <c:pt idx="34">
                  <c:v>2019-10</c:v>
                </c:pt>
                <c:pt idx="35">
                  <c:v>2019-11</c:v>
                </c:pt>
                <c:pt idx="36">
                  <c:v>2019-12</c:v>
                </c:pt>
                <c:pt idx="37">
                  <c:v>2020-01</c:v>
                </c:pt>
                <c:pt idx="38">
                  <c:v>2020-02</c:v>
                </c:pt>
                <c:pt idx="39">
                  <c:v>2020-03</c:v>
                </c:pt>
                <c:pt idx="40">
                  <c:v>2020-04</c:v>
                </c:pt>
                <c:pt idx="41">
                  <c:v>2020-05</c:v>
                </c:pt>
                <c:pt idx="42">
                  <c:v>2020-06</c:v>
                </c:pt>
                <c:pt idx="43">
                  <c:v>2020-07</c:v>
                </c:pt>
                <c:pt idx="44">
                  <c:v>2020-08</c:v>
                </c:pt>
                <c:pt idx="45">
                  <c:v>2020-09</c:v>
                </c:pt>
                <c:pt idx="46">
                  <c:v>2020-10</c:v>
                </c:pt>
                <c:pt idx="47">
                  <c:v>2020-11</c:v>
                </c:pt>
                <c:pt idx="48">
                  <c:v>2020-12</c:v>
                </c:pt>
                <c:pt idx="49">
                  <c:v>2021-01</c:v>
                </c:pt>
                <c:pt idx="50">
                  <c:v>2021-02</c:v>
                </c:pt>
                <c:pt idx="51">
                  <c:v>2021-03</c:v>
                </c:pt>
                <c:pt idx="52">
                  <c:v>2021-04</c:v>
                </c:pt>
                <c:pt idx="53">
                  <c:v>2021-05</c:v>
                </c:pt>
                <c:pt idx="54">
                  <c:v>2021-06</c:v>
                </c:pt>
                <c:pt idx="55">
                  <c:v>2021-07</c:v>
                </c:pt>
                <c:pt idx="56">
                  <c:v>2021-08</c:v>
                </c:pt>
                <c:pt idx="57">
                  <c:v>2021-09</c:v>
                </c:pt>
                <c:pt idx="58">
                  <c:v>2021-10</c:v>
                </c:pt>
                <c:pt idx="59">
                  <c:v>2021-11</c:v>
                </c:pt>
                <c:pt idx="60">
                  <c:v>2021-12</c:v>
                </c:pt>
                <c:pt idx="61">
                  <c:v>2022-01</c:v>
                </c:pt>
                <c:pt idx="62">
                  <c:v>2022-02</c:v>
                </c:pt>
                <c:pt idx="63">
                  <c:v>2022-03</c:v>
                </c:pt>
                <c:pt idx="64">
                  <c:v>2022-04</c:v>
                </c:pt>
                <c:pt idx="65">
                  <c:v>2022-05</c:v>
                </c:pt>
                <c:pt idx="66">
                  <c:v>2022-06</c:v>
                </c:pt>
                <c:pt idx="67">
                  <c:v>2022-07</c:v>
                </c:pt>
                <c:pt idx="68">
                  <c:v>2022-08</c:v>
                </c:pt>
                <c:pt idx="69">
                  <c:v>2022-09</c:v>
                </c:pt>
                <c:pt idx="70">
                  <c:v>2022-10</c:v>
                </c:pt>
                <c:pt idx="71">
                  <c:v>2022-11</c:v>
                </c:pt>
                <c:pt idx="72">
                  <c:v>2022-12</c:v>
                </c:pt>
                <c:pt idx="73">
                  <c:v>2023-01</c:v>
                </c:pt>
                <c:pt idx="74">
                  <c:v>2023-02</c:v>
                </c:pt>
                <c:pt idx="75">
                  <c:v>2023-03</c:v>
                </c:pt>
                <c:pt idx="76">
                  <c:v>2023-04</c:v>
                </c:pt>
                <c:pt idx="77">
                  <c:v>2023-05</c:v>
                </c:pt>
                <c:pt idx="78">
                  <c:v>2023-06</c:v>
                </c:pt>
                <c:pt idx="79">
                  <c:v>2023-07</c:v>
                </c:pt>
                <c:pt idx="80">
                  <c:v>2023-08</c:v>
                </c:pt>
                <c:pt idx="81">
                  <c:v>2023-09</c:v>
                </c:pt>
                <c:pt idx="82">
                  <c:v>2023-10</c:v>
                </c:pt>
                <c:pt idx="83">
                  <c:v>2023-11</c:v>
                </c:pt>
                <c:pt idx="84">
                  <c:v>2023-12</c:v>
                </c:pt>
                <c:pt idx="85">
                  <c:v>2024-01</c:v>
                </c:pt>
                <c:pt idx="86">
                  <c:v>2024-02</c:v>
                </c:pt>
                <c:pt idx="87">
                  <c:v>2024-03</c:v>
                </c:pt>
                <c:pt idx="88">
                  <c:v>2024-04</c:v>
                </c:pt>
                <c:pt idx="89">
                  <c:v>2024-05</c:v>
                </c:pt>
                <c:pt idx="90">
                  <c:v>2024-06</c:v>
                </c:pt>
                <c:pt idx="91">
                  <c:v>2024-07</c:v>
                </c:pt>
                <c:pt idx="92">
                  <c:v>2024-08</c:v>
                </c:pt>
                <c:pt idx="93">
                  <c:v>2024-09</c:v>
                </c:pt>
                <c:pt idx="94">
                  <c:v>2024-10</c:v>
                </c:pt>
                <c:pt idx="95">
                  <c:v>2024-11</c:v>
                </c:pt>
                <c:pt idx="96">
                  <c:v>2024-12</c:v>
                </c:pt>
                <c:pt idx="97">
                  <c:v>2025-01</c:v>
                </c:pt>
                <c:pt idx="98">
                  <c:v>2025-02</c:v>
                </c:pt>
                <c:pt idx="99">
                  <c:v>2025-03</c:v>
                </c:pt>
                <c:pt idx="100">
                  <c:v>2025-04</c:v>
                </c:pt>
                <c:pt idx="101">
                  <c:v>2025-05</c:v>
                </c:pt>
                <c:pt idx="102">
                  <c:v>2025-06</c:v>
                </c:pt>
                <c:pt idx="103">
                  <c:v>2025-07</c:v>
                </c:pt>
                <c:pt idx="104">
                  <c:v>2025-08</c:v>
                </c:pt>
                <c:pt idx="105">
                  <c:v>2025-09</c:v>
                </c:pt>
                <c:pt idx="106">
                  <c:v>2025-10</c:v>
                </c:pt>
                <c:pt idx="107">
                  <c:v>2025-11</c:v>
                </c:pt>
                <c:pt idx="108">
                  <c:v>2025-12</c:v>
                </c:pt>
                <c:pt idx="109">
                  <c:v>2026-01</c:v>
                </c:pt>
                <c:pt idx="110">
                  <c:v>2026-02</c:v>
                </c:pt>
                <c:pt idx="111">
                  <c:v>2026-03</c:v>
                </c:pt>
                <c:pt idx="112">
                  <c:v>2026-04</c:v>
                </c:pt>
                <c:pt idx="113">
                  <c:v>2026-05</c:v>
                </c:pt>
                <c:pt idx="114">
                  <c:v>2026-06</c:v>
                </c:pt>
                <c:pt idx="115">
                  <c:v>2026-07</c:v>
                </c:pt>
                <c:pt idx="116">
                  <c:v>2026-08</c:v>
                </c:pt>
                <c:pt idx="117">
                  <c:v>2026-09</c:v>
                </c:pt>
                <c:pt idx="118">
                  <c:v>2026-10</c:v>
                </c:pt>
                <c:pt idx="119">
                  <c:v>2026-11</c:v>
                </c:pt>
                <c:pt idx="120">
                  <c:v>2026-12</c:v>
                </c:pt>
                <c:pt idx="121">
                  <c:v>2027-01</c:v>
                </c:pt>
                <c:pt idx="122">
                  <c:v>2027-02</c:v>
                </c:pt>
                <c:pt idx="123">
                  <c:v>2027-03</c:v>
                </c:pt>
                <c:pt idx="124">
                  <c:v>2027-04</c:v>
                </c:pt>
                <c:pt idx="125">
                  <c:v>2027-05</c:v>
                </c:pt>
                <c:pt idx="126">
                  <c:v>2027-06</c:v>
                </c:pt>
                <c:pt idx="127">
                  <c:v>2027-07</c:v>
                </c:pt>
                <c:pt idx="128">
                  <c:v>2027-08</c:v>
                </c:pt>
                <c:pt idx="129">
                  <c:v>2027-09</c:v>
                </c:pt>
                <c:pt idx="130">
                  <c:v>2027-10</c:v>
                </c:pt>
                <c:pt idx="131">
                  <c:v>2027-11</c:v>
                </c:pt>
                <c:pt idx="132">
                  <c:v>2027-12</c:v>
                </c:pt>
              </c:strCache>
            </c:strRef>
          </c:cat>
          <c:val>
            <c:numRef>
              <c:f>'Ch7 Fiscal'!$D$7:$D$139</c:f>
              <c:numCache>
                <c:formatCode>0.0%</c:formatCode>
                <c:ptCount val="133"/>
                <c:pt idx="0">
                  <c:v>-0.057702454204699</c:v>
                </c:pt>
                <c:pt idx="1">
                  <c:v>-0.0567964307346599</c:v>
                </c:pt>
                <c:pt idx="2">
                  <c:v>-0.056673137875568</c:v>
                </c:pt>
                <c:pt idx="3">
                  <c:v>-0.0547253268950669</c:v>
                </c:pt>
                <c:pt idx="4">
                  <c:v>-0.0572093658377956</c:v>
                </c:pt>
                <c:pt idx="5">
                  <c:v>-0.0583179668500646</c:v>
                </c:pt>
                <c:pt idx="6">
                  <c:v>-0.0592224468324953</c:v>
                </c:pt>
                <c:pt idx="7">
                  <c:v>-0.058483523828906</c:v>
                </c:pt>
                <c:pt idx="8">
                  <c:v>-0.0564313219747198</c:v>
                </c:pt>
                <c:pt idx="9">
                  <c:v>-0.0553868072216191</c:v>
                </c:pt>
                <c:pt idx="10">
                  <c:v>-0.0526484556411683</c:v>
                </c:pt>
                <c:pt idx="11">
                  <c:v>-0.0540084244703621</c:v>
                </c:pt>
                <c:pt idx="12">
                  <c:v>-0.0590090541029536</c:v>
                </c:pt>
                <c:pt idx="13">
                  <c:v>-0.059498584728406</c:v>
                </c:pt>
                <c:pt idx="14">
                  <c:v>-0.0578752504603907</c:v>
                </c:pt>
                <c:pt idx="15">
                  <c:v>-0.0566913914812517</c:v>
                </c:pt>
                <c:pt idx="16">
                  <c:v>-0.0547413554017027</c:v>
                </c:pt>
                <c:pt idx="17">
                  <c:v>-0.0518822717892396</c:v>
                </c:pt>
                <c:pt idx="18">
                  <c:v>-0.0502455889044049</c:v>
                </c:pt>
                <c:pt idx="19">
                  <c:v>-0.0512583792668253</c:v>
                </c:pt>
                <c:pt idx="20">
                  <c:v>-0.0486252712171673</c:v>
                </c:pt>
                <c:pt idx="21">
                  <c:v>-0.0476520829560037</c:v>
                </c:pt>
                <c:pt idx="22">
                  <c:v>-0.0474387210306662</c:v>
                </c:pt>
                <c:pt idx="23">
                  <c:v>-0.0478782991246996</c:v>
                </c:pt>
                <c:pt idx="24">
                  <c:v>-0.0493683517498362</c:v>
                </c:pt>
                <c:pt idx="25">
                  <c:v>-0.0502982065871772</c:v>
                </c:pt>
                <c:pt idx="26">
                  <c:v>-0.0475231031403759</c:v>
                </c:pt>
                <c:pt idx="27">
                  <c:v>-0.046945045755097</c:v>
                </c:pt>
                <c:pt idx="28">
                  <c:v>-0.046813977822131</c:v>
                </c:pt>
                <c:pt idx="29">
                  <c:v>-0.0458789143627267</c:v>
                </c:pt>
                <c:pt idx="30">
                  <c:v>-0.0431557995179838</c:v>
                </c:pt>
                <c:pt idx="31">
                  <c:v>-0.0426583937198504</c:v>
                </c:pt>
                <c:pt idx="32">
                  <c:v>-0.0413703121799723</c:v>
                </c:pt>
                <c:pt idx="33">
                  <c:v>-0.0411162880301203</c:v>
                </c:pt>
                <c:pt idx="34">
                  <c:v>-0.0390283426350194</c:v>
                </c:pt>
                <c:pt idx="35">
                  <c:v>-0.0377156757598541</c:v>
                </c:pt>
                <c:pt idx="36">
                  <c:v>-0.0380085869986301</c:v>
                </c:pt>
                <c:pt idx="37">
                  <c:v>-0.0382273966881361</c:v>
                </c:pt>
                <c:pt idx="38">
                  <c:v>-0.0398675064230772</c:v>
                </c:pt>
                <c:pt idx="39">
                  <c:v>-0.0439180278997297</c:v>
                </c:pt>
                <c:pt idx="40">
                  <c:v>-0.0517758962470233</c:v>
                </c:pt>
                <c:pt idx="41">
                  <c:v>-0.0626941480171966</c:v>
                </c:pt>
                <c:pt idx="42">
                  <c:v>-0.0712539050892525</c:v>
                </c:pt>
                <c:pt idx="43">
                  <c:v>-0.0747114838815094</c:v>
                </c:pt>
                <c:pt idx="44">
                  <c:v>-0.0786218791782372</c:v>
                </c:pt>
                <c:pt idx="45">
                  <c:v>-0.0824380264231237</c:v>
                </c:pt>
                <c:pt idx="46">
                  <c:v>-0.0826802938157125</c:v>
                </c:pt>
                <c:pt idx="47">
                  <c:v>-0.0829285594134936</c:v>
                </c:pt>
                <c:pt idx="48">
                  <c:v>-0.0842647799035268</c:v>
                </c:pt>
                <c:pt idx="49">
                  <c:v>-0.078707164456434</c:v>
                </c:pt>
                <c:pt idx="50">
                  <c:v>-0.0760326303233491</c:v>
                </c:pt>
                <c:pt idx="51">
                  <c:v>-0.0713798000244174</c:v>
                </c:pt>
                <c:pt idx="52">
                  <c:v>-0.0610763394965519</c:v>
                </c:pt>
                <c:pt idx="53">
                  <c:v>-0.0502813070736959</c:v>
                </c:pt>
                <c:pt idx="54">
                  <c:v>-0.0453143404139798</c:v>
                </c:pt>
                <c:pt idx="55">
                  <c:v>-0.0425754579397146</c:v>
                </c:pt>
                <c:pt idx="56">
                  <c:v>-0.0420360294698066</c:v>
                </c:pt>
                <c:pt idx="57">
                  <c:v>-0.0292741774200723</c:v>
                </c:pt>
                <c:pt idx="58">
                  <c:v>-0.0319164240919959</c:v>
                </c:pt>
                <c:pt idx="59">
                  <c:v>-0.0331867146033874</c:v>
                </c:pt>
                <c:pt idx="60">
                  <c:v>-0.0360128733324825</c:v>
                </c:pt>
                <c:pt idx="61">
                  <c:v>-0.0376841551043988</c:v>
                </c:pt>
                <c:pt idx="62">
                  <c:v>-0.0376960744284345</c:v>
                </c:pt>
                <c:pt idx="63">
                  <c:v>-0.0372231454230622</c:v>
                </c:pt>
                <c:pt idx="64">
                  <c:v>-0.0371959295401355</c:v>
                </c:pt>
                <c:pt idx="65">
                  <c:v>-0.0385392583072052</c:v>
                </c:pt>
                <c:pt idx="66">
                  <c:v>-0.03979502181803</c:v>
                </c:pt>
                <c:pt idx="67">
                  <c:v>-0.0373327371908155</c:v>
                </c:pt>
                <c:pt idx="68">
                  <c:v>-0.038101383920646</c:v>
                </c:pt>
                <c:pt idx="69">
                  <c:v>-0.0395812606089067</c:v>
                </c:pt>
                <c:pt idx="70">
                  <c:v>-0.0362732623449622</c:v>
                </c:pt>
                <c:pt idx="71">
                  <c:v>-0.0380348643399357</c:v>
                </c:pt>
                <c:pt idx="72">
                  <c:v>-0.0380721563683628</c:v>
                </c:pt>
                <c:pt idx="73">
                  <c:v>-0.0404197693019138</c:v>
                </c:pt>
                <c:pt idx="74">
                  <c:v>-0.0419477034910497</c:v>
                </c:pt>
                <c:pt idx="75">
                  <c:v>-0.0417619008634944</c:v>
                </c:pt>
                <c:pt idx="76">
                  <c:v>-0.0418355096461463</c:v>
                </c:pt>
                <c:pt idx="77">
                  <c:v>-0.0428281322484852</c:v>
                </c:pt>
                <c:pt idx="78">
                  <c:v>-0.0426995170094646</c:v>
                </c:pt>
                <c:pt idx="79">
                  <c:v>-0.0446497632975819</c:v>
                </c:pt>
                <c:pt idx="80">
                  <c:v>-0.0415169053407193</c:v>
                </c:pt>
                <c:pt idx="81">
                  <c:v>-0.0417333093038971</c:v>
                </c:pt>
                <c:pt idx="82">
                  <c:v>-0.0400836060886883</c:v>
                </c:pt>
                <c:pt idx="83">
                  <c:v>-0.0380151064261253</c:v>
                </c:pt>
                <c:pt idx="84">
                  <c:v>-0.043406207124548</c:v>
                </c:pt>
                <c:pt idx="85">
                  <c:v>-0.0340606378474978</c:v>
                </c:pt>
                <c:pt idx="86">
                  <c:v>-0.0269512753211396</c:v>
                </c:pt>
                <c:pt idx="87">
                  <c:v>-0.0216470722432192</c:v>
                </c:pt>
                <c:pt idx="88">
                  <c:v>-0.0180132525937958</c:v>
                </c:pt>
                <c:pt idx="89">
                  <c:v>-0.0108035086686561</c:v>
                </c:pt>
                <c:pt idx="90">
                  <c:v>-0.007240240639677</c:v>
                </c:pt>
                <c:pt idx="91">
                  <c:v>-0.00623586612258003</c:v>
                </c:pt>
                <c:pt idx="92">
                  <c:v>-0.00485094591487557</c:v>
                </c:pt>
                <c:pt idx="93">
                  <c:v>-0.00244114992362024</c:v>
                </c:pt>
                <c:pt idx="94">
                  <c:v>-0.000369750696366794</c:v>
                </c:pt>
                <c:pt idx="95">
                  <c:v>0.00167271436800528</c:v>
                </c:pt>
                <c:pt idx="96">
                  <c:v>0.00301994425978437</c:v>
                </c:pt>
                <c:pt idx="97">
                  <c:v>0.00301569620082178</c:v>
                </c:pt>
                <c:pt idx="98">
                  <c:v>0.00286060908040955</c:v>
                </c:pt>
                <c:pt idx="99">
                  <c:v>0.00294610544752943</c:v>
                </c:pt>
                <c:pt idx="100">
                  <c:v>0.00365666673083154</c:v>
                </c:pt>
                <c:pt idx="101">
                  <c:v>0.00279860130615334</c:v>
                </c:pt>
                <c:pt idx="102">
                  <c:v>0.0031430122203506</c:v>
                </c:pt>
                <c:pt idx="103">
                  <c:v>0.00363002194157716</c:v>
                </c:pt>
                <c:pt idx="104">
                  <c:v>0.00403476296999725</c:v>
                </c:pt>
                <c:pt idx="105">
                  <c:v>0.0037319259964212</c:v>
                </c:pt>
                <c:pt idx="106">
                  <c:v>0.00363215128210706</c:v>
                </c:pt>
                <c:pt idx="107">
                  <c:v>0.00383802081115035</c:v>
                </c:pt>
                <c:pt idx="108">
                  <c:v>0.00170989290672499</c:v>
                </c:pt>
                <c:pt idx="109">
                  <c:v>0.00225144916954379</c:v>
                </c:pt>
                <c:pt idx="110">
                  <c:v>0.00201381993259505</c:v>
                </c:pt>
                <c:pt idx="111">
                  <c:v>0.00206170590781037</c:v>
                </c:pt>
                <c:pt idx="112">
                  <c:v>0.0016851962518868</c:v>
                </c:pt>
                <c:pt idx="113">
                  <c:v>0.00145129365330028</c:v>
                </c:pt>
              </c:numCache>
            </c:numRef>
          </c:val>
          <c:smooth val="0"/>
        </c:ser>
        <c:ser>
          <c:idx val="2"/>
          <c:order val="2"/>
          <c:tx>
            <c:strRef>
              <c:f>'Ch7 Fiscal'!G6</c:f>
              <c:strCache>
                <c:ptCount val="1"/>
                <c:pt idx="0">
                  <c:v>Target marker
primary</c:v>
                </c:pt>
              </c:strCache>
            </c:strRef>
          </c:tx>
          <c:spPr>
            <a:solidFill>
              <a:srgbClr val="ec0016"/>
            </a:solidFill>
            <a:ln w="28440">
              <a:noFill/>
            </a:ln>
          </c:spPr>
          <c:marker>
            <c:symbol val="circle"/>
            <c:size val="7"/>
            <c:spPr>
              <a:solidFill>
                <a:srgbClr val="ec001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'Ch7 Fiscal'!$B$7:$B$139</c:f>
              <c:strCache>
                <c:ptCount val="133"/>
                <c:pt idx="0">
                  <c:v>2016-12</c:v>
                </c:pt>
                <c:pt idx="1">
                  <c:v>2017-01</c:v>
                </c:pt>
                <c:pt idx="2">
                  <c:v>2017-02</c:v>
                </c:pt>
                <c:pt idx="3">
                  <c:v>2017-03</c:v>
                </c:pt>
                <c:pt idx="4">
                  <c:v>2017-04</c:v>
                </c:pt>
                <c:pt idx="5">
                  <c:v>2017-05</c:v>
                </c:pt>
                <c:pt idx="6">
                  <c:v>2017-06</c:v>
                </c:pt>
                <c:pt idx="7">
                  <c:v>2017-07</c:v>
                </c:pt>
                <c:pt idx="8">
                  <c:v>2017-08</c:v>
                </c:pt>
                <c:pt idx="9">
                  <c:v>2017-09</c:v>
                </c:pt>
                <c:pt idx="10">
                  <c:v>2017-10</c:v>
                </c:pt>
                <c:pt idx="11">
                  <c:v>2017-11</c:v>
                </c:pt>
                <c:pt idx="12">
                  <c:v>2017-12</c:v>
                </c:pt>
                <c:pt idx="13">
                  <c:v>2018-01</c:v>
                </c:pt>
                <c:pt idx="14">
                  <c:v>2018-02</c:v>
                </c:pt>
                <c:pt idx="15">
                  <c:v>2018-03</c:v>
                </c:pt>
                <c:pt idx="16">
                  <c:v>2018-04</c:v>
                </c:pt>
                <c:pt idx="17">
                  <c:v>2018-05</c:v>
                </c:pt>
                <c:pt idx="18">
                  <c:v>2018-06</c:v>
                </c:pt>
                <c:pt idx="19">
                  <c:v>2018-07</c:v>
                </c:pt>
                <c:pt idx="20">
                  <c:v>2018-08</c:v>
                </c:pt>
                <c:pt idx="21">
                  <c:v>2018-09</c:v>
                </c:pt>
                <c:pt idx="22">
                  <c:v>2018-10</c:v>
                </c:pt>
                <c:pt idx="23">
                  <c:v>2018-11</c:v>
                </c:pt>
                <c:pt idx="24">
                  <c:v>2018-12</c:v>
                </c:pt>
                <c:pt idx="25">
                  <c:v>2019-01</c:v>
                </c:pt>
                <c:pt idx="26">
                  <c:v>2019-02</c:v>
                </c:pt>
                <c:pt idx="27">
                  <c:v>2019-03</c:v>
                </c:pt>
                <c:pt idx="28">
                  <c:v>2019-04</c:v>
                </c:pt>
                <c:pt idx="29">
                  <c:v>2019-05</c:v>
                </c:pt>
                <c:pt idx="30">
                  <c:v>2019-06</c:v>
                </c:pt>
                <c:pt idx="31">
                  <c:v>2019-07</c:v>
                </c:pt>
                <c:pt idx="32">
                  <c:v>2019-08</c:v>
                </c:pt>
                <c:pt idx="33">
                  <c:v>2019-09</c:v>
                </c:pt>
                <c:pt idx="34">
                  <c:v>2019-10</c:v>
                </c:pt>
                <c:pt idx="35">
                  <c:v>2019-11</c:v>
                </c:pt>
                <c:pt idx="36">
                  <c:v>2019-12</c:v>
                </c:pt>
                <c:pt idx="37">
                  <c:v>2020-01</c:v>
                </c:pt>
                <c:pt idx="38">
                  <c:v>2020-02</c:v>
                </c:pt>
                <c:pt idx="39">
                  <c:v>2020-03</c:v>
                </c:pt>
                <c:pt idx="40">
                  <c:v>2020-04</c:v>
                </c:pt>
                <c:pt idx="41">
                  <c:v>2020-05</c:v>
                </c:pt>
                <c:pt idx="42">
                  <c:v>2020-06</c:v>
                </c:pt>
                <c:pt idx="43">
                  <c:v>2020-07</c:v>
                </c:pt>
                <c:pt idx="44">
                  <c:v>2020-08</c:v>
                </c:pt>
                <c:pt idx="45">
                  <c:v>2020-09</c:v>
                </c:pt>
                <c:pt idx="46">
                  <c:v>2020-10</c:v>
                </c:pt>
                <c:pt idx="47">
                  <c:v>2020-11</c:v>
                </c:pt>
                <c:pt idx="48">
                  <c:v>2020-12</c:v>
                </c:pt>
                <c:pt idx="49">
                  <c:v>2021-01</c:v>
                </c:pt>
                <c:pt idx="50">
                  <c:v>2021-02</c:v>
                </c:pt>
                <c:pt idx="51">
                  <c:v>2021-03</c:v>
                </c:pt>
                <c:pt idx="52">
                  <c:v>2021-04</c:v>
                </c:pt>
                <c:pt idx="53">
                  <c:v>2021-05</c:v>
                </c:pt>
                <c:pt idx="54">
                  <c:v>2021-06</c:v>
                </c:pt>
                <c:pt idx="55">
                  <c:v>2021-07</c:v>
                </c:pt>
                <c:pt idx="56">
                  <c:v>2021-08</c:v>
                </c:pt>
                <c:pt idx="57">
                  <c:v>2021-09</c:v>
                </c:pt>
                <c:pt idx="58">
                  <c:v>2021-10</c:v>
                </c:pt>
                <c:pt idx="59">
                  <c:v>2021-11</c:v>
                </c:pt>
                <c:pt idx="60">
                  <c:v>2021-12</c:v>
                </c:pt>
                <c:pt idx="61">
                  <c:v>2022-01</c:v>
                </c:pt>
                <c:pt idx="62">
                  <c:v>2022-02</c:v>
                </c:pt>
                <c:pt idx="63">
                  <c:v>2022-03</c:v>
                </c:pt>
                <c:pt idx="64">
                  <c:v>2022-04</c:v>
                </c:pt>
                <c:pt idx="65">
                  <c:v>2022-05</c:v>
                </c:pt>
                <c:pt idx="66">
                  <c:v>2022-06</c:v>
                </c:pt>
                <c:pt idx="67">
                  <c:v>2022-07</c:v>
                </c:pt>
                <c:pt idx="68">
                  <c:v>2022-08</c:v>
                </c:pt>
                <c:pt idx="69">
                  <c:v>2022-09</c:v>
                </c:pt>
                <c:pt idx="70">
                  <c:v>2022-10</c:v>
                </c:pt>
                <c:pt idx="71">
                  <c:v>2022-11</c:v>
                </c:pt>
                <c:pt idx="72">
                  <c:v>2022-12</c:v>
                </c:pt>
                <c:pt idx="73">
                  <c:v>2023-01</c:v>
                </c:pt>
                <c:pt idx="74">
                  <c:v>2023-02</c:v>
                </c:pt>
                <c:pt idx="75">
                  <c:v>2023-03</c:v>
                </c:pt>
                <c:pt idx="76">
                  <c:v>2023-04</c:v>
                </c:pt>
                <c:pt idx="77">
                  <c:v>2023-05</c:v>
                </c:pt>
                <c:pt idx="78">
                  <c:v>2023-06</c:v>
                </c:pt>
                <c:pt idx="79">
                  <c:v>2023-07</c:v>
                </c:pt>
                <c:pt idx="80">
                  <c:v>2023-08</c:v>
                </c:pt>
                <c:pt idx="81">
                  <c:v>2023-09</c:v>
                </c:pt>
                <c:pt idx="82">
                  <c:v>2023-10</c:v>
                </c:pt>
                <c:pt idx="83">
                  <c:v>2023-11</c:v>
                </c:pt>
                <c:pt idx="84">
                  <c:v>2023-12</c:v>
                </c:pt>
                <c:pt idx="85">
                  <c:v>2024-01</c:v>
                </c:pt>
                <c:pt idx="86">
                  <c:v>2024-02</c:v>
                </c:pt>
                <c:pt idx="87">
                  <c:v>2024-03</c:v>
                </c:pt>
                <c:pt idx="88">
                  <c:v>2024-04</c:v>
                </c:pt>
                <c:pt idx="89">
                  <c:v>2024-05</c:v>
                </c:pt>
                <c:pt idx="90">
                  <c:v>2024-06</c:v>
                </c:pt>
                <c:pt idx="91">
                  <c:v>2024-07</c:v>
                </c:pt>
                <c:pt idx="92">
                  <c:v>2024-08</c:v>
                </c:pt>
                <c:pt idx="93">
                  <c:v>2024-09</c:v>
                </c:pt>
                <c:pt idx="94">
                  <c:v>2024-10</c:v>
                </c:pt>
                <c:pt idx="95">
                  <c:v>2024-11</c:v>
                </c:pt>
                <c:pt idx="96">
                  <c:v>2024-12</c:v>
                </c:pt>
                <c:pt idx="97">
                  <c:v>2025-01</c:v>
                </c:pt>
                <c:pt idx="98">
                  <c:v>2025-02</c:v>
                </c:pt>
                <c:pt idx="99">
                  <c:v>2025-03</c:v>
                </c:pt>
                <c:pt idx="100">
                  <c:v>2025-04</c:v>
                </c:pt>
                <c:pt idx="101">
                  <c:v>2025-05</c:v>
                </c:pt>
                <c:pt idx="102">
                  <c:v>2025-06</c:v>
                </c:pt>
                <c:pt idx="103">
                  <c:v>2025-07</c:v>
                </c:pt>
                <c:pt idx="104">
                  <c:v>2025-08</c:v>
                </c:pt>
                <c:pt idx="105">
                  <c:v>2025-09</c:v>
                </c:pt>
                <c:pt idx="106">
                  <c:v>2025-10</c:v>
                </c:pt>
                <c:pt idx="107">
                  <c:v>2025-11</c:v>
                </c:pt>
                <c:pt idx="108">
                  <c:v>2025-12</c:v>
                </c:pt>
                <c:pt idx="109">
                  <c:v>2026-01</c:v>
                </c:pt>
                <c:pt idx="110">
                  <c:v>2026-02</c:v>
                </c:pt>
                <c:pt idx="111">
                  <c:v>2026-03</c:v>
                </c:pt>
                <c:pt idx="112">
                  <c:v>2026-04</c:v>
                </c:pt>
                <c:pt idx="113">
                  <c:v>2026-05</c:v>
                </c:pt>
                <c:pt idx="114">
                  <c:v>2026-06</c:v>
                </c:pt>
                <c:pt idx="115">
                  <c:v>2026-07</c:v>
                </c:pt>
                <c:pt idx="116">
                  <c:v>2026-08</c:v>
                </c:pt>
                <c:pt idx="117">
                  <c:v>2026-09</c:v>
                </c:pt>
                <c:pt idx="118">
                  <c:v>2026-10</c:v>
                </c:pt>
                <c:pt idx="119">
                  <c:v>2026-11</c:v>
                </c:pt>
                <c:pt idx="120">
                  <c:v>2026-12</c:v>
                </c:pt>
                <c:pt idx="121">
                  <c:v>2027-01</c:v>
                </c:pt>
                <c:pt idx="122">
                  <c:v>2027-02</c:v>
                </c:pt>
                <c:pt idx="123">
                  <c:v>2027-03</c:v>
                </c:pt>
                <c:pt idx="124">
                  <c:v>2027-04</c:v>
                </c:pt>
                <c:pt idx="125">
                  <c:v>2027-05</c:v>
                </c:pt>
                <c:pt idx="126">
                  <c:v>2027-06</c:v>
                </c:pt>
                <c:pt idx="127">
                  <c:v>2027-07</c:v>
                </c:pt>
                <c:pt idx="128">
                  <c:v>2027-08</c:v>
                </c:pt>
                <c:pt idx="129">
                  <c:v>2027-09</c:v>
                </c:pt>
                <c:pt idx="130">
                  <c:v>2027-10</c:v>
                </c:pt>
                <c:pt idx="131">
                  <c:v>2027-11</c:v>
                </c:pt>
                <c:pt idx="132">
                  <c:v>2027-12</c:v>
                </c:pt>
              </c:strCache>
            </c:strRef>
          </c:cat>
          <c:val>
            <c:numRef>
              <c:f>'Ch7 Fiscal'!$G$7:$G$139</c:f>
              <c:numCache>
                <c:formatCode>General</c:formatCode>
                <c:ptCount val="133"/>
              </c:numCache>
            </c:numRef>
          </c:val>
          <c:smooth val="0"/>
        </c:ser>
        <c:ser>
          <c:idx val="3"/>
          <c:order val="3"/>
          <c:tx>
            <c:strRef>
              <c:f>'Ch7 Fiscal'!H6</c:f>
              <c:strCache>
                <c:ptCount val="1"/>
                <c:pt idx="0">
                  <c:v>Target marker
overall</c:v>
                </c:pt>
              </c:strCache>
            </c:strRef>
          </c:tx>
          <c:spPr>
            <a:solidFill>
              <a:srgbClr val="3f3f3f"/>
            </a:solidFill>
            <a:ln w="28440">
              <a:noFill/>
            </a:ln>
          </c:spPr>
          <c:marker>
            <c:symbol val="diamond"/>
            <c:size val="7"/>
            <c:spPr>
              <a:solidFill>
                <a:srgbClr val="3f3f3f"/>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'Ch7 Fiscal'!$B$7:$B$139</c:f>
              <c:strCache>
                <c:ptCount val="133"/>
                <c:pt idx="0">
                  <c:v>2016-12</c:v>
                </c:pt>
                <c:pt idx="1">
                  <c:v>2017-01</c:v>
                </c:pt>
                <c:pt idx="2">
                  <c:v>2017-02</c:v>
                </c:pt>
                <c:pt idx="3">
                  <c:v>2017-03</c:v>
                </c:pt>
                <c:pt idx="4">
                  <c:v>2017-04</c:v>
                </c:pt>
                <c:pt idx="5">
                  <c:v>2017-05</c:v>
                </c:pt>
                <c:pt idx="6">
                  <c:v>2017-06</c:v>
                </c:pt>
                <c:pt idx="7">
                  <c:v>2017-07</c:v>
                </c:pt>
                <c:pt idx="8">
                  <c:v>2017-08</c:v>
                </c:pt>
                <c:pt idx="9">
                  <c:v>2017-09</c:v>
                </c:pt>
                <c:pt idx="10">
                  <c:v>2017-10</c:v>
                </c:pt>
                <c:pt idx="11">
                  <c:v>2017-11</c:v>
                </c:pt>
                <c:pt idx="12">
                  <c:v>2017-12</c:v>
                </c:pt>
                <c:pt idx="13">
                  <c:v>2018-01</c:v>
                </c:pt>
                <c:pt idx="14">
                  <c:v>2018-02</c:v>
                </c:pt>
                <c:pt idx="15">
                  <c:v>2018-03</c:v>
                </c:pt>
                <c:pt idx="16">
                  <c:v>2018-04</c:v>
                </c:pt>
                <c:pt idx="17">
                  <c:v>2018-05</c:v>
                </c:pt>
                <c:pt idx="18">
                  <c:v>2018-06</c:v>
                </c:pt>
                <c:pt idx="19">
                  <c:v>2018-07</c:v>
                </c:pt>
                <c:pt idx="20">
                  <c:v>2018-08</c:v>
                </c:pt>
                <c:pt idx="21">
                  <c:v>2018-09</c:v>
                </c:pt>
                <c:pt idx="22">
                  <c:v>2018-10</c:v>
                </c:pt>
                <c:pt idx="23">
                  <c:v>2018-11</c:v>
                </c:pt>
                <c:pt idx="24">
                  <c:v>2018-12</c:v>
                </c:pt>
                <c:pt idx="25">
                  <c:v>2019-01</c:v>
                </c:pt>
                <c:pt idx="26">
                  <c:v>2019-02</c:v>
                </c:pt>
                <c:pt idx="27">
                  <c:v>2019-03</c:v>
                </c:pt>
                <c:pt idx="28">
                  <c:v>2019-04</c:v>
                </c:pt>
                <c:pt idx="29">
                  <c:v>2019-05</c:v>
                </c:pt>
                <c:pt idx="30">
                  <c:v>2019-06</c:v>
                </c:pt>
                <c:pt idx="31">
                  <c:v>2019-07</c:v>
                </c:pt>
                <c:pt idx="32">
                  <c:v>2019-08</c:v>
                </c:pt>
                <c:pt idx="33">
                  <c:v>2019-09</c:v>
                </c:pt>
                <c:pt idx="34">
                  <c:v>2019-10</c:v>
                </c:pt>
                <c:pt idx="35">
                  <c:v>2019-11</c:v>
                </c:pt>
                <c:pt idx="36">
                  <c:v>2019-12</c:v>
                </c:pt>
                <c:pt idx="37">
                  <c:v>2020-01</c:v>
                </c:pt>
                <c:pt idx="38">
                  <c:v>2020-02</c:v>
                </c:pt>
                <c:pt idx="39">
                  <c:v>2020-03</c:v>
                </c:pt>
                <c:pt idx="40">
                  <c:v>2020-04</c:v>
                </c:pt>
                <c:pt idx="41">
                  <c:v>2020-05</c:v>
                </c:pt>
                <c:pt idx="42">
                  <c:v>2020-06</c:v>
                </c:pt>
                <c:pt idx="43">
                  <c:v>2020-07</c:v>
                </c:pt>
                <c:pt idx="44">
                  <c:v>2020-08</c:v>
                </c:pt>
                <c:pt idx="45">
                  <c:v>2020-09</c:v>
                </c:pt>
                <c:pt idx="46">
                  <c:v>2020-10</c:v>
                </c:pt>
                <c:pt idx="47">
                  <c:v>2020-11</c:v>
                </c:pt>
                <c:pt idx="48">
                  <c:v>2020-12</c:v>
                </c:pt>
                <c:pt idx="49">
                  <c:v>2021-01</c:v>
                </c:pt>
                <c:pt idx="50">
                  <c:v>2021-02</c:v>
                </c:pt>
                <c:pt idx="51">
                  <c:v>2021-03</c:v>
                </c:pt>
                <c:pt idx="52">
                  <c:v>2021-04</c:v>
                </c:pt>
                <c:pt idx="53">
                  <c:v>2021-05</c:v>
                </c:pt>
                <c:pt idx="54">
                  <c:v>2021-06</c:v>
                </c:pt>
                <c:pt idx="55">
                  <c:v>2021-07</c:v>
                </c:pt>
                <c:pt idx="56">
                  <c:v>2021-08</c:v>
                </c:pt>
                <c:pt idx="57">
                  <c:v>2021-09</c:v>
                </c:pt>
                <c:pt idx="58">
                  <c:v>2021-10</c:v>
                </c:pt>
                <c:pt idx="59">
                  <c:v>2021-11</c:v>
                </c:pt>
                <c:pt idx="60">
                  <c:v>2021-12</c:v>
                </c:pt>
                <c:pt idx="61">
                  <c:v>2022-01</c:v>
                </c:pt>
                <c:pt idx="62">
                  <c:v>2022-02</c:v>
                </c:pt>
                <c:pt idx="63">
                  <c:v>2022-03</c:v>
                </c:pt>
                <c:pt idx="64">
                  <c:v>2022-04</c:v>
                </c:pt>
                <c:pt idx="65">
                  <c:v>2022-05</c:v>
                </c:pt>
                <c:pt idx="66">
                  <c:v>2022-06</c:v>
                </c:pt>
                <c:pt idx="67">
                  <c:v>2022-07</c:v>
                </c:pt>
                <c:pt idx="68">
                  <c:v>2022-08</c:v>
                </c:pt>
                <c:pt idx="69">
                  <c:v>2022-09</c:v>
                </c:pt>
                <c:pt idx="70">
                  <c:v>2022-10</c:v>
                </c:pt>
                <c:pt idx="71">
                  <c:v>2022-11</c:v>
                </c:pt>
                <c:pt idx="72">
                  <c:v>2022-12</c:v>
                </c:pt>
                <c:pt idx="73">
                  <c:v>2023-01</c:v>
                </c:pt>
                <c:pt idx="74">
                  <c:v>2023-02</c:v>
                </c:pt>
                <c:pt idx="75">
                  <c:v>2023-03</c:v>
                </c:pt>
                <c:pt idx="76">
                  <c:v>2023-04</c:v>
                </c:pt>
                <c:pt idx="77">
                  <c:v>2023-05</c:v>
                </c:pt>
                <c:pt idx="78">
                  <c:v>2023-06</c:v>
                </c:pt>
                <c:pt idx="79">
                  <c:v>2023-07</c:v>
                </c:pt>
                <c:pt idx="80">
                  <c:v>2023-08</c:v>
                </c:pt>
                <c:pt idx="81">
                  <c:v>2023-09</c:v>
                </c:pt>
                <c:pt idx="82">
                  <c:v>2023-10</c:v>
                </c:pt>
                <c:pt idx="83">
                  <c:v>2023-11</c:v>
                </c:pt>
                <c:pt idx="84">
                  <c:v>2023-12</c:v>
                </c:pt>
                <c:pt idx="85">
                  <c:v>2024-01</c:v>
                </c:pt>
                <c:pt idx="86">
                  <c:v>2024-02</c:v>
                </c:pt>
                <c:pt idx="87">
                  <c:v>2024-03</c:v>
                </c:pt>
                <c:pt idx="88">
                  <c:v>2024-04</c:v>
                </c:pt>
                <c:pt idx="89">
                  <c:v>2024-05</c:v>
                </c:pt>
                <c:pt idx="90">
                  <c:v>2024-06</c:v>
                </c:pt>
                <c:pt idx="91">
                  <c:v>2024-07</c:v>
                </c:pt>
                <c:pt idx="92">
                  <c:v>2024-08</c:v>
                </c:pt>
                <c:pt idx="93">
                  <c:v>2024-09</c:v>
                </c:pt>
                <c:pt idx="94">
                  <c:v>2024-10</c:v>
                </c:pt>
                <c:pt idx="95">
                  <c:v>2024-11</c:v>
                </c:pt>
                <c:pt idx="96">
                  <c:v>2024-12</c:v>
                </c:pt>
                <c:pt idx="97">
                  <c:v>2025-01</c:v>
                </c:pt>
                <c:pt idx="98">
                  <c:v>2025-02</c:v>
                </c:pt>
                <c:pt idx="99">
                  <c:v>2025-03</c:v>
                </c:pt>
                <c:pt idx="100">
                  <c:v>2025-04</c:v>
                </c:pt>
                <c:pt idx="101">
                  <c:v>2025-05</c:v>
                </c:pt>
                <c:pt idx="102">
                  <c:v>2025-06</c:v>
                </c:pt>
                <c:pt idx="103">
                  <c:v>2025-07</c:v>
                </c:pt>
                <c:pt idx="104">
                  <c:v>2025-08</c:v>
                </c:pt>
                <c:pt idx="105">
                  <c:v>2025-09</c:v>
                </c:pt>
                <c:pt idx="106">
                  <c:v>2025-10</c:v>
                </c:pt>
                <c:pt idx="107">
                  <c:v>2025-11</c:v>
                </c:pt>
                <c:pt idx="108">
                  <c:v>2025-12</c:v>
                </c:pt>
                <c:pt idx="109">
                  <c:v>2026-01</c:v>
                </c:pt>
                <c:pt idx="110">
                  <c:v>2026-02</c:v>
                </c:pt>
                <c:pt idx="111">
                  <c:v>2026-03</c:v>
                </c:pt>
                <c:pt idx="112">
                  <c:v>2026-04</c:v>
                </c:pt>
                <c:pt idx="113">
                  <c:v>2026-05</c:v>
                </c:pt>
                <c:pt idx="114">
                  <c:v>2026-06</c:v>
                </c:pt>
                <c:pt idx="115">
                  <c:v>2026-07</c:v>
                </c:pt>
                <c:pt idx="116">
                  <c:v>2026-08</c:v>
                </c:pt>
                <c:pt idx="117">
                  <c:v>2026-09</c:v>
                </c:pt>
                <c:pt idx="118">
                  <c:v>2026-10</c:v>
                </c:pt>
                <c:pt idx="119">
                  <c:v>2026-11</c:v>
                </c:pt>
                <c:pt idx="120">
                  <c:v>2026-12</c:v>
                </c:pt>
                <c:pt idx="121">
                  <c:v>2027-01</c:v>
                </c:pt>
                <c:pt idx="122">
                  <c:v>2027-02</c:v>
                </c:pt>
                <c:pt idx="123">
                  <c:v>2027-03</c:v>
                </c:pt>
                <c:pt idx="124">
                  <c:v>2027-04</c:v>
                </c:pt>
                <c:pt idx="125">
                  <c:v>2027-05</c:v>
                </c:pt>
                <c:pt idx="126">
                  <c:v>2027-06</c:v>
                </c:pt>
                <c:pt idx="127">
                  <c:v>2027-07</c:v>
                </c:pt>
                <c:pt idx="128">
                  <c:v>2027-08</c:v>
                </c:pt>
                <c:pt idx="129">
                  <c:v>2027-09</c:v>
                </c:pt>
                <c:pt idx="130">
                  <c:v>2027-10</c:v>
                </c:pt>
                <c:pt idx="131">
                  <c:v>2027-11</c:v>
                </c:pt>
                <c:pt idx="132">
                  <c:v>2027-12</c:v>
                </c:pt>
              </c:strCache>
            </c:strRef>
          </c:cat>
          <c:val>
            <c:numRef>
              <c:f>'Ch7 Fiscal'!$H$7:$H$139</c:f>
              <c:numCache>
                <c:formatCode>General</c:formatCode>
                <c:ptCount val="133"/>
              </c:numCache>
            </c:numRef>
          </c:val>
          <c:smooth val="0"/>
        </c:ser>
        <c:hiLowLines>
          <c:spPr>
            <a:ln w="0">
              <a:noFill/>
            </a:ln>
          </c:spPr>
        </c:hiLowLines>
        <c:marker val="1"/>
        <c:axId val="11974154"/>
        <c:axId val="78470606"/>
      </c:lineChart>
      <c:catAx>
        <c:axId val="1197415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470606"/>
        <c:crosses val="autoZero"/>
        <c:auto val="1"/>
        <c:lblAlgn val="ctr"/>
        <c:lblOffset val="100"/>
        <c:noMultiLvlLbl val="0"/>
      </c:catAx>
      <c:valAx>
        <c:axId val="7847060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GDP</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97415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
</Relationships>
</file>

<file path=xl/drawings/_rels/drawing3.xml.rels><?xml version="1.0" encoding="UTF-8"?>
<Relationships xmlns="http://schemas.openxmlformats.org/package/2006/relationships"><Relationship Id="rId1" Type="http://schemas.openxmlformats.org/officeDocument/2006/relationships/chart" Target="../charts/chart6.xml"/>
</Relationships>
</file>

<file path=xl/drawings/_rels/drawing4.xml.rels><?xml version="1.0" encoding="UTF-8"?>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
</Relationships>
</file>

<file path=xl/drawings/_rels/drawing5.xml.rels><?xml version="1.0" encoding="UTF-8"?>
<Relationships xmlns="http://schemas.openxmlformats.org/package/2006/relationships"><Relationship Id="rId1" Type="http://schemas.openxmlformats.org/officeDocument/2006/relationships/chart" Target="../charts/chart9.xml"/>
</Relationships>
</file>

<file path=xl/drawings/_rels/drawing6.xml.rels><?xml version="1.0" encoding="UTF-8"?>
<Relationships xmlns="http://schemas.openxmlformats.org/package/2006/relationships"><Relationship Id="rId1" Type="http://schemas.openxmlformats.org/officeDocument/2006/relationships/chart" Target="../charts/chart10.xml"/>
</Relationships>
</file>

<file path=xl/drawings/_rels/drawing7.xml.rels><?xml version="1.0" encoding="UTF-8"?>
<Relationships xmlns="http://schemas.openxmlformats.org/package/2006/relationships"><Relationship Id="rId1" Type="http://schemas.openxmlformats.org/officeDocument/2006/relationships/chart" Target="../charts/chart1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4</xdr:row>
      <xdr:rowOff>0</xdr:rowOff>
    </xdr:from>
    <xdr:to>
      <xdr:col>25</xdr:col>
      <xdr:colOff>512640</xdr:colOff>
      <xdr:row>30</xdr:row>
      <xdr:rowOff>86760</xdr:rowOff>
    </xdr:to>
    <xdr:graphicFrame>
      <xdr:nvGraphicFramePr>
        <xdr:cNvPr id="0" name="Chart 1"/>
        <xdr:cNvGraphicFramePr/>
      </xdr:nvGraphicFramePr>
      <xdr:xfrm>
        <a:off x="4629240" y="895320"/>
        <a:ext cx="11519640" cy="50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4</xdr:row>
      <xdr:rowOff>0</xdr:rowOff>
    </xdr:from>
    <xdr:to>
      <xdr:col>23</xdr:col>
      <xdr:colOff>244080</xdr:colOff>
      <xdr:row>25</xdr:row>
      <xdr:rowOff>128520</xdr:rowOff>
    </xdr:to>
    <xdr:graphicFrame>
      <xdr:nvGraphicFramePr>
        <xdr:cNvPr id="1" name="Chart 1"/>
        <xdr:cNvGraphicFramePr/>
      </xdr:nvGraphicFramePr>
      <xdr:xfrm>
        <a:off x="5827320" y="895320"/>
        <a:ext cx="1079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28</xdr:row>
      <xdr:rowOff>0</xdr:rowOff>
    </xdr:from>
    <xdr:to>
      <xdr:col>23</xdr:col>
      <xdr:colOff>244080</xdr:colOff>
      <xdr:row>49</xdr:row>
      <xdr:rowOff>128520</xdr:rowOff>
    </xdr:to>
    <xdr:graphicFrame>
      <xdr:nvGraphicFramePr>
        <xdr:cNvPr id="2" name="Chart 2"/>
        <xdr:cNvGraphicFramePr/>
      </xdr:nvGraphicFramePr>
      <xdr:xfrm>
        <a:off x="5827320" y="5657760"/>
        <a:ext cx="10799640" cy="43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52</xdr:row>
      <xdr:rowOff>0</xdr:rowOff>
    </xdr:from>
    <xdr:to>
      <xdr:col>23</xdr:col>
      <xdr:colOff>244080</xdr:colOff>
      <xdr:row>74</xdr:row>
      <xdr:rowOff>128520</xdr:rowOff>
    </xdr:to>
    <xdr:graphicFrame>
      <xdr:nvGraphicFramePr>
        <xdr:cNvPr id="3" name="Chart 3"/>
        <xdr:cNvGraphicFramePr/>
      </xdr:nvGraphicFramePr>
      <xdr:xfrm>
        <a:off x="5827320" y="10420200"/>
        <a:ext cx="10799640" cy="431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76</xdr:row>
      <xdr:rowOff>0</xdr:rowOff>
    </xdr:from>
    <xdr:to>
      <xdr:col>23</xdr:col>
      <xdr:colOff>244080</xdr:colOff>
      <xdr:row>94</xdr:row>
      <xdr:rowOff>890640</xdr:rowOff>
    </xdr:to>
    <xdr:graphicFrame>
      <xdr:nvGraphicFramePr>
        <xdr:cNvPr id="4" name="Chart 4"/>
        <xdr:cNvGraphicFramePr/>
      </xdr:nvGraphicFramePr>
      <xdr:xfrm>
        <a:off x="5827320" y="14992200"/>
        <a:ext cx="10799640" cy="431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18</xdr:col>
      <xdr:colOff>0</xdr:colOff>
      <xdr:row>3</xdr:row>
      <xdr:rowOff>380880</xdr:rowOff>
    </xdr:from>
    <xdr:to>
      <xdr:col>38</xdr:col>
      <xdr:colOff>9720</xdr:colOff>
      <xdr:row>27</xdr:row>
      <xdr:rowOff>5400</xdr:rowOff>
    </xdr:to>
    <xdr:graphicFrame>
      <xdr:nvGraphicFramePr>
        <xdr:cNvPr id="5" name="Chart 1"/>
        <xdr:cNvGraphicFramePr/>
      </xdr:nvGraphicFramePr>
      <xdr:xfrm>
        <a:off x="13369320" y="1085760"/>
        <a:ext cx="12239640" cy="53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14</xdr:col>
      <xdr:colOff>0</xdr:colOff>
      <xdr:row>3</xdr:row>
      <xdr:rowOff>380880</xdr:rowOff>
    </xdr:from>
    <xdr:to>
      <xdr:col>32</xdr:col>
      <xdr:colOff>512640</xdr:colOff>
      <xdr:row>25</xdr:row>
      <xdr:rowOff>120960</xdr:rowOff>
    </xdr:to>
    <xdr:graphicFrame>
      <xdr:nvGraphicFramePr>
        <xdr:cNvPr id="6" name="Chart 1"/>
        <xdr:cNvGraphicFramePr/>
      </xdr:nvGraphicFramePr>
      <xdr:xfrm>
        <a:off x="11702520" y="1085760"/>
        <a:ext cx="11519640" cy="46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0</xdr:colOff>
      <xdr:row>28</xdr:row>
      <xdr:rowOff>60840</xdr:rowOff>
    </xdr:from>
    <xdr:to>
      <xdr:col>32</xdr:col>
      <xdr:colOff>512640</xdr:colOff>
      <xdr:row>52</xdr:row>
      <xdr:rowOff>168480</xdr:rowOff>
    </xdr:to>
    <xdr:graphicFrame>
      <xdr:nvGraphicFramePr>
        <xdr:cNvPr id="7" name="Chart 2"/>
        <xdr:cNvGraphicFramePr/>
      </xdr:nvGraphicFramePr>
      <xdr:xfrm>
        <a:off x="11702520" y="6276960"/>
        <a:ext cx="11519640" cy="46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5</xdr:row>
      <xdr:rowOff>0</xdr:rowOff>
    </xdr:from>
    <xdr:to>
      <xdr:col>25</xdr:col>
      <xdr:colOff>512280</xdr:colOff>
      <xdr:row>30</xdr:row>
      <xdr:rowOff>38880</xdr:rowOff>
    </xdr:to>
    <xdr:graphicFrame>
      <xdr:nvGraphicFramePr>
        <xdr:cNvPr id="8" name="Chart 1"/>
        <xdr:cNvGraphicFramePr/>
      </xdr:nvGraphicFramePr>
      <xdr:xfrm>
        <a:off x="5240520" y="1085760"/>
        <a:ext cx="11519640" cy="50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17</xdr:col>
      <xdr:colOff>0</xdr:colOff>
      <xdr:row>3</xdr:row>
      <xdr:rowOff>380880</xdr:rowOff>
    </xdr:from>
    <xdr:to>
      <xdr:col>38</xdr:col>
      <xdr:colOff>118080</xdr:colOff>
      <xdr:row>27</xdr:row>
      <xdr:rowOff>118800</xdr:rowOff>
    </xdr:to>
    <xdr:graphicFrame>
      <xdr:nvGraphicFramePr>
        <xdr:cNvPr id="9" name="Chart 1"/>
        <xdr:cNvGraphicFramePr/>
      </xdr:nvGraphicFramePr>
      <xdr:xfrm>
        <a:off x="13207320" y="1085760"/>
        <a:ext cx="12959640" cy="53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5</xdr:row>
      <xdr:rowOff>0</xdr:rowOff>
    </xdr:from>
    <xdr:to>
      <xdr:col>30</xdr:col>
      <xdr:colOff>118080</xdr:colOff>
      <xdr:row>32</xdr:row>
      <xdr:rowOff>46440</xdr:rowOff>
    </xdr:to>
    <xdr:graphicFrame>
      <xdr:nvGraphicFramePr>
        <xdr:cNvPr id="10" name="Chart 1"/>
        <xdr:cNvGraphicFramePr/>
      </xdr:nvGraphicFramePr>
      <xdr:xfrm>
        <a:off x="7307640" y="1085760"/>
        <a:ext cx="12959640" cy="53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C0016"/>
    <pageSetUpPr fitToPage="false"/>
  </sheetPr>
  <dimension ref="B2:C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00"/>
  </cols>
  <sheetData>
    <row r="2" customFormat="false" ht="25.5" hidden="false" customHeight="true" outlineLevel="0" collapsed="false">
      <c r="B2" s="1"/>
      <c r="C2" s="2" t="s">
        <v>0</v>
      </c>
    </row>
    <row r="3" customFormat="false" ht="15" hidden="false" customHeight="false" outlineLevel="0" collapsed="false">
      <c r="C3" s="3" t="s">
        <v>1</v>
      </c>
    </row>
    <row r="5" customFormat="false" ht="15" hidden="false" customHeight="false" outlineLevel="0" collapsed="false">
      <c r="B5" s="4" t="s">
        <v>2</v>
      </c>
    </row>
    <row r="6" customFormat="false" ht="42" hidden="false" customHeight="true" outlineLevel="0" collapsed="false">
      <c r="B6" s="5" t="s">
        <v>3</v>
      </c>
      <c r="C6" s="6" t="s">
        <v>4</v>
      </c>
    </row>
    <row r="7" customFormat="false" ht="69.75" hidden="false" customHeight="true" outlineLevel="0" collapsed="false">
      <c r="B7" s="5" t="s">
        <v>5</v>
      </c>
      <c r="C7" s="6" t="s">
        <v>6</v>
      </c>
    </row>
    <row r="8" customFormat="false" ht="15" hidden="false" customHeight="false" outlineLevel="0" collapsed="false">
      <c r="B8" s="4"/>
    </row>
    <row r="9" customFormat="false" ht="15" hidden="false" customHeight="false" outlineLevel="0" collapsed="false">
      <c r="B9" s="4" t="s">
        <v>7</v>
      </c>
    </row>
    <row r="10" customFormat="false" ht="42" hidden="false" customHeight="true" outlineLevel="0" collapsed="false">
      <c r="B10" s="5" t="s">
        <v>8</v>
      </c>
      <c r="C10" s="6" t="s">
        <v>9</v>
      </c>
    </row>
    <row r="11" customFormat="false" ht="27.75" hidden="false" customHeight="true" outlineLevel="0" collapsed="false">
      <c r="B11" s="5" t="s">
        <v>10</v>
      </c>
      <c r="C11" s="6" t="s">
        <v>11</v>
      </c>
    </row>
    <row r="12" customFormat="false" ht="42" hidden="false" customHeight="true" outlineLevel="0" collapsed="false">
      <c r="B12" s="5" t="s">
        <v>12</v>
      </c>
      <c r="C12" s="6" t="s">
        <v>13</v>
      </c>
    </row>
    <row r="13" customFormat="false" ht="27.75" hidden="false" customHeight="true" outlineLevel="0" collapsed="false">
      <c r="B13" s="5" t="s">
        <v>14</v>
      </c>
      <c r="C13" s="6" t="s">
        <v>15</v>
      </c>
    </row>
    <row r="14" customFormat="false" ht="13.5" hidden="false" customHeight="true" outlineLevel="0" collapsed="false">
      <c r="B14" s="5" t="s">
        <v>16</v>
      </c>
      <c r="C14" s="6" t="s">
        <v>17</v>
      </c>
    </row>
    <row r="15" customFormat="false" ht="27.75" hidden="false" customHeight="true" outlineLevel="0" collapsed="false">
      <c r="B15" s="5" t="s">
        <v>18</v>
      </c>
      <c r="C15" s="6" t="s">
        <v>19</v>
      </c>
    </row>
    <row r="16" customFormat="false" ht="27.75" hidden="false" customHeight="true" outlineLevel="0" collapsed="false">
      <c r="B16" s="5" t="s">
        <v>20</v>
      </c>
      <c r="C16" s="6" t="s">
        <v>21</v>
      </c>
    </row>
    <row r="17" customFormat="false" ht="15" hidden="false" customHeight="false" outlineLevel="0" collapsed="false">
      <c r="B17" s="4"/>
    </row>
    <row r="18" customFormat="false" ht="15" hidden="false" customHeight="false" outlineLevel="0" collapsed="false">
      <c r="B18" s="4" t="s">
        <v>22</v>
      </c>
    </row>
    <row r="19" customFormat="false" ht="27.75" hidden="false" customHeight="true" outlineLevel="0" collapsed="false">
      <c r="B19" s="5" t="s">
        <v>23</v>
      </c>
      <c r="C19" s="6" t="s">
        <v>24</v>
      </c>
    </row>
    <row r="20" customFormat="false" ht="13.5" hidden="false" customHeight="true" outlineLevel="0" collapsed="false">
      <c r="B20" s="5" t="s">
        <v>25</v>
      </c>
      <c r="C20" s="6" t="s">
        <v>26</v>
      </c>
    </row>
    <row r="21" customFormat="false" ht="27.75" hidden="false" customHeight="true" outlineLevel="0" collapsed="false">
      <c r="B21" s="5" t="s">
        <v>27</v>
      </c>
      <c r="C21" s="6"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C0016"/>
    <pageSetUpPr fitToPage="false"/>
  </sheetPr>
  <dimension ref="B2:T1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7"/>
    <col collapsed="false" customWidth="true" hidden="false" outlineLevel="0" max="4" min="4" style="0" width="5"/>
    <col collapsed="false" customWidth="true" hidden="false" outlineLevel="0" max="5" min="5" style="0" width="12"/>
    <col collapsed="false" customWidth="true" hidden="false" outlineLevel="0" max="7" min="6" style="0" width="11"/>
    <col collapsed="false" customWidth="true" hidden="false" outlineLevel="0" max="8" min="8" style="0" width="12"/>
    <col collapsed="false" customWidth="true" hidden="false" outlineLevel="0" max="10" min="9" style="0" width="10"/>
    <col collapsed="false" customWidth="true" hidden="false" outlineLevel="0" max="11" min="11" style="0" width="11"/>
    <col collapsed="false" customWidth="true" hidden="false" outlineLevel="0" max="14" min="12" style="0" width="10"/>
    <col collapsed="false" customWidth="true" hidden="false" outlineLevel="0" max="16" min="15" style="0" width="12"/>
    <col collapsed="false" customWidth="true" hidden="false" outlineLevel="0" max="18" min="17" style="0" width="15"/>
    <col collapsed="false" customWidth="true" hidden="false" outlineLevel="0" max="19" min="19" style="0" width="11"/>
    <col collapsed="false" customWidth="true" hidden="false" outlineLevel="0" max="20" min="20" style="0" width="9"/>
  </cols>
  <sheetData>
    <row r="2" customFormat="false" ht="25.5" hidden="false" customHeight="true" outlineLevel="0" collapsed="false">
      <c r="B2" s="1"/>
      <c r="C2" s="2" t="s">
        <v>29</v>
      </c>
    </row>
    <row r="3" customFormat="false" ht="15" hidden="false" customHeight="false" outlineLevel="0" collapsed="false">
      <c r="C3" s="3" t="s">
        <v>30</v>
      </c>
    </row>
    <row r="5" customFormat="false" ht="31.5" hidden="false" customHeight="true" outlineLevel="0" collapsed="false">
      <c r="B5" s="7" t="s">
        <v>31</v>
      </c>
      <c r="C5" s="7" t="s">
        <v>32</v>
      </c>
      <c r="D5" s="7" t="s">
        <v>33</v>
      </c>
      <c r="E5" s="7" t="s">
        <v>34</v>
      </c>
      <c r="F5" s="7" t="s">
        <v>35</v>
      </c>
      <c r="G5" s="7" t="s">
        <v>36</v>
      </c>
      <c r="H5" s="7" t="s">
        <v>37</v>
      </c>
      <c r="I5" s="7" t="s">
        <v>38</v>
      </c>
      <c r="J5" s="7" t="s">
        <v>39</v>
      </c>
      <c r="K5" s="7" t="s">
        <v>40</v>
      </c>
      <c r="L5" s="7" t="s">
        <v>41</v>
      </c>
      <c r="M5" s="7" t="s">
        <v>42</v>
      </c>
      <c r="N5" s="7" t="s">
        <v>43</v>
      </c>
      <c r="O5" s="7" t="s">
        <v>44</v>
      </c>
      <c r="P5" s="7" t="s">
        <v>45</v>
      </c>
      <c r="Q5" s="7" t="s">
        <v>46</v>
      </c>
      <c r="R5" s="7" t="s">
        <v>47</v>
      </c>
      <c r="S5" s="7" t="s">
        <v>48</v>
      </c>
      <c r="T5" s="7" t="s">
        <v>49</v>
      </c>
    </row>
    <row r="6" customFormat="false" ht="15" hidden="false" customHeight="false" outlineLevel="0" collapsed="false">
      <c r="B6" s="8" t="s">
        <v>50</v>
      </c>
      <c r="C6" s="9" t="n">
        <v>2018</v>
      </c>
      <c r="D6" s="9" t="n">
        <v>12</v>
      </c>
      <c r="E6" s="10" t="n">
        <v>184.2552</v>
      </c>
      <c r="F6" s="10" t="n">
        <v>178.9326</v>
      </c>
      <c r="G6" s="11"/>
      <c r="H6" s="11"/>
      <c r="I6" s="12"/>
      <c r="J6" s="12"/>
      <c r="K6" s="12"/>
      <c r="L6" s="12"/>
      <c r="M6" s="13"/>
      <c r="N6" s="13"/>
      <c r="O6" s="14" t="str">
        <f aca="false">IF(G6="","",G6/$G$66*100)</f>
        <v/>
      </c>
      <c r="P6" s="14" t="n">
        <f aca="false">IF(F6="","",F6/$F$66*100)</f>
        <v>4.70881620059766</v>
      </c>
      <c r="Q6" s="15" t="str">
        <f aca="false">IF(OR(F6="",G6=""),"",(G6/$G$66)/(F6/$F$66)*100)</f>
        <v/>
      </c>
      <c r="R6" s="12" t="str">
        <f aca="false">IF(OR(K6="",J6=""),"",K6-J6)</f>
        <v/>
      </c>
      <c r="S6" s="12"/>
      <c r="T6" s="16" t="n">
        <v>0.02</v>
      </c>
    </row>
    <row r="7" customFormat="false" ht="15" hidden="false" customHeight="false" outlineLevel="0" collapsed="false">
      <c r="B7" s="8" t="s">
        <v>51</v>
      </c>
      <c r="C7" s="9" t="n">
        <v>2019</v>
      </c>
      <c r="D7" s="9" t="n">
        <v>1</v>
      </c>
      <c r="E7" s="10" t="n">
        <v>189.6101</v>
      </c>
      <c r="F7" s="10" t="n">
        <v>184.3056</v>
      </c>
      <c r="G7" s="11"/>
      <c r="H7" s="11"/>
      <c r="I7" s="12" t="n">
        <f aca="false">IF(OR(E7="",E6=""),"",E7/E6-1)</f>
        <v>0.0290624090934746</v>
      </c>
      <c r="J7" s="12" t="n">
        <f aca="false">IF(OR(F7="",F6=""),"",F7/F6-1)</f>
        <v>0.0300280664339534</v>
      </c>
      <c r="K7" s="12" t="str">
        <f aca="false">IF(OR(G7="",G6=""),"",G7/G6-1)</f>
        <v/>
      </c>
      <c r="L7" s="12" t="str">
        <f aca="false">IF(OR(H7="",H6=""),"",H7/H6-1)</f>
        <v/>
      </c>
      <c r="M7" s="13"/>
      <c r="N7" s="13"/>
      <c r="O7" s="14" t="str">
        <f aca="false">IF(G7="","",G7/$G$66*100)</f>
        <v/>
      </c>
      <c r="P7" s="14" t="n">
        <f aca="false">IF(F7="","",F7/$F$66*100)</f>
        <v>4.85021284629448</v>
      </c>
      <c r="Q7" s="15" t="str">
        <f aca="false">IF(OR(F7="",G7=""),"",(G7/$G$66)/(F7/$F$66)*100)</f>
        <v/>
      </c>
      <c r="R7" s="12" t="str">
        <f aca="false">IF(OR(K7="",J7=""),"",K7-J7)</f>
        <v/>
      </c>
      <c r="S7" s="12"/>
      <c r="T7" s="16" t="n">
        <v>0.02</v>
      </c>
    </row>
    <row r="8" customFormat="false" ht="15" hidden="false" customHeight="false" outlineLevel="0" collapsed="false">
      <c r="B8" s="8" t="s">
        <v>52</v>
      </c>
      <c r="C8" s="9" t="n">
        <v>2019</v>
      </c>
      <c r="D8" s="9" t="n">
        <v>2</v>
      </c>
      <c r="E8" s="10" t="n">
        <v>196.7501</v>
      </c>
      <c r="F8" s="10" t="n">
        <v>191.4115</v>
      </c>
      <c r="G8" s="11"/>
      <c r="H8" s="11"/>
      <c r="I8" s="12" t="n">
        <f aca="false">IF(OR(E8="",E7=""),"",E8/E7-1)</f>
        <v>0.037656221899572</v>
      </c>
      <c r="J8" s="12" t="n">
        <f aca="false">IF(OR(F8="",F7=""),"",F8/F7-1)</f>
        <v>0.038554986934743</v>
      </c>
      <c r="K8" s="12" t="str">
        <f aca="false">IF(OR(G8="",G7=""),"",G8/G7-1)</f>
        <v/>
      </c>
      <c r="L8" s="12" t="str">
        <f aca="false">IF(OR(H8="",H7=""),"",H8/H7-1)</f>
        <v/>
      </c>
      <c r="M8" s="13"/>
      <c r="N8" s="13"/>
      <c r="O8" s="14" t="str">
        <f aca="false">IF(G8="","",G8/$G$66*100)</f>
        <v/>
      </c>
      <c r="P8" s="14" t="n">
        <f aca="false">IF(F8="","",F8/$F$66*100)</f>
        <v>5.03721273921408</v>
      </c>
      <c r="Q8" s="15" t="str">
        <f aca="false">IF(OR(F8="",G8=""),"",(G8/$G$66)/(F8/$F$66)*100)</f>
        <v/>
      </c>
      <c r="R8" s="12" t="str">
        <f aca="false">IF(OR(K8="",J8=""),"",K8-J8)</f>
        <v/>
      </c>
      <c r="S8" s="12"/>
      <c r="T8" s="16" t="n">
        <v>0.02</v>
      </c>
    </row>
    <row r="9" customFormat="false" ht="15" hidden="false" customHeight="false" outlineLevel="0" collapsed="false">
      <c r="B9" s="8" t="s">
        <v>53</v>
      </c>
      <c r="C9" s="9" t="n">
        <v>2019</v>
      </c>
      <c r="D9" s="9" t="n">
        <v>3</v>
      </c>
      <c r="E9" s="10" t="n">
        <v>205.9571</v>
      </c>
      <c r="F9" s="10" t="n">
        <v>200.1771</v>
      </c>
      <c r="G9" s="11"/>
      <c r="H9" s="11"/>
      <c r="I9" s="12" t="n">
        <f aca="false">IF(OR(E9="",E8=""),"",E9/E8-1)</f>
        <v>0.046795401882896</v>
      </c>
      <c r="J9" s="12" t="n">
        <f aca="false">IF(OR(F9="",F8=""),"",F9/F8-1)</f>
        <v>0.0457945316765189</v>
      </c>
      <c r="K9" s="12" t="str">
        <f aca="false">IF(OR(G9="",G8=""),"",G9/G8-1)</f>
        <v/>
      </c>
      <c r="L9" s="12" t="str">
        <f aca="false">IF(OR(H9="",H8=""),"",H9/H8-1)</f>
        <v/>
      </c>
      <c r="M9" s="13"/>
      <c r="N9" s="13"/>
      <c r="O9" s="14" t="str">
        <f aca="false">IF(G9="","",G9/$G$66*100)</f>
        <v/>
      </c>
      <c r="P9" s="14" t="n">
        <f aca="false">IF(F9="","",F9/$F$66*100)</f>
        <v>5.26788953756139</v>
      </c>
      <c r="Q9" s="15" t="str">
        <f aca="false">IF(OR(F9="",G9=""),"",(G9/$G$66)/(F9/$F$66)*100)</f>
        <v/>
      </c>
      <c r="R9" s="12" t="str">
        <f aca="false">IF(OR(K9="",J9=""),"",K9-J9)</f>
        <v/>
      </c>
      <c r="S9" s="12" t="str">
        <f aca="false">IFERROR(AVERAGE(R7:R9),"")</f>
        <v/>
      </c>
      <c r="T9" s="16" t="n">
        <v>0.02</v>
      </c>
    </row>
    <row r="10" customFormat="false" ht="15" hidden="false" customHeight="false" outlineLevel="0" collapsed="false">
      <c r="B10" s="8" t="s">
        <v>54</v>
      </c>
      <c r="C10" s="9" t="n">
        <v>2019</v>
      </c>
      <c r="D10" s="9" t="n">
        <v>4</v>
      </c>
      <c r="E10" s="10" t="n">
        <v>212.9596414</v>
      </c>
      <c r="F10" s="10" t="n">
        <v>207.7179</v>
      </c>
      <c r="G10" s="11"/>
      <c r="H10" s="11"/>
      <c r="I10" s="12" t="n">
        <f aca="false">IF(OR(E10="",E9=""),"",E10/E9-1)</f>
        <v>0.034</v>
      </c>
      <c r="J10" s="12" t="n">
        <f aca="false">IF(OR(F10="",F9=""),"",F10/F9-1)</f>
        <v>0.037670642645937</v>
      </c>
      <c r="K10" s="12" t="str">
        <f aca="false">IF(OR(G10="",G9=""),"",G10/G9-1)</f>
        <v/>
      </c>
      <c r="L10" s="12" t="str">
        <f aca="false">IF(OR(H10="",H9=""),"",H10/H9-1)</f>
        <v/>
      </c>
      <c r="M10" s="13"/>
      <c r="N10" s="13"/>
      <c r="O10" s="14" t="str">
        <f aca="false">IF(G10="","",G10/$G$66*100)</f>
        <v/>
      </c>
      <c r="P10" s="14" t="n">
        <f aca="false">IF(F10="","",F10/$F$66*100)</f>
        <v>5.46633432182913</v>
      </c>
      <c r="Q10" s="15" t="str">
        <f aca="false">IF(OR(F10="",G10=""),"",(G10/$G$66)/(F10/$F$66)*100)</f>
        <v/>
      </c>
      <c r="R10" s="12" t="str">
        <f aca="false">IF(OR(K10="",J10=""),"",K10-J10)</f>
        <v/>
      </c>
      <c r="S10" s="12" t="str">
        <f aca="false">IFERROR(AVERAGE(R8:R10),"")</f>
        <v/>
      </c>
      <c r="T10" s="16" t="n">
        <v>0.02</v>
      </c>
    </row>
    <row r="11" customFormat="false" ht="15" hidden="false" customHeight="false" outlineLevel="0" collapsed="false">
      <c r="B11" s="8" t="s">
        <v>55</v>
      </c>
      <c r="C11" s="9" t="n">
        <v>2019</v>
      </c>
      <c r="D11" s="9" t="n">
        <v>5</v>
      </c>
      <c r="E11" s="10" t="n">
        <v>219.5691</v>
      </c>
      <c r="F11" s="10" t="n">
        <v>214.3182</v>
      </c>
      <c r="G11" s="11"/>
      <c r="H11" s="11"/>
      <c r="I11" s="12" t="n">
        <f aca="false">IF(OR(E11="",E10=""),"",E11/E10-1)</f>
        <v>0.0310362027121631</v>
      </c>
      <c r="J11" s="12" t="n">
        <f aca="false">IF(OR(F11="",F10=""),"",F11/F10-1)</f>
        <v>0.0317753067983069</v>
      </c>
      <c r="K11" s="12" t="str">
        <f aca="false">IF(OR(G11="",G10=""),"",G11/G10-1)</f>
        <v/>
      </c>
      <c r="L11" s="12" t="str">
        <f aca="false">IF(OR(H11="",H10=""),"",H11/H10-1)</f>
        <v/>
      </c>
      <c r="M11" s="13"/>
      <c r="N11" s="13"/>
      <c r="O11" s="14" t="str">
        <f aca="false">IF(G11="","",G11/$G$66*100)</f>
        <v/>
      </c>
      <c r="P11" s="14" t="n">
        <f aca="false">IF(F11="","",F11/$F$66*100)</f>
        <v>5.64002877196737</v>
      </c>
      <c r="Q11" s="15" t="str">
        <f aca="false">IF(OR(F11="",G11=""),"",(G11/$G$66)/(F11/$F$66)*100)</f>
        <v/>
      </c>
      <c r="R11" s="12" t="str">
        <f aca="false">IF(OR(K11="",J11=""),"",K11-J11)</f>
        <v/>
      </c>
      <c r="S11" s="12" t="str">
        <f aca="false">IFERROR(AVERAGE(R9:R11),"")</f>
        <v/>
      </c>
      <c r="T11" s="16" t="n">
        <v>0.02</v>
      </c>
    </row>
    <row r="12" customFormat="false" ht="15" hidden="false" customHeight="false" outlineLevel="0" collapsed="false">
      <c r="B12" s="8" t="s">
        <v>56</v>
      </c>
      <c r="C12" s="9" t="n">
        <v>2019</v>
      </c>
      <c r="D12" s="9" t="n">
        <v>6</v>
      </c>
      <c r="E12" s="10" t="n">
        <v>225.537</v>
      </c>
      <c r="F12" s="10" t="n">
        <v>220.1725</v>
      </c>
      <c r="G12" s="11"/>
      <c r="H12" s="11"/>
      <c r="I12" s="12" t="n">
        <f aca="false">IF(OR(E12="",E11=""),"",E12/E11-1)</f>
        <v>0.0271800540239953</v>
      </c>
      <c r="J12" s="12" t="n">
        <f aca="false">IF(OR(F12="",F11=""),"",F12/F11-1)</f>
        <v>0.0273159255723501</v>
      </c>
      <c r="K12" s="12" t="str">
        <f aca="false">IF(OR(G12="",G11=""),"",G12/G11-1)</f>
        <v/>
      </c>
      <c r="L12" s="12" t="str">
        <f aca="false">IF(OR(H12="",H11=""),"",H12/H11-1)</f>
        <v/>
      </c>
      <c r="M12" s="13"/>
      <c r="N12" s="13"/>
      <c r="O12" s="14" t="str">
        <f aca="false">IF(G12="","",G12/$G$66*100)</f>
        <v/>
      </c>
      <c r="P12" s="14" t="n">
        <f aca="false">IF(F12="","",F12/$F$66*100)</f>
        <v>5.79409137812834</v>
      </c>
      <c r="Q12" s="15" t="str">
        <f aca="false">IF(OR(F12="",G12=""),"",(G12/$G$66)/(F12/$F$66)*100)</f>
        <v/>
      </c>
      <c r="R12" s="12" t="str">
        <f aca="false">IF(OR(K12="",J12=""),"",K12-J12)</f>
        <v/>
      </c>
      <c r="S12" s="12" t="str">
        <f aca="false">IFERROR(AVERAGE(R10:R12),"")</f>
        <v/>
      </c>
      <c r="T12" s="16" t="n">
        <v>0.02</v>
      </c>
    </row>
    <row r="13" customFormat="false" ht="15" hidden="false" customHeight="false" outlineLevel="0" collapsed="false">
      <c r="B13" s="8" t="s">
        <v>57</v>
      </c>
      <c r="C13" s="9" t="n">
        <v>2019</v>
      </c>
      <c r="D13" s="9" t="n">
        <v>7</v>
      </c>
      <c r="E13" s="10" t="n">
        <v>230.494</v>
      </c>
      <c r="F13" s="10" t="n">
        <v>224.9011</v>
      </c>
      <c r="G13" s="11"/>
      <c r="H13" s="11"/>
      <c r="I13" s="12" t="n">
        <f aca="false">IF(OR(E13="",E12=""),"",E13/E12-1)</f>
        <v>0.021978655386921</v>
      </c>
      <c r="J13" s="12" t="n">
        <f aca="false">IF(OR(F13="",F12=""),"",F13/F12-1)</f>
        <v>0.0214767966026639</v>
      </c>
      <c r="K13" s="12" t="str">
        <f aca="false">IF(OR(G13="",G12=""),"",G13/G12-1)</f>
        <v/>
      </c>
      <c r="L13" s="12" t="str">
        <f aca="false">IF(OR(H13="",H12=""),"",H13/H12-1)</f>
        <v/>
      </c>
      <c r="M13" s="13"/>
      <c r="N13" s="13"/>
      <c r="O13" s="14" t="str">
        <f aca="false">IF(G13="","",G13/$G$66*100)</f>
        <v/>
      </c>
      <c r="P13" s="14" t="n">
        <f aca="false">IF(F13="","",F13/$F$66*100)</f>
        <v>5.91852990015365</v>
      </c>
      <c r="Q13" s="15" t="str">
        <f aca="false">IF(OR(F13="",G13=""),"",(G13/$G$66)/(F13/$F$66)*100)</f>
        <v/>
      </c>
      <c r="R13" s="12" t="str">
        <f aca="false">IF(OR(K13="",J13=""),"",K13-J13)</f>
        <v/>
      </c>
      <c r="S13" s="12" t="str">
        <f aca="false">IFERROR(AVERAGE(R11:R13),"")</f>
        <v/>
      </c>
      <c r="T13" s="16" t="n">
        <v>0.02</v>
      </c>
    </row>
    <row r="14" customFormat="false" ht="15" hidden="false" customHeight="false" outlineLevel="0" collapsed="false">
      <c r="B14" s="8" t="s">
        <v>58</v>
      </c>
      <c r="C14" s="9" t="n">
        <v>2019</v>
      </c>
      <c r="D14" s="9" t="n">
        <v>8</v>
      </c>
      <c r="E14" s="10" t="n">
        <v>239.6077</v>
      </c>
      <c r="F14" s="10" t="n">
        <v>235.3317</v>
      </c>
      <c r="G14" s="11"/>
      <c r="H14" s="11"/>
      <c r="I14" s="12" t="n">
        <f aca="false">IF(OR(E14="",E13=""),"",E14/E13-1)</f>
        <v>0.0395398578704869</v>
      </c>
      <c r="J14" s="12" t="n">
        <f aca="false">IF(OR(F14="",F13=""),"",F14/F13-1)</f>
        <v>0.0463786081971143</v>
      </c>
      <c r="K14" s="12" t="str">
        <f aca="false">IF(OR(G14="",G13=""),"",G14/G13-1)</f>
        <v/>
      </c>
      <c r="L14" s="12" t="str">
        <f aca="false">IF(OR(H14="",H13=""),"",H14/H13-1)</f>
        <v/>
      </c>
      <c r="M14" s="13"/>
      <c r="N14" s="13"/>
      <c r="O14" s="14" t="str">
        <f aca="false">IF(G14="","",G14/$G$66*100)</f>
        <v/>
      </c>
      <c r="P14" s="14" t="n">
        <f aca="false">IF(F14="","",F14/$F$66*100)</f>
        <v>6.19302307949578</v>
      </c>
      <c r="Q14" s="15" t="str">
        <f aca="false">IF(OR(F14="",G14=""),"",(G14/$G$66)/(F14/$F$66)*100)</f>
        <v/>
      </c>
      <c r="R14" s="12" t="str">
        <f aca="false">IF(OR(K14="",J14=""),"",K14-J14)</f>
        <v/>
      </c>
      <c r="S14" s="12" t="str">
        <f aca="false">IFERROR(AVERAGE(R12:R14),"")</f>
        <v/>
      </c>
      <c r="T14" s="16" t="n">
        <v>0.02</v>
      </c>
    </row>
    <row r="15" customFormat="false" ht="15" hidden="false" customHeight="false" outlineLevel="0" collapsed="false">
      <c r="B15" s="8" t="s">
        <v>59</v>
      </c>
      <c r="C15" s="9" t="n">
        <v>2019</v>
      </c>
      <c r="D15" s="9" t="n">
        <v>9</v>
      </c>
      <c r="E15" s="10" t="n">
        <v>253.7102</v>
      </c>
      <c r="F15" s="10" t="n">
        <v>250.4818</v>
      </c>
      <c r="G15" s="11"/>
      <c r="H15" s="11"/>
      <c r="I15" s="12" t="n">
        <f aca="false">IF(OR(E15="",E14=""),"",E15/E14-1)</f>
        <v>0.0588566227212231</v>
      </c>
      <c r="J15" s="12" t="n">
        <f aca="false">IF(OR(F15="",F14=""),"",F15/F14-1)</f>
        <v>0.0643776422810867</v>
      </c>
      <c r="K15" s="12" t="str">
        <f aca="false">IF(OR(G15="",G14=""),"",G15/G14-1)</f>
        <v/>
      </c>
      <c r="L15" s="12" t="str">
        <f aca="false">IF(OR(H15="",H14=""),"",H15/H14-1)</f>
        <v/>
      </c>
      <c r="M15" s="13"/>
      <c r="N15" s="13"/>
      <c r="O15" s="14" t="str">
        <f aca="false">IF(G15="","",G15/$G$66*100)</f>
        <v/>
      </c>
      <c r="P15" s="14" t="n">
        <f aca="false">IF(F15="","",F15/$F$66*100)</f>
        <v>6.59171530394608</v>
      </c>
      <c r="Q15" s="15" t="str">
        <f aca="false">IF(OR(F15="",G15=""),"",(G15/$G$66)/(F15/$F$66)*100)</f>
        <v/>
      </c>
      <c r="R15" s="12" t="str">
        <f aca="false">IF(OR(K15="",J15=""),"",K15-J15)</f>
        <v/>
      </c>
      <c r="S15" s="12" t="str">
        <f aca="false">IFERROR(AVERAGE(R13:R15),"")</f>
        <v/>
      </c>
      <c r="T15" s="16" t="n">
        <v>0.02</v>
      </c>
    </row>
    <row r="16" customFormat="false" ht="15" hidden="false" customHeight="false" outlineLevel="0" collapsed="false">
      <c r="B16" s="8" t="s">
        <v>60</v>
      </c>
      <c r="C16" s="9" t="n">
        <v>2019</v>
      </c>
      <c r="D16" s="9" t="n">
        <v>10</v>
      </c>
      <c r="E16" s="10" t="n">
        <v>262.0661</v>
      </c>
      <c r="F16" s="10" t="n">
        <v>260.0118</v>
      </c>
      <c r="G16" s="11"/>
      <c r="H16" s="11"/>
      <c r="I16" s="12" t="n">
        <f aca="false">IF(OR(E16="",E15=""),"",E16/E15-1)</f>
        <v>0.0329348209098412</v>
      </c>
      <c r="J16" s="12" t="n">
        <f aca="false">IF(OR(F16="",F15=""),"",F16/F15-1)</f>
        <v>0.0380466764451548</v>
      </c>
      <c r="K16" s="12" t="str">
        <f aca="false">IF(OR(G16="",G15=""),"",G16/G15-1)</f>
        <v/>
      </c>
      <c r="L16" s="12" t="str">
        <f aca="false">IF(OR(H16="",H15=""),"",H16/H15-1)</f>
        <v/>
      </c>
      <c r="M16" s="13"/>
      <c r="N16" s="13"/>
      <c r="O16" s="14" t="str">
        <f aca="false">IF(G16="","",G16/$G$66*100)</f>
        <v/>
      </c>
      <c r="P16" s="14" t="n">
        <f aca="false">IF(F16="","",F16/$F$66*100)</f>
        <v>6.84250816333389</v>
      </c>
      <c r="Q16" s="15" t="str">
        <f aca="false">IF(OR(F16="",G16=""),"",(G16/$G$66)/(F16/$F$66)*100)</f>
        <v/>
      </c>
      <c r="R16" s="12" t="str">
        <f aca="false">IF(OR(K16="",J16=""),"",K16-J16)</f>
        <v/>
      </c>
      <c r="S16" s="12" t="str">
        <f aca="false">IFERROR(AVERAGE(R14:R16),"")</f>
        <v/>
      </c>
      <c r="T16" s="16" t="n">
        <v>0.02</v>
      </c>
    </row>
    <row r="17" customFormat="false" ht="15" hidden="false" customHeight="false" outlineLevel="0" collapsed="false">
      <c r="B17" s="8" t="s">
        <v>61</v>
      </c>
      <c r="C17" s="9" t="n">
        <v>2019</v>
      </c>
      <c r="D17" s="9" t="n">
        <v>11</v>
      </c>
      <c r="E17" s="10" t="n">
        <v>273.2158</v>
      </c>
      <c r="F17" s="10" t="n">
        <v>270.3554</v>
      </c>
      <c r="G17" s="11"/>
      <c r="H17" s="11"/>
      <c r="I17" s="12" t="n">
        <f aca="false">IF(OR(E17="",E16=""),"",E17/E16-1)</f>
        <v>0.0425453730948031</v>
      </c>
      <c r="J17" s="12" t="n">
        <f aca="false">IF(OR(F17="",F16=""),"",F17/F16-1)</f>
        <v>0.0397812714653718</v>
      </c>
      <c r="K17" s="12" t="str">
        <f aca="false">IF(OR(G17="",G16=""),"",G17/G16-1)</f>
        <v/>
      </c>
      <c r="L17" s="12" t="str">
        <f aca="false">IF(OR(H17="",H16=""),"",H17/H16-1)</f>
        <v/>
      </c>
      <c r="M17" s="13"/>
      <c r="N17" s="13"/>
      <c r="O17" s="14" t="str">
        <f aca="false">IF(G17="","",G17/$G$66*100)</f>
        <v/>
      </c>
      <c r="P17" s="14" t="n">
        <f aca="false">IF(F17="","",F17/$F$66*100)</f>
        <v>7.1147118380835</v>
      </c>
      <c r="Q17" s="15" t="str">
        <f aca="false">IF(OR(F17="",G17=""),"",(G17/$G$66)/(F17/$F$66)*100)</f>
        <v/>
      </c>
      <c r="R17" s="12" t="str">
        <f aca="false">IF(OR(K17="",J17=""),"",K17-J17)</f>
        <v/>
      </c>
      <c r="S17" s="12" t="str">
        <f aca="false">IFERROR(AVERAGE(R15:R17),"")</f>
        <v/>
      </c>
      <c r="T17" s="16" t="n">
        <v>0.02</v>
      </c>
    </row>
    <row r="18" customFormat="false" ht="15" hidden="false" customHeight="false" outlineLevel="0" collapsed="false">
      <c r="B18" s="8" t="s">
        <v>62</v>
      </c>
      <c r="C18" s="9" t="n">
        <v>2019</v>
      </c>
      <c r="D18" s="9" t="n">
        <v>12</v>
      </c>
      <c r="E18" s="10" t="n">
        <v>283.4442</v>
      </c>
      <c r="F18" s="10" t="n">
        <v>280.3107</v>
      </c>
      <c r="G18" s="11"/>
      <c r="H18" s="11"/>
      <c r="I18" s="12" t="n">
        <f aca="false">IF(OR(E18="",E17=""),"",E18/E17-1)</f>
        <v>0.0374370735513834</v>
      </c>
      <c r="J18" s="12" t="n">
        <f aca="false">IF(OR(F18="",F17=""),"",F18/F17-1)</f>
        <v>0.0368230114878416</v>
      </c>
      <c r="K18" s="12" t="str">
        <f aca="false">IF(OR(G18="",G17=""),"",G18/G17-1)</f>
        <v/>
      </c>
      <c r="L18" s="12" t="str">
        <f aca="false">IF(OR(H18="",H17=""),"",H18/H17-1)</f>
        <v/>
      </c>
      <c r="M18" s="13" t="n">
        <f aca="false">IF(OR(E18="",E6=""),"",E18/E6-1)</f>
        <v>0.538324020163339</v>
      </c>
      <c r="N18" s="13" t="n">
        <f aca="false">IF(OR(F18="",F6=""),"",F18/F6-1)</f>
        <v>0.566571435277864</v>
      </c>
      <c r="O18" s="14" t="str">
        <f aca="false">IF(G18="","",G18/$G$66*100)</f>
        <v/>
      </c>
      <c r="P18" s="14" t="n">
        <f aca="false">IF(F18="","",F18/$F$66*100)</f>
        <v>7.37669695382993</v>
      </c>
      <c r="Q18" s="15" t="str">
        <f aca="false">IF(OR(F18="",G18=""),"",(G18/$G$66)/(F18/$F$66)*100)</f>
        <v/>
      </c>
      <c r="R18" s="12" t="str">
        <f aca="false">IF(OR(K18="",J18=""),"",K18-J18)</f>
        <v/>
      </c>
      <c r="S18" s="12" t="str">
        <f aca="false">IFERROR(AVERAGE(R16:R18),"")</f>
        <v/>
      </c>
      <c r="T18" s="16" t="n">
        <v>0.02</v>
      </c>
    </row>
    <row r="19" customFormat="false" ht="15" hidden="false" customHeight="false" outlineLevel="0" collapsed="false">
      <c r="B19" s="8" t="s">
        <v>63</v>
      </c>
      <c r="C19" s="9" t="n">
        <v>2020</v>
      </c>
      <c r="D19" s="9" t="n">
        <v>1</v>
      </c>
      <c r="E19" s="10" t="n">
        <v>289.8299</v>
      </c>
      <c r="F19" s="10" t="n">
        <v>287.1529</v>
      </c>
      <c r="G19" s="11"/>
      <c r="H19" s="11"/>
      <c r="I19" s="12" t="n">
        <f aca="false">IF(OR(E19="",E18=""),"",E19/E18-1)</f>
        <v>0.0225289492605598</v>
      </c>
      <c r="J19" s="12" t="n">
        <f aca="false">IF(OR(F19="",F18=""),"",F19/F18-1)</f>
        <v>0.0244093429184116</v>
      </c>
      <c r="K19" s="12" t="str">
        <f aca="false">IF(OR(G19="",G18=""),"",G19/G18-1)</f>
        <v/>
      </c>
      <c r="L19" s="12" t="str">
        <f aca="false">IF(OR(H19="",H18=""),"",H19/H18-1)</f>
        <v/>
      </c>
      <c r="M19" s="13" t="n">
        <f aca="false">IF(OR(E19="",E7=""),"",E19/E7-1)</f>
        <v>0.528557286769007</v>
      </c>
      <c r="N19" s="13" t="n">
        <f aca="false">IF(OR(F19="",F7=""),"",F19/F7-1)</f>
        <v>0.558025909142207</v>
      </c>
      <c r="O19" s="14" t="str">
        <f aca="false">IF(G19="","",G19/$G$66*100)</f>
        <v/>
      </c>
      <c r="P19" s="14" t="n">
        <f aca="false">IF(F19="","",F19/$F$66*100)</f>
        <v>7.55675727938117</v>
      </c>
      <c r="Q19" s="15" t="str">
        <f aca="false">IF(OR(F19="",G19=""),"",(G19/$G$66)/(F19/$F$66)*100)</f>
        <v/>
      </c>
      <c r="R19" s="12" t="str">
        <f aca="false">IF(OR(K19="",J19=""),"",K19-J19)</f>
        <v/>
      </c>
      <c r="S19" s="12" t="str">
        <f aca="false">IFERROR(AVERAGE(R17:R19),"")</f>
        <v/>
      </c>
      <c r="T19" s="16" t="n">
        <v>0.02</v>
      </c>
    </row>
    <row r="20" customFormat="false" ht="15" hidden="false" customHeight="false" outlineLevel="0" collapsed="false">
      <c r="B20" s="8" t="s">
        <v>64</v>
      </c>
      <c r="C20" s="9" t="n">
        <v>2020</v>
      </c>
      <c r="D20" s="9" t="n">
        <v>2</v>
      </c>
      <c r="E20" s="10" t="n">
        <v>295.666</v>
      </c>
      <c r="F20" s="10" t="n">
        <v>293.9922</v>
      </c>
      <c r="G20" s="11"/>
      <c r="H20" s="11"/>
      <c r="I20" s="12" t="n">
        <f aca="false">IF(OR(E20="",E19=""),"",E20/E19-1)</f>
        <v>0.0201362937364296</v>
      </c>
      <c r="J20" s="12" t="n">
        <f aca="false">IF(OR(F20="",F19=""),"",F20/F19-1)</f>
        <v>0.0238176246870572</v>
      </c>
      <c r="K20" s="12" t="str">
        <f aca="false">IF(OR(G20="",G19=""),"",G20/G19-1)</f>
        <v/>
      </c>
      <c r="L20" s="12" t="str">
        <f aca="false">IF(OR(H20="",H19=""),"",H20/H19-1)</f>
        <v/>
      </c>
      <c r="M20" s="13" t="n">
        <f aca="false">IF(OR(E20="",E8=""),"",E20/E8-1)</f>
        <v>0.502748918552011</v>
      </c>
      <c r="N20" s="13" t="n">
        <f aca="false">IF(OR(F20="",F8=""),"",F20/F8-1)</f>
        <v>0.535917120967131</v>
      </c>
      <c r="O20" s="14" t="str">
        <f aca="false">IF(G20="","",G20/$G$66*100)</f>
        <v/>
      </c>
      <c r="P20" s="14" t="n">
        <f aca="false">IF(F20="","",F20/$F$66*100)</f>
        <v>7.73674128811265</v>
      </c>
      <c r="Q20" s="15" t="str">
        <f aca="false">IF(OR(F20="",G20=""),"",(G20/$G$66)/(F20/$F$66)*100)</f>
        <v/>
      </c>
      <c r="R20" s="12" t="str">
        <f aca="false">IF(OR(K20="",J20=""),"",K20-J20)</f>
        <v/>
      </c>
      <c r="S20" s="12" t="str">
        <f aca="false">IFERROR(AVERAGE(R18:R20),"")</f>
        <v/>
      </c>
      <c r="T20" s="16" t="n">
        <v>0.02</v>
      </c>
    </row>
    <row r="21" customFormat="false" ht="15" hidden="false" customHeight="false" outlineLevel="0" collapsed="false">
      <c r="B21" s="8" t="s">
        <v>65</v>
      </c>
      <c r="C21" s="9" t="n">
        <v>2020</v>
      </c>
      <c r="D21" s="9" t="n">
        <v>3</v>
      </c>
      <c r="E21" s="10" t="n">
        <v>305.5515</v>
      </c>
      <c r="F21" s="10" t="n">
        <v>303.1665</v>
      </c>
      <c r="G21" s="11"/>
      <c r="H21" s="11"/>
      <c r="I21" s="12" t="n">
        <f aca="false">IF(OR(E21="",E20=""),"",E21/E20-1)</f>
        <v>0.0334346864367225</v>
      </c>
      <c r="J21" s="12" t="n">
        <f aca="false">IF(OR(F21="",F20=""),"",F21/F20-1)</f>
        <v>0.0312059299532435</v>
      </c>
      <c r="K21" s="12" t="str">
        <f aca="false">IF(OR(G21="",G20=""),"",G21/G20-1)</f>
        <v/>
      </c>
      <c r="L21" s="12" t="str">
        <f aca="false">IF(OR(H21="",H20=""),"",H21/H20-1)</f>
        <v/>
      </c>
      <c r="M21" s="13" t="n">
        <f aca="false">IF(OR(E21="",E9=""),"",E21/E9-1)</f>
        <v>0.483568665513352</v>
      </c>
      <c r="N21" s="13" t="n">
        <f aca="false">IF(OR(F21="",F9=""),"",F21/F9-1)</f>
        <v>0.514491417849494</v>
      </c>
      <c r="O21" s="14" t="str">
        <f aca="false">IF(G21="","",G21/$G$66*100)</f>
        <v/>
      </c>
      <c r="P21" s="14" t="n">
        <f aca="false">IF(F21="","",F21/$F$66*100)</f>
        <v>7.97817349481586</v>
      </c>
      <c r="Q21" s="15" t="str">
        <f aca="false">IF(OR(F21="",G21=""),"",(G21/$G$66)/(F21/$F$66)*100)</f>
        <v/>
      </c>
      <c r="R21" s="12" t="str">
        <f aca="false">IF(OR(K21="",J21=""),"",K21-J21)</f>
        <v/>
      </c>
      <c r="S21" s="12" t="str">
        <f aca="false">IFERROR(AVERAGE(R19:R21),"")</f>
        <v/>
      </c>
      <c r="T21" s="16" t="n">
        <v>0.02</v>
      </c>
    </row>
    <row r="22" customFormat="false" ht="15" hidden="false" customHeight="false" outlineLevel="0" collapsed="false">
      <c r="B22" s="8" t="s">
        <v>66</v>
      </c>
      <c r="C22" s="9" t="n">
        <v>2020</v>
      </c>
      <c r="D22" s="9" t="n">
        <v>4</v>
      </c>
      <c r="E22" s="10" t="n">
        <v>310.1243</v>
      </c>
      <c r="F22" s="10" t="n">
        <v>308.3681</v>
      </c>
      <c r="G22" s="11"/>
      <c r="H22" s="11"/>
      <c r="I22" s="12" t="n">
        <f aca="false">IF(OR(E22="",E21=""),"",E22/E21-1)</f>
        <v>0.0149657259087257</v>
      </c>
      <c r="J22" s="12" t="n">
        <f aca="false">IF(OR(F22="",F21=""),"",F22/F21-1)</f>
        <v>0.0171575685308241</v>
      </c>
      <c r="K22" s="12" t="str">
        <f aca="false">IF(OR(G22="",G21=""),"",G22/G21-1)</f>
        <v/>
      </c>
      <c r="L22" s="12" t="str">
        <f aca="false">IF(OR(H22="",H21=""),"",H22/H21-1)</f>
        <v/>
      </c>
      <c r="M22" s="13" t="n">
        <f aca="false">IF(OR(E22="",E10=""),"",E22/E10-1)</f>
        <v>0.456258556603674</v>
      </c>
      <c r="N22" s="13" t="n">
        <f aca="false">IF(OR(F22="",F10=""),"",F22/F10-1)</f>
        <v>0.484552366454697</v>
      </c>
      <c r="O22" s="14" t="str">
        <f aca="false">IF(G22="","",G22/$G$66*100)</f>
        <v/>
      </c>
      <c r="P22" s="14" t="n">
        <f aca="false">IF(F22="","",F22/$F$66*100)</f>
        <v>8.11505955330397</v>
      </c>
      <c r="Q22" s="15" t="str">
        <f aca="false">IF(OR(F22="",G22=""),"",(G22/$G$66)/(F22/$F$66)*100)</f>
        <v/>
      </c>
      <c r="R22" s="12" t="str">
        <f aca="false">IF(OR(K22="",J22=""),"",K22-J22)</f>
        <v/>
      </c>
      <c r="S22" s="12" t="str">
        <f aca="false">IFERROR(AVERAGE(R20:R22),"")</f>
        <v/>
      </c>
      <c r="T22" s="16" t="n">
        <v>0.02</v>
      </c>
    </row>
    <row r="23" customFormat="false" ht="15" hidden="false" customHeight="false" outlineLevel="0" collapsed="false">
      <c r="B23" s="8" t="s">
        <v>67</v>
      </c>
      <c r="C23" s="9" t="n">
        <v>2020</v>
      </c>
      <c r="D23" s="9" t="n">
        <v>5</v>
      </c>
      <c r="E23" s="10" t="n">
        <v>314.9087</v>
      </c>
      <c r="F23" s="10" t="n">
        <v>313.3195</v>
      </c>
      <c r="G23" s="11"/>
      <c r="H23" s="11"/>
      <c r="I23" s="12" t="n">
        <f aca="false">IF(OR(E23="",E22=""),"",E23/E22-1)</f>
        <v>0.0154273625123862</v>
      </c>
      <c r="J23" s="12" t="n">
        <f aca="false">IF(OR(F23="",F22=""),"",F23/F22-1)</f>
        <v>0.0160567840836974</v>
      </c>
      <c r="K23" s="12" t="str">
        <f aca="false">IF(OR(G23="",G22=""),"",G23/G22-1)</f>
        <v/>
      </c>
      <c r="L23" s="12" t="str">
        <f aca="false">IF(OR(H23="",H22=""),"",H23/H22-1)</f>
        <v/>
      </c>
      <c r="M23" s="13" t="n">
        <f aca="false">IF(OR(E23="",E11=""),"",E23/E11-1)</f>
        <v>0.434212282147169</v>
      </c>
      <c r="N23" s="13" t="n">
        <f aca="false">IF(OR(F23="",F11=""),"",F23/F11-1)</f>
        <v>0.461936037163433</v>
      </c>
      <c r="O23" s="14" t="str">
        <f aca="false">IF(G23="","",G23/$G$66*100)</f>
        <v/>
      </c>
      <c r="P23" s="14" t="n">
        <f aca="false">IF(F23="","",F23/$F$66*100)</f>
        <v>8.24536131237772</v>
      </c>
      <c r="Q23" s="15" t="str">
        <f aca="false">IF(OR(F23="",G23=""),"",(G23/$G$66)/(F23/$F$66)*100)</f>
        <v/>
      </c>
      <c r="R23" s="12" t="str">
        <f aca="false">IF(OR(K23="",J23=""),"",K23-J23)</f>
        <v/>
      </c>
      <c r="S23" s="12" t="str">
        <f aca="false">IFERROR(AVERAGE(R21:R23),"")</f>
        <v/>
      </c>
      <c r="T23" s="16" t="n">
        <v>0.02</v>
      </c>
    </row>
    <row r="24" customFormat="false" ht="15" hidden="false" customHeight="false" outlineLevel="0" collapsed="false">
      <c r="B24" s="8" t="s">
        <v>68</v>
      </c>
      <c r="C24" s="9" t="n">
        <v>2020</v>
      </c>
      <c r="D24" s="9" t="n">
        <v>6</v>
      </c>
      <c r="E24" s="10" t="n">
        <v>321.9738</v>
      </c>
      <c r="F24" s="10" t="n">
        <v>320.5733</v>
      </c>
      <c r="G24" s="11"/>
      <c r="H24" s="11"/>
      <c r="I24" s="12" t="n">
        <f aca="false">IF(OR(E24="",E23=""),"",E24/E23-1)</f>
        <v>0.0224353915912769</v>
      </c>
      <c r="J24" s="12" t="n">
        <f aca="false">IF(OR(F24="",F23=""),"",F24/F23-1)</f>
        <v>0.0231514476436991</v>
      </c>
      <c r="K24" s="12" t="str">
        <f aca="false">IF(OR(G24="",G23=""),"",G24/G23-1)</f>
        <v/>
      </c>
      <c r="L24" s="12" t="str">
        <f aca="false">IF(OR(H24="",H23=""),"",H24/H23-1)</f>
        <v/>
      </c>
      <c r="M24" s="13" t="n">
        <f aca="false">IF(OR(E24="",E12=""),"",E24/E12-1)</f>
        <v>0.427587491187699</v>
      </c>
      <c r="N24" s="13" t="n">
        <f aca="false">IF(OR(F24="",F12=""),"",F24/F12-1)</f>
        <v>0.456009719651637</v>
      </c>
      <c r="O24" s="14" t="str">
        <f aca="false">IF(G24="","",G24/$G$66*100)</f>
        <v/>
      </c>
      <c r="P24" s="14" t="n">
        <f aca="false">IF(F24="","",F24/$F$66*100)</f>
        <v>8.43625336310461</v>
      </c>
      <c r="Q24" s="15" t="str">
        <f aca="false">IF(OR(F24="",G24=""),"",(G24/$G$66)/(F24/$F$66)*100)</f>
        <v/>
      </c>
      <c r="R24" s="12" t="str">
        <f aca="false">IF(OR(K24="",J24=""),"",K24-J24)</f>
        <v/>
      </c>
      <c r="S24" s="12" t="str">
        <f aca="false">IFERROR(AVERAGE(R22:R24),"")</f>
        <v/>
      </c>
      <c r="T24" s="16" t="n">
        <v>0.02</v>
      </c>
    </row>
    <row r="25" customFormat="false" ht="15" hidden="false" customHeight="false" outlineLevel="0" collapsed="false">
      <c r="B25" s="8" t="s">
        <v>69</v>
      </c>
      <c r="C25" s="9" t="n">
        <v>2020</v>
      </c>
      <c r="D25" s="9" t="n">
        <v>7</v>
      </c>
      <c r="E25" s="10" t="n">
        <v>328.2014</v>
      </c>
      <c r="F25" s="10" t="n">
        <v>328.6943</v>
      </c>
      <c r="G25" s="11"/>
      <c r="H25" s="11"/>
      <c r="I25" s="12" t="n">
        <f aca="false">IF(OR(E25="",E24=""),"",E25/E24-1)</f>
        <v>0.019341946456513</v>
      </c>
      <c r="J25" s="12" t="n">
        <f aca="false">IF(OR(F25="",F24=""),"",F25/F24-1)</f>
        <v>0.0253327398133281</v>
      </c>
      <c r="K25" s="12" t="str">
        <f aca="false">IF(OR(G25="",G24=""),"",G25/G24-1)</f>
        <v/>
      </c>
      <c r="L25" s="12" t="str">
        <f aca="false">IF(OR(H25="",H24=""),"",H25/H24-1)</f>
        <v/>
      </c>
      <c r="M25" s="13" t="n">
        <f aca="false">IF(OR(E25="",E13=""),"",E25/E13-1)</f>
        <v>0.423904309873576</v>
      </c>
      <c r="N25" s="13" t="n">
        <f aca="false">IF(OR(F25="",F13=""),"",F25/F13-1)</f>
        <v>0.461505968623541</v>
      </c>
      <c r="O25" s="14" t="str">
        <f aca="false">IF(G25="","",G25/$G$66*100)</f>
        <v/>
      </c>
      <c r="P25" s="14" t="n">
        <f aca="false">IF(F25="","",F25/$F$66*100)</f>
        <v>8.64996677455146</v>
      </c>
      <c r="Q25" s="15" t="str">
        <f aca="false">IF(OR(F25="",G25=""),"",(G25/$G$66)/(F25/$F$66)*100)</f>
        <v/>
      </c>
      <c r="R25" s="12" t="str">
        <f aca="false">IF(OR(K25="",J25=""),"",K25-J25)</f>
        <v/>
      </c>
      <c r="S25" s="12" t="str">
        <f aca="false">IFERROR(AVERAGE(R23:R25),"")</f>
        <v/>
      </c>
      <c r="T25" s="16" t="n">
        <v>0.02</v>
      </c>
    </row>
    <row r="26" customFormat="false" ht="15" hidden="false" customHeight="false" outlineLevel="0" collapsed="false">
      <c r="B26" s="8" t="s">
        <v>70</v>
      </c>
      <c r="C26" s="9" t="n">
        <v>2020</v>
      </c>
      <c r="D26" s="9" t="n">
        <v>8</v>
      </c>
      <c r="E26" s="10" t="n">
        <v>337.0632</v>
      </c>
      <c r="F26" s="10" t="n">
        <v>338.6645</v>
      </c>
      <c r="G26" s="11"/>
      <c r="H26" s="11"/>
      <c r="I26" s="12" t="n">
        <f aca="false">IF(OR(E26="",E25=""),"",E26/E25-1)</f>
        <v>0.0270011035906612</v>
      </c>
      <c r="J26" s="12" t="n">
        <f aca="false">IF(OR(F26="",F25=""),"",F26/F25-1)</f>
        <v>0.0303327438291445</v>
      </c>
      <c r="K26" s="12" t="str">
        <f aca="false">IF(OR(G26="",G25=""),"",G26/G25-1)</f>
        <v/>
      </c>
      <c r="L26" s="12" t="str">
        <f aca="false">IF(OR(H26="",H25=""),"",H26/H25-1)</f>
        <v/>
      </c>
      <c r="M26" s="13" t="n">
        <f aca="false">IF(OR(E26="",E14=""),"",E26/E14-1)</f>
        <v>0.406729416458653</v>
      </c>
      <c r="N26" s="13" t="n">
        <f aca="false">IF(OR(F26="",F14=""),"",F26/F14-1)</f>
        <v>0.439094265668416</v>
      </c>
      <c r="O26" s="14" t="str">
        <f aca="false">IF(G26="","",G26/$G$66*100)</f>
        <v/>
      </c>
      <c r="P26" s="14" t="n">
        <f aca="false">IF(F26="","",F26/$F$66*100)</f>
        <v>8.91234400085454</v>
      </c>
      <c r="Q26" s="15" t="str">
        <f aca="false">IF(OR(F26="",G26=""),"",(G26/$G$66)/(F26/$F$66)*100)</f>
        <v/>
      </c>
      <c r="R26" s="12" t="str">
        <f aca="false">IF(OR(K26="",J26=""),"",K26-J26)</f>
        <v/>
      </c>
      <c r="S26" s="12" t="str">
        <f aca="false">IFERROR(AVERAGE(R24:R26),"")</f>
        <v/>
      </c>
      <c r="T26" s="16" t="n">
        <v>0.02</v>
      </c>
    </row>
    <row r="27" customFormat="false" ht="15" hidden="false" customHeight="false" outlineLevel="0" collapsed="false">
      <c r="B27" s="8" t="s">
        <v>71</v>
      </c>
      <c r="C27" s="9" t="n">
        <v>2020</v>
      </c>
      <c r="D27" s="9" t="n">
        <v>9</v>
      </c>
      <c r="E27" s="10" t="n">
        <v>346.6207</v>
      </c>
      <c r="F27" s="10" t="n">
        <v>346.511</v>
      </c>
      <c r="G27" s="11"/>
      <c r="H27" s="11"/>
      <c r="I27" s="12" t="n">
        <f aca="false">IF(OR(E27="",E26=""),"",E27/E26-1)</f>
        <v>0.0283552164697896</v>
      </c>
      <c r="J27" s="12" t="n">
        <f aca="false">IF(OR(F27="",F26=""),"",F27/F26-1)</f>
        <v>0.0231689474391323</v>
      </c>
      <c r="K27" s="12" t="str">
        <f aca="false">IF(OR(G27="",G26=""),"",G27/G26-1)</f>
        <v/>
      </c>
      <c r="L27" s="12" t="str">
        <f aca="false">IF(OR(H27="",H26=""),"",H27/H26-1)</f>
        <v/>
      </c>
      <c r="M27" s="13" t="n">
        <f aca="false">IF(OR(E27="",E15=""),"",E27/E15-1)</f>
        <v>0.366207192300507</v>
      </c>
      <c r="N27" s="13" t="n">
        <f aca="false">IF(OR(F27="",F15=""),"",F27/F15-1)</f>
        <v>0.383377954007038</v>
      </c>
      <c r="O27" s="14" t="str">
        <f aca="false">IF(G27="","",G27/$G$66*100)</f>
        <v/>
      </c>
      <c r="P27" s="14" t="n">
        <f aca="false">IF(F27="","",F27/$F$66*100)</f>
        <v>9.1188336305698</v>
      </c>
      <c r="Q27" s="15" t="str">
        <f aca="false">IF(OR(F27="",G27=""),"",(G27/$G$66)/(F27/$F$66)*100)</f>
        <v/>
      </c>
      <c r="R27" s="12" t="str">
        <f aca="false">IF(OR(K27="",J27=""),"",K27-J27)</f>
        <v/>
      </c>
      <c r="S27" s="12" t="str">
        <f aca="false">IFERROR(AVERAGE(R25:R27),"")</f>
        <v/>
      </c>
      <c r="T27" s="16" t="n">
        <v>0.02</v>
      </c>
    </row>
    <row r="28" customFormat="false" ht="15" hidden="false" customHeight="false" outlineLevel="0" collapsed="false">
      <c r="B28" s="8" t="s">
        <v>72</v>
      </c>
      <c r="C28" s="9" t="n">
        <v>2020</v>
      </c>
      <c r="D28" s="9" t="n">
        <v>10</v>
      </c>
      <c r="E28" s="10" t="n">
        <v>359.657</v>
      </c>
      <c r="F28" s="10" t="n">
        <v>358.4989</v>
      </c>
      <c r="G28" s="11"/>
      <c r="H28" s="11"/>
      <c r="I28" s="12" t="n">
        <f aca="false">IF(OR(E28="",E27=""),"",E28/E27-1)</f>
        <v>0.037609698439822</v>
      </c>
      <c r="J28" s="12" t="n">
        <f aca="false">IF(OR(F28="",F27=""),"",F28/F27-1)</f>
        <v>0.0345960157109009</v>
      </c>
      <c r="K28" s="12" t="str">
        <f aca="false">IF(OR(G28="",G27=""),"",G28/G27-1)</f>
        <v/>
      </c>
      <c r="L28" s="12" t="str">
        <f aca="false">IF(OR(H28="",H27=""),"",H28/H27-1)</f>
        <v/>
      </c>
      <c r="M28" s="13" t="n">
        <f aca="false">IF(OR(E28="",E16=""),"",E28/E16-1)</f>
        <v>0.372390400742408</v>
      </c>
      <c r="N28" s="13" t="n">
        <f aca="false">IF(OR(F28="",F16=""),"",F28/F16-1)</f>
        <v>0.378779347706527</v>
      </c>
      <c r="O28" s="14" t="str">
        <f aca="false">IF(G28="","",G28/$G$66*100)</f>
        <v/>
      </c>
      <c r="P28" s="14" t="n">
        <f aca="false">IF(F28="","",F28/$F$66*100)</f>
        <v>9.43430894211809</v>
      </c>
      <c r="Q28" s="15" t="str">
        <f aca="false">IF(OR(F28="",G28=""),"",(G28/$G$66)/(F28/$F$66)*100)</f>
        <v/>
      </c>
      <c r="R28" s="12" t="str">
        <f aca="false">IF(OR(K28="",J28=""),"",K28-J28)</f>
        <v/>
      </c>
      <c r="S28" s="12" t="str">
        <f aca="false">IFERROR(AVERAGE(R26:R28),"")</f>
        <v/>
      </c>
      <c r="T28" s="16" t="n">
        <v>0.02</v>
      </c>
    </row>
    <row r="29" customFormat="false" ht="15" hidden="false" customHeight="false" outlineLevel="0" collapsed="false">
      <c r="B29" s="8" t="s">
        <v>73</v>
      </c>
      <c r="C29" s="9" t="n">
        <v>2020</v>
      </c>
      <c r="D29" s="9" t="n">
        <v>11</v>
      </c>
      <c r="E29" s="10" t="n">
        <v>371.0211</v>
      </c>
      <c r="F29" s="10" t="n">
        <v>372.6154</v>
      </c>
      <c r="G29" s="11"/>
      <c r="H29" s="11"/>
      <c r="I29" s="12" t="n">
        <f aca="false">IF(OR(E29="",E28=""),"",E29/E28-1)</f>
        <v>0.0315970494109665</v>
      </c>
      <c r="J29" s="12" t="n">
        <f aca="false">IF(OR(F29="",F28=""),"",F29/F28-1)</f>
        <v>0.0393766898587415</v>
      </c>
      <c r="K29" s="12" t="str">
        <f aca="false">IF(OR(G29="",G28=""),"",G29/G28-1)</f>
        <v/>
      </c>
      <c r="L29" s="12" t="str">
        <f aca="false">IF(OR(H29="",H28=""),"",H29/H28-1)</f>
        <v/>
      </c>
      <c r="M29" s="13" t="n">
        <f aca="false">IF(OR(E29="",E17=""),"",E29/E17-1)</f>
        <v>0.357978198918218</v>
      </c>
      <c r="N29" s="13" t="n">
        <f aca="false">IF(OR(F29="",F17=""),"",F29/F17-1)</f>
        <v>0.378242861063622</v>
      </c>
      <c r="O29" s="14" t="str">
        <f aca="false">IF(G29="","",G29/$G$66*100)</f>
        <v/>
      </c>
      <c r="P29" s="14" t="n">
        <f aca="false">IF(F29="","",F29/$F$66*100)</f>
        <v>9.80580079936342</v>
      </c>
      <c r="Q29" s="15" t="str">
        <f aca="false">IF(OR(F29="",G29=""),"",(G29/$G$66)/(F29/$F$66)*100)</f>
        <v/>
      </c>
      <c r="R29" s="12" t="str">
        <f aca="false">IF(OR(K29="",J29=""),"",K29-J29)</f>
        <v/>
      </c>
      <c r="S29" s="12" t="str">
        <f aca="false">IFERROR(AVERAGE(R27:R29),"")</f>
        <v/>
      </c>
      <c r="T29" s="16" t="n">
        <v>0.02</v>
      </c>
    </row>
    <row r="30" customFormat="false" ht="15" hidden="false" customHeight="false" outlineLevel="0" collapsed="false">
      <c r="B30" s="8" t="s">
        <v>74</v>
      </c>
      <c r="C30" s="9" t="n">
        <v>2020</v>
      </c>
      <c r="D30" s="9" t="n">
        <v>12</v>
      </c>
      <c r="E30" s="10" t="n">
        <v>385.8826</v>
      </c>
      <c r="F30" s="10" t="n">
        <v>390.7655</v>
      </c>
      <c r="G30" s="11"/>
      <c r="H30" s="11"/>
      <c r="I30" s="12" t="n">
        <f aca="false">IF(OR(E30="",E29=""),"",E30/E29-1)</f>
        <v>0.0400556733835353</v>
      </c>
      <c r="J30" s="12" t="n">
        <f aca="false">IF(OR(F30="",F29=""),"",F30/F29-1)</f>
        <v>0.0487100103753091</v>
      </c>
      <c r="K30" s="12" t="str">
        <f aca="false">IF(OR(G30="",G29=""),"",G30/G29-1)</f>
        <v/>
      </c>
      <c r="L30" s="12" t="str">
        <f aca="false">IF(OR(H30="",H29=""),"",H30/H29-1)</f>
        <v/>
      </c>
      <c r="M30" s="13" t="n">
        <f aca="false">IF(OR(E30="",E18=""),"",E30/E18-1)</f>
        <v>0.361405878123454</v>
      </c>
      <c r="N30" s="13" t="n">
        <f aca="false">IF(OR(F30="",F18=""),"",F30/F18-1)</f>
        <v>0.394044180261403</v>
      </c>
      <c r="O30" s="14" t="str">
        <f aca="false">IF(G30="","",G30/$G$66*100)</f>
        <v/>
      </c>
      <c r="P30" s="14" t="n">
        <f aca="false">IF(F30="","",F30/$F$66*100)</f>
        <v>10.2834414580386</v>
      </c>
      <c r="Q30" s="15" t="str">
        <f aca="false">IF(OR(F30="",G30=""),"",(G30/$G$66)/(F30/$F$66)*100)</f>
        <v/>
      </c>
      <c r="R30" s="12" t="str">
        <f aca="false">IF(OR(K30="",J30=""),"",K30-J30)</f>
        <v/>
      </c>
      <c r="S30" s="12" t="str">
        <f aca="false">IFERROR(AVERAGE(R28:R30),"")</f>
        <v/>
      </c>
      <c r="T30" s="16" t="n">
        <v>0.02</v>
      </c>
    </row>
    <row r="31" customFormat="false" ht="15" hidden="false" customHeight="false" outlineLevel="0" collapsed="false">
      <c r="B31" s="8" t="s">
        <v>75</v>
      </c>
      <c r="C31" s="9" t="n">
        <v>2021</v>
      </c>
      <c r="D31" s="9" t="n">
        <v>1</v>
      </c>
      <c r="E31" s="10" t="n">
        <v>401.5071</v>
      </c>
      <c r="F31" s="10" t="n">
        <v>406.0674</v>
      </c>
      <c r="G31" s="11"/>
      <c r="H31" s="11"/>
      <c r="I31" s="12" t="n">
        <f aca="false">IF(OR(E31="",E30=""),"",E31/E30-1)</f>
        <v>0.0404902941982872</v>
      </c>
      <c r="J31" s="12" t="n">
        <f aca="false">IF(OR(F31="",F30=""),"",F31/F30-1)</f>
        <v>0.0391587793702362</v>
      </c>
      <c r="K31" s="12" t="str">
        <f aca="false">IF(OR(G31="",G30=""),"",G31/G30-1)</f>
        <v/>
      </c>
      <c r="L31" s="12" t="str">
        <f aca="false">IF(OR(H31="",H30=""),"",H31/H30-1)</f>
        <v/>
      </c>
      <c r="M31" s="13" t="n">
        <f aca="false">IF(OR(E31="",E19=""),"",E31/E19-1)</f>
        <v>0.3853198030983</v>
      </c>
      <c r="N31" s="13" t="n">
        <f aca="false">IF(OR(F31="",F19=""),"",F31/F19-1)</f>
        <v>0.41411561575732</v>
      </c>
      <c r="O31" s="14" t="str">
        <f aca="false">IF(G31="","",G31/$G$66*100)</f>
        <v/>
      </c>
      <c r="P31" s="14" t="n">
        <f aca="false">IF(F31="","",F31/$F$66*100)</f>
        <v>10.6861284732607</v>
      </c>
      <c r="Q31" s="15" t="str">
        <f aca="false">IF(OR(F31="",G31=""),"",(G31/$G$66)/(F31/$F$66)*100)</f>
        <v/>
      </c>
      <c r="R31" s="12" t="str">
        <f aca="false">IF(OR(K31="",J31=""),"",K31-J31)</f>
        <v/>
      </c>
      <c r="S31" s="12" t="str">
        <f aca="false">IFERROR(AVERAGE(R29:R31),"")</f>
        <v/>
      </c>
      <c r="T31" s="16" t="n">
        <v>0.02</v>
      </c>
    </row>
    <row r="32" customFormat="false" ht="15" hidden="false" customHeight="false" outlineLevel="0" collapsed="false">
      <c r="B32" s="8" t="s">
        <v>76</v>
      </c>
      <c r="C32" s="9" t="n">
        <v>2021</v>
      </c>
      <c r="D32" s="9" t="n">
        <v>2</v>
      </c>
      <c r="E32" s="10" t="n">
        <v>415.8595</v>
      </c>
      <c r="F32" s="10" t="n">
        <v>422.5932</v>
      </c>
      <c r="G32" s="11"/>
      <c r="H32" s="11"/>
      <c r="I32" s="12" t="n">
        <f aca="false">IF(OR(E32="",E31=""),"",E32/E31-1)</f>
        <v>0.0357463168148211</v>
      </c>
      <c r="J32" s="12" t="n">
        <f aca="false">IF(OR(F32="",F31=""),"",F32/F31-1)</f>
        <v>0.040697184753073</v>
      </c>
      <c r="K32" s="12" t="str">
        <f aca="false">IF(OR(G32="",G31=""),"",G32/G31-1)</f>
        <v/>
      </c>
      <c r="L32" s="12" t="str">
        <f aca="false">IF(OR(H32="",H31=""),"",H32/H31-1)</f>
        <v/>
      </c>
      <c r="M32" s="13" t="n">
        <f aca="false">IF(OR(E32="",E20=""),"",E32/E20-1)</f>
        <v>0.406517827548653</v>
      </c>
      <c r="N32" s="13" t="n">
        <f aca="false">IF(OR(F32="",F20=""),"",F32/F20-1)</f>
        <v>0.437429972631927</v>
      </c>
      <c r="O32" s="14" t="str">
        <f aca="false">IF(G32="","",G32/$G$66*100)</f>
        <v/>
      </c>
      <c r="P32" s="14" t="n">
        <f aca="false">IF(F32="","",F32/$F$66*100)</f>
        <v>11.1210238180321</v>
      </c>
      <c r="Q32" s="15" t="str">
        <f aca="false">IF(OR(F32="",G32=""),"",(G32/$G$66)/(F32/$F$66)*100)</f>
        <v/>
      </c>
      <c r="R32" s="12" t="str">
        <f aca="false">IF(OR(K32="",J32=""),"",K32-J32)</f>
        <v/>
      </c>
      <c r="S32" s="12" t="str">
        <f aca="false">IFERROR(AVERAGE(R30:R32),"")</f>
        <v/>
      </c>
      <c r="T32" s="16" t="n">
        <v>0.02</v>
      </c>
    </row>
    <row r="33" customFormat="false" ht="15" hidden="false" customHeight="false" outlineLevel="0" collapsed="false">
      <c r="B33" s="8" t="s">
        <v>77</v>
      </c>
      <c r="C33" s="9" t="n">
        <v>2021</v>
      </c>
      <c r="D33" s="9" t="n">
        <v>3</v>
      </c>
      <c r="E33" s="10" t="n">
        <v>435.8657</v>
      </c>
      <c r="F33" s="10" t="n">
        <v>441.72</v>
      </c>
      <c r="G33" s="11"/>
      <c r="H33" s="11"/>
      <c r="I33" s="12" t="n">
        <f aca="false">IF(OR(E33="",E32=""),"",E33/E32-1)</f>
        <v>0.048108074962818</v>
      </c>
      <c r="J33" s="12" t="n">
        <f aca="false">IF(OR(F33="",F32=""),"",F33/F32-1)</f>
        <v>0.0452605484423319</v>
      </c>
      <c r="K33" s="12" t="str">
        <f aca="false">IF(OR(G33="",G32=""),"",G33/G32-1)</f>
        <v/>
      </c>
      <c r="L33" s="12" t="str">
        <f aca="false">IF(OR(H33="",H32=""),"",H33/H32-1)</f>
        <v/>
      </c>
      <c r="M33" s="13" t="n">
        <f aca="false">IF(OR(E33="",E21=""),"",E33/E21-1)</f>
        <v>0.426488497029143</v>
      </c>
      <c r="N33" s="13" t="n">
        <f aca="false">IF(OR(F33="",F21=""),"",F33/F21-1)</f>
        <v>0.457021141847797</v>
      </c>
      <c r="O33" s="14" t="str">
        <f aca="false">IF(G33="","",G33/$G$66*100)</f>
        <v/>
      </c>
      <c r="P33" s="14" t="n">
        <f aca="false">IF(F33="","",F33/$F$66*100)</f>
        <v>11.6243674552764</v>
      </c>
      <c r="Q33" s="15" t="str">
        <f aca="false">IF(OR(F33="",G33=""),"",(G33/$G$66)/(F33/$F$66)*100)</f>
        <v/>
      </c>
      <c r="R33" s="12" t="str">
        <f aca="false">IF(OR(K33="",J33=""),"",K33-J33)</f>
        <v/>
      </c>
      <c r="S33" s="12" t="str">
        <f aca="false">IFERROR(AVERAGE(R31:R33),"")</f>
        <v/>
      </c>
      <c r="T33" s="16" t="n">
        <v>0.02</v>
      </c>
    </row>
    <row r="34" customFormat="false" ht="15" hidden="false" customHeight="false" outlineLevel="0" collapsed="false">
      <c r="B34" s="8" t="s">
        <v>78</v>
      </c>
      <c r="C34" s="9" t="n">
        <v>2021</v>
      </c>
      <c r="D34" s="9" t="n">
        <v>4</v>
      </c>
      <c r="E34" s="10" t="n">
        <v>453.6503</v>
      </c>
      <c r="F34" s="10" t="n">
        <v>461.8578</v>
      </c>
      <c r="G34" s="11"/>
      <c r="H34" s="11"/>
      <c r="I34" s="12" t="n">
        <f aca="false">IF(OR(E34="",E33=""),"",E34/E33-1)</f>
        <v>0.0408029353995967</v>
      </c>
      <c r="J34" s="12" t="n">
        <f aca="false">IF(OR(F34="",F33=""),"",F34/F33-1)</f>
        <v>0.045589513719098</v>
      </c>
      <c r="K34" s="12" t="str">
        <f aca="false">IF(OR(G34="",G33=""),"",G34/G33-1)</f>
        <v/>
      </c>
      <c r="L34" s="12" t="str">
        <f aca="false">IF(OR(H34="",H33=""),"",H34/H33-1)</f>
        <v/>
      </c>
      <c r="M34" s="13" t="n">
        <f aca="false">IF(OR(E34="",E22=""),"",E34/E22-1)</f>
        <v>0.462801528290431</v>
      </c>
      <c r="N34" s="13" t="n">
        <f aca="false">IF(OR(F34="",F22=""),"",F34/F22-1)</f>
        <v>0.497748307947547</v>
      </c>
      <c r="O34" s="14" t="str">
        <f aca="false">IF(G34="","",G34/$G$66*100)</f>
        <v/>
      </c>
      <c r="P34" s="14" t="n">
        <f aca="false">IF(F34="","",F34/$F$66*100)</f>
        <v>12.1543167148546</v>
      </c>
      <c r="Q34" s="15" t="str">
        <f aca="false">IF(OR(F34="",G34=""),"",(G34/$G$66)/(F34/$F$66)*100)</f>
        <v/>
      </c>
      <c r="R34" s="12" t="str">
        <f aca="false">IF(OR(K34="",J34=""),"",K34-J34)</f>
        <v/>
      </c>
      <c r="S34" s="12" t="str">
        <f aca="false">IFERROR(AVERAGE(R32:R34),"")</f>
        <v/>
      </c>
      <c r="T34" s="16" t="n">
        <v>0.02</v>
      </c>
    </row>
    <row r="35" customFormat="false" ht="15" hidden="false" customHeight="false" outlineLevel="0" collapsed="false">
      <c r="B35" s="8" t="s">
        <v>79</v>
      </c>
      <c r="C35" s="9" t="n">
        <v>2021</v>
      </c>
      <c r="D35" s="9" t="n">
        <v>5</v>
      </c>
      <c r="E35" s="10" t="n">
        <v>468.725</v>
      </c>
      <c r="F35" s="10" t="n">
        <v>477.9293</v>
      </c>
      <c r="G35" s="11"/>
      <c r="H35" s="11"/>
      <c r="I35" s="12" t="n">
        <f aca="false">IF(OR(E35="",E34=""),"",E35/E34-1)</f>
        <v>0.0332297807363955</v>
      </c>
      <c r="J35" s="12" t="n">
        <f aca="false">IF(OR(F35="",F34=""),"",F35/F34-1)</f>
        <v>0.0347975069382829</v>
      </c>
      <c r="K35" s="12" t="str">
        <f aca="false">IF(OR(G35="",G34=""),"",G35/G34-1)</f>
        <v/>
      </c>
      <c r="L35" s="12" t="str">
        <f aca="false">IF(OR(H35="",H34=""),"",H35/H34-1)</f>
        <v/>
      </c>
      <c r="M35" s="13" t="n">
        <f aca="false">IF(OR(E35="",E23=""),"",E35/E23-1)</f>
        <v>0.488447286467475</v>
      </c>
      <c r="N35" s="13" t="n">
        <f aca="false">IF(OR(F35="",F23=""),"",F35/F23-1)</f>
        <v>0.525373620218339</v>
      </c>
      <c r="O35" s="14" t="str">
        <f aca="false">IF(G35="","",G35/$G$66*100)</f>
        <v/>
      </c>
      <c r="P35" s="14" t="n">
        <f aca="false">IF(F35="","",F35/$F$66*100)</f>
        <v>12.5772566350698</v>
      </c>
      <c r="Q35" s="15" t="str">
        <f aca="false">IF(OR(F35="",G35=""),"",(G35/$G$66)/(F35/$F$66)*100)</f>
        <v/>
      </c>
      <c r="R35" s="12" t="str">
        <f aca="false">IF(OR(K35="",J35=""),"",K35-J35)</f>
        <v/>
      </c>
      <c r="S35" s="12" t="str">
        <f aca="false">IFERROR(AVERAGE(R33:R35),"")</f>
        <v/>
      </c>
      <c r="T35" s="16" t="n">
        <v>0.02</v>
      </c>
    </row>
    <row r="36" customFormat="false" ht="15" hidden="false" customHeight="false" outlineLevel="0" collapsed="false">
      <c r="B36" s="8" t="s">
        <v>80</v>
      </c>
      <c r="C36" s="9" t="n">
        <v>2021</v>
      </c>
      <c r="D36" s="9" t="n">
        <v>6</v>
      </c>
      <c r="E36" s="10" t="n">
        <v>483.6049</v>
      </c>
      <c r="F36" s="10" t="n">
        <v>495.1809</v>
      </c>
      <c r="G36" s="11"/>
      <c r="H36" s="11"/>
      <c r="I36" s="12" t="n">
        <f aca="false">IF(OR(E36="",E35=""),"",E36/E35-1)</f>
        <v>0.0317454797589205</v>
      </c>
      <c r="J36" s="12" t="n">
        <f aca="false">IF(OR(F36="",F35=""),"",F36/F35-1)</f>
        <v>0.0360965523561749</v>
      </c>
      <c r="K36" s="12" t="str">
        <f aca="false">IF(OR(G36="",G35=""),"",G36/G35-1)</f>
        <v/>
      </c>
      <c r="L36" s="12" t="str">
        <f aca="false">IF(OR(H36="",H35=""),"",H36/H35-1)</f>
        <v/>
      </c>
      <c r="M36" s="13" t="n">
        <f aca="false">IF(OR(E36="",E24=""),"",E36/E24-1)</f>
        <v>0.502000783914716</v>
      </c>
      <c r="N36" s="13" t="n">
        <f aca="false">IF(OR(F36="",F24=""),"",F36/F24-1)</f>
        <v>0.544672934395971</v>
      </c>
      <c r="O36" s="14" t="str">
        <f aca="false">IF(G36="","",G36/$G$66*100)</f>
        <v/>
      </c>
      <c r="P36" s="14" t="n">
        <f aca="false">IF(F36="","",F36/$F$66*100)</f>
        <v>13.0312522376947</v>
      </c>
      <c r="Q36" s="15" t="str">
        <f aca="false">IF(OR(F36="",G36=""),"",(G36/$G$66)/(F36/$F$66)*100)</f>
        <v/>
      </c>
      <c r="R36" s="12" t="str">
        <f aca="false">IF(OR(K36="",J36=""),"",K36-J36)</f>
        <v/>
      </c>
      <c r="S36" s="12" t="str">
        <f aca="false">IFERROR(AVERAGE(R34:R36),"")</f>
        <v/>
      </c>
      <c r="T36" s="16" t="n">
        <v>0.02</v>
      </c>
    </row>
    <row r="37" customFormat="false" ht="15" hidden="false" customHeight="false" outlineLevel="0" collapsed="false">
      <c r="B37" s="8" t="s">
        <v>81</v>
      </c>
      <c r="C37" s="9" t="n">
        <v>2021</v>
      </c>
      <c r="D37" s="9" t="n">
        <v>7</v>
      </c>
      <c r="E37" s="10" t="n">
        <v>498.0987</v>
      </c>
      <c r="F37" s="10" t="n">
        <v>510.6974</v>
      </c>
      <c r="G37" s="11"/>
      <c r="H37" s="11"/>
      <c r="I37" s="12" t="n">
        <f aca="false">IF(OR(E37="",E36=""),"",E37/E36-1)</f>
        <v>0.0299703332203625</v>
      </c>
      <c r="J37" s="12" t="n">
        <f aca="false">IF(OR(F37="",F36=""),"",F37/F36-1)</f>
        <v>0.0313350131234869</v>
      </c>
      <c r="K37" s="12" t="str">
        <f aca="false">IF(OR(G37="",G36=""),"",G37/G36-1)</f>
        <v/>
      </c>
      <c r="L37" s="12" t="str">
        <f aca="false">IF(OR(H37="",H36=""),"",H37/H36-1)</f>
        <v/>
      </c>
      <c r="M37" s="13" t="n">
        <f aca="false">IF(OR(E37="",E25=""),"",E37/E25-1)</f>
        <v>0.517661716251058</v>
      </c>
      <c r="N37" s="13" t="n">
        <f aca="false">IF(OR(F37="",F25=""),"",F37/F25-1)</f>
        <v>0.553715412771076</v>
      </c>
      <c r="O37" s="14" t="str">
        <f aca="false">IF(G37="","",G37/$G$66*100)</f>
        <v/>
      </c>
      <c r="P37" s="14" t="n">
        <f aca="false">IF(F37="","",F37/$F$66*100)</f>
        <v>13.4395866975783</v>
      </c>
      <c r="Q37" s="15" t="str">
        <f aca="false">IF(OR(F37="",G37=""),"",(G37/$G$66)/(F37/$F$66)*100)</f>
        <v/>
      </c>
      <c r="R37" s="12" t="str">
        <f aca="false">IF(OR(K37="",J37=""),"",K37-J37)</f>
        <v/>
      </c>
      <c r="S37" s="12" t="str">
        <f aca="false">IFERROR(AVERAGE(R35:R37),"")</f>
        <v/>
      </c>
      <c r="T37" s="16" t="n">
        <v>0.02</v>
      </c>
    </row>
    <row r="38" customFormat="false" ht="15" hidden="false" customHeight="false" outlineLevel="0" collapsed="false">
      <c r="B38" s="8" t="s">
        <v>82</v>
      </c>
      <c r="C38" s="9" t="n">
        <v>2021</v>
      </c>
      <c r="D38" s="9" t="n">
        <v>8</v>
      </c>
      <c r="E38" s="10" t="n">
        <v>510.3942</v>
      </c>
      <c r="F38" s="10" t="n">
        <v>526.6934</v>
      </c>
      <c r="G38" s="11"/>
      <c r="H38" s="11"/>
      <c r="I38" s="12" t="n">
        <f aca="false">IF(OR(E38="",E37=""),"",E38/E37-1)</f>
        <v>0.0246848666740147</v>
      </c>
      <c r="J38" s="12" t="n">
        <f aca="false">IF(OR(F38="",F37=""),"",F38/F37-1)</f>
        <v>0.0313218747540127</v>
      </c>
      <c r="K38" s="12" t="str">
        <f aca="false">IF(OR(G38="",G37=""),"",G38/G37-1)</f>
        <v/>
      </c>
      <c r="L38" s="12" t="str">
        <f aca="false">IF(OR(H38="",H37=""),"",H38/H37-1)</f>
        <v/>
      </c>
      <c r="M38" s="13" t="n">
        <f aca="false">IF(OR(E38="",E26=""),"",E38/E26-1)</f>
        <v>0.514238872709925</v>
      </c>
      <c r="N38" s="13" t="n">
        <f aca="false">IF(OR(F38="",F26=""),"",F38/F26-1)</f>
        <v>0.555206996895157</v>
      </c>
      <c r="O38" s="14" t="str">
        <f aca="false">IF(G38="","",G38/$G$66*100)</f>
        <v/>
      </c>
      <c r="P38" s="14" t="n">
        <f aca="false">IF(F38="","",F38/$F$66*100)</f>
        <v>13.8605397488656</v>
      </c>
      <c r="Q38" s="15" t="str">
        <f aca="false">IF(OR(F38="",G38=""),"",(G38/$G$66)/(F38/$F$66)*100)</f>
        <v/>
      </c>
      <c r="R38" s="12" t="str">
        <f aca="false">IF(OR(K38="",J38=""),"",K38-J38)</f>
        <v/>
      </c>
      <c r="S38" s="12" t="str">
        <f aca="false">IFERROR(AVERAGE(R36:R38),"")</f>
        <v/>
      </c>
      <c r="T38" s="16" t="n">
        <v>0.02</v>
      </c>
    </row>
    <row r="39" customFormat="false" ht="15" hidden="false" customHeight="false" outlineLevel="0" collapsed="false">
      <c r="B39" s="8" t="s">
        <v>83</v>
      </c>
      <c r="C39" s="9" t="n">
        <v>2021</v>
      </c>
      <c r="D39" s="9" t="n">
        <v>9</v>
      </c>
      <c r="E39" s="10" t="n">
        <v>528.4968</v>
      </c>
      <c r="F39" s="10" t="n">
        <v>543.8748</v>
      </c>
      <c r="G39" s="11"/>
      <c r="H39" s="11"/>
      <c r="I39" s="12" t="n">
        <f aca="false">IF(OR(E39="",E38=""),"",E39/E38-1)</f>
        <v>0.0354678795331138</v>
      </c>
      <c r="J39" s="12" t="n">
        <f aca="false">IF(OR(F39="",F38=""),"",F39/F38-1)</f>
        <v>0.0326212555539904</v>
      </c>
      <c r="K39" s="12" t="str">
        <f aca="false">IF(OR(G39="",G38=""),"",G39/G38-1)</f>
        <v/>
      </c>
      <c r="L39" s="12" t="str">
        <f aca="false">IF(OR(H39="",H38=""),"",H39/H38-1)</f>
        <v/>
      </c>
      <c r="M39" s="13" t="n">
        <f aca="false">IF(OR(E39="",E27=""),"",E39/E27-1)</f>
        <v>0.524712170969593</v>
      </c>
      <c r="N39" s="13" t="n">
        <f aca="false">IF(OR(F39="",F27=""),"",F39/F27-1)</f>
        <v>0.569574414665047</v>
      </c>
      <c r="O39" s="14" t="str">
        <f aca="false">IF(G39="","",G39/$G$66*100)</f>
        <v/>
      </c>
      <c r="P39" s="14" t="n">
        <f aca="false">IF(F39="","",F39/$F$66*100)</f>
        <v>14.3126879581295</v>
      </c>
      <c r="Q39" s="15" t="str">
        <f aca="false">IF(OR(F39="",G39=""),"",(G39/$G$66)/(F39/$F$66)*100)</f>
        <v/>
      </c>
      <c r="R39" s="12" t="str">
        <f aca="false">IF(OR(K39="",J39=""),"",K39-J39)</f>
        <v/>
      </c>
      <c r="S39" s="12" t="str">
        <f aca="false">IFERROR(AVERAGE(R37:R39),"")</f>
        <v/>
      </c>
      <c r="T39" s="16" t="n">
        <v>0.02</v>
      </c>
    </row>
    <row r="40" customFormat="false" ht="15" hidden="false" customHeight="false" outlineLevel="0" collapsed="false">
      <c r="B40" s="8" t="s">
        <v>84</v>
      </c>
      <c r="C40" s="9" t="n">
        <v>2021</v>
      </c>
      <c r="D40" s="9" t="n">
        <v>10</v>
      </c>
      <c r="E40" s="10" t="n">
        <v>547.0802</v>
      </c>
      <c r="F40" s="10" t="n">
        <v>561.2843</v>
      </c>
      <c r="G40" s="11"/>
      <c r="H40" s="11"/>
      <c r="I40" s="12" t="n">
        <f aca="false">IF(OR(E40="",E39=""),"",E40/E39-1)</f>
        <v>0.0351627483837178</v>
      </c>
      <c r="J40" s="12" t="n">
        <f aca="false">IF(OR(F40="",F39=""),"",F40/F39-1)</f>
        <v>0.0320101243889219</v>
      </c>
      <c r="K40" s="12" t="str">
        <f aca="false">IF(OR(G40="",G39=""),"",G40/G39-1)</f>
        <v/>
      </c>
      <c r="L40" s="12" t="str">
        <f aca="false">IF(OR(H40="",H39=""),"",H40/H39-1)</f>
        <v/>
      </c>
      <c r="M40" s="13" t="n">
        <f aca="false">IF(OR(E40="",E28=""),"",E40/E28-1)</f>
        <v>0.521116508228674</v>
      </c>
      <c r="N40" s="13" t="n">
        <f aca="false">IF(OR(F40="",F28=""),"",F40/F28-1)</f>
        <v>0.565651386935915</v>
      </c>
      <c r="O40" s="14" t="str">
        <f aca="false">IF(G40="","",G40/$G$66*100)</f>
        <v/>
      </c>
      <c r="P40" s="14" t="n">
        <f aca="false">IF(F40="","",F40/$F$66*100)</f>
        <v>14.7708388800091</v>
      </c>
      <c r="Q40" s="15" t="str">
        <f aca="false">IF(OR(F40="",G40=""),"",(G40/$G$66)/(F40/$F$66)*100)</f>
        <v/>
      </c>
      <c r="R40" s="12" t="str">
        <f aca="false">IF(OR(K40="",J40=""),"",K40-J40)</f>
        <v/>
      </c>
      <c r="S40" s="12" t="str">
        <f aca="false">IFERROR(AVERAGE(R38:R40),"")</f>
        <v/>
      </c>
      <c r="T40" s="16" t="n">
        <v>0.02</v>
      </c>
    </row>
    <row r="41" customFormat="false" ht="15" hidden="false" customHeight="false" outlineLevel="0" collapsed="false">
      <c r="B41" s="8" t="s">
        <v>85</v>
      </c>
      <c r="C41" s="9" t="n">
        <v>2021</v>
      </c>
      <c r="D41" s="9" t="n">
        <v>11</v>
      </c>
      <c r="E41" s="10" t="n">
        <v>560.9184</v>
      </c>
      <c r="F41" s="10" t="n">
        <v>579.5414</v>
      </c>
      <c r="G41" s="11"/>
      <c r="H41" s="11"/>
      <c r="I41" s="12" t="n">
        <f aca="false">IF(OR(E41="",E40=""),"",E41/E40-1)</f>
        <v>0.0252946460135095</v>
      </c>
      <c r="J41" s="12" t="n">
        <f aca="false">IF(OR(F41="",F40=""),"",F41/F40-1)</f>
        <v>0.0325273662562804</v>
      </c>
      <c r="K41" s="12" t="str">
        <f aca="false">IF(OR(G41="",G40=""),"",G41/G40-1)</f>
        <v/>
      </c>
      <c r="L41" s="12" t="str">
        <f aca="false">IF(OR(H41="",H40=""),"",H41/H40-1)</f>
        <v/>
      </c>
      <c r="M41" s="13" t="n">
        <f aca="false">IF(OR(E41="",E29=""),"",E41/E29-1)</f>
        <v>0.51182345155033</v>
      </c>
      <c r="N41" s="13" t="n">
        <f aca="false">IF(OR(F41="",F29=""),"",F41/F29-1)</f>
        <v>0.555333998541123</v>
      </c>
      <c r="O41" s="14" t="str">
        <f aca="false">IF(G41="","",G41/$G$66*100)</f>
        <v/>
      </c>
      <c r="P41" s="14" t="n">
        <f aca="false">IF(F41="","",F41/$F$66*100)</f>
        <v>15.2512953661717</v>
      </c>
      <c r="Q41" s="15" t="str">
        <f aca="false">IF(OR(F41="",G41=""),"",(G41/$G$66)/(F41/$F$66)*100)</f>
        <v/>
      </c>
      <c r="R41" s="12" t="str">
        <f aca="false">IF(OR(K41="",J41=""),"",K41-J41)</f>
        <v/>
      </c>
      <c r="S41" s="12" t="str">
        <f aca="false">IFERROR(AVERAGE(R39:R41),"")</f>
        <v/>
      </c>
      <c r="T41" s="16" t="n">
        <v>0.02</v>
      </c>
    </row>
    <row r="42" customFormat="false" ht="15" hidden="false" customHeight="false" outlineLevel="0" collapsed="false">
      <c r="B42" s="8" t="s">
        <v>86</v>
      </c>
      <c r="C42" s="9" t="n">
        <v>2021</v>
      </c>
      <c r="D42" s="9" t="n">
        <v>12</v>
      </c>
      <c r="E42" s="10" t="n">
        <v>582.4575</v>
      </c>
      <c r="F42" s="10" t="n">
        <v>605.1759</v>
      </c>
      <c r="G42" s="11"/>
      <c r="H42" s="11"/>
      <c r="I42" s="12" t="n">
        <f aca="false">IF(OR(E42="",E41=""),"",E42/E41-1)</f>
        <v>0.0383997030584127</v>
      </c>
      <c r="J42" s="12" t="n">
        <f aca="false">IF(OR(F42="",F41=""),"",F42/F41-1)</f>
        <v>0.0442323878846274</v>
      </c>
      <c r="K42" s="12" t="str">
        <f aca="false">IF(OR(G42="",G41=""),"",G42/G41-1)</f>
        <v/>
      </c>
      <c r="L42" s="12" t="str">
        <f aca="false">IF(OR(H42="",H41=""),"",H42/H41-1)</f>
        <v/>
      </c>
      <c r="M42" s="13" t="n">
        <f aca="false">IF(OR(E42="",E30=""),"",E42/E30-1)</f>
        <v>0.509416335434663</v>
      </c>
      <c r="N42" s="13" t="n">
        <f aca="false">IF(OR(F42="",F30=""),"",F42/F30-1)</f>
        <v>0.548693270004645</v>
      </c>
      <c r="O42" s="14" t="str">
        <f aca="false">IF(G42="","",G42/$G$66*100)</f>
        <v/>
      </c>
      <c r="P42" s="14" t="n">
        <f aca="false">IF(F42="","",F42/$F$66*100)</f>
        <v>15.9258965785512</v>
      </c>
      <c r="Q42" s="15" t="str">
        <f aca="false">IF(OR(F42="",G42=""),"",(G42/$G$66)/(F42/$F$66)*100)</f>
        <v/>
      </c>
      <c r="R42" s="12" t="str">
        <f aca="false">IF(OR(K42="",J42=""),"",K42-J42)</f>
        <v/>
      </c>
      <c r="S42" s="12" t="str">
        <f aca="false">IFERROR(AVERAGE(R40:R42),"")</f>
        <v/>
      </c>
      <c r="T42" s="16" t="n">
        <v>0.02</v>
      </c>
    </row>
    <row r="43" customFormat="false" ht="15" hidden="false" customHeight="false" outlineLevel="0" collapsed="false">
      <c r="B43" s="8" t="s">
        <v>87</v>
      </c>
      <c r="C43" s="9" t="n">
        <v>2022</v>
      </c>
      <c r="D43" s="9" t="n">
        <v>1</v>
      </c>
      <c r="E43" s="10" t="n">
        <v>605.0317</v>
      </c>
      <c r="F43" s="10" t="n">
        <v>625.1594</v>
      </c>
      <c r="G43" s="10" t="n">
        <v>512.3766</v>
      </c>
      <c r="H43" s="10" t="n">
        <v>658.2543</v>
      </c>
      <c r="I43" s="12" t="n">
        <f aca="false">IF(OR(E43="",E42=""),"",E43/E42-1)</f>
        <v>0.0387568191670638</v>
      </c>
      <c r="J43" s="12" t="n">
        <f aca="false">IF(OR(F43="",F42=""),"",F43/F42-1)</f>
        <v>0.0330209778677573</v>
      </c>
      <c r="K43" s="12" t="str">
        <f aca="false">IF(OR(G43="",G42=""),"",G43/G42-1)</f>
        <v/>
      </c>
      <c r="L43" s="12" t="str">
        <f aca="false">IF(OR(H43="",H42=""),"",H43/H42-1)</f>
        <v/>
      </c>
      <c r="M43" s="13" t="n">
        <f aca="false">IF(OR(E43="",E31=""),"",E43/E31-1)</f>
        <v>0.50690162141591</v>
      </c>
      <c r="N43" s="13" t="n">
        <f aca="false">IF(OR(F43="",F31=""),"",F43/F31-1)</f>
        <v>0.539545898045497</v>
      </c>
      <c r="O43" s="14" t="n">
        <f aca="false">IF(G43="","",G43/$G$66*100)</f>
        <v>20.8895898065888</v>
      </c>
      <c r="P43" s="14" t="n">
        <f aca="false">IF(F43="","",F43/$F$66*100)</f>
        <v>16.4517852569957</v>
      </c>
      <c r="Q43" s="15" t="n">
        <f aca="false">IF(OR(F43="",G43=""),"",(G43/$G$66)/(F43/$F$66)*100)</f>
        <v>126.974607802555</v>
      </c>
      <c r="R43" s="12" t="str">
        <f aca="false">IF(OR(K43="",J43=""),"",K43-J43)</f>
        <v/>
      </c>
      <c r="S43" s="12" t="str">
        <f aca="false">IFERROR(AVERAGE(R41:R43),"")</f>
        <v/>
      </c>
      <c r="T43" s="16" t="n">
        <v>0.02</v>
      </c>
    </row>
    <row r="44" customFormat="false" ht="15" hidden="false" customHeight="false" outlineLevel="0" collapsed="false">
      <c r="B44" s="8" t="s">
        <v>88</v>
      </c>
      <c r="C44" s="9" t="n">
        <v>2022</v>
      </c>
      <c r="D44" s="9" t="n">
        <v>2</v>
      </c>
      <c r="E44" s="10" t="n">
        <v>633.4341</v>
      </c>
      <c r="F44" s="10" t="n">
        <v>652.9838</v>
      </c>
      <c r="G44" s="10" t="n">
        <v>528.2683</v>
      </c>
      <c r="H44" s="10" t="n">
        <v>713.7013</v>
      </c>
      <c r="I44" s="12" t="n">
        <f aca="false">IF(OR(E44="",E43=""),"",E44/E43-1)</f>
        <v>0.04694365601009</v>
      </c>
      <c r="J44" s="12" t="n">
        <f aca="false">IF(OR(F44="",F43=""),"",F44/F43-1)</f>
        <v>0.0445076887590588</v>
      </c>
      <c r="K44" s="12" t="n">
        <f aca="false">IF(OR(G44="",G43=""),"",G44/G43-1)</f>
        <v>0.0310156630884391</v>
      </c>
      <c r="L44" s="12" t="n">
        <f aca="false">IF(OR(H44="",H43=""),"",H44/H43-1)</f>
        <v>0.0842334034126324</v>
      </c>
      <c r="M44" s="13" t="n">
        <f aca="false">IF(OR(E44="",E32=""),"",E44/E32-1)</f>
        <v>0.523192568643977</v>
      </c>
      <c r="N44" s="13" t="n">
        <f aca="false">IF(OR(F44="",F32=""),"",F44/F32-1)</f>
        <v>0.545182932427687</v>
      </c>
      <c r="O44" s="14" t="n">
        <f aca="false">IF(G44="","",G44/$G$66*100)</f>
        <v>21.5374942860856</v>
      </c>
      <c r="P44" s="14" t="n">
        <f aca="false">IF(F44="","",F44/$F$66*100)</f>
        <v>17.1840161947449</v>
      </c>
      <c r="Q44" s="15" t="n">
        <f aca="false">IF(OR(F44="",G44=""),"",(G44/$G$66)/(F44/$F$66)*100)</f>
        <v>125.334462223517</v>
      </c>
      <c r="R44" s="12" t="n">
        <f aca="false">IF(OR(K44="",J44=""),"",K44-J44)</f>
        <v>-0.0134920256706197</v>
      </c>
      <c r="S44" s="12" t="n">
        <f aca="false">IFERROR(AVERAGE(R42:R44),"")</f>
        <v>-0.0134920256706197</v>
      </c>
      <c r="T44" s="16" t="n">
        <v>0.02</v>
      </c>
    </row>
    <row r="45" customFormat="false" ht="15" hidden="false" customHeight="false" outlineLevel="0" collapsed="false">
      <c r="B45" s="8" t="s">
        <v>89</v>
      </c>
      <c r="C45" s="9" t="n">
        <v>2022</v>
      </c>
      <c r="D45" s="9" t="n">
        <v>3</v>
      </c>
      <c r="E45" s="10" t="n">
        <v>676.0566</v>
      </c>
      <c r="F45" s="10" t="n">
        <v>694.7515</v>
      </c>
      <c r="G45" s="10" t="n">
        <v>572.7992</v>
      </c>
      <c r="H45" s="10" t="n">
        <v>757.8963</v>
      </c>
      <c r="I45" s="12" t="n">
        <f aca="false">IF(OR(E45="",E44=""),"",E45/E44-1)</f>
        <v>0.0672879783390254</v>
      </c>
      <c r="J45" s="12" t="n">
        <f aca="false">IF(OR(F45="",F44=""),"",F45/F44-1)</f>
        <v>0.0639643740013152</v>
      </c>
      <c r="K45" s="12" t="n">
        <f aca="false">IF(OR(G45="",G44=""),"",G45/G44-1)</f>
        <v>0.0842959912605017</v>
      </c>
      <c r="L45" s="12" t="n">
        <f aca="false">IF(OR(H45="",H44=""),"",H45/H44-1)</f>
        <v>0.0619236647039876</v>
      </c>
      <c r="M45" s="13" t="n">
        <f aca="false">IF(OR(E45="",E33=""),"",E45/E33-1)</f>
        <v>0.551066303221382</v>
      </c>
      <c r="N45" s="13" t="n">
        <f aca="false">IF(OR(F45="",F33=""),"",F45/F33-1)</f>
        <v>0.572832337227203</v>
      </c>
      <c r="O45" s="14" t="n">
        <f aca="false">IF(G45="","",G45/$G$66*100)</f>
        <v>23.3530187161986</v>
      </c>
      <c r="P45" s="14" t="n">
        <f aca="false">IF(F45="","",F45/$F$66*100)</f>
        <v>18.2831810334703</v>
      </c>
      <c r="Q45" s="15" t="n">
        <f aca="false">IF(OR(F45="",G45=""),"",(G45/$G$66)/(F45/$F$66)*100)</f>
        <v>127.72951639787</v>
      </c>
      <c r="R45" s="12" t="n">
        <f aca="false">IF(OR(K45="",J45=""),"",K45-J45)</f>
        <v>0.0203316172591865</v>
      </c>
      <c r="S45" s="12" t="n">
        <f aca="false">IFERROR(AVERAGE(R43:R45),"")</f>
        <v>0.00341979579428342</v>
      </c>
      <c r="T45" s="16" t="n">
        <v>0.02</v>
      </c>
    </row>
    <row r="46" customFormat="false" ht="15" hidden="false" customHeight="false" outlineLevel="0" collapsed="false">
      <c r="B46" s="8" t="s">
        <v>90</v>
      </c>
      <c r="C46" s="9" t="n">
        <v>2022</v>
      </c>
      <c r="D46" s="9" t="n">
        <v>4</v>
      </c>
      <c r="E46" s="10" t="n">
        <v>716.9399</v>
      </c>
      <c r="F46" s="10" t="n">
        <v>741.3622</v>
      </c>
      <c r="G46" s="10" t="n">
        <v>595.2223</v>
      </c>
      <c r="H46" s="10" t="n">
        <v>799.0308</v>
      </c>
      <c r="I46" s="12" t="n">
        <f aca="false">IF(OR(E46="",E45=""),"",E46/E45-1)</f>
        <v>0.0604731911499716</v>
      </c>
      <c r="J46" s="12" t="n">
        <f aca="false">IF(OR(F46="",F45=""),"",F46/F45-1)</f>
        <v>0.0670897435989704</v>
      </c>
      <c r="K46" s="12" t="n">
        <f aca="false">IF(OR(G46="",G45=""),"",G46/G45-1)</f>
        <v>0.0391465281376091</v>
      </c>
      <c r="L46" s="12" t="n">
        <f aca="false">IF(OR(H46="",H45=""),"",H46/H45-1)</f>
        <v>0.054274575558688</v>
      </c>
      <c r="M46" s="13" t="n">
        <f aca="false">IF(OR(E46="",E34=""),"",E46/E34-1)</f>
        <v>0.580380085718008</v>
      </c>
      <c r="N46" s="13" t="n">
        <f aca="false">IF(OR(F46="",F34=""),"",F46/F34-1)</f>
        <v>0.605174146674583</v>
      </c>
      <c r="O46" s="14" t="n">
        <f aca="false">IF(G46="","",G46/$G$66*100)</f>
        <v>24.2672083204704</v>
      </c>
      <c r="P46" s="14" t="n">
        <f aca="false">IF(F46="","",F46/$F$66*100)</f>
        <v>19.5097949611793</v>
      </c>
      <c r="Q46" s="15" t="n">
        <f aca="false">IF(OR(F46="",G46=""),"",(G46/$G$66)/(F46/$F$66)*100)</f>
        <v>124.384742990674</v>
      </c>
      <c r="R46" s="12" t="n">
        <f aca="false">IF(OR(K46="",J46=""),"",K46-J46)</f>
        <v>-0.0279432154613612</v>
      </c>
      <c r="S46" s="12" t="n">
        <f aca="false">IFERROR(AVERAGE(R44:R46),"")</f>
        <v>-0.00703454129093147</v>
      </c>
      <c r="T46" s="16" t="n">
        <v>0.02</v>
      </c>
    </row>
    <row r="47" customFormat="false" ht="15" hidden="false" customHeight="false" outlineLevel="0" collapsed="false">
      <c r="B47" s="8" t="s">
        <v>91</v>
      </c>
      <c r="C47" s="9" t="n">
        <v>2022</v>
      </c>
      <c r="D47" s="9" t="n">
        <v>5</v>
      </c>
      <c r="E47" s="10" t="n">
        <v>753.147</v>
      </c>
      <c r="F47" s="10" t="n">
        <v>779.9267</v>
      </c>
      <c r="G47" s="10" t="n">
        <v>629.0029</v>
      </c>
      <c r="H47" s="10" t="n">
        <v>825.8088</v>
      </c>
      <c r="I47" s="12" t="n">
        <f aca="false">IF(OR(E47="",E46=""),"",E47/E46-1)</f>
        <v>0.0505022805956261</v>
      </c>
      <c r="J47" s="12" t="n">
        <f aca="false">IF(OR(F47="",F46=""),"",F47/F46-1)</f>
        <v>0.0520184330951861</v>
      </c>
      <c r="K47" s="12" t="n">
        <f aca="false">IF(OR(G47="",G46=""),"",G47/G46-1)</f>
        <v>0.0567529139953256</v>
      </c>
      <c r="L47" s="12" t="n">
        <f aca="false">IF(OR(H47="",H46=""),"",H47/H46-1)</f>
        <v>0.0335131011220093</v>
      </c>
      <c r="M47" s="13" t="n">
        <f aca="false">IF(OR(E47="",E35=""),"",E47/E35-1)</f>
        <v>0.606799295962451</v>
      </c>
      <c r="N47" s="13" t="n">
        <f aca="false">IF(OR(F47="",F35=""),"",F47/F35-1)</f>
        <v>0.631887184987403</v>
      </c>
      <c r="O47" s="14" t="n">
        <f aca="false">IF(G47="","",G47/$G$66*100)</f>
        <v>25.6444431071887</v>
      </c>
      <c r="P47" s="14" t="n">
        <f aca="false">IF(F47="","",F47/$F$66*100)</f>
        <v>20.5246639250683</v>
      </c>
      <c r="Q47" s="15" t="n">
        <f aca="false">IF(OR(F47="",G47=""),"",(G47/$G$66)/(F47/$F$66)*100)</f>
        <v>124.944521385645</v>
      </c>
      <c r="R47" s="12" t="n">
        <f aca="false">IF(OR(K47="",J47=""),"",K47-J47)</f>
        <v>0.0047344809001395</v>
      </c>
      <c r="S47" s="12" t="n">
        <f aca="false">IFERROR(AVERAGE(R45:R47),"")</f>
        <v>-0.000959039100678405</v>
      </c>
      <c r="T47" s="16" t="n">
        <v>0.02</v>
      </c>
    </row>
    <row r="48" customFormat="false" ht="15" hidden="false" customHeight="false" outlineLevel="0" collapsed="false">
      <c r="B48" s="8" t="s">
        <v>92</v>
      </c>
      <c r="C48" s="9" t="n">
        <v>2022</v>
      </c>
      <c r="D48" s="9" t="n">
        <v>6</v>
      </c>
      <c r="E48" s="10" t="n">
        <v>793.0278</v>
      </c>
      <c r="F48" s="10" t="n">
        <v>819.5734</v>
      </c>
      <c r="G48" s="10" t="n">
        <v>662.0938</v>
      </c>
      <c r="H48" s="10" t="n">
        <v>880.3186</v>
      </c>
      <c r="I48" s="12" t="n">
        <f aca="false">IF(OR(E48="",E47=""),"",E48/E47-1)</f>
        <v>0.0529522125162816</v>
      </c>
      <c r="J48" s="12" t="n">
        <f aca="false">IF(OR(F48="",F47=""),"",F48/F47-1)</f>
        <v>0.0508338796453565</v>
      </c>
      <c r="K48" s="12" t="n">
        <f aca="false">IF(OR(G48="",G47=""),"",G48/G47-1)</f>
        <v>0.0526085014870361</v>
      </c>
      <c r="L48" s="12" t="n">
        <f aca="false">IF(OR(H48="",H47=""),"",H48/H47-1)</f>
        <v>0.0660077732278948</v>
      </c>
      <c r="M48" s="13" t="n">
        <f aca="false">IF(OR(E48="",E36=""),"",E48/E36-1)</f>
        <v>0.639825816487798</v>
      </c>
      <c r="N48" s="13" t="n">
        <f aca="false">IF(OR(F48="",F36=""),"",F48/F36-1)</f>
        <v>0.655098974940269</v>
      </c>
      <c r="O48" s="14" t="n">
        <f aca="false">IF(G48="","",G48/$G$66*100)</f>
        <v>26.9935588305275</v>
      </c>
      <c r="P48" s="14" t="n">
        <f aca="false">IF(F48="","",F48/$F$66*100)</f>
        <v>21.5680122207966</v>
      </c>
      <c r="Q48" s="15" t="n">
        <f aca="false">IF(OR(F48="",G48=""),"",(G48/$G$66)/(F48/$F$66)*100)</f>
        <v>125.155524552696</v>
      </c>
      <c r="R48" s="12" t="n">
        <f aca="false">IF(OR(K48="",J48=""),"",K48-J48)</f>
        <v>0.00177462184167965</v>
      </c>
      <c r="S48" s="12" t="n">
        <f aca="false">IFERROR(AVERAGE(R46:R48),"")</f>
        <v>-0.00714470423984737</v>
      </c>
      <c r="T48" s="16" t="n">
        <v>0.02</v>
      </c>
    </row>
    <row r="49" customFormat="false" ht="15" hidden="false" customHeight="false" outlineLevel="0" collapsed="false">
      <c r="B49" s="8" t="s">
        <v>93</v>
      </c>
      <c r="C49" s="9" t="n">
        <v>2022</v>
      </c>
      <c r="D49" s="9" t="n">
        <v>7</v>
      </c>
      <c r="E49" s="10" t="n">
        <v>851.761</v>
      </c>
      <c r="F49" s="10" t="n">
        <v>879.6383</v>
      </c>
      <c r="G49" s="10" t="n">
        <v>694.6115</v>
      </c>
      <c r="H49" s="10" t="n">
        <v>979.7957</v>
      </c>
      <c r="I49" s="12" t="n">
        <f aca="false">IF(OR(E49="",E48=""),"",E49/E48-1)</f>
        <v>0.0740619685715935</v>
      </c>
      <c r="J49" s="12" t="n">
        <f aca="false">IF(OR(F49="",F48=""),"",F49/F48-1)</f>
        <v>0.073288005686861</v>
      </c>
      <c r="K49" s="12" t="n">
        <f aca="false">IF(OR(G49="",G48=""),"",G49/G48-1)</f>
        <v>0.0491134337763017</v>
      </c>
      <c r="L49" s="12" t="n">
        <f aca="false">IF(OR(H49="",H48=""),"",H49/H48-1)</f>
        <v>0.113001247502893</v>
      </c>
      <c r="M49" s="13" t="n">
        <f aca="false">IF(OR(E49="",E37=""),"",E49/E37-1)</f>
        <v>0.710024539313192</v>
      </c>
      <c r="N49" s="13" t="n">
        <f aca="false">IF(OR(F49="",F37=""),"",F49/F37-1)</f>
        <v>0.722425647751486</v>
      </c>
      <c r="O49" s="14" t="n">
        <f aca="false">IF(G49="","",G49/$G$66*100)</f>
        <v>28.3193051945373</v>
      </c>
      <c r="P49" s="14" t="n">
        <f aca="false">IF(F49="","",F49/$F$66*100)</f>
        <v>23.1486888230886</v>
      </c>
      <c r="Q49" s="15" t="n">
        <f aca="false">IF(OR(F49="",G49=""),"",(G49/$G$66)/(F49/$F$66)*100)</f>
        <v>122.336541006554</v>
      </c>
      <c r="R49" s="12" t="n">
        <f aca="false">IF(OR(K49="",J49=""),"",K49-J49)</f>
        <v>-0.0241745719105593</v>
      </c>
      <c r="S49" s="12" t="n">
        <f aca="false">IFERROR(AVERAGE(R47:R49),"")</f>
        <v>-0.00588848972291337</v>
      </c>
      <c r="T49" s="16" t="n">
        <v>0.02</v>
      </c>
    </row>
    <row r="50" customFormat="false" ht="15" hidden="false" customHeight="false" outlineLevel="0" collapsed="false">
      <c r="B50" s="8" t="s">
        <v>94</v>
      </c>
      <c r="C50" s="9" t="n">
        <v>2022</v>
      </c>
      <c r="D50" s="9" t="n">
        <v>8</v>
      </c>
      <c r="E50" s="10" t="n">
        <v>911.1316</v>
      </c>
      <c r="F50" s="10" t="n">
        <v>939.4677</v>
      </c>
      <c r="G50" s="10" t="n">
        <v>738.3105</v>
      </c>
      <c r="H50" s="10" t="n">
        <v>1064.731</v>
      </c>
      <c r="I50" s="12" t="n">
        <f aca="false">IF(OR(E50="",E49=""),"",E50/E49-1)</f>
        <v>0.0697033557535507</v>
      </c>
      <c r="J50" s="12" t="n">
        <f aca="false">IF(OR(F50="",F49=""),"",F50/F49-1)</f>
        <v>0.06801591063054</v>
      </c>
      <c r="K50" s="12" t="n">
        <f aca="false">IF(OR(G50="",G49=""),"",G50/G49-1)</f>
        <v>0.0629114260273549</v>
      </c>
      <c r="L50" s="12" t="n">
        <f aca="false">IF(OR(H50="",H49=""),"",H50/H49-1)</f>
        <v>0.0866867450020448</v>
      </c>
      <c r="M50" s="13" t="n">
        <f aca="false">IF(OR(E50="",E38=""),"",E50/E38-1)</f>
        <v>0.785152730967554</v>
      </c>
      <c r="N50" s="13" t="n">
        <f aca="false">IF(OR(F50="",F38=""),"",F50/F38-1)</f>
        <v>0.783708890219623</v>
      </c>
      <c r="O50" s="14" t="n">
        <f aca="false">IF(G50="","",G50/$G$66*100)</f>
        <v>30.1009130684295</v>
      </c>
      <c r="P50" s="14" t="n">
        <f aca="false">IF(F50="","",F50/$F$66*100)</f>
        <v>24.723167973294</v>
      </c>
      <c r="Q50" s="15" t="n">
        <f aca="false">IF(OR(F50="",G50=""),"",(G50/$G$66)/(F50/$F$66)*100)</f>
        <v>121.751844670329</v>
      </c>
      <c r="R50" s="12" t="n">
        <f aca="false">IF(OR(K50="",J50=""),"",K50-J50)</f>
        <v>-0.00510448460318513</v>
      </c>
      <c r="S50" s="12" t="n">
        <f aca="false">IFERROR(AVERAGE(R48:R50),"")</f>
        <v>-0.00916814489068825</v>
      </c>
      <c r="T50" s="16" t="n">
        <v>0.02</v>
      </c>
    </row>
    <row r="51" customFormat="false" ht="15" hidden="false" customHeight="false" outlineLevel="0" collapsed="false">
      <c r="B51" s="8" t="s">
        <v>95</v>
      </c>
      <c r="C51" s="9" t="n">
        <v>2022</v>
      </c>
      <c r="D51" s="9" t="n">
        <v>9</v>
      </c>
      <c r="E51" s="10" t="n">
        <v>967.3076</v>
      </c>
      <c r="F51" s="10" t="n">
        <v>991.2585</v>
      </c>
      <c r="G51" s="10" t="n">
        <v>771.8891</v>
      </c>
      <c r="H51" s="10" t="n">
        <v>1189.6609</v>
      </c>
      <c r="I51" s="12" t="n">
        <f aca="false">IF(OR(E51="",E50=""),"",E51/E50-1)</f>
        <v>0.0616551988757716</v>
      </c>
      <c r="J51" s="12" t="n">
        <f aca="false">IF(OR(F51="",F50=""),"",F51/F50-1)</f>
        <v>0.0551278133351472</v>
      </c>
      <c r="K51" s="12" t="n">
        <f aca="false">IF(OR(G51="",G50=""),"",G51/G50-1)</f>
        <v>0.0454803229806429</v>
      </c>
      <c r="L51" s="12" t="n">
        <f aca="false">IF(OR(H51="",H50=""),"",H51/H50-1)</f>
        <v>0.117334707076248</v>
      </c>
      <c r="M51" s="13" t="n">
        <f aca="false">IF(OR(E51="",E39=""),"",E51/E39-1)</f>
        <v>0.830299823953522</v>
      </c>
      <c r="N51" s="13" t="n">
        <f aca="false">IF(OR(F51="",F39=""),"",F51/F39-1)</f>
        <v>0.822585823060748</v>
      </c>
      <c r="O51" s="14" t="n">
        <f aca="false">IF(G51="","",G51/$G$66*100)</f>
        <v>31.4699123167939</v>
      </c>
      <c r="P51" s="14" t="n">
        <f aca="false">IF(F51="","",F51/$F$66*100)</f>
        <v>26.0861021623792</v>
      </c>
      <c r="Q51" s="15" t="n">
        <f aca="false">IF(OR(F51="",G51=""),"",(G51/$G$66)/(F51/$F$66)*100)</f>
        <v>120.638614849018</v>
      </c>
      <c r="R51" s="12" t="n">
        <f aca="false">IF(OR(K51="",J51=""),"",K51-J51)</f>
        <v>-0.0096474903545043</v>
      </c>
      <c r="S51" s="12" t="n">
        <f aca="false">IFERROR(AVERAGE(R49:R51),"")</f>
        <v>-0.0129755156227496</v>
      </c>
      <c r="T51" s="16" t="n">
        <v>0.02</v>
      </c>
    </row>
    <row r="52" customFormat="false" ht="15" hidden="false" customHeight="false" outlineLevel="0" collapsed="false">
      <c r="B52" s="8" t="s">
        <v>96</v>
      </c>
      <c r="C52" s="9" t="n">
        <v>2022</v>
      </c>
      <c r="D52" s="9" t="n">
        <v>10</v>
      </c>
      <c r="E52" s="10" t="n">
        <v>1028.706</v>
      </c>
      <c r="F52" s="10" t="n">
        <v>1046.265</v>
      </c>
      <c r="G52" s="10" t="n">
        <v>829.1011</v>
      </c>
      <c r="H52" s="10" t="n">
        <v>1297.2889</v>
      </c>
      <c r="I52" s="12" t="n">
        <f aca="false">IF(OR(E52="",E51=""),"",E52/E51-1)</f>
        <v>0.0634735010869345</v>
      </c>
      <c r="J52" s="12" t="n">
        <f aca="false">IF(OR(F52="",F51=""),"",F52/F51-1)</f>
        <v>0.0554915796434534</v>
      </c>
      <c r="K52" s="12" t="n">
        <f aca="false">IF(OR(G52="",G51=""),"",G52/G51-1)</f>
        <v>0.0741194557611968</v>
      </c>
      <c r="L52" s="12" t="n">
        <f aca="false">IF(OR(H52="",H51=""),"",H52/H51-1)</f>
        <v>0.0904694774788344</v>
      </c>
      <c r="M52" s="13" t="n">
        <f aca="false">IF(OR(E52="",E40=""),"",E52/E40-1)</f>
        <v>0.880356847131371</v>
      </c>
      <c r="N52" s="13" t="n">
        <f aca="false">IF(OR(F52="",F40=""),"",F52/F40-1)</f>
        <v>0.864055345927189</v>
      </c>
      <c r="O52" s="14" t="n">
        <f aca="false">IF(G52="","",G52/$G$66*100)</f>
        <v>33.8024450905673</v>
      </c>
      <c r="P52" s="14" t="n">
        <f aca="false">IF(F52="","",F52/$F$66*100)</f>
        <v>27.5336611781101</v>
      </c>
      <c r="Q52" s="15" t="n">
        <f aca="false">IF(OR(F52="",G52=""),"",(G52/$G$66)/(F52/$F$66)*100)</f>
        <v>122.767709212028</v>
      </c>
      <c r="R52" s="12" t="n">
        <f aca="false">IF(OR(K52="",J52=""),"",K52-J52)</f>
        <v>0.0186278761177434</v>
      </c>
      <c r="S52" s="12" t="n">
        <f aca="false">IFERROR(AVERAGE(R50:R52),"")</f>
        <v>0.00129196705335133</v>
      </c>
      <c r="T52" s="16" t="n">
        <v>0.02</v>
      </c>
    </row>
    <row r="53" customFormat="false" ht="15" hidden="false" customHeight="false" outlineLevel="0" collapsed="false">
      <c r="B53" s="8" t="s">
        <v>97</v>
      </c>
      <c r="C53" s="9" t="n">
        <v>2022</v>
      </c>
      <c r="D53" s="9" t="n">
        <v>11</v>
      </c>
      <c r="E53" s="10" t="n">
        <v>1079.2787</v>
      </c>
      <c r="F53" s="10" t="n">
        <v>1096.024</v>
      </c>
      <c r="G53" s="10" t="n">
        <v>880.7676</v>
      </c>
      <c r="H53" s="10" t="n">
        <v>1350.5167</v>
      </c>
      <c r="I53" s="12" t="n">
        <f aca="false">IF(OR(E53="",E52=""),"",E53/E52-1)</f>
        <v>0.0491614708186792</v>
      </c>
      <c r="J53" s="12" t="n">
        <f aca="false">IF(OR(F53="",F52=""),"",F53/F52-1)</f>
        <v>0.0475586968884554</v>
      </c>
      <c r="K53" s="12" t="n">
        <f aca="false">IF(OR(G53="",G52=""),"",G53/G52-1)</f>
        <v>0.0623162844676</v>
      </c>
      <c r="L53" s="12" t="n">
        <f aca="false">IF(OR(H53="",H52=""),"",H53/H52-1)</f>
        <v>0.0410300280839526</v>
      </c>
      <c r="M53" s="13" t="n">
        <f aca="false">IF(OR(E53="",E41=""),"",E53/E41-1)</f>
        <v>0.92412782322705</v>
      </c>
      <c r="N53" s="13" t="n">
        <f aca="false">IF(OR(F53="",F41=""),"",F53/F41-1)</f>
        <v>0.891191897593511</v>
      </c>
      <c r="O53" s="14" t="n">
        <f aca="false">IF(G53="","",G53/$G$66*100)</f>
        <v>35.9088878745315</v>
      </c>
      <c r="P53" s="14" t="n">
        <f aca="false">IF(F53="","",F53/$F$66*100)</f>
        <v>28.8431262243093</v>
      </c>
      <c r="Q53" s="15" t="n">
        <f aca="false">IF(OR(F53="",G53=""),"",(G53/$G$66)/(F53/$F$66)*100)</f>
        <v>124.497211554922</v>
      </c>
      <c r="R53" s="12" t="n">
        <f aca="false">IF(OR(K53="",J53=""),"",K53-J53)</f>
        <v>0.0147575875791446</v>
      </c>
      <c r="S53" s="12" t="n">
        <f aca="false">IFERROR(AVERAGE(R51:R53),"")</f>
        <v>0.00791265778079457</v>
      </c>
      <c r="T53" s="16" t="n">
        <v>0.02</v>
      </c>
    </row>
    <row r="54" customFormat="false" ht="15" hidden="false" customHeight="false" outlineLevel="0" collapsed="false">
      <c r="B54" s="8" t="s">
        <v>98</v>
      </c>
      <c r="C54" s="9" t="n">
        <v>2022</v>
      </c>
      <c r="D54" s="9" t="n">
        <v>12</v>
      </c>
      <c r="E54" s="10" t="n">
        <v>1134.5875</v>
      </c>
      <c r="F54" s="10" t="n">
        <v>1153.5771</v>
      </c>
      <c r="G54" s="10" t="n">
        <v>925.7853</v>
      </c>
      <c r="H54" s="10" t="n">
        <v>1413.2059</v>
      </c>
      <c r="I54" s="12" t="n">
        <f aca="false">IF(OR(E54="",E53=""),"",E54/E53-1)</f>
        <v>0.0512460775886709</v>
      </c>
      <c r="J54" s="12" t="n">
        <f aca="false">IF(OR(F54="",F53=""),"",F54/F53-1)</f>
        <v>0.0525108026831531</v>
      </c>
      <c r="K54" s="12" t="n">
        <f aca="false">IF(OR(G54="",G53=""),"",G54/G53-1)</f>
        <v>0.0511118937617596</v>
      </c>
      <c r="L54" s="12" t="n">
        <f aca="false">IF(OR(H54="",H53=""),"",H54/H53-1)</f>
        <v>0.0464186781251947</v>
      </c>
      <c r="M54" s="13" t="n">
        <f aca="false">IF(OR(E54="",E42=""),"",E54/E42-1)</f>
        <v>0.947931823351919</v>
      </c>
      <c r="N54" s="13" t="n">
        <f aca="false">IF(OR(F54="",F42=""),"",F54/F42-1)</f>
        <v>0.906184796849974</v>
      </c>
      <c r="O54" s="14" t="n">
        <f aca="false">IF(G54="","",G54/$G$66*100)</f>
        <v>37.7442591366775</v>
      </c>
      <c r="P54" s="14" t="n">
        <f aca="false">IF(F54="","",F54/$F$66*100)</f>
        <v>30.3577019342393</v>
      </c>
      <c r="Q54" s="15" t="n">
        <f aca="false">IF(OR(F54="",G54=""),"",(G54/$G$66)/(F54/$F$66)*100)</f>
        <v>124.331740322238</v>
      </c>
      <c r="R54" s="12" t="n">
        <f aca="false">IF(OR(K54="",J54=""),"",K54-J54)</f>
        <v>-0.00139890892139349</v>
      </c>
      <c r="S54" s="12" t="n">
        <f aca="false">IFERROR(AVERAGE(R52:R54),"")</f>
        <v>0.0106621849251648</v>
      </c>
      <c r="T54" s="16" t="n">
        <v>0.02</v>
      </c>
    </row>
    <row r="55" customFormat="false" ht="15" hidden="false" customHeight="false" outlineLevel="0" collapsed="false">
      <c r="B55" s="8" t="s">
        <v>99</v>
      </c>
      <c r="C55" s="9" t="n">
        <v>2023</v>
      </c>
      <c r="D55" s="9" t="n">
        <v>1</v>
      </c>
      <c r="E55" s="10" t="n">
        <v>1202.979</v>
      </c>
      <c r="F55" s="10" t="n">
        <v>1215.3182</v>
      </c>
      <c r="G55" s="10" t="n">
        <v>991.5192</v>
      </c>
      <c r="H55" s="10" t="n">
        <v>1525.1043</v>
      </c>
      <c r="I55" s="12" t="n">
        <f aca="false">IF(OR(E55="",E54=""),"",E55/E54-1)</f>
        <v>0.0602787356638426</v>
      </c>
      <c r="J55" s="12" t="n">
        <f aca="false">IF(OR(F55="",F54=""),"",F55/F54-1)</f>
        <v>0.0535214334611878</v>
      </c>
      <c r="K55" s="12" t="n">
        <f aca="false">IF(OR(G55="",G54=""),"",G55/G54-1)</f>
        <v>0.0710033957117271</v>
      </c>
      <c r="L55" s="12" t="n">
        <f aca="false">IF(OR(H55="",H54=""),"",H55/H54-1)</f>
        <v>0.0791805355468727</v>
      </c>
      <c r="M55" s="13" t="n">
        <f aca="false">IF(OR(E55="",E43=""),"",E55/E43-1)</f>
        <v>0.988290861454036</v>
      </c>
      <c r="N55" s="13" t="n">
        <f aca="false">IF(OR(F55="",F43=""),"",F55/F43-1)</f>
        <v>0.944013318843162</v>
      </c>
      <c r="O55" s="14" t="n">
        <f aca="false">IF(G55="","",G55/$G$66*100)</f>
        <v>40.424229704005</v>
      </c>
      <c r="P55" s="14" t="n">
        <f aca="false">IF(F55="","",F55/$F$66*100)</f>
        <v>31.9824896583472</v>
      </c>
      <c r="Q55" s="15" t="n">
        <f aca="false">IF(OR(F55="",G55=""),"",(G55/$G$66)/(F55/$F$66)*100)</f>
        <v>126.394880873367</v>
      </c>
      <c r="R55" s="12" t="n">
        <f aca="false">IF(OR(K55="",J55=""),"",K55-J55)</f>
        <v>0.0174819622505393</v>
      </c>
      <c r="S55" s="12" t="n">
        <f aca="false">IFERROR(AVERAGE(R53:R55),"")</f>
        <v>0.0102802136360968</v>
      </c>
      <c r="T55" s="16" t="n">
        <v>0.02</v>
      </c>
    </row>
    <row r="56" customFormat="false" ht="15" hidden="false" customHeight="false" outlineLevel="0" collapsed="false">
      <c r="B56" s="8" t="s">
        <v>100</v>
      </c>
      <c r="C56" s="9" t="n">
        <v>2023</v>
      </c>
      <c r="D56" s="9" t="n">
        <v>2</v>
      </c>
      <c r="E56" s="10" t="n">
        <v>1282.7091</v>
      </c>
      <c r="F56" s="10" t="n">
        <v>1308.7788</v>
      </c>
      <c r="G56" s="10" t="n">
        <v>1042.4951</v>
      </c>
      <c r="H56" s="10" t="n">
        <v>1575.9625</v>
      </c>
      <c r="I56" s="12" t="n">
        <f aca="false">IF(OR(E56="",E55=""),"",E56/E55-1)</f>
        <v>0.0662772168092709</v>
      </c>
      <c r="J56" s="12" t="n">
        <f aca="false">IF(OR(F56="",F55=""),"",F56/F55-1)</f>
        <v>0.0769021643878947</v>
      </c>
      <c r="K56" s="12" t="n">
        <f aca="false">IF(OR(G56="",G55=""),"",G56/G55-1)</f>
        <v>0.0514119141616221</v>
      </c>
      <c r="L56" s="12" t="n">
        <f aca="false">IF(OR(H56="",H55=""),"",H56/H55-1)</f>
        <v>0.0333473586036051</v>
      </c>
      <c r="M56" s="13" t="n">
        <f aca="false">IF(OR(E56="",E44=""),"",E56/E44-1)</f>
        <v>1.02500796846902</v>
      </c>
      <c r="N56" s="13" t="n">
        <f aca="false">IF(OR(F56="",F44=""),"",F56/F44-1)</f>
        <v>1.00430516040367</v>
      </c>
      <c r="O56" s="14" t="n">
        <f aca="false">IF(G56="","",G56/$G$66*100)</f>
        <v>42.502516731597</v>
      </c>
      <c r="P56" s="14" t="n">
        <f aca="false">IF(F56="","",F56/$F$66*100)</f>
        <v>34.4420123355876</v>
      </c>
      <c r="Q56" s="15" t="n">
        <f aca="false">IF(OR(F56="",G56=""),"",(G56/$G$66)/(F56/$F$66)*100)</f>
        <v>123.403116860512</v>
      </c>
      <c r="R56" s="12" t="n">
        <f aca="false">IF(OR(K56="",J56=""),"",K56-J56)</f>
        <v>-0.0254902502262726</v>
      </c>
      <c r="S56" s="12" t="n">
        <f aca="false">IFERROR(AVERAGE(R54:R56),"")</f>
        <v>-0.00313573229904226</v>
      </c>
      <c r="T56" s="16" t="n">
        <v>0.02</v>
      </c>
    </row>
    <row r="57" customFormat="false" ht="15" hidden="false" customHeight="false" outlineLevel="0" collapsed="false">
      <c r="B57" s="8" t="s">
        <v>101</v>
      </c>
      <c r="C57" s="9" t="n">
        <v>2023</v>
      </c>
      <c r="D57" s="9" t="n">
        <v>3</v>
      </c>
      <c r="E57" s="10" t="n">
        <v>1381.1601</v>
      </c>
      <c r="F57" s="10" t="n">
        <v>1403.1434</v>
      </c>
      <c r="G57" s="10" t="n">
        <v>1128.8908</v>
      </c>
      <c r="H57" s="10" t="n">
        <v>1722.9662</v>
      </c>
      <c r="I57" s="12" t="n">
        <f aca="false">IF(OR(E57="",E56=""),"",E57/E56-1)</f>
        <v>0.0767523984978356</v>
      </c>
      <c r="J57" s="12" t="n">
        <f aca="false">IF(OR(F57="",F56=""),"",F57/F56-1)</f>
        <v>0.0721012595864174</v>
      </c>
      <c r="K57" s="12" t="n">
        <f aca="false">IF(OR(G57="",G56=""),"",G57/G56-1)</f>
        <v>0.082873962668985</v>
      </c>
      <c r="L57" s="12" t="n">
        <f aca="false">IF(OR(H57="",H56=""),"",H57/H56-1)</f>
        <v>0.0932786789025755</v>
      </c>
      <c r="M57" s="13" t="n">
        <f aca="false">IF(OR(E57="",E45=""),"",E57/E45-1)</f>
        <v>1.04296518960099</v>
      </c>
      <c r="N57" s="13" t="n">
        <f aca="false">IF(OR(F57="",F45=""),"",F57/F45-1)</f>
        <v>1.01963349485392</v>
      </c>
      <c r="O57" s="14" t="n">
        <f aca="false">IF(G57="","",G57/$G$66*100)</f>
        <v>46.0248687165492</v>
      </c>
      <c r="P57" s="14" t="n">
        <f aca="false">IF(F57="","",F57/$F$66*100)</f>
        <v>36.9253248076744</v>
      </c>
      <c r="Q57" s="15" t="n">
        <f aca="false">IF(OR(F57="",G57=""),"",(G57/$G$66)/(F57/$F$66)*100)</f>
        <v>124.643097809619</v>
      </c>
      <c r="R57" s="12" t="n">
        <f aca="false">IF(OR(K57="",J57=""),"",K57-J57)</f>
        <v>0.0107727030825675</v>
      </c>
      <c r="S57" s="12" t="n">
        <f aca="false">IFERROR(AVERAGE(R55:R57),"")</f>
        <v>0.000921471702278076</v>
      </c>
      <c r="T57" s="16" t="n">
        <v>0.02</v>
      </c>
    </row>
    <row r="58" customFormat="false" ht="15" hidden="false" customHeight="false" outlineLevel="0" collapsed="false">
      <c r="B58" s="8" t="s">
        <v>102</v>
      </c>
      <c r="C58" s="9" t="n">
        <v>2023</v>
      </c>
      <c r="D58" s="9" t="n">
        <v>4</v>
      </c>
      <c r="E58" s="10" t="n">
        <v>1497.2147</v>
      </c>
      <c r="F58" s="10" t="n">
        <v>1521.0163</v>
      </c>
      <c r="G58" s="10" t="n">
        <v>1184.1465</v>
      </c>
      <c r="H58" s="10" t="n">
        <v>1940.9169</v>
      </c>
      <c r="I58" s="12" t="n">
        <f aca="false">IF(OR(E58="",E57=""),"",E58/E57-1)</f>
        <v>0.0840268988367097</v>
      </c>
      <c r="J58" s="12" t="n">
        <f aca="false">IF(OR(F58="",F57=""),"",F58/F57-1)</f>
        <v>0.0840063104027715</v>
      </c>
      <c r="K58" s="12" t="n">
        <f aca="false">IF(OR(G58="",G57=""),"",G58/G57-1)</f>
        <v>0.0489468954836023</v>
      </c>
      <c r="L58" s="12" t="n">
        <f aca="false">IF(OR(H58="",H57=""),"",H58/H57-1)</f>
        <v>0.126497374121442</v>
      </c>
      <c r="M58" s="13" t="n">
        <f aca="false">IF(OR(E58="",E46=""),"",E58/E46-1)</f>
        <v>1.0883405987029</v>
      </c>
      <c r="N58" s="13" t="n">
        <f aca="false">IF(OR(F58="",F46=""),"",F58/F46-1)</f>
        <v>1.05165073158572</v>
      </c>
      <c r="O58" s="14" t="n">
        <f aca="false">IF(G58="","",G58/$G$66*100)</f>
        <v>48.2776431552647</v>
      </c>
      <c r="P58" s="14" t="n">
        <f aca="false">IF(F58="","",F58/$F$66*100)</f>
        <v>40.027285105191</v>
      </c>
      <c r="Q58" s="15" t="n">
        <f aca="false">IF(OR(F58="",G58=""),"",(G58/$G$66)/(F58/$F$66)*100)</f>
        <v>120.611835222878</v>
      </c>
      <c r="R58" s="12" t="n">
        <f aca="false">IF(OR(K58="",J58=""),"",K58-J58)</f>
        <v>-0.0350594149191692</v>
      </c>
      <c r="S58" s="12" t="n">
        <f aca="false">IFERROR(AVERAGE(R56:R58),"")</f>
        <v>-0.0165923206876248</v>
      </c>
      <c r="T58" s="16" t="n">
        <v>0.02</v>
      </c>
    </row>
    <row r="59" customFormat="false" ht="15" hidden="false" customHeight="false" outlineLevel="0" collapsed="false">
      <c r="B59" s="8" t="s">
        <v>103</v>
      </c>
      <c r="C59" s="9" t="n">
        <v>2023</v>
      </c>
      <c r="D59" s="9" t="n">
        <v>5</v>
      </c>
      <c r="E59" s="10" t="n">
        <v>1613.5895</v>
      </c>
      <c r="F59" s="10" t="n">
        <v>1640.2912</v>
      </c>
      <c r="G59" s="10" t="n">
        <v>1291.1045</v>
      </c>
      <c r="H59" s="10" t="n">
        <v>2056.8651</v>
      </c>
      <c r="I59" s="12" t="n">
        <f aca="false">IF(OR(E59="",E58=""),"",E59/E58-1)</f>
        <v>0.077727529658906</v>
      </c>
      <c r="J59" s="12" t="n">
        <f aca="false">IF(OR(F59="",F58=""),"",F59/F58-1)</f>
        <v>0.0784178972966956</v>
      </c>
      <c r="K59" s="12" t="n">
        <f aca="false">IF(OR(G59="",G58=""),"",G59/G58-1)</f>
        <v>0.0903249724590665</v>
      </c>
      <c r="L59" s="12" t="n">
        <f aca="false">IF(OR(H59="",H58=""),"",H59/H58-1)</f>
        <v>0.0597388790833857</v>
      </c>
      <c r="M59" s="13" t="n">
        <f aca="false">IF(OR(E59="",E47=""),"",E59/E47-1)</f>
        <v>1.14246289237028</v>
      </c>
      <c r="N59" s="13" t="n">
        <f aca="false">IF(OR(F59="",F47=""),"",F59/F47-1)</f>
        <v>1.1031350766681</v>
      </c>
      <c r="O59" s="14" t="n">
        <f aca="false">IF(G59="","",G59/$G$66*100)</f>
        <v>52.6383199436526</v>
      </c>
      <c r="P59" s="14" t="n">
        <f aca="false">IF(F59="","",F59/$F$66*100)</f>
        <v>43.1661406376355</v>
      </c>
      <c r="Q59" s="15" t="n">
        <f aca="false">IF(OR(F59="",G59=""),"",(G59/$G$66)/(F59/$F$66)*100)</f>
        <v>121.943539927585</v>
      </c>
      <c r="R59" s="12" t="n">
        <f aca="false">IF(OR(K59="",J59=""),"",K59-J59)</f>
        <v>0.0119070751623709</v>
      </c>
      <c r="S59" s="12" t="n">
        <f aca="false">IFERROR(AVERAGE(R57:R59),"")</f>
        <v>-0.00412654555807694</v>
      </c>
      <c r="T59" s="16" t="n">
        <v>0.02</v>
      </c>
    </row>
    <row r="60" customFormat="false" ht="15" hidden="false" customHeight="false" outlineLevel="0" collapsed="false">
      <c r="B60" s="8" t="s">
        <v>104</v>
      </c>
      <c r="C60" s="9" t="n">
        <v>2023</v>
      </c>
      <c r="D60" s="9" t="n">
        <v>6</v>
      </c>
      <c r="E60" s="10" t="n">
        <v>1709.6115</v>
      </c>
      <c r="F60" s="10" t="n">
        <v>1746.7824</v>
      </c>
      <c r="G60" s="10" t="n">
        <v>1383.8634</v>
      </c>
      <c r="H60" s="10" t="n">
        <v>2094.7124</v>
      </c>
      <c r="I60" s="12" t="n">
        <f aca="false">IF(OR(E60="",E59=""),"",E60/E59-1)</f>
        <v>0.0595083198050062</v>
      </c>
      <c r="J60" s="12" t="n">
        <f aca="false">IF(OR(F60="",F59=""),"",F60/F59-1)</f>
        <v>0.0649221308996844</v>
      </c>
      <c r="K60" s="12" t="n">
        <f aca="false">IF(OR(G60="",G59=""),"",G60/G59-1)</f>
        <v>0.0718446105640558</v>
      </c>
      <c r="L60" s="12" t="n">
        <f aca="false">IF(OR(H60="",H59=""),"",H60/H59-1)</f>
        <v>0.0184004775033617</v>
      </c>
      <c r="M60" s="13" t="n">
        <f aca="false">IF(OR(E60="",E48=""),"",E60/E48-1)</f>
        <v>1.15580273478433</v>
      </c>
      <c r="N60" s="13" t="n">
        <f aca="false">IF(OR(F60="",F48=""),"",F60/F48-1)</f>
        <v>1.13133125111186</v>
      </c>
      <c r="O60" s="14" t="n">
        <f aca="false">IF(G60="","",G60/$G$66*100)</f>
        <v>56.4200995407505</v>
      </c>
      <c r="P60" s="14" t="n">
        <f aca="false">IF(F60="","",F60/$F$66*100)</f>
        <v>45.9685784705462</v>
      </c>
      <c r="Q60" s="15" t="n">
        <f aca="false">IF(OR(F60="",G60=""),"",(G60/$G$66)/(F60/$F$66)*100)</f>
        <v>122.736228567305</v>
      </c>
      <c r="R60" s="12" t="n">
        <f aca="false">IF(OR(K60="",J60=""),"",K60-J60)</f>
        <v>0.00692247966437143</v>
      </c>
      <c r="S60" s="12" t="n">
        <f aca="false">IFERROR(AVERAGE(R58:R60),"")</f>
        <v>-0.0054099533641423</v>
      </c>
      <c r="T60" s="16" t="n">
        <v>0.02</v>
      </c>
    </row>
    <row r="61" customFormat="false" ht="15" hidden="false" customHeight="false" outlineLevel="0" collapsed="false">
      <c r="B61" s="8" t="s">
        <v>105</v>
      </c>
      <c r="C61" s="9" t="n">
        <v>2023</v>
      </c>
      <c r="D61" s="9" t="n">
        <v>7</v>
      </c>
      <c r="E61" s="10" t="n">
        <v>1818.0838</v>
      </c>
      <c r="F61" s="10" t="n">
        <v>1860.2801</v>
      </c>
      <c r="G61" s="10" t="n">
        <v>1476.8552</v>
      </c>
      <c r="H61" s="10" t="n">
        <v>2201.586</v>
      </c>
      <c r="I61" s="12" t="n">
        <f aca="false">IF(OR(E61="",E60=""),"",E61/E60-1)</f>
        <v>0.063448508623158</v>
      </c>
      <c r="J61" s="12" t="n">
        <f aca="false">IF(OR(F61="",F60=""),"",F61/F60-1)</f>
        <v>0.0649752940034201</v>
      </c>
      <c r="K61" s="12" t="n">
        <f aca="false">IF(OR(G61="",G60=""),"",G61/G60-1)</f>
        <v>0.0671972392650893</v>
      </c>
      <c r="L61" s="12" t="n">
        <f aca="false">IF(OR(H61="",H60=""),"",H61/H60-1)</f>
        <v>0.0510206556279516</v>
      </c>
      <c r="M61" s="13" t="n">
        <f aca="false">IF(OR(E61="",E49=""),"",E61/E49-1)</f>
        <v>1.13449993601492</v>
      </c>
      <c r="N61" s="13" t="n">
        <f aca="false">IF(OR(F61="",F49=""),"",F61/F49-1)</f>
        <v>1.1148238997779</v>
      </c>
      <c r="O61" s="14" t="n">
        <f aca="false">IF(G61="","",G61/$G$66*100)</f>
        <v>60.2113744689505</v>
      </c>
      <c r="P61" s="14" t="n">
        <f aca="false">IF(F61="","",F61/$F$66*100)</f>
        <v>48.9554003715892</v>
      </c>
      <c r="Q61" s="15" t="n">
        <f aca="false">IF(OR(F61="",G61=""),"",(G61/$G$66)/(F61/$F$66)*100)</f>
        <v>122.992303222779</v>
      </c>
      <c r="R61" s="12" t="n">
        <f aca="false">IF(OR(K61="",J61=""),"",K61-J61)</f>
        <v>0.00222194526166919</v>
      </c>
      <c r="S61" s="12" t="n">
        <f aca="false">IFERROR(AVERAGE(R59:R61),"")</f>
        <v>0.00701716669613717</v>
      </c>
      <c r="T61" s="16" t="n">
        <v>0.02</v>
      </c>
    </row>
    <row r="62" customFormat="false" ht="15" hidden="false" customHeight="false" outlineLevel="0" collapsed="false">
      <c r="B62" s="8" t="s">
        <v>106</v>
      </c>
      <c r="C62" s="9" t="n">
        <v>2023</v>
      </c>
      <c r="D62" s="9" t="n">
        <v>8</v>
      </c>
      <c r="E62" s="10" t="n">
        <v>2044.2832</v>
      </c>
      <c r="F62" s="10" t="n">
        <v>2116.751</v>
      </c>
      <c r="G62" s="10" t="n">
        <v>1599.0767</v>
      </c>
      <c r="H62" s="10" t="n">
        <v>2436.0941</v>
      </c>
      <c r="I62" s="12" t="n">
        <f aca="false">IF(OR(E62="",E61=""),"",E62/E61-1)</f>
        <v>0.1244163772869</v>
      </c>
      <c r="J62" s="12" t="n">
        <f aca="false">IF(OR(F62="",F61=""),"",F62/F61-1)</f>
        <v>0.137866819088158</v>
      </c>
      <c r="K62" s="12" t="n">
        <f aca="false">IF(OR(G62="",G61=""),"",G62/G61-1)</f>
        <v>0.0827579440421784</v>
      </c>
      <c r="L62" s="12" t="n">
        <f aca="false">IF(OR(H62="",H61=""),"",H62/H61-1)</f>
        <v>0.106517801257821</v>
      </c>
      <c r="M62" s="13" t="n">
        <f aca="false">IF(OR(E62="",E50=""),"",E62/E50-1)</f>
        <v>1.24367500808884</v>
      </c>
      <c r="N62" s="13" t="n">
        <f aca="false">IF(OR(F62="",F50=""),"",F62/F50-1)</f>
        <v>1.25313866565077</v>
      </c>
      <c r="O62" s="14" t="n">
        <f aca="false">IF(G62="","",G62/$G$66*100)</f>
        <v>65.1943440279545</v>
      </c>
      <c r="P62" s="14" t="n">
        <f aca="false">IF(F62="","",F62/$F$66*100)</f>
        <v>55.7047256980075</v>
      </c>
      <c r="Q62" s="15" t="n">
        <f aca="false">IF(OR(F62="",G62=""),"",(G62/$G$66)/(F62/$F$66)*100)</f>
        <v>117.035571418829</v>
      </c>
      <c r="R62" s="12" t="n">
        <f aca="false">IF(OR(K62="",J62=""),"",K62-J62)</f>
        <v>-0.0551088750459794</v>
      </c>
      <c r="S62" s="12" t="n">
        <f aca="false">IFERROR(AVERAGE(R60:R62),"")</f>
        <v>-0.0153214833733129</v>
      </c>
      <c r="T62" s="16" t="n">
        <v>0.02</v>
      </c>
    </row>
    <row r="63" customFormat="false" ht="15" hidden="false" customHeight="false" outlineLevel="0" collapsed="false">
      <c r="B63" s="8" t="s">
        <v>107</v>
      </c>
      <c r="C63" s="9" t="n">
        <v>2023</v>
      </c>
      <c r="D63" s="9" t="n">
        <v>9</v>
      </c>
      <c r="E63" s="10" t="n">
        <v>2304.9242</v>
      </c>
      <c r="F63" s="10" t="n">
        <v>2400.9928</v>
      </c>
      <c r="G63" s="10" t="n">
        <v>1732.073</v>
      </c>
      <c r="H63" s="10" t="n">
        <v>2794.0242</v>
      </c>
      <c r="I63" s="12" t="n">
        <f aca="false">IF(OR(E63="",E62=""),"",E63/E62-1)</f>
        <v>0.12749750132467</v>
      </c>
      <c r="J63" s="12" t="n">
        <f aca="false">IF(OR(F63="",F62=""),"",F63/F62-1)</f>
        <v>0.134282114429142</v>
      </c>
      <c r="K63" s="12" t="n">
        <f aca="false">IF(OR(G63="",G62=""),"",G63/G62-1)</f>
        <v>0.0831706821817866</v>
      </c>
      <c r="L63" s="12" t="n">
        <f aca="false">IF(OR(H63="",H62=""),"",H63/H62-1)</f>
        <v>0.146927862926149</v>
      </c>
      <c r="M63" s="13" t="n">
        <f aca="false">IF(OR(E63="",E51=""),"",E63/E51-1)</f>
        <v>1.38282445005084</v>
      </c>
      <c r="N63" s="13" t="n">
        <f aca="false">IF(OR(F63="",F51=""),"",F63/F51-1)</f>
        <v>1.42216616553603</v>
      </c>
      <c r="O63" s="14" t="n">
        <f aca="false">IF(G63="","",G63/$G$66*100)</f>
        <v>70.6166020951536</v>
      </c>
      <c r="P63" s="14" t="n">
        <f aca="false">IF(F63="","",F63/$F$66*100)</f>
        <v>63.1848740484312</v>
      </c>
      <c r="Q63" s="15" t="n">
        <f aca="false">IF(OR(F63="",G63=""),"",(G63/$G$66)/(F63/$F$66)*100)</f>
        <v>111.761878390429</v>
      </c>
      <c r="R63" s="12" t="n">
        <f aca="false">IF(OR(K63="",J63=""),"",K63-J63)</f>
        <v>-0.0511114322473549</v>
      </c>
      <c r="S63" s="12" t="n">
        <f aca="false">IFERROR(AVERAGE(R61:R63),"")</f>
        <v>-0.0346661206772217</v>
      </c>
      <c r="T63" s="16" t="n">
        <v>0.02</v>
      </c>
    </row>
    <row r="64" customFormat="false" ht="15" hidden="false" customHeight="false" outlineLevel="0" collapsed="false">
      <c r="B64" s="8" t="s">
        <v>108</v>
      </c>
      <c r="C64" s="9" t="n">
        <v>2023</v>
      </c>
      <c r="D64" s="9" t="n">
        <v>10</v>
      </c>
      <c r="E64" s="10" t="n">
        <v>2496.273</v>
      </c>
      <c r="F64" s="10" t="n">
        <v>2612.5451</v>
      </c>
      <c r="G64" s="10" t="n">
        <v>1846.7566</v>
      </c>
      <c r="H64" s="10" t="n">
        <v>3006.9009</v>
      </c>
      <c r="I64" s="12" t="n">
        <f aca="false">IF(OR(E64="",E63=""),"",E64/E63-1)</f>
        <v>0.0830173938041001</v>
      </c>
      <c r="J64" s="12" t="n">
        <f aca="false">IF(OR(F64="",F63=""),"",F64/F63-1)</f>
        <v>0.0881103433546322</v>
      </c>
      <c r="K64" s="12" t="n">
        <f aca="false">IF(OR(G64="",G63=""),"",G64/G63-1)</f>
        <v>0.0662117589732072</v>
      </c>
      <c r="L64" s="12" t="n">
        <f aca="false">IF(OR(H64="",H63=""),"",H64/H63-1)</f>
        <v>0.0761899986406704</v>
      </c>
      <c r="M64" s="13" t="n">
        <f aca="false">IF(OR(E64="",E52=""),"",E64/E52-1)</f>
        <v>1.42661460125634</v>
      </c>
      <c r="N64" s="13" t="n">
        <f aca="false">IF(OR(F64="",F52=""),"",F64/F52-1)</f>
        <v>1.49702044893024</v>
      </c>
      <c r="O64" s="14" t="n">
        <f aca="false">IF(G64="","",G64/$G$66*100)</f>
        <v>75.2922515325848</v>
      </c>
      <c r="P64" s="14" t="n">
        <f aca="false">IF(F64="","",F64/$F$66*100)</f>
        <v>68.7521149956577</v>
      </c>
      <c r="Q64" s="15" t="n">
        <f aca="false">IF(OR(F64="",G64=""),"",(G64/$G$66)/(F64/$F$66)*100)</f>
        <v>109.512633229305</v>
      </c>
      <c r="R64" s="12" t="n">
        <f aca="false">IF(OR(K64="",J64=""),"",K64-J64)</f>
        <v>-0.021898584381425</v>
      </c>
      <c r="S64" s="12" t="n">
        <f aca="false">IFERROR(AVERAGE(R62:R64),"")</f>
        <v>-0.0427062972249198</v>
      </c>
      <c r="T64" s="16" t="n">
        <v>0.02</v>
      </c>
    </row>
    <row r="65" customFormat="false" ht="15" hidden="false" customHeight="false" outlineLevel="0" collapsed="false">
      <c r="B65" s="8" t="s">
        <v>109</v>
      </c>
      <c r="C65" s="9" t="n">
        <v>2023</v>
      </c>
      <c r="D65" s="9" t="n">
        <v>11</v>
      </c>
      <c r="E65" s="10" t="n">
        <v>2816.0628</v>
      </c>
      <c r="F65" s="10" t="n">
        <v>2962.7206</v>
      </c>
      <c r="G65" s="10" t="n">
        <v>2032.4708</v>
      </c>
      <c r="H65" s="10" t="n">
        <v>3392.0317</v>
      </c>
      <c r="I65" s="12" t="n">
        <f aca="false">IF(OR(E65="",E64=""),"",E65/E64-1)</f>
        <v>0.128106901769157</v>
      </c>
      <c r="J65" s="12" t="n">
        <f aca="false">IF(OR(F65="",F64=""),"",F65/F64-1)</f>
        <v>0.134036155012214</v>
      </c>
      <c r="K65" s="12" t="n">
        <f aca="false">IF(OR(G65="",G64=""),"",G65/G64-1)</f>
        <v>0.100562358894507</v>
      </c>
      <c r="L65" s="12" t="n">
        <f aca="false">IF(OR(H65="",H64=""),"",H65/H64-1)</f>
        <v>0.128082305605748</v>
      </c>
      <c r="M65" s="13" t="n">
        <f aca="false">IF(OR(E65="",E53=""),"",E65/E53-1)</f>
        <v>1.60920816838135</v>
      </c>
      <c r="N65" s="13" t="n">
        <f aca="false">IF(OR(F65="",F53=""),"",F65/F53-1)</f>
        <v>1.70315303314526</v>
      </c>
      <c r="O65" s="14" t="n">
        <f aca="false">IF(G65="","",G65/$G$66*100)</f>
        <v>82.8638179531801</v>
      </c>
      <c r="P65" s="14" t="n">
        <f aca="false">IF(F65="","",F65/$F$66*100)</f>
        <v>77.9673841386333</v>
      </c>
      <c r="Q65" s="15" t="n">
        <f aca="false">IF(OR(F65="",G65=""),"",(G65/$G$66)/(F65/$F$66)*100)</f>
        <v>106.280105288438</v>
      </c>
      <c r="R65" s="12" t="n">
        <f aca="false">IF(OR(K65="",J65=""),"",K65-J65)</f>
        <v>-0.0334737961177067</v>
      </c>
      <c r="S65" s="12" t="n">
        <f aca="false">IFERROR(AVERAGE(R63:R65),"")</f>
        <v>-0.0354946042488289</v>
      </c>
      <c r="T65" s="16" t="n">
        <v>0.02</v>
      </c>
    </row>
    <row r="66" customFormat="false" ht="15" hidden="false" customHeight="false" outlineLevel="0" collapsed="false">
      <c r="B66" s="8" t="s">
        <v>110</v>
      </c>
      <c r="C66" s="9" t="n">
        <v>2023</v>
      </c>
      <c r="D66" s="9" t="n">
        <v>12</v>
      </c>
      <c r="E66" s="10" t="n">
        <v>3533.1922</v>
      </c>
      <c r="F66" s="10" t="n">
        <v>3799.9487</v>
      </c>
      <c r="G66" s="10" t="n">
        <v>2452.7844</v>
      </c>
      <c r="H66" s="10" t="n">
        <v>3942.5343</v>
      </c>
      <c r="I66" s="12" t="n">
        <f aca="false">IF(OR(E66="",E65=""),"",E66/E65-1)</f>
        <v>0.254656749842368</v>
      </c>
      <c r="J66" s="12" t="n">
        <f aca="false">IF(OR(F66="",F65=""),"",F66/F65-1)</f>
        <v>0.282587598709105</v>
      </c>
      <c r="K66" s="12" t="n">
        <f aca="false">IF(OR(G66="",G65=""),"",G66/G65-1)</f>
        <v>0.206799330155198</v>
      </c>
      <c r="L66" s="12" t="n">
        <f aca="false">IF(OR(H66="",H65=""),"",H66/H65-1)</f>
        <v>0.162292881873716</v>
      </c>
      <c r="M66" s="13" t="n">
        <f aca="false">IF(OR(E66="",E54=""),"",E66/E54-1)</f>
        <v>2.11407643747177</v>
      </c>
      <c r="N66" s="13" t="n">
        <f aca="false">IF(OR(F66="",F54=""),"",F66/F54-1)</f>
        <v>2.29405698154029</v>
      </c>
      <c r="O66" s="14" t="n">
        <f aca="false">IF(G66="","",G66/$G$66*100)</f>
        <v>100</v>
      </c>
      <c r="P66" s="14" t="n">
        <f aca="false">IF(F66="","",F66/$F$66*100)</f>
        <v>100</v>
      </c>
      <c r="Q66" s="15" t="n">
        <f aca="false">IF(OR(F66="",G66=""),"",(G66/$G$66)/(F66/$F$66)*100)</f>
        <v>100</v>
      </c>
      <c r="R66" s="12" t="n">
        <f aca="false">IF(OR(K66="",J66=""),"",K66-J66)</f>
        <v>-0.0757882685539071</v>
      </c>
      <c r="S66" s="12" t="n">
        <f aca="false">IFERROR(AVERAGE(R64:R66),"")</f>
        <v>-0.0437202163510129</v>
      </c>
      <c r="T66" s="16" t="n">
        <v>0.02</v>
      </c>
    </row>
    <row r="67" customFormat="false" ht="15" hidden="false" customHeight="false" outlineLevel="0" collapsed="false">
      <c r="B67" s="8" t="s">
        <v>111</v>
      </c>
      <c r="C67" s="9" t="n">
        <v>2024</v>
      </c>
      <c r="D67" s="9" t="n">
        <v>1</v>
      </c>
      <c r="E67" s="10" t="n">
        <v>4261.5324</v>
      </c>
      <c r="F67" s="10" t="n">
        <v>4568.1649</v>
      </c>
      <c r="G67" s="10" t="n">
        <v>3104.5367</v>
      </c>
      <c r="H67" s="10" t="n">
        <v>4581.5309</v>
      </c>
      <c r="I67" s="12" t="n">
        <f aca="false">IF(OR(E67="",E66=""),"",E67/E66-1)</f>
        <v>0.206142252889611</v>
      </c>
      <c r="J67" s="12" t="n">
        <f aca="false">IF(OR(F67="",F66=""),"",F67/F66-1)</f>
        <v>0.202164887120713</v>
      </c>
      <c r="K67" s="12" t="n">
        <f aca="false">IF(OR(G67="",G66=""),"",G67/G66-1)</f>
        <v>0.265719359598015</v>
      </c>
      <c r="L67" s="12" t="n">
        <f aca="false">IF(OR(H67="",H66=""),"",H67/H66-1)</f>
        <v>0.162077626058954</v>
      </c>
      <c r="M67" s="13" t="n">
        <f aca="false">IF(OR(E67="",E55=""),"",E67/E55-1)</f>
        <v>2.54248278648256</v>
      </c>
      <c r="N67" s="13" t="n">
        <f aca="false">IF(OR(F67="",F55=""),"",F67/F55-1)</f>
        <v>2.75882209284778</v>
      </c>
      <c r="O67" s="14" t="n">
        <f aca="false">IF(G67="","",G67/$G$66*100)</f>
        <v>126.571935959801</v>
      </c>
      <c r="P67" s="14" t="n">
        <f aca="false">IF(F67="","",F67/$F$66*100)</f>
        <v>120.216488712071</v>
      </c>
      <c r="Q67" s="15" t="n">
        <f aca="false">IF(OR(F67="",G67=""),"",(G67/$G$66)/(F67/$F$66)*100)</f>
        <v>105.286668505975</v>
      </c>
      <c r="R67" s="12" t="n">
        <f aca="false">IF(OR(K67="",J67=""),"",K67-J67)</f>
        <v>0.0635544724773016</v>
      </c>
      <c r="S67" s="12" t="n">
        <f aca="false">IFERROR(AVERAGE(R65:R67),"")</f>
        <v>-0.0152358640647707</v>
      </c>
      <c r="T67" s="16" t="n">
        <v>0.02</v>
      </c>
    </row>
    <row r="68" customFormat="false" ht="15" hidden="false" customHeight="false" outlineLevel="0" collapsed="false">
      <c r="B68" s="8" t="s">
        <v>112</v>
      </c>
      <c r="C68" s="9" t="n">
        <v>2024</v>
      </c>
      <c r="D68" s="9" t="n">
        <v>2</v>
      </c>
      <c r="E68" s="10" t="n">
        <v>4825.7881</v>
      </c>
      <c r="F68" s="10" t="n">
        <v>5129.5988</v>
      </c>
      <c r="G68" s="10" t="n">
        <v>3759.784</v>
      </c>
      <c r="H68" s="10" t="n">
        <v>4979.8267</v>
      </c>
      <c r="I68" s="12" t="n">
        <f aca="false">IF(OR(E68="",E67=""),"",E68/E67-1)</f>
        <v>0.132406760535248</v>
      </c>
      <c r="J68" s="12" t="n">
        <f aca="false">IF(OR(F68="",F67=""),"",F68/F67-1)</f>
        <v>0.122901408397057</v>
      </c>
      <c r="K68" s="12" t="n">
        <f aca="false">IF(OR(G68="",G67=""),"",G68/G67-1)</f>
        <v>0.211061218892983</v>
      </c>
      <c r="L68" s="12" t="n">
        <f aca="false">IF(OR(H68="",H67=""),"",H68/H67-1)</f>
        <v>0.0869350897535144</v>
      </c>
      <c r="M68" s="13" t="n">
        <f aca="false">IF(OR(E68="",E56=""),"",E68/E56-1)</f>
        <v>2.76218434873503</v>
      </c>
      <c r="N68" s="13" t="n">
        <f aca="false">IF(OR(F68="",F56=""),"",F68/F56-1)</f>
        <v>2.91937797280946</v>
      </c>
      <c r="O68" s="14" t="n">
        <f aca="false">IF(G68="","",G68/$G$66*100)</f>
        <v>153.286363041122</v>
      </c>
      <c r="P68" s="14" t="n">
        <f aca="false">IF(F68="","",F68/$F$66*100)</f>
        <v>134.991264487334</v>
      </c>
      <c r="Q68" s="15" t="n">
        <f aca="false">IF(OR(F68="",G68=""),"",(G68/$G$66)/(F68/$F$66)*100)</f>
        <v>113.552801822598</v>
      </c>
      <c r="R68" s="12" t="n">
        <f aca="false">IF(OR(K68="",J68=""),"",K68-J68)</f>
        <v>0.0881598104959265</v>
      </c>
      <c r="S68" s="12" t="n">
        <f aca="false">IFERROR(AVERAGE(R66:R68),"")</f>
        <v>0.025308671473107</v>
      </c>
      <c r="T68" s="16" t="n">
        <v>0.02</v>
      </c>
    </row>
    <row r="69" customFormat="false" ht="15" hidden="false" customHeight="false" outlineLevel="0" collapsed="false">
      <c r="B69" s="8" t="s">
        <v>113</v>
      </c>
      <c r="C69" s="9" t="n">
        <v>2024</v>
      </c>
      <c r="D69" s="9" t="n">
        <v>3</v>
      </c>
      <c r="E69" s="10" t="n">
        <v>5357.0929</v>
      </c>
      <c r="F69" s="10" t="n">
        <v>5612.3991</v>
      </c>
      <c r="G69" s="10" t="n">
        <v>4441.3132</v>
      </c>
      <c r="H69" s="10" t="n">
        <v>5534.7104</v>
      </c>
      <c r="I69" s="12" t="n">
        <f aca="false">IF(OR(E69="",E68=""),"",E69/E68-1)</f>
        <v>0.110097001565402</v>
      </c>
      <c r="J69" s="12" t="n">
        <f aca="false">IF(OR(F69="",F68=""),"",F69/F68-1)</f>
        <v>0.0941204797536992</v>
      </c>
      <c r="K69" s="12" t="n">
        <f aca="false">IF(OR(G69="",G68=""),"",G69/G68-1)</f>
        <v>0.181268179235828</v>
      </c>
      <c r="L69" s="12" t="n">
        <f aca="false">IF(OR(H69="",H68=""),"",H69/H68-1)</f>
        <v>0.111426307264869</v>
      </c>
      <c r="M69" s="13" t="n">
        <f aca="false">IF(OR(E69="",E57=""),"",E69/E57-1)</f>
        <v>2.87869074700319</v>
      </c>
      <c r="N69" s="13" t="n">
        <f aca="false">IF(OR(F69="",F57=""),"",F69/F57-1)</f>
        <v>2.99987563637473</v>
      </c>
      <c r="O69" s="14" t="n">
        <f aca="false">IF(G69="","",G69/$G$66*100)</f>
        <v>181.072302971268</v>
      </c>
      <c r="P69" s="14" t="n">
        <f aca="false">IF(F69="","",F69/$F$66*100)</f>
        <v>147.69670706344</v>
      </c>
      <c r="Q69" s="15" t="n">
        <f aca="false">IF(OR(F69="",G69=""),"",(G69/$G$66)/(F69/$F$66)*100)</f>
        <v>122.597386611668</v>
      </c>
      <c r="R69" s="12" t="n">
        <f aca="false">IF(OR(K69="",J69=""),"",K69-J69)</f>
        <v>0.0871476994821292</v>
      </c>
      <c r="S69" s="12" t="n">
        <f aca="false">IFERROR(AVERAGE(R67:R69),"")</f>
        <v>0.0796206608184524</v>
      </c>
      <c r="T69" s="16" t="n">
        <v>0.02</v>
      </c>
    </row>
    <row r="70" customFormat="false" ht="15" hidden="false" customHeight="false" outlineLevel="0" collapsed="false">
      <c r="B70" s="8" t="s">
        <v>114</v>
      </c>
      <c r="C70" s="9" t="n">
        <v>2024</v>
      </c>
      <c r="D70" s="9" t="n">
        <v>4</v>
      </c>
      <c r="E70" s="10" t="n">
        <v>5830.2271</v>
      </c>
      <c r="F70" s="10" t="n">
        <v>5965.8926</v>
      </c>
      <c r="G70" s="10" t="n">
        <v>5258.2523</v>
      </c>
      <c r="H70" s="10" t="n">
        <v>6085.2438</v>
      </c>
      <c r="I70" s="12" t="n">
        <f aca="false">IF(OR(E70="",E69=""),"",E70/E69-1)</f>
        <v>0.0883192076060508</v>
      </c>
      <c r="J70" s="12" t="n">
        <f aca="false">IF(OR(F70="",F69=""),"",F70/F69-1)</f>
        <v>0.0629843839865203</v>
      </c>
      <c r="K70" s="12" t="n">
        <f aca="false">IF(OR(G70="",G69=""),"",G70/G69-1)</f>
        <v>0.183940889374791</v>
      </c>
      <c r="L70" s="12" t="n">
        <f aca="false">IF(OR(H70="",H69=""),"",H70/H69-1)</f>
        <v>0.0994692332953862</v>
      </c>
      <c r="M70" s="13" t="n">
        <f aca="false">IF(OR(E70="",E58=""),"",E70/E58-1)</f>
        <v>2.89404879607447</v>
      </c>
      <c r="N70" s="13" t="n">
        <f aca="false">IF(OR(F70="",F58=""),"",F70/F58-1)</f>
        <v>2.92230681551539</v>
      </c>
      <c r="O70" s="14" t="n">
        <f aca="false">IF(G70="","",G70/$G$66*100)</f>
        <v>214.378903420945</v>
      </c>
      <c r="P70" s="14" t="n">
        <f aca="false">IF(F70="","",F70/$F$66*100)</f>
        <v>156.999293174668</v>
      </c>
      <c r="Q70" s="15" t="n">
        <f aca="false">IF(OR(F70="",G70=""),"",(G70/$G$66)/(F70/$F$66)*100)</f>
        <v>136.547686990182</v>
      </c>
      <c r="R70" s="12" t="n">
        <f aca="false">IF(OR(K70="",J70=""),"",K70-J70)</f>
        <v>0.120956505388271</v>
      </c>
      <c r="S70" s="12" t="n">
        <f aca="false">IFERROR(AVERAGE(R68:R70),"")</f>
        <v>0.0987546717887756</v>
      </c>
      <c r="T70" s="16" t="n">
        <v>0.02</v>
      </c>
    </row>
    <row r="71" customFormat="false" ht="15" hidden="false" customHeight="false" outlineLevel="0" collapsed="false">
      <c r="B71" s="8" t="s">
        <v>115</v>
      </c>
      <c r="C71" s="9" t="n">
        <v>2024</v>
      </c>
      <c r="D71" s="9" t="n">
        <v>5</v>
      </c>
      <c r="E71" s="10" t="n">
        <v>6073.7</v>
      </c>
      <c r="F71" s="10" t="n">
        <v>6188.7</v>
      </c>
      <c r="G71" s="10" t="n">
        <v>5469.5</v>
      </c>
      <c r="H71" s="10" t="n">
        <v>6521.2</v>
      </c>
      <c r="I71" s="12" t="n">
        <f aca="false">IF(OR(E71="",E70=""),"",E71/E70-1)</f>
        <v>0.0417604487482142</v>
      </c>
      <c r="J71" s="12" t="n">
        <f aca="false">IF(OR(F71="",F70=""),"",F71/F70-1)</f>
        <v>0.0373468674243314</v>
      </c>
      <c r="K71" s="12" t="n">
        <f aca="false">IF(OR(G71="",G70=""),"",G71/G70-1)</f>
        <v>0.0401745081726108</v>
      </c>
      <c r="L71" s="12" t="n">
        <f aca="false">IF(OR(H71="",H70=""),"",H71/H70-1)</f>
        <v>0.07164153390206</v>
      </c>
      <c r="M71" s="13" t="n">
        <f aca="false">IF(OR(E71="",E59=""),"",E71/E59-1)</f>
        <v>2.76409241631778</v>
      </c>
      <c r="N71" s="13" t="n">
        <f aca="false">IF(OR(F71="",F59=""),"",F71/F59-1)</f>
        <v>2.77292763626361</v>
      </c>
      <c r="O71" s="14" t="n">
        <f aca="false">IF(G71="","",G71/$G$66*100)</f>
        <v>222.991470428465</v>
      </c>
      <c r="P71" s="14" t="n">
        <f aca="false">IF(F71="","",F71/$F$66*100)</f>
        <v>162.862724962576</v>
      </c>
      <c r="Q71" s="15" t="n">
        <f aca="false">IF(OR(F71="",G71=""),"",(G71/$G$66)/(F71/$F$66)*100)</f>
        <v>136.919894027136</v>
      </c>
      <c r="R71" s="12" t="n">
        <f aca="false">IF(OR(K71="",J71=""),"",K71-J71)</f>
        <v>0.00282764074827946</v>
      </c>
      <c r="S71" s="12" t="n">
        <f aca="false">IFERROR(AVERAGE(R69:R71),"")</f>
        <v>0.0703106152062266</v>
      </c>
      <c r="T71" s="16" t="n">
        <v>0.02</v>
      </c>
    </row>
    <row r="72" customFormat="false" ht="15" hidden="false" customHeight="false" outlineLevel="0" collapsed="false">
      <c r="B72" s="8" t="s">
        <v>116</v>
      </c>
      <c r="C72" s="9" t="n">
        <v>2024</v>
      </c>
      <c r="D72" s="9" t="n">
        <v>6</v>
      </c>
      <c r="E72" s="10" t="n">
        <v>6351.7145</v>
      </c>
      <c r="F72" s="10" t="n">
        <v>6414.6575</v>
      </c>
      <c r="G72" s="10" t="n">
        <v>5910.154</v>
      </c>
      <c r="H72" s="10" t="n">
        <v>6811.1236</v>
      </c>
      <c r="I72" s="12" t="n">
        <f aca="false">IF(OR(E72="",E71=""),"",E72/E71-1)</f>
        <v>0.0457734988557224</v>
      </c>
      <c r="J72" s="12" t="n">
        <f aca="false">IF(OR(F72="",F71=""),"",F72/F71-1)</f>
        <v>0.0365113028584356</v>
      </c>
      <c r="K72" s="12" t="n">
        <f aca="false">IF(OR(G72="",G71=""),"",G72/G71-1)</f>
        <v>0.0805656824206966</v>
      </c>
      <c r="L72" s="12" t="n">
        <f aca="false">IF(OR(H72="",H71=""),"",H72/H71-1)</f>
        <v>0.0444586272465191</v>
      </c>
      <c r="M72" s="13" t="n">
        <f aca="false">IF(OR(E72="",E60=""),"",E72/E60-1)</f>
        <v>2.71529701338579</v>
      </c>
      <c r="N72" s="13" t="n">
        <f aca="false">IF(OR(F72="",F60=""),"",F72/F60-1)</f>
        <v>2.67227051291563</v>
      </c>
      <c r="O72" s="14" t="n">
        <f aca="false">IF(G72="","",G72/$G$66*100)</f>
        <v>240.956930417529</v>
      </c>
      <c r="P72" s="14" t="n">
        <f aca="false">IF(F72="","",F72/$F$66*100)</f>
        <v>168.809055238035</v>
      </c>
      <c r="Q72" s="15" t="n">
        <f aca="false">IF(OR(F72="",G72=""),"",(G72/$G$66)/(F72/$F$66)*100)</f>
        <v>142.739339473086</v>
      </c>
      <c r="R72" s="12" t="n">
        <f aca="false">IF(OR(K72="",J72=""),"",K72-J72)</f>
        <v>0.044054379562261</v>
      </c>
      <c r="S72" s="12" t="n">
        <f aca="false">IFERROR(AVERAGE(R70:R72),"")</f>
        <v>0.0559461752329372</v>
      </c>
      <c r="T72" s="16" t="n">
        <v>0.02</v>
      </c>
    </row>
    <row r="73" customFormat="false" ht="15" hidden="false" customHeight="false" outlineLevel="0" collapsed="false">
      <c r="B73" s="8" t="s">
        <v>117</v>
      </c>
      <c r="C73" s="9" t="n">
        <v>2024</v>
      </c>
      <c r="D73" s="9" t="n">
        <v>7</v>
      </c>
      <c r="E73" s="10" t="n">
        <v>6607.7479</v>
      </c>
      <c r="F73" s="10" t="n">
        <v>6657.49</v>
      </c>
      <c r="G73" s="10" t="n">
        <v>6166.198</v>
      </c>
      <c r="H73" s="10" t="n">
        <v>7156.7976</v>
      </c>
      <c r="I73" s="12" t="n">
        <f aca="false">IF(OR(E73="",E72=""),"",E73/E72-1)</f>
        <v>0.040309336951464</v>
      </c>
      <c r="J73" s="12" t="n">
        <f aca="false">IF(OR(F73="",F72=""),"",F73/F72-1)</f>
        <v>0.0378558792889565</v>
      </c>
      <c r="K73" s="12" t="n">
        <f aca="false">IF(OR(G73="",G72=""),"",G73/G72-1)</f>
        <v>0.0433227289847269</v>
      </c>
      <c r="L73" s="12" t="n">
        <f aca="false">IF(OR(H73="",H72=""),"",H73/H72-1)</f>
        <v>0.0507513914444306</v>
      </c>
      <c r="M73" s="13" t="n">
        <f aca="false">IF(OR(E73="",E61=""),"",E73/E61-1)</f>
        <v>2.63445727859189</v>
      </c>
      <c r="N73" s="13" t="n">
        <f aca="false">IF(OR(F73="",F61=""),"",F73/F61-1)</f>
        <v>2.57875676894033</v>
      </c>
      <c r="O73" s="14" t="n">
        <f aca="false">IF(G73="","",G73/$G$66*100)</f>
        <v>251.395842210999</v>
      </c>
      <c r="P73" s="14" t="n">
        <f aca="false">IF(F73="","",F73/$F$66*100)</f>
        <v>175.199470456009</v>
      </c>
      <c r="Q73" s="15" t="n">
        <f aca="false">IF(OR(F73="",G73=""),"",(G73/$G$66)/(F73/$F$66)*100)</f>
        <v>143.49121122151</v>
      </c>
      <c r="R73" s="12" t="n">
        <f aca="false">IF(OR(K73="",J73=""),"",K73-J73)</f>
        <v>0.00546684969577038</v>
      </c>
      <c r="S73" s="12" t="n">
        <f aca="false">IFERROR(AVERAGE(R71:R73),"")</f>
        <v>0.0174496233354369</v>
      </c>
      <c r="T73" s="16" t="n">
        <v>0.02</v>
      </c>
    </row>
    <row r="74" customFormat="false" ht="15" hidden="false" customHeight="false" outlineLevel="0" collapsed="false">
      <c r="B74" s="8" t="s">
        <v>118</v>
      </c>
      <c r="C74" s="9" t="n">
        <v>2024</v>
      </c>
      <c r="D74" s="9" t="n">
        <v>8</v>
      </c>
      <c r="E74" s="10" t="n">
        <v>6883.4412</v>
      </c>
      <c r="F74" s="10" t="n">
        <v>6931.7976</v>
      </c>
      <c r="G74" s="10" t="n">
        <v>6529.3696</v>
      </c>
      <c r="H74" s="10" t="n">
        <v>7266.119</v>
      </c>
      <c r="I74" s="12" t="n">
        <f aca="false">IF(OR(E74="",E73=""),"",E74/E73-1)</f>
        <v>0.0417227327937253</v>
      </c>
      <c r="J74" s="12" t="n">
        <f aca="false">IF(OR(F74="",F73=""),"",F74/F73-1)</f>
        <v>0.0412028557309136</v>
      </c>
      <c r="K74" s="12" t="n">
        <f aca="false">IF(OR(G74="",G73=""),"",G74/G73-1)</f>
        <v>0.0588971680766657</v>
      </c>
      <c r="L74" s="12" t="n">
        <f aca="false">IF(OR(H74="",H73=""),"",H74/H73-1)</f>
        <v>0.0152751839733458</v>
      </c>
      <c r="M74" s="13" t="n">
        <f aca="false">IF(OR(E74="",E62=""),"",E74/E62-1)</f>
        <v>2.36716615388709</v>
      </c>
      <c r="N74" s="13" t="n">
        <f aca="false">IF(OR(F74="",F62=""),"",F74/F62-1)</f>
        <v>2.27473453419887</v>
      </c>
      <c r="O74" s="14" t="n">
        <f aca="false">IF(G74="","",G74/$G$66*100)</f>
        <v>266.202345383475</v>
      </c>
      <c r="P74" s="14" t="n">
        <f aca="false">IF(F74="","",F74/$F$66*100)</f>
        <v>182.41818896134</v>
      </c>
      <c r="Q74" s="15" t="n">
        <f aca="false">IF(OR(F74="",G74=""),"",(G74/$G$66)/(F74/$F$66)*100)</f>
        <v>145.929716164374</v>
      </c>
      <c r="R74" s="12" t="n">
        <f aca="false">IF(OR(K74="",J74=""),"",K74-J74)</f>
        <v>0.017694312345752</v>
      </c>
      <c r="S74" s="12" t="n">
        <f aca="false">IFERROR(AVERAGE(R72:R74),"")</f>
        <v>0.0224051805345945</v>
      </c>
      <c r="T74" s="16" t="n">
        <v>0.02</v>
      </c>
    </row>
    <row r="75" customFormat="false" ht="15" hidden="false" customHeight="false" outlineLevel="0" collapsed="false">
      <c r="B75" s="8" t="s">
        <v>119</v>
      </c>
      <c r="C75" s="9" t="n">
        <v>2024</v>
      </c>
      <c r="D75" s="9" t="n">
        <v>9</v>
      </c>
      <c r="E75" s="10" t="n">
        <v>7122.2421</v>
      </c>
      <c r="F75" s="10" t="n">
        <v>7157.9271</v>
      </c>
      <c r="G75" s="10" t="n">
        <v>6825.2577</v>
      </c>
      <c r="H75" s="10" t="n">
        <v>7479.6823</v>
      </c>
      <c r="I75" s="12" t="n">
        <f aca="false">IF(OR(E75="",E74=""),"",E75/E74-1)</f>
        <v>0.0346920810480664</v>
      </c>
      <c r="J75" s="12" t="n">
        <f aca="false">IF(OR(F75="",F74=""),"",F75/F74-1)</f>
        <v>0.032622057516509</v>
      </c>
      <c r="K75" s="12" t="n">
        <f aca="false">IF(OR(G75="",G74=""),"",G75/G74-1)</f>
        <v>0.0453164881338621</v>
      </c>
      <c r="L75" s="12" t="n">
        <f aca="false">IF(OR(H75="",H74=""),"",H75/H74-1)</f>
        <v>0.0293916601145674</v>
      </c>
      <c r="M75" s="13" t="n">
        <f aca="false">IF(OR(E75="",E63=""),"",E75/E63-1)</f>
        <v>2.09001141989832</v>
      </c>
      <c r="N75" s="13" t="n">
        <f aca="false">IF(OR(F75="",F63=""),"",F75/F63-1)</f>
        <v>1.98123638688129</v>
      </c>
      <c r="O75" s="14" t="n">
        <f aca="false">IF(G75="","",G75/$G$66*100)</f>
        <v>278.265700809252</v>
      </c>
      <c r="P75" s="14" t="n">
        <f aca="false">IF(F75="","",F75/$F$66*100)</f>
        <v>188.369045613695</v>
      </c>
      <c r="Q75" s="15" t="n">
        <f aca="false">IF(OR(F75="",G75=""),"",(G75/$G$66)/(F75/$F$66)*100)</f>
        <v>147.723687776131</v>
      </c>
      <c r="R75" s="12" t="n">
        <f aca="false">IF(OR(K75="",J75=""),"",K75-J75)</f>
        <v>0.0126944306173531</v>
      </c>
      <c r="S75" s="12" t="n">
        <f aca="false">IFERROR(AVERAGE(R73:R75),"")</f>
        <v>0.0119518642196252</v>
      </c>
      <c r="T75" s="16" t="n">
        <v>0.02</v>
      </c>
    </row>
    <row r="76" customFormat="false" ht="15" hidden="false" customHeight="false" outlineLevel="0" collapsed="false">
      <c r="B76" s="8" t="s">
        <v>120</v>
      </c>
      <c r="C76" s="9" t="n">
        <v>2024</v>
      </c>
      <c r="D76" s="9" t="n">
        <v>10</v>
      </c>
      <c r="E76" s="10" t="n">
        <v>7313.9542</v>
      </c>
      <c r="F76" s="10" t="n">
        <v>7366.7823</v>
      </c>
      <c r="G76" s="10" t="n">
        <v>7009.2808</v>
      </c>
      <c r="H76" s="10" t="n">
        <v>7581.5911</v>
      </c>
      <c r="I76" s="12" t="n">
        <f aca="false">IF(OR(E76="",E75=""),"",E76/E75-1)</f>
        <v>0.0269173804131146</v>
      </c>
      <c r="J76" s="12" t="n">
        <f aca="false">IF(OR(F76="",F75=""),"",F76/F75-1)</f>
        <v>0.0291781680760621</v>
      </c>
      <c r="K76" s="12" t="n">
        <f aca="false">IF(OR(G76="",G75=""),"",G76/G75-1)</f>
        <v>0.0269620735346008</v>
      </c>
      <c r="L76" s="12" t="n">
        <f aca="false">IF(OR(H76="",H75=""),"",H76/H75-1)</f>
        <v>0.0136247498105633</v>
      </c>
      <c r="M76" s="13" t="n">
        <f aca="false">IF(OR(E76="",E64=""),"",E76/E64-1)</f>
        <v>1.92994964893663</v>
      </c>
      <c r="N76" s="13" t="n">
        <f aca="false">IF(OR(F76="",F64=""),"",F76/F64-1)</f>
        <v>1.81977229790215</v>
      </c>
      <c r="O76" s="14" t="n">
        <f aca="false">IF(G76="","",G76/$G$66*100)</f>
        <v>285.768321096628</v>
      </c>
      <c r="P76" s="14" t="n">
        <f aca="false">IF(F76="","",F76/$F$66*100)</f>
        <v>193.865309286939</v>
      </c>
      <c r="Q76" s="15" t="n">
        <f aca="false">IF(OR(F76="",G76=""),"",(G76/$G$66)/(F76/$F$66)*100)</f>
        <v>147.405599355408</v>
      </c>
      <c r="R76" s="12" t="n">
        <f aca="false">IF(OR(K76="",J76=""),"",K76-J76)</f>
        <v>-0.00221609454146132</v>
      </c>
      <c r="S76" s="12" t="n">
        <f aca="false">IFERROR(AVERAGE(R74:R76),"")</f>
        <v>0.0093908828072146</v>
      </c>
      <c r="T76" s="16" t="n">
        <v>0.02</v>
      </c>
    </row>
    <row r="77" customFormat="false" ht="15" hidden="false" customHeight="false" outlineLevel="0" collapsed="false">
      <c r="B77" s="8" t="s">
        <v>121</v>
      </c>
      <c r="C77" s="9" t="n">
        <v>2024</v>
      </c>
      <c r="D77" s="9" t="n">
        <v>11</v>
      </c>
      <c r="E77" s="10" t="n">
        <v>7491.4314</v>
      </c>
      <c r="F77" s="10" t="n">
        <v>7566.7782</v>
      </c>
      <c r="G77" s="10" t="n">
        <v>7257.6652</v>
      </c>
      <c r="H77" s="10" t="n">
        <v>7490.4606</v>
      </c>
      <c r="I77" s="12" t="n">
        <f aca="false">IF(OR(E77="",E76=""),"",E77/E76-1)</f>
        <v>0.0242655607550837</v>
      </c>
      <c r="J77" s="12" t="n">
        <f aca="false">IF(OR(F77="",F76=""),"",F77/F76-1)</f>
        <v>0.0271483385629572</v>
      </c>
      <c r="K77" s="12" t="n">
        <f aca="false">IF(OR(G77="",G76=""),"",G77/G76-1)</f>
        <v>0.0354365029861552</v>
      </c>
      <c r="L77" s="12" t="n">
        <f aca="false">IF(OR(H77="",H76=""),"",H77/H76-1)</f>
        <v>-0.0120199703199503</v>
      </c>
      <c r="M77" s="13" t="n">
        <f aca="false">IF(OR(E77="",E65=""),"",E77/E65-1)</f>
        <v>1.66025011942205</v>
      </c>
      <c r="N77" s="13" t="n">
        <f aca="false">IF(OR(F77="",F65=""),"",F77/F65-1)</f>
        <v>1.55399655303305</v>
      </c>
      <c r="O77" s="14" t="n">
        <f aca="false">IF(G77="","",G77/$G$66*100)</f>
        <v>295.894951060517</v>
      </c>
      <c r="P77" s="14" t="n">
        <f aca="false">IF(F77="","",F77/$F$66*100)</f>
        <v>199.128430339073</v>
      </c>
      <c r="Q77" s="15" t="n">
        <f aca="false">IF(OR(F77="",G77=""),"",(G77/$G$66)/(F77/$F$66)*100)</f>
        <v>148.59503013039</v>
      </c>
      <c r="R77" s="12" t="n">
        <f aca="false">IF(OR(K77="",J77=""),"",K77-J77)</f>
        <v>0.00828816442319802</v>
      </c>
      <c r="S77" s="12" t="n">
        <f aca="false">IFERROR(AVERAGE(R75:R77),"")</f>
        <v>0.00625550016636326</v>
      </c>
      <c r="T77" s="16" t="n">
        <v>0.02</v>
      </c>
    </row>
    <row r="78" customFormat="false" ht="15" hidden="false" customHeight="false" outlineLevel="0" collapsed="false">
      <c r="B78" s="8" t="s">
        <v>122</v>
      </c>
      <c r="C78" s="9" t="n">
        <v>2024</v>
      </c>
      <c r="D78" s="9" t="n">
        <v>12</v>
      </c>
      <c r="E78" s="10" t="n">
        <v>7694.0075</v>
      </c>
      <c r="F78" s="10" t="n">
        <v>7808.7094</v>
      </c>
      <c r="G78" s="10" t="n">
        <v>7502.5373</v>
      </c>
      <c r="H78" s="10" t="n">
        <v>7385.2224</v>
      </c>
      <c r="I78" s="12" t="n">
        <f aca="false">IF(OR(E78="",E77=""),"",E78/E77-1)</f>
        <v>0.0270410405146337</v>
      </c>
      <c r="J78" s="12" t="n">
        <f aca="false">IF(OR(F78="",F77=""),"",F78/F77-1)</f>
        <v>0.0319728150615013</v>
      </c>
      <c r="K78" s="12" t="n">
        <f aca="false">IF(OR(G78="",G77=""),"",G78/G77-1)</f>
        <v>0.0337397900360572</v>
      </c>
      <c r="L78" s="12" t="n">
        <f aca="false">IF(OR(H78="",H77=""),"",H78/H77-1)</f>
        <v>-0.0140496300053966</v>
      </c>
      <c r="M78" s="13" t="n">
        <f aca="false">IF(OR(E78="",E66=""),"",E78/E66-1)</f>
        <v>1.17763627464139</v>
      </c>
      <c r="N78" s="13" t="n">
        <f aca="false">IF(OR(F78="",F66=""),"",F78/F66-1)</f>
        <v>1.05495126815791</v>
      </c>
      <c r="O78" s="14" t="n">
        <f aca="false">IF(G78="","",G78/$G$66*100)</f>
        <v>305.878384582029</v>
      </c>
      <c r="P78" s="14" t="n">
        <f aca="false">IF(F78="","",F78/$F$66*100)</f>
        <v>205.495126815791</v>
      </c>
      <c r="Q78" s="15" t="n">
        <f aca="false">IF(OR(F78="",G78=""),"",(G78/$G$66)/(F78/$F$66)*100)</f>
        <v>148.849459022073</v>
      </c>
      <c r="R78" s="12" t="n">
        <f aca="false">IF(OR(K78="",J78=""),"",K78-J78)</f>
        <v>0.00176697497455591</v>
      </c>
      <c r="S78" s="12" t="n">
        <f aca="false">IFERROR(AVERAGE(R76:R78),"")</f>
        <v>0.00261301495209754</v>
      </c>
      <c r="T78" s="16" t="n">
        <v>0.02</v>
      </c>
    </row>
    <row r="79" customFormat="false" ht="15" hidden="false" customHeight="false" outlineLevel="0" collapsed="false">
      <c r="B79" s="8" t="s">
        <v>123</v>
      </c>
      <c r="C79" s="9" t="n">
        <v>2025</v>
      </c>
      <c r="D79" s="9" t="n">
        <v>1</v>
      </c>
      <c r="E79" s="10" t="n">
        <v>7864.1257</v>
      </c>
      <c r="F79" s="10" t="n">
        <v>7995.938</v>
      </c>
      <c r="G79" s="10" t="n">
        <v>7698.607</v>
      </c>
      <c r="H79" s="10" t="n">
        <v>7411.5104</v>
      </c>
      <c r="I79" s="12" t="n">
        <f aca="false">IF(OR(E79="",E78=""),"",E79/E78-1)</f>
        <v>0.0221104801366518</v>
      </c>
      <c r="J79" s="12" t="n">
        <f aca="false">IF(OR(F79="",F78=""),"",F79/F78-1)</f>
        <v>0.0239768943123944</v>
      </c>
      <c r="K79" s="12" t="n">
        <f aca="false">IF(OR(G79="",G78=""),"",G79/G78-1)</f>
        <v>0.0261337854328294</v>
      </c>
      <c r="L79" s="12" t="n">
        <f aca="false">IF(OR(H79="",H78=""),"",H79/H78-1)</f>
        <v>0.00355954073908471</v>
      </c>
      <c r="M79" s="13" t="n">
        <f aca="false">IF(OR(E79="",E67=""),"",E79/E67-1)</f>
        <v>0.845375081508239</v>
      </c>
      <c r="N79" s="13" t="n">
        <f aca="false">IF(OR(F79="",F67=""),"",F79/F67-1)</f>
        <v>0.750361069496419</v>
      </c>
      <c r="O79" s="14" t="n">
        <f aca="false">IF(G79="","",G79/$G$66*100)</f>
        <v>313.872144653236</v>
      </c>
      <c r="P79" s="14" t="n">
        <f aca="false">IF(F79="","",F79/$F$66*100)</f>
        <v>210.422261753165</v>
      </c>
      <c r="Q79" s="15" t="n">
        <f aca="false">IF(OR(F79="",G79=""),"",(G79/$G$66)/(F79/$F$66)*100)</f>
        <v>149.162993515117</v>
      </c>
      <c r="R79" s="12" t="n">
        <f aca="false">IF(OR(K79="",J79=""),"",K79-J79)</f>
        <v>0.00215689112043505</v>
      </c>
      <c r="S79" s="12" t="n">
        <f aca="false">IFERROR(AVERAGE(R77:R79),"")</f>
        <v>0.00407067683939633</v>
      </c>
      <c r="T79" s="16" t="n">
        <v>0.02</v>
      </c>
    </row>
    <row r="80" customFormat="false" ht="15" hidden="false" customHeight="false" outlineLevel="0" collapsed="false">
      <c r="B80" s="8" t="s">
        <v>124</v>
      </c>
      <c r="C80" s="9" t="n">
        <v>2025</v>
      </c>
      <c r="D80" s="9" t="n">
        <v>2</v>
      </c>
      <c r="E80" s="10" t="n">
        <v>8052.9927</v>
      </c>
      <c r="F80" s="10" t="n">
        <v>8229.4476</v>
      </c>
      <c r="G80" s="10" t="n">
        <v>7877.3099</v>
      </c>
      <c r="H80" s="10" t="n">
        <v>7350.8325</v>
      </c>
      <c r="I80" s="12" t="n">
        <f aca="false">IF(OR(E80="",E79=""),"",E80/E79-1)</f>
        <v>0.0240162743075179</v>
      </c>
      <c r="J80" s="12" t="n">
        <f aca="false">IF(OR(F80="",F79=""),"",F80/F79-1)</f>
        <v>0.0292035280913883</v>
      </c>
      <c r="K80" s="12" t="n">
        <f aca="false">IF(OR(G80="",G79=""),"",G80/G79-1)</f>
        <v>0.0232123681595904</v>
      </c>
      <c r="L80" s="12" t="n">
        <f aca="false">IF(OR(H80="",H79=""),"",H80/H79-1)</f>
        <v>-0.00818698169808951</v>
      </c>
      <c r="M80" s="13" t="n">
        <f aca="false">IF(OR(E80="",E68=""),"",E80/E68-1)</f>
        <v>0.668741464218041</v>
      </c>
      <c r="N80" s="13" t="n">
        <f aca="false">IF(OR(F80="",F68=""),"",F80/F68-1)</f>
        <v>0.604306286097852</v>
      </c>
      <c r="O80" s="14" t="n">
        <f aca="false">IF(G80="","",G80/$G$66*100)</f>
        <v>321.157860429967</v>
      </c>
      <c r="P80" s="14" t="n">
        <f aca="false">IF(F80="","",F80/$F$66*100)</f>
        <v>216.567334185327</v>
      </c>
      <c r="Q80" s="15" t="n">
        <f aca="false">IF(OR(F80="",G80=""),"",(G80/$G$66)/(F80/$F$66)*100)</f>
        <v>148.294691643171</v>
      </c>
      <c r="R80" s="12" t="n">
        <f aca="false">IF(OR(K80="",J80=""),"",K80-J80)</f>
        <v>-0.00599115993179789</v>
      </c>
      <c r="S80" s="12" t="n">
        <f aca="false">IFERROR(AVERAGE(R78:R80),"")</f>
        <v>-0.000689097945602309</v>
      </c>
      <c r="T80" s="16" t="n">
        <v>0.02</v>
      </c>
    </row>
    <row r="81" customFormat="false" ht="15" hidden="false" customHeight="false" outlineLevel="0" collapsed="false">
      <c r="B81" s="8" t="s">
        <v>125</v>
      </c>
      <c r="C81" s="9" t="n">
        <v>2025</v>
      </c>
      <c r="D81" s="9" t="n">
        <v>3</v>
      </c>
      <c r="E81" s="10" t="n">
        <v>8353.3158</v>
      </c>
      <c r="F81" s="10" t="n">
        <v>8492.1966</v>
      </c>
      <c r="G81" s="10" t="n">
        <v>8129.994</v>
      </c>
      <c r="H81" s="10" t="n">
        <v>7971.2748</v>
      </c>
      <c r="I81" s="12" t="n">
        <f aca="false">IF(OR(E81="",E80=""),"",E81/E80-1)</f>
        <v>0.0372933530661217</v>
      </c>
      <c r="J81" s="12" t="n">
        <f aca="false">IF(OR(F81="",F80=""),"",F81/F80-1)</f>
        <v>0.0319279024268895</v>
      </c>
      <c r="K81" s="12" t="n">
        <f aca="false">IF(OR(G81="",G80=""),"",G81/G80-1)</f>
        <v>0.0320774608600836</v>
      </c>
      <c r="L81" s="12" t="n">
        <f aca="false">IF(OR(H81="",H80=""),"",H81/H80-1)</f>
        <v>0.0844043582818681</v>
      </c>
      <c r="M81" s="13" t="n">
        <f aca="false">IF(OR(E81="",E69=""),"",E81/E69-1)</f>
        <v>0.559300156993731</v>
      </c>
      <c r="N81" s="13" t="n">
        <f aca="false">IF(OR(F81="",F69=""),"",F81/F69-1)</f>
        <v>0.513113456240131</v>
      </c>
      <c r="O81" s="14" t="n">
        <f aca="false">IF(G81="","",G81/$G$66*100)</f>
        <v>331.459789127817</v>
      </c>
      <c r="P81" s="14" t="n">
        <f aca="false">IF(F81="","",F81/$F$66*100)</f>
        <v>223.481874900048</v>
      </c>
      <c r="Q81" s="15" t="n">
        <f aca="false">IF(OR(F81="",G81=""),"",(G81/$G$66)/(F81/$F$66)*100)</f>
        <v>148.316184154112</v>
      </c>
      <c r="R81" s="12" t="n">
        <f aca="false">IF(OR(K81="",J81=""),"",K81-J81)</f>
        <v>0.000149558433194086</v>
      </c>
      <c r="S81" s="12" t="n">
        <f aca="false">IFERROR(AVERAGE(R79:R81),"")</f>
        <v>-0.00122823679272292</v>
      </c>
      <c r="T81" s="16" t="n">
        <v>0.02</v>
      </c>
    </row>
    <row r="82" customFormat="false" ht="15" hidden="false" customHeight="false" outlineLevel="0" collapsed="false">
      <c r="B82" s="8" t="s">
        <v>126</v>
      </c>
      <c r="C82" s="9" t="n">
        <v>2025</v>
      </c>
      <c r="D82" s="9" t="n">
        <v>4</v>
      </c>
      <c r="E82" s="10" t="n">
        <v>8585.6078</v>
      </c>
      <c r="F82" s="10" t="n">
        <v>8765.1966</v>
      </c>
      <c r="G82" s="10" t="n">
        <v>8273.8986</v>
      </c>
      <c r="H82" s="10" t="n">
        <v>8121.3082</v>
      </c>
      <c r="I82" s="12" t="n">
        <f aca="false">IF(OR(E82="",E81=""),"",E82/E81-1)</f>
        <v>0.0278083584485096</v>
      </c>
      <c r="J82" s="12" t="n">
        <f aca="false">IF(OR(F82="",F81=""),"",F82/F81-1)</f>
        <v>0.0321471596642027</v>
      </c>
      <c r="K82" s="12" t="n">
        <f aca="false">IF(OR(G82="",G81=""),"",G82/G81-1)</f>
        <v>0.0177004558674951</v>
      </c>
      <c r="L82" s="12" t="n">
        <f aca="false">IF(OR(H82="",H81=""),"",H82/H81-1)</f>
        <v>0.0188217573430036</v>
      </c>
      <c r="M82" s="13" t="n">
        <f aca="false">IF(OR(E82="",E70=""),"",E82/E70-1)</f>
        <v>0.472602636696605</v>
      </c>
      <c r="N82" s="13" t="n">
        <f aca="false">IF(OR(F82="",F70=""),"",F82/F70-1)</f>
        <v>0.469217967484027</v>
      </c>
      <c r="O82" s="14" t="n">
        <f aca="false">IF(G82="","",G82/$G$66*100)</f>
        <v>337.326778497124</v>
      </c>
      <c r="P82" s="14" t="n">
        <f aca="false">IF(F82="","",F82/$F$66*100)</f>
        <v>230.666182414515</v>
      </c>
      <c r="Q82" s="15" t="n">
        <f aca="false">IF(OR(F82="",G82=""),"",(G82/$G$66)/(F82/$F$66)*100)</f>
        <v>146.240239885245</v>
      </c>
      <c r="R82" s="12" t="n">
        <f aca="false">IF(OR(K82="",J82=""),"",K82-J82)</f>
        <v>-0.0144467037967075</v>
      </c>
      <c r="S82" s="12" t="n">
        <f aca="false">IFERROR(AVERAGE(R80:R82),"")</f>
        <v>-0.00676276843177045</v>
      </c>
      <c r="T82" s="16" t="n">
        <v>0.02</v>
      </c>
    </row>
    <row r="83" customFormat="false" ht="15" hidden="false" customHeight="false" outlineLevel="0" collapsed="false">
      <c r="B83" s="8" t="s">
        <v>127</v>
      </c>
      <c r="C83" s="9" t="n">
        <v>2025</v>
      </c>
      <c r="D83" s="9" t="n">
        <v>5</v>
      </c>
      <c r="E83" s="10" t="n">
        <v>8714.4871</v>
      </c>
      <c r="F83" s="10" t="n">
        <v>8957.7912</v>
      </c>
      <c r="G83" s="10" t="n">
        <v>8382.4957</v>
      </c>
      <c r="H83" s="10" t="n">
        <v>7899.4762</v>
      </c>
      <c r="I83" s="12" t="n">
        <f aca="false">IF(OR(E83="",E82=""),"",E83/E82-1)</f>
        <v>0.0150110863438231</v>
      </c>
      <c r="J83" s="12" t="n">
        <f aca="false">IF(OR(F83="",F82=""),"",F83/F82-1)</f>
        <v>0.0219726503339355</v>
      </c>
      <c r="K83" s="12" t="n">
        <f aca="false">IF(OR(G83="",G82=""),"",G83/G82-1)</f>
        <v>0.0131252635849319</v>
      </c>
      <c r="L83" s="12" t="n">
        <f aca="false">IF(OR(H83="",H82=""),"",H83/H82-1)</f>
        <v>-0.0273148111778346</v>
      </c>
      <c r="M83" s="13" t="n">
        <f aca="false">IF(OR(E83="",E71=""),"",E83/E71-1)</f>
        <v>0.434790506610468</v>
      </c>
      <c r="N83" s="13" t="n">
        <f aca="false">IF(OR(F83="",F71=""),"",F83/F71-1)</f>
        <v>0.447443114062727</v>
      </c>
      <c r="O83" s="14" t="n">
        <f aca="false">IF(G83="","",G83/$G$66*100)</f>
        <v>341.754281379154</v>
      </c>
      <c r="P83" s="14" t="n">
        <f aca="false">IF(F83="","",F83/$F$66*100)</f>
        <v>235.734529784573</v>
      </c>
      <c r="Q83" s="15" t="n">
        <f aca="false">IF(OR(F83="",G83=""),"",(G83/$G$66)/(F83/$F$66)*100)</f>
        <v>144.974213871624</v>
      </c>
      <c r="R83" s="12" t="n">
        <f aca="false">IF(OR(K83="",J83=""),"",K83-J83)</f>
        <v>-0.00884738674900354</v>
      </c>
      <c r="S83" s="12" t="n">
        <f aca="false">IFERROR(AVERAGE(R81:R83),"")</f>
        <v>-0.00771484403750566</v>
      </c>
      <c r="T83" s="16" t="n">
        <v>0.02</v>
      </c>
    </row>
    <row r="84" customFormat="false" ht="15" hidden="false" customHeight="false" outlineLevel="0" collapsed="false">
      <c r="B84" s="8" t="s">
        <v>128</v>
      </c>
      <c r="C84" s="9" t="n">
        <v>2025</v>
      </c>
      <c r="D84" s="9" t="n">
        <v>6</v>
      </c>
      <c r="E84" s="10" t="n">
        <v>8855.5681</v>
      </c>
      <c r="F84" s="10" t="n">
        <v>9111.304</v>
      </c>
      <c r="G84" s="10" t="n">
        <v>8569.0645</v>
      </c>
      <c r="H84" s="10" t="n">
        <v>7882.5607</v>
      </c>
      <c r="I84" s="12" t="n">
        <f aca="false">IF(OR(E84="",E83=""),"",E84/E83-1)</f>
        <v>0.0161892488199333</v>
      </c>
      <c r="J84" s="12" t="n">
        <f aca="false">IF(OR(F84="",F83=""),"",F84/F83-1)</f>
        <v>0.0171373496627161</v>
      </c>
      <c r="K84" s="12" t="n">
        <f aca="false">IF(OR(G84="",G83=""),"",G84/G83-1)</f>
        <v>0.0222569514709088</v>
      </c>
      <c r="L84" s="12" t="n">
        <f aca="false">IF(OR(H84="",H83=""),"",H84/H83-1)</f>
        <v>-0.0021413445109183</v>
      </c>
      <c r="M84" s="13" t="n">
        <f aca="false">IF(OR(E84="",E72=""),"",E84/E72-1)</f>
        <v>0.394201219214119</v>
      </c>
      <c r="N84" s="13" t="n">
        <f aca="false">IF(OR(F84="",F72=""),"",F84/F72-1)</f>
        <v>0.420388228054265</v>
      </c>
      <c r="O84" s="14" t="n">
        <f aca="false">IF(G84="","",G84/$G$66*100)</f>
        <v>349.360689834785</v>
      </c>
      <c r="P84" s="14" t="n">
        <f aca="false">IF(F84="","",F84/$F$66*100)</f>
        <v>239.774394849067</v>
      </c>
      <c r="Q84" s="15" t="n">
        <f aca="false">IF(OR(F84="",G84=""),"",(G84/$G$66)/(F84/$F$66)*100)</f>
        <v>145.703918908731</v>
      </c>
      <c r="R84" s="12" t="n">
        <f aca="false">IF(OR(K84="",J84=""),"",K84-J84)</f>
        <v>0.00511960180819271</v>
      </c>
      <c r="S84" s="12" t="n">
        <f aca="false">IFERROR(AVERAGE(R82:R84),"")</f>
        <v>-0.00605816291250612</v>
      </c>
      <c r="T84" s="16" t="n">
        <v>0.02</v>
      </c>
    </row>
    <row r="85" customFormat="false" ht="15" hidden="false" customHeight="false" outlineLevel="0" collapsed="false">
      <c r="B85" s="8" t="s">
        <v>129</v>
      </c>
      <c r="C85" s="9" t="n">
        <v>2025</v>
      </c>
      <c r="D85" s="9" t="n">
        <v>7</v>
      </c>
      <c r="E85" s="10" t="n">
        <v>9023.973</v>
      </c>
      <c r="F85" s="10" t="n">
        <v>9246.0737</v>
      </c>
      <c r="G85" s="10" t="n">
        <v>8766.629</v>
      </c>
      <c r="H85" s="10" t="n">
        <v>8201.9212</v>
      </c>
      <c r="I85" s="12" t="n">
        <f aca="false">IF(OR(E85="",E84=""),"",E85/E84-1)</f>
        <v>0.0190168375533129</v>
      </c>
      <c r="J85" s="12" t="n">
        <f aca="false">IF(OR(F85="",F84=""),"",F85/F84-1)</f>
        <v>0.0147914831949412</v>
      </c>
      <c r="K85" s="12" t="n">
        <f aca="false">IF(OR(G85="",G84=""),"",G85/G84-1)</f>
        <v>0.0230555505796461</v>
      </c>
      <c r="L85" s="12" t="n">
        <f aca="false">IF(OR(H85="",H84=""),"",H85/H84-1)</f>
        <v>0.0405148164605953</v>
      </c>
      <c r="M85" s="13" t="n">
        <f aca="false">IF(OR(E85="",E73=""),"",E85/E73-1)</f>
        <v>0.365665448586499</v>
      </c>
      <c r="N85" s="13" t="n">
        <f aca="false">IF(OR(F85="",F73=""),"",F85/F73-1)</f>
        <v>0.388822769542275</v>
      </c>
      <c r="O85" s="14" t="n">
        <f aca="false">IF(G85="","",G85/$G$66*100)</f>
        <v>357.415392889811</v>
      </c>
      <c r="P85" s="14" t="n">
        <f aca="false">IF(F85="","",F85/$F$66*100)</f>
        <v>243.321013781055</v>
      </c>
      <c r="Q85" s="15" t="n">
        <f aca="false">IF(OR(F85="",G85=""),"",(G85/$G$66)/(F85/$F$66)*100)</f>
        <v>146.890474988495</v>
      </c>
      <c r="R85" s="12" t="n">
        <f aca="false">IF(OR(K85="",J85=""),"",K85-J85)</f>
        <v>0.00826406738470498</v>
      </c>
      <c r="S85" s="12" t="n">
        <f aca="false">IFERROR(AVERAGE(R83:R85),"")</f>
        <v>0.00151209414796472</v>
      </c>
      <c r="T85" s="16" t="n">
        <v>0.02</v>
      </c>
    </row>
    <row r="86" customFormat="false" ht="15" hidden="false" customHeight="false" outlineLevel="0" collapsed="false">
      <c r="B86" s="8" t="s">
        <v>130</v>
      </c>
      <c r="C86" s="9" t="n">
        <v>2025</v>
      </c>
      <c r="D86" s="9" t="n">
        <v>8</v>
      </c>
      <c r="E86" s="10" t="n">
        <v>9193.2441</v>
      </c>
      <c r="F86" s="10" t="n">
        <v>9435.1467</v>
      </c>
      <c r="G86" s="10" t="n">
        <v>9000.5641</v>
      </c>
      <c r="H86" s="10" t="n">
        <v>8137.0132</v>
      </c>
      <c r="I86" s="12" t="n">
        <f aca="false">IF(OR(E86="",E85=""),"",E86/E85-1)</f>
        <v>0.0187579351135028</v>
      </c>
      <c r="J86" s="12" t="n">
        <f aca="false">IF(OR(F86="",F85=""),"",F86/F85-1)</f>
        <v>0.020449004208132</v>
      </c>
      <c r="K86" s="12" t="n">
        <f aca="false">IF(OR(G86="",G85=""),"",G86/G85-1)</f>
        <v>0.026684726820309</v>
      </c>
      <c r="L86" s="12" t="n">
        <f aca="false">IF(OR(H86="",H85=""),"",H86/H85-1)</f>
        <v>-0.00791375562106111</v>
      </c>
      <c r="M86" s="13" t="n">
        <f aca="false">IF(OR(E86="",E74=""),"",E86/E74-1)</f>
        <v>0.335559327506132</v>
      </c>
      <c r="N86" s="13" t="n">
        <f aca="false">IF(OR(F86="",F74=""),"",F86/F74-1)</f>
        <v>0.361139958847038</v>
      </c>
      <c r="O86" s="14" t="n">
        <f aca="false">IF(G86="","",G86/$G$66*100)</f>
        <v>366.952925010449</v>
      </c>
      <c r="P86" s="14" t="n">
        <f aca="false">IF(F86="","",F86/$F$66*100)</f>
        <v>248.29668621579</v>
      </c>
      <c r="Q86" s="15" t="n">
        <f aca="false">IF(OR(F86="",G86=""),"",(G86/$G$66)/(F86/$F$66)*100)</f>
        <v>147.788087953593</v>
      </c>
      <c r="R86" s="12" t="n">
        <f aca="false">IF(OR(K86="",J86=""),"",K86-J86)</f>
        <v>0.00623572261217698</v>
      </c>
      <c r="S86" s="12" t="n">
        <f aca="false">IFERROR(AVERAGE(R84:R86),"")</f>
        <v>0.00653979726835822</v>
      </c>
      <c r="T86" s="16" t="n">
        <v>0.02</v>
      </c>
    </row>
    <row r="87" customFormat="false" ht="15" hidden="false" customHeight="false" outlineLevel="0" collapsed="false">
      <c r="B87" s="8" t="s">
        <v>131</v>
      </c>
      <c r="C87" s="9" t="n">
        <v>2025</v>
      </c>
      <c r="D87" s="9" t="n">
        <v>9</v>
      </c>
      <c r="E87" s="10" t="n">
        <v>9384.0922</v>
      </c>
      <c r="F87" s="10" t="n">
        <v>9614.0254</v>
      </c>
      <c r="G87" s="10" t="n">
        <v>9237.6711</v>
      </c>
      <c r="H87" s="10" t="n">
        <v>8316.258</v>
      </c>
      <c r="I87" s="12" t="n">
        <f aca="false">IF(OR(E87="",E86=""),"",E87/E86-1)</f>
        <v>0.0207596032395136</v>
      </c>
      <c r="J87" s="12" t="n">
        <f aca="false">IF(OR(F87="",F86=""),"",F87/F86-1)</f>
        <v>0.0189587619236489</v>
      </c>
      <c r="K87" s="12" t="n">
        <f aca="false">IF(OR(G87="",G86=""),"",G87/G86-1)</f>
        <v>0.0263435710657292</v>
      </c>
      <c r="L87" s="12" t="n">
        <f aca="false">IF(OR(H87="",H86=""),"",H87/H86-1)</f>
        <v>0.0220283285272291</v>
      </c>
      <c r="M87" s="13" t="n">
        <f aca="false">IF(OR(E87="",E75=""),"",E87/E75-1)</f>
        <v>0.317575570760224</v>
      </c>
      <c r="N87" s="13" t="n">
        <f aca="false">IF(OR(F87="",F75=""),"",F87/F75-1)</f>
        <v>0.343129828746091</v>
      </c>
      <c r="O87" s="14" t="n">
        <f aca="false">IF(G87="","",G87/$G$66*100)</f>
        <v>376.619775468239</v>
      </c>
      <c r="P87" s="14" t="n">
        <f aca="false">IF(F87="","",F87/$F$66*100)</f>
        <v>253.004083976186</v>
      </c>
      <c r="Q87" s="15" t="n">
        <f aca="false">IF(OR(F87="",G87=""),"",(G87/$G$66)/(F87/$F$66)*100)</f>
        <v>148.859168417095</v>
      </c>
      <c r="R87" s="12" t="n">
        <f aca="false">IF(OR(K87="",J87=""),"",K87-J87)</f>
        <v>0.00738480914208028</v>
      </c>
      <c r="S87" s="12" t="n">
        <f aca="false">IFERROR(AVERAGE(R85:R87),"")</f>
        <v>0.00729486637965408</v>
      </c>
      <c r="T87" s="16" t="n">
        <v>0.02</v>
      </c>
    </row>
    <row r="88" customFormat="false" ht="15" hidden="false" customHeight="false" outlineLevel="0" collapsed="false">
      <c r="B88" s="8" t="s">
        <v>132</v>
      </c>
      <c r="C88" s="9" t="n">
        <v>2025</v>
      </c>
      <c r="D88" s="9" t="n">
        <v>10</v>
      </c>
      <c r="E88" s="10" t="n">
        <v>9603.8623</v>
      </c>
      <c r="F88" s="10" t="n">
        <v>9827.1413</v>
      </c>
      <c r="G88" s="10" t="n">
        <v>9474.6115</v>
      </c>
      <c r="H88" s="10" t="n">
        <v>8548.5791</v>
      </c>
      <c r="I88" s="12" t="n">
        <f aca="false">IF(OR(E88="",E87=""),"",E88/E87-1)</f>
        <v>0.0234194310239195</v>
      </c>
      <c r="J88" s="12" t="n">
        <f aca="false">IF(OR(F88="",F87=""),"",F88/F87-1)</f>
        <v>0.0221671871181035</v>
      </c>
      <c r="K88" s="12" t="n">
        <f aca="false">IF(OR(G88="",G87=""),"",G88/G87-1)</f>
        <v>0.025649365238821</v>
      </c>
      <c r="L88" s="12" t="n">
        <f aca="false">IF(OR(H88="",H87=""),"",H88/H87-1)</f>
        <v>0.0279357735173682</v>
      </c>
      <c r="M88" s="13" t="n">
        <f aca="false">IF(OR(E88="",E76=""),"",E88/E76-1)</f>
        <v>0.313087563496091</v>
      </c>
      <c r="N88" s="13" t="n">
        <f aca="false">IF(OR(F88="",F76=""),"",F88/F76-1)</f>
        <v>0.333980142185008</v>
      </c>
      <c r="O88" s="14" t="n">
        <f aca="false">IF(G88="","",G88/$G$66*100)</f>
        <v>386.279833645387</v>
      </c>
      <c r="P88" s="14" t="n">
        <f aca="false">IF(F88="","",F88/$F$66*100)</f>
        <v>258.612472847331</v>
      </c>
      <c r="Q88" s="15" t="n">
        <f aca="false">IF(OR(F88="",G88=""),"",(G88/$G$66)/(F88/$F$66)*100)</f>
        <v>149.366281290471</v>
      </c>
      <c r="R88" s="12" t="n">
        <f aca="false">IF(OR(K88="",J88=""),"",K88-J88)</f>
        <v>0.00348217812071749</v>
      </c>
      <c r="S88" s="12" t="n">
        <f aca="false">IFERROR(AVERAGE(R86:R88),"")</f>
        <v>0.00570090329165825</v>
      </c>
      <c r="T88" s="16" t="n">
        <v>0.02</v>
      </c>
    </row>
    <row r="89" customFormat="false" ht="15" hidden="false" customHeight="false" outlineLevel="0" collapsed="false">
      <c r="B89" s="8" t="s">
        <v>133</v>
      </c>
      <c r="C89" s="9" t="n">
        <v>2025</v>
      </c>
      <c r="D89" s="9" t="n">
        <v>11</v>
      </c>
      <c r="E89" s="10" t="n">
        <v>9841.3581</v>
      </c>
      <c r="F89" s="10" t="n">
        <v>10086.4793</v>
      </c>
      <c r="G89" s="10" t="n">
        <v>9748.309</v>
      </c>
      <c r="H89" s="10" t="n">
        <v>8584.9379</v>
      </c>
      <c r="I89" s="12" t="n">
        <f aca="false">IF(OR(E89="",E88=""),"",E89/E88-1)</f>
        <v>0.0247291967107857</v>
      </c>
      <c r="J89" s="12" t="n">
        <f aca="false">IF(OR(F89="",F88=""),"",F89/F88-1)</f>
        <v>0.0263899736538846</v>
      </c>
      <c r="K89" s="12" t="n">
        <f aca="false">IF(OR(G89="",G88=""),"",G89/G88-1)</f>
        <v>0.0288874641456274</v>
      </c>
      <c r="L89" s="12" t="n">
        <f aca="false">IF(OR(H89="",H88=""),"",H89/H88-1)</f>
        <v>0.00425319805486746</v>
      </c>
      <c r="M89" s="13" t="n">
        <f aca="false">IF(OR(E89="",E77=""),"",E89/E77-1)</f>
        <v>0.313681935337484</v>
      </c>
      <c r="N89" s="13" t="n">
        <f aca="false">IF(OR(F89="",F77=""),"",F89/F77-1)</f>
        <v>0.332995236995317</v>
      </c>
      <c r="O89" s="14" t="n">
        <f aca="false">IF(G89="","",G89/$G$66*100)</f>
        <v>397.438478489997</v>
      </c>
      <c r="P89" s="14" t="n">
        <f aca="false">IF(F89="","",F89/$F$66*100)</f>
        <v>265.437249192338</v>
      </c>
      <c r="Q89" s="15" t="n">
        <f aca="false">IF(OR(F89="",G89=""),"",(G89/$G$66)/(F89/$F$66)*100)</f>
        <v>149.729730736476</v>
      </c>
      <c r="R89" s="12" t="n">
        <f aca="false">IF(OR(K89="",J89=""),"",K89-J89)</f>
        <v>0.00249749049174275</v>
      </c>
      <c r="S89" s="12" t="n">
        <f aca="false">IFERROR(AVERAGE(R87:R89),"")</f>
        <v>0.00445482591818018</v>
      </c>
      <c r="T89" s="16" t="n">
        <v>0.02</v>
      </c>
    </row>
    <row r="90" customFormat="false" ht="15" hidden="false" customHeight="false" outlineLevel="0" collapsed="false">
      <c r="B90" s="8" t="s">
        <v>134</v>
      </c>
      <c r="C90" s="9" t="n">
        <v>2025</v>
      </c>
      <c r="D90" s="9" t="n">
        <v>12</v>
      </c>
      <c r="E90" s="10" t="n">
        <v>10121.3715</v>
      </c>
      <c r="F90" s="10" t="n">
        <v>10392.4922</v>
      </c>
      <c r="G90" s="10" t="n">
        <v>10069.0986</v>
      </c>
      <c r="H90" s="10" t="n">
        <v>8637.1055</v>
      </c>
      <c r="I90" s="12" t="n">
        <f aca="false">IF(OR(E90="",E89=""),"",E90/E89-1)</f>
        <v>0.0284527193457171</v>
      </c>
      <c r="J90" s="12" t="n">
        <f aca="false">IF(OR(F90="",F89=""),"",F90/F89-1)</f>
        <v>0.0303389211337597</v>
      </c>
      <c r="K90" s="12" t="n">
        <f aca="false">IF(OR(G90="",G89=""),"",G90/G89-1)</f>
        <v>0.0329072047264813</v>
      </c>
      <c r="L90" s="12" t="n">
        <f aca="false">IF(OR(H90="",H89=""),"",H90/H89-1)</f>
        <v>0.00607664267437502</v>
      </c>
      <c r="M90" s="13" t="n">
        <f aca="false">IF(OR(E90="",E78=""),"",E90/E78-1)</f>
        <v>0.315487605126457</v>
      </c>
      <c r="N90" s="13" t="n">
        <f aca="false">IF(OR(F90="",F78=""),"",F90/F78-1)</f>
        <v>0.330884742618287</v>
      </c>
      <c r="O90" s="14" t="n">
        <f aca="false">IF(G90="","",G90/$G$66*100)</f>
        <v>410.517067867848</v>
      </c>
      <c r="P90" s="14" t="n">
        <f aca="false">IF(F90="","",F90/$F$66*100)</f>
        <v>273.490328961546</v>
      </c>
      <c r="Q90" s="15" t="n">
        <f aca="false">IF(OR(F90="",G90=""),"",(G90/$G$66)/(F90/$F$66)*100)</f>
        <v>150.102955898513</v>
      </c>
      <c r="R90" s="12" t="n">
        <f aca="false">IF(OR(K90="",J90=""),"",K90-J90)</f>
        <v>0.00256828359272165</v>
      </c>
      <c r="S90" s="12" t="n">
        <f aca="false">IFERROR(AVERAGE(R88:R90),"")</f>
        <v>0.0028493174017273</v>
      </c>
      <c r="T90" s="16" t="n">
        <v>0.02</v>
      </c>
    </row>
    <row r="91" customFormat="false" ht="15" hidden="false" customHeight="false" outlineLevel="0" collapsed="false">
      <c r="B91" s="8" t="s">
        <v>135</v>
      </c>
      <c r="C91" s="9" t="n">
        <v>2026</v>
      </c>
      <c r="D91" s="9" t="n">
        <v>1</v>
      </c>
      <c r="E91" s="10" t="n">
        <v>10413.0309</v>
      </c>
      <c r="F91" s="10" t="n">
        <v>10665.8531</v>
      </c>
      <c r="G91" s="10" t="n">
        <v>10313.8016</v>
      </c>
      <c r="H91" s="10" t="n">
        <v>9130.0503</v>
      </c>
      <c r="I91" s="12" t="n">
        <f aca="false">IF(OR(E91="",E90=""),"",E91/E90-1)</f>
        <v>0.0288161935366171</v>
      </c>
      <c r="J91" s="12" t="n">
        <f aca="false">IF(OR(F91="",F90=""),"",F91/F90-1)</f>
        <v>0.0263036906585312</v>
      </c>
      <c r="K91" s="12" t="n">
        <f aca="false">IF(OR(G91="",G90=""),"",G91/G90-1)</f>
        <v>0.0243023739980062</v>
      </c>
      <c r="L91" s="12" t="n">
        <f aca="false">IF(OR(H91="",H90=""),"",H91/H90-1)</f>
        <v>0.0570729163838513</v>
      </c>
      <c r="M91" s="13" t="n">
        <f aca="false">IF(OR(E91="",E79=""),"",E91/E79-1)</f>
        <v>0.324118064389535</v>
      </c>
      <c r="N91" s="13" t="n">
        <f aca="false">IF(OR(F91="",F79=""),"",F91/F79-1)</f>
        <v>0.333908929759085</v>
      </c>
      <c r="O91" s="14" t="n">
        <f aca="false">IF(G91="","",G91/$G$66*100)</f>
        <v>420.493607183738</v>
      </c>
      <c r="P91" s="14" t="n">
        <f aca="false">IF(F91="","",F91/$F$66*100)</f>
        <v>280.684133972651</v>
      </c>
      <c r="Q91" s="15" t="n">
        <f aca="false">IF(OR(F91="",G91=""),"",(G91/$G$66)/(F91/$F$66)*100)</f>
        <v>149.810251556545</v>
      </c>
      <c r="R91" s="12" t="n">
        <f aca="false">IF(OR(K91="",J91=""),"",K91-J91)</f>
        <v>-0.00200131666052505</v>
      </c>
      <c r="S91" s="12" t="n">
        <f aca="false">IFERROR(AVERAGE(R89:R91),"")</f>
        <v>0.00102148580797978</v>
      </c>
      <c r="T91" s="16" t="n">
        <v>0.02</v>
      </c>
    </row>
    <row r="92" customFormat="false" ht="15" hidden="false" customHeight="false" outlineLevel="0" collapsed="false">
      <c r="B92" s="8" t="s">
        <v>136</v>
      </c>
      <c r="C92" s="9" t="n">
        <v>2026</v>
      </c>
      <c r="D92" s="9" t="n">
        <v>2</v>
      </c>
      <c r="E92" s="10" t="n">
        <v>10714.6255</v>
      </c>
      <c r="F92" s="10" t="n">
        <v>10993.8681</v>
      </c>
      <c r="G92" s="10" t="n">
        <v>10752.23</v>
      </c>
      <c r="H92" s="10" t="n">
        <v>9013.6124</v>
      </c>
      <c r="I92" s="12" t="n">
        <f aca="false">IF(OR(E92="",E91=""),"",E92/E91-1)</f>
        <v>0.0289631907267269</v>
      </c>
      <c r="J92" s="12" t="n">
        <f aca="false">IF(OR(F92="",F91=""),"",F92/F91-1)</f>
        <v>0.0307537518963203</v>
      </c>
      <c r="K92" s="12" t="n">
        <f aca="false">IF(OR(G92="",G91=""),"",G92/G91-1)</f>
        <v>0.0425089037974125</v>
      </c>
      <c r="L92" s="12" t="n">
        <f aca="false">IF(OR(H92="",H91=""),"",H92/H91-1)</f>
        <v>-0.0127532594207067</v>
      </c>
      <c r="M92" s="13" t="n">
        <f aca="false">IF(OR(E92="",E80=""),"",E92/E80-1)</f>
        <v>0.33051474143271</v>
      </c>
      <c r="N92" s="13" t="n">
        <f aca="false">IF(OR(F92="",F80=""),"",F92/F80-1)</f>
        <v>0.335918111927707</v>
      </c>
      <c r="O92" s="14" t="n">
        <f aca="false">IF(G92="","",G92/$G$66*100)</f>
        <v>438.368329478938</v>
      </c>
      <c r="P92" s="14" t="n">
        <f aca="false">IF(F92="","",F92/$F$66*100)</f>
        <v>289.316224190079</v>
      </c>
      <c r="Q92" s="15" t="n">
        <f aca="false">IF(OR(F92="",G92=""),"",(G92/$G$66)/(F92/$F$66)*100)</f>
        <v>151.518751050384</v>
      </c>
      <c r="R92" s="12" t="n">
        <f aca="false">IF(OR(K92="",J92=""),"",K92-J92)</f>
        <v>0.0117551519010921</v>
      </c>
      <c r="S92" s="12" t="n">
        <f aca="false">IFERROR(AVERAGE(R90:R92),"")</f>
        <v>0.00410737294442957</v>
      </c>
      <c r="T92" s="16" t="n">
        <v>0.02</v>
      </c>
    </row>
    <row r="93" customFormat="false" ht="15" hidden="false" customHeight="false" outlineLevel="0" collapsed="false">
      <c r="B93" s="8" t="s">
        <v>137</v>
      </c>
      <c r="C93" s="9" t="n">
        <v>2026</v>
      </c>
      <c r="D93" s="9" t="n">
        <v>3</v>
      </c>
      <c r="E93" s="10" t="n">
        <v>11077.0608</v>
      </c>
      <c r="F93" s="10" t="n">
        <v>11344.4566</v>
      </c>
      <c r="G93" s="10" t="n">
        <v>11298.7045</v>
      </c>
      <c r="H93" s="10" t="n">
        <v>9107.887</v>
      </c>
      <c r="I93" s="12" t="n">
        <f aca="false">IF(OR(E93="",E92=""),"",E93/E92-1)</f>
        <v>0.0338262219244152</v>
      </c>
      <c r="J93" s="12" t="n">
        <f aca="false">IF(OR(F93="",F92=""),"",F93/F92-1)</f>
        <v>0.0318894584518437</v>
      </c>
      <c r="K93" s="12" t="n">
        <f aca="false">IF(OR(G93="",G92=""),"",G93/G92-1)</f>
        <v>0.0508242941231727</v>
      </c>
      <c r="L93" s="12" t="n">
        <f aca="false">IF(OR(H93="",H92=""),"",H93/H92-1)</f>
        <v>0.0104591362282231</v>
      </c>
      <c r="M93" s="13" t="n">
        <f aca="false">IF(OR(E93="",E81=""),"",E93/E81-1)</f>
        <v>0.326067523988498</v>
      </c>
      <c r="N93" s="13" t="n">
        <f aca="false">IF(OR(F93="",F81=""),"",F93/F81-1)</f>
        <v>0.335868342944392</v>
      </c>
      <c r="O93" s="14" t="n">
        <f aca="false">IF(G93="","",G93/$G$66*100)</f>
        <v>460.64809039066</v>
      </c>
      <c r="P93" s="14" t="n">
        <f aca="false">IF(F93="","",F93/$F$66*100)</f>
        <v>298.542361900833</v>
      </c>
      <c r="Q93" s="15" t="n">
        <f aca="false">IF(OR(F93="",G93=""),"",(G93/$G$66)/(F93/$F$66)*100)</f>
        <v>154.299070811155</v>
      </c>
      <c r="R93" s="12" t="n">
        <f aca="false">IF(OR(K93="",J93=""),"",K93-J93)</f>
        <v>0.018934835671329</v>
      </c>
      <c r="S93" s="12" t="n">
        <f aca="false">IFERROR(AVERAGE(R91:R93),"")</f>
        <v>0.00956289030396536</v>
      </c>
      <c r="T93" s="16" t="n">
        <v>0.02</v>
      </c>
    </row>
    <row r="94" customFormat="false" ht="15" hidden="false" customHeight="false" outlineLevel="0" collapsed="false">
      <c r="B94" s="8" t="s">
        <v>138</v>
      </c>
      <c r="C94" s="9" t="n">
        <v>2026</v>
      </c>
      <c r="D94" s="9" t="n">
        <v>4</v>
      </c>
      <c r="E94" s="10" t="n">
        <v>11363.0904</v>
      </c>
      <c r="F94" s="10" t="n">
        <v>11603.8447</v>
      </c>
      <c r="G94" s="10" t="n">
        <v>11828.0421</v>
      </c>
      <c r="H94" s="10" t="n">
        <v>9103.5096</v>
      </c>
      <c r="I94" s="12" t="n">
        <f aca="false">IF(OR(E94="",E93=""),"",E94/E93-1)</f>
        <v>0.0258217956156745</v>
      </c>
      <c r="J94" s="12" t="n">
        <f aca="false">IF(OR(F94="",F93=""),"",F94/F93-1)</f>
        <v>0.0228647443545247</v>
      </c>
      <c r="K94" s="12" t="n">
        <f aca="false">IF(OR(G94="",G93=""),"",G94/G93-1)</f>
        <v>0.0468494064961165</v>
      </c>
      <c r="L94" s="12" t="n">
        <f aca="false">IF(OR(H94="",H93=""),"",H94/H93-1)</f>
        <v>-0.000480616415201585</v>
      </c>
      <c r="M94" s="13" t="n">
        <f aca="false">IF(OR(E94="",E82=""),"",E94/E82-1)</f>
        <v>0.323504481534784</v>
      </c>
      <c r="N94" s="13" t="n">
        <f aca="false">IF(OR(F94="",F82=""),"",F94/F82-1)</f>
        <v>0.323854470075434</v>
      </c>
      <c r="O94" s="14" t="n">
        <f aca="false">IF(G94="","",G94/$G$66*100)</f>
        <v>482.229180029031</v>
      </c>
      <c r="P94" s="14" t="n">
        <f aca="false">IF(F94="","",F94/$F$66*100)</f>
        <v>305.368456684692</v>
      </c>
      <c r="Q94" s="15" t="n">
        <f aca="false">IF(OR(F94="",G94=""),"",(G94/$G$66)/(F94/$F$66)*100)</f>
        <v>157.917155316064</v>
      </c>
      <c r="R94" s="12" t="n">
        <f aca="false">IF(OR(K94="",J94=""),"",K94-J94)</f>
        <v>0.0239846621415918</v>
      </c>
      <c r="S94" s="12" t="n">
        <f aca="false">IFERROR(AVERAGE(R92:R94),"")</f>
        <v>0.0182248832380043</v>
      </c>
      <c r="T94" s="16" t="n">
        <v>0.02</v>
      </c>
    </row>
    <row r="95" customFormat="false" ht="15" hidden="false" customHeight="false" outlineLevel="0" collapsed="false">
      <c r="B95" s="8" t="s">
        <v>139</v>
      </c>
      <c r="C95" s="9" t="n">
        <v>2026</v>
      </c>
      <c r="D95" s="9" t="n">
        <v>5</v>
      </c>
      <c r="E95" s="10" t="n">
        <v>11607.3937</v>
      </c>
      <c r="F95" s="10" t="n">
        <v>11824.7213</v>
      </c>
      <c r="G95" s="10" t="n">
        <v>12111.4533</v>
      </c>
      <c r="H95" s="10" t="n">
        <v>9420.5342</v>
      </c>
      <c r="I95" s="12" t="n">
        <f aca="false">IF(OR(E95="",E94=""),"",E95/E94-1)</f>
        <v>0.0214997233499086</v>
      </c>
      <c r="J95" s="12" t="n">
        <f aca="false">IF(OR(F95="",F94=""),"",F95/F94-1)</f>
        <v>0.0190347773268631</v>
      </c>
      <c r="K95" s="12" t="n">
        <f aca="false">IF(OR(G95="",G94=""),"",G95/G94-1)</f>
        <v>0.0239609563107659</v>
      </c>
      <c r="L95" s="12" t="n">
        <f aca="false">IF(OR(H95="",H94=""),"",H95/H94-1)</f>
        <v>0.0348244373796234</v>
      </c>
      <c r="M95" s="13" t="n">
        <f aca="false">IF(OR(E95="",E83=""),"",E95/E83-1)</f>
        <v>0.331965216862849</v>
      </c>
      <c r="N95" s="13" t="n">
        <f aca="false">IF(OR(F95="",F83=""),"",F95/F83-1)</f>
        <v>0.32004877497033</v>
      </c>
      <c r="O95" s="14" t="n">
        <f aca="false">IF(G95="","",G95/$G$66*100)</f>
        <v>493.783852343484</v>
      </c>
      <c r="P95" s="14" t="n">
        <f aca="false">IF(F95="","",F95/$F$66*100)</f>
        <v>311.181077260333</v>
      </c>
      <c r="Q95" s="15" t="n">
        <f aca="false">IF(OR(F95="",G95=""),"",(G95/$G$66)/(F95/$F$66)*100)</f>
        <v>158.680552394382</v>
      </c>
      <c r="R95" s="12" t="n">
        <f aca="false">IF(OR(K95="",J95=""),"",K95-J95)</f>
        <v>0.0049261789839028</v>
      </c>
      <c r="S95" s="12" t="n">
        <f aca="false">IFERROR(AVERAGE(R93:R95),"")</f>
        <v>0.0159485589322745</v>
      </c>
      <c r="T95" s="16" t="n">
        <v>0.02</v>
      </c>
    </row>
    <row r="96" customFormat="false" ht="15" hidden="false" customHeight="false" outlineLevel="0" collapsed="false">
      <c r="B96" s="8" t="s">
        <v>140</v>
      </c>
      <c r="C96" s="9" t="n">
        <v>2026</v>
      </c>
      <c r="D96" s="9" t="n">
        <v>6</v>
      </c>
      <c r="E96" s="10" t="n">
        <v>11826.4103</v>
      </c>
      <c r="F96" s="10" t="n">
        <v>12010.3199</v>
      </c>
      <c r="G96" s="10" t="n">
        <v>12389.4344</v>
      </c>
      <c r="H96" s="10" t="n">
        <v>9738.5609</v>
      </c>
      <c r="I96" s="12" t="n">
        <f aca="false">IF(OR(E96="",E95=""),"",E96/E95-1)</f>
        <v>0.0188687146882938</v>
      </c>
      <c r="J96" s="12" t="n">
        <f aca="false">IF(OR(F96="",F95=""),"",F96/F95-1)</f>
        <v>0.0156958117905071</v>
      </c>
      <c r="K96" s="12" t="n">
        <f aca="false">IF(OR(G96="",G95=""),"",G96/G95-1)</f>
        <v>0.0229519194034296</v>
      </c>
      <c r="L96" s="12" t="n">
        <f aca="false">IF(OR(H96="",H95=""),"",H96/H95-1)</f>
        <v>0.0337588817415471</v>
      </c>
      <c r="M96" s="13" t="n">
        <f aca="false">IF(OR(E96="",E84=""),"",E96/E84-1)</f>
        <v>0.335477313985085</v>
      </c>
      <c r="N96" s="13" t="n">
        <f aca="false">IF(OR(F96="",F84=""),"",F96/F84-1)</f>
        <v>0.318177935891504</v>
      </c>
      <c r="O96" s="14" t="n">
        <f aca="false">IF(G96="","",G96/$G$66*100)</f>
        <v>505.117139525186</v>
      </c>
      <c r="P96" s="14" t="n">
        <f aca="false">IF(F96="","",F96/$F$66*100)</f>
        <v>316.065316881778</v>
      </c>
      <c r="Q96" s="15" t="n">
        <f aca="false">IF(OR(F96="",G96=""),"",(G96/$G$66)/(F96/$F$66)*100)</f>
        <v>159.814162625797</v>
      </c>
      <c r="R96" s="12" t="n">
        <f aca="false">IF(OR(K96="",J96=""),"",K96-J96)</f>
        <v>0.0072561076129225</v>
      </c>
      <c r="S96" s="12" t="n">
        <f aca="false">IFERROR(AVERAGE(R94:R96),"")</f>
        <v>0.0120556495794724</v>
      </c>
      <c r="T96" s="16" t="n">
        <v>0.02</v>
      </c>
    </row>
    <row r="97" customFormat="false" ht="15" hidden="false" customHeight="false" outlineLevel="0" collapsed="false">
      <c r="B97" s="8" t="s">
        <v>141</v>
      </c>
      <c r="C97" s="9" t="n">
        <v>2026</v>
      </c>
      <c r="D97" s="9" t="n">
        <v>7</v>
      </c>
      <c r="E97" s="11"/>
      <c r="F97" s="11"/>
      <c r="G97" s="11"/>
      <c r="H97" s="11"/>
      <c r="I97" s="12" t="str">
        <f aca="false">IF(OR(E97="",E96=""),"",E97/E96-1)</f>
        <v/>
      </c>
      <c r="J97" s="12" t="str">
        <f aca="false">IF(OR(F97="",F96=""),"",F97/F96-1)</f>
        <v/>
      </c>
      <c r="K97" s="12" t="str">
        <f aca="false">IF(OR(G97="",G96=""),"",G97/G96-1)</f>
        <v/>
      </c>
      <c r="L97" s="12" t="str">
        <f aca="false">IF(OR(H97="",H96=""),"",H97/H96-1)</f>
        <v/>
      </c>
      <c r="M97" s="13" t="str">
        <f aca="false">IF(OR(E97="",E85=""),"",E97/E85-1)</f>
        <v/>
      </c>
      <c r="N97" s="13" t="str">
        <f aca="false">IF(OR(F97="",F85=""),"",F97/F85-1)</f>
        <v/>
      </c>
      <c r="O97" s="14" t="str">
        <f aca="false">IF(G97="","",G97/$G$66*100)</f>
        <v/>
      </c>
      <c r="P97" s="14" t="str">
        <f aca="false">IF(F97="","",F97/$F$66*100)</f>
        <v/>
      </c>
      <c r="Q97" s="15" t="str">
        <f aca="false">IF(OR(F97="",G97=""),"",(G97/$G$66)/(F97/$F$66)*100)</f>
        <v/>
      </c>
      <c r="R97" s="12" t="str">
        <f aca="false">IF(OR(K97="",J97=""),"",K97-J97)</f>
        <v/>
      </c>
      <c r="S97" s="12" t="n">
        <f aca="false">IFERROR(AVERAGE(R95:R97),"")</f>
        <v>0.00609114329841265</v>
      </c>
      <c r="T97" s="16" t="n">
        <v>0.02</v>
      </c>
    </row>
    <row r="98" customFormat="false" ht="15" hidden="false" customHeight="false" outlineLevel="0" collapsed="false">
      <c r="B98" s="8" t="s">
        <v>142</v>
      </c>
      <c r="C98" s="9" t="n">
        <v>2026</v>
      </c>
      <c r="D98" s="9" t="n">
        <v>8</v>
      </c>
      <c r="E98" s="11"/>
      <c r="F98" s="11"/>
      <c r="G98" s="11"/>
      <c r="H98" s="11"/>
      <c r="I98" s="12" t="str">
        <f aca="false">IF(OR(E98="",E97=""),"",E98/E97-1)</f>
        <v/>
      </c>
      <c r="J98" s="12" t="str">
        <f aca="false">IF(OR(F98="",F97=""),"",F98/F97-1)</f>
        <v/>
      </c>
      <c r="K98" s="12" t="str">
        <f aca="false">IF(OR(G98="",G97=""),"",G98/G97-1)</f>
        <v/>
      </c>
      <c r="L98" s="12" t="str">
        <f aca="false">IF(OR(H98="",H97=""),"",H98/H97-1)</f>
        <v/>
      </c>
      <c r="M98" s="13" t="str">
        <f aca="false">IF(OR(E98="",E86=""),"",E98/E86-1)</f>
        <v/>
      </c>
      <c r="N98" s="13" t="str">
        <f aca="false">IF(OR(F98="",F86=""),"",F98/F86-1)</f>
        <v/>
      </c>
      <c r="O98" s="14" t="str">
        <f aca="false">IF(G98="","",G98/$G$66*100)</f>
        <v/>
      </c>
      <c r="P98" s="14" t="str">
        <f aca="false">IF(F98="","",F98/$F$66*100)</f>
        <v/>
      </c>
      <c r="Q98" s="15" t="str">
        <f aca="false">IF(OR(F98="",G98=""),"",(G98/$G$66)/(F98/$F$66)*100)</f>
        <v/>
      </c>
      <c r="R98" s="12" t="str">
        <f aca="false">IF(OR(K98="",J98=""),"",K98-J98)</f>
        <v/>
      </c>
      <c r="S98" s="12" t="n">
        <f aca="false">IFERROR(AVERAGE(R96:R98),"")</f>
        <v>0.0072561076129225</v>
      </c>
      <c r="T98" s="16" t="n">
        <v>0.02</v>
      </c>
    </row>
    <row r="99" customFormat="false" ht="15" hidden="false" customHeight="false" outlineLevel="0" collapsed="false">
      <c r="B99" s="8" t="s">
        <v>143</v>
      </c>
      <c r="C99" s="9" t="n">
        <v>2026</v>
      </c>
      <c r="D99" s="9" t="n">
        <v>9</v>
      </c>
      <c r="E99" s="11"/>
      <c r="F99" s="11"/>
      <c r="G99" s="11"/>
      <c r="H99" s="11"/>
      <c r="I99" s="12" t="str">
        <f aca="false">IF(OR(E99="",E98=""),"",E99/E98-1)</f>
        <v/>
      </c>
      <c r="J99" s="12" t="str">
        <f aca="false">IF(OR(F99="",F98=""),"",F99/F98-1)</f>
        <v/>
      </c>
      <c r="K99" s="12" t="str">
        <f aca="false">IF(OR(G99="",G98=""),"",G99/G98-1)</f>
        <v/>
      </c>
      <c r="L99" s="12" t="str">
        <f aca="false">IF(OR(H99="",H98=""),"",H99/H98-1)</f>
        <v/>
      </c>
      <c r="M99" s="13" t="str">
        <f aca="false">IF(OR(E99="",E87=""),"",E99/E87-1)</f>
        <v/>
      </c>
      <c r="N99" s="13" t="str">
        <f aca="false">IF(OR(F99="",F87=""),"",F99/F87-1)</f>
        <v/>
      </c>
      <c r="O99" s="14" t="str">
        <f aca="false">IF(G99="","",G99/$G$66*100)</f>
        <v/>
      </c>
      <c r="P99" s="14" t="str">
        <f aca="false">IF(F99="","",F99/$F$66*100)</f>
        <v/>
      </c>
      <c r="Q99" s="15" t="str">
        <f aca="false">IF(OR(F99="",G99=""),"",(G99/$G$66)/(F99/$F$66)*100)</f>
        <v/>
      </c>
      <c r="R99" s="12" t="str">
        <f aca="false">IF(OR(K99="",J99=""),"",K99-J99)</f>
        <v/>
      </c>
      <c r="S99" s="12" t="str">
        <f aca="false">IFERROR(AVERAGE(R97:R99),"")</f>
        <v/>
      </c>
      <c r="T99" s="16" t="n">
        <v>0.02</v>
      </c>
    </row>
    <row r="100" customFormat="false" ht="15" hidden="false" customHeight="false" outlineLevel="0" collapsed="false">
      <c r="B100" s="8" t="s">
        <v>144</v>
      </c>
      <c r="C100" s="9" t="n">
        <v>2026</v>
      </c>
      <c r="D100" s="9" t="n">
        <v>10</v>
      </c>
      <c r="E100" s="11"/>
      <c r="F100" s="11"/>
      <c r="G100" s="11"/>
      <c r="H100" s="11"/>
      <c r="I100" s="12" t="str">
        <f aca="false">IF(OR(E100="",E99=""),"",E100/E99-1)</f>
        <v/>
      </c>
      <c r="J100" s="12" t="str">
        <f aca="false">IF(OR(F100="",F99=""),"",F100/F99-1)</f>
        <v/>
      </c>
      <c r="K100" s="12" t="str">
        <f aca="false">IF(OR(G100="",G99=""),"",G100/G99-1)</f>
        <v/>
      </c>
      <c r="L100" s="12" t="str">
        <f aca="false">IF(OR(H100="",H99=""),"",H100/H99-1)</f>
        <v/>
      </c>
      <c r="M100" s="13" t="str">
        <f aca="false">IF(OR(E100="",E88=""),"",E100/E88-1)</f>
        <v/>
      </c>
      <c r="N100" s="13" t="str">
        <f aca="false">IF(OR(F100="",F88=""),"",F100/F88-1)</f>
        <v/>
      </c>
      <c r="O100" s="14" t="str">
        <f aca="false">IF(G100="","",G100/$G$66*100)</f>
        <v/>
      </c>
      <c r="P100" s="14" t="str">
        <f aca="false">IF(F100="","",F100/$F$66*100)</f>
        <v/>
      </c>
      <c r="Q100" s="15" t="str">
        <f aca="false">IF(OR(F100="",G100=""),"",(G100/$G$66)/(F100/$F$66)*100)</f>
        <v/>
      </c>
      <c r="R100" s="12" t="str">
        <f aca="false">IF(OR(K100="",J100=""),"",K100-J100)</f>
        <v/>
      </c>
      <c r="S100" s="12" t="str">
        <f aca="false">IFERROR(AVERAGE(R98:R100),"")</f>
        <v/>
      </c>
      <c r="T100" s="16" t="n">
        <v>0.02</v>
      </c>
    </row>
    <row r="101" customFormat="false" ht="15" hidden="false" customHeight="false" outlineLevel="0" collapsed="false">
      <c r="B101" s="8" t="s">
        <v>145</v>
      </c>
      <c r="C101" s="9" t="n">
        <v>2026</v>
      </c>
      <c r="D101" s="9" t="n">
        <v>11</v>
      </c>
      <c r="E101" s="11"/>
      <c r="F101" s="11"/>
      <c r="G101" s="11"/>
      <c r="H101" s="11"/>
      <c r="I101" s="12" t="str">
        <f aca="false">IF(OR(E101="",E100=""),"",E101/E100-1)</f>
        <v/>
      </c>
      <c r="J101" s="12" t="str">
        <f aca="false">IF(OR(F101="",F100=""),"",F101/F100-1)</f>
        <v/>
      </c>
      <c r="K101" s="12" t="str">
        <f aca="false">IF(OR(G101="",G100=""),"",G101/G100-1)</f>
        <v/>
      </c>
      <c r="L101" s="12" t="str">
        <f aca="false">IF(OR(H101="",H100=""),"",H101/H100-1)</f>
        <v/>
      </c>
      <c r="M101" s="13" t="str">
        <f aca="false">IF(OR(E101="",E89=""),"",E101/E89-1)</f>
        <v/>
      </c>
      <c r="N101" s="13" t="str">
        <f aca="false">IF(OR(F101="",F89=""),"",F101/F89-1)</f>
        <v/>
      </c>
      <c r="O101" s="14" t="str">
        <f aca="false">IF(G101="","",G101/$G$66*100)</f>
        <v/>
      </c>
      <c r="P101" s="14" t="str">
        <f aca="false">IF(F101="","",F101/$F$66*100)</f>
        <v/>
      </c>
      <c r="Q101" s="15" t="str">
        <f aca="false">IF(OR(F101="",G101=""),"",(G101/$G$66)/(F101/$F$66)*100)</f>
        <v/>
      </c>
      <c r="R101" s="12" t="str">
        <f aca="false">IF(OR(K101="",J101=""),"",K101-J101)</f>
        <v/>
      </c>
      <c r="S101" s="12" t="str">
        <f aca="false">IFERROR(AVERAGE(R99:R101),"")</f>
        <v/>
      </c>
      <c r="T101" s="16" t="n">
        <v>0.02</v>
      </c>
    </row>
    <row r="102" customFormat="false" ht="15" hidden="false" customHeight="false" outlineLevel="0" collapsed="false">
      <c r="B102" s="8" t="s">
        <v>146</v>
      </c>
      <c r="C102" s="9" t="n">
        <v>2026</v>
      </c>
      <c r="D102" s="9" t="n">
        <v>12</v>
      </c>
      <c r="E102" s="11"/>
      <c r="F102" s="11"/>
      <c r="G102" s="11"/>
      <c r="H102" s="11"/>
      <c r="I102" s="12" t="str">
        <f aca="false">IF(OR(E102="",E101=""),"",E102/E101-1)</f>
        <v/>
      </c>
      <c r="J102" s="12" t="str">
        <f aca="false">IF(OR(F102="",F101=""),"",F102/F101-1)</f>
        <v/>
      </c>
      <c r="K102" s="12" t="str">
        <f aca="false">IF(OR(G102="",G101=""),"",G102/G101-1)</f>
        <v/>
      </c>
      <c r="L102" s="12" t="str">
        <f aca="false">IF(OR(H102="",H101=""),"",H102/H101-1)</f>
        <v/>
      </c>
      <c r="M102" s="13" t="str">
        <f aca="false">IF(OR(E102="",E90=""),"",E102/E90-1)</f>
        <v/>
      </c>
      <c r="N102" s="13" t="str">
        <f aca="false">IF(OR(F102="",F90=""),"",F102/F90-1)</f>
        <v/>
      </c>
      <c r="O102" s="14" t="str">
        <f aca="false">IF(G102="","",G102/$G$66*100)</f>
        <v/>
      </c>
      <c r="P102" s="14" t="str">
        <f aca="false">IF(F102="","",F102/$F$66*100)</f>
        <v/>
      </c>
      <c r="Q102" s="15" t="str">
        <f aca="false">IF(OR(F102="",G102=""),"",(G102/$G$66)/(F102/$F$66)*100)</f>
        <v/>
      </c>
      <c r="R102" s="12" t="str">
        <f aca="false">IF(OR(K102="",J102=""),"",K102-J102)</f>
        <v/>
      </c>
      <c r="S102" s="12" t="str">
        <f aca="false">IFERROR(AVERAGE(R100:R102),"")</f>
        <v/>
      </c>
      <c r="T102" s="16" t="n">
        <v>0.02</v>
      </c>
    </row>
    <row r="103" customFormat="false" ht="15" hidden="false" customHeight="false" outlineLevel="0" collapsed="false">
      <c r="B103" s="8" t="s">
        <v>147</v>
      </c>
      <c r="C103" s="9" t="n">
        <v>2027</v>
      </c>
      <c r="D103" s="9" t="n">
        <v>1</v>
      </c>
      <c r="E103" s="11"/>
      <c r="F103" s="11"/>
      <c r="G103" s="11"/>
      <c r="H103" s="11"/>
      <c r="I103" s="12" t="str">
        <f aca="false">IF(OR(E103="",E102=""),"",E103/E102-1)</f>
        <v/>
      </c>
      <c r="J103" s="12" t="str">
        <f aca="false">IF(OR(F103="",F102=""),"",F103/F102-1)</f>
        <v/>
      </c>
      <c r="K103" s="12" t="str">
        <f aca="false">IF(OR(G103="",G102=""),"",G103/G102-1)</f>
        <v/>
      </c>
      <c r="L103" s="12" t="str">
        <f aca="false">IF(OR(H103="",H102=""),"",H103/H102-1)</f>
        <v/>
      </c>
      <c r="M103" s="13" t="str">
        <f aca="false">IF(OR(E103="",E91=""),"",E103/E91-1)</f>
        <v/>
      </c>
      <c r="N103" s="13" t="str">
        <f aca="false">IF(OR(F103="",F91=""),"",F103/F91-1)</f>
        <v/>
      </c>
      <c r="O103" s="14" t="str">
        <f aca="false">IF(G103="","",G103/$G$66*100)</f>
        <v/>
      </c>
      <c r="P103" s="14" t="str">
        <f aca="false">IF(F103="","",F103/$F$66*100)</f>
        <v/>
      </c>
      <c r="Q103" s="15" t="str">
        <f aca="false">IF(OR(F103="",G103=""),"",(G103/$G$66)/(F103/$F$66)*100)</f>
        <v/>
      </c>
      <c r="R103" s="12" t="str">
        <f aca="false">IF(OR(K103="",J103=""),"",K103-J103)</f>
        <v/>
      </c>
      <c r="S103" s="12" t="str">
        <f aca="false">IFERROR(AVERAGE(R101:R103),"")</f>
        <v/>
      </c>
      <c r="T103" s="16" t="n">
        <v>0.02</v>
      </c>
    </row>
    <row r="104" customFormat="false" ht="15" hidden="false" customHeight="false" outlineLevel="0" collapsed="false">
      <c r="B104" s="8" t="s">
        <v>148</v>
      </c>
      <c r="C104" s="9" t="n">
        <v>2027</v>
      </c>
      <c r="D104" s="9" t="n">
        <v>2</v>
      </c>
      <c r="E104" s="11"/>
      <c r="F104" s="11"/>
      <c r="G104" s="11"/>
      <c r="H104" s="11"/>
      <c r="I104" s="12" t="str">
        <f aca="false">IF(OR(E104="",E103=""),"",E104/E103-1)</f>
        <v/>
      </c>
      <c r="J104" s="12" t="str">
        <f aca="false">IF(OR(F104="",F103=""),"",F104/F103-1)</f>
        <v/>
      </c>
      <c r="K104" s="12" t="str">
        <f aca="false">IF(OR(G104="",G103=""),"",G104/G103-1)</f>
        <v/>
      </c>
      <c r="L104" s="12" t="str">
        <f aca="false">IF(OR(H104="",H103=""),"",H104/H103-1)</f>
        <v/>
      </c>
      <c r="M104" s="13" t="str">
        <f aca="false">IF(OR(E104="",E92=""),"",E104/E92-1)</f>
        <v/>
      </c>
      <c r="N104" s="13" t="str">
        <f aca="false">IF(OR(F104="",F92=""),"",F104/F92-1)</f>
        <v/>
      </c>
      <c r="O104" s="14" t="str">
        <f aca="false">IF(G104="","",G104/$G$66*100)</f>
        <v/>
      </c>
      <c r="P104" s="14" t="str">
        <f aca="false">IF(F104="","",F104/$F$66*100)</f>
        <v/>
      </c>
      <c r="Q104" s="15" t="str">
        <f aca="false">IF(OR(F104="",G104=""),"",(G104/$G$66)/(F104/$F$66)*100)</f>
        <v/>
      </c>
      <c r="R104" s="12" t="str">
        <f aca="false">IF(OR(K104="",J104=""),"",K104-J104)</f>
        <v/>
      </c>
      <c r="S104" s="12" t="str">
        <f aca="false">IFERROR(AVERAGE(R102:R104),"")</f>
        <v/>
      </c>
      <c r="T104" s="16" t="n">
        <v>0.02</v>
      </c>
    </row>
    <row r="105" customFormat="false" ht="15" hidden="false" customHeight="false" outlineLevel="0" collapsed="false">
      <c r="B105" s="8" t="s">
        <v>149</v>
      </c>
      <c r="C105" s="9" t="n">
        <v>2027</v>
      </c>
      <c r="D105" s="9" t="n">
        <v>3</v>
      </c>
      <c r="E105" s="11"/>
      <c r="F105" s="11"/>
      <c r="G105" s="11"/>
      <c r="H105" s="11"/>
      <c r="I105" s="12" t="str">
        <f aca="false">IF(OR(E105="",E104=""),"",E105/E104-1)</f>
        <v/>
      </c>
      <c r="J105" s="12" t="str">
        <f aca="false">IF(OR(F105="",F104=""),"",F105/F104-1)</f>
        <v/>
      </c>
      <c r="K105" s="12" t="str">
        <f aca="false">IF(OR(G105="",G104=""),"",G105/G104-1)</f>
        <v/>
      </c>
      <c r="L105" s="12" t="str">
        <f aca="false">IF(OR(H105="",H104=""),"",H105/H104-1)</f>
        <v/>
      </c>
      <c r="M105" s="13" t="str">
        <f aca="false">IF(OR(E105="",E93=""),"",E105/E93-1)</f>
        <v/>
      </c>
      <c r="N105" s="13" t="str">
        <f aca="false">IF(OR(F105="",F93=""),"",F105/F93-1)</f>
        <v/>
      </c>
      <c r="O105" s="14" t="str">
        <f aca="false">IF(G105="","",G105/$G$66*100)</f>
        <v/>
      </c>
      <c r="P105" s="14" t="str">
        <f aca="false">IF(F105="","",F105/$F$66*100)</f>
        <v/>
      </c>
      <c r="Q105" s="15" t="str">
        <f aca="false">IF(OR(F105="",G105=""),"",(G105/$G$66)/(F105/$F$66)*100)</f>
        <v/>
      </c>
      <c r="R105" s="12" t="str">
        <f aca="false">IF(OR(K105="",J105=""),"",K105-J105)</f>
        <v/>
      </c>
      <c r="S105" s="12" t="str">
        <f aca="false">IFERROR(AVERAGE(R103:R105),"")</f>
        <v/>
      </c>
      <c r="T105" s="16" t="n">
        <v>0.02</v>
      </c>
    </row>
    <row r="106" customFormat="false" ht="15" hidden="false" customHeight="false" outlineLevel="0" collapsed="false">
      <c r="B106" s="8" t="s">
        <v>150</v>
      </c>
      <c r="C106" s="9" t="n">
        <v>2027</v>
      </c>
      <c r="D106" s="9" t="n">
        <v>4</v>
      </c>
      <c r="E106" s="11"/>
      <c r="F106" s="11"/>
      <c r="G106" s="11"/>
      <c r="H106" s="11"/>
      <c r="I106" s="12" t="str">
        <f aca="false">IF(OR(E106="",E105=""),"",E106/E105-1)</f>
        <v/>
      </c>
      <c r="J106" s="12" t="str">
        <f aca="false">IF(OR(F106="",F105=""),"",F106/F105-1)</f>
        <v/>
      </c>
      <c r="K106" s="12" t="str">
        <f aca="false">IF(OR(G106="",G105=""),"",G106/G105-1)</f>
        <v/>
      </c>
      <c r="L106" s="12" t="str">
        <f aca="false">IF(OR(H106="",H105=""),"",H106/H105-1)</f>
        <v/>
      </c>
      <c r="M106" s="13" t="str">
        <f aca="false">IF(OR(E106="",E94=""),"",E106/E94-1)</f>
        <v/>
      </c>
      <c r="N106" s="13" t="str">
        <f aca="false">IF(OR(F106="",F94=""),"",F106/F94-1)</f>
        <v/>
      </c>
      <c r="O106" s="14" t="str">
        <f aca="false">IF(G106="","",G106/$G$66*100)</f>
        <v/>
      </c>
      <c r="P106" s="14" t="str">
        <f aca="false">IF(F106="","",F106/$F$66*100)</f>
        <v/>
      </c>
      <c r="Q106" s="15" t="str">
        <f aca="false">IF(OR(F106="",G106=""),"",(G106/$G$66)/(F106/$F$66)*100)</f>
        <v/>
      </c>
      <c r="R106" s="12" t="str">
        <f aca="false">IF(OR(K106="",J106=""),"",K106-J106)</f>
        <v/>
      </c>
      <c r="S106" s="12" t="str">
        <f aca="false">IFERROR(AVERAGE(R104:R106),"")</f>
        <v/>
      </c>
      <c r="T106" s="16" t="n">
        <v>0.02</v>
      </c>
    </row>
    <row r="107" customFormat="false" ht="15" hidden="false" customHeight="false" outlineLevel="0" collapsed="false">
      <c r="B107" s="8" t="s">
        <v>151</v>
      </c>
      <c r="C107" s="9" t="n">
        <v>2027</v>
      </c>
      <c r="D107" s="9" t="n">
        <v>5</v>
      </c>
      <c r="E107" s="11"/>
      <c r="F107" s="11"/>
      <c r="G107" s="11"/>
      <c r="H107" s="11"/>
      <c r="I107" s="12" t="str">
        <f aca="false">IF(OR(E107="",E106=""),"",E107/E106-1)</f>
        <v/>
      </c>
      <c r="J107" s="12" t="str">
        <f aca="false">IF(OR(F107="",F106=""),"",F107/F106-1)</f>
        <v/>
      </c>
      <c r="K107" s="12" t="str">
        <f aca="false">IF(OR(G107="",G106=""),"",G107/G106-1)</f>
        <v/>
      </c>
      <c r="L107" s="12" t="str">
        <f aca="false">IF(OR(H107="",H106=""),"",H107/H106-1)</f>
        <v/>
      </c>
      <c r="M107" s="13" t="str">
        <f aca="false">IF(OR(E107="",E95=""),"",E107/E95-1)</f>
        <v/>
      </c>
      <c r="N107" s="13" t="str">
        <f aca="false">IF(OR(F107="",F95=""),"",F107/F95-1)</f>
        <v/>
      </c>
      <c r="O107" s="14" t="str">
        <f aca="false">IF(G107="","",G107/$G$66*100)</f>
        <v/>
      </c>
      <c r="P107" s="14" t="str">
        <f aca="false">IF(F107="","",F107/$F$66*100)</f>
        <v/>
      </c>
      <c r="Q107" s="15" t="str">
        <f aca="false">IF(OR(F107="",G107=""),"",(G107/$G$66)/(F107/$F$66)*100)</f>
        <v/>
      </c>
      <c r="R107" s="12" t="str">
        <f aca="false">IF(OR(K107="",J107=""),"",K107-J107)</f>
        <v/>
      </c>
      <c r="S107" s="12" t="str">
        <f aca="false">IFERROR(AVERAGE(R105:R107),"")</f>
        <v/>
      </c>
      <c r="T107" s="16" t="n">
        <v>0.02</v>
      </c>
    </row>
    <row r="108" customFormat="false" ht="15" hidden="false" customHeight="false" outlineLevel="0" collapsed="false">
      <c r="B108" s="8" t="s">
        <v>152</v>
      </c>
      <c r="C108" s="9" t="n">
        <v>2027</v>
      </c>
      <c r="D108" s="9" t="n">
        <v>6</v>
      </c>
      <c r="E108" s="11"/>
      <c r="F108" s="11"/>
      <c r="G108" s="11"/>
      <c r="H108" s="11"/>
      <c r="I108" s="12" t="str">
        <f aca="false">IF(OR(E108="",E107=""),"",E108/E107-1)</f>
        <v/>
      </c>
      <c r="J108" s="12" t="str">
        <f aca="false">IF(OR(F108="",F107=""),"",F108/F107-1)</f>
        <v/>
      </c>
      <c r="K108" s="12" t="str">
        <f aca="false">IF(OR(G108="",G107=""),"",G108/G107-1)</f>
        <v/>
      </c>
      <c r="L108" s="12" t="str">
        <f aca="false">IF(OR(H108="",H107=""),"",H108/H107-1)</f>
        <v/>
      </c>
      <c r="M108" s="13" t="str">
        <f aca="false">IF(OR(E108="",E96=""),"",E108/E96-1)</f>
        <v/>
      </c>
      <c r="N108" s="13" t="str">
        <f aca="false">IF(OR(F108="",F96=""),"",F108/F96-1)</f>
        <v/>
      </c>
      <c r="O108" s="14" t="str">
        <f aca="false">IF(G108="","",G108/$G$66*100)</f>
        <v/>
      </c>
      <c r="P108" s="14" t="str">
        <f aca="false">IF(F108="","",F108/$F$66*100)</f>
        <v/>
      </c>
      <c r="Q108" s="15" t="str">
        <f aca="false">IF(OR(F108="",G108=""),"",(G108/$G$66)/(F108/$F$66)*100)</f>
        <v/>
      </c>
      <c r="R108" s="12" t="str">
        <f aca="false">IF(OR(K108="",J108=""),"",K108-J108)</f>
        <v/>
      </c>
      <c r="S108" s="12" t="str">
        <f aca="false">IFERROR(AVERAGE(R106:R108),"")</f>
        <v/>
      </c>
      <c r="T108" s="16" t="n">
        <v>0.02</v>
      </c>
    </row>
    <row r="109" customFormat="false" ht="15" hidden="false" customHeight="false" outlineLevel="0" collapsed="false">
      <c r="B109" s="8" t="s">
        <v>153</v>
      </c>
      <c r="C109" s="9" t="n">
        <v>2027</v>
      </c>
      <c r="D109" s="9" t="n">
        <v>7</v>
      </c>
      <c r="E109" s="11"/>
      <c r="F109" s="11"/>
      <c r="G109" s="11"/>
      <c r="H109" s="11"/>
      <c r="I109" s="12" t="str">
        <f aca="false">IF(OR(E109="",E108=""),"",E109/E108-1)</f>
        <v/>
      </c>
      <c r="J109" s="12" t="str">
        <f aca="false">IF(OR(F109="",F108=""),"",F109/F108-1)</f>
        <v/>
      </c>
      <c r="K109" s="12" t="str">
        <f aca="false">IF(OR(G109="",G108=""),"",G109/G108-1)</f>
        <v/>
      </c>
      <c r="L109" s="12" t="str">
        <f aca="false">IF(OR(H109="",H108=""),"",H109/H108-1)</f>
        <v/>
      </c>
      <c r="M109" s="13" t="str">
        <f aca="false">IF(OR(E109="",E97=""),"",E109/E97-1)</f>
        <v/>
      </c>
      <c r="N109" s="13" t="str">
        <f aca="false">IF(OR(F109="",F97=""),"",F109/F97-1)</f>
        <v/>
      </c>
      <c r="O109" s="14" t="str">
        <f aca="false">IF(G109="","",G109/$G$66*100)</f>
        <v/>
      </c>
      <c r="P109" s="14" t="str">
        <f aca="false">IF(F109="","",F109/$F$66*100)</f>
        <v/>
      </c>
      <c r="Q109" s="15" t="str">
        <f aca="false">IF(OR(F109="",G109=""),"",(G109/$G$66)/(F109/$F$66)*100)</f>
        <v/>
      </c>
      <c r="R109" s="12" t="str">
        <f aca="false">IF(OR(K109="",J109=""),"",K109-J109)</f>
        <v/>
      </c>
      <c r="S109" s="12" t="str">
        <f aca="false">IFERROR(AVERAGE(R107:R109),"")</f>
        <v/>
      </c>
      <c r="T109" s="16" t="n">
        <v>0.02</v>
      </c>
    </row>
    <row r="110" customFormat="false" ht="15" hidden="false" customHeight="false" outlineLevel="0" collapsed="false">
      <c r="B110" s="8" t="s">
        <v>154</v>
      </c>
      <c r="C110" s="9" t="n">
        <v>2027</v>
      </c>
      <c r="D110" s="9" t="n">
        <v>8</v>
      </c>
      <c r="E110" s="11"/>
      <c r="F110" s="11"/>
      <c r="G110" s="11"/>
      <c r="H110" s="11"/>
      <c r="I110" s="12" t="str">
        <f aca="false">IF(OR(E110="",E109=""),"",E110/E109-1)</f>
        <v/>
      </c>
      <c r="J110" s="12" t="str">
        <f aca="false">IF(OR(F110="",F109=""),"",F110/F109-1)</f>
        <v/>
      </c>
      <c r="K110" s="12" t="str">
        <f aca="false">IF(OR(G110="",G109=""),"",G110/G109-1)</f>
        <v/>
      </c>
      <c r="L110" s="12" t="str">
        <f aca="false">IF(OR(H110="",H109=""),"",H110/H109-1)</f>
        <v/>
      </c>
      <c r="M110" s="13" t="str">
        <f aca="false">IF(OR(E110="",E98=""),"",E110/E98-1)</f>
        <v/>
      </c>
      <c r="N110" s="13" t="str">
        <f aca="false">IF(OR(F110="",F98=""),"",F110/F98-1)</f>
        <v/>
      </c>
      <c r="O110" s="14" t="str">
        <f aca="false">IF(G110="","",G110/$G$66*100)</f>
        <v/>
      </c>
      <c r="P110" s="14" t="str">
        <f aca="false">IF(F110="","",F110/$F$66*100)</f>
        <v/>
      </c>
      <c r="Q110" s="15" t="str">
        <f aca="false">IF(OR(F110="",G110=""),"",(G110/$G$66)/(F110/$F$66)*100)</f>
        <v/>
      </c>
      <c r="R110" s="12" t="str">
        <f aca="false">IF(OR(K110="",J110=""),"",K110-J110)</f>
        <v/>
      </c>
      <c r="S110" s="12" t="str">
        <f aca="false">IFERROR(AVERAGE(R108:R110),"")</f>
        <v/>
      </c>
      <c r="T110" s="16" t="n">
        <v>0.02</v>
      </c>
    </row>
    <row r="111" customFormat="false" ht="15" hidden="false" customHeight="false" outlineLevel="0" collapsed="false">
      <c r="B111" s="8" t="s">
        <v>155</v>
      </c>
      <c r="C111" s="9" t="n">
        <v>2027</v>
      </c>
      <c r="D111" s="9" t="n">
        <v>9</v>
      </c>
      <c r="E111" s="11"/>
      <c r="F111" s="11"/>
      <c r="G111" s="11"/>
      <c r="H111" s="11"/>
      <c r="I111" s="12" t="str">
        <f aca="false">IF(OR(E111="",E110=""),"",E111/E110-1)</f>
        <v/>
      </c>
      <c r="J111" s="12" t="str">
        <f aca="false">IF(OR(F111="",F110=""),"",F111/F110-1)</f>
        <v/>
      </c>
      <c r="K111" s="12" t="str">
        <f aca="false">IF(OR(G111="",G110=""),"",G111/G110-1)</f>
        <v/>
      </c>
      <c r="L111" s="12" t="str">
        <f aca="false">IF(OR(H111="",H110=""),"",H111/H110-1)</f>
        <v/>
      </c>
      <c r="M111" s="13" t="str">
        <f aca="false">IF(OR(E111="",E99=""),"",E111/E99-1)</f>
        <v/>
      </c>
      <c r="N111" s="13" t="str">
        <f aca="false">IF(OR(F111="",F99=""),"",F111/F99-1)</f>
        <v/>
      </c>
      <c r="O111" s="14" t="str">
        <f aca="false">IF(G111="","",G111/$G$66*100)</f>
        <v/>
      </c>
      <c r="P111" s="14" t="str">
        <f aca="false">IF(F111="","",F111/$F$66*100)</f>
        <v/>
      </c>
      <c r="Q111" s="15" t="str">
        <f aca="false">IF(OR(F111="",G111=""),"",(G111/$G$66)/(F111/$F$66)*100)</f>
        <v/>
      </c>
      <c r="R111" s="12" t="str">
        <f aca="false">IF(OR(K111="",J111=""),"",K111-J111)</f>
        <v/>
      </c>
      <c r="S111" s="12" t="str">
        <f aca="false">IFERROR(AVERAGE(R109:R111),"")</f>
        <v/>
      </c>
      <c r="T111" s="16" t="n">
        <v>0.02</v>
      </c>
    </row>
    <row r="112" customFormat="false" ht="15" hidden="false" customHeight="false" outlineLevel="0" collapsed="false">
      <c r="B112" s="8" t="s">
        <v>156</v>
      </c>
      <c r="C112" s="9" t="n">
        <v>2027</v>
      </c>
      <c r="D112" s="9" t="n">
        <v>10</v>
      </c>
      <c r="E112" s="11"/>
      <c r="F112" s="11"/>
      <c r="G112" s="11"/>
      <c r="H112" s="11"/>
      <c r="I112" s="12" t="str">
        <f aca="false">IF(OR(E112="",E111=""),"",E112/E111-1)</f>
        <v/>
      </c>
      <c r="J112" s="12" t="str">
        <f aca="false">IF(OR(F112="",F111=""),"",F112/F111-1)</f>
        <v/>
      </c>
      <c r="K112" s="12" t="str">
        <f aca="false">IF(OR(G112="",G111=""),"",G112/G111-1)</f>
        <v/>
      </c>
      <c r="L112" s="12" t="str">
        <f aca="false">IF(OR(H112="",H111=""),"",H112/H111-1)</f>
        <v/>
      </c>
      <c r="M112" s="13" t="str">
        <f aca="false">IF(OR(E112="",E100=""),"",E112/E100-1)</f>
        <v/>
      </c>
      <c r="N112" s="13" t="str">
        <f aca="false">IF(OR(F112="",F100=""),"",F112/F100-1)</f>
        <v/>
      </c>
      <c r="O112" s="14" t="str">
        <f aca="false">IF(G112="","",G112/$G$66*100)</f>
        <v/>
      </c>
      <c r="P112" s="14" t="str">
        <f aca="false">IF(F112="","",F112/$F$66*100)</f>
        <v/>
      </c>
      <c r="Q112" s="15" t="str">
        <f aca="false">IF(OR(F112="",G112=""),"",(G112/$G$66)/(F112/$F$66)*100)</f>
        <v/>
      </c>
      <c r="R112" s="12" t="str">
        <f aca="false">IF(OR(K112="",J112=""),"",K112-J112)</f>
        <v/>
      </c>
      <c r="S112" s="12" t="str">
        <f aca="false">IFERROR(AVERAGE(R110:R112),"")</f>
        <v/>
      </c>
      <c r="T112" s="16" t="n">
        <v>0.02</v>
      </c>
    </row>
    <row r="113" customFormat="false" ht="15" hidden="false" customHeight="false" outlineLevel="0" collapsed="false">
      <c r="B113" s="8" t="s">
        <v>157</v>
      </c>
      <c r="C113" s="9" t="n">
        <v>2027</v>
      </c>
      <c r="D113" s="9" t="n">
        <v>11</v>
      </c>
      <c r="E113" s="11"/>
      <c r="F113" s="11"/>
      <c r="G113" s="11"/>
      <c r="H113" s="11"/>
      <c r="I113" s="12" t="str">
        <f aca="false">IF(OR(E113="",E112=""),"",E113/E112-1)</f>
        <v/>
      </c>
      <c r="J113" s="12" t="str">
        <f aca="false">IF(OR(F113="",F112=""),"",F113/F112-1)</f>
        <v/>
      </c>
      <c r="K113" s="12" t="str">
        <f aca="false">IF(OR(G113="",G112=""),"",G113/G112-1)</f>
        <v/>
      </c>
      <c r="L113" s="12" t="str">
        <f aca="false">IF(OR(H113="",H112=""),"",H113/H112-1)</f>
        <v/>
      </c>
      <c r="M113" s="13" t="str">
        <f aca="false">IF(OR(E113="",E101=""),"",E113/E101-1)</f>
        <v/>
      </c>
      <c r="N113" s="13" t="str">
        <f aca="false">IF(OR(F113="",F101=""),"",F113/F101-1)</f>
        <v/>
      </c>
      <c r="O113" s="14" t="str">
        <f aca="false">IF(G113="","",G113/$G$66*100)</f>
        <v/>
      </c>
      <c r="P113" s="14" t="str">
        <f aca="false">IF(F113="","",F113/$F$66*100)</f>
        <v/>
      </c>
      <c r="Q113" s="15" t="str">
        <f aca="false">IF(OR(F113="",G113=""),"",(G113/$G$66)/(F113/$F$66)*100)</f>
        <v/>
      </c>
      <c r="R113" s="12" t="str">
        <f aca="false">IF(OR(K113="",J113=""),"",K113-J113)</f>
        <v/>
      </c>
      <c r="S113" s="12" t="str">
        <f aca="false">IFERROR(AVERAGE(R111:R113),"")</f>
        <v/>
      </c>
      <c r="T113" s="16" t="n">
        <v>0.02</v>
      </c>
    </row>
    <row r="114" customFormat="false" ht="15" hidden="false" customHeight="false" outlineLevel="0" collapsed="false">
      <c r="B114" s="8" t="s">
        <v>158</v>
      </c>
      <c r="C114" s="9" t="n">
        <v>2027</v>
      </c>
      <c r="D114" s="9" t="n">
        <v>12</v>
      </c>
      <c r="E114" s="11"/>
      <c r="F114" s="11"/>
      <c r="G114" s="11"/>
      <c r="H114" s="11"/>
      <c r="I114" s="12" t="str">
        <f aca="false">IF(OR(E114="",E113=""),"",E114/E113-1)</f>
        <v/>
      </c>
      <c r="J114" s="12" t="str">
        <f aca="false">IF(OR(F114="",F113=""),"",F114/F113-1)</f>
        <v/>
      </c>
      <c r="K114" s="12" t="str">
        <f aca="false">IF(OR(G114="",G113=""),"",G114/G113-1)</f>
        <v/>
      </c>
      <c r="L114" s="12" t="str">
        <f aca="false">IF(OR(H114="",H113=""),"",H114/H113-1)</f>
        <v/>
      </c>
      <c r="M114" s="13" t="str">
        <f aca="false">IF(OR(E114="",E102=""),"",E114/E102-1)</f>
        <v/>
      </c>
      <c r="N114" s="13" t="str">
        <f aca="false">IF(OR(F114="",F102=""),"",F114/F102-1)</f>
        <v/>
      </c>
      <c r="O114" s="14" t="str">
        <f aca="false">IF(G114="","",G114/$G$66*100)</f>
        <v/>
      </c>
      <c r="P114" s="14" t="str">
        <f aca="false">IF(F114="","",F114/$F$66*100)</f>
        <v/>
      </c>
      <c r="Q114" s="15" t="str">
        <f aca="false">IF(OR(F114="",G114=""),"",(G114/$G$66)/(F114/$F$66)*100)</f>
        <v/>
      </c>
      <c r="R114" s="12" t="str">
        <f aca="false">IF(OR(K114="",J114=""),"",K114-J114)</f>
        <v/>
      </c>
      <c r="S114" s="12" t="str">
        <f aca="false">IFERROR(AVERAGE(R112:R114),"")</f>
        <v/>
      </c>
      <c r="T114" s="16" t="n">
        <v>0.02</v>
      </c>
    </row>
    <row r="116" customFormat="false" ht="297.75" hidden="false" customHeight="false" outlineLevel="0" collapsed="false">
      <c r="B116" s="17" t="s">
        <v>159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C0016"/>
    <pageSetUpPr fitToPage="false"/>
  </sheetPr>
  <dimension ref="B2:M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12"/>
    <col collapsed="false" customWidth="true" hidden="false" outlineLevel="0" max="4" min="4" style="0" width="11"/>
    <col collapsed="false" customWidth="true" hidden="false" outlineLevel="0" max="5" min="5" style="0" width="12"/>
    <col collapsed="false" customWidth="true" hidden="false" outlineLevel="0" max="6" min="6" style="0" width="10"/>
  </cols>
  <sheetData>
    <row r="2" customFormat="false" ht="25.5" hidden="false" customHeight="true" outlineLevel="0" collapsed="false">
      <c r="B2" s="1"/>
      <c r="C2" s="2" t="s">
        <v>160</v>
      </c>
    </row>
    <row r="3" customFormat="false" ht="15" hidden="false" customHeight="false" outlineLevel="0" collapsed="false">
      <c r="C3" s="3" t="s">
        <v>161</v>
      </c>
    </row>
    <row r="5" customFormat="false" ht="15" hidden="false" customHeight="false" outlineLevel="0" collapsed="false">
      <c r="B5" s="7" t="s">
        <v>31</v>
      </c>
      <c r="C5" s="7" t="s">
        <v>162</v>
      </c>
      <c r="D5" s="7" t="s">
        <v>163</v>
      </c>
      <c r="E5" s="7" t="s">
        <v>164</v>
      </c>
      <c r="F5" s="7" t="s">
        <v>165</v>
      </c>
    </row>
    <row r="6" customFormat="false" ht="15" hidden="false" customHeight="false" outlineLevel="0" collapsed="false">
      <c r="B6" s="18" t="str">
        <f aca="false">'CPI Data'!B67</f>
        <v>2024-01</v>
      </c>
      <c r="C6" s="19" t="n">
        <f aca="false">'CPI Data'!I67</f>
        <v>0.206142252889611</v>
      </c>
      <c r="D6" s="19" t="n">
        <f aca="false">'CPI Data'!J67</f>
        <v>0.202164887120713</v>
      </c>
      <c r="E6" s="16" t="n">
        <v>0.02</v>
      </c>
      <c r="F6" s="8" t="str">
        <f aca="false">IF(C6="","",IF(C6&lt;$E6,"yes","no"))</f>
        <v>no</v>
      </c>
    </row>
    <row r="7" customFormat="false" ht="15" hidden="false" customHeight="false" outlineLevel="0" collapsed="false">
      <c r="B7" s="18" t="str">
        <f aca="false">'CPI Data'!B68</f>
        <v>2024-02</v>
      </c>
      <c r="C7" s="19" t="n">
        <f aca="false">'CPI Data'!I68</f>
        <v>0.132406760535248</v>
      </c>
      <c r="D7" s="19" t="n">
        <f aca="false">'CPI Data'!J68</f>
        <v>0.122901408397057</v>
      </c>
      <c r="E7" s="16" t="n">
        <v>0.02</v>
      </c>
      <c r="F7" s="8" t="str">
        <f aca="false">IF(C7="","",IF(C7&lt;$E7,"yes","no"))</f>
        <v>no</v>
      </c>
    </row>
    <row r="8" customFormat="false" ht="15" hidden="false" customHeight="false" outlineLevel="0" collapsed="false">
      <c r="B8" s="18" t="str">
        <f aca="false">'CPI Data'!B69</f>
        <v>2024-03</v>
      </c>
      <c r="C8" s="19" t="n">
        <f aca="false">'CPI Data'!I69</f>
        <v>0.110097001565402</v>
      </c>
      <c r="D8" s="19" t="n">
        <f aca="false">'CPI Data'!J69</f>
        <v>0.0941204797536992</v>
      </c>
      <c r="E8" s="16" t="n">
        <v>0.02</v>
      </c>
      <c r="F8" s="8" t="str">
        <f aca="false">IF(C8="","",IF(C8&lt;$E8,"yes","no"))</f>
        <v>no</v>
      </c>
    </row>
    <row r="9" customFormat="false" ht="15" hidden="false" customHeight="false" outlineLevel="0" collapsed="false">
      <c r="B9" s="18" t="str">
        <f aca="false">'CPI Data'!B70</f>
        <v>2024-04</v>
      </c>
      <c r="C9" s="19" t="n">
        <f aca="false">'CPI Data'!I70</f>
        <v>0.0883192076060508</v>
      </c>
      <c r="D9" s="19" t="n">
        <f aca="false">'CPI Data'!J70</f>
        <v>0.0629843839865203</v>
      </c>
      <c r="E9" s="16" t="n">
        <v>0.02</v>
      </c>
      <c r="F9" s="8" t="str">
        <f aca="false">IF(C9="","",IF(C9&lt;$E9,"yes","no"))</f>
        <v>no</v>
      </c>
    </row>
    <row r="10" customFormat="false" ht="15" hidden="false" customHeight="false" outlineLevel="0" collapsed="false">
      <c r="B10" s="18" t="str">
        <f aca="false">'CPI Data'!B71</f>
        <v>2024-05</v>
      </c>
      <c r="C10" s="19" t="n">
        <f aca="false">'CPI Data'!I71</f>
        <v>0.0417604487482142</v>
      </c>
      <c r="D10" s="19" t="n">
        <f aca="false">'CPI Data'!J71</f>
        <v>0.0373468674243314</v>
      </c>
      <c r="E10" s="16" t="n">
        <v>0.02</v>
      </c>
      <c r="F10" s="8" t="str">
        <f aca="false">IF(C10="","",IF(C10&lt;$E10,"yes","no"))</f>
        <v>no</v>
      </c>
    </row>
    <row r="11" customFormat="false" ht="15" hidden="false" customHeight="false" outlineLevel="0" collapsed="false">
      <c r="B11" s="18" t="str">
        <f aca="false">'CPI Data'!B72</f>
        <v>2024-06</v>
      </c>
      <c r="C11" s="19" t="n">
        <f aca="false">'CPI Data'!I72</f>
        <v>0.0457734988557224</v>
      </c>
      <c r="D11" s="19" t="n">
        <f aca="false">'CPI Data'!J72</f>
        <v>0.0365113028584356</v>
      </c>
      <c r="E11" s="16" t="n">
        <v>0.02</v>
      </c>
      <c r="F11" s="8" t="str">
        <f aca="false">IF(C11="","",IF(C11&lt;$E11,"yes","no"))</f>
        <v>no</v>
      </c>
    </row>
    <row r="12" customFormat="false" ht="15" hidden="false" customHeight="false" outlineLevel="0" collapsed="false">
      <c r="B12" s="18" t="str">
        <f aca="false">'CPI Data'!B73</f>
        <v>2024-07</v>
      </c>
      <c r="C12" s="19" t="n">
        <f aca="false">'CPI Data'!I73</f>
        <v>0.040309336951464</v>
      </c>
      <c r="D12" s="19" t="n">
        <f aca="false">'CPI Data'!J73</f>
        <v>0.0378558792889565</v>
      </c>
      <c r="E12" s="16" t="n">
        <v>0.02</v>
      </c>
      <c r="F12" s="8" t="str">
        <f aca="false">IF(C12="","",IF(C12&lt;$E12,"yes","no"))</f>
        <v>no</v>
      </c>
    </row>
    <row r="13" customFormat="false" ht="15" hidden="false" customHeight="false" outlineLevel="0" collapsed="false">
      <c r="B13" s="18" t="str">
        <f aca="false">'CPI Data'!B74</f>
        <v>2024-08</v>
      </c>
      <c r="C13" s="19" t="n">
        <f aca="false">'CPI Data'!I74</f>
        <v>0.0417227327937253</v>
      </c>
      <c r="D13" s="19" t="n">
        <f aca="false">'CPI Data'!J74</f>
        <v>0.0412028557309136</v>
      </c>
      <c r="E13" s="16" t="n">
        <v>0.02</v>
      </c>
      <c r="F13" s="8" t="str">
        <f aca="false">IF(C13="","",IF(C13&lt;$E13,"yes","no"))</f>
        <v>no</v>
      </c>
    </row>
    <row r="14" customFormat="false" ht="15" hidden="false" customHeight="false" outlineLevel="0" collapsed="false">
      <c r="B14" s="18" t="str">
        <f aca="false">'CPI Data'!B75</f>
        <v>2024-09</v>
      </c>
      <c r="C14" s="19" t="n">
        <f aca="false">'CPI Data'!I75</f>
        <v>0.0346920810480664</v>
      </c>
      <c r="D14" s="19" t="n">
        <f aca="false">'CPI Data'!J75</f>
        <v>0.032622057516509</v>
      </c>
      <c r="E14" s="16" t="n">
        <v>0.02</v>
      </c>
      <c r="F14" s="8" t="str">
        <f aca="false">IF(C14="","",IF(C14&lt;$E14,"yes","no"))</f>
        <v>no</v>
      </c>
    </row>
    <row r="15" customFormat="false" ht="15" hidden="false" customHeight="false" outlineLevel="0" collapsed="false">
      <c r="B15" s="18" t="str">
        <f aca="false">'CPI Data'!B76</f>
        <v>2024-10</v>
      </c>
      <c r="C15" s="19" t="n">
        <f aca="false">'CPI Data'!I76</f>
        <v>0.0269173804131146</v>
      </c>
      <c r="D15" s="19" t="n">
        <f aca="false">'CPI Data'!J76</f>
        <v>0.0291781680760621</v>
      </c>
      <c r="E15" s="16" t="n">
        <v>0.02</v>
      </c>
      <c r="F15" s="8" t="str">
        <f aca="false">IF(C15="","",IF(C15&lt;$E15,"yes","no"))</f>
        <v>no</v>
      </c>
    </row>
    <row r="16" customFormat="false" ht="15" hidden="false" customHeight="false" outlineLevel="0" collapsed="false">
      <c r="B16" s="18" t="str">
        <f aca="false">'CPI Data'!B77</f>
        <v>2024-11</v>
      </c>
      <c r="C16" s="19" t="n">
        <f aca="false">'CPI Data'!I77</f>
        <v>0.0242655607550837</v>
      </c>
      <c r="D16" s="19" t="n">
        <f aca="false">'CPI Data'!J77</f>
        <v>0.0271483385629572</v>
      </c>
      <c r="E16" s="16" t="n">
        <v>0.02</v>
      </c>
      <c r="F16" s="8" t="str">
        <f aca="false">IF(C16="","",IF(C16&lt;$E16,"yes","no"))</f>
        <v>no</v>
      </c>
    </row>
    <row r="17" customFormat="false" ht="15" hidden="false" customHeight="false" outlineLevel="0" collapsed="false">
      <c r="B17" s="18" t="str">
        <f aca="false">'CPI Data'!B78</f>
        <v>2024-12</v>
      </c>
      <c r="C17" s="19" t="n">
        <f aca="false">'CPI Data'!I78</f>
        <v>0.0270410405146337</v>
      </c>
      <c r="D17" s="19" t="n">
        <f aca="false">'CPI Data'!J78</f>
        <v>0.0319728150615013</v>
      </c>
      <c r="E17" s="16" t="n">
        <v>0.02</v>
      </c>
      <c r="F17" s="8" t="str">
        <f aca="false">IF(C17="","",IF(C17&lt;$E17,"yes","no"))</f>
        <v>no</v>
      </c>
    </row>
    <row r="18" customFormat="false" ht="15" hidden="false" customHeight="false" outlineLevel="0" collapsed="false">
      <c r="B18" s="18" t="str">
        <f aca="false">'CPI Data'!B79</f>
        <v>2025-01</v>
      </c>
      <c r="C18" s="19" t="n">
        <f aca="false">'CPI Data'!I79</f>
        <v>0.0221104801366518</v>
      </c>
      <c r="D18" s="19" t="n">
        <f aca="false">'CPI Data'!J79</f>
        <v>0.0239768943123944</v>
      </c>
      <c r="E18" s="16" t="n">
        <v>0.02</v>
      </c>
      <c r="F18" s="8" t="str">
        <f aca="false">IF(C18="","",IF(C18&lt;$E18,"yes","no"))</f>
        <v>no</v>
      </c>
    </row>
    <row r="19" customFormat="false" ht="15" hidden="false" customHeight="false" outlineLevel="0" collapsed="false">
      <c r="B19" s="18" t="str">
        <f aca="false">'CPI Data'!B80</f>
        <v>2025-02</v>
      </c>
      <c r="C19" s="19" t="n">
        <f aca="false">'CPI Data'!I80</f>
        <v>0.0240162743075179</v>
      </c>
      <c r="D19" s="19" t="n">
        <f aca="false">'CPI Data'!J80</f>
        <v>0.0292035280913883</v>
      </c>
      <c r="E19" s="16" t="n">
        <v>0.02</v>
      </c>
      <c r="F19" s="8" t="str">
        <f aca="false">IF(C19="","",IF(C19&lt;$E19,"yes","no"))</f>
        <v>no</v>
      </c>
    </row>
    <row r="20" customFormat="false" ht="15" hidden="false" customHeight="false" outlineLevel="0" collapsed="false">
      <c r="B20" s="18" t="str">
        <f aca="false">'CPI Data'!B81</f>
        <v>2025-03</v>
      </c>
      <c r="C20" s="19" t="n">
        <f aca="false">'CPI Data'!I81</f>
        <v>0.0372933530661217</v>
      </c>
      <c r="D20" s="19" t="n">
        <f aca="false">'CPI Data'!J81</f>
        <v>0.0319279024268895</v>
      </c>
      <c r="E20" s="16" t="n">
        <v>0.02</v>
      </c>
      <c r="F20" s="8" t="str">
        <f aca="false">IF(C20="","",IF(C20&lt;$E20,"yes","no"))</f>
        <v>no</v>
      </c>
    </row>
    <row r="21" customFormat="false" ht="15" hidden="false" customHeight="false" outlineLevel="0" collapsed="false">
      <c r="B21" s="18" t="str">
        <f aca="false">'CPI Data'!B82</f>
        <v>2025-04</v>
      </c>
      <c r="C21" s="19" t="n">
        <f aca="false">'CPI Data'!I82</f>
        <v>0.0278083584485096</v>
      </c>
      <c r="D21" s="19" t="n">
        <f aca="false">'CPI Data'!J82</f>
        <v>0.0321471596642027</v>
      </c>
      <c r="E21" s="16" t="n">
        <v>0.02</v>
      </c>
      <c r="F21" s="8" t="str">
        <f aca="false">IF(C21="","",IF(C21&lt;$E21,"yes","no"))</f>
        <v>no</v>
      </c>
    </row>
    <row r="22" customFormat="false" ht="15" hidden="false" customHeight="false" outlineLevel="0" collapsed="false">
      <c r="B22" s="18" t="str">
        <f aca="false">'CPI Data'!B83</f>
        <v>2025-05</v>
      </c>
      <c r="C22" s="19" t="n">
        <f aca="false">'CPI Data'!I83</f>
        <v>0.0150110863438231</v>
      </c>
      <c r="D22" s="19" t="n">
        <f aca="false">'CPI Data'!J83</f>
        <v>0.0219726503339355</v>
      </c>
      <c r="E22" s="16" t="n">
        <v>0.02</v>
      </c>
      <c r="F22" s="8" t="str">
        <f aca="false">IF(C22="","",IF(C22&lt;$E22,"yes","no"))</f>
        <v>yes</v>
      </c>
    </row>
    <row r="23" customFormat="false" ht="15" hidden="false" customHeight="false" outlineLevel="0" collapsed="false">
      <c r="B23" s="18" t="str">
        <f aca="false">'CPI Data'!B84</f>
        <v>2025-06</v>
      </c>
      <c r="C23" s="19" t="n">
        <f aca="false">'CPI Data'!I84</f>
        <v>0.0161892488199333</v>
      </c>
      <c r="D23" s="19" t="n">
        <f aca="false">'CPI Data'!J84</f>
        <v>0.0171373496627161</v>
      </c>
      <c r="E23" s="16" t="n">
        <v>0.02</v>
      </c>
      <c r="F23" s="8" t="str">
        <f aca="false">IF(C23="","",IF(C23&lt;$E23,"yes","no"))</f>
        <v>yes</v>
      </c>
    </row>
    <row r="24" customFormat="false" ht="15" hidden="false" customHeight="false" outlineLevel="0" collapsed="false">
      <c r="B24" s="18" t="str">
        <f aca="false">'CPI Data'!B85</f>
        <v>2025-07</v>
      </c>
      <c r="C24" s="19" t="n">
        <f aca="false">'CPI Data'!I85</f>
        <v>0.0190168375533129</v>
      </c>
      <c r="D24" s="19" t="n">
        <f aca="false">'CPI Data'!J85</f>
        <v>0.0147914831949412</v>
      </c>
      <c r="E24" s="16" t="n">
        <v>0.02</v>
      </c>
      <c r="F24" s="8" t="str">
        <f aca="false">IF(C24="","",IF(C24&lt;$E24,"yes","no"))</f>
        <v>yes</v>
      </c>
    </row>
    <row r="25" customFormat="false" ht="15" hidden="false" customHeight="false" outlineLevel="0" collapsed="false">
      <c r="B25" s="18" t="str">
        <f aca="false">'CPI Data'!B86</f>
        <v>2025-08</v>
      </c>
      <c r="C25" s="19" t="n">
        <f aca="false">'CPI Data'!I86</f>
        <v>0.0187579351135028</v>
      </c>
      <c r="D25" s="19" t="n">
        <f aca="false">'CPI Data'!J86</f>
        <v>0.020449004208132</v>
      </c>
      <c r="E25" s="16" t="n">
        <v>0.02</v>
      </c>
      <c r="F25" s="8" t="str">
        <f aca="false">IF(C25="","",IF(C25&lt;$E25,"yes","no"))</f>
        <v>yes</v>
      </c>
    </row>
    <row r="26" customFormat="false" ht="15" hidden="false" customHeight="false" outlineLevel="0" collapsed="false">
      <c r="B26" s="18" t="str">
        <f aca="false">'CPI Data'!B87</f>
        <v>2025-09</v>
      </c>
      <c r="C26" s="19" t="n">
        <f aca="false">'CPI Data'!I87</f>
        <v>0.0207596032395136</v>
      </c>
      <c r="D26" s="19" t="n">
        <f aca="false">'CPI Data'!J87</f>
        <v>0.0189587619236489</v>
      </c>
      <c r="E26" s="16" t="n">
        <v>0.02</v>
      </c>
      <c r="F26" s="8" t="str">
        <f aca="false">IF(C26="","",IF(C26&lt;$E26,"yes","no"))</f>
        <v>no</v>
      </c>
    </row>
    <row r="27" customFormat="false" ht="15" hidden="false" customHeight="false" outlineLevel="0" collapsed="false">
      <c r="B27" s="18" t="str">
        <f aca="false">'CPI Data'!B88</f>
        <v>2025-10</v>
      </c>
      <c r="C27" s="19" t="n">
        <f aca="false">'CPI Data'!I88</f>
        <v>0.0234194310239195</v>
      </c>
      <c r="D27" s="19" t="n">
        <f aca="false">'CPI Data'!J88</f>
        <v>0.0221671871181035</v>
      </c>
      <c r="E27" s="16" t="n">
        <v>0.02</v>
      </c>
      <c r="F27" s="8" t="str">
        <f aca="false">IF(C27="","",IF(C27&lt;$E27,"yes","no"))</f>
        <v>no</v>
      </c>
    </row>
    <row r="28" customFormat="false" ht="15" hidden="false" customHeight="false" outlineLevel="0" collapsed="false">
      <c r="B28" s="18" t="str">
        <f aca="false">'CPI Data'!B89</f>
        <v>2025-11</v>
      </c>
      <c r="C28" s="19" t="n">
        <f aca="false">'CPI Data'!I89</f>
        <v>0.0247291967107857</v>
      </c>
      <c r="D28" s="19" t="n">
        <f aca="false">'CPI Data'!J89</f>
        <v>0.0263899736538846</v>
      </c>
      <c r="E28" s="16" t="n">
        <v>0.02</v>
      </c>
      <c r="F28" s="8" t="str">
        <f aca="false">IF(C28="","",IF(C28&lt;$E28,"yes","no"))</f>
        <v>no</v>
      </c>
    </row>
    <row r="29" customFormat="false" ht="15" hidden="false" customHeight="false" outlineLevel="0" collapsed="false">
      <c r="B29" s="18" t="str">
        <f aca="false">'CPI Data'!B90</f>
        <v>2025-12</v>
      </c>
      <c r="C29" s="19" t="n">
        <f aca="false">'CPI Data'!I90</f>
        <v>0.0284527193457171</v>
      </c>
      <c r="D29" s="19" t="n">
        <f aca="false">'CPI Data'!J90</f>
        <v>0.0303389211337597</v>
      </c>
      <c r="E29" s="16" t="n">
        <v>0.02</v>
      </c>
      <c r="F29" s="8" t="str">
        <f aca="false">IF(C29="","",IF(C29&lt;$E29,"yes","no"))</f>
        <v>no</v>
      </c>
    </row>
    <row r="30" customFormat="false" ht="15" hidden="false" customHeight="false" outlineLevel="0" collapsed="false">
      <c r="B30" s="18" t="str">
        <f aca="false">'CPI Data'!B91</f>
        <v>2026-01</v>
      </c>
      <c r="C30" s="19" t="n">
        <f aca="false">'CPI Data'!I91</f>
        <v>0.0288161935366171</v>
      </c>
      <c r="D30" s="19" t="n">
        <f aca="false">'CPI Data'!J91</f>
        <v>0.0263036906585312</v>
      </c>
      <c r="E30" s="16" t="n">
        <v>0.02</v>
      </c>
      <c r="F30" s="8" t="str">
        <f aca="false">IF(C30="","",IF(C30&lt;$E30,"yes","no"))</f>
        <v>no</v>
      </c>
    </row>
    <row r="31" customFormat="false" ht="15" hidden="false" customHeight="false" outlineLevel="0" collapsed="false">
      <c r="B31" s="18" t="str">
        <f aca="false">'CPI Data'!B92</f>
        <v>2026-02</v>
      </c>
      <c r="C31" s="19" t="n">
        <f aca="false">'CPI Data'!I92</f>
        <v>0.0289631907267269</v>
      </c>
      <c r="D31" s="19" t="n">
        <f aca="false">'CPI Data'!J92</f>
        <v>0.0307537518963203</v>
      </c>
      <c r="E31" s="16" t="n">
        <v>0.02</v>
      </c>
      <c r="F31" s="8" t="str">
        <f aca="false">IF(C31="","",IF(C31&lt;$E31,"yes","no"))</f>
        <v>no</v>
      </c>
    </row>
    <row r="32" customFormat="false" ht="15" hidden="false" customHeight="false" outlineLevel="0" collapsed="false">
      <c r="B32" s="18" t="str">
        <f aca="false">'CPI Data'!B93</f>
        <v>2026-03</v>
      </c>
      <c r="C32" s="19" t="n">
        <f aca="false">'CPI Data'!I93</f>
        <v>0.0338262219244152</v>
      </c>
      <c r="D32" s="19" t="n">
        <f aca="false">'CPI Data'!J93</f>
        <v>0.0318894584518437</v>
      </c>
      <c r="E32" s="16" t="n">
        <v>0.02</v>
      </c>
      <c r="F32" s="8" t="str">
        <f aca="false">IF(C32="","",IF(C32&lt;$E32,"yes","no"))</f>
        <v>no</v>
      </c>
    </row>
    <row r="33" customFormat="false" ht="15" hidden="false" customHeight="false" outlineLevel="0" collapsed="false">
      <c r="B33" s="18" t="str">
        <f aca="false">'CPI Data'!B94</f>
        <v>2026-04</v>
      </c>
      <c r="C33" s="19" t="n">
        <f aca="false">'CPI Data'!I94</f>
        <v>0.0258217956156745</v>
      </c>
      <c r="D33" s="19" t="n">
        <f aca="false">'CPI Data'!J94</f>
        <v>0.0228647443545247</v>
      </c>
      <c r="E33" s="16" t="n">
        <v>0.02</v>
      </c>
      <c r="F33" s="8" t="str">
        <f aca="false">IF(C33="","",IF(C33&lt;$E33,"yes","no"))</f>
        <v>no</v>
      </c>
    </row>
    <row r="34" customFormat="false" ht="15" hidden="false" customHeight="false" outlineLevel="0" collapsed="false">
      <c r="B34" s="18" t="str">
        <f aca="false">'CPI Data'!B95</f>
        <v>2026-05</v>
      </c>
      <c r="C34" s="19" t="n">
        <f aca="false">'CPI Data'!I95</f>
        <v>0.0214997233499086</v>
      </c>
      <c r="D34" s="19" t="n">
        <f aca="false">'CPI Data'!J95</f>
        <v>0.0190347773268631</v>
      </c>
      <c r="E34" s="16" t="n">
        <v>0.02</v>
      </c>
      <c r="F34" s="8" t="str">
        <f aca="false">IF(C34="","",IF(C34&lt;$E34,"yes","no"))</f>
        <v>no</v>
      </c>
    </row>
    <row r="35" customFormat="false" ht="15" hidden="false" customHeight="false" outlineLevel="0" collapsed="false">
      <c r="B35" s="18" t="str">
        <f aca="false">'CPI Data'!B96</f>
        <v>2026-06</v>
      </c>
      <c r="C35" s="19" t="n">
        <f aca="false">'CPI Data'!I96</f>
        <v>0.0188687146882938</v>
      </c>
      <c r="D35" s="19" t="n">
        <f aca="false">'CPI Data'!J96</f>
        <v>0.0156958117905071</v>
      </c>
      <c r="E35" s="16" t="n">
        <v>0.02</v>
      </c>
      <c r="F35" s="8" t="str">
        <f aca="false">IF(C35="","",IF(C35&lt;$E35,"yes","no"))</f>
        <v>yes</v>
      </c>
    </row>
    <row r="38" customFormat="false" ht="15" hidden="false" customHeight="false" outlineLevel="0" collapsed="false">
      <c r="B38" s="4" t="s">
        <v>166</v>
      </c>
    </row>
    <row r="40" customFormat="false" ht="25.5" hidden="false" customHeight="true" outlineLevel="0" collapsed="false">
      <c r="B40" s="20" t="s">
        <v>167</v>
      </c>
      <c r="C40" s="20"/>
      <c r="D40" s="21" t="s">
        <v>168</v>
      </c>
      <c r="E40" s="21"/>
      <c r="F40" s="21"/>
      <c r="G40" s="21"/>
      <c r="H40" s="21"/>
      <c r="I40" s="21"/>
      <c r="J40" s="21"/>
      <c r="K40" s="21"/>
      <c r="L40" s="21"/>
      <c r="M40" s="21"/>
    </row>
    <row r="42" customFormat="false" ht="39" hidden="false" customHeight="true" outlineLevel="0" collapsed="false">
      <c r="B42" s="20" t="s">
        <v>169</v>
      </c>
      <c r="C42" s="20"/>
      <c r="D42" s="21" t="s">
        <v>170</v>
      </c>
      <c r="E42" s="21"/>
      <c r="F42" s="21"/>
      <c r="G42" s="21"/>
      <c r="H42" s="21"/>
      <c r="I42" s="21"/>
      <c r="J42" s="21"/>
      <c r="K42" s="21"/>
      <c r="L42" s="21"/>
      <c r="M42" s="21"/>
    </row>
    <row r="44" customFormat="false" ht="25.5" hidden="false" customHeight="true" outlineLevel="0" collapsed="false">
      <c r="B44" s="20" t="s">
        <v>171</v>
      </c>
      <c r="C44" s="20"/>
      <c r="D44" s="21" t="s">
        <v>172</v>
      </c>
      <c r="E44" s="21"/>
      <c r="F44" s="21"/>
      <c r="G44" s="21"/>
      <c r="H44" s="21"/>
      <c r="I44" s="21"/>
      <c r="J44" s="21"/>
      <c r="K44" s="21"/>
      <c r="L44" s="21"/>
      <c r="M44" s="21"/>
    </row>
    <row r="46" customFormat="false" ht="25.5" hidden="false" customHeight="true" outlineLevel="0" collapsed="false">
      <c r="B46" s="20" t="s">
        <v>173</v>
      </c>
      <c r="C46" s="20"/>
      <c r="D46" s="21" t="s">
        <v>174</v>
      </c>
      <c r="E46" s="21"/>
      <c r="F46" s="21"/>
      <c r="G46" s="21"/>
      <c r="H46" s="21"/>
      <c r="I46" s="21"/>
      <c r="J46" s="21"/>
      <c r="K46" s="21"/>
      <c r="L46" s="21"/>
      <c r="M46" s="21"/>
    </row>
    <row r="48" customFormat="false" ht="25.5" hidden="false" customHeight="true" outlineLevel="0" collapsed="false">
      <c r="B48" s="20" t="s">
        <v>175</v>
      </c>
      <c r="C48" s="20"/>
      <c r="D48" s="21" t="s">
        <v>176</v>
      </c>
      <c r="E48" s="21"/>
      <c r="F48" s="21"/>
      <c r="G48" s="21"/>
      <c r="H48" s="21"/>
      <c r="I48" s="21"/>
      <c r="J48" s="21"/>
      <c r="K48" s="21"/>
      <c r="L48" s="21"/>
      <c r="M48" s="21"/>
    </row>
  </sheetData>
  <mergeCells count="10">
    <mergeCell ref="B40:C40"/>
    <mergeCell ref="D40:M40"/>
    <mergeCell ref="B42:C42"/>
    <mergeCell ref="D42:M42"/>
    <mergeCell ref="B44:C44"/>
    <mergeCell ref="D44:M44"/>
    <mergeCell ref="B46:C46"/>
    <mergeCell ref="D46:M46"/>
    <mergeCell ref="B48:C48"/>
    <mergeCell ref="D48:M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C0016"/>
    <pageSetUpPr fitToPage="false"/>
  </sheetPr>
  <dimension ref="B2:M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4" min="3" style="0" width="12"/>
    <col collapsed="false" customWidth="true" hidden="false" outlineLevel="0" max="6" min="5" style="0" width="13"/>
    <col collapsed="false" customWidth="true" hidden="false" outlineLevel="0" max="7" min="7" style="0" width="12"/>
    <col collapsed="false" customWidth="true" hidden="false" outlineLevel="0" max="9" min="9" style="0" width="11"/>
    <col collapsed="false" customWidth="true" hidden="false" outlineLevel="0" max="10" min="10" style="0" width="12"/>
    <col collapsed="false" customWidth="true" hidden="false" outlineLevel="0" max="11" min="11" style="0" width="13"/>
    <col collapsed="false" customWidth="true" hidden="false" outlineLevel="0" max="12" min="12" style="0" width="14"/>
    <col collapsed="false" customWidth="true" hidden="false" outlineLevel="0" max="13" min="13" style="0" width="13"/>
  </cols>
  <sheetData>
    <row r="2" customFormat="false" ht="25.5" hidden="false" customHeight="true" outlineLevel="0" collapsed="false">
      <c r="B2" s="1"/>
      <c r="C2" s="2" t="s">
        <v>177</v>
      </c>
    </row>
    <row r="3" customFormat="false" ht="15" hidden="false" customHeight="false" outlineLevel="0" collapsed="false">
      <c r="C3" s="3" t="s">
        <v>178</v>
      </c>
    </row>
    <row r="5" customFormat="false" ht="30" hidden="false" customHeight="true" outlineLevel="0" collapsed="false">
      <c r="B5" s="7" t="s">
        <v>31</v>
      </c>
      <c r="C5" s="7" t="s">
        <v>44</v>
      </c>
      <c r="D5" s="7" t="s">
        <v>45</v>
      </c>
      <c r="E5" s="7" t="s">
        <v>179</v>
      </c>
      <c r="F5" s="7" t="s">
        <v>180</v>
      </c>
      <c r="G5" s="7" t="s">
        <v>181</v>
      </c>
    </row>
    <row r="6" customFormat="false" ht="15" hidden="false" customHeight="false" outlineLevel="0" collapsed="false">
      <c r="B6" s="18" t="str">
        <f aca="false">'CPI Data'!B66</f>
        <v>2023-12</v>
      </c>
      <c r="C6" s="22" t="n">
        <f aca="false">'CPI Data'!O66</f>
        <v>100</v>
      </c>
      <c r="D6" s="22" t="n">
        <f aca="false">'CPI Data'!P66</f>
        <v>100</v>
      </c>
      <c r="E6" s="23" t="n">
        <f aca="false">'CPI Data'!Q66</f>
        <v>100</v>
      </c>
      <c r="F6" s="19" t="n">
        <f aca="false">'CPI Data'!R66</f>
        <v>-0.0757882685539071</v>
      </c>
      <c r="G6" s="19" t="n">
        <f aca="false">'CPI Data'!S66</f>
        <v>-0.0437202163510129</v>
      </c>
    </row>
    <row r="7" customFormat="false" ht="15" hidden="false" customHeight="false" outlineLevel="0" collapsed="false">
      <c r="B7" s="18" t="str">
        <f aca="false">'CPI Data'!B67</f>
        <v>2024-01</v>
      </c>
      <c r="C7" s="22" t="n">
        <f aca="false">'CPI Data'!O67</f>
        <v>126.571935959801</v>
      </c>
      <c r="D7" s="22" t="n">
        <f aca="false">'CPI Data'!P67</f>
        <v>120.216488712071</v>
      </c>
      <c r="E7" s="23" t="n">
        <f aca="false">'CPI Data'!Q67</f>
        <v>105.286668505975</v>
      </c>
      <c r="F7" s="19" t="n">
        <f aca="false">'CPI Data'!R67</f>
        <v>0.0635544724773016</v>
      </c>
      <c r="G7" s="19" t="n">
        <f aca="false">'CPI Data'!S67</f>
        <v>-0.0152358640647707</v>
      </c>
    </row>
    <row r="8" customFormat="false" ht="15" hidden="false" customHeight="false" outlineLevel="0" collapsed="false">
      <c r="B8" s="18" t="str">
        <f aca="false">'CPI Data'!B68</f>
        <v>2024-02</v>
      </c>
      <c r="C8" s="22" t="n">
        <f aca="false">'CPI Data'!O68</f>
        <v>153.286363041122</v>
      </c>
      <c r="D8" s="22" t="n">
        <f aca="false">'CPI Data'!P68</f>
        <v>134.991264487334</v>
      </c>
      <c r="E8" s="23" t="n">
        <f aca="false">'CPI Data'!Q68</f>
        <v>113.552801822598</v>
      </c>
      <c r="F8" s="19" t="n">
        <f aca="false">'CPI Data'!R68</f>
        <v>0.0881598104959265</v>
      </c>
      <c r="G8" s="19" t="n">
        <f aca="false">'CPI Data'!S68</f>
        <v>0.025308671473107</v>
      </c>
    </row>
    <row r="9" customFormat="false" ht="15" hidden="false" customHeight="false" outlineLevel="0" collapsed="false">
      <c r="B9" s="18" t="str">
        <f aca="false">'CPI Data'!B69</f>
        <v>2024-03</v>
      </c>
      <c r="C9" s="22" t="n">
        <f aca="false">'CPI Data'!O69</f>
        <v>181.072302971268</v>
      </c>
      <c r="D9" s="22" t="n">
        <f aca="false">'CPI Data'!P69</f>
        <v>147.69670706344</v>
      </c>
      <c r="E9" s="23" t="n">
        <f aca="false">'CPI Data'!Q69</f>
        <v>122.597386611668</v>
      </c>
      <c r="F9" s="19" t="n">
        <f aca="false">'CPI Data'!R69</f>
        <v>0.0871476994821292</v>
      </c>
      <c r="G9" s="19" t="n">
        <f aca="false">'CPI Data'!S69</f>
        <v>0.0796206608184524</v>
      </c>
    </row>
    <row r="10" customFormat="false" ht="15" hidden="false" customHeight="false" outlineLevel="0" collapsed="false">
      <c r="B10" s="18" t="str">
        <f aca="false">'CPI Data'!B70</f>
        <v>2024-04</v>
      </c>
      <c r="C10" s="22" t="n">
        <f aca="false">'CPI Data'!O70</f>
        <v>214.378903420945</v>
      </c>
      <c r="D10" s="22" t="n">
        <f aca="false">'CPI Data'!P70</f>
        <v>156.999293174668</v>
      </c>
      <c r="E10" s="23" t="n">
        <f aca="false">'CPI Data'!Q70</f>
        <v>136.547686990182</v>
      </c>
      <c r="F10" s="19" t="n">
        <f aca="false">'CPI Data'!R70</f>
        <v>0.120956505388271</v>
      </c>
      <c r="G10" s="19" t="n">
        <f aca="false">'CPI Data'!S70</f>
        <v>0.0987546717887756</v>
      </c>
    </row>
    <row r="11" customFormat="false" ht="15" hidden="false" customHeight="false" outlineLevel="0" collapsed="false">
      <c r="B11" s="18" t="str">
        <f aca="false">'CPI Data'!B71</f>
        <v>2024-05</v>
      </c>
      <c r="C11" s="22" t="n">
        <f aca="false">'CPI Data'!O71</f>
        <v>222.991470428465</v>
      </c>
      <c r="D11" s="22" t="n">
        <f aca="false">'CPI Data'!P71</f>
        <v>162.862724962576</v>
      </c>
      <c r="E11" s="23" t="n">
        <f aca="false">'CPI Data'!Q71</f>
        <v>136.919894027136</v>
      </c>
      <c r="F11" s="19" t="n">
        <f aca="false">'CPI Data'!R71</f>
        <v>0.00282764074827946</v>
      </c>
      <c r="G11" s="19" t="n">
        <f aca="false">'CPI Data'!S71</f>
        <v>0.0703106152062266</v>
      </c>
    </row>
    <row r="12" customFormat="false" ht="15" hidden="false" customHeight="false" outlineLevel="0" collapsed="false">
      <c r="B12" s="18" t="str">
        <f aca="false">'CPI Data'!B72</f>
        <v>2024-06</v>
      </c>
      <c r="C12" s="22" t="n">
        <f aca="false">'CPI Data'!O72</f>
        <v>240.956930417529</v>
      </c>
      <c r="D12" s="22" t="n">
        <f aca="false">'CPI Data'!P72</f>
        <v>168.809055238035</v>
      </c>
      <c r="E12" s="23" t="n">
        <f aca="false">'CPI Data'!Q72</f>
        <v>142.739339473086</v>
      </c>
      <c r="F12" s="19" t="n">
        <f aca="false">'CPI Data'!R72</f>
        <v>0.044054379562261</v>
      </c>
      <c r="G12" s="19" t="n">
        <f aca="false">'CPI Data'!S72</f>
        <v>0.0559461752329372</v>
      </c>
    </row>
    <row r="13" customFormat="false" ht="15" hidden="false" customHeight="false" outlineLevel="0" collapsed="false">
      <c r="B13" s="18" t="str">
        <f aca="false">'CPI Data'!B73</f>
        <v>2024-07</v>
      </c>
      <c r="C13" s="22" t="n">
        <f aca="false">'CPI Data'!O73</f>
        <v>251.395842210999</v>
      </c>
      <c r="D13" s="22" t="n">
        <f aca="false">'CPI Data'!P73</f>
        <v>175.199470456009</v>
      </c>
      <c r="E13" s="23" t="n">
        <f aca="false">'CPI Data'!Q73</f>
        <v>143.49121122151</v>
      </c>
      <c r="F13" s="19" t="n">
        <f aca="false">'CPI Data'!R73</f>
        <v>0.00546684969577038</v>
      </c>
      <c r="G13" s="19" t="n">
        <f aca="false">'CPI Data'!S73</f>
        <v>0.0174496233354369</v>
      </c>
    </row>
    <row r="14" customFormat="false" ht="15" hidden="false" customHeight="false" outlineLevel="0" collapsed="false">
      <c r="B14" s="18" t="str">
        <f aca="false">'CPI Data'!B74</f>
        <v>2024-08</v>
      </c>
      <c r="C14" s="22" t="n">
        <f aca="false">'CPI Data'!O74</f>
        <v>266.202345383475</v>
      </c>
      <c r="D14" s="22" t="n">
        <f aca="false">'CPI Data'!P74</f>
        <v>182.41818896134</v>
      </c>
      <c r="E14" s="23" t="n">
        <f aca="false">'CPI Data'!Q74</f>
        <v>145.929716164374</v>
      </c>
      <c r="F14" s="19" t="n">
        <f aca="false">'CPI Data'!R74</f>
        <v>0.017694312345752</v>
      </c>
      <c r="G14" s="19" t="n">
        <f aca="false">'CPI Data'!S74</f>
        <v>0.0224051805345945</v>
      </c>
    </row>
    <row r="15" customFormat="false" ht="15" hidden="false" customHeight="false" outlineLevel="0" collapsed="false">
      <c r="B15" s="18" t="str">
        <f aca="false">'CPI Data'!B75</f>
        <v>2024-09</v>
      </c>
      <c r="C15" s="22" t="n">
        <f aca="false">'CPI Data'!O75</f>
        <v>278.265700809252</v>
      </c>
      <c r="D15" s="22" t="n">
        <f aca="false">'CPI Data'!P75</f>
        <v>188.369045613695</v>
      </c>
      <c r="E15" s="23" t="n">
        <f aca="false">'CPI Data'!Q75</f>
        <v>147.723687776131</v>
      </c>
      <c r="F15" s="19" t="n">
        <f aca="false">'CPI Data'!R75</f>
        <v>0.0126944306173531</v>
      </c>
      <c r="G15" s="19" t="n">
        <f aca="false">'CPI Data'!S75</f>
        <v>0.0119518642196252</v>
      </c>
    </row>
    <row r="16" customFormat="false" ht="15" hidden="false" customHeight="false" outlineLevel="0" collapsed="false">
      <c r="B16" s="18" t="str">
        <f aca="false">'CPI Data'!B76</f>
        <v>2024-10</v>
      </c>
      <c r="C16" s="22" t="n">
        <f aca="false">'CPI Data'!O76</f>
        <v>285.768321096628</v>
      </c>
      <c r="D16" s="22" t="n">
        <f aca="false">'CPI Data'!P76</f>
        <v>193.865309286939</v>
      </c>
      <c r="E16" s="23" t="n">
        <f aca="false">'CPI Data'!Q76</f>
        <v>147.405599355408</v>
      </c>
      <c r="F16" s="19" t="n">
        <f aca="false">'CPI Data'!R76</f>
        <v>-0.00221609454146132</v>
      </c>
      <c r="G16" s="19" t="n">
        <f aca="false">'CPI Data'!S76</f>
        <v>0.0093908828072146</v>
      </c>
    </row>
    <row r="17" customFormat="false" ht="15" hidden="false" customHeight="false" outlineLevel="0" collapsed="false">
      <c r="B17" s="18" t="str">
        <f aca="false">'CPI Data'!B77</f>
        <v>2024-11</v>
      </c>
      <c r="C17" s="22" t="n">
        <f aca="false">'CPI Data'!O77</f>
        <v>295.894951060517</v>
      </c>
      <c r="D17" s="22" t="n">
        <f aca="false">'CPI Data'!P77</f>
        <v>199.128430339073</v>
      </c>
      <c r="E17" s="23" t="n">
        <f aca="false">'CPI Data'!Q77</f>
        <v>148.59503013039</v>
      </c>
      <c r="F17" s="19" t="n">
        <f aca="false">'CPI Data'!R77</f>
        <v>0.00828816442319802</v>
      </c>
      <c r="G17" s="19" t="n">
        <f aca="false">'CPI Data'!S77</f>
        <v>0.00625550016636326</v>
      </c>
    </row>
    <row r="18" customFormat="false" ht="15" hidden="false" customHeight="false" outlineLevel="0" collapsed="false">
      <c r="B18" s="18" t="str">
        <f aca="false">'CPI Data'!B78</f>
        <v>2024-12</v>
      </c>
      <c r="C18" s="22" t="n">
        <f aca="false">'CPI Data'!O78</f>
        <v>305.878384582029</v>
      </c>
      <c r="D18" s="22" t="n">
        <f aca="false">'CPI Data'!P78</f>
        <v>205.495126815791</v>
      </c>
      <c r="E18" s="23" t="n">
        <f aca="false">'CPI Data'!Q78</f>
        <v>148.849459022073</v>
      </c>
      <c r="F18" s="19" t="n">
        <f aca="false">'CPI Data'!R78</f>
        <v>0.00176697497455591</v>
      </c>
      <c r="G18" s="19" t="n">
        <f aca="false">'CPI Data'!S78</f>
        <v>0.00261301495209754</v>
      </c>
    </row>
    <row r="19" customFormat="false" ht="15" hidden="false" customHeight="false" outlineLevel="0" collapsed="false">
      <c r="B19" s="18" t="str">
        <f aca="false">'CPI Data'!B79</f>
        <v>2025-01</v>
      </c>
      <c r="C19" s="22" t="n">
        <f aca="false">'CPI Data'!O79</f>
        <v>313.872144653236</v>
      </c>
      <c r="D19" s="22" t="n">
        <f aca="false">'CPI Data'!P79</f>
        <v>210.422261753165</v>
      </c>
      <c r="E19" s="23" t="n">
        <f aca="false">'CPI Data'!Q79</f>
        <v>149.162993515117</v>
      </c>
      <c r="F19" s="19" t="n">
        <f aca="false">'CPI Data'!R79</f>
        <v>0.00215689112043505</v>
      </c>
      <c r="G19" s="19" t="n">
        <f aca="false">'CPI Data'!S79</f>
        <v>0.00407067683939633</v>
      </c>
    </row>
    <row r="20" customFormat="false" ht="15" hidden="false" customHeight="false" outlineLevel="0" collapsed="false">
      <c r="B20" s="18" t="str">
        <f aca="false">'CPI Data'!B80</f>
        <v>2025-02</v>
      </c>
      <c r="C20" s="22" t="n">
        <f aca="false">'CPI Data'!O80</f>
        <v>321.157860429967</v>
      </c>
      <c r="D20" s="22" t="n">
        <f aca="false">'CPI Data'!P80</f>
        <v>216.567334185327</v>
      </c>
      <c r="E20" s="23" t="n">
        <f aca="false">'CPI Data'!Q80</f>
        <v>148.294691643171</v>
      </c>
      <c r="F20" s="19" t="n">
        <f aca="false">'CPI Data'!R80</f>
        <v>-0.00599115993179789</v>
      </c>
      <c r="G20" s="19" t="n">
        <f aca="false">'CPI Data'!S80</f>
        <v>-0.000689097945602309</v>
      </c>
    </row>
    <row r="21" customFormat="false" ht="15" hidden="false" customHeight="false" outlineLevel="0" collapsed="false">
      <c r="B21" s="18" t="str">
        <f aca="false">'CPI Data'!B81</f>
        <v>2025-03</v>
      </c>
      <c r="C21" s="22" t="n">
        <f aca="false">'CPI Data'!O81</f>
        <v>331.459789127817</v>
      </c>
      <c r="D21" s="22" t="n">
        <f aca="false">'CPI Data'!P81</f>
        <v>223.481874900048</v>
      </c>
      <c r="E21" s="23" t="n">
        <f aca="false">'CPI Data'!Q81</f>
        <v>148.316184154112</v>
      </c>
      <c r="F21" s="19" t="n">
        <f aca="false">'CPI Data'!R81</f>
        <v>0.000149558433194086</v>
      </c>
      <c r="G21" s="19" t="n">
        <f aca="false">'CPI Data'!S81</f>
        <v>-0.00122823679272292</v>
      </c>
    </row>
    <row r="22" customFormat="false" ht="15" hidden="false" customHeight="false" outlineLevel="0" collapsed="false">
      <c r="B22" s="18" t="str">
        <f aca="false">'CPI Data'!B82</f>
        <v>2025-04</v>
      </c>
      <c r="C22" s="22" t="n">
        <f aca="false">'CPI Data'!O82</f>
        <v>337.326778497124</v>
      </c>
      <c r="D22" s="22" t="n">
        <f aca="false">'CPI Data'!P82</f>
        <v>230.666182414515</v>
      </c>
      <c r="E22" s="23" t="n">
        <f aca="false">'CPI Data'!Q82</f>
        <v>146.240239885245</v>
      </c>
      <c r="F22" s="19" t="n">
        <f aca="false">'CPI Data'!R82</f>
        <v>-0.0144467037967075</v>
      </c>
      <c r="G22" s="19" t="n">
        <f aca="false">'CPI Data'!S82</f>
        <v>-0.00676276843177045</v>
      </c>
    </row>
    <row r="23" customFormat="false" ht="15" hidden="false" customHeight="false" outlineLevel="0" collapsed="false">
      <c r="B23" s="18" t="str">
        <f aca="false">'CPI Data'!B83</f>
        <v>2025-05</v>
      </c>
      <c r="C23" s="22" t="n">
        <f aca="false">'CPI Data'!O83</f>
        <v>341.754281379154</v>
      </c>
      <c r="D23" s="22" t="n">
        <f aca="false">'CPI Data'!P83</f>
        <v>235.734529784573</v>
      </c>
      <c r="E23" s="23" t="n">
        <f aca="false">'CPI Data'!Q83</f>
        <v>144.974213871624</v>
      </c>
      <c r="F23" s="19" t="n">
        <f aca="false">'CPI Data'!R83</f>
        <v>-0.00884738674900354</v>
      </c>
      <c r="G23" s="19" t="n">
        <f aca="false">'CPI Data'!S83</f>
        <v>-0.00771484403750566</v>
      </c>
    </row>
    <row r="24" customFormat="false" ht="15" hidden="false" customHeight="false" outlineLevel="0" collapsed="false">
      <c r="B24" s="18" t="str">
        <f aca="false">'CPI Data'!B84</f>
        <v>2025-06</v>
      </c>
      <c r="C24" s="22" t="n">
        <f aca="false">'CPI Data'!O84</f>
        <v>349.360689834785</v>
      </c>
      <c r="D24" s="22" t="n">
        <f aca="false">'CPI Data'!P84</f>
        <v>239.774394849067</v>
      </c>
      <c r="E24" s="23" t="n">
        <f aca="false">'CPI Data'!Q84</f>
        <v>145.703918908731</v>
      </c>
      <c r="F24" s="19" t="n">
        <f aca="false">'CPI Data'!R84</f>
        <v>0.00511960180819271</v>
      </c>
      <c r="G24" s="19" t="n">
        <f aca="false">'CPI Data'!S84</f>
        <v>-0.00605816291250612</v>
      </c>
    </row>
    <row r="25" customFormat="false" ht="15" hidden="false" customHeight="false" outlineLevel="0" collapsed="false">
      <c r="B25" s="18" t="str">
        <f aca="false">'CPI Data'!B85</f>
        <v>2025-07</v>
      </c>
      <c r="C25" s="22" t="n">
        <f aca="false">'CPI Data'!O85</f>
        <v>357.415392889811</v>
      </c>
      <c r="D25" s="22" t="n">
        <f aca="false">'CPI Data'!P85</f>
        <v>243.321013781055</v>
      </c>
      <c r="E25" s="23" t="n">
        <f aca="false">'CPI Data'!Q85</f>
        <v>146.890474988495</v>
      </c>
      <c r="F25" s="19" t="n">
        <f aca="false">'CPI Data'!R85</f>
        <v>0.00826406738470498</v>
      </c>
      <c r="G25" s="19" t="n">
        <f aca="false">'CPI Data'!S85</f>
        <v>0.00151209414796472</v>
      </c>
    </row>
    <row r="26" customFormat="false" ht="15" hidden="false" customHeight="false" outlineLevel="0" collapsed="false">
      <c r="B26" s="18" t="str">
        <f aca="false">'CPI Data'!B86</f>
        <v>2025-08</v>
      </c>
      <c r="C26" s="22" t="n">
        <f aca="false">'CPI Data'!O86</f>
        <v>366.952925010449</v>
      </c>
      <c r="D26" s="22" t="n">
        <f aca="false">'CPI Data'!P86</f>
        <v>248.29668621579</v>
      </c>
      <c r="E26" s="23" t="n">
        <f aca="false">'CPI Data'!Q86</f>
        <v>147.788087953593</v>
      </c>
      <c r="F26" s="19" t="n">
        <f aca="false">'CPI Data'!R86</f>
        <v>0.00623572261217698</v>
      </c>
      <c r="G26" s="19" t="n">
        <f aca="false">'CPI Data'!S86</f>
        <v>0.00653979726835822</v>
      </c>
    </row>
    <row r="27" customFormat="false" ht="15" hidden="false" customHeight="false" outlineLevel="0" collapsed="false">
      <c r="B27" s="18" t="str">
        <f aca="false">'CPI Data'!B87</f>
        <v>2025-09</v>
      </c>
      <c r="C27" s="22" t="n">
        <f aca="false">'CPI Data'!O87</f>
        <v>376.619775468239</v>
      </c>
      <c r="D27" s="22" t="n">
        <f aca="false">'CPI Data'!P87</f>
        <v>253.004083976186</v>
      </c>
      <c r="E27" s="23" t="n">
        <f aca="false">'CPI Data'!Q87</f>
        <v>148.859168417095</v>
      </c>
      <c r="F27" s="19" t="n">
        <f aca="false">'CPI Data'!R87</f>
        <v>0.00738480914208028</v>
      </c>
      <c r="G27" s="19" t="n">
        <f aca="false">'CPI Data'!S87</f>
        <v>0.00729486637965408</v>
      </c>
    </row>
    <row r="28" customFormat="false" ht="15" hidden="false" customHeight="false" outlineLevel="0" collapsed="false">
      <c r="B28" s="18" t="str">
        <f aca="false">'CPI Data'!B88</f>
        <v>2025-10</v>
      </c>
      <c r="C28" s="22" t="n">
        <f aca="false">'CPI Data'!O88</f>
        <v>386.279833645387</v>
      </c>
      <c r="D28" s="22" t="n">
        <f aca="false">'CPI Data'!P88</f>
        <v>258.612472847331</v>
      </c>
      <c r="E28" s="23" t="n">
        <f aca="false">'CPI Data'!Q88</f>
        <v>149.366281290471</v>
      </c>
      <c r="F28" s="19" t="n">
        <f aca="false">'CPI Data'!R88</f>
        <v>0.00348217812071749</v>
      </c>
      <c r="G28" s="19" t="n">
        <f aca="false">'CPI Data'!S88</f>
        <v>0.00570090329165825</v>
      </c>
    </row>
    <row r="29" customFormat="false" ht="15" hidden="false" customHeight="false" outlineLevel="0" collapsed="false">
      <c r="B29" s="18" t="str">
        <f aca="false">'CPI Data'!B89</f>
        <v>2025-11</v>
      </c>
      <c r="C29" s="22" t="n">
        <f aca="false">'CPI Data'!O89</f>
        <v>397.438478489997</v>
      </c>
      <c r="D29" s="22" t="n">
        <f aca="false">'CPI Data'!P89</f>
        <v>265.437249192338</v>
      </c>
      <c r="E29" s="23" t="n">
        <f aca="false">'CPI Data'!Q89</f>
        <v>149.729730736476</v>
      </c>
      <c r="F29" s="19" t="n">
        <f aca="false">'CPI Data'!R89</f>
        <v>0.00249749049174275</v>
      </c>
      <c r="G29" s="19" t="n">
        <f aca="false">'CPI Data'!S89</f>
        <v>0.00445482591818018</v>
      </c>
    </row>
    <row r="30" customFormat="false" ht="15" hidden="false" customHeight="false" outlineLevel="0" collapsed="false">
      <c r="B30" s="18" t="str">
        <f aca="false">'CPI Data'!B90</f>
        <v>2025-12</v>
      </c>
      <c r="C30" s="22" t="n">
        <f aca="false">'CPI Data'!O90</f>
        <v>410.517067867848</v>
      </c>
      <c r="D30" s="22" t="n">
        <f aca="false">'CPI Data'!P90</f>
        <v>273.490328961546</v>
      </c>
      <c r="E30" s="23" t="n">
        <f aca="false">'CPI Data'!Q90</f>
        <v>150.102955898513</v>
      </c>
      <c r="F30" s="19" t="n">
        <f aca="false">'CPI Data'!R90</f>
        <v>0.00256828359272165</v>
      </c>
      <c r="G30" s="19" t="n">
        <f aca="false">'CPI Data'!S90</f>
        <v>0.0028493174017273</v>
      </c>
    </row>
    <row r="31" customFormat="false" ht="15" hidden="false" customHeight="false" outlineLevel="0" collapsed="false">
      <c r="B31" s="18" t="str">
        <f aca="false">'CPI Data'!B91</f>
        <v>2026-01</v>
      </c>
      <c r="C31" s="22" t="n">
        <f aca="false">'CPI Data'!O91</f>
        <v>420.493607183738</v>
      </c>
      <c r="D31" s="22" t="n">
        <f aca="false">'CPI Data'!P91</f>
        <v>280.684133972651</v>
      </c>
      <c r="E31" s="23" t="n">
        <f aca="false">'CPI Data'!Q91</f>
        <v>149.810251556545</v>
      </c>
      <c r="F31" s="19" t="n">
        <f aca="false">'CPI Data'!R91</f>
        <v>-0.00200131666052505</v>
      </c>
      <c r="G31" s="19" t="n">
        <f aca="false">'CPI Data'!S91</f>
        <v>0.00102148580797978</v>
      </c>
    </row>
    <row r="32" customFormat="false" ht="15" hidden="false" customHeight="false" outlineLevel="0" collapsed="false">
      <c r="B32" s="18" t="str">
        <f aca="false">'CPI Data'!B92</f>
        <v>2026-02</v>
      </c>
      <c r="C32" s="22" t="n">
        <f aca="false">'CPI Data'!O92</f>
        <v>438.368329478938</v>
      </c>
      <c r="D32" s="22" t="n">
        <f aca="false">'CPI Data'!P92</f>
        <v>289.316224190079</v>
      </c>
      <c r="E32" s="23" t="n">
        <f aca="false">'CPI Data'!Q92</f>
        <v>151.518751050384</v>
      </c>
      <c r="F32" s="19" t="n">
        <f aca="false">'CPI Data'!R92</f>
        <v>0.0117551519010921</v>
      </c>
      <c r="G32" s="19" t="n">
        <f aca="false">'CPI Data'!S92</f>
        <v>0.00410737294442957</v>
      </c>
    </row>
    <row r="33" customFormat="false" ht="15" hidden="false" customHeight="false" outlineLevel="0" collapsed="false">
      <c r="B33" s="18" t="str">
        <f aca="false">'CPI Data'!B93</f>
        <v>2026-03</v>
      </c>
      <c r="C33" s="22" t="n">
        <f aca="false">'CPI Data'!O93</f>
        <v>460.64809039066</v>
      </c>
      <c r="D33" s="22" t="n">
        <f aca="false">'CPI Data'!P93</f>
        <v>298.542361900833</v>
      </c>
      <c r="E33" s="23" t="n">
        <f aca="false">'CPI Data'!Q93</f>
        <v>154.299070811155</v>
      </c>
      <c r="F33" s="19" t="n">
        <f aca="false">'CPI Data'!R93</f>
        <v>0.018934835671329</v>
      </c>
      <c r="G33" s="19" t="n">
        <f aca="false">'CPI Data'!S93</f>
        <v>0.00956289030396536</v>
      </c>
    </row>
    <row r="34" customFormat="false" ht="15" hidden="false" customHeight="false" outlineLevel="0" collapsed="false">
      <c r="B34" s="18" t="str">
        <f aca="false">'CPI Data'!B94</f>
        <v>2026-04</v>
      </c>
      <c r="C34" s="22" t="n">
        <f aca="false">'CPI Data'!O94</f>
        <v>482.229180029031</v>
      </c>
      <c r="D34" s="22" t="n">
        <f aca="false">'CPI Data'!P94</f>
        <v>305.368456684692</v>
      </c>
      <c r="E34" s="23" t="n">
        <f aca="false">'CPI Data'!Q94</f>
        <v>157.917155316064</v>
      </c>
      <c r="F34" s="19" t="n">
        <f aca="false">'CPI Data'!R94</f>
        <v>0.0239846621415918</v>
      </c>
      <c r="G34" s="19" t="n">
        <f aca="false">'CPI Data'!S94</f>
        <v>0.0182248832380043</v>
      </c>
    </row>
    <row r="35" customFormat="false" ht="15" hidden="false" customHeight="false" outlineLevel="0" collapsed="false">
      <c r="B35" s="18" t="str">
        <f aca="false">'CPI Data'!B95</f>
        <v>2026-05</v>
      </c>
      <c r="C35" s="22" t="n">
        <f aca="false">'CPI Data'!O95</f>
        <v>493.783852343484</v>
      </c>
      <c r="D35" s="22" t="n">
        <f aca="false">'CPI Data'!P95</f>
        <v>311.181077260333</v>
      </c>
      <c r="E35" s="23" t="n">
        <f aca="false">'CPI Data'!Q95</f>
        <v>158.680552394382</v>
      </c>
      <c r="F35" s="19" t="n">
        <f aca="false">'CPI Data'!R95</f>
        <v>0.0049261789839028</v>
      </c>
      <c r="G35" s="19" t="n">
        <f aca="false">'CPI Data'!S95</f>
        <v>0.0159485589322745</v>
      </c>
    </row>
    <row r="36" customFormat="false" ht="15" hidden="false" customHeight="false" outlineLevel="0" collapsed="false">
      <c r="B36" s="18" t="str">
        <f aca="false">'CPI Data'!B96</f>
        <v>2026-06</v>
      </c>
      <c r="C36" s="22" t="n">
        <f aca="false">'CPI Data'!O96</f>
        <v>505.117139525186</v>
      </c>
      <c r="D36" s="22" t="n">
        <f aca="false">'CPI Data'!P96</f>
        <v>316.065316881778</v>
      </c>
      <c r="E36" s="23" t="n">
        <f aca="false">'CPI Data'!Q96</f>
        <v>159.814162625797</v>
      </c>
      <c r="F36" s="19" t="n">
        <f aca="false">'CPI Data'!R96</f>
        <v>0.0072561076129225</v>
      </c>
      <c r="G36" s="19" t="n">
        <f aca="false">'CPI Data'!S96</f>
        <v>0.0120556495794724</v>
      </c>
    </row>
    <row r="40" customFormat="false" ht="15" hidden="false" customHeight="false" outlineLevel="0" collapsed="false">
      <c r="B40" s="4" t="s">
        <v>182</v>
      </c>
      <c r="I40" s="4" t="s">
        <v>183</v>
      </c>
    </row>
    <row r="41" customFormat="false" ht="30" hidden="false" customHeight="true" outlineLevel="0" collapsed="false">
      <c r="I41" s="7" t="s">
        <v>31</v>
      </c>
      <c r="J41" s="7" t="s">
        <v>184</v>
      </c>
      <c r="K41" s="7" t="s">
        <v>185</v>
      </c>
      <c r="L41" s="7" t="s">
        <v>186</v>
      </c>
      <c r="M41" s="7" t="s">
        <v>187</v>
      </c>
    </row>
    <row r="42" customFormat="false" ht="15" hidden="false" customHeight="true" outlineLevel="0" collapsed="false">
      <c r="B42" s="21" t="s">
        <v>188</v>
      </c>
      <c r="C42" s="21"/>
      <c r="D42" s="21"/>
      <c r="E42" s="21"/>
      <c r="F42" s="21"/>
      <c r="G42" s="21"/>
      <c r="I42" s="8" t="s">
        <v>87</v>
      </c>
      <c r="J42" s="16" t="n">
        <v>0.50690162141591</v>
      </c>
      <c r="K42" s="16" t="n">
        <v>0.0688983388326135</v>
      </c>
      <c r="L42" s="16" t="n">
        <v>0.438115254899353</v>
      </c>
      <c r="M42" s="13" t="n">
        <f aca="false">IF(OR(J42="",J42=0),"",K42/J42)</f>
        <v>0.135920533535013</v>
      </c>
    </row>
    <row r="43" customFormat="false" ht="15" hidden="false" customHeight="false" outlineLevel="0" collapsed="false">
      <c r="B43" s="21"/>
      <c r="C43" s="21"/>
      <c r="D43" s="21"/>
      <c r="E43" s="21"/>
      <c r="F43" s="21"/>
      <c r="G43" s="21"/>
      <c r="I43" s="8" t="s">
        <v>88</v>
      </c>
      <c r="J43" s="16" t="n">
        <v>0.523192568643977</v>
      </c>
      <c r="K43" s="16" t="n">
        <v>0.0704071000482134</v>
      </c>
      <c r="L43" s="16" t="n">
        <v>0.453032217973137</v>
      </c>
      <c r="M43" s="13" t="n">
        <f aca="false">IF(OR(J43="",J43=0),"",K43/J43)</f>
        <v>0.134572056768115</v>
      </c>
    </row>
    <row r="44" customFormat="false" ht="15" hidden="false" customHeight="false" outlineLevel="0" collapsed="false">
      <c r="B44" s="21"/>
      <c r="C44" s="21"/>
      <c r="D44" s="21"/>
      <c r="E44" s="21"/>
      <c r="F44" s="21"/>
      <c r="G44" s="21"/>
      <c r="I44" s="8" t="s">
        <v>89</v>
      </c>
      <c r="J44" s="16" t="n">
        <v>0.551066303221382</v>
      </c>
      <c r="K44" s="16" t="n">
        <v>0.08017734883245</v>
      </c>
      <c r="L44" s="16" t="n">
        <v>0.470898733081314</v>
      </c>
      <c r="M44" s="13" t="n">
        <f aca="false">IF(OR(J44="",J44=0),"",K44/J44)</f>
        <v>0.145494922051585</v>
      </c>
    </row>
    <row r="45" customFormat="false" ht="15" hidden="false" customHeight="false" outlineLevel="0" collapsed="false">
      <c r="B45" s="21"/>
      <c r="C45" s="21"/>
      <c r="D45" s="21"/>
      <c r="E45" s="21"/>
      <c r="F45" s="21"/>
      <c r="G45" s="21"/>
      <c r="I45" s="8" t="s">
        <v>90</v>
      </c>
      <c r="J45" s="16" t="n">
        <v>0.580380085718008</v>
      </c>
      <c r="K45" s="16" t="n">
        <v>0.0807735373425301</v>
      </c>
      <c r="L45" s="16" t="n">
        <v>0.499739703348372</v>
      </c>
      <c r="M45" s="13" t="n">
        <f aca="false">IF(OR(J45="",J45=0),"",K45/J45)</f>
        <v>0.139173516339043</v>
      </c>
    </row>
    <row r="46" customFormat="false" ht="15" hidden="false" customHeight="false" outlineLevel="0" collapsed="false">
      <c r="B46" s="21"/>
      <c r="C46" s="21"/>
      <c r="D46" s="21"/>
      <c r="E46" s="21"/>
      <c r="F46" s="21"/>
      <c r="G46" s="21"/>
      <c r="I46" s="8" t="s">
        <v>91</v>
      </c>
      <c r="J46" s="16" t="n">
        <v>0.606799295962451</v>
      </c>
      <c r="K46" s="16" t="n">
        <v>0.0862056129777588</v>
      </c>
      <c r="L46" s="16" t="n">
        <v>0.520922120223799</v>
      </c>
      <c r="M46" s="13" t="n">
        <f aca="false">IF(OR(J46="",J46=0),"",K46/J46)</f>
        <v>0.14206610579702</v>
      </c>
    </row>
    <row r="47" customFormat="false" ht="15" hidden="false" customHeight="false" outlineLevel="0" collapsed="false">
      <c r="B47" s="21"/>
      <c r="C47" s="21"/>
      <c r="D47" s="21"/>
      <c r="E47" s="21"/>
      <c r="F47" s="21"/>
      <c r="G47" s="21"/>
      <c r="I47" s="8" t="s">
        <v>92</v>
      </c>
      <c r="J47" s="16" t="n">
        <v>0.639825816487798</v>
      </c>
      <c r="K47" s="16" t="n">
        <v>0.0918228146323579</v>
      </c>
      <c r="L47" s="16" t="n">
        <v>0.548490392808261</v>
      </c>
      <c r="M47" s="13" t="n">
        <f aca="false">IF(OR(J47="",J47=0),"",K47/J47)</f>
        <v>0.143512206394549</v>
      </c>
    </row>
    <row r="48" customFormat="false" ht="15" hidden="false" customHeight="false" outlineLevel="0" collapsed="false">
      <c r="B48" s="21"/>
      <c r="C48" s="21"/>
      <c r="D48" s="21"/>
      <c r="E48" s="21"/>
      <c r="F48" s="21"/>
      <c r="G48" s="21"/>
      <c r="I48" s="8" t="s">
        <v>93</v>
      </c>
      <c r="J48" s="16" t="n">
        <v>0.710024539313192</v>
      </c>
      <c r="K48" s="16" t="n">
        <v>0.100116328747696</v>
      </c>
      <c r="L48" s="16" t="n">
        <v>0.610440225959433</v>
      </c>
      <c r="M48" s="13" t="n">
        <f aca="false">IF(OR(J48="",J48=0),"",K48/J48)</f>
        <v>0.141004040289282</v>
      </c>
    </row>
    <row r="49" customFormat="false" ht="15" hidden="false" customHeight="false" outlineLevel="0" collapsed="false">
      <c r="I49" s="8" t="s">
        <v>94</v>
      </c>
      <c r="J49" s="16" t="n">
        <v>0.785152730967554</v>
      </c>
      <c r="K49" s="16" t="n">
        <v>0.113560052461411</v>
      </c>
      <c r="L49" s="16" t="n">
        <v>0.672118042534574</v>
      </c>
      <c r="M49" s="13" t="n">
        <f aca="false">IF(OR(J49="",J49=0),"",K49/J49)</f>
        <v>0.144634346901487</v>
      </c>
    </row>
    <row r="50" customFormat="false" ht="15" hidden="false" customHeight="false" outlineLevel="0" collapsed="false">
      <c r="I50" s="8" t="s">
        <v>95</v>
      </c>
      <c r="J50" s="16" t="n">
        <v>0.830299823953523</v>
      </c>
      <c r="K50" s="16" t="n">
        <v>0.117580717179366</v>
      </c>
      <c r="L50" s="16" t="n">
        <v>0.713432053925776</v>
      </c>
      <c r="M50" s="13" t="n">
        <f aca="false">IF(OR(J50="",J50=0),"",K50/J50)</f>
        <v>0.141612359520322</v>
      </c>
    </row>
    <row r="51" customFormat="false" ht="15" hidden="false" customHeight="false" outlineLevel="0" collapsed="false">
      <c r="I51" s="8" t="s">
        <v>96</v>
      </c>
      <c r="J51" s="16" t="n">
        <v>0.880356847131371</v>
      </c>
      <c r="K51" s="16" t="n">
        <v>0.132038993510458</v>
      </c>
      <c r="L51" s="16" t="n">
        <v>0.749016407451961</v>
      </c>
      <c r="M51" s="13" t="n">
        <f aca="false">IF(OR(J51="",J51=0),"",K51/J51)</f>
        <v>0.149983491286181</v>
      </c>
    </row>
    <row r="52" customFormat="false" ht="15" hidden="false" customHeight="false" outlineLevel="0" collapsed="false">
      <c r="I52" s="8" t="s">
        <v>97</v>
      </c>
      <c r="J52" s="16" t="n">
        <v>0.92412782322705</v>
      </c>
      <c r="K52" s="16" t="n">
        <v>0.146250780268574</v>
      </c>
      <c r="L52" s="16" t="n">
        <v>0.778723490839488</v>
      </c>
      <c r="M52" s="13" t="n">
        <f aca="false">IF(OR(J52="",J52=0),"",K52/J52)</f>
        <v>0.158258172292516</v>
      </c>
    </row>
    <row r="53" customFormat="false" ht="15" hidden="false" customHeight="false" outlineLevel="0" collapsed="false">
      <c r="I53" s="8" t="s">
        <v>98</v>
      </c>
      <c r="J53" s="16" t="n">
        <v>0.947931823351918</v>
      </c>
      <c r="K53" s="16" t="n">
        <v>0.154046932967641</v>
      </c>
      <c r="L53" s="16" t="n">
        <v>0.794987807285167</v>
      </c>
      <c r="M53" s="13" t="n">
        <f aca="false">IF(OR(J53="",J53=0),"",K53/J53)</f>
        <v>0.162508451739626</v>
      </c>
    </row>
    <row r="54" customFormat="false" ht="15" hidden="false" customHeight="false" outlineLevel="0" collapsed="false">
      <c r="I54" s="8" t="s">
        <v>99</v>
      </c>
      <c r="J54" s="16" t="n">
        <v>0.988290861454036</v>
      </c>
      <c r="K54" s="16" t="n">
        <v>0.166348802621416</v>
      </c>
      <c r="L54" s="16" t="n">
        <v>0.822775467065941</v>
      </c>
      <c r="M54" s="13" t="n">
        <f aca="false">IF(OR(J54="",J54=0),"",K54/J54)</f>
        <v>0.168319681087279</v>
      </c>
    </row>
    <row r="55" customFormat="false" ht="15" hidden="false" customHeight="false" outlineLevel="0" collapsed="false">
      <c r="I55" s="8" t="s">
        <v>100</v>
      </c>
      <c r="J55" s="16" t="n">
        <v>1.02500796846902</v>
      </c>
      <c r="K55" s="16" t="n">
        <v>0.170524306275902</v>
      </c>
      <c r="L55" s="16" t="n">
        <v>0.855070718629136</v>
      </c>
      <c r="M55" s="13" t="n">
        <f aca="false">IF(OR(J55="",J55=0),"",K55/J55)</f>
        <v>0.16636388352239</v>
      </c>
    </row>
    <row r="56" customFormat="false" ht="15" hidden="false" customHeight="false" outlineLevel="0" collapsed="false">
      <c r="I56" s="8" t="s">
        <v>101</v>
      </c>
      <c r="J56" s="16" t="n">
        <v>1.04296518960099</v>
      </c>
      <c r="K56" s="16" t="n">
        <v>0.172781126666022</v>
      </c>
      <c r="L56" s="16" t="n">
        <v>0.871105108098198</v>
      </c>
      <c r="M56" s="13" t="n">
        <f aca="false">IF(OR(J56="",J56=0),"",K56/J56)</f>
        <v>0.165663368623188</v>
      </c>
    </row>
    <row r="57" customFormat="false" ht="15" hidden="false" customHeight="false" outlineLevel="0" collapsed="false">
      <c r="I57" s="8" t="s">
        <v>102</v>
      </c>
      <c r="J57" s="16" t="n">
        <v>1.0883405987029</v>
      </c>
      <c r="K57" s="16" t="n">
        <v>0.172547898130652</v>
      </c>
      <c r="L57" s="16" t="n">
        <v>0.916770326573399</v>
      </c>
      <c r="M57" s="13" t="n">
        <f aca="false">IF(OR(J57="",J57=0),"",K57/J57)</f>
        <v>0.158542186459181</v>
      </c>
    </row>
    <row r="58" customFormat="false" ht="15" hidden="false" customHeight="false" outlineLevel="0" collapsed="false">
      <c r="I58" s="8" t="s">
        <v>103</v>
      </c>
      <c r="J58" s="16" t="n">
        <v>1.14246289237028</v>
      </c>
      <c r="K58" s="16" t="n">
        <v>0.184662159695252</v>
      </c>
      <c r="L58" s="16" t="n">
        <v>0.958634295554918</v>
      </c>
      <c r="M58" s="13" t="n">
        <f aca="false">IF(OR(J58="",J58=0),"",K58/J58)</f>
        <v>0.161635148877467</v>
      </c>
    </row>
    <row r="59" customFormat="false" ht="15" hidden="false" customHeight="false" outlineLevel="0" collapsed="false">
      <c r="I59" s="8" t="s">
        <v>104</v>
      </c>
      <c r="J59" s="16" t="n">
        <v>1.15580273478433</v>
      </c>
      <c r="K59" s="16" t="n">
        <v>0.191180325996138</v>
      </c>
      <c r="L59" s="16" t="n">
        <v>0.964979114338489</v>
      </c>
      <c r="M59" s="13" t="n">
        <f aca="false">IF(OR(J59="",J59=0),"",K59/J59)</f>
        <v>0.165409131024259</v>
      </c>
    </row>
    <row r="60" customFormat="false" ht="15" hidden="false" customHeight="false" outlineLevel="0" collapsed="false">
      <c r="I60" s="8" t="s">
        <v>105</v>
      </c>
      <c r="J60" s="16" t="n">
        <v>1.13449993601492</v>
      </c>
      <c r="K60" s="16" t="n">
        <v>0.192911157476687</v>
      </c>
      <c r="L60" s="16" t="n">
        <v>0.941818824734286</v>
      </c>
      <c r="M60" s="13" t="n">
        <f aca="false">IF(OR(J60="",J60=0),"",K60/J60)</f>
        <v>0.170040694893569</v>
      </c>
    </row>
    <row r="61" customFormat="false" ht="15" hidden="false" customHeight="false" outlineLevel="0" collapsed="false">
      <c r="I61" s="8" t="s">
        <v>106</v>
      </c>
      <c r="J61" s="16" t="n">
        <v>1.24367500808884</v>
      </c>
      <c r="K61" s="16" t="n">
        <v>0.198443610276496</v>
      </c>
      <c r="L61" s="16" t="n">
        <v>1.04503330545039</v>
      </c>
      <c r="M61" s="13" t="n">
        <f aca="false">IF(OR(J61="",J61=0),"",K61/J61)</f>
        <v>0.159562272286427</v>
      </c>
    </row>
    <row r="62" customFormat="false" ht="15" hidden="false" customHeight="false" outlineLevel="0" collapsed="false">
      <c r="I62" s="8" t="s">
        <v>107</v>
      </c>
      <c r="J62" s="16" t="n">
        <v>1.38282445005084</v>
      </c>
      <c r="K62" s="16" t="n">
        <v>0.208508057948165</v>
      </c>
      <c r="L62" s="16" t="n">
        <v>1.17423777037677</v>
      </c>
      <c r="M62" s="13" t="n">
        <f aca="false">IF(OR(J62="",J62=0),"",K62/J62)</f>
        <v>0.150784185180193</v>
      </c>
    </row>
    <row r="63" customFormat="false" ht="15" hidden="false" customHeight="false" outlineLevel="0" collapsed="false">
      <c r="I63" s="8" t="s">
        <v>108</v>
      </c>
      <c r="J63" s="16" t="n">
        <v>1.42661460125634</v>
      </c>
      <c r="K63" s="16" t="n">
        <v>0.2077985605727</v>
      </c>
      <c r="L63" s="16" t="n">
        <v>1.21866786671935</v>
      </c>
      <c r="M63" s="13" t="n">
        <f aca="false">IF(OR(J63="",J63=0),"",K63/J63)</f>
        <v>0.145658512389894</v>
      </c>
    </row>
    <row r="64" customFormat="false" ht="15" hidden="false" customHeight="false" outlineLevel="0" collapsed="false">
      <c r="I64" s="8" t="s">
        <v>109</v>
      </c>
      <c r="J64" s="16" t="n">
        <v>1.60920816838135</v>
      </c>
      <c r="K64" s="16" t="n">
        <v>0.224150644014377</v>
      </c>
      <c r="L64" s="16" t="n">
        <v>1.38477746545485</v>
      </c>
      <c r="M64" s="13" t="n">
        <f aca="false">IF(OR(J64="",J64=0),"",K64/J64)</f>
        <v>0.139292509458141</v>
      </c>
    </row>
    <row r="65" customFormat="false" ht="15" hidden="false" customHeight="false" outlineLevel="0" collapsed="false">
      <c r="I65" s="8" t="s">
        <v>110</v>
      </c>
      <c r="J65" s="16" t="n">
        <v>2.11407643747177</v>
      </c>
      <c r="K65" s="16" t="n">
        <v>0.282705208677603</v>
      </c>
      <c r="L65" s="16" t="n">
        <v>1.83072324604211</v>
      </c>
      <c r="M65" s="13" t="n">
        <f aca="false">IF(OR(J65="",J65=0),"",K65/J65)</f>
        <v>0.133725159443947</v>
      </c>
    </row>
    <row r="66" customFormat="false" ht="15" hidden="false" customHeight="false" outlineLevel="0" collapsed="false">
      <c r="I66" s="8" t="s">
        <v>111</v>
      </c>
      <c r="J66" s="16" t="n">
        <v>2.54248278648256</v>
      </c>
      <c r="K66" s="16" t="n">
        <v>0.368958968496125</v>
      </c>
      <c r="L66" s="16" t="n">
        <v>2.17351939941296</v>
      </c>
      <c r="M66" s="13" t="n">
        <f aca="false">IF(OR(J66="",J66=0),"",K66/J66)</f>
        <v>0.145117587602852</v>
      </c>
    </row>
    <row r="67" customFormat="false" ht="15" hidden="false" customHeight="false" outlineLevel="0" collapsed="false">
      <c r="I67" s="8" t="s">
        <v>112</v>
      </c>
      <c r="J67" s="16" t="n">
        <v>2.76218434873503</v>
      </c>
      <c r="K67" s="16" t="n">
        <v>0.444980175075939</v>
      </c>
      <c r="L67" s="16" t="n">
        <v>2.31587975620833</v>
      </c>
      <c r="M67" s="13" t="n">
        <f aca="false">IF(OR(J67="",J67=0),"",K67/J67)</f>
        <v>0.161097203841489</v>
      </c>
    </row>
    <row r="68" customFormat="false" ht="15" hidden="false" customHeight="false" outlineLevel="0" collapsed="false">
      <c r="I68" s="8" t="s">
        <v>113</v>
      </c>
      <c r="J68" s="16" t="n">
        <v>2.87869074700319</v>
      </c>
      <c r="K68" s="16" t="n">
        <v>0.503772797398361</v>
      </c>
      <c r="L68" s="16" t="n">
        <v>2.37457222196761</v>
      </c>
      <c r="M68" s="13" t="n">
        <f aca="false">IF(OR(J68="",J68=0),"",K68/J68)</f>
        <v>0.17500066581407</v>
      </c>
    </row>
    <row r="69" customFormat="false" ht="15" hidden="false" customHeight="false" outlineLevel="0" collapsed="false">
      <c r="I69" s="8" t="s">
        <v>114</v>
      </c>
      <c r="J69" s="16" t="n">
        <v>2.89404879607447</v>
      </c>
      <c r="K69" s="16" t="n">
        <v>0.571585554041782</v>
      </c>
      <c r="L69" s="16" t="n">
        <v>2.32222522214356</v>
      </c>
      <c r="M69" s="13" t="n">
        <f aca="false">IF(OR(J69="",J69=0),"",K69/J69)</f>
        <v>0.19750377216068</v>
      </c>
    </row>
    <row r="70" customFormat="false" ht="15" hidden="false" customHeight="false" outlineLevel="0" collapsed="false">
      <c r="I70" s="8" t="s">
        <v>115</v>
      </c>
      <c r="J70" s="16" t="n">
        <v>2.76409241631778</v>
      </c>
      <c r="K70" s="16" t="n">
        <v>0.543938137148575</v>
      </c>
      <c r="L70" s="16" t="n">
        <v>2.2207551935403</v>
      </c>
      <c r="M70" s="13" t="n">
        <f aca="false">IF(OR(J70="",J70=0),"",K70/J70)</f>
        <v>0.196787247031772</v>
      </c>
    </row>
    <row r="71" customFormat="false" ht="15" hidden="false" customHeight="false" outlineLevel="0" collapsed="false">
      <c r="I71" s="8" t="s">
        <v>116</v>
      </c>
      <c r="J71" s="16" t="n">
        <v>2.71529701338579</v>
      </c>
      <c r="K71" s="16" t="n">
        <v>0.556132180897824</v>
      </c>
      <c r="L71" s="16" t="n">
        <v>2.16008718579081</v>
      </c>
      <c r="M71" s="13" t="n">
        <f aca="false">IF(OR(J71="",J71=0),"",K71/J71)</f>
        <v>0.204814492910433</v>
      </c>
    </row>
    <row r="72" customFormat="false" ht="15" hidden="false" customHeight="false" outlineLevel="0" collapsed="false">
      <c r="I72" s="8" t="s">
        <v>117</v>
      </c>
      <c r="J72" s="16" t="n">
        <v>2.63445727859189</v>
      </c>
      <c r="K72" s="16" t="n">
        <v>0.541790153926898</v>
      </c>
      <c r="L72" s="16" t="n">
        <v>2.09428400752606</v>
      </c>
      <c r="M72" s="13" t="n">
        <f aca="false">IF(OR(J72="",J72=0),"",K72/J72)</f>
        <v>0.205655319723569</v>
      </c>
    </row>
    <row r="73" customFormat="false" ht="15" hidden="false" customHeight="false" outlineLevel="0" collapsed="false">
      <c r="I73" s="8" t="s">
        <v>118</v>
      </c>
      <c r="J73" s="16" t="n">
        <v>2.36716615388709</v>
      </c>
      <c r="K73" s="16" t="n">
        <v>0.506599415927059</v>
      </c>
      <c r="L73" s="16" t="n">
        <v>1.86145112976045</v>
      </c>
      <c r="M73" s="13" t="n">
        <f aca="false">IF(OR(J73="",J73=0),"",K73/J73)</f>
        <v>0.214010924030482</v>
      </c>
    </row>
    <row r="74" customFormat="false" ht="15" hidden="false" customHeight="false" outlineLevel="0" collapsed="false">
      <c r="I74" s="8" t="s">
        <v>119</v>
      </c>
      <c r="J74" s="16" t="n">
        <v>2.09001141989832</v>
      </c>
      <c r="K74" s="16" t="n">
        <v>0.464157958929192</v>
      </c>
      <c r="L74" s="16" t="n">
        <v>1.62676633291772</v>
      </c>
      <c r="M74" s="13" t="n">
        <f aca="false">IF(OR(J74="",J74=0),"",K74/J74)</f>
        <v>0.222083934331695</v>
      </c>
    </row>
    <row r="75" customFormat="false" ht="15" hidden="false" customHeight="false" outlineLevel="0" collapsed="false">
      <c r="I75" s="8" t="s">
        <v>120</v>
      </c>
      <c r="J75" s="16" t="n">
        <v>1.92994964893663</v>
      </c>
      <c r="K75" s="16" t="n">
        <v>0.434413231578037</v>
      </c>
      <c r="L75" s="16" t="n">
        <v>1.49625961609848</v>
      </c>
      <c r="M75" s="13" t="n">
        <f aca="false">IF(OR(J75="",J75=0),"",K75/J75)</f>
        <v>0.225090448249462</v>
      </c>
    </row>
    <row r="76" customFormat="false" ht="15" hidden="false" customHeight="false" outlineLevel="0" collapsed="false">
      <c r="I76" s="8" t="s">
        <v>121</v>
      </c>
      <c r="J76" s="16" t="n">
        <v>1.66025011942205</v>
      </c>
      <c r="K76" s="16" t="n">
        <v>0.389756297228883</v>
      </c>
      <c r="L76" s="16" t="n">
        <v>1.27098859309114</v>
      </c>
      <c r="M76" s="13" t="n">
        <f aca="false">IF(OR(J76="",J76=0),"",K76/J76)</f>
        <v>0.234757578192231</v>
      </c>
    </row>
    <row r="77" customFormat="false" ht="15" hidden="false" customHeight="false" outlineLevel="0" collapsed="false">
      <c r="I77" s="8" t="s">
        <v>122</v>
      </c>
      <c r="J77" s="16" t="n">
        <v>1.17763627464139</v>
      </c>
      <c r="K77" s="16" t="n">
        <v>0.300217419649432</v>
      </c>
      <c r="L77" s="16" t="n">
        <v>0.877966987060285</v>
      </c>
      <c r="M77" s="13" t="n">
        <f aca="false">IF(OR(J77="",J77=0),"",K77/J77)</f>
        <v>0.254932211340767</v>
      </c>
    </row>
    <row r="78" customFormat="false" ht="15" hidden="false" customHeight="false" outlineLevel="0" collapsed="false">
      <c r="I78" s="8" t="s">
        <v>123</v>
      </c>
      <c r="J78" s="16" t="n">
        <v>0.845375081508239</v>
      </c>
      <c r="K78" s="16" t="n">
        <v>0.226446110527401</v>
      </c>
      <c r="L78" s="16" t="n">
        <v>0.619367273820539</v>
      </c>
      <c r="M78" s="13" t="n">
        <f aca="false">IF(OR(J78="",J78=0),"",K78/J78)</f>
        <v>0.267864662066212</v>
      </c>
    </row>
    <row r="79" customFormat="false" ht="15" hidden="false" customHeight="false" outlineLevel="0" collapsed="false">
      <c r="I79" s="8" t="s">
        <v>124</v>
      </c>
      <c r="J79" s="16" t="n">
        <v>0.668741464218041</v>
      </c>
      <c r="K79" s="16" t="n">
        <v>0.179226042462266</v>
      </c>
      <c r="L79" s="16" t="n">
        <v>0.490166366551196</v>
      </c>
      <c r="M79" s="13" t="n">
        <f aca="false">IF(OR(J79="",J79=0),"",K79/J79)</f>
        <v>0.268004979580315</v>
      </c>
    </row>
    <row r="80" customFormat="false" ht="15" hidden="false" customHeight="false" outlineLevel="0" collapsed="false">
      <c r="I80" s="8" t="s">
        <v>125</v>
      </c>
      <c r="J80" s="16" t="n">
        <v>0.559300156993731</v>
      </c>
      <c r="K80" s="16" t="n">
        <v>0.144635506590524</v>
      </c>
      <c r="L80" s="16" t="n">
        <v>0.415195676600904</v>
      </c>
      <c r="M80" s="13" t="n">
        <f aca="false">IF(OR(J80="",J80=0),"",K80/J80)</f>
        <v>0.258600868928676</v>
      </c>
    </row>
    <row r="81" customFormat="false" ht="15" hidden="false" customHeight="false" outlineLevel="0" collapsed="false">
      <c r="I81" s="8" t="s">
        <v>126</v>
      </c>
      <c r="J81" s="16" t="n">
        <v>0.472602636696605</v>
      </c>
      <c r="K81" s="16" t="n">
        <v>0.10864955561448</v>
      </c>
      <c r="L81" s="16" t="n">
        <v>0.364324626521049</v>
      </c>
      <c r="M81" s="13" t="n">
        <f aca="false">IF(OR(J81="",J81=0),"",K81/J81)</f>
        <v>0.229896211273636</v>
      </c>
    </row>
    <row r="82" customFormat="false" ht="15" hidden="false" customHeight="false" outlineLevel="0" collapsed="false">
      <c r="I82" s="8" t="s">
        <v>127</v>
      </c>
      <c r="J82" s="16" t="n">
        <v>0.434790506610468</v>
      </c>
      <c r="K82" s="16" t="n">
        <v>0.100744078858603</v>
      </c>
      <c r="L82" s="16" t="n">
        <v>0.333985501987092</v>
      </c>
      <c r="M82" s="13" t="n">
        <f aca="false">IF(OR(J82="",J82=0),"",K82/J82)</f>
        <v>0.231707172366715</v>
      </c>
    </row>
    <row r="83" customFormat="false" ht="15" hidden="false" customHeight="false" outlineLevel="0" collapsed="false">
      <c r="I83" s="8" t="s">
        <v>128</v>
      </c>
      <c r="J83" s="16" t="n">
        <v>0.394201219214119</v>
      </c>
      <c r="K83" s="16" t="n">
        <v>0.0879317615861827</v>
      </c>
      <c r="L83" s="16" t="n">
        <v>0.306141061642978</v>
      </c>
      <c r="M83" s="13" t="n">
        <f aca="false">IF(OR(J83="",J83=0),"",K83/J83)</f>
        <v>0.223063139585118</v>
      </c>
    </row>
    <row r="84" customFormat="false" ht="15" hidden="false" customHeight="false" outlineLevel="0" collapsed="false">
      <c r="I84" s="8" t="s">
        <v>129</v>
      </c>
      <c r="J84" s="16" t="n">
        <v>0.365665448586499</v>
      </c>
      <c r="K84" s="16" t="n">
        <v>0.0826656134543208</v>
      </c>
      <c r="L84" s="16" t="n">
        <v>0.282773634722263</v>
      </c>
      <c r="M84" s="13" t="n">
        <f aca="false">IF(OR(J84="",J84=0),"",K84/J84)</f>
        <v>0.226068975818934</v>
      </c>
    </row>
    <row r="85" customFormat="false" ht="15" hidden="false" customHeight="false" outlineLevel="0" collapsed="false">
      <c r="I85" s="8" t="s">
        <v>130</v>
      </c>
      <c r="J85" s="16" t="n">
        <v>0.335559327506132</v>
      </c>
      <c r="K85" s="16" t="n">
        <v>0.0754109384558264</v>
      </c>
      <c r="L85" s="16" t="n">
        <v>0.260189409334912</v>
      </c>
      <c r="M85" s="13" t="n">
        <f aca="false">IF(OR(J85="",J85=0),"",K85/J85)</f>
        <v>0.224732058608767</v>
      </c>
    </row>
    <row r="86" customFormat="false" ht="15" hidden="false" customHeight="false" outlineLevel="0" collapsed="false">
      <c r="I86" s="8" t="s">
        <v>131</v>
      </c>
      <c r="J86" s="16" t="n">
        <v>0.317575570760224</v>
      </c>
      <c r="K86" s="16" t="n">
        <v>0.0711488727316641</v>
      </c>
      <c r="L86" s="16" t="n">
        <v>0.246432299039779</v>
      </c>
      <c r="M86" s="13" t="n">
        <f aca="false">IF(OR(J86="",J86=0),"",K86/J86)</f>
        <v>0.224037612721109</v>
      </c>
    </row>
    <row r="87" customFormat="false" ht="15" hidden="false" customHeight="false" outlineLevel="0" collapsed="false">
      <c r="I87" s="8" t="s">
        <v>132</v>
      </c>
      <c r="J87" s="16" t="n">
        <v>0.313087563496091</v>
      </c>
      <c r="K87" s="16" t="n">
        <v>0.07080370289829</v>
      </c>
      <c r="L87" s="16" t="n">
        <v>0.242403645367919</v>
      </c>
      <c r="M87" s="13" t="n">
        <f aca="false">IF(OR(J87="",J87=0),"",K87/J87)</f>
        <v>0.22614664762682</v>
      </c>
    </row>
    <row r="88" customFormat="false" ht="15" hidden="false" customHeight="false" outlineLevel="0" collapsed="false">
      <c r="I88" s="8" t="s">
        <v>133</v>
      </c>
      <c r="J88" s="16" t="n">
        <v>0.313681935337484</v>
      </c>
      <c r="K88" s="16" t="n">
        <v>0.069836077442957</v>
      </c>
      <c r="L88" s="16" t="n">
        <v>0.243957655551074</v>
      </c>
      <c r="M88" s="13" t="n">
        <f aca="false">IF(OR(J88="",J88=0),"",K88/J88)</f>
        <v>0.222633405292599</v>
      </c>
    </row>
    <row r="89" customFormat="false" ht="15" hidden="false" customHeight="false" outlineLevel="0" collapsed="false">
      <c r="I89" s="8" t="s">
        <v>134</v>
      </c>
      <c r="J89" s="16" t="n">
        <v>0.315487605126457</v>
      </c>
      <c r="K89" s="16" t="n">
        <v>0.0700699906871029</v>
      </c>
      <c r="L89" s="16" t="n">
        <v>0.245499556807204</v>
      </c>
      <c r="M89" s="13" t="n">
        <f aca="false">IF(OR(J89="",J89=0),"",K89/J89)</f>
        <v>0.22210061361687</v>
      </c>
    </row>
    <row r="90" customFormat="false" ht="15" hidden="false" customHeight="false" outlineLevel="0" collapsed="false">
      <c r="I90" s="8" t="s">
        <v>135</v>
      </c>
      <c r="J90" s="16" t="n">
        <v>0.324118064389535</v>
      </c>
      <c r="K90" s="16" t="n">
        <v>0.0698532453140977</v>
      </c>
      <c r="L90" s="16" t="n">
        <v>0.254369092255774</v>
      </c>
      <c r="M90" s="13" t="n">
        <f aca="false">IF(OR(J90="",J90=0),"",K90/J90)</f>
        <v>0.215517902236223</v>
      </c>
    </row>
    <row r="91" customFormat="false" ht="15" hidden="false" customHeight="false" outlineLevel="0" collapsed="false">
      <c r="I91" s="8" t="s">
        <v>136</v>
      </c>
      <c r="J91" s="16" t="n">
        <v>0.33051474143271</v>
      </c>
      <c r="K91" s="16" t="n">
        <v>0.0749896795020688</v>
      </c>
      <c r="L91" s="16" t="n">
        <v>0.255541844919579</v>
      </c>
      <c r="M91" s="13" t="n">
        <f aca="false">IF(OR(J91="",J91=0),"",K91/J91)</f>
        <v>0.226887548727796</v>
      </c>
    </row>
    <row r="92" customFormat="false" ht="15" hidden="false" customHeight="false" outlineLevel="0" collapsed="false">
      <c r="I92" s="8" t="s">
        <v>137</v>
      </c>
      <c r="J92" s="16" t="n">
        <v>0.326067523988498</v>
      </c>
      <c r="K92" s="16" t="n">
        <v>0.0796813504976671</v>
      </c>
      <c r="L92" s="16" t="n">
        <v>0.246263172392237</v>
      </c>
      <c r="M92" s="13" t="n">
        <f aca="false">IF(OR(J92="",J92=0),"",K92/J92)</f>
        <v>0.244370704334474</v>
      </c>
    </row>
    <row r="93" customFormat="false" ht="15" hidden="false" customHeight="false" outlineLevel="0" collapsed="false">
      <c r="I93" s="8" t="s">
        <v>138</v>
      </c>
      <c r="J93" s="16" t="n">
        <v>0.323504481534784</v>
      </c>
      <c r="K93" s="16" t="n">
        <v>0.0869554759876756</v>
      </c>
      <c r="L93" s="16" t="n">
        <v>0.236474228584353</v>
      </c>
      <c r="M93" s="13" t="n">
        <f aca="false">IF(OR(J93="",J93=0),"",K93/J93)</f>
        <v>0.268792183573896</v>
      </c>
    </row>
    <row r="95" customFormat="false" ht="153.7" hidden="false" customHeight="false" outlineLevel="0" collapsed="false">
      <c r="I95" s="17" t="s">
        <v>189</v>
      </c>
    </row>
  </sheetData>
  <mergeCells count="1">
    <mergeCell ref="B42:G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C0016"/>
    <pageSetUpPr fitToPage="false"/>
  </sheetPr>
  <dimension ref="B2:Q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1"/>
    <col collapsed="false" customWidth="true" hidden="false" outlineLevel="0" max="4" min="3" style="0" width="12"/>
    <col collapsed="false" customWidth="true" hidden="false" outlineLevel="0" max="5" min="5" style="0" width="11"/>
    <col collapsed="false" customWidth="true" hidden="false" outlineLevel="0" max="6" min="6" style="0" width="12"/>
    <col collapsed="false" customWidth="true" hidden="false" outlineLevel="0" max="8" min="7" style="0" width="11"/>
    <col collapsed="false" customWidth="true" hidden="false" outlineLevel="0" max="9" min="9" style="0" width="12"/>
    <col collapsed="false" customWidth="true" hidden="false" outlineLevel="0" max="11" min="10" style="0" width="11"/>
    <col collapsed="false" customWidth="true" hidden="false" outlineLevel="0" max="12" min="12" style="0" width="10"/>
    <col collapsed="false" customWidth="true" hidden="false" outlineLevel="0" max="13" min="13" style="0" width="11"/>
    <col collapsed="false" customWidth="true" hidden="false" outlineLevel="0" max="15" min="14" style="0" width="10"/>
    <col collapsed="false" customWidth="true" hidden="false" outlineLevel="0" max="16" min="16" style="0" width="11"/>
    <col collapsed="false" customWidth="true" hidden="false" outlineLevel="0" max="17" min="17" style="0" width="13"/>
  </cols>
  <sheetData>
    <row r="2" customFormat="false" ht="25.5" hidden="false" customHeight="true" outlineLevel="0" collapsed="false">
      <c r="B2" s="1"/>
      <c r="C2" s="2" t="s">
        <v>190</v>
      </c>
    </row>
    <row r="3" customFormat="false" ht="15" hidden="false" customHeight="false" outlineLevel="0" collapsed="false">
      <c r="C3" s="3" t="s">
        <v>191</v>
      </c>
    </row>
    <row r="4" customFormat="false" ht="91" hidden="false" customHeight="false" outlineLevel="0" collapsed="false">
      <c r="C4" s="17" t="s">
        <v>192</v>
      </c>
    </row>
    <row r="5" customFormat="false" ht="15" hidden="false" customHeight="false" outlineLevel="0" collapsed="false">
      <c r="B5" s="24" t="s">
        <v>193</v>
      </c>
    </row>
    <row r="6" customFormat="false" ht="33.75" hidden="false" customHeight="true" outlineLevel="0" collapsed="false">
      <c r="B6" s="7" t="s">
        <v>194</v>
      </c>
      <c r="C6" s="7" t="s">
        <v>195</v>
      </c>
      <c r="D6" s="7" t="s">
        <v>196</v>
      </c>
      <c r="E6" s="7" t="s">
        <v>197</v>
      </c>
      <c r="F6" s="7" t="s">
        <v>198</v>
      </c>
      <c r="G6" s="7" t="s">
        <v>199</v>
      </c>
      <c r="H6" s="7" t="s">
        <v>200</v>
      </c>
      <c r="I6" s="7" t="s">
        <v>201</v>
      </c>
      <c r="J6" s="7" t="s">
        <v>202</v>
      </c>
      <c r="K6" s="7" t="s">
        <v>203</v>
      </c>
      <c r="L6" s="7" t="s">
        <v>204</v>
      </c>
      <c r="M6" s="7" t="s">
        <v>205</v>
      </c>
      <c r="N6" s="7" t="s">
        <v>206</v>
      </c>
      <c r="O6" s="7" t="s">
        <v>207</v>
      </c>
      <c r="P6" s="7" t="s">
        <v>208</v>
      </c>
      <c r="Q6" s="7" t="s">
        <v>209</v>
      </c>
    </row>
    <row r="8" customFormat="false" ht="15" hidden="false" customHeight="false" outlineLevel="0" collapsed="false">
      <c r="B8" s="8" t="s">
        <v>210</v>
      </c>
      <c r="C8" s="25" t="n">
        <v>516582.480346626</v>
      </c>
      <c r="D8" s="25" t="n">
        <v>94876.3154230497</v>
      </c>
      <c r="E8" s="25" t="n">
        <v>143683.721444142</v>
      </c>
      <c r="F8" s="25" t="n">
        <v>-10285.1273718145</v>
      </c>
      <c r="G8" s="25" t="n">
        <v>135342.642753901</v>
      </c>
      <c r="H8" s="25" t="n">
        <v>182574.747929547</v>
      </c>
      <c r="I8" s="25" t="n">
        <v>697625.284666358</v>
      </c>
      <c r="J8" s="26"/>
      <c r="K8" s="26"/>
      <c r="L8" s="26"/>
      <c r="M8" s="26"/>
      <c r="N8" s="26"/>
      <c r="O8" s="26"/>
      <c r="P8" s="13"/>
      <c r="Q8" s="26"/>
    </row>
    <row r="9" customFormat="false" ht="15" hidden="false" customHeight="false" outlineLevel="0" collapsed="false">
      <c r="B9" s="8" t="s">
        <v>211</v>
      </c>
      <c r="C9" s="25" t="n">
        <v>576435.438809252</v>
      </c>
      <c r="D9" s="25" t="n">
        <v>99651.2525239743</v>
      </c>
      <c r="E9" s="25" t="n">
        <v>160568.550740254</v>
      </c>
      <c r="F9" s="25" t="n">
        <v>-7371.0004197824</v>
      </c>
      <c r="G9" s="25" t="n">
        <v>157619.701725018</v>
      </c>
      <c r="H9" s="25" t="n">
        <v>204565.314844981</v>
      </c>
      <c r="I9" s="25" t="n">
        <v>782338.628533735</v>
      </c>
      <c r="J9" s="26"/>
      <c r="K9" s="26"/>
      <c r="L9" s="26"/>
      <c r="M9" s="26"/>
      <c r="N9" s="26"/>
      <c r="O9" s="26"/>
      <c r="P9" s="13"/>
      <c r="Q9" s="26"/>
    </row>
    <row r="10" customFormat="false" ht="15" hidden="false" customHeight="false" outlineLevel="0" collapsed="false">
      <c r="B10" s="8" t="s">
        <v>212</v>
      </c>
      <c r="C10" s="25" t="n">
        <v>497399.57905697</v>
      </c>
      <c r="D10" s="25" t="n">
        <v>96128.7887320401</v>
      </c>
      <c r="E10" s="25" t="n">
        <v>160952.872331844</v>
      </c>
      <c r="F10" s="25" t="n">
        <v>22366.0043144993</v>
      </c>
      <c r="G10" s="25" t="n">
        <v>157115.548409911</v>
      </c>
      <c r="H10" s="25" t="n">
        <v>201300.628969762</v>
      </c>
      <c r="I10" s="25" t="n">
        <v>732662.163875501</v>
      </c>
      <c r="J10" s="26"/>
      <c r="K10" s="26"/>
      <c r="L10" s="26"/>
      <c r="M10" s="26"/>
      <c r="N10" s="26"/>
      <c r="O10" s="26"/>
      <c r="P10" s="13"/>
      <c r="Q10" s="26"/>
    </row>
    <row r="11" customFormat="false" ht="15" hidden="false" customHeight="false" outlineLevel="0" collapsed="false">
      <c r="B11" s="8" t="s">
        <v>213</v>
      </c>
      <c r="C11" s="25" t="n">
        <v>490167.719913891</v>
      </c>
      <c r="D11" s="25" t="n">
        <v>100882.286003064</v>
      </c>
      <c r="E11" s="25" t="n">
        <v>148604.109930468</v>
      </c>
      <c r="F11" s="25" t="n">
        <v>3388.3809406164</v>
      </c>
      <c r="G11" s="25" t="n">
        <v>154135.03142408</v>
      </c>
      <c r="H11" s="25" t="n">
        <v>184437.070383381</v>
      </c>
      <c r="I11" s="25" t="n">
        <v>712740.457828738</v>
      </c>
      <c r="J11" s="26"/>
      <c r="K11" s="26"/>
      <c r="L11" s="26"/>
      <c r="M11" s="26"/>
      <c r="N11" s="26"/>
      <c r="O11" s="26"/>
      <c r="P11" s="13"/>
      <c r="Q11" s="26"/>
    </row>
    <row r="12" customFormat="false" ht="15" hidden="false" customHeight="false" outlineLevel="0" collapsed="false">
      <c r="B12" s="8" t="s">
        <v>214</v>
      </c>
      <c r="C12" s="25" t="n">
        <v>535974.726635851</v>
      </c>
      <c r="D12" s="25" t="n">
        <v>97699.3729379779</v>
      </c>
      <c r="E12" s="25" t="n">
        <v>141756.110537038</v>
      </c>
      <c r="F12" s="25" t="n">
        <v>-8051.10480918308</v>
      </c>
      <c r="G12" s="25" t="n">
        <v>126446.798003757</v>
      </c>
      <c r="H12" s="25" t="n">
        <v>189816.868128439</v>
      </c>
      <c r="I12" s="25" t="n">
        <v>704009.035177002</v>
      </c>
      <c r="J12" s="26" t="n">
        <f aca="false">IF(OR(C12="",C8="",$I8=""),"",(C12-C8)/$I8)</f>
        <v>0.0277975106629046</v>
      </c>
      <c r="K12" s="26" t="n">
        <f aca="false">IF(OR(D12="",D8="",$I8=""),"",(D12-D8)/$I8)</f>
        <v>0.00404666742587797</v>
      </c>
      <c r="L12" s="26" t="n">
        <f aca="false">IF(OR(E12="",E8="",$I8=""),"",(E12-E8)/$I8)</f>
        <v>-0.00276310355927806</v>
      </c>
      <c r="M12" s="26" t="n">
        <f aca="false">IF(OR(F12="",F8="",$I8=""),"",(F12-F8)/$I8)</f>
        <v>0.00320232453114117</v>
      </c>
      <c r="N12" s="26" t="n">
        <f aca="false">IF(OR(G12="",G8="",$I8=""),"",(G12-G8)/$I8)</f>
        <v>-0.0127516088445654</v>
      </c>
      <c r="O12" s="26" t="n">
        <f aca="false">IF(OR(H12="",H8="",$I8=""),"",-(H12-H8)/$I8)</f>
        <v>-0.0103811033775182</v>
      </c>
      <c r="P12" s="13" t="n">
        <f aca="false">IF(OR(I12="",I8=""),"",I12/I8-1)</f>
        <v>0.00915068683856113</v>
      </c>
      <c r="Q12" s="26" t="n">
        <f aca="false">IF(P12="","",SUM(J12:O12)-P12)</f>
        <v>9.87057657830803E-016</v>
      </c>
    </row>
    <row r="13" customFormat="false" ht="15" hidden="false" customHeight="false" outlineLevel="0" collapsed="false">
      <c r="B13" s="8" t="s">
        <v>215</v>
      </c>
      <c r="C13" s="25" t="n">
        <v>588087.031823055</v>
      </c>
      <c r="D13" s="25" t="n">
        <v>104013.850900409</v>
      </c>
      <c r="E13" s="25" t="n">
        <v>157587.976034708</v>
      </c>
      <c r="F13" s="25" t="n">
        <v>-36051.0543796846</v>
      </c>
      <c r="G13" s="25" t="n">
        <v>136912.27496015</v>
      </c>
      <c r="H13" s="25" t="n">
        <v>212421.668111333</v>
      </c>
      <c r="I13" s="25" t="n">
        <v>738128.411227304</v>
      </c>
      <c r="J13" s="26" t="n">
        <f aca="false">IF(OR(C13="",C9="",$I9=""),"",(C13-C9)/$I9)</f>
        <v>0.0148932860897339</v>
      </c>
      <c r="K13" s="26" t="n">
        <f aca="false">IF(OR(D13="",D9="",$I9=""),"",(D13-D9)/$I9)</f>
        <v>0.00557635557969459</v>
      </c>
      <c r="L13" s="26" t="n">
        <f aca="false">IF(OR(E13="",E9="",$I9=""),"",(E13-E9)/$I9)</f>
        <v>-0.00380982684075336</v>
      </c>
      <c r="M13" s="26" t="n">
        <f aca="false">IF(OR(F13="",F9="",$I9=""),"",(F13-F9)/$I9)</f>
        <v>-0.0366593862476848</v>
      </c>
      <c r="N13" s="26" t="n">
        <f aca="false">IF(OR(G13="",G9="",$I9=""),"",(G13-G9)/$I9)</f>
        <v>-0.0264686237002997</v>
      </c>
      <c r="O13" s="26" t="n">
        <f aca="false">IF(OR(H13="",H9="",$I9=""),"",-(H13-H9)/$I9)</f>
        <v>-0.0100421390173159</v>
      </c>
      <c r="P13" s="13" t="n">
        <f aca="false">IF(OR(I13="",I9=""),"",I13/I9-1)</f>
        <v>-0.0565103341366259</v>
      </c>
      <c r="Q13" s="26" t="n">
        <f aca="false">IF(P13="","",SUM(J13:O13)-P13)</f>
        <v>6.5225602696728E-016</v>
      </c>
    </row>
    <row r="14" customFormat="false" ht="15" hidden="false" customHeight="false" outlineLevel="0" collapsed="false">
      <c r="B14" s="8" t="s">
        <v>216</v>
      </c>
      <c r="C14" s="25" t="n">
        <v>496373.766653636</v>
      </c>
      <c r="D14" s="25" t="n">
        <v>99537.2290543017</v>
      </c>
      <c r="E14" s="25" t="n">
        <v>162177.089822238</v>
      </c>
      <c r="F14" s="25" t="n">
        <v>31511.9192057948</v>
      </c>
      <c r="G14" s="25" t="n">
        <v>143916.189151725</v>
      </c>
      <c r="H14" s="25" t="n">
        <v>204973.938040209</v>
      </c>
      <c r="I14" s="25" t="n">
        <v>728542.255847487</v>
      </c>
      <c r="J14" s="26" t="n">
        <f aca="false">IF(OR(C14="",C10="",$I10=""),"",(C14-C10)/$I10)</f>
        <v>-0.00140011652561374</v>
      </c>
      <c r="K14" s="26" t="n">
        <f aca="false">IF(OR(D14="",D10="",$I10=""),"",(D14-D10)/$I10)</f>
        <v>0.00465213094154099</v>
      </c>
      <c r="L14" s="26" t="n">
        <f aca="false">IF(OR(E14="",E10="",$I10=""),"",(E14-E10)/$I10)</f>
        <v>0.00167091676185153</v>
      </c>
      <c r="M14" s="26" t="n">
        <f aca="false">IF(OR(F14="",F10="",$I10=""),"",(F14-F10)/$I10)</f>
        <v>0.01248312707035</v>
      </c>
      <c r="N14" s="26" t="n">
        <f aca="false">IF(OR(G14="",G10="",$I10=""),"",(G14-G10)/$I10)</f>
        <v>-0.0180156147116516</v>
      </c>
      <c r="O14" s="26" t="n">
        <f aca="false">IF(OR(H14="",H10="",$I10=""),"",-(H14-H10)/$I10)</f>
        <v>-0.00501364646840312</v>
      </c>
      <c r="P14" s="13" t="n">
        <f aca="false">IF(OR(I14="",I10=""),"",I14/I10-1)</f>
        <v>-0.00562320293192331</v>
      </c>
      <c r="Q14" s="26" t="n">
        <f aca="false">IF(P14="","",SUM(J14:O14)-P14)</f>
        <v>-2.617697725249E-015</v>
      </c>
    </row>
    <row r="15" customFormat="false" ht="15" hidden="false" customHeight="false" outlineLevel="0" collapsed="false">
      <c r="B15" s="8" t="s">
        <v>217</v>
      </c>
      <c r="C15" s="25" t="n">
        <v>480687.411150461</v>
      </c>
      <c r="D15" s="25" t="n">
        <v>99272.7053137427</v>
      </c>
      <c r="E15" s="25" t="n">
        <v>137053.085025028</v>
      </c>
      <c r="F15" s="25" t="n">
        <v>30180.3878688862</v>
      </c>
      <c r="G15" s="25" t="n">
        <v>136117.333699074</v>
      </c>
      <c r="H15" s="25" t="n">
        <v>182767.724359632</v>
      </c>
      <c r="I15" s="25" t="n">
        <v>700543.19869756</v>
      </c>
      <c r="J15" s="26" t="n">
        <f aca="false">IF(OR(C15="",C11="",$I11=""),"",(C15-C11)/$I11)</f>
        <v>-0.013301207556409</v>
      </c>
      <c r="K15" s="26" t="n">
        <f aca="false">IF(OR(D15="",D11="",$I11=""),"",(D15-D11)/$I11)</f>
        <v>-0.00225829847547122</v>
      </c>
      <c r="L15" s="26" t="n">
        <f aca="false">IF(OR(E15="",E11="",$I11=""),"",(E15-E11)/$I11)</f>
        <v>-0.0162064953358036</v>
      </c>
      <c r="M15" s="26" t="n">
        <f aca="false">IF(OR(F15="",F11="",$I11=""),"",(F15-F11)/$I11)</f>
        <v>0.0375901306485222</v>
      </c>
      <c r="N15" s="26" t="n">
        <f aca="false">IF(OR(G15="",G11="",$I11=""),"",(G15-G11)/$I11)</f>
        <v>-0.0252794653749478</v>
      </c>
      <c r="O15" s="26" t="n">
        <f aca="false">IF(OR(H15="",H11="",$I11=""),"",-(H15-H11)/$I11)</f>
        <v>0.00234215134753881</v>
      </c>
      <c r="P15" s="13" t="n">
        <f aca="false">IF(OR(I15="",I11=""),"",I15/I11-1)</f>
        <v>-0.01711318474657</v>
      </c>
      <c r="Q15" s="26" t="n">
        <f aca="false">IF(P15="","",SUM(J15:O15)-P15)</f>
        <v>-5.759281940243E-016</v>
      </c>
    </row>
    <row r="16" customFormat="false" ht="15" hidden="false" customHeight="false" outlineLevel="0" collapsed="false">
      <c r="B16" s="8" t="s">
        <v>218</v>
      </c>
      <c r="C16" s="25" t="n">
        <v>508286.74859901</v>
      </c>
      <c r="D16" s="25" t="n">
        <v>93290.7843641365</v>
      </c>
      <c r="E16" s="25" t="n">
        <v>107772.242463998</v>
      </c>
      <c r="F16" s="25" t="n">
        <v>-24824.3015464043</v>
      </c>
      <c r="G16" s="25" t="n">
        <v>147382.288051746</v>
      </c>
      <c r="H16" s="25" t="n">
        <v>163688.131105433</v>
      </c>
      <c r="I16" s="25" t="n">
        <v>668219.630827054</v>
      </c>
      <c r="J16" s="26" t="n">
        <f aca="false">IF(OR(C16="",C12="",$I12=""),"",(C16-C12)/$I12)</f>
        <v>-0.0393290095060778</v>
      </c>
      <c r="K16" s="26" t="n">
        <f aca="false">IF(OR(D16="",D12="",$I12=""),"",(D16-D12)/$I12)</f>
        <v>-0.00626211931034804</v>
      </c>
      <c r="L16" s="26" t="n">
        <f aca="false">IF(OR(E16="",E12="",$I12=""),"",(E16-E12)/$I12)</f>
        <v>-0.0482719203518401</v>
      </c>
      <c r="M16" s="26" t="n">
        <f aca="false">IF(OR(F16="",F12="",$I12=""),"",(F16-F12)/$I12)</f>
        <v>-0.0238252577724434</v>
      </c>
      <c r="N16" s="26" t="n">
        <f aca="false">IF(OR(G16="",G12="",$I12=""),"",(G16-G12)/$I12)</f>
        <v>0.029737530346788</v>
      </c>
      <c r="O16" s="26" t="n">
        <f aca="false">IF(OR(H16="",H12="",$I12=""),"",-(H16-H12)/$I12)</f>
        <v>0.0371142069454218</v>
      </c>
      <c r="P16" s="13" t="n">
        <f aca="false">IF(OR(I16="",I12=""),"",I16/I12-1)</f>
        <v>-0.0508365696484986</v>
      </c>
      <c r="Q16" s="26" t="n">
        <f aca="false">IF(P16="","",SUM(J16:O16)-P16)</f>
        <v>-9.15933995315754E-016</v>
      </c>
    </row>
    <row r="17" customFormat="false" ht="15" hidden="false" customHeight="false" outlineLevel="0" collapsed="false">
      <c r="B17" s="8" t="s">
        <v>219</v>
      </c>
      <c r="C17" s="25" t="n">
        <v>538393.96480034</v>
      </c>
      <c r="D17" s="25" t="n">
        <v>98261.4882958323</v>
      </c>
      <c r="E17" s="25" t="n">
        <v>111250.67606318</v>
      </c>
      <c r="F17" s="25" t="n">
        <v>-18156.7250886427</v>
      </c>
      <c r="G17" s="25" t="n">
        <v>164179.762619633</v>
      </c>
      <c r="H17" s="25" t="n">
        <v>164019.797970519</v>
      </c>
      <c r="I17" s="25" t="n">
        <v>729909.368719823</v>
      </c>
      <c r="J17" s="26" t="n">
        <f aca="false">IF(OR(C17="",C13="",$I13=""),"",(C17-C13)/$I13)</f>
        <v>-0.067323065020745</v>
      </c>
      <c r="K17" s="26" t="n">
        <f aca="false">IF(OR(D17="",D13="",$I13=""),"",(D17-D13)/$I13)</f>
        <v>-0.00779317327050467</v>
      </c>
      <c r="L17" s="26" t="n">
        <f aca="false">IF(OR(E17="",E13="",$I13=""),"",(E17-E13)/$I13)</f>
        <v>-0.0627767462499944</v>
      </c>
      <c r="M17" s="26" t="n">
        <f aca="false">IF(OR(F17="",F13="",$I13=""),"",(F17-F13)/$I13)</f>
        <v>0.024242840431096</v>
      </c>
      <c r="N17" s="26" t="n">
        <f aca="false">IF(OR(G17="",G13="",$I13=""),"",(G17-G13)/$I13)</f>
        <v>0.0369413874940062</v>
      </c>
      <c r="O17" s="26" t="n">
        <f aca="false">IF(OR(H17="",H13="",$I13=""),"",-(H17-H13)/$I13)</f>
        <v>0.0655737801236171</v>
      </c>
      <c r="P17" s="13" t="n">
        <f aca="false">IF(OR(I17="",I13=""),"",I17/I13-1)</f>
        <v>-0.0111349764925253</v>
      </c>
      <c r="Q17" s="26" t="n">
        <f aca="false">IF(P17="","",SUM(J17:O17)-P17)</f>
        <v>3.46944695195361E-016</v>
      </c>
    </row>
    <row r="18" customFormat="false" ht="15" hidden="false" customHeight="false" outlineLevel="0" collapsed="false">
      <c r="B18" s="8" t="s">
        <v>220</v>
      </c>
      <c r="C18" s="25" t="n">
        <v>490119.306834036</v>
      </c>
      <c r="D18" s="25" t="n">
        <v>95614.3762687654</v>
      </c>
      <c r="E18" s="25" t="n">
        <v>134999.676639259</v>
      </c>
      <c r="F18" s="25" t="n">
        <v>1861.26908426835</v>
      </c>
      <c r="G18" s="25" t="n">
        <v>172087.515874097</v>
      </c>
      <c r="H18" s="25" t="n">
        <v>180382.926744185</v>
      </c>
      <c r="I18" s="25" t="n">
        <v>714299.21795624</v>
      </c>
      <c r="J18" s="26" t="n">
        <f aca="false">IF(OR(C18="",C14="",$I14=""),"",(C18-C14)/$I14)</f>
        <v>-0.00858489644135246</v>
      </c>
      <c r="K18" s="26" t="n">
        <f aca="false">IF(OR(D18="",D14="",$I14=""),"",(D18-D14)/$I14)</f>
        <v>-0.00538452334651886</v>
      </c>
      <c r="L18" s="26" t="n">
        <f aca="false">IF(OR(E18="",E14="",$I14=""),"",(E18-E14)/$I14)</f>
        <v>-0.037303825502015</v>
      </c>
      <c r="M18" s="26" t="n">
        <f aca="false">IF(OR(F18="",F14="",$I14=""),"",(F18-F14)/$I14)</f>
        <v>-0.040698600367435</v>
      </c>
      <c r="N18" s="26" t="n">
        <f aca="false">IF(OR(G18="",G14="",$I14=""),"",(G18-G14)/$I14)</f>
        <v>0.0386680751819966</v>
      </c>
      <c r="O18" s="26" t="n">
        <f aca="false">IF(OR(H18="",H14="",$I14=""),"",-(H18-H14)/$I14)</f>
        <v>0.0337537199780103</v>
      </c>
      <c r="P18" s="13" t="n">
        <f aca="false">IF(OR(I18="",I14=""),"",I18/I14-1)</f>
        <v>-0.0195500504973161</v>
      </c>
      <c r="Q18" s="26" t="n">
        <f aca="false">IF(P18="","",SUM(J18:O18)-P18)</f>
        <v>1.64451785522601E-015</v>
      </c>
    </row>
    <row r="19" customFormat="false" ht="15" hidden="false" customHeight="false" outlineLevel="0" collapsed="false">
      <c r="B19" s="8" t="s">
        <v>221</v>
      </c>
      <c r="C19" s="25" t="n">
        <v>504095.16709731</v>
      </c>
      <c r="D19" s="25" t="n">
        <v>101219.344804617</v>
      </c>
      <c r="E19" s="25" t="n">
        <v>139618.47521814</v>
      </c>
      <c r="F19" s="25" t="n">
        <v>1560.50838149447</v>
      </c>
      <c r="G19" s="25" t="n">
        <v>172594.555833184</v>
      </c>
      <c r="H19" s="25" t="n">
        <v>199564.73060381</v>
      </c>
      <c r="I19" s="25" t="n">
        <v>719523.320730935</v>
      </c>
      <c r="J19" s="26" t="n">
        <f aca="false">IF(OR(C19="",C15="",$I15=""),"",(C19-C15)/$I15)</f>
        <v>0.0334137223662558</v>
      </c>
      <c r="K19" s="26" t="n">
        <f aca="false">IF(OR(D19="",D15="",$I15=""),"",(D19-D15)/$I15)</f>
        <v>0.00277875724793769</v>
      </c>
      <c r="L19" s="26" t="n">
        <f aca="false">IF(OR(E19="",E15="",$I15=""),"",(E19-E15)/$I15)</f>
        <v>0.00366200142672362</v>
      </c>
      <c r="M19" s="26" t="n">
        <f aca="false">IF(OR(F19="",F15="",$I15=""),"",(F19-F15)/$I15)</f>
        <v>-0.040853839621313</v>
      </c>
      <c r="N19" s="26" t="n">
        <f aca="false">IF(OR(G19="",G15="",$I15=""),"",(G19-G15)/$I15)</f>
        <v>0.0520699111802497</v>
      </c>
      <c r="O19" s="26" t="n">
        <f aca="false">IF(OR(H19="",H15="",$I15=""),"",-(H19-H15)/$I15)</f>
        <v>-0.023977117007783</v>
      </c>
      <c r="P19" s="13" t="n">
        <f aca="false">IF(OR(I19="",I15=""),"",I19/I15-1)</f>
        <v>0.02709343559207</v>
      </c>
      <c r="Q19" s="26" t="n">
        <f aca="false">IF(P19="","",SUM(J19:O19)-P19)</f>
        <v>7.56339435525888E-016</v>
      </c>
    </row>
    <row r="20" customFormat="false" ht="15" hidden="false" customHeight="false" outlineLevel="0" collapsed="false">
      <c r="B20" s="8" t="s">
        <v>222</v>
      </c>
      <c r="C20" s="25" t="n">
        <v>566590.758372185</v>
      </c>
      <c r="D20" s="25" t="n">
        <v>91687.7927881485</v>
      </c>
      <c r="E20" s="25" t="n">
        <v>141620.552335413</v>
      </c>
      <c r="F20" s="25" t="n">
        <v>-17572.9158306914</v>
      </c>
      <c r="G20" s="25" t="n">
        <v>156881.313679753</v>
      </c>
      <c r="H20" s="25" t="n">
        <v>230112.376648185</v>
      </c>
      <c r="I20" s="25" t="n">
        <v>709095.124696624</v>
      </c>
      <c r="J20" s="26" t="n">
        <f aca="false">IF(OR(C20="",C16="",$I16=""),"",(C20-C16)/$I16)</f>
        <v>0.0872527640365972</v>
      </c>
      <c r="K20" s="26" t="n">
        <f aca="false">IF(OR(D20="",D16="",$I16=""),"",(D20-D16)/$I16)</f>
        <v>-0.00239889925712597</v>
      </c>
      <c r="L20" s="26" t="n">
        <f aca="false">IF(OR(E20="",E16="",$I16=""),"",(E20-E16)/$I16)</f>
        <v>0.0506544679471943</v>
      </c>
      <c r="M20" s="26" t="n">
        <f aca="false">IF(OR(F20="",F16="",$I16=""),"",(F20-F16)/$I16)</f>
        <v>0.0108517998891141</v>
      </c>
      <c r="N20" s="26" t="n">
        <f aca="false">IF(OR(G20="",G16="",$I16=""),"",(G20-G16)/$I16)</f>
        <v>0.0142154243751415</v>
      </c>
      <c r="O20" s="26" t="n">
        <f aca="false">IF(OR(H20="",H16="",$I16=""),"",-(H20-H16)/$I16)</f>
        <v>-0.0994048101528218</v>
      </c>
      <c r="P20" s="13" t="n">
        <f aca="false">IF(OR(I20="",I16=""),"",I20/I16-1)</f>
        <v>0.0611707468380993</v>
      </c>
      <c r="Q20" s="26" t="n">
        <f aca="false">IF(P20="","",SUM(J20:O20)-P20)</f>
        <v>0</v>
      </c>
    </row>
    <row r="21" customFormat="false" ht="15" hidden="false" customHeight="false" outlineLevel="0" collapsed="false">
      <c r="B21" s="8" t="s">
        <v>223</v>
      </c>
      <c r="C21" s="25" t="n">
        <v>601163.867188217</v>
      </c>
      <c r="D21" s="25" t="n">
        <v>99731.9840453151</v>
      </c>
      <c r="E21" s="25" t="n">
        <v>147249.227133287</v>
      </c>
      <c r="F21" s="25" t="n">
        <v>-12464.0213319881</v>
      </c>
      <c r="G21" s="25" t="n">
        <v>169976.523500535</v>
      </c>
      <c r="H21" s="25" t="n">
        <v>228175.024928465</v>
      </c>
      <c r="I21" s="25" t="n">
        <v>777482.5556069</v>
      </c>
      <c r="J21" s="26" t="n">
        <f aca="false">IF(OR(C21="",C17="",$I17=""),"",(C21-C17)/$I17)</f>
        <v>0.0859968443725667</v>
      </c>
      <c r="K21" s="26" t="n">
        <f aca="false">IF(OR(D21="",D17="",$I17=""),"",(D21-D17)/$I17)</f>
        <v>0.00201462785997922</v>
      </c>
      <c r="L21" s="26" t="n">
        <f aca="false">IF(OR(E21="",E17="",$I17=""),"",(E21-E17)/$I17)</f>
        <v>0.0493192067574695</v>
      </c>
      <c r="M21" s="26" t="n">
        <f aca="false">IF(OR(F21="",F17="",$I17=""),"",(F21-F17)/$I17)</f>
        <v>0.00779919261296638</v>
      </c>
      <c r="N21" s="26" t="n">
        <f aca="false">IF(OR(G21="",G17="",$I17=""),"",(G21-G17)/$I17)</f>
        <v>0.0079417543181681</v>
      </c>
      <c r="O21" s="26" t="n">
        <f aca="false">IF(OR(H21="",H17="",$I17=""),"",-(H21-H17)/$I17)</f>
        <v>-0.0878947848970166</v>
      </c>
      <c r="P21" s="13" t="n">
        <f aca="false">IF(OR(I21="",I17=""),"",I21/I17-1)</f>
        <v>0.0651768410241329</v>
      </c>
      <c r="Q21" s="26" t="n">
        <f aca="false">IF(P21="","",SUM(J21:O21)-P21)</f>
        <v>3.88578058618805E-016</v>
      </c>
    </row>
    <row r="22" customFormat="false" ht="15" hidden="false" customHeight="false" outlineLevel="0" collapsed="false">
      <c r="B22" s="8" t="s">
        <v>224</v>
      </c>
      <c r="C22" s="25" t="n">
        <v>522534.771832547</v>
      </c>
      <c r="D22" s="25" t="n">
        <v>96837.2242064538</v>
      </c>
      <c r="E22" s="25" t="n">
        <v>148829.507279122</v>
      </c>
      <c r="F22" s="25" t="n">
        <v>5036.70375842465</v>
      </c>
      <c r="G22" s="25" t="n">
        <v>189756.073465731</v>
      </c>
      <c r="H22" s="25" t="n">
        <v>225859.212864569</v>
      </c>
      <c r="I22" s="25" t="n">
        <v>737135.067677709</v>
      </c>
      <c r="J22" s="26" t="n">
        <f aca="false">IF(OR(C22="",C18="",$I18=""),"",(C22-C18)/$I18)</f>
        <v>0.0453807930677264</v>
      </c>
      <c r="K22" s="26" t="n">
        <f aca="false">IF(OR(D22="",D18="",$I18=""),"",(D22-D18)/$I18)</f>
        <v>0.00171195474802175</v>
      </c>
      <c r="L22" s="26" t="n">
        <f aca="false">IF(OR(E22="",E18="",$I18=""),"",(E22-E18)/$I18)</f>
        <v>0.0193613968659143</v>
      </c>
      <c r="M22" s="26" t="n">
        <f aca="false">IF(OR(F22="",F18="",$I18=""),"",(F22-F18)/$I18)</f>
        <v>0.00444552450056138</v>
      </c>
      <c r="N22" s="26" t="n">
        <f aca="false">IF(OR(G22="",G18="",$I18=""),"",(G22-G18)/$I18)</f>
        <v>0.0247355129999826</v>
      </c>
      <c r="O22" s="26" t="n">
        <f aca="false">IF(OR(H22="",H18="",$I18=""),"",-(H22-H18)/$I18)</f>
        <v>-0.0636655969615943</v>
      </c>
      <c r="P22" s="13" t="n">
        <f aca="false">IF(OR(I22="",I18=""),"",I22/I18-1)</f>
        <v>0.0319695852206126</v>
      </c>
      <c r="Q22" s="26" t="n">
        <f aca="false">IF(P22="","",SUM(J22:O22)-P22)</f>
        <v>-4.02455846426619E-016</v>
      </c>
    </row>
    <row r="23" customFormat="false" ht="15" hidden="false" customHeight="false" outlineLevel="0" collapsed="false">
      <c r="B23" s="8" t="s">
        <v>225</v>
      </c>
      <c r="C23" s="25" t="n">
        <v>525445.783372707</v>
      </c>
      <c r="D23" s="25" t="n">
        <v>101592.274613111</v>
      </c>
      <c r="E23" s="25" t="n">
        <v>135974.003887176</v>
      </c>
      <c r="F23" s="25" t="n">
        <v>933.0765059119</v>
      </c>
      <c r="G23" s="25" t="n">
        <v>192971.241232519</v>
      </c>
      <c r="H23" s="25" t="n">
        <v>221714.274103424</v>
      </c>
      <c r="I23" s="25" t="n">
        <v>735202.105508002</v>
      </c>
      <c r="J23" s="26" t="n">
        <f aca="false">IF(OR(C23="",C19="",$I19=""),"",(C23-C19)/$I19)</f>
        <v>0.0296732790449484</v>
      </c>
      <c r="K23" s="26" t="n">
        <f aca="false">IF(OR(D23="",D19="",$I19=""),"",(D23-D19)/$I19)</f>
        <v>0.000518301211022827</v>
      </c>
      <c r="L23" s="26" t="n">
        <f aca="false">IF(OR(E23="",E19="",$I19=""),"",(E23-E19)/$I19)</f>
        <v>-0.00506511912256261</v>
      </c>
      <c r="M23" s="26" t="n">
        <f aca="false">IF(OR(F23="",F19="",$I19=""),"",(F23-F19)/$I19)</f>
        <v>-0.000872010479028237</v>
      </c>
      <c r="N23" s="26" t="n">
        <f aca="false">IF(OR(G23="",G19="",$I19=""),"",(G23-G19)/$I19)</f>
        <v>0.028319701130236</v>
      </c>
      <c r="O23" s="26" t="n">
        <f aca="false">IF(OR(H23="",H19="",$I19=""),"",-(H23-H19)/$I19)</f>
        <v>-0.0307836353060984</v>
      </c>
      <c r="P23" s="13" t="n">
        <f aca="false">IF(OR(I23="",I19=""),"",I23/I19-1)</f>
        <v>0.0217905164785202</v>
      </c>
      <c r="Q23" s="26" t="n">
        <f aca="false">IF(P23="","",SUM(J23:O23)-P23)</f>
        <v>-2.17534323887492E-015</v>
      </c>
    </row>
    <row r="24" customFormat="false" ht="15" hidden="false" customHeight="false" outlineLevel="0" collapsed="false">
      <c r="B24" s="8" t="s">
        <v>226</v>
      </c>
      <c r="C24" s="25" t="n">
        <v>582154.795555133</v>
      </c>
      <c r="D24" s="25" t="n">
        <v>90857.0613928322</v>
      </c>
      <c r="E24" s="25" t="n">
        <v>125135.441517226</v>
      </c>
      <c r="F24" s="25" t="n">
        <v>-31897.148457934</v>
      </c>
      <c r="G24" s="25" t="n">
        <v>172306.877867187</v>
      </c>
      <c r="H24" s="25" t="n">
        <v>212956.783306192</v>
      </c>
      <c r="I24" s="25" t="n">
        <v>725600.244568253</v>
      </c>
      <c r="J24" s="26" t="n">
        <f aca="false">IF(OR(C24="",C20="",$I20=""),"",(C24-C20)/$I20)</f>
        <v>0.0219491527171433</v>
      </c>
      <c r="K24" s="26" t="n">
        <f aca="false">IF(OR(D24="",D20="",$I20=""),"",(D24-D20)/$I20)</f>
        <v>-0.00117153731055719</v>
      </c>
      <c r="L24" s="26" t="n">
        <f aca="false">IF(OR(E24="",E20="",$I20=""),"",(E24-E20)/$I20)</f>
        <v>-0.0232480949932351</v>
      </c>
      <c r="M24" s="26" t="n">
        <f aca="false">IF(OR(F24="",F20="",$I20=""),"",(F24-F20)/$I20)</f>
        <v>-0.0202007207895711</v>
      </c>
      <c r="N24" s="26" t="n">
        <f aca="false">IF(OR(G24="",G20="",$I20=""),"",(G24-G20)/$I20)</f>
        <v>0.0217538714485361</v>
      </c>
      <c r="O24" s="26" t="n">
        <f aca="false">IF(OR(H24="",H20="",$I20=""),"",-(H24-H20)/$I20)</f>
        <v>0.0241936416490422</v>
      </c>
      <c r="P24" s="13" t="n">
        <f aca="false">IF(OR(I24="",I20=""),"",I24/I20-1)</f>
        <v>0.0232763127213582</v>
      </c>
      <c r="Q24" s="26" t="n">
        <f aca="false">IF(P24="","",SUM(J24:O24)-P24)</f>
        <v>0</v>
      </c>
    </row>
    <row r="25" customFormat="false" ht="15" hidden="false" customHeight="false" outlineLevel="0" collapsed="false">
      <c r="B25" s="8" t="s">
        <v>227</v>
      </c>
      <c r="C25" s="25"/>
      <c r="D25" s="25"/>
      <c r="E25" s="25"/>
      <c r="F25" s="25"/>
      <c r="G25" s="25"/>
      <c r="H25" s="25"/>
      <c r="I25" s="25"/>
      <c r="J25" s="26" t="str">
        <f aca="false">IF(OR(C25="",C21="",$I21=""),"",(C25-C21)/$I21)</f>
        <v/>
      </c>
      <c r="K25" s="26" t="str">
        <f aca="false">IF(OR(D25="",D21="",$I21=""),"",(D25-D21)/$I21)</f>
        <v/>
      </c>
      <c r="L25" s="26" t="str">
        <f aca="false">IF(OR(E25="",E21="",$I21=""),"",(E25-E21)/$I21)</f>
        <v/>
      </c>
      <c r="M25" s="26" t="str">
        <f aca="false">IF(OR(F25="",F21="",$I21=""),"",(F25-F21)/$I21)</f>
        <v/>
      </c>
      <c r="N25" s="26" t="str">
        <f aca="false">IF(OR(G25="",G21="",$I21=""),"",(G25-G21)/$I21)</f>
        <v/>
      </c>
      <c r="O25" s="26" t="str">
        <f aca="false">IF(OR(H25="",H21="",$I21=""),"",-(H25-H21)/$I21)</f>
        <v/>
      </c>
      <c r="P25" s="13" t="str">
        <f aca="false">IF(OR(I25="",I21=""),"",I25/I21-1)</f>
        <v/>
      </c>
      <c r="Q25" s="26" t="str">
        <f aca="false">IF(P25="","",SUM(J25:O25)-P25)</f>
        <v/>
      </c>
    </row>
    <row r="26" customFormat="false" ht="15" hidden="false" customHeight="false" outlineLevel="0" collapsed="false">
      <c r="B26" s="8" t="s">
        <v>228</v>
      </c>
      <c r="C26" s="25"/>
      <c r="D26" s="25"/>
      <c r="E26" s="25"/>
      <c r="F26" s="25"/>
      <c r="G26" s="25"/>
      <c r="H26" s="25"/>
      <c r="I26" s="25"/>
      <c r="J26" s="26" t="str">
        <f aca="false">IF(OR(C26="",C22="",$I22=""),"",(C26-C22)/$I22)</f>
        <v/>
      </c>
      <c r="K26" s="26" t="str">
        <f aca="false">IF(OR(D26="",D22="",$I22=""),"",(D26-D22)/$I22)</f>
        <v/>
      </c>
      <c r="L26" s="26" t="str">
        <f aca="false">IF(OR(E26="",E22="",$I22=""),"",(E26-E22)/$I22)</f>
        <v/>
      </c>
      <c r="M26" s="26" t="str">
        <f aca="false">IF(OR(F26="",F22="",$I22=""),"",(F26-F22)/$I22)</f>
        <v/>
      </c>
      <c r="N26" s="26" t="str">
        <f aca="false">IF(OR(G26="",G22="",$I22=""),"",(G26-G22)/$I22)</f>
        <v/>
      </c>
      <c r="O26" s="26" t="str">
        <f aca="false">IF(OR(H26="",H22="",$I22=""),"",-(H26-H22)/$I22)</f>
        <v/>
      </c>
      <c r="P26" s="13" t="str">
        <f aca="false">IF(OR(I26="",I22=""),"",I26/I22-1)</f>
        <v/>
      </c>
      <c r="Q26" s="26" t="str">
        <f aca="false">IF(P26="","",SUM(J26:O26)-P26)</f>
        <v/>
      </c>
    </row>
    <row r="27" customFormat="false" ht="15" hidden="false" customHeight="false" outlineLevel="0" collapsed="false">
      <c r="B27" s="8" t="s">
        <v>229</v>
      </c>
      <c r="C27" s="25"/>
      <c r="D27" s="25"/>
      <c r="E27" s="25"/>
      <c r="F27" s="25"/>
      <c r="G27" s="25"/>
      <c r="H27" s="25"/>
      <c r="I27" s="25"/>
      <c r="J27" s="26" t="str">
        <f aca="false">IF(OR(C27="",C23="",$I23=""),"",(C27-C23)/$I23)</f>
        <v/>
      </c>
      <c r="K27" s="26" t="str">
        <f aca="false">IF(OR(D27="",D23="",$I23=""),"",(D27-D23)/$I23)</f>
        <v/>
      </c>
      <c r="L27" s="26" t="str">
        <f aca="false">IF(OR(E27="",E23="",$I23=""),"",(E27-E23)/$I23)</f>
        <v/>
      </c>
      <c r="M27" s="26" t="str">
        <f aca="false">IF(OR(F27="",F23="",$I23=""),"",(F27-F23)/$I23)</f>
        <v/>
      </c>
      <c r="N27" s="26" t="str">
        <f aca="false">IF(OR(G27="",G23="",$I23=""),"",(G27-G23)/$I23)</f>
        <v/>
      </c>
      <c r="O27" s="26" t="str">
        <f aca="false">IF(OR(H27="",H23="",$I23=""),"",-(H27-H23)/$I23)</f>
        <v/>
      </c>
      <c r="P27" s="13" t="str">
        <f aca="false">IF(OR(I27="",I23=""),"",I27/I23-1)</f>
        <v/>
      </c>
      <c r="Q27" s="26" t="str">
        <f aca="false">IF(P27="","",SUM(J27:O27)-P27)</f>
        <v/>
      </c>
    </row>
    <row r="28" customFormat="false" ht="15" hidden="false" customHeight="false" outlineLevel="0" collapsed="false">
      <c r="B28" s="8" t="s">
        <v>230</v>
      </c>
      <c r="C28" s="25"/>
      <c r="D28" s="25"/>
      <c r="E28" s="25"/>
      <c r="F28" s="25"/>
      <c r="G28" s="25"/>
      <c r="H28" s="25"/>
      <c r="I28" s="25"/>
      <c r="J28" s="26" t="str">
        <f aca="false">IF(OR(C28="",C24="",$I24=""),"",(C28-C24)/$I24)</f>
        <v/>
      </c>
      <c r="K28" s="26" t="str">
        <f aca="false">IF(OR(D28="",D24="",$I24=""),"",(D28-D24)/$I24)</f>
        <v/>
      </c>
      <c r="L28" s="26" t="str">
        <f aca="false">IF(OR(E28="",E24="",$I24=""),"",(E28-E24)/$I24)</f>
        <v/>
      </c>
      <c r="M28" s="26" t="str">
        <f aca="false">IF(OR(F28="",F24="",$I24=""),"",(F28-F24)/$I24)</f>
        <v/>
      </c>
      <c r="N28" s="26" t="str">
        <f aca="false">IF(OR(G28="",G24="",$I24=""),"",(G28-G24)/$I24)</f>
        <v/>
      </c>
      <c r="O28" s="26" t="str">
        <f aca="false">IF(OR(H28="",H24="",$I24=""),"",-(H28-H24)/$I24)</f>
        <v/>
      </c>
      <c r="P28" s="13" t="str">
        <f aca="false">IF(OR(I28="",I24=""),"",I28/I24-1)</f>
        <v/>
      </c>
      <c r="Q28" s="26" t="str">
        <f aca="false">IF(P28="","",SUM(J28:O28)-P28)</f>
        <v/>
      </c>
    </row>
    <row r="29" customFormat="false" ht="15" hidden="false" customHeight="false" outlineLevel="0" collapsed="false">
      <c r="B29" s="8" t="s">
        <v>231</v>
      </c>
      <c r="C29" s="25"/>
      <c r="D29" s="25"/>
      <c r="E29" s="25"/>
      <c r="F29" s="25"/>
      <c r="G29" s="25"/>
      <c r="H29" s="25"/>
      <c r="I29" s="25"/>
      <c r="J29" s="26" t="str">
        <f aca="false">IF(OR(C29="",C25="",$I25=""),"",(C29-C25)/$I25)</f>
        <v/>
      </c>
      <c r="K29" s="26" t="str">
        <f aca="false">IF(OR(D29="",D25="",$I25=""),"",(D29-D25)/$I25)</f>
        <v/>
      </c>
      <c r="L29" s="26" t="str">
        <f aca="false">IF(OR(E29="",E25="",$I25=""),"",(E29-E25)/$I25)</f>
        <v/>
      </c>
      <c r="M29" s="26" t="str">
        <f aca="false">IF(OR(F29="",F25="",$I25=""),"",(F29-F25)/$I25)</f>
        <v/>
      </c>
      <c r="N29" s="26" t="str">
        <f aca="false">IF(OR(G29="",G25="",$I25=""),"",(G29-G25)/$I25)</f>
        <v/>
      </c>
      <c r="O29" s="26" t="str">
        <f aca="false">IF(OR(H29="",H25="",$I25=""),"",-(H29-H25)/$I25)</f>
        <v/>
      </c>
      <c r="P29" s="13" t="str">
        <f aca="false">IF(OR(I29="",I25=""),"",I29/I25-1)</f>
        <v/>
      </c>
      <c r="Q29" s="26" t="str">
        <f aca="false">IF(P29="","",SUM(J29:O29)-P29)</f>
        <v/>
      </c>
    </row>
    <row r="30" customFormat="false" ht="15" hidden="false" customHeight="false" outlineLevel="0" collapsed="false">
      <c r="B30" s="8" t="s">
        <v>232</v>
      </c>
      <c r="C30" s="25"/>
      <c r="D30" s="25"/>
      <c r="E30" s="25"/>
      <c r="F30" s="25"/>
      <c r="G30" s="25"/>
      <c r="H30" s="25"/>
      <c r="I30" s="25"/>
      <c r="J30" s="26" t="str">
        <f aca="false">IF(OR(C30="",C26="",$I26=""),"",(C30-C26)/$I26)</f>
        <v/>
      </c>
      <c r="K30" s="26" t="str">
        <f aca="false">IF(OR(D30="",D26="",$I26=""),"",(D30-D26)/$I26)</f>
        <v/>
      </c>
      <c r="L30" s="26" t="str">
        <f aca="false">IF(OR(E30="",E26="",$I26=""),"",(E30-E26)/$I26)</f>
        <v/>
      </c>
      <c r="M30" s="26" t="str">
        <f aca="false">IF(OR(F30="",F26="",$I26=""),"",(F30-F26)/$I26)</f>
        <v/>
      </c>
      <c r="N30" s="26" t="str">
        <f aca="false">IF(OR(G30="",G26="",$I26=""),"",(G30-G26)/$I26)</f>
        <v/>
      </c>
      <c r="O30" s="26" t="str">
        <f aca="false">IF(OR(H30="",H26="",$I26=""),"",-(H30-H26)/$I26)</f>
        <v/>
      </c>
      <c r="P30" s="13" t="str">
        <f aca="false">IF(OR(I30="",I26=""),"",I30/I26-1)</f>
        <v/>
      </c>
      <c r="Q30" s="26" t="str">
        <f aca="false">IF(P30="","",SUM(J30:O30)-P30)</f>
        <v/>
      </c>
    </row>
    <row r="31" customFormat="false" ht="15" hidden="false" customHeight="false" outlineLevel="0" collapsed="false">
      <c r="B31" s="8" t="s">
        <v>233</v>
      </c>
      <c r="C31" s="25"/>
      <c r="D31" s="25"/>
      <c r="E31" s="25"/>
      <c r="F31" s="25"/>
      <c r="G31" s="25"/>
      <c r="H31" s="25"/>
      <c r="I31" s="25"/>
      <c r="J31" s="26" t="str">
        <f aca="false">IF(OR(C31="",C27="",$I27=""),"",(C31-C27)/$I27)</f>
        <v/>
      </c>
      <c r="K31" s="26" t="str">
        <f aca="false">IF(OR(D31="",D27="",$I27=""),"",(D31-D27)/$I27)</f>
        <v/>
      </c>
      <c r="L31" s="26" t="str">
        <f aca="false">IF(OR(E31="",E27="",$I27=""),"",(E31-E27)/$I27)</f>
        <v/>
      </c>
      <c r="M31" s="26" t="str">
        <f aca="false">IF(OR(F31="",F27="",$I27=""),"",(F31-F27)/$I27)</f>
        <v/>
      </c>
      <c r="N31" s="26" t="str">
        <f aca="false">IF(OR(G31="",G27="",$I27=""),"",(G31-G27)/$I27)</f>
        <v/>
      </c>
      <c r="O31" s="26" t="str">
        <f aca="false">IF(OR(H31="",H27="",$I27=""),"",-(H31-H27)/$I27)</f>
        <v/>
      </c>
      <c r="P31" s="13" t="str">
        <f aca="false">IF(OR(I31="",I27=""),"",I31/I27-1)</f>
        <v/>
      </c>
      <c r="Q31" s="26" t="str">
        <f aca="false">IF(P31="","",SUM(J31:O31)-P31)</f>
        <v/>
      </c>
    </row>
    <row r="33" customFormat="false" ht="485.8" hidden="false" customHeight="false" outlineLevel="0" collapsed="false">
      <c r="B33" s="17" t="s">
        <v>234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C0016"/>
    <pageSetUpPr fitToPage="false"/>
  </sheetPr>
  <dimension ref="B2:K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1"/>
    <col collapsed="false" customWidth="true" hidden="false" outlineLevel="0" max="3" min="3" style="0" width="14"/>
    <col collapsed="false" customWidth="true" hidden="false" outlineLevel="0" max="6" min="4" style="0" width="15"/>
    <col collapsed="false" customWidth="true" hidden="false" outlineLevel="0" max="8" min="7" style="0" width="12"/>
    <col collapsed="false" customWidth="true" hidden="false" outlineLevel="0" max="10" min="9" style="0" width="15"/>
    <col collapsed="false" customWidth="true" hidden="false" outlineLevel="0" max="11" min="11" style="0" width="14"/>
  </cols>
  <sheetData>
    <row r="2" customFormat="false" ht="25.5" hidden="false" customHeight="true" outlineLevel="0" collapsed="false">
      <c r="B2" s="1"/>
      <c r="C2" s="2" t="s">
        <v>235</v>
      </c>
    </row>
    <row r="3" customFormat="false" ht="15" hidden="false" customHeight="false" outlineLevel="0" collapsed="false">
      <c r="C3" s="3" t="s">
        <v>236</v>
      </c>
    </row>
    <row r="4" customFormat="false" ht="55.2" hidden="false" customHeight="false" outlineLevel="0" collapsed="false">
      <c r="C4" s="17" t="s">
        <v>237</v>
      </c>
    </row>
    <row r="5" customFormat="false" ht="15" hidden="false" customHeight="false" outlineLevel="0" collapsed="false">
      <c r="B5" s="24" t="s">
        <v>238</v>
      </c>
    </row>
    <row r="6" customFormat="false" ht="33.75" hidden="false" customHeight="true" outlineLevel="0" collapsed="false">
      <c r="B6" s="7" t="s">
        <v>194</v>
      </c>
      <c r="C6" s="27" t="s">
        <v>239</v>
      </c>
      <c r="D6" s="27" t="s">
        <v>240</v>
      </c>
      <c r="E6" s="27" t="s">
        <v>241</v>
      </c>
      <c r="F6" s="27" t="s">
        <v>242</v>
      </c>
      <c r="G6" s="7" t="s">
        <v>243</v>
      </c>
      <c r="H6" s="7" t="s">
        <v>244</v>
      </c>
      <c r="I6" s="7" t="s">
        <v>245</v>
      </c>
      <c r="J6" s="7" t="s">
        <v>246</v>
      </c>
      <c r="K6" s="7" t="s">
        <v>247</v>
      </c>
    </row>
    <row r="7" customFormat="false" ht="15" hidden="false" customHeight="false" outlineLevel="0" collapsed="false">
      <c r="B7" s="28" t="s">
        <v>248</v>
      </c>
      <c r="C7" s="29" t="n">
        <v>138.2</v>
      </c>
      <c r="D7" s="29" t="n">
        <v>121.5</v>
      </c>
      <c r="E7" s="29" t="n">
        <v>1215</v>
      </c>
      <c r="F7" s="29" t="n">
        <v>92</v>
      </c>
    </row>
    <row r="8" customFormat="false" ht="15" hidden="false" customHeight="false" outlineLevel="0" collapsed="false">
      <c r="B8" s="8" t="s">
        <v>99</v>
      </c>
      <c r="C8" s="30"/>
      <c r="D8" s="30"/>
      <c r="E8" s="30"/>
      <c r="F8" s="30"/>
      <c r="G8" s="31" t="str">
        <f aca="false">IF(OR(C8="",C$18=""),"",C8/C$18*100)</f>
        <v/>
      </c>
      <c r="H8" s="31" t="str">
        <f aca="false">IF(OR(D8="",D$18=""),"",D8/D$18*100)</f>
        <v/>
      </c>
      <c r="I8" s="31" t="str">
        <f aca="false">IF(OR(E8="",E$18=""),"",E8-E$18)</f>
        <v/>
      </c>
      <c r="J8" s="31" t="str">
        <f aca="false">IF(OR(F8="",F$18=""),"",F8-F$18)</f>
        <v/>
      </c>
      <c r="K8" s="31" t="str">
        <f aca="false">IF(OR(I8="",J8=""),"",I8+J8)</f>
        <v/>
      </c>
    </row>
    <row r="9" customFormat="false" ht="15" hidden="false" customHeight="false" outlineLevel="0" collapsed="false">
      <c r="B9" s="8" t="s">
        <v>100</v>
      </c>
      <c r="C9" s="30"/>
      <c r="D9" s="30"/>
      <c r="E9" s="30"/>
      <c r="F9" s="30"/>
      <c r="G9" s="31" t="str">
        <f aca="false">IF(OR(C9="",C$18=""),"",C9/C$18*100)</f>
        <v/>
      </c>
      <c r="H9" s="31" t="str">
        <f aca="false">IF(OR(D9="",D$18=""),"",D9/D$18*100)</f>
        <v/>
      </c>
      <c r="I9" s="31" t="str">
        <f aca="false">IF(OR(E9="",E$18=""),"",E9-E$18)</f>
        <v/>
      </c>
      <c r="J9" s="31" t="str">
        <f aca="false">IF(OR(F9="",F$18=""),"",F9-F$18)</f>
        <v/>
      </c>
      <c r="K9" s="31" t="str">
        <f aca="false">IF(OR(I9="",J9=""),"",I9+J9)</f>
        <v/>
      </c>
    </row>
    <row r="10" customFormat="false" ht="15" hidden="false" customHeight="false" outlineLevel="0" collapsed="false">
      <c r="B10" s="8" t="s">
        <v>101</v>
      </c>
      <c r="C10" s="30"/>
      <c r="D10" s="30"/>
      <c r="E10" s="30"/>
      <c r="F10" s="30"/>
      <c r="G10" s="31" t="str">
        <f aca="false">IF(OR(C10="",C$18=""),"",C10/C$18*100)</f>
        <v/>
      </c>
      <c r="H10" s="31" t="str">
        <f aca="false">IF(OR(D10="",D$18=""),"",D10/D$18*100)</f>
        <v/>
      </c>
      <c r="I10" s="31" t="str">
        <f aca="false">IF(OR(E10="",E$18=""),"",E10-E$18)</f>
        <v/>
      </c>
      <c r="J10" s="31" t="str">
        <f aca="false">IF(OR(F10="",F$18=""),"",F10-F$18)</f>
        <v/>
      </c>
      <c r="K10" s="31" t="str">
        <f aca="false">IF(OR(I10="",J10=""),"",I10+J10)</f>
        <v/>
      </c>
    </row>
    <row r="11" customFormat="false" ht="15" hidden="false" customHeight="false" outlineLevel="0" collapsed="false">
      <c r="B11" s="8" t="s">
        <v>102</v>
      </c>
      <c r="C11" s="30"/>
      <c r="D11" s="30"/>
      <c r="E11" s="30"/>
      <c r="F11" s="30"/>
      <c r="G11" s="31" t="str">
        <f aca="false">IF(OR(C11="",C$18=""),"",C11/C$18*100)</f>
        <v/>
      </c>
      <c r="H11" s="31" t="str">
        <f aca="false">IF(OR(D11="",D$18=""),"",D11/D$18*100)</f>
        <v/>
      </c>
      <c r="I11" s="31" t="str">
        <f aca="false">IF(OR(E11="",E$18=""),"",E11-E$18)</f>
        <v/>
      </c>
      <c r="J11" s="31" t="str">
        <f aca="false">IF(OR(F11="",F$18=""),"",F11-F$18)</f>
        <v/>
      </c>
      <c r="K11" s="31" t="str">
        <f aca="false">IF(OR(I11="",J11=""),"",I11+J11)</f>
        <v/>
      </c>
    </row>
    <row r="12" customFormat="false" ht="15" hidden="false" customHeight="false" outlineLevel="0" collapsed="false">
      <c r="B12" s="8" t="s">
        <v>103</v>
      </c>
      <c r="C12" s="30"/>
      <c r="D12" s="30"/>
      <c r="E12" s="30"/>
      <c r="F12" s="30"/>
      <c r="G12" s="31" t="str">
        <f aca="false">IF(OR(C12="",C$18=""),"",C12/C$18*100)</f>
        <v/>
      </c>
      <c r="H12" s="31" t="str">
        <f aca="false">IF(OR(D12="",D$18=""),"",D12/D$18*100)</f>
        <v/>
      </c>
      <c r="I12" s="31" t="str">
        <f aca="false">IF(OR(E12="",E$18=""),"",E12-E$18)</f>
        <v/>
      </c>
      <c r="J12" s="31" t="str">
        <f aca="false">IF(OR(F12="",F$18=""),"",F12-F$18)</f>
        <v/>
      </c>
      <c r="K12" s="31" t="str">
        <f aca="false">IF(OR(I12="",J12=""),"",I12+J12)</f>
        <v/>
      </c>
    </row>
    <row r="13" customFormat="false" ht="15" hidden="false" customHeight="false" outlineLevel="0" collapsed="false">
      <c r="B13" s="8" t="s">
        <v>104</v>
      </c>
      <c r="C13" s="30"/>
      <c r="D13" s="30"/>
      <c r="E13" s="30"/>
      <c r="F13" s="30"/>
      <c r="G13" s="31" t="str">
        <f aca="false">IF(OR(C13="",C$18=""),"",C13/C$18*100)</f>
        <v/>
      </c>
      <c r="H13" s="31" t="str">
        <f aca="false">IF(OR(D13="",D$18=""),"",D13/D$18*100)</f>
        <v/>
      </c>
      <c r="I13" s="31" t="str">
        <f aca="false">IF(OR(E13="",E$18=""),"",E13-E$18)</f>
        <v/>
      </c>
      <c r="J13" s="31" t="str">
        <f aca="false">IF(OR(F13="",F$18=""),"",F13-F$18)</f>
        <v/>
      </c>
      <c r="K13" s="31" t="str">
        <f aca="false">IF(OR(I13="",J13=""),"",I13+J13)</f>
        <v/>
      </c>
    </row>
    <row r="14" customFormat="false" ht="15" hidden="false" customHeight="false" outlineLevel="0" collapsed="false">
      <c r="B14" s="8" t="s">
        <v>105</v>
      </c>
      <c r="C14" s="30"/>
      <c r="D14" s="30"/>
      <c r="E14" s="30"/>
      <c r="F14" s="30"/>
      <c r="G14" s="31" t="str">
        <f aca="false">IF(OR(C14="",C$18=""),"",C14/C$18*100)</f>
        <v/>
      </c>
      <c r="H14" s="31" t="str">
        <f aca="false">IF(OR(D14="",D$18=""),"",D14/D$18*100)</f>
        <v/>
      </c>
      <c r="I14" s="31" t="str">
        <f aca="false">IF(OR(E14="",E$18=""),"",E14-E$18)</f>
        <v/>
      </c>
      <c r="J14" s="31" t="str">
        <f aca="false">IF(OR(F14="",F$18=""),"",F14-F$18)</f>
        <v/>
      </c>
      <c r="K14" s="31" t="str">
        <f aca="false">IF(OR(I14="",J14=""),"",I14+J14)</f>
        <v/>
      </c>
    </row>
    <row r="15" customFormat="false" ht="15" hidden="false" customHeight="false" outlineLevel="0" collapsed="false">
      <c r="B15" s="8" t="s">
        <v>106</v>
      </c>
      <c r="C15" s="30"/>
      <c r="D15" s="30"/>
      <c r="E15" s="30"/>
      <c r="F15" s="30"/>
      <c r="G15" s="31" t="str">
        <f aca="false">IF(OR(C15="",C$18=""),"",C15/C$18*100)</f>
        <v/>
      </c>
      <c r="H15" s="31" t="str">
        <f aca="false">IF(OR(D15="",D$18=""),"",D15/D$18*100)</f>
        <v/>
      </c>
      <c r="I15" s="31" t="str">
        <f aca="false">IF(OR(E15="",E$18=""),"",E15-E$18)</f>
        <v/>
      </c>
      <c r="J15" s="31" t="str">
        <f aca="false">IF(OR(F15="",F$18=""),"",F15-F$18)</f>
        <v/>
      </c>
      <c r="K15" s="31" t="str">
        <f aca="false">IF(OR(I15="",J15=""),"",I15+J15)</f>
        <v/>
      </c>
    </row>
    <row r="16" customFormat="false" ht="15" hidden="false" customHeight="false" outlineLevel="0" collapsed="false">
      <c r="B16" s="8" t="s">
        <v>107</v>
      </c>
      <c r="C16" s="30"/>
      <c r="D16" s="30"/>
      <c r="E16" s="30"/>
      <c r="F16" s="30"/>
      <c r="G16" s="31" t="str">
        <f aca="false">IF(OR(C16="",C$18=""),"",C16/C$18*100)</f>
        <v/>
      </c>
      <c r="H16" s="31" t="str">
        <f aca="false">IF(OR(D16="",D$18=""),"",D16/D$18*100)</f>
        <v/>
      </c>
      <c r="I16" s="31" t="str">
        <f aca="false">IF(OR(E16="",E$18=""),"",E16-E$18)</f>
        <v/>
      </c>
      <c r="J16" s="31" t="str">
        <f aca="false">IF(OR(F16="",F$18=""),"",F16-F$18)</f>
        <v/>
      </c>
      <c r="K16" s="31" t="str">
        <f aca="false">IF(OR(I16="",J16=""),"",I16+J16)</f>
        <v/>
      </c>
    </row>
    <row r="17" customFormat="false" ht="15" hidden="false" customHeight="false" outlineLevel="0" collapsed="false">
      <c r="B17" s="8" t="s">
        <v>108</v>
      </c>
      <c r="C17" s="30"/>
      <c r="D17" s="30"/>
      <c r="E17" s="30"/>
      <c r="F17" s="30"/>
      <c r="G17" s="31" t="str">
        <f aca="false">IF(OR(C17="",C$18=""),"",C17/C$18*100)</f>
        <v/>
      </c>
      <c r="H17" s="31" t="str">
        <f aca="false">IF(OR(D17="",D$18=""),"",D17/D$18*100)</f>
        <v/>
      </c>
      <c r="I17" s="31" t="str">
        <f aca="false">IF(OR(E17="",E$18=""),"",E17-E$18)</f>
        <v/>
      </c>
      <c r="J17" s="31" t="str">
        <f aca="false">IF(OR(F17="",F$18=""),"",F17-F$18)</f>
        <v/>
      </c>
      <c r="K17" s="31" t="str">
        <f aca="false">IF(OR(I17="",J17=""),"",I17+J17)</f>
        <v/>
      </c>
    </row>
    <row r="18" customFormat="false" ht="15" hidden="false" customHeight="false" outlineLevel="0" collapsed="false">
      <c r="B18" s="8" t="s">
        <v>109</v>
      </c>
      <c r="C18" s="30"/>
      <c r="D18" s="30"/>
      <c r="E18" s="30"/>
      <c r="F18" s="30"/>
      <c r="G18" s="31" t="str">
        <f aca="false">IF(OR(C18="",C$18=""),"",C18/C$18*100)</f>
        <v/>
      </c>
      <c r="H18" s="31" t="str">
        <f aca="false">IF(OR(D18="",D$18=""),"",D18/D$18*100)</f>
        <v/>
      </c>
      <c r="I18" s="31" t="str">
        <f aca="false">IF(OR(E18="",E$18=""),"",E18-E$18)</f>
        <v/>
      </c>
      <c r="J18" s="31" t="str">
        <f aca="false">IF(OR(F18="",F$18=""),"",F18-F$18)</f>
        <v/>
      </c>
      <c r="K18" s="31" t="str">
        <f aca="false">IF(OR(I18="",J18=""),"",I18+J18)</f>
        <v/>
      </c>
    </row>
    <row r="19" customFormat="false" ht="15" hidden="false" customHeight="false" outlineLevel="0" collapsed="false">
      <c r="B19" s="8" t="s">
        <v>110</v>
      </c>
      <c r="C19" s="30"/>
      <c r="D19" s="30"/>
      <c r="E19" s="30"/>
      <c r="F19" s="30"/>
      <c r="G19" s="31" t="str">
        <f aca="false">IF(OR(C19="",C$18=""),"",C19/C$18*100)</f>
        <v/>
      </c>
      <c r="H19" s="31" t="str">
        <f aca="false">IF(OR(D19="",D$18=""),"",D19/D$18*100)</f>
        <v/>
      </c>
      <c r="I19" s="31" t="str">
        <f aca="false">IF(OR(E19="",E$18=""),"",E19-E$18)</f>
        <v/>
      </c>
      <c r="J19" s="31" t="str">
        <f aca="false">IF(OR(F19="",F$18=""),"",F19-F$18)</f>
        <v/>
      </c>
      <c r="K19" s="31" t="str">
        <f aca="false">IF(OR(I19="",J19=""),"",I19+J19)</f>
        <v/>
      </c>
    </row>
    <row r="20" customFormat="false" ht="15" hidden="false" customHeight="false" outlineLevel="0" collapsed="false">
      <c r="B20" s="8" t="s">
        <v>111</v>
      </c>
      <c r="C20" s="30"/>
      <c r="D20" s="30"/>
      <c r="E20" s="30"/>
      <c r="F20" s="30"/>
      <c r="G20" s="31" t="str">
        <f aca="false">IF(OR(C20="",C$18=""),"",C20/C$18*100)</f>
        <v/>
      </c>
      <c r="H20" s="31" t="str">
        <f aca="false">IF(OR(D20="",D$18=""),"",D20/D$18*100)</f>
        <v/>
      </c>
      <c r="I20" s="31" t="str">
        <f aca="false">IF(OR(E20="",E$18=""),"",E20-E$18)</f>
        <v/>
      </c>
      <c r="J20" s="31" t="str">
        <f aca="false">IF(OR(F20="",F$18=""),"",F20-F$18)</f>
        <v/>
      </c>
      <c r="K20" s="31" t="str">
        <f aca="false">IF(OR(I20="",J20=""),"",I20+J20)</f>
        <v/>
      </c>
    </row>
    <row r="21" customFormat="false" ht="15" hidden="false" customHeight="false" outlineLevel="0" collapsed="false">
      <c r="B21" s="8" t="s">
        <v>112</v>
      </c>
      <c r="C21" s="30"/>
      <c r="D21" s="30"/>
      <c r="E21" s="30"/>
      <c r="F21" s="30"/>
      <c r="G21" s="31" t="str">
        <f aca="false">IF(OR(C21="",C$18=""),"",C21/C$18*100)</f>
        <v/>
      </c>
      <c r="H21" s="31" t="str">
        <f aca="false">IF(OR(D21="",D$18=""),"",D21/D$18*100)</f>
        <v/>
      </c>
      <c r="I21" s="31" t="str">
        <f aca="false">IF(OR(E21="",E$18=""),"",E21-E$18)</f>
        <v/>
      </c>
      <c r="J21" s="31" t="str">
        <f aca="false">IF(OR(F21="",F$18=""),"",F21-F$18)</f>
        <v/>
      </c>
      <c r="K21" s="31" t="str">
        <f aca="false">IF(OR(I21="",J21=""),"",I21+J21)</f>
        <v/>
      </c>
    </row>
    <row r="22" customFormat="false" ht="15" hidden="false" customHeight="false" outlineLevel="0" collapsed="false">
      <c r="B22" s="8" t="s">
        <v>113</v>
      </c>
      <c r="C22" s="30"/>
      <c r="D22" s="30"/>
      <c r="E22" s="30"/>
      <c r="F22" s="30"/>
      <c r="G22" s="31" t="str">
        <f aca="false">IF(OR(C22="",C$18=""),"",C22/C$18*100)</f>
        <v/>
      </c>
      <c r="H22" s="31" t="str">
        <f aca="false">IF(OR(D22="",D$18=""),"",D22/D$18*100)</f>
        <v/>
      </c>
      <c r="I22" s="31" t="str">
        <f aca="false">IF(OR(E22="",E$18=""),"",E22-E$18)</f>
        <v/>
      </c>
      <c r="J22" s="31" t="str">
        <f aca="false">IF(OR(F22="",F$18=""),"",F22-F$18)</f>
        <v/>
      </c>
      <c r="K22" s="31" t="str">
        <f aca="false">IF(OR(I22="",J22=""),"",I22+J22)</f>
        <v/>
      </c>
    </row>
    <row r="23" customFormat="false" ht="15" hidden="false" customHeight="false" outlineLevel="0" collapsed="false">
      <c r="B23" s="8" t="s">
        <v>114</v>
      </c>
      <c r="C23" s="30"/>
      <c r="D23" s="30"/>
      <c r="E23" s="30"/>
      <c r="F23" s="30"/>
      <c r="G23" s="31" t="str">
        <f aca="false">IF(OR(C23="",C$18=""),"",C23/C$18*100)</f>
        <v/>
      </c>
      <c r="H23" s="31" t="str">
        <f aca="false">IF(OR(D23="",D$18=""),"",D23/D$18*100)</f>
        <v/>
      </c>
      <c r="I23" s="31" t="str">
        <f aca="false">IF(OR(E23="",E$18=""),"",E23-E$18)</f>
        <v/>
      </c>
      <c r="J23" s="31" t="str">
        <f aca="false">IF(OR(F23="",F$18=""),"",F23-F$18)</f>
        <v/>
      </c>
      <c r="K23" s="31" t="str">
        <f aca="false">IF(OR(I23="",J23=""),"",I23+J23)</f>
        <v/>
      </c>
    </row>
    <row r="24" customFormat="false" ht="15" hidden="false" customHeight="false" outlineLevel="0" collapsed="false">
      <c r="B24" s="8" t="s">
        <v>115</v>
      </c>
      <c r="C24" s="30"/>
      <c r="D24" s="30"/>
      <c r="E24" s="30"/>
      <c r="F24" s="30"/>
      <c r="G24" s="31" t="str">
        <f aca="false">IF(OR(C24="",C$18=""),"",C24/C$18*100)</f>
        <v/>
      </c>
      <c r="H24" s="31" t="str">
        <f aca="false">IF(OR(D24="",D$18=""),"",D24/D$18*100)</f>
        <v/>
      </c>
      <c r="I24" s="31" t="str">
        <f aca="false">IF(OR(E24="",E$18=""),"",E24-E$18)</f>
        <v/>
      </c>
      <c r="J24" s="31" t="str">
        <f aca="false">IF(OR(F24="",F$18=""),"",F24-F$18)</f>
        <v/>
      </c>
      <c r="K24" s="31" t="str">
        <f aca="false">IF(OR(I24="",J24=""),"",I24+J24)</f>
        <v/>
      </c>
    </row>
    <row r="25" customFormat="false" ht="15" hidden="false" customHeight="false" outlineLevel="0" collapsed="false">
      <c r="B25" s="8" t="s">
        <v>116</v>
      </c>
      <c r="C25" s="30"/>
      <c r="D25" s="30"/>
      <c r="E25" s="30"/>
      <c r="F25" s="30"/>
      <c r="G25" s="31" t="str">
        <f aca="false">IF(OR(C25="",C$18=""),"",C25/C$18*100)</f>
        <v/>
      </c>
      <c r="H25" s="31" t="str">
        <f aca="false">IF(OR(D25="",D$18=""),"",D25/D$18*100)</f>
        <v/>
      </c>
      <c r="I25" s="31" t="str">
        <f aca="false">IF(OR(E25="",E$18=""),"",E25-E$18)</f>
        <v/>
      </c>
      <c r="J25" s="31" t="str">
        <f aca="false">IF(OR(F25="",F$18=""),"",F25-F$18)</f>
        <v/>
      </c>
      <c r="K25" s="31" t="str">
        <f aca="false">IF(OR(I25="",J25=""),"",I25+J25)</f>
        <v/>
      </c>
    </row>
    <row r="26" customFormat="false" ht="15" hidden="false" customHeight="false" outlineLevel="0" collapsed="false">
      <c r="B26" s="8" t="s">
        <v>117</v>
      </c>
      <c r="C26" s="30"/>
      <c r="D26" s="30"/>
      <c r="E26" s="30"/>
      <c r="F26" s="30"/>
      <c r="G26" s="31" t="str">
        <f aca="false">IF(OR(C26="",C$18=""),"",C26/C$18*100)</f>
        <v/>
      </c>
      <c r="H26" s="31" t="str">
        <f aca="false">IF(OR(D26="",D$18=""),"",D26/D$18*100)</f>
        <v/>
      </c>
      <c r="I26" s="31" t="str">
        <f aca="false">IF(OR(E26="",E$18=""),"",E26-E$18)</f>
        <v/>
      </c>
      <c r="J26" s="31" t="str">
        <f aca="false">IF(OR(F26="",F$18=""),"",F26-F$18)</f>
        <v/>
      </c>
      <c r="K26" s="31" t="str">
        <f aca="false">IF(OR(I26="",J26=""),"",I26+J26)</f>
        <v/>
      </c>
    </row>
    <row r="27" customFormat="false" ht="15" hidden="false" customHeight="false" outlineLevel="0" collapsed="false">
      <c r="B27" s="8" t="s">
        <v>118</v>
      </c>
      <c r="C27" s="30"/>
      <c r="D27" s="30"/>
      <c r="E27" s="30"/>
      <c r="F27" s="30"/>
      <c r="G27" s="31" t="str">
        <f aca="false">IF(OR(C27="",C$18=""),"",C27/C$18*100)</f>
        <v/>
      </c>
      <c r="H27" s="31" t="str">
        <f aca="false">IF(OR(D27="",D$18=""),"",D27/D$18*100)</f>
        <v/>
      </c>
      <c r="I27" s="31" t="str">
        <f aca="false">IF(OR(E27="",E$18=""),"",E27-E$18)</f>
        <v/>
      </c>
      <c r="J27" s="31" t="str">
        <f aca="false">IF(OR(F27="",F$18=""),"",F27-F$18)</f>
        <v/>
      </c>
      <c r="K27" s="31" t="str">
        <f aca="false">IF(OR(I27="",J27=""),"",I27+J27)</f>
        <v/>
      </c>
    </row>
    <row r="28" customFormat="false" ht="15" hidden="false" customHeight="false" outlineLevel="0" collapsed="false">
      <c r="B28" s="8" t="s">
        <v>119</v>
      </c>
      <c r="C28" s="30"/>
      <c r="D28" s="30"/>
      <c r="E28" s="30"/>
      <c r="F28" s="30"/>
      <c r="G28" s="31" t="str">
        <f aca="false">IF(OR(C28="",C$18=""),"",C28/C$18*100)</f>
        <v/>
      </c>
      <c r="H28" s="31" t="str">
        <f aca="false">IF(OR(D28="",D$18=""),"",D28/D$18*100)</f>
        <v/>
      </c>
      <c r="I28" s="31" t="str">
        <f aca="false">IF(OR(E28="",E$18=""),"",E28-E$18)</f>
        <v/>
      </c>
      <c r="J28" s="31" t="str">
        <f aca="false">IF(OR(F28="",F$18=""),"",F28-F$18)</f>
        <v/>
      </c>
      <c r="K28" s="31" t="str">
        <f aca="false">IF(OR(I28="",J28=""),"",I28+J28)</f>
        <v/>
      </c>
    </row>
    <row r="29" customFormat="false" ht="15" hidden="false" customHeight="false" outlineLevel="0" collapsed="false">
      <c r="B29" s="8" t="s">
        <v>120</v>
      </c>
      <c r="C29" s="30"/>
      <c r="D29" s="30"/>
      <c r="E29" s="30"/>
      <c r="F29" s="30"/>
      <c r="G29" s="31" t="str">
        <f aca="false">IF(OR(C29="",C$18=""),"",C29/C$18*100)</f>
        <v/>
      </c>
      <c r="H29" s="31" t="str">
        <f aca="false">IF(OR(D29="",D$18=""),"",D29/D$18*100)</f>
        <v/>
      </c>
      <c r="I29" s="31" t="str">
        <f aca="false">IF(OR(E29="",E$18=""),"",E29-E$18)</f>
        <v/>
      </c>
      <c r="J29" s="31" t="str">
        <f aca="false">IF(OR(F29="",F$18=""),"",F29-F$18)</f>
        <v/>
      </c>
      <c r="K29" s="31" t="str">
        <f aca="false">IF(OR(I29="",J29=""),"",I29+J29)</f>
        <v/>
      </c>
    </row>
    <row r="30" customFormat="false" ht="15" hidden="false" customHeight="false" outlineLevel="0" collapsed="false">
      <c r="B30" s="8" t="s">
        <v>121</v>
      </c>
      <c r="C30" s="30"/>
      <c r="D30" s="30"/>
      <c r="E30" s="30"/>
      <c r="F30" s="30"/>
      <c r="G30" s="31" t="str">
        <f aca="false">IF(OR(C30="",C$18=""),"",C30/C$18*100)</f>
        <v/>
      </c>
      <c r="H30" s="31" t="str">
        <f aca="false">IF(OR(D30="",D$18=""),"",D30/D$18*100)</f>
        <v/>
      </c>
      <c r="I30" s="31" t="str">
        <f aca="false">IF(OR(E30="",E$18=""),"",E30-E$18)</f>
        <v/>
      </c>
      <c r="J30" s="31" t="str">
        <f aca="false">IF(OR(F30="",F$18=""),"",F30-F$18)</f>
        <v/>
      </c>
      <c r="K30" s="31" t="str">
        <f aca="false">IF(OR(I30="",J30=""),"",I30+J30)</f>
        <v/>
      </c>
    </row>
    <row r="31" customFormat="false" ht="15" hidden="false" customHeight="false" outlineLevel="0" collapsed="false">
      <c r="B31" s="8" t="s">
        <v>122</v>
      </c>
      <c r="C31" s="30"/>
      <c r="D31" s="30"/>
      <c r="E31" s="30"/>
      <c r="F31" s="30"/>
      <c r="G31" s="31" t="str">
        <f aca="false">IF(OR(C31="",C$18=""),"",C31/C$18*100)</f>
        <v/>
      </c>
      <c r="H31" s="31" t="str">
        <f aca="false">IF(OR(D31="",D$18=""),"",D31/D$18*100)</f>
        <v/>
      </c>
      <c r="I31" s="31" t="str">
        <f aca="false">IF(OR(E31="",E$18=""),"",E31-E$18)</f>
        <v/>
      </c>
      <c r="J31" s="31" t="str">
        <f aca="false">IF(OR(F31="",F$18=""),"",F31-F$18)</f>
        <v/>
      </c>
      <c r="K31" s="31" t="str">
        <f aca="false">IF(OR(I31="",J31=""),"",I31+J31)</f>
        <v/>
      </c>
    </row>
    <row r="32" customFormat="false" ht="15" hidden="false" customHeight="false" outlineLevel="0" collapsed="false">
      <c r="B32" s="8" t="s">
        <v>123</v>
      </c>
      <c r="C32" s="30"/>
      <c r="D32" s="30"/>
      <c r="E32" s="30"/>
      <c r="F32" s="30"/>
      <c r="G32" s="31" t="str">
        <f aca="false">IF(OR(C32="",C$18=""),"",C32/C$18*100)</f>
        <v/>
      </c>
      <c r="H32" s="31" t="str">
        <f aca="false">IF(OR(D32="",D$18=""),"",D32/D$18*100)</f>
        <v/>
      </c>
      <c r="I32" s="31" t="str">
        <f aca="false">IF(OR(E32="",E$18=""),"",E32-E$18)</f>
        <v/>
      </c>
      <c r="J32" s="31" t="str">
        <f aca="false">IF(OR(F32="",F$18=""),"",F32-F$18)</f>
        <v/>
      </c>
      <c r="K32" s="31" t="str">
        <f aca="false">IF(OR(I32="",J32=""),"",I32+J32)</f>
        <v/>
      </c>
    </row>
    <row r="33" customFormat="false" ht="15" hidden="false" customHeight="false" outlineLevel="0" collapsed="false">
      <c r="B33" s="8" t="s">
        <v>124</v>
      </c>
      <c r="C33" s="30"/>
      <c r="D33" s="30"/>
      <c r="E33" s="30"/>
      <c r="F33" s="30"/>
      <c r="G33" s="31" t="str">
        <f aca="false">IF(OR(C33="",C$18=""),"",C33/C$18*100)</f>
        <v/>
      </c>
      <c r="H33" s="31" t="str">
        <f aca="false">IF(OR(D33="",D$18=""),"",D33/D$18*100)</f>
        <v/>
      </c>
      <c r="I33" s="31" t="str">
        <f aca="false">IF(OR(E33="",E$18=""),"",E33-E$18)</f>
        <v/>
      </c>
      <c r="J33" s="31" t="str">
        <f aca="false">IF(OR(F33="",F$18=""),"",F33-F$18)</f>
        <v/>
      </c>
      <c r="K33" s="31" t="str">
        <f aca="false">IF(OR(I33="",J33=""),"",I33+J33)</f>
        <v/>
      </c>
    </row>
    <row r="34" customFormat="false" ht="15" hidden="false" customHeight="false" outlineLevel="0" collapsed="false">
      <c r="B34" s="8" t="s">
        <v>125</v>
      </c>
      <c r="C34" s="30"/>
      <c r="D34" s="30"/>
      <c r="E34" s="30"/>
      <c r="F34" s="30"/>
      <c r="G34" s="31" t="str">
        <f aca="false">IF(OR(C34="",C$18=""),"",C34/C$18*100)</f>
        <v/>
      </c>
      <c r="H34" s="31" t="str">
        <f aca="false">IF(OR(D34="",D$18=""),"",D34/D$18*100)</f>
        <v/>
      </c>
      <c r="I34" s="31" t="str">
        <f aca="false">IF(OR(E34="",E$18=""),"",E34-E$18)</f>
        <v/>
      </c>
      <c r="J34" s="31" t="str">
        <f aca="false">IF(OR(F34="",F$18=""),"",F34-F$18)</f>
        <v/>
      </c>
      <c r="K34" s="31" t="str">
        <f aca="false">IF(OR(I34="",J34=""),"",I34+J34)</f>
        <v/>
      </c>
    </row>
    <row r="35" customFormat="false" ht="15" hidden="false" customHeight="false" outlineLevel="0" collapsed="false">
      <c r="B35" s="8" t="s">
        <v>126</v>
      </c>
      <c r="C35" s="30"/>
      <c r="D35" s="30"/>
      <c r="E35" s="30"/>
      <c r="F35" s="30"/>
      <c r="G35" s="31" t="str">
        <f aca="false">IF(OR(C35="",C$18=""),"",C35/C$18*100)</f>
        <v/>
      </c>
      <c r="H35" s="31" t="str">
        <f aca="false">IF(OR(D35="",D$18=""),"",D35/D$18*100)</f>
        <v/>
      </c>
      <c r="I35" s="31" t="str">
        <f aca="false">IF(OR(E35="",E$18=""),"",E35-E$18)</f>
        <v/>
      </c>
      <c r="J35" s="31" t="str">
        <f aca="false">IF(OR(F35="",F$18=""),"",F35-F$18)</f>
        <v/>
      </c>
      <c r="K35" s="31" t="str">
        <f aca="false">IF(OR(I35="",J35=""),"",I35+J35)</f>
        <v/>
      </c>
    </row>
    <row r="36" customFormat="false" ht="15" hidden="false" customHeight="false" outlineLevel="0" collapsed="false">
      <c r="B36" s="8" t="s">
        <v>127</v>
      </c>
      <c r="C36" s="30"/>
      <c r="D36" s="30"/>
      <c r="E36" s="30"/>
      <c r="F36" s="30"/>
      <c r="G36" s="31" t="str">
        <f aca="false">IF(OR(C36="",C$18=""),"",C36/C$18*100)</f>
        <v/>
      </c>
      <c r="H36" s="31" t="str">
        <f aca="false">IF(OR(D36="",D$18=""),"",D36/D$18*100)</f>
        <v/>
      </c>
      <c r="I36" s="31" t="str">
        <f aca="false">IF(OR(E36="",E$18=""),"",E36-E$18)</f>
        <v/>
      </c>
      <c r="J36" s="31" t="str">
        <f aca="false">IF(OR(F36="",F$18=""),"",F36-F$18)</f>
        <v/>
      </c>
      <c r="K36" s="31" t="str">
        <f aca="false">IF(OR(I36="",J36=""),"",I36+J36)</f>
        <v/>
      </c>
    </row>
    <row r="37" customFormat="false" ht="15" hidden="false" customHeight="false" outlineLevel="0" collapsed="false">
      <c r="B37" s="8" t="s">
        <v>128</v>
      </c>
      <c r="C37" s="30"/>
      <c r="D37" s="30"/>
      <c r="E37" s="30"/>
      <c r="F37" s="30"/>
      <c r="G37" s="31" t="str">
        <f aca="false">IF(OR(C37="",C$18=""),"",C37/C$18*100)</f>
        <v/>
      </c>
      <c r="H37" s="31" t="str">
        <f aca="false">IF(OR(D37="",D$18=""),"",D37/D$18*100)</f>
        <v/>
      </c>
      <c r="I37" s="31" t="str">
        <f aca="false">IF(OR(E37="",E$18=""),"",E37-E$18)</f>
        <v/>
      </c>
      <c r="J37" s="31" t="str">
        <f aca="false">IF(OR(F37="",F$18=""),"",F37-F$18)</f>
        <v/>
      </c>
      <c r="K37" s="31" t="str">
        <f aca="false">IF(OR(I37="",J37=""),"",I37+J37)</f>
        <v/>
      </c>
    </row>
    <row r="38" customFormat="false" ht="15" hidden="false" customHeight="false" outlineLevel="0" collapsed="false">
      <c r="B38" s="8" t="s">
        <v>129</v>
      </c>
      <c r="C38" s="30"/>
      <c r="D38" s="30"/>
      <c r="E38" s="30"/>
      <c r="F38" s="30"/>
      <c r="G38" s="31" t="str">
        <f aca="false">IF(OR(C38="",C$18=""),"",C38/C$18*100)</f>
        <v/>
      </c>
      <c r="H38" s="31" t="str">
        <f aca="false">IF(OR(D38="",D$18=""),"",D38/D$18*100)</f>
        <v/>
      </c>
      <c r="I38" s="31" t="str">
        <f aca="false">IF(OR(E38="",E$18=""),"",E38-E$18)</f>
        <v/>
      </c>
      <c r="J38" s="31" t="str">
        <f aca="false">IF(OR(F38="",F$18=""),"",F38-F$18)</f>
        <v/>
      </c>
      <c r="K38" s="31" t="str">
        <f aca="false">IF(OR(I38="",J38=""),"",I38+J38)</f>
        <v/>
      </c>
    </row>
    <row r="39" customFormat="false" ht="15" hidden="false" customHeight="false" outlineLevel="0" collapsed="false">
      <c r="B39" s="8" t="s">
        <v>130</v>
      </c>
      <c r="C39" s="30"/>
      <c r="D39" s="30"/>
      <c r="E39" s="30"/>
      <c r="F39" s="30"/>
      <c r="G39" s="31" t="str">
        <f aca="false">IF(OR(C39="",C$18=""),"",C39/C$18*100)</f>
        <v/>
      </c>
      <c r="H39" s="31" t="str">
        <f aca="false">IF(OR(D39="",D$18=""),"",D39/D$18*100)</f>
        <v/>
      </c>
      <c r="I39" s="31" t="str">
        <f aca="false">IF(OR(E39="",E$18=""),"",E39-E$18)</f>
        <v/>
      </c>
      <c r="J39" s="31" t="str">
        <f aca="false">IF(OR(F39="",F$18=""),"",F39-F$18)</f>
        <v/>
      </c>
      <c r="K39" s="31" t="str">
        <f aca="false">IF(OR(I39="",J39=""),"",I39+J39)</f>
        <v/>
      </c>
    </row>
    <row r="40" customFormat="false" ht="15" hidden="false" customHeight="false" outlineLevel="0" collapsed="false">
      <c r="B40" s="8" t="s">
        <v>131</v>
      </c>
      <c r="C40" s="30"/>
      <c r="D40" s="30"/>
      <c r="E40" s="30"/>
      <c r="F40" s="30"/>
      <c r="G40" s="31" t="str">
        <f aca="false">IF(OR(C40="",C$18=""),"",C40/C$18*100)</f>
        <v/>
      </c>
      <c r="H40" s="31" t="str">
        <f aca="false">IF(OR(D40="",D$18=""),"",D40/D$18*100)</f>
        <v/>
      </c>
      <c r="I40" s="31" t="str">
        <f aca="false">IF(OR(E40="",E$18=""),"",E40-E$18)</f>
        <v/>
      </c>
      <c r="J40" s="31" t="str">
        <f aca="false">IF(OR(F40="",F$18=""),"",F40-F$18)</f>
        <v/>
      </c>
      <c r="K40" s="31" t="str">
        <f aca="false">IF(OR(I40="",J40=""),"",I40+J40)</f>
        <v/>
      </c>
    </row>
    <row r="41" customFormat="false" ht="15" hidden="false" customHeight="false" outlineLevel="0" collapsed="false">
      <c r="B41" s="8" t="s">
        <v>132</v>
      </c>
      <c r="C41" s="30"/>
      <c r="D41" s="30"/>
      <c r="E41" s="30"/>
      <c r="F41" s="30"/>
      <c r="G41" s="31" t="str">
        <f aca="false">IF(OR(C41="",C$18=""),"",C41/C$18*100)</f>
        <v/>
      </c>
      <c r="H41" s="31" t="str">
        <f aca="false">IF(OR(D41="",D$18=""),"",D41/D$18*100)</f>
        <v/>
      </c>
      <c r="I41" s="31" t="str">
        <f aca="false">IF(OR(E41="",E$18=""),"",E41-E$18)</f>
        <v/>
      </c>
      <c r="J41" s="31" t="str">
        <f aca="false">IF(OR(F41="",F$18=""),"",F41-F$18)</f>
        <v/>
      </c>
      <c r="K41" s="31" t="str">
        <f aca="false">IF(OR(I41="",J41=""),"",I41+J41)</f>
        <v/>
      </c>
    </row>
    <row r="42" customFormat="false" ht="15" hidden="false" customHeight="false" outlineLevel="0" collapsed="false">
      <c r="B42" s="8" t="s">
        <v>133</v>
      </c>
      <c r="C42" s="30"/>
      <c r="D42" s="30"/>
      <c r="E42" s="30"/>
      <c r="F42" s="30"/>
      <c r="G42" s="31" t="str">
        <f aca="false">IF(OR(C42="",C$18=""),"",C42/C$18*100)</f>
        <v/>
      </c>
      <c r="H42" s="31" t="str">
        <f aca="false">IF(OR(D42="",D$18=""),"",D42/D$18*100)</f>
        <v/>
      </c>
      <c r="I42" s="31" t="str">
        <f aca="false">IF(OR(E42="",E$18=""),"",E42-E$18)</f>
        <v/>
      </c>
      <c r="J42" s="31" t="str">
        <f aca="false">IF(OR(F42="",F$18=""),"",F42-F$18)</f>
        <v/>
      </c>
      <c r="K42" s="31" t="str">
        <f aca="false">IF(OR(I42="",J42=""),"",I42+J42)</f>
        <v/>
      </c>
    </row>
    <row r="43" customFormat="false" ht="15" hidden="false" customHeight="false" outlineLevel="0" collapsed="false">
      <c r="B43" s="8" t="s">
        <v>134</v>
      </c>
      <c r="C43" s="30"/>
      <c r="D43" s="30"/>
      <c r="E43" s="30"/>
      <c r="F43" s="30"/>
      <c r="G43" s="31" t="str">
        <f aca="false">IF(OR(C43="",C$18=""),"",C43/C$18*100)</f>
        <v/>
      </c>
      <c r="H43" s="31" t="str">
        <f aca="false">IF(OR(D43="",D$18=""),"",D43/D$18*100)</f>
        <v/>
      </c>
      <c r="I43" s="31" t="str">
        <f aca="false">IF(OR(E43="",E$18=""),"",E43-E$18)</f>
        <v/>
      </c>
      <c r="J43" s="31" t="str">
        <f aca="false">IF(OR(F43="",F$18=""),"",F43-F$18)</f>
        <v/>
      </c>
      <c r="K43" s="31" t="str">
        <f aca="false">IF(OR(I43="",J43=""),"",I43+J43)</f>
        <v/>
      </c>
    </row>
    <row r="44" customFormat="false" ht="15" hidden="false" customHeight="false" outlineLevel="0" collapsed="false">
      <c r="B44" s="8" t="s">
        <v>135</v>
      </c>
      <c r="C44" s="30"/>
      <c r="D44" s="30"/>
      <c r="E44" s="30"/>
      <c r="F44" s="30"/>
      <c r="G44" s="31" t="str">
        <f aca="false">IF(OR(C44="",C$18=""),"",C44/C$18*100)</f>
        <v/>
      </c>
      <c r="H44" s="31" t="str">
        <f aca="false">IF(OR(D44="",D$18=""),"",D44/D$18*100)</f>
        <v/>
      </c>
      <c r="I44" s="31" t="str">
        <f aca="false">IF(OR(E44="",E$18=""),"",E44-E$18)</f>
        <v/>
      </c>
      <c r="J44" s="31" t="str">
        <f aca="false">IF(OR(F44="",F$18=""),"",F44-F$18)</f>
        <v/>
      </c>
      <c r="K44" s="31" t="str">
        <f aca="false">IF(OR(I44="",J44=""),"",I44+J44)</f>
        <v/>
      </c>
    </row>
    <row r="45" customFormat="false" ht="15" hidden="false" customHeight="false" outlineLevel="0" collapsed="false">
      <c r="B45" s="8" t="s">
        <v>136</v>
      </c>
      <c r="C45" s="30"/>
      <c r="D45" s="30"/>
      <c r="E45" s="30"/>
      <c r="F45" s="30"/>
      <c r="G45" s="31" t="str">
        <f aca="false">IF(OR(C45="",C$18=""),"",C45/C$18*100)</f>
        <v/>
      </c>
      <c r="H45" s="31" t="str">
        <f aca="false">IF(OR(D45="",D$18=""),"",D45/D$18*100)</f>
        <v/>
      </c>
      <c r="I45" s="31" t="str">
        <f aca="false">IF(OR(E45="",E$18=""),"",E45-E$18)</f>
        <v/>
      </c>
      <c r="J45" s="31" t="str">
        <f aca="false">IF(OR(F45="",F$18=""),"",F45-F$18)</f>
        <v/>
      </c>
      <c r="K45" s="31" t="str">
        <f aca="false">IF(OR(I45="",J45=""),"",I45+J45)</f>
        <v/>
      </c>
    </row>
    <row r="46" customFormat="false" ht="15" hidden="false" customHeight="false" outlineLevel="0" collapsed="false">
      <c r="B46" s="8" t="s">
        <v>137</v>
      </c>
      <c r="C46" s="30"/>
      <c r="D46" s="30"/>
      <c r="E46" s="30"/>
      <c r="F46" s="30"/>
      <c r="G46" s="31" t="str">
        <f aca="false">IF(OR(C46="",C$18=""),"",C46/C$18*100)</f>
        <v/>
      </c>
      <c r="H46" s="31" t="str">
        <f aca="false">IF(OR(D46="",D$18=""),"",D46/D$18*100)</f>
        <v/>
      </c>
      <c r="I46" s="31" t="str">
        <f aca="false">IF(OR(E46="",E$18=""),"",E46-E$18)</f>
        <v/>
      </c>
      <c r="J46" s="31" t="str">
        <f aca="false">IF(OR(F46="",F$18=""),"",F46-F$18)</f>
        <v/>
      </c>
      <c r="K46" s="31" t="str">
        <f aca="false">IF(OR(I46="",J46=""),"",I46+J46)</f>
        <v/>
      </c>
    </row>
    <row r="47" customFormat="false" ht="15" hidden="false" customHeight="false" outlineLevel="0" collapsed="false">
      <c r="B47" s="8" t="s">
        <v>138</v>
      </c>
      <c r="C47" s="30"/>
      <c r="D47" s="30"/>
      <c r="E47" s="30"/>
      <c r="F47" s="30"/>
      <c r="G47" s="31" t="str">
        <f aca="false">IF(OR(C47="",C$18=""),"",C47/C$18*100)</f>
        <v/>
      </c>
      <c r="H47" s="31" t="str">
        <f aca="false">IF(OR(D47="",D$18=""),"",D47/D$18*100)</f>
        <v/>
      </c>
      <c r="I47" s="31" t="str">
        <f aca="false">IF(OR(E47="",E$18=""),"",E47-E$18)</f>
        <v/>
      </c>
      <c r="J47" s="31" t="str">
        <f aca="false">IF(OR(F47="",F$18=""),"",F47-F$18)</f>
        <v/>
      </c>
      <c r="K47" s="31" t="str">
        <f aca="false">IF(OR(I47="",J47=""),"",I47+J47)</f>
        <v/>
      </c>
    </row>
    <row r="48" customFormat="false" ht="15" hidden="false" customHeight="false" outlineLevel="0" collapsed="false">
      <c r="B48" s="8" t="s">
        <v>139</v>
      </c>
      <c r="C48" s="30"/>
      <c r="D48" s="30"/>
      <c r="E48" s="30"/>
      <c r="F48" s="30"/>
      <c r="G48" s="31" t="str">
        <f aca="false">IF(OR(C48="",C$18=""),"",C48/C$18*100)</f>
        <v/>
      </c>
      <c r="H48" s="31" t="str">
        <f aca="false">IF(OR(D48="",D$18=""),"",D48/D$18*100)</f>
        <v/>
      </c>
      <c r="I48" s="31" t="str">
        <f aca="false">IF(OR(E48="",E$18=""),"",E48-E$18)</f>
        <v/>
      </c>
      <c r="J48" s="31" t="str">
        <f aca="false">IF(OR(F48="",F$18=""),"",F48-F$18)</f>
        <v/>
      </c>
      <c r="K48" s="31" t="str">
        <f aca="false">IF(OR(I48="",J48=""),"",I48+J48)</f>
        <v/>
      </c>
    </row>
    <row r="49" customFormat="false" ht="15" hidden="false" customHeight="false" outlineLevel="0" collapsed="false">
      <c r="B49" s="8" t="s">
        <v>140</v>
      </c>
      <c r="C49" s="30"/>
      <c r="D49" s="30"/>
      <c r="E49" s="30"/>
      <c r="F49" s="30"/>
      <c r="G49" s="31" t="str">
        <f aca="false">IF(OR(C49="",C$18=""),"",C49/C$18*100)</f>
        <v/>
      </c>
      <c r="H49" s="31" t="str">
        <f aca="false">IF(OR(D49="",D$18=""),"",D49/D$18*100)</f>
        <v/>
      </c>
      <c r="I49" s="31" t="str">
        <f aca="false">IF(OR(E49="",E$18=""),"",E49-E$18)</f>
        <v/>
      </c>
      <c r="J49" s="31" t="str">
        <f aca="false">IF(OR(F49="",F$18=""),"",F49-F$18)</f>
        <v/>
      </c>
      <c r="K49" s="31" t="str">
        <f aca="false">IF(OR(I49="",J49=""),"",I49+J49)</f>
        <v/>
      </c>
    </row>
    <row r="50" customFormat="false" ht="15" hidden="false" customHeight="false" outlineLevel="0" collapsed="false">
      <c r="B50" s="8" t="s">
        <v>141</v>
      </c>
      <c r="C50" s="30"/>
      <c r="D50" s="30"/>
      <c r="E50" s="30"/>
      <c r="F50" s="30"/>
      <c r="G50" s="31" t="str">
        <f aca="false">IF(OR(C50="",C$18=""),"",C50/C$18*100)</f>
        <v/>
      </c>
      <c r="H50" s="31" t="str">
        <f aca="false">IF(OR(D50="",D$18=""),"",D50/D$18*100)</f>
        <v/>
      </c>
      <c r="I50" s="31" t="str">
        <f aca="false">IF(OR(E50="",E$18=""),"",E50-E$18)</f>
        <v/>
      </c>
      <c r="J50" s="31" t="str">
        <f aca="false">IF(OR(F50="",F$18=""),"",F50-F$18)</f>
        <v/>
      </c>
      <c r="K50" s="31" t="str">
        <f aca="false">IF(OR(I50="",J50=""),"",I50+J50)</f>
        <v/>
      </c>
    </row>
    <row r="51" customFormat="false" ht="15" hidden="false" customHeight="false" outlineLevel="0" collapsed="false">
      <c r="B51" s="8" t="s">
        <v>142</v>
      </c>
      <c r="C51" s="30"/>
      <c r="D51" s="30"/>
      <c r="E51" s="30"/>
      <c r="F51" s="30"/>
      <c r="G51" s="31" t="str">
        <f aca="false">IF(OR(C51="",C$18=""),"",C51/C$18*100)</f>
        <v/>
      </c>
      <c r="H51" s="31" t="str">
        <f aca="false">IF(OR(D51="",D$18=""),"",D51/D$18*100)</f>
        <v/>
      </c>
      <c r="I51" s="31" t="str">
        <f aca="false">IF(OR(E51="",E$18=""),"",E51-E$18)</f>
        <v/>
      </c>
      <c r="J51" s="31" t="str">
        <f aca="false">IF(OR(F51="",F$18=""),"",F51-F$18)</f>
        <v/>
      </c>
      <c r="K51" s="31" t="str">
        <f aca="false">IF(OR(I51="",J51=""),"",I51+J51)</f>
        <v/>
      </c>
    </row>
    <row r="52" customFormat="false" ht="15" hidden="false" customHeight="false" outlineLevel="0" collapsed="false">
      <c r="B52" s="8" t="s">
        <v>143</v>
      </c>
      <c r="C52" s="30"/>
      <c r="D52" s="30"/>
      <c r="E52" s="30"/>
      <c r="F52" s="30"/>
      <c r="G52" s="31" t="str">
        <f aca="false">IF(OR(C52="",C$18=""),"",C52/C$18*100)</f>
        <v/>
      </c>
      <c r="H52" s="31" t="str">
        <f aca="false">IF(OR(D52="",D$18=""),"",D52/D$18*100)</f>
        <v/>
      </c>
      <c r="I52" s="31" t="str">
        <f aca="false">IF(OR(E52="",E$18=""),"",E52-E$18)</f>
        <v/>
      </c>
      <c r="J52" s="31" t="str">
        <f aca="false">IF(OR(F52="",F$18=""),"",F52-F$18)</f>
        <v/>
      </c>
      <c r="K52" s="31" t="str">
        <f aca="false">IF(OR(I52="",J52=""),"",I52+J52)</f>
        <v/>
      </c>
    </row>
    <row r="53" customFormat="false" ht="15" hidden="false" customHeight="false" outlineLevel="0" collapsed="false">
      <c r="B53" s="8" t="s">
        <v>144</v>
      </c>
      <c r="C53" s="30"/>
      <c r="D53" s="30"/>
      <c r="E53" s="30"/>
      <c r="F53" s="30"/>
      <c r="G53" s="31" t="str">
        <f aca="false">IF(OR(C53="",C$18=""),"",C53/C$18*100)</f>
        <v/>
      </c>
      <c r="H53" s="31" t="str">
        <f aca="false">IF(OR(D53="",D$18=""),"",D53/D$18*100)</f>
        <v/>
      </c>
      <c r="I53" s="31" t="str">
        <f aca="false">IF(OR(E53="",E$18=""),"",E53-E$18)</f>
        <v/>
      </c>
      <c r="J53" s="31" t="str">
        <f aca="false">IF(OR(F53="",F$18=""),"",F53-F$18)</f>
        <v/>
      </c>
      <c r="K53" s="31" t="str">
        <f aca="false">IF(OR(I53="",J53=""),"",I53+J53)</f>
        <v/>
      </c>
    </row>
    <row r="54" customFormat="false" ht="15" hidden="false" customHeight="false" outlineLevel="0" collapsed="false">
      <c r="B54" s="8" t="s">
        <v>145</v>
      </c>
      <c r="C54" s="30"/>
      <c r="D54" s="30"/>
      <c r="E54" s="30"/>
      <c r="F54" s="30"/>
      <c r="G54" s="31" t="str">
        <f aca="false">IF(OR(C54="",C$18=""),"",C54/C$18*100)</f>
        <v/>
      </c>
      <c r="H54" s="31" t="str">
        <f aca="false">IF(OR(D54="",D$18=""),"",D54/D$18*100)</f>
        <v/>
      </c>
      <c r="I54" s="31" t="str">
        <f aca="false">IF(OR(E54="",E$18=""),"",E54-E$18)</f>
        <v/>
      </c>
      <c r="J54" s="31" t="str">
        <f aca="false">IF(OR(F54="",F$18=""),"",F54-F$18)</f>
        <v/>
      </c>
      <c r="K54" s="31" t="str">
        <f aca="false">IF(OR(I54="",J54=""),"",I54+J54)</f>
        <v/>
      </c>
    </row>
    <row r="55" customFormat="false" ht="15" hidden="false" customHeight="false" outlineLevel="0" collapsed="false">
      <c r="B55" s="8" t="s">
        <v>146</v>
      </c>
      <c r="C55" s="30"/>
      <c r="D55" s="30"/>
      <c r="E55" s="30"/>
      <c r="F55" s="30"/>
      <c r="G55" s="31" t="str">
        <f aca="false">IF(OR(C55="",C$18=""),"",C55/C$18*100)</f>
        <v/>
      </c>
      <c r="H55" s="31" t="str">
        <f aca="false">IF(OR(D55="",D$18=""),"",D55/D$18*100)</f>
        <v/>
      </c>
      <c r="I55" s="31" t="str">
        <f aca="false">IF(OR(E55="",E$18=""),"",E55-E$18)</f>
        <v/>
      </c>
      <c r="J55" s="31" t="str">
        <f aca="false">IF(OR(F55="",F$18=""),"",F55-F$18)</f>
        <v/>
      </c>
      <c r="K55" s="31" t="str">
        <f aca="false">IF(OR(I55="",J55=""),"",I55+J55)</f>
        <v/>
      </c>
    </row>
    <row r="56" customFormat="false" ht="15" hidden="false" customHeight="false" outlineLevel="0" collapsed="false">
      <c r="B56" s="8" t="s">
        <v>147</v>
      </c>
      <c r="C56" s="30"/>
      <c r="D56" s="30"/>
      <c r="E56" s="30"/>
      <c r="F56" s="30"/>
      <c r="G56" s="31" t="str">
        <f aca="false">IF(OR(C56="",C$18=""),"",C56/C$18*100)</f>
        <v/>
      </c>
      <c r="H56" s="31" t="str">
        <f aca="false">IF(OR(D56="",D$18=""),"",D56/D$18*100)</f>
        <v/>
      </c>
      <c r="I56" s="31" t="str">
        <f aca="false">IF(OR(E56="",E$18=""),"",E56-E$18)</f>
        <v/>
      </c>
      <c r="J56" s="31" t="str">
        <f aca="false">IF(OR(F56="",F$18=""),"",F56-F$18)</f>
        <v/>
      </c>
      <c r="K56" s="31" t="str">
        <f aca="false">IF(OR(I56="",J56=""),"",I56+J56)</f>
        <v/>
      </c>
    </row>
    <row r="57" customFormat="false" ht="15" hidden="false" customHeight="false" outlineLevel="0" collapsed="false">
      <c r="B57" s="8" t="s">
        <v>148</v>
      </c>
      <c r="C57" s="30"/>
      <c r="D57" s="30"/>
      <c r="E57" s="30"/>
      <c r="F57" s="30"/>
      <c r="G57" s="31" t="str">
        <f aca="false">IF(OR(C57="",C$18=""),"",C57/C$18*100)</f>
        <v/>
      </c>
      <c r="H57" s="31" t="str">
        <f aca="false">IF(OR(D57="",D$18=""),"",D57/D$18*100)</f>
        <v/>
      </c>
      <c r="I57" s="31" t="str">
        <f aca="false">IF(OR(E57="",E$18=""),"",E57-E$18)</f>
        <v/>
      </c>
      <c r="J57" s="31" t="str">
        <f aca="false">IF(OR(F57="",F$18=""),"",F57-F$18)</f>
        <v/>
      </c>
      <c r="K57" s="31" t="str">
        <f aca="false">IF(OR(I57="",J57=""),"",I57+J57)</f>
        <v/>
      </c>
    </row>
    <row r="58" customFormat="false" ht="15" hidden="false" customHeight="false" outlineLevel="0" collapsed="false">
      <c r="B58" s="8" t="s">
        <v>149</v>
      </c>
      <c r="C58" s="30"/>
      <c r="D58" s="30"/>
      <c r="E58" s="30"/>
      <c r="F58" s="30"/>
      <c r="G58" s="31" t="str">
        <f aca="false">IF(OR(C58="",C$18=""),"",C58/C$18*100)</f>
        <v/>
      </c>
      <c r="H58" s="31" t="str">
        <f aca="false">IF(OR(D58="",D$18=""),"",D58/D$18*100)</f>
        <v/>
      </c>
      <c r="I58" s="31" t="str">
        <f aca="false">IF(OR(E58="",E$18=""),"",E58-E$18)</f>
        <v/>
      </c>
      <c r="J58" s="31" t="str">
        <f aca="false">IF(OR(F58="",F$18=""),"",F58-F$18)</f>
        <v/>
      </c>
      <c r="K58" s="31" t="str">
        <f aca="false">IF(OR(I58="",J58=""),"",I58+J58)</f>
        <v/>
      </c>
    </row>
    <row r="59" customFormat="false" ht="15" hidden="false" customHeight="false" outlineLevel="0" collapsed="false">
      <c r="B59" s="8" t="s">
        <v>150</v>
      </c>
      <c r="C59" s="30"/>
      <c r="D59" s="30"/>
      <c r="E59" s="30"/>
      <c r="F59" s="30"/>
      <c r="G59" s="31" t="str">
        <f aca="false">IF(OR(C59="",C$18=""),"",C59/C$18*100)</f>
        <v/>
      </c>
      <c r="H59" s="31" t="str">
        <f aca="false">IF(OR(D59="",D$18=""),"",D59/D$18*100)</f>
        <v/>
      </c>
      <c r="I59" s="31" t="str">
        <f aca="false">IF(OR(E59="",E$18=""),"",E59-E$18)</f>
        <v/>
      </c>
      <c r="J59" s="31" t="str">
        <f aca="false">IF(OR(F59="",F$18=""),"",F59-F$18)</f>
        <v/>
      </c>
      <c r="K59" s="31" t="str">
        <f aca="false">IF(OR(I59="",J59=""),"",I59+J59)</f>
        <v/>
      </c>
    </row>
    <row r="60" customFormat="false" ht="15" hidden="false" customHeight="false" outlineLevel="0" collapsed="false">
      <c r="B60" s="8" t="s">
        <v>151</v>
      </c>
      <c r="C60" s="30"/>
      <c r="D60" s="30"/>
      <c r="E60" s="30"/>
      <c r="F60" s="30"/>
      <c r="G60" s="31" t="str">
        <f aca="false">IF(OR(C60="",C$18=""),"",C60/C$18*100)</f>
        <v/>
      </c>
      <c r="H60" s="31" t="str">
        <f aca="false">IF(OR(D60="",D$18=""),"",D60/D$18*100)</f>
        <v/>
      </c>
      <c r="I60" s="31" t="str">
        <f aca="false">IF(OR(E60="",E$18=""),"",E60-E$18)</f>
        <v/>
      </c>
      <c r="J60" s="31" t="str">
        <f aca="false">IF(OR(F60="",F$18=""),"",F60-F$18)</f>
        <v/>
      </c>
      <c r="K60" s="31" t="str">
        <f aca="false">IF(OR(I60="",J60=""),"",I60+J60)</f>
        <v/>
      </c>
    </row>
    <row r="61" customFormat="false" ht="15" hidden="false" customHeight="false" outlineLevel="0" collapsed="false">
      <c r="B61" s="8" t="s">
        <v>152</v>
      </c>
      <c r="C61" s="30"/>
      <c r="D61" s="30"/>
      <c r="E61" s="30"/>
      <c r="F61" s="30"/>
      <c r="G61" s="31" t="str">
        <f aca="false">IF(OR(C61="",C$18=""),"",C61/C$18*100)</f>
        <v/>
      </c>
      <c r="H61" s="31" t="str">
        <f aca="false">IF(OR(D61="",D$18=""),"",D61/D$18*100)</f>
        <v/>
      </c>
      <c r="I61" s="31" t="str">
        <f aca="false">IF(OR(E61="",E$18=""),"",E61-E$18)</f>
        <v/>
      </c>
      <c r="J61" s="31" t="str">
        <f aca="false">IF(OR(F61="",F$18=""),"",F61-F$18)</f>
        <v/>
      </c>
      <c r="K61" s="31" t="str">
        <f aca="false">IF(OR(I61="",J61=""),"",I61+J61)</f>
        <v/>
      </c>
    </row>
    <row r="62" customFormat="false" ht="15" hidden="false" customHeight="false" outlineLevel="0" collapsed="false">
      <c r="B62" s="8" t="s">
        <v>153</v>
      </c>
      <c r="C62" s="30"/>
      <c r="D62" s="30"/>
      <c r="E62" s="30"/>
      <c r="F62" s="30"/>
      <c r="G62" s="31" t="str">
        <f aca="false">IF(OR(C62="",C$18=""),"",C62/C$18*100)</f>
        <v/>
      </c>
      <c r="H62" s="31" t="str">
        <f aca="false">IF(OR(D62="",D$18=""),"",D62/D$18*100)</f>
        <v/>
      </c>
      <c r="I62" s="31" t="str">
        <f aca="false">IF(OR(E62="",E$18=""),"",E62-E$18)</f>
        <v/>
      </c>
      <c r="J62" s="31" t="str">
        <f aca="false">IF(OR(F62="",F$18=""),"",F62-F$18)</f>
        <v/>
      </c>
      <c r="K62" s="31" t="str">
        <f aca="false">IF(OR(I62="",J62=""),"",I62+J62)</f>
        <v/>
      </c>
    </row>
    <row r="63" customFormat="false" ht="15" hidden="false" customHeight="false" outlineLevel="0" collapsed="false">
      <c r="B63" s="8" t="s">
        <v>154</v>
      </c>
      <c r="C63" s="30"/>
      <c r="D63" s="30"/>
      <c r="E63" s="30"/>
      <c r="F63" s="30"/>
      <c r="G63" s="31" t="str">
        <f aca="false">IF(OR(C63="",C$18=""),"",C63/C$18*100)</f>
        <v/>
      </c>
      <c r="H63" s="31" t="str">
        <f aca="false">IF(OR(D63="",D$18=""),"",D63/D$18*100)</f>
        <v/>
      </c>
      <c r="I63" s="31" t="str">
        <f aca="false">IF(OR(E63="",E$18=""),"",E63-E$18)</f>
        <v/>
      </c>
      <c r="J63" s="31" t="str">
        <f aca="false">IF(OR(F63="",F$18=""),"",F63-F$18)</f>
        <v/>
      </c>
      <c r="K63" s="31" t="str">
        <f aca="false">IF(OR(I63="",J63=""),"",I63+J63)</f>
        <v/>
      </c>
    </row>
    <row r="64" customFormat="false" ht="15" hidden="false" customHeight="false" outlineLevel="0" collapsed="false">
      <c r="B64" s="8" t="s">
        <v>155</v>
      </c>
      <c r="C64" s="30"/>
      <c r="D64" s="30"/>
      <c r="E64" s="30"/>
      <c r="F64" s="30"/>
      <c r="G64" s="31" t="str">
        <f aca="false">IF(OR(C64="",C$18=""),"",C64/C$18*100)</f>
        <v/>
      </c>
      <c r="H64" s="31" t="str">
        <f aca="false">IF(OR(D64="",D$18=""),"",D64/D$18*100)</f>
        <v/>
      </c>
      <c r="I64" s="31" t="str">
        <f aca="false">IF(OR(E64="",E$18=""),"",E64-E$18)</f>
        <v/>
      </c>
      <c r="J64" s="31" t="str">
        <f aca="false">IF(OR(F64="",F$18=""),"",F64-F$18)</f>
        <v/>
      </c>
      <c r="K64" s="31" t="str">
        <f aca="false">IF(OR(I64="",J64=""),"",I64+J64)</f>
        <v/>
      </c>
    </row>
    <row r="65" customFormat="false" ht="15" hidden="false" customHeight="false" outlineLevel="0" collapsed="false">
      <c r="B65" s="8" t="s">
        <v>156</v>
      </c>
      <c r="C65" s="30"/>
      <c r="D65" s="30"/>
      <c r="E65" s="30"/>
      <c r="F65" s="30"/>
      <c r="G65" s="31" t="str">
        <f aca="false">IF(OR(C65="",C$18=""),"",C65/C$18*100)</f>
        <v/>
      </c>
      <c r="H65" s="31" t="str">
        <f aca="false">IF(OR(D65="",D$18=""),"",D65/D$18*100)</f>
        <v/>
      </c>
      <c r="I65" s="31" t="str">
        <f aca="false">IF(OR(E65="",E$18=""),"",E65-E$18)</f>
        <v/>
      </c>
      <c r="J65" s="31" t="str">
        <f aca="false">IF(OR(F65="",F$18=""),"",F65-F$18)</f>
        <v/>
      </c>
      <c r="K65" s="31" t="str">
        <f aca="false">IF(OR(I65="",J65=""),"",I65+J65)</f>
        <v/>
      </c>
    </row>
    <row r="66" customFormat="false" ht="15" hidden="false" customHeight="false" outlineLevel="0" collapsed="false">
      <c r="B66" s="8" t="s">
        <v>157</v>
      </c>
      <c r="C66" s="30"/>
      <c r="D66" s="30"/>
      <c r="E66" s="30"/>
      <c r="F66" s="30"/>
      <c r="G66" s="31" t="str">
        <f aca="false">IF(OR(C66="",C$18=""),"",C66/C$18*100)</f>
        <v/>
      </c>
      <c r="H66" s="31" t="str">
        <f aca="false">IF(OR(D66="",D$18=""),"",D66/D$18*100)</f>
        <v/>
      </c>
      <c r="I66" s="31" t="str">
        <f aca="false">IF(OR(E66="",E$18=""),"",E66-E$18)</f>
        <v/>
      </c>
      <c r="J66" s="31" t="str">
        <f aca="false">IF(OR(F66="",F$18=""),"",F66-F$18)</f>
        <v/>
      </c>
      <c r="K66" s="31" t="str">
        <f aca="false">IF(OR(I66="",J66=""),"",I66+J66)</f>
        <v/>
      </c>
    </row>
    <row r="67" customFormat="false" ht="15" hidden="false" customHeight="false" outlineLevel="0" collapsed="false">
      <c r="B67" s="8" t="s">
        <v>158</v>
      </c>
      <c r="C67" s="30"/>
      <c r="D67" s="30"/>
      <c r="E67" s="30"/>
      <c r="F67" s="30"/>
      <c r="G67" s="31" t="str">
        <f aca="false">IF(OR(C67="",C$18=""),"",C67/C$18*100)</f>
        <v/>
      </c>
      <c r="H67" s="31" t="str">
        <f aca="false">IF(OR(D67="",D$18=""),"",D67/D$18*100)</f>
        <v/>
      </c>
      <c r="I67" s="31" t="str">
        <f aca="false">IF(OR(E67="",E$18=""),"",E67-E$18)</f>
        <v/>
      </c>
      <c r="J67" s="31" t="str">
        <f aca="false">IF(OR(F67="",F$18=""),"",F67-F$18)</f>
        <v/>
      </c>
      <c r="K67" s="31" t="str">
        <f aca="false">IF(OR(I67="",J67=""),"",I67+J67)</f>
        <v/>
      </c>
    </row>
    <row r="69" customFormat="false" ht="270.85" hidden="false" customHeight="false" outlineLevel="0" collapsed="false">
      <c r="B69" s="17" t="s">
        <v>249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C0016"/>
    <pageSetUpPr fitToPage="false"/>
  </sheetPr>
  <dimension ref="B2:E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1"/>
    <col collapsed="false" customWidth="true" hidden="false" outlineLevel="0" max="4" min="3" style="0" width="16"/>
    <col collapsed="false" customWidth="true" hidden="false" outlineLevel="0" max="5" min="5" style="0" width="12"/>
  </cols>
  <sheetData>
    <row r="2" customFormat="false" ht="25.5" hidden="false" customHeight="true" outlineLevel="0" collapsed="false">
      <c r="B2" s="1"/>
      <c r="C2" s="2" t="s">
        <v>250</v>
      </c>
    </row>
    <row r="3" customFormat="false" ht="15" hidden="false" customHeight="false" outlineLevel="0" collapsed="false">
      <c r="C3" s="3" t="s">
        <v>251</v>
      </c>
    </row>
    <row r="5" customFormat="false" ht="15" hidden="false" customHeight="false" outlineLevel="0" collapsed="false">
      <c r="B5" s="24" t="s">
        <v>238</v>
      </c>
    </row>
    <row r="6" customFormat="false" ht="33.75" hidden="false" customHeight="true" outlineLevel="0" collapsed="false">
      <c r="B6" s="7" t="s">
        <v>194</v>
      </c>
      <c r="C6" s="27" t="s">
        <v>252</v>
      </c>
      <c r="D6" s="27" t="s">
        <v>253</v>
      </c>
      <c r="E6" s="7" t="s">
        <v>254</v>
      </c>
    </row>
    <row r="7" customFormat="false" ht="15" hidden="false" customHeight="false" outlineLevel="0" collapsed="false">
      <c r="B7" s="28" t="s">
        <v>248</v>
      </c>
      <c r="C7" s="32" t="n">
        <v>0.28</v>
      </c>
      <c r="D7" s="32" t="n">
        <v>0.19</v>
      </c>
    </row>
    <row r="8" customFormat="false" ht="15" hidden="false" customHeight="false" outlineLevel="0" collapsed="false">
      <c r="B8" s="8" t="s">
        <v>99</v>
      </c>
      <c r="C8" s="33"/>
      <c r="D8" s="33"/>
      <c r="E8" s="13" t="str">
        <f aca="false">IF(OR(C8="",D8=""),"",C8-D8)</f>
        <v/>
      </c>
    </row>
    <row r="9" customFormat="false" ht="15" hidden="false" customHeight="false" outlineLevel="0" collapsed="false">
      <c r="B9" s="8" t="s">
        <v>100</v>
      </c>
      <c r="C9" s="33"/>
      <c r="D9" s="33"/>
      <c r="E9" s="13" t="str">
        <f aca="false">IF(OR(C9="",D9=""),"",C9-D9)</f>
        <v/>
      </c>
    </row>
    <row r="10" customFormat="false" ht="15" hidden="false" customHeight="false" outlineLevel="0" collapsed="false">
      <c r="B10" s="8" t="s">
        <v>101</v>
      </c>
      <c r="C10" s="33"/>
      <c r="D10" s="33"/>
      <c r="E10" s="13" t="str">
        <f aca="false">IF(OR(C10="",D10=""),"",C10-D10)</f>
        <v/>
      </c>
    </row>
    <row r="11" customFormat="false" ht="15" hidden="false" customHeight="false" outlineLevel="0" collapsed="false">
      <c r="B11" s="8" t="s">
        <v>102</v>
      </c>
      <c r="C11" s="33"/>
      <c r="D11" s="33"/>
      <c r="E11" s="13" t="str">
        <f aca="false">IF(OR(C11="",D11=""),"",C11-D11)</f>
        <v/>
      </c>
    </row>
    <row r="12" customFormat="false" ht="15" hidden="false" customHeight="false" outlineLevel="0" collapsed="false">
      <c r="B12" s="8" t="s">
        <v>103</v>
      </c>
      <c r="C12" s="33"/>
      <c r="D12" s="33"/>
      <c r="E12" s="13" t="str">
        <f aca="false">IF(OR(C12="",D12=""),"",C12-D12)</f>
        <v/>
      </c>
    </row>
    <row r="13" customFormat="false" ht="15" hidden="false" customHeight="false" outlineLevel="0" collapsed="false">
      <c r="B13" s="8" t="s">
        <v>104</v>
      </c>
      <c r="C13" s="33"/>
      <c r="D13" s="33"/>
      <c r="E13" s="13" t="str">
        <f aca="false">IF(OR(C13="",D13=""),"",C13-D13)</f>
        <v/>
      </c>
    </row>
    <row r="14" customFormat="false" ht="15" hidden="false" customHeight="false" outlineLevel="0" collapsed="false">
      <c r="B14" s="8" t="s">
        <v>105</v>
      </c>
      <c r="C14" s="33"/>
      <c r="D14" s="33"/>
      <c r="E14" s="13" t="str">
        <f aca="false">IF(OR(C14="",D14=""),"",C14-D14)</f>
        <v/>
      </c>
    </row>
    <row r="15" customFormat="false" ht="15" hidden="false" customHeight="false" outlineLevel="0" collapsed="false">
      <c r="B15" s="8" t="s">
        <v>106</v>
      </c>
      <c r="C15" s="33"/>
      <c r="D15" s="33"/>
      <c r="E15" s="13" t="str">
        <f aca="false">IF(OR(C15="",D15=""),"",C15-D15)</f>
        <v/>
      </c>
    </row>
    <row r="16" customFormat="false" ht="15" hidden="false" customHeight="false" outlineLevel="0" collapsed="false">
      <c r="B16" s="8" t="s">
        <v>107</v>
      </c>
      <c r="C16" s="33"/>
      <c r="D16" s="33"/>
      <c r="E16" s="13" t="str">
        <f aca="false">IF(OR(C16="",D16=""),"",C16-D16)</f>
        <v/>
      </c>
    </row>
    <row r="17" customFormat="false" ht="15" hidden="false" customHeight="false" outlineLevel="0" collapsed="false">
      <c r="B17" s="8" t="s">
        <v>108</v>
      </c>
      <c r="C17" s="33"/>
      <c r="D17" s="33"/>
      <c r="E17" s="13" t="str">
        <f aca="false">IF(OR(C17="",D17=""),"",C17-D17)</f>
        <v/>
      </c>
    </row>
    <row r="18" customFormat="false" ht="15" hidden="false" customHeight="false" outlineLevel="0" collapsed="false">
      <c r="B18" s="8" t="s">
        <v>109</v>
      </c>
      <c r="C18" s="33"/>
      <c r="D18" s="33"/>
      <c r="E18" s="13" t="str">
        <f aca="false">IF(OR(C18="",D18=""),"",C18-D18)</f>
        <v/>
      </c>
    </row>
    <row r="19" customFormat="false" ht="15" hidden="false" customHeight="false" outlineLevel="0" collapsed="false">
      <c r="B19" s="8" t="s">
        <v>110</v>
      </c>
      <c r="C19" s="33"/>
      <c r="D19" s="33"/>
      <c r="E19" s="13" t="str">
        <f aca="false">IF(OR(C19="",D19=""),"",C19-D19)</f>
        <v/>
      </c>
    </row>
    <row r="20" customFormat="false" ht="15" hidden="false" customHeight="false" outlineLevel="0" collapsed="false">
      <c r="B20" s="8" t="s">
        <v>111</v>
      </c>
      <c r="C20" s="33"/>
      <c r="D20" s="33"/>
      <c r="E20" s="13" t="str">
        <f aca="false">IF(OR(C20="",D20=""),"",C20-D20)</f>
        <v/>
      </c>
    </row>
    <row r="21" customFormat="false" ht="15" hidden="false" customHeight="false" outlineLevel="0" collapsed="false">
      <c r="B21" s="8" t="s">
        <v>112</v>
      </c>
      <c r="C21" s="33"/>
      <c r="D21" s="33"/>
      <c r="E21" s="13" t="str">
        <f aca="false">IF(OR(C21="",D21=""),"",C21-D21)</f>
        <v/>
      </c>
    </row>
    <row r="22" customFormat="false" ht="15" hidden="false" customHeight="false" outlineLevel="0" collapsed="false">
      <c r="B22" s="8" t="s">
        <v>113</v>
      </c>
      <c r="C22" s="33"/>
      <c r="D22" s="33"/>
      <c r="E22" s="13" t="str">
        <f aca="false">IF(OR(C22="",D22=""),"",C22-D22)</f>
        <v/>
      </c>
    </row>
    <row r="23" customFormat="false" ht="15" hidden="false" customHeight="false" outlineLevel="0" collapsed="false">
      <c r="B23" s="8" t="s">
        <v>114</v>
      </c>
      <c r="C23" s="33"/>
      <c r="D23" s="33"/>
      <c r="E23" s="13" t="str">
        <f aca="false">IF(OR(C23="",D23=""),"",C23-D23)</f>
        <v/>
      </c>
    </row>
    <row r="24" customFormat="false" ht="15" hidden="false" customHeight="false" outlineLevel="0" collapsed="false">
      <c r="B24" s="8" t="s">
        <v>115</v>
      </c>
      <c r="C24" s="33"/>
      <c r="D24" s="33"/>
      <c r="E24" s="13" t="str">
        <f aca="false">IF(OR(C24="",D24=""),"",C24-D24)</f>
        <v/>
      </c>
    </row>
    <row r="25" customFormat="false" ht="15" hidden="false" customHeight="false" outlineLevel="0" collapsed="false">
      <c r="B25" s="8" t="s">
        <v>116</v>
      </c>
      <c r="C25" s="33"/>
      <c r="D25" s="33"/>
      <c r="E25" s="13" t="str">
        <f aca="false">IF(OR(C25="",D25=""),"",C25-D25)</f>
        <v/>
      </c>
    </row>
    <row r="26" customFormat="false" ht="15" hidden="false" customHeight="false" outlineLevel="0" collapsed="false">
      <c r="B26" s="8" t="s">
        <v>117</v>
      </c>
      <c r="C26" s="33"/>
      <c r="D26" s="33"/>
      <c r="E26" s="13" t="str">
        <f aca="false">IF(OR(C26="",D26=""),"",C26-D26)</f>
        <v/>
      </c>
    </row>
    <row r="27" customFormat="false" ht="15" hidden="false" customHeight="false" outlineLevel="0" collapsed="false">
      <c r="B27" s="8" t="s">
        <v>118</v>
      </c>
      <c r="C27" s="33"/>
      <c r="D27" s="33"/>
      <c r="E27" s="13" t="str">
        <f aca="false">IF(OR(C27="",D27=""),"",C27-D27)</f>
        <v/>
      </c>
    </row>
    <row r="28" customFormat="false" ht="15" hidden="false" customHeight="false" outlineLevel="0" collapsed="false">
      <c r="B28" s="8" t="s">
        <v>119</v>
      </c>
      <c r="C28" s="33"/>
      <c r="D28" s="33"/>
      <c r="E28" s="13" t="str">
        <f aca="false">IF(OR(C28="",D28=""),"",C28-D28)</f>
        <v/>
      </c>
    </row>
    <row r="29" customFormat="false" ht="15" hidden="false" customHeight="false" outlineLevel="0" collapsed="false">
      <c r="B29" s="8" t="s">
        <v>120</v>
      </c>
      <c r="C29" s="33"/>
      <c r="D29" s="33"/>
      <c r="E29" s="13" t="str">
        <f aca="false">IF(OR(C29="",D29=""),"",C29-D29)</f>
        <v/>
      </c>
    </row>
    <row r="30" customFormat="false" ht="15" hidden="false" customHeight="false" outlineLevel="0" collapsed="false">
      <c r="B30" s="8" t="s">
        <v>121</v>
      </c>
      <c r="C30" s="33"/>
      <c r="D30" s="33"/>
      <c r="E30" s="13" t="str">
        <f aca="false">IF(OR(C30="",D30=""),"",C30-D30)</f>
        <v/>
      </c>
    </row>
    <row r="31" customFormat="false" ht="15" hidden="false" customHeight="false" outlineLevel="0" collapsed="false">
      <c r="B31" s="8" t="s">
        <v>122</v>
      </c>
      <c r="C31" s="33"/>
      <c r="D31" s="33"/>
      <c r="E31" s="13" t="str">
        <f aca="false">IF(OR(C31="",D31=""),"",C31-D31)</f>
        <v/>
      </c>
    </row>
    <row r="32" customFormat="false" ht="15" hidden="false" customHeight="false" outlineLevel="0" collapsed="false">
      <c r="B32" s="8" t="s">
        <v>123</v>
      </c>
      <c r="C32" s="33"/>
      <c r="D32" s="33"/>
      <c r="E32" s="13" t="str">
        <f aca="false">IF(OR(C32="",D32=""),"",C32-D32)</f>
        <v/>
      </c>
    </row>
    <row r="33" customFormat="false" ht="15" hidden="false" customHeight="false" outlineLevel="0" collapsed="false">
      <c r="B33" s="8" t="s">
        <v>124</v>
      </c>
      <c r="C33" s="33"/>
      <c r="D33" s="33"/>
      <c r="E33" s="13" t="str">
        <f aca="false">IF(OR(C33="",D33=""),"",C33-D33)</f>
        <v/>
      </c>
    </row>
    <row r="34" customFormat="false" ht="15" hidden="false" customHeight="false" outlineLevel="0" collapsed="false">
      <c r="B34" s="8" t="s">
        <v>125</v>
      </c>
      <c r="C34" s="33"/>
      <c r="D34" s="33"/>
      <c r="E34" s="13" t="str">
        <f aca="false">IF(OR(C34="",D34=""),"",C34-D34)</f>
        <v/>
      </c>
    </row>
    <row r="35" customFormat="false" ht="15" hidden="false" customHeight="false" outlineLevel="0" collapsed="false">
      <c r="B35" s="8" t="s">
        <v>126</v>
      </c>
      <c r="C35" s="33"/>
      <c r="D35" s="33"/>
      <c r="E35" s="13" t="str">
        <f aca="false">IF(OR(C35="",D35=""),"",C35-D35)</f>
        <v/>
      </c>
    </row>
    <row r="36" customFormat="false" ht="15" hidden="false" customHeight="false" outlineLevel="0" collapsed="false">
      <c r="B36" s="8" t="s">
        <v>127</v>
      </c>
      <c r="C36" s="33"/>
      <c r="D36" s="33"/>
      <c r="E36" s="13" t="str">
        <f aca="false">IF(OR(C36="",D36=""),"",C36-D36)</f>
        <v/>
      </c>
    </row>
    <row r="37" customFormat="false" ht="15" hidden="false" customHeight="false" outlineLevel="0" collapsed="false">
      <c r="B37" s="8" t="s">
        <v>128</v>
      </c>
      <c r="C37" s="33"/>
      <c r="D37" s="33"/>
      <c r="E37" s="13" t="str">
        <f aca="false">IF(OR(C37="",D37=""),"",C37-D37)</f>
        <v/>
      </c>
    </row>
    <row r="38" customFormat="false" ht="15" hidden="false" customHeight="false" outlineLevel="0" collapsed="false">
      <c r="B38" s="8" t="s">
        <v>129</v>
      </c>
      <c r="C38" s="33"/>
      <c r="D38" s="33"/>
      <c r="E38" s="13" t="str">
        <f aca="false">IF(OR(C38="",D38=""),"",C38-D38)</f>
        <v/>
      </c>
    </row>
    <row r="39" customFormat="false" ht="15" hidden="false" customHeight="false" outlineLevel="0" collapsed="false">
      <c r="B39" s="8" t="s">
        <v>130</v>
      </c>
      <c r="C39" s="33"/>
      <c r="D39" s="33"/>
      <c r="E39" s="13" t="str">
        <f aca="false">IF(OR(C39="",D39=""),"",C39-D39)</f>
        <v/>
      </c>
    </row>
    <row r="40" customFormat="false" ht="15" hidden="false" customHeight="false" outlineLevel="0" collapsed="false">
      <c r="B40" s="8" t="s">
        <v>131</v>
      </c>
      <c r="C40" s="33"/>
      <c r="D40" s="33"/>
      <c r="E40" s="13" t="str">
        <f aca="false">IF(OR(C40="",D40=""),"",C40-D40)</f>
        <v/>
      </c>
    </row>
    <row r="41" customFormat="false" ht="15" hidden="false" customHeight="false" outlineLevel="0" collapsed="false">
      <c r="B41" s="8" t="s">
        <v>132</v>
      </c>
      <c r="C41" s="33"/>
      <c r="D41" s="33"/>
      <c r="E41" s="13" t="str">
        <f aca="false">IF(OR(C41="",D41=""),"",C41-D41)</f>
        <v/>
      </c>
    </row>
    <row r="42" customFormat="false" ht="15" hidden="false" customHeight="false" outlineLevel="0" collapsed="false">
      <c r="B42" s="8" t="s">
        <v>133</v>
      </c>
      <c r="C42" s="33"/>
      <c r="D42" s="33"/>
      <c r="E42" s="13" t="str">
        <f aca="false">IF(OR(C42="",D42=""),"",C42-D42)</f>
        <v/>
      </c>
    </row>
    <row r="43" customFormat="false" ht="15" hidden="false" customHeight="false" outlineLevel="0" collapsed="false">
      <c r="B43" s="8" t="s">
        <v>134</v>
      </c>
      <c r="C43" s="33"/>
      <c r="D43" s="33"/>
      <c r="E43" s="13" t="str">
        <f aca="false">IF(OR(C43="",D43=""),"",C43-D43)</f>
        <v/>
      </c>
    </row>
    <row r="44" customFormat="false" ht="15" hidden="false" customHeight="false" outlineLevel="0" collapsed="false">
      <c r="B44" s="8" t="s">
        <v>135</v>
      </c>
      <c r="C44" s="33"/>
      <c r="D44" s="33"/>
      <c r="E44" s="13" t="str">
        <f aca="false">IF(OR(C44="",D44=""),"",C44-D44)</f>
        <v/>
      </c>
    </row>
    <row r="45" customFormat="false" ht="15" hidden="false" customHeight="false" outlineLevel="0" collapsed="false">
      <c r="B45" s="8" t="s">
        <v>136</v>
      </c>
      <c r="C45" s="33"/>
      <c r="D45" s="33"/>
      <c r="E45" s="13" t="str">
        <f aca="false">IF(OR(C45="",D45=""),"",C45-D45)</f>
        <v/>
      </c>
    </row>
    <row r="46" customFormat="false" ht="15" hidden="false" customHeight="false" outlineLevel="0" collapsed="false">
      <c r="B46" s="8" t="s">
        <v>137</v>
      </c>
      <c r="C46" s="33"/>
      <c r="D46" s="33"/>
      <c r="E46" s="13" t="str">
        <f aca="false">IF(OR(C46="",D46=""),"",C46-D46)</f>
        <v/>
      </c>
    </row>
    <row r="47" customFormat="false" ht="15" hidden="false" customHeight="false" outlineLevel="0" collapsed="false">
      <c r="B47" s="8" t="s">
        <v>138</v>
      </c>
      <c r="C47" s="33"/>
      <c r="D47" s="33"/>
      <c r="E47" s="13" t="str">
        <f aca="false">IF(OR(C47="",D47=""),"",C47-D47)</f>
        <v/>
      </c>
    </row>
    <row r="48" customFormat="false" ht="15" hidden="false" customHeight="false" outlineLevel="0" collapsed="false">
      <c r="B48" s="8" t="s">
        <v>139</v>
      </c>
      <c r="C48" s="33"/>
      <c r="D48" s="33"/>
      <c r="E48" s="13" t="str">
        <f aca="false">IF(OR(C48="",D48=""),"",C48-D48)</f>
        <v/>
      </c>
    </row>
    <row r="49" customFormat="false" ht="15" hidden="false" customHeight="false" outlineLevel="0" collapsed="false">
      <c r="B49" s="8" t="s">
        <v>140</v>
      </c>
      <c r="C49" s="33"/>
      <c r="D49" s="33"/>
      <c r="E49" s="13" t="str">
        <f aca="false">IF(OR(C49="",D49=""),"",C49-D49)</f>
        <v/>
      </c>
    </row>
    <row r="50" customFormat="false" ht="15" hidden="false" customHeight="false" outlineLevel="0" collapsed="false">
      <c r="B50" s="8" t="s">
        <v>141</v>
      </c>
      <c r="C50" s="33"/>
      <c r="D50" s="33"/>
      <c r="E50" s="13" t="str">
        <f aca="false">IF(OR(C50="",D50=""),"",C50-D50)</f>
        <v/>
      </c>
    </row>
    <row r="51" customFormat="false" ht="15" hidden="false" customHeight="false" outlineLevel="0" collapsed="false">
      <c r="B51" s="8" t="s">
        <v>142</v>
      </c>
      <c r="C51" s="33"/>
      <c r="D51" s="33"/>
      <c r="E51" s="13" t="str">
        <f aca="false">IF(OR(C51="",D51=""),"",C51-D51)</f>
        <v/>
      </c>
    </row>
    <row r="52" customFormat="false" ht="15" hidden="false" customHeight="false" outlineLevel="0" collapsed="false">
      <c r="B52" s="8" t="s">
        <v>143</v>
      </c>
      <c r="C52" s="33"/>
      <c r="D52" s="33"/>
      <c r="E52" s="13" t="str">
        <f aca="false">IF(OR(C52="",D52=""),"",C52-D52)</f>
        <v/>
      </c>
    </row>
    <row r="53" customFormat="false" ht="15" hidden="false" customHeight="false" outlineLevel="0" collapsed="false">
      <c r="B53" s="8" t="s">
        <v>144</v>
      </c>
      <c r="C53" s="33"/>
      <c r="D53" s="33"/>
      <c r="E53" s="13" t="str">
        <f aca="false">IF(OR(C53="",D53=""),"",C53-D53)</f>
        <v/>
      </c>
    </row>
    <row r="54" customFormat="false" ht="15" hidden="false" customHeight="false" outlineLevel="0" collapsed="false">
      <c r="B54" s="8" t="s">
        <v>145</v>
      </c>
      <c r="C54" s="33"/>
      <c r="D54" s="33"/>
      <c r="E54" s="13" t="str">
        <f aca="false">IF(OR(C54="",D54=""),"",C54-D54)</f>
        <v/>
      </c>
    </row>
    <row r="55" customFormat="false" ht="15" hidden="false" customHeight="false" outlineLevel="0" collapsed="false">
      <c r="B55" s="8" t="s">
        <v>146</v>
      </c>
      <c r="C55" s="33"/>
      <c r="D55" s="33"/>
      <c r="E55" s="13" t="str">
        <f aca="false">IF(OR(C55="",D55=""),"",C55-D55)</f>
        <v/>
      </c>
    </row>
    <row r="56" customFormat="false" ht="15" hidden="false" customHeight="false" outlineLevel="0" collapsed="false">
      <c r="B56" s="8" t="s">
        <v>147</v>
      </c>
      <c r="C56" s="33"/>
      <c r="D56" s="33"/>
      <c r="E56" s="13" t="str">
        <f aca="false">IF(OR(C56="",D56=""),"",C56-D56)</f>
        <v/>
      </c>
    </row>
    <row r="57" customFormat="false" ht="15" hidden="false" customHeight="false" outlineLevel="0" collapsed="false">
      <c r="B57" s="8" t="s">
        <v>148</v>
      </c>
      <c r="C57" s="33"/>
      <c r="D57" s="33"/>
      <c r="E57" s="13" t="str">
        <f aca="false">IF(OR(C57="",D57=""),"",C57-D57)</f>
        <v/>
      </c>
    </row>
    <row r="58" customFormat="false" ht="15" hidden="false" customHeight="false" outlineLevel="0" collapsed="false">
      <c r="B58" s="8" t="s">
        <v>149</v>
      </c>
      <c r="C58" s="33"/>
      <c r="D58" s="33"/>
      <c r="E58" s="13" t="str">
        <f aca="false">IF(OR(C58="",D58=""),"",C58-D58)</f>
        <v/>
      </c>
    </row>
    <row r="59" customFormat="false" ht="15" hidden="false" customHeight="false" outlineLevel="0" collapsed="false">
      <c r="B59" s="8" t="s">
        <v>150</v>
      </c>
      <c r="C59" s="33"/>
      <c r="D59" s="33"/>
      <c r="E59" s="13" t="str">
        <f aca="false">IF(OR(C59="",D59=""),"",C59-D59)</f>
        <v/>
      </c>
    </row>
    <row r="60" customFormat="false" ht="15" hidden="false" customHeight="false" outlineLevel="0" collapsed="false">
      <c r="B60" s="8" t="s">
        <v>151</v>
      </c>
      <c r="C60" s="33"/>
      <c r="D60" s="33"/>
      <c r="E60" s="13" t="str">
        <f aca="false">IF(OR(C60="",D60=""),"",C60-D60)</f>
        <v/>
      </c>
    </row>
    <row r="61" customFormat="false" ht="15" hidden="false" customHeight="false" outlineLevel="0" collapsed="false">
      <c r="B61" s="8" t="s">
        <v>152</v>
      </c>
      <c r="C61" s="33"/>
      <c r="D61" s="33"/>
      <c r="E61" s="13" t="str">
        <f aca="false">IF(OR(C61="",D61=""),"",C61-D61)</f>
        <v/>
      </c>
    </row>
    <row r="62" customFormat="false" ht="15" hidden="false" customHeight="false" outlineLevel="0" collapsed="false">
      <c r="B62" s="8" t="s">
        <v>153</v>
      </c>
      <c r="C62" s="33"/>
      <c r="D62" s="33"/>
      <c r="E62" s="13" t="str">
        <f aca="false">IF(OR(C62="",D62=""),"",C62-D62)</f>
        <v/>
      </c>
    </row>
    <row r="63" customFormat="false" ht="15" hidden="false" customHeight="false" outlineLevel="0" collapsed="false">
      <c r="B63" s="8" t="s">
        <v>154</v>
      </c>
      <c r="C63" s="33"/>
      <c r="D63" s="33"/>
      <c r="E63" s="13" t="str">
        <f aca="false">IF(OR(C63="",D63=""),"",C63-D63)</f>
        <v/>
      </c>
    </row>
    <row r="64" customFormat="false" ht="15" hidden="false" customHeight="false" outlineLevel="0" collapsed="false">
      <c r="B64" s="8" t="s">
        <v>155</v>
      </c>
      <c r="C64" s="33"/>
      <c r="D64" s="33"/>
      <c r="E64" s="13" t="str">
        <f aca="false">IF(OR(C64="",D64=""),"",C64-D64)</f>
        <v/>
      </c>
    </row>
    <row r="65" customFormat="false" ht="15" hidden="false" customHeight="false" outlineLevel="0" collapsed="false">
      <c r="B65" s="8" t="s">
        <v>156</v>
      </c>
      <c r="C65" s="33"/>
      <c r="D65" s="33"/>
      <c r="E65" s="13" t="str">
        <f aca="false">IF(OR(C65="",D65=""),"",C65-D65)</f>
        <v/>
      </c>
    </row>
    <row r="66" customFormat="false" ht="15" hidden="false" customHeight="false" outlineLevel="0" collapsed="false">
      <c r="B66" s="8" t="s">
        <v>157</v>
      </c>
      <c r="C66" s="33"/>
      <c r="D66" s="33"/>
      <c r="E66" s="13" t="str">
        <f aca="false">IF(OR(C66="",D66=""),"",C66-D66)</f>
        <v/>
      </c>
    </row>
    <row r="67" customFormat="false" ht="15" hidden="false" customHeight="false" outlineLevel="0" collapsed="false">
      <c r="B67" s="8" t="s">
        <v>158</v>
      </c>
      <c r="C67" s="33"/>
      <c r="D67" s="33"/>
      <c r="E67" s="13" t="str">
        <f aca="false">IF(OR(C67="",D67=""),"",C67-D67)</f>
        <v/>
      </c>
    </row>
    <row r="69" customFormat="false" ht="207.45" hidden="false" customHeight="false" outlineLevel="0" collapsed="false">
      <c r="B69" s="17" t="s">
        <v>255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C0016"/>
    <pageSetUpPr fitToPage="false"/>
  </sheetPr>
  <dimension ref="B2:L1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1"/>
    <col collapsed="false" customWidth="true" hidden="false" outlineLevel="0" max="4" min="3" style="0" width="13"/>
    <col collapsed="false" customWidth="true" hidden="false" outlineLevel="0" max="6" min="5" style="0" width="14"/>
    <col collapsed="false" customWidth="true" hidden="false" outlineLevel="0" max="8" min="7" style="0" width="12"/>
    <col collapsed="false" customWidth="true" hidden="false" outlineLevel="0" max="11" min="9" style="0" width="13"/>
    <col collapsed="false" customWidth="true" hidden="false" outlineLevel="0" max="12" min="12" style="0" width="14"/>
  </cols>
  <sheetData>
    <row r="2" customFormat="false" ht="25.5" hidden="false" customHeight="true" outlineLevel="0" collapsed="false">
      <c r="B2" s="1"/>
      <c r="C2" s="2" t="s">
        <v>256</v>
      </c>
    </row>
    <row r="3" customFormat="false" ht="15" hidden="false" customHeight="false" outlineLevel="0" collapsed="false">
      <c r="C3" s="3" t="s">
        <v>257</v>
      </c>
    </row>
    <row r="4" customFormat="false" ht="82.05" hidden="false" customHeight="false" outlineLevel="0" collapsed="false">
      <c r="C4" s="17" t="s">
        <v>258</v>
      </c>
    </row>
    <row r="5" customFormat="false" ht="15" hidden="false" customHeight="false" outlineLevel="0" collapsed="false">
      <c r="B5" s="24" t="s">
        <v>238</v>
      </c>
    </row>
    <row r="6" customFormat="false" ht="33.75" hidden="false" customHeight="true" outlineLevel="0" collapsed="false">
      <c r="B6" s="7" t="s">
        <v>194</v>
      </c>
      <c r="C6" s="27" t="s">
        <v>259</v>
      </c>
      <c r="D6" s="27" t="s">
        <v>260</v>
      </c>
      <c r="E6" s="27" t="s">
        <v>261</v>
      </c>
      <c r="F6" s="27" t="s">
        <v>262</v>
      </c>
      <c r="G6" s="7" t="s">
        <v>263</v>
      </c>
      <c r="H6" s="7" t="s">
        <v>264</v>
      </c>
      <c r="I6" s="7" t="s">
        <v>265</v>
      </c>
      <c r="J6" s="7" t="s">
        <v>266</v>
      </c>
      <c r="K6" s="7" t="s">
        <v>267</v>
      </c>
      <c r="L6" s="7" t="s">
        <v>268</v>
      </c>
    </row>
    <row r="7" customFormat="false" ht="15" hidden="false" customHeight="false" outlineLevel="0" collapsed="false">
      <c r="B7" s="28" t="s">
        <v>248</v>
      </c>
      <c r="C7" s="34" t="n">
        <v>5200</v>
      </c>
      <c r="D7" s="34" t="n">
        <v>4800</v>
      </c>
      <c r="E7" s="34" t="n">
        <v>520</v>
      </c>
      <c r="F7" s="34" t="n">
        <v>640</v>
      </c>
    </row>
    <row r="8" customFormat="false" ht="15" hidden="false" customHeight="false" outlineLevel="0" collapsed="false">
      <c r="B8" s="8" t="s">
        <v>269</v>
      </c>
      <c r="C8" s="35"/>
      <c r="D8" s="35"/>
      <c r="E8" s="35"/>
      <c r="F8" s="35"/>
      <c r="G8" s="36" t="str">
        <f aca="false">IF(OR(C8="",D8=""),"",C8-D8)</f>
        <v/>
      </c>
      <c r="H8" s="36" t="str">
        <f aca="false">IF(OR(E8="",F8=""),"",E8-F8)</f>
        <v/>
      </c>
      <c r="I8" s="36" t="str">
        <f aca="false">IF(OR(G8="",H8=""),"",G8-H8)</f>
        <v/>
      </c>
      <c r="J8" s="36"/>
      <c r="K8" s="36"/>
      <c r="L8" s="36"/>
    </row>
    <row r="9" customFormat="false" ht="15" hidden="false" customHeight="false" outlineLevel="0" collapsed="false">
      <c r="B9" s="8" t="s">
        <v>270</v>
      </c>
      <c r="C9" s="35"/>
      <c r="D9" s="35"/>
      <c r="E9" s="35"/>
      <c r="F9" s="35"/>
      <c r="G9" s="36" t="str">
        <f aca="false">IF(OR(C9="",D9=""),"",C9-D9)</f>
        <v/>
      </c>
      <c r="H9" s="36" t="str">
        <f aca="false">IF(OR(E9="",F9=""),"",E9-F9)</f>
        <v/>
      </c>
      <c r="I9" s="36" t="str">
        <f aca="false">IF(OR(G9="",H9=""),"",G9-H9)</f>
        <v/>
      </c>
      <c r="J9" s="36"/>
      <c r="K9" s="36"/>
      <c r="L9" s="36"/>
    </row>
    <row r="10" customFormat="false" ht="15" hidden="false" customHeight="false" outlineLevel="0" collapsed="false">
      <c r="B10" s="8" t="s">
        <v>271</v>
      </c>
      <c r="C10" s="35"/>
      <c r="D10" s="35"/>
      <c r="E10" s="35"/>
      <c r="F10" s="35"/>
      <c r="G10" s="36" t="str">
        <f aca="false">IF(OR(C10="",D10=""),"",C10-D10)</f>
        <v/>
      </c>
      <c r="H10" s="36" t="str">
        <f aca="false">IF(OR(E10="",F10=""),"",E10-F10)</f>
        <v/>
      </c>
      <c r="I10" s="36" t="str">
        <f aca="false">IF(OR(G10="",H10=""),"",G10-H10)</f>
        <v/>
      </c>
      <c r="J10" s="36"/>
      <c r="K10" s="36"/>
      <c r="L10" s="36"/>
    </row>
    <row r="11" customFormat="false" ht="15" hidden="false" customHeight="false" outlineLevel="0" collapsed="false">
      <c r="B11" s="8" t="s">
        <v>272</v>
      </c>
      <c r="C11" s="35"/>
      <c r="D11" s="35"/>
      <c r="E11" s="35"/>
      <c r="F11" s="35"/>
      <c r="G11" s="36" t="str">
        <f aca="false">IF(OR(C11="",D11=""),"",C11-D11)</f>
        <v/>
      </c>
      <c r="H11" s="36" t="str">
        <f aca="false">IF(OR(E11="",F11=""),"",E11-F11)</f>
        <v/>
      </c>
      <c r="I11" s="36" t="str">
        <f aca="false">IF(OR(G11="",H11=""),"",G11-H11)</f>
        <v/>
      </c>
      <c r="J11" s="36"/>
      <c r="K11" s="36"/>
      <c r="L11" s="36"/>
    </row>
    <row r="12" customFormat="false" ht="15" hidden="false" customHeight="false" outlineLevel="0" collapsed="false">
      <c r="B12" s="8" t="s">
        <v>273</v>
      </c>
      <c r="C12" s="35"/>
      <c r="D12" s="35"/>
      <c r="E12" s="35"/>
      <c r="F12" s="35"/>
      <c r="G12" s="36" t="str">
        <f aca="false">IF(OR(C12="",D12=""),"",C12-D12)</f>
        <v/>
      </c>
      <c r="H12" s="36" t="str">
        <f aca="false">IF(OR(E12="",F12=""),"",E12-F12)</f>
        <v/>
      </c>
      <c r="I12" s="36" t="str">
        <f aca="false">IF(OR(G12="",H12=""),"",G12-H12)</f>
        <v/>
      </c>
      <c r="J12" s="36"/>
      <c r="K12" s="36"/>
      <c r="L12" s="36"/>
    </row>
    <row r="13" customFormat="false" ht="15" hidden="false" customHeight="false" outlineLevel="0" collapsed="false">
      <c r="B13" s="8" t="s">
        <v>274</v>
      </c>
      <c r="C13" s="35"/>
      <c r="D13" s="35"/>
      <c r="E13" s="35"/>
      <c r="F13" s="35"/>
      <c r="G13" s="36" t="str">
        <f aca="false">IF(OR(C13="",D13=""),"",C13-D13)</f>
        <v/>
      </c>
      <c r="H13" s="36" t="str">
        <f aca="false">IF(OR(E13="",F13=""),"",E13-F13)</f>
        <v/>
      </c>
      <c r="I13" s="36" t="str">
        <f aca="false">IF(OR(G13="",H13=""),"",G13-H13)</f>
        <v/>
      </c>
      <c r="J13" s="36"/>
      <c r="K13" s="36"/>
      <c r="L13" s="36"/>
    </row>
    <row r="14" customFormat="false" ht="15" hidden="false" customHeight="false" outlineLevel="0" collapsed="false">
      <c r="B14" s="8" t="s">
        <v>275</v>
      </c>
      <c r="C14" s="35"/>
      <c r="D14" s="35"/>
      <c r="E14" s="35"/>
      <c r="F14" s="35"/>
      <c r="G14" s="36" t="str">
        <f aca="false">IF(OR(C14="",D14=""),"",C14-D14)</f>
        <v/>
      </c>
      <c r="H14" s="36" t="str">
        <f aca="false">IF(OR(E14="",F14=""),"",E14-F14)</f>
        <v/>
      </c>
      <c r="I14" s="36" t="str">
        <f aca="false">IF(OR(G14="",H14=""),"",G14-H14)</f>
        <v/>
      </c>
      <c r="J14" s="36"/>
      <c r="K14" s="36"/>
      <c r="L14" s="36"/>
    </row>
    <row r="15" customFormat="false" ht="15" hidden="false" customHeight="false" outlineLevel="0" collapsed="false">
      <c r="B15" s="8" t="s">
        <v>276</v>
      </c>
      <c r="C15" s="35"/>
      <c r="D15" s="35"/>
      <c r="E15" s="35"/>
      <c r="F15" s="35"/>
      <c r="G15" s="36" t="str">
        <f aca="false">IF(OR(C15="",D15=""),"",C15-D15)</f>
        <v/>
      </c>
      <c r="H15" s="36" t="str">
        <f aca="false">IF(OR(E15="",F15=""),"",E15-F15)</f>
        <v/>
      </c>
      <c r="I15" s="36" t="str">
        <f aca="false">IF(OR(G15="",H15=""),"",G15-H15)</f>
        <v/>
      </c>
      <c r="J15" s="36"/>
      <c r="K15" s="36"/>
      <c r="L15" s="36"/>
    </row>
    <row r="16" customFormat="false" ht="15" hidden="false" customHeight="false" outlineLevel="0" collapsed="false">
      <c r="B16" s="8" t="s">
        <v>277</v>
      </c>
      <c r="C16" s="35"/>
      <c r="D16" s="35"/>
      <c r="E16" s="35"/>
      <c r="F16" s="35"/>
      <c r="G16" s="36" t="str">
        <f aca="false">IF(OR(C16="",D16=""),"",C16-D16)</f>
        <v/>
      </c>
      <c r="H16" s="36" t="str">
        <f aca="false">IF(OR(E16="",F16=""),"",E16-F16)</f>
        <v/>
      </c>
      <c r="I16" s="36" t="str">
        <f aca="false">IF(OR(G16="",H16=""),"",G16-H16)</f>
        <v/>
      </c>
      <c r="J16" s="36"/>
      <c r="K16" s="36"/>
      <c r="L16" s="36"/>
    </row>
    <row r="17" customFormat="false" ht="15" hidden="false" customHeight="false" outlineLevel="0" collapsed="false">
      <c r="B17" s="8" t="s">
        <v>278</v>
      </c>
      <c r="C17" s="35"/>
      <c r="D17" s="35"/>
      <c r="E17" s="35"/>
      <c r="F17" s="35"/>
      <c r="G17" s="36" t="str">
        <f aca="false">IF(OR(C17="",D17=""),"",C17-D17)</f>
        <v/>
      </c>
      <c r="H17" s="36" t="str">
        <f aca="false">IF(OR(E17="",F17=""),"",E17-F17)</f>
        <v/>
      </c>
      <c r="I17" s="36" t="str">
        <f aca="false">IF(OR(G17="",H17=""),"",G17-H17)</f>
        <v/>
      </c>
      <c r="J17" s="36"/>
      <c r="K17" s="36"/>
      <c r="L17" s="36"/>
    </row>
    <row r="18" customFormat="false" ht="15" hidden="false" customHeight="false" outlineLevel="0" collapsed="false">
      <c r="B18" s="8" t="s">
        <v>279</v>
      </c>
      <c r="C18" s="35"/>
      <c r="D18" s="35"/>
      <c r="E18" s="35"/>
      <c r="F18" s="35"/>
      <c r="G18" s="36" t="str">
        <f aca="false">IF(OR(C18="",D18=""),"",C18-D18)</f>
        <v/>
      </c>
      <c r="H18" s="36" t="str">
        <f aca="false">IF(OR(E18="",F18=""),"",E18-F18)</f>
        <v/>
      </c>
      <c r="I18" s="36" t="str">
        <f aca="false">IF(OR(G18="",H18=""),"",G18-H18)</f>
        <v/>
      </c>
      <c r="J18" s="36"/>
      <c r="K18" s="36"/>
      <c r="L18" s="36"/>
    </row>
    <row r="19" customFormat="false" ht="15" hidden="false" customHeight="false" outlineLevel="0" collapsed="false">
      <c r="B19" s="8" t="s">
        <v>280</v>
      </c>
      <c r="C19" s="35"/>
      <c r="D19" s="35"/>
      <c r="E19" s="35"/>
      <c r="F19" s="35"/>
      <c r="G19" s="36" t="str">
        <f aca="false">IF(OR(C19="",D19=""),"",C19-D19)</f>
        <v/>
      </c>
      <c r="H19" s="36" t="str">
        <f aca="false">IF(OR(E19="",F19=""),"",E19-F19)</f>
        <v/>
      </c>
      <c r="I19" s="36" t="str">
        <f aca="false">IF(OR(G19="",H19=""),"",G19-H19)</f>
        <v/>
      </c>
      <c r="J19" s="36" t="str">
        <f aca="false">IF(COUNT(G8:G19)&lt;12,"",SUM(G8:G19))</f>
        <v/>
      </c>
      <c r="K19" s="36" t="str">
        <f aca="false">IF(COUNT(H8:H19)&lt;12,"",SUM(H8:H19))</f>
        <v/>
      </c>
      <c r="L19" s="36" t="str">
        <f aca="false">IF(COUNT(I8:I19)&lt;12,"",SUM(I8:I19))</f>
        <v/>
      </c>
    </row>
    <row r="20" customFormat="false" ht="15" hidden="false" customHeight="false" outlineLevel="0" collapsed="false">
      <c r="B20" s="8" t="s">
        <v>281</v>
      </c>
      <c r="C20" s="35"/>
      <c r="D20" s="35"/>
      <c r="E20" s="35"/>
      <c r="F20" s="35"/>
      <c r="G20" s="36" t="str">
        <f aca="false">IF(OR(C20="",D20=""),"",C20-D20)</f>
        <v/>
      </c>
      <c r="H20" s="36" t="str">
        <f aca="false">IF(OR(E20="",F20=""),"",E20-F20)</f>
        <v/>
      </c>
      <c r="I20" s="36" t="str">
        <f aca="false">IF(OR(G20="",H20=""),"",G20-H20)</f>
        <v/>
      </c>
      <c r="J20" s="36" t="str">
        <f aca="false">IF(COUNT(G9:G20)&lt;12,"",SUM(G9:G20))</f>
        <v/>
      </c>
      <c r="K20" s="36" t="str">
        <f aca="false">IF(COUNT(H9:H20)&lt;12,"",SUM(H9:H20))</f>
        <v/>
      </c>
      <c r="L20" s="36" t="str">
        <f aca="false">IF(COUNT(I9:I20)&lt;12,"",SUM(I9:I20))</f>
        <v/>
      </c>
    </row>
    <row r="21" customFormat="false" ht="15" hidden="false" customHeight="false" outlineLevel="0" collapsed="false">
      <c r="B21" s="8" t="s">
        <v>282</v>
      </c>
      <c r="C21" s="35"/>
      <c r="D21" s="35"/>
      <c r="E21" s="35"/>
      <c r="F21" s="35"/>
      <c r="G21" s="36" t="str">
        <f aca="false">IF(OR(C21="",D21=""),"",C21-D21)</f>
        <v/>
      </c>
      <c r="H21" s="36" t="str">
        <f aca="false">IF(OR(E21="",F21=""),"",E21-F21)</f>
        <v/>
      </c>
      <c r="I21" s="36" t="str">
        <f aca="false">IF(OR(G21="",H21=""),"",G21-H21)</f>
        <v/>
      </c>
      <c r="J21" s="36" t="str">
        <f aca="false">IF(COUNT(G10:G21)&lt;12,"",SUM(G10:G21))</f>
        <v/>
      </c>
      <c r="K21" s="36" t="str">
        <f aca="false">IF(COUNT(H10:H21)&lt;12,"",SUM(H10:H21))</f>
        <v/>
      </c>
      <c r="L21" s="36" t="str">
        <f aca="false">IF(COUNT(I10:I21)&lt;12,"",SUM(I10:I21))</f>
        <v/>
      </c>
    </row>
    <row r="22" customFormat="false" ht="15" hidden="false" customHeight="false" outlineLevel="0" collapsed="false">
      <c r="B22" s="8" t="s">
        <v>283</v>
      </c>
      <c r="C22" s="35"/>
      <c r="D22" s="35"/>
      <c r="E22" s="35"/>
      <c r="F22" s="35"/>
      <c r="G22" s="36" t="str">
        <f aca="false">IF(OR(C22="",D22=""),"",C22-D22)</f>
        <v/>
      </c>
      <c r="H22" s="36" t="str">
        <f aca="false">IF(OR(E22="",F22=""),"",E22-F22)</f>
        <v/>
      </c>
      <c r="I22" s="36" t="str">
        <f aca="false">IF(OR(G22="",H22=""),"",G22-H22)</f>
        <v/>
      </c>
      <c r="J22" s="36" t="str">
        <f aca="false">IF(COUNT(G11:G22)&lt;12,"",SUM(G11:G22))</f>
        <v/>
      </c>
      <c r="K22" s="36" t="str">
        <f aca="false">IF(COUNT(H11:H22)&lt;12,"",SUM(H11:H22))</f>
        <v/>
      </c>
      <c r="L22" s="36" t="str">
        <f aca="false">IF(COUNT(I11:I22)&lt;12,"",SUM(I11:I22))</f>
        <v/>
      </c>
    </row>
    <row r="23" customFormat="false" ht="15" hidden="false" customHeight="false" outlineLevel="0" collapsed="false">
      <c r="B23" s="8" t="s">
        <v>284</v>
      </c>
      <c r="C23" s="35"/>
      <c r="D23" s="35"/>
      <c r="E23" s="35"/>
      <c r="F23" s="35"/>
      <c r="G23" s="36" t="str">
        <f aca="false">IF(OR(C23="",D23=""),"",C23-D23)</f>
        <v/>
      </c>
      <c r="H23" s="36" t="str">
        <f aca="false">IF(OR(E23="",F23=""),"",E23-F23)</f>
        <v/>
      </c>
      <c r="I23" s="36" t="str">
        <f aca="false">IF(OR(G23="",H23=""),"",G23-H23)</f>
        <v/>
      </c>
      <c r="J23" s="36" t="str">
        <f aca="false">IF(COUNT(G12:G23)&lt;12,"",SUM(G12:G23))</f>
        <v/>
      </c>
      <c r="K23" s="36" t="str">
        <f aca="false">IF(COUNT(H12:H23)&lt;12,"",SUM(H12:H23))</f>
        <v/>
      </c>
      <c r="L23" s="36" t="str">
        <f aca="false">IF(COUNT(I12:I23)&lt;12,"",SUM(I12:I23))</f>
        <v/>
      </c>
    </row>
    <row r="24" customFormat="false" ht="15" hidden="false" customHeight="false" outlineLevel="0" collapsed="false">
      <c r="B24" s="8" t="s">
        <v>285</v>
      </c>
      <c r="C24" s="35"/>
      <c r="D24" s="35"/>
      <c r="E24" s="35"/>
      <c r="F24" s="35"/>
      <c r="G24" s="36" t="str">
        <f aca="false">IF(OR(C24="",D24=""),"",C24-D24)</f>
        <v/>
      </c>
      <c r="H24" s="36" t="str">
        <f aca="false">IF(OR(E24="",F24=""),"",E24-F24)</f>
        <v/>
      </c>
      <c r="I24" s="36" t="str">
        <f aca="false">IF(OR(G24="",H24=""),"",G24-H24)</f>
        <v/>
      </c>
      <c r="J24" s="36" t="str">
        <f aca="false">IF(COUNT(G13:G24)&lt;12,"",SUM(G13:G24))</f>
        <v/>
      </c>
      <c r="K24" s="36" t="str">
        <f aca="false">IF(COUNT(H13:H24)&lt;12,"",SUM(H13:H24))</f>
        <v/>
      </c>
      <c r="L24" s="36" t="str">
        <f aca="false">IF(COUNT(I13:I24)&lt;12,"",SUM(I13:I24))</f>
        <v/>
      </c>
    </row>
    <row r="25" customFormat="false" ht="15" hidden="false" customHeight="false" outlineLevel="0" collapsed="false">
      <c r="B25" s="8" t="s">
        <v>286</v>
      </c>
      <c r="C25" s="35"/>
      <c r="D25" s="35"/>
      <c r="E25" s="35"/>
      <c r="F25" s="35"/>
      <c r="G25" s="36" t="str">
        <f aca="false">IF(OR(C25="",D25=""),"",C25-D25)</f>
        <v/>
      </c>
      <c r="H25" s="36" t="str">
        <f aca="false">IF(OR(E25="",F25=""),"",E25-F25)</f>
        <v/>
      </c>
      <c r="I25" s="36" t="str">
        <f aca="false">IF(OR(G25="",H25=""),"",G25-H25)</f>
        <v/>
      </c>
      <c r="J25" s="36" t="str">
        <f aca="false">IF(COUNT(G14:G25)&lt;12,"",SUM(G14:G25))</f>
        <v/>
      </c>
      <c r="K25" s="36" t="str">
        <f aca="false">IF(COUNT(H14:H25)&lt;12,"",SUM(H14:H25))</f>
        <v/>
      </c>
      <c r="L25" s="36" t="str">
        <f aca="false">IF(COUNT(I14:I25)&lt;12,"",SUM(I14:I25))</f>
        <v/>
      </c>
    </row>
    <row r="26" customFormat="false" ht="15" hidden="false" customHeight="false" outlineLevel="0" collapsed="false">
      <c r="B26" s="8" t="s">
        <v>287</v>
      </c>
      <c r="C26" s="35"/>
      <c r="D26" s="35"/>
      <c r="E26" s="35"/>
      <c r="F26" s="35"/>
      <c r="G26" s="36" t="str">
        <f aca="false">IF(OR(C26="",D26=""),"",C26-D26)</f>
        <v/>
      </c>
      <c r="H26" s="36" t="str">
        <f aca="false">IF(OR(E26="",F26=""),"",E26-F26)</f>
        <v/>
      </c>
      <c r="I26" s="36" t="str">
        <f aca="false">IF(OR(G26="",H26=""),"",G26-H26)</f>
        <v/>
      </c>
      <c r="J26" s="36" t="str">
        <f aca="false">IF(COUNT(G15:G26)&lt;12,"",SUM(G15:G26))</f>
        <v/>
      </c>
      <c r="K26" s="36" t="str">
        <f aca="false">IF(COUNT(H15:H26)&lt;12,"",SUM(H15:H26))</f>
        <v/>
      </c>
      <c r="L26" s="36" t="str">
        <f aca="false">IF(COUNT(I15:I26)&lt;12,"",SUM(I15:I26))</f>
        <v/>
      </c>
    </row>
    <row r="27" customFormat="false" ht="15" hidden="false" customHeight="false" outlineLevel="0" collapsed="false">
      <c r="B27" s="8" t="s">
        <v>288</v>
      </c>
      <c r="C27" s="35"/>
      <c r="D27" s="35"/>
      <c r="E27" s="35"/>
      <c r="F27" s="35"/>
      <c r="G27" s="36" t="str">
        <f aca="false">IF(OR(C27="",D27=""),"",C27-D27)</f>
        <v/>
      </c>
      <c r="H27" s="36" t="str">
        <f aca="false">IF(OR(E27="",F27=""),"",E27-F27)</f>
        <v/>
      </c>
      <c r="I27" s="36" t="str">
        <f aca="false">IF(OR(G27="",H27=""),"",G27-H27)</f>
        <v/>
      </c>
      <c r="J27" s="36" t="str">
        <f aca="false">IF(COUNT(G16:G27)&lt;12,"",SUM(G16:G27))</f>
        <v/>
      </c>
      <c r="K27" s="36" t="str">
        <f aca="false">IF(COUNT(H16:H27)&lt;12,"",SUM(H16:H27))</f>
        <v/>
      </c>
      <c r="L27" s="36" t="str">
        <f aca="false">IF(COUNT(I16:I27)&lt;12,"",SUM(I16:I27))</f>
        <v/>
      </c>
    </row>
    <row r="28" customFormat="false" ht="15" hidden="false" customHeight="false" outlineLevel="0" collapsed="false">
      <c r="B28" s="8" t="s">
        <v>289</v>
      </c>
      <c r="C28" s="35"/>
      <c r="D28" s="35"/>
      <c r="E28" s="35"/>
      <c r="F28" s="35"/>
      <c r="G28" s="36" t="str">
        <f aca="false">IF(OR(C28="",D28=""),"",C28-D28)</f>
        <v/>
      </c>
      <c r="H28" s="36" t="str">
        <f aca="false">IF(OR(E28="",F28=""),"",E28-F28)</f>
        <v/>
      </c>
      <c r="I28" s="36" t="str">
        <f aca="false">IF(OR(G28="",H28=""),"",G28-H28)</f>
        <v/>
      </c>
      <c r="J28" s="36" t="str">
        <f aca="false">IF(COUNT(G17:G28)&lt;12,"",SUM(G17:G28))</f>
        <v/>
      </c>
      <c r="K28" s="36" t="str">
        <f aca="false">IF(COUNT(H17:H28)&lt;12,"",SUM(H17:H28))</f>
        <v/>
      </c>
      <c r="L28" s="36" t="str">
        <f aca="false">IF(COUNT(I17:I28)&lt;12,"",SUM(I17:I28))</f>
        <v/>
      </c>
    </row>
    <row r="29" customFormat="false" ht="15" hidden="false" customHeight="false" outlineLevel="0" collapsed="false">
      <c r="B29" s="8" t="s">
        <v>290</v>
      </c>
      <c r="C29" s="35"/>
      <c r="D29" s="35"/>
      <c r="E29" s="35"/>
      <c r="F29" s="35"/>
      <c r="G29" s="36" t="str">
        <f aca="false">IF(OR(C29="",D29=""),"",C29-D29)</f>
        <v/>
      </c>
      <c r="H29" s="36" t="str">
        <f aca="false">IF(OR(E29="",F29=""),"",E29-F29)</f>
        <v/>
      </c>
      <c r="I29" s="36" t="str">
        <f aca="false">IF(OR(G29="",H29=""),"",G29-H29)</f>
        <v/>
      </c>
      <c r="J29" s="36" t="str">
        <f aca="false">IF(COUNT(G18:G29)&lt;12,"",SUM(G18:G29))</f>
        <v/>
      </c>
      <c r="K29" s="36" t="str">
        <f aca="false">IF(COUNT(H18:H29)&lt;12,"",SUM(H18:H29))</f>
        <v/>
      </c>
      <c r="L29" s="36" t="str">
        <f aca="false">IF(COUNT(I18:I29)&lt;12,"",SUM(I18:I29))</f>
        <v/>
      </c>
    </row>
    <row r="30" customFormat="false" ht="15" hidden="false" customHeight="false" outlineLevel="0" collapsed="false">
      <c r="B30" s="8" t="s">
        <v>291</v>
      </c>
      <c r="C30" s="35"/>
      <c r="D30" s="35"/>
      <c r="E30" s="35"/>
      <c r="F30" s="35"/>
      <c r="G30" s="36" t="str">
        <f aca="false">IF(OR(C30="",D30=""),"",C30-D30)</f>
        <v/>
      </c>
      <c r="H30" s="36" t="str">
        <f aca="false">IF(OR(E30="",F30=""),"",E30-F30)</f>
        <v/>
      </c>
      <c r="I30" s="36" t="str">
        <f aca="false">IF(OR(G30="",H30=""),"",G30-H30)</f>
        <v/>
      </c>
      <c r="J30" s="36" t="str">
        <f aca="false">IF(COUNT(G19:G30)&lt;12,"",SUM(G19:G30))</f>
        <v/>
      </c>
      <c r="K30" s="36" t="str">
        <f aca="false">IF(COUNT(H19:H30)&lt;12,"",SUM(H19:H30))</f>
        <v/>
      </c>
      <c r="L30" s="36" t="str">
        <f aca="false">IF(COUNT(I19:I30)&lt;12,"",SUM(I19:I30))</f>
        <v/>
      </c>
    </row>
    <row r="31" customFormat="false" ht="15" hidden="false" customHeight="false" outlineLevel="0" collapsed="false">
      <c r="B31" s="8" t="s">
        <v>292</v>
      </c>
      <c r="C31" s="35"/>
      <c r="D31" s="35"/>
      <c r="E31" s="35"/>
      <c r="F31" s="35"/>
      <c r="G31" s="36" t="str">
        <f aca="false">IF(OR(C31="",D31=""),"",C31-D31)</f>
        <v/>
      </c>
      <c r="H31" s="36" t="str">
        <f aca="false">IF(OR(E31="",F31=""),"",E31-F31)</f>
        <v/>
      </c>
      <c r="I31" s="36" t="str">
        <f aca="false">IF(OR(G31="",H31=""),"",G31-H31)</f>
        <v/>
      </c>
      <c r="J31" s="36" t="str">
        <f aca="false">IF(COUNT(G20:G31)&lt;12,"",SUM(G20:G31))</f>
        <v/>
      </c>
      <c r="K31" s="36" t="str">
        <f aca="false">IF(COUNT(H20:H31)&lt;12,"",SUM(H20:H31))</f>
        <v/>
      </c>
      <c r="L31" s="36" t="str">
        <f aca="false">IF(COUNT(I20:I31)&lt;12,"",SUM(I20:I31))</f>
        <v/>
      </c>
    </row>
    <row r="32" customFormat="false" ht="15" hidden="false" customHeight="false" outlineLevel="0" collapsed="false">
      <c r="B32" s="8" t="s">
        <v>293</v>
      </c>
      <c r="C32" s="35"/>
      <c r="D32" s="35"/>
      <c r="E32" s="35"/>
      <c r="F32" s="35"/>
      <c r="G32" s="36" t="str">
        <f aca="false">IF(OR(C32="",D32=""),"",C32-D32)</f>
        <v/>
      </c>
      <c r="H32" s="36" t="str">
        <f aca="false">IF(OR(E32="",F32=""),"",E32-F32)</f>
        <v/>
      </c>
      <c r="I32" s="36" t="str">
        <f aca="false">IF(OR(G32="",H32=""),"",G32-H32)</f>
        <v/>
      </c>
      <c r="J32" s="36" t="str">
        <f aca="false">IF(COUNT(G21:G32)&lt;12,"",SUM(G21:G32))</f>
        <v/>
      </c>
      <c r="K32" s="36" t="str">
        <f aca="false">IF(COUNT(H21:H32)&lt;12,"",SUM(H21:H32))</f>
        <v/>
      </c>
      <c r="L32" s="36" t="str">
        <f aca="false">IF(COUNT(I21:I32)&lt;12,"",SUM(I21:I32))</f>
        <v/>
      </c>
    </row>
    <row r="33" customFormat="false" ht="15" hidden="false" customHeight="false" outlineLevel="0" collapsed="false">
      <c r="B33" s="8" t="s">
        <v>294</v>
      </c>
      <c r="C33" s="35"/>
      <c r="D33" s="35"/>
      <c r="E33" s="35"/>
      <c r="F33" s="35"/>
      <c r="G33" s="36" t="str">
        <f aca="false">IF(OR(C33="",D33=""),"",C33-D33)</f>
        <v/>
      </c>
      <c r="H33" s="36" t="str">
        <f aca="false">IF(OR(E33="",F33=""),"",E33-F33)</f>
        <v/>
      </c>
      <c r="I33" s="36" t="str">
        <f aca="false">IF(OR(G33="",H33=""),"",G33-H33)</f>
        <v/>
      </c>
      <c r="J33" s="36" t="str">
        <f aca="false">IF(COUNT(G22:G33)&lt;12,"",SUM(G22:G33))</f>
        <v/>
      </c>
      <c r="K33" s="36" t="str">
        <f aca="false">IF(COUNT(H22:H33)&lt;12,"",SUM(H22:H33))</f>
        <v/>
      </c>
      <c r="L33" s="36" t="str">
        <f aca="false">IF(COUNT(I22:I33)&lt;12,"",SUM(I22:I33))</f>
        <v/>
      </c>
    </row>
    <row r="34" customFormat="false" ht="15" hidden="false" customHeight="false" outlineLevel="0" collapsed="false">
      <c r="B34" s="8" t="s">
        <v>295</v>
      </c>
      <c r="C34" s="35"/>
      <c r="D34" s="35"/>
      <c r="E34" s="35"/>
      <c r="F34" s="35"/>
      <c r="G34" s="36" t="str">
        <f aca="false">IF(OR(C34="",D34=""),"",C34-D34)</f>
        <v/>
      </c>
      <c r="H34" s="36" t="str">
        <f aca="false">IF(OR(E34="",F34=""),"",E34-F34)</f>
        <v/>
      </c>
      <c r="I34" s="36" t="str">
        <f aca="false">IF(OR(G34="",H34=""),"",G34-H34)</f>
        <v/>
      </c>
      <c r="J34" s="36" t="str">
        <f aca="false">IF(COUNT(G23:G34)&lt;12,"",SUM(G23:G34))</f>
        <v/>
      </c>
      <c r="K34" s="36" t="str">
        <f aca="false">IF(COUNT(H23:H34)&lt;12,"",SUM(H23:H34))</f>
        <v/>
      </c>
      <c r="L34" s="36" t="str">
        <f aca="false">IF(COUNT(I23:I34)&lt;12,"",SUM(I23:I34))</f>
        <v/>
      </c>
    </row>
    <row r="35" customFormat="false" ht="15" hidden="false" customHeight="false" outlineLevel="0" collapsed="false">
      <c r="B35" s="8" t="s">
        <v>296</v>
      </c>
      <c r="C35" s="35"/>
      <c r="D35" s="35"/>
      <c r="E35" s="35"/>
      <c r="F35" s="35"/>
      <c r="G35" s="36" t="str">
        <f aca="false">IF(OR(C35="",D35=""),"",C35-D35)</f>
        <v/>
      </c>
      <c r="H35" s="36" t="str">
        <f aca="false">IF(OR(E35="",F35=""),"",E35-F35)</f>
        <v/>
      </c>
      <c r="I35" s="36" t="str">
        <f aca="false">IF(OR(G35="",H35=""),"",G35-H35)</f>
        <v/>
      </c>
      <c r="J35" s="36" t="str">
        <f aca="false">IF(COUNT(G24:G35)&lt;12,"",SUM(G24:G35))</f>
        <v/>
      </c>
      <c r="K35" s="36" t="str">
        <f aca="false">IF(COUNT(H24:H35)&lt;12,"",SUM(H24:H35))</f>
        <v/>
      </c>
      <c r="L35" s="36" t="str">
        <f aca="false">IF(COUNT(I24:I35)&lt;12,"",SUM(I24:I35))</f>
        <v/>
      </c>
    </row>
    <row r="36" customFormat="false" ht="15" hidden="false" customHeight="false" outlineLevel="0" collapsed="false">
      <c r="B36" s="8" t="s">
        <v>297</v>
      </c>
      <c r="C36" s="35"/>
      <c r="D36" s="35"/>
      <c r="E36" s="35"/>
      <c r="F36" s="35"/>
      <c r="G36" s="36" t="str">
        <f aca="false">IF(OR(C36="",D36=""),"",C36-D36)</f>
        <v/>
      </c>
      <c r="H36" s="36" t="str">
        <f aca="false">IF(OR(E36="",F36=""),"",E36-F36)</f>
        <v/>
      </c>
      <c r="I36" s="36" t="str">
        <f aca="false">IF(OR(G36="",H36=""),"",G36-H36)</f>
        <v/>
      </c>
      <c r="J36" s="36" t="str">
        <f aca="false">IF(COUNT(G25:G36)&lt;12,"",SUM(G25:G36))</f>
        <v/>
      </c>
      <c r="K36" s="36" t="str">
        <f aca="false">IF(COUNT(H25:H36)&lt;12,"",SUM(H25:H36))</f>
        <v/>
      </c>
      <c r="L36" s="36" t="str">
        <f aca="false">IF(COUNT(I25:I36)&lt;12,"",SUM(I25:I36))</f>
        <v/>
      </c>
    </row>
    <row r="37" customFormat="false" ht="15" hidden="false" customHeight="false" outlineLevel="0" collapsed="false">
      <c r="B37" s="8" t="s">
        <v>298</v>
      </c>
      <c r="C37" s="35"/>
      <c r="D37" s="35"/>
      <c r="E37" s="35"/>
      <c r="F37" s="35"/>
      <c r="G37" s="36" t="str">
        <f aca="false">IF(OR(C37="",D37=""),"",C37-D37)</f>
        <v/>
      </c>
      <c r="H37" s="36" t="str">
        <f aca="false">IF(OR(E37="",F37=""),"",E37-F37)</f>
        <v/>
      </c>
      <c r="I37" s="36" t="str">
        <f aca="false">IF(OR(G37="",H37=""),"",G37-H37)</f>
        <v/>
      </c>
      <c r="J37" s="36" t="str">
        <f aca="false">IF(COUNT(G26:G37)&lt;12,"",SUM(G26:G37))</f>
        <v/>
      </c>
      <c r="K37" s="36" t="str">
        <f aca="false">IF(COUNT(H26:H37)&lt;12,"",SUM(H26:H37))</f>
        <v/>
      </c>
      <c r="L37" s="36" t="str">
        <f aca="false">IF(COUNT(I26:I37)&lt;12,"",SUM(I26:I37))</f>
        <v/>
      </c>
    </row>
    <row r="38" customFormat="false" ht="15" hidden="false" customHeight="false" outlineLevel="0" collapsed="false">
      <c r="B38" s="8" t="s">
        <v>299</v>
      </c>
      <c r="C38" s="35"/>
      <c r="D38" s="35"/>
      <c r="E38" s="35"/>
      <c r="F38" s="35"/>
      <c r="G38" s="36" t="str">
        <f aca="false">IF(OR(C38="",D38=""),"",C38-D38)</f>
        <v/>
      </c>
      <c r="H38" s="36" t="str">
        <f aca="false">IF(OR(E38="",F38=""),"",E38-F38)</f>
        <v/>
      </c>
      <c r="I38" s="36" t="str">
        <f aca="false">IF(OR(G38="",H38=""),"",G38-H38)</f>
        <v/>
      </c>
      <c r="J38" s="36" t="str">
        <f aca="false">IF(COUNT(G27:G38)&lt;12,"",SUM(G27:G38))</f>
        <v/>
      </c>
      <c r="K38" s="36" t="str">
        <f aca="false">IF(COUNT(H27:H38)&lt;12,"",SUM(H27:H38))</f>
        <v/>
      </c>
      <c r="L38" s="36" t="str">
        <f aca="false">IF(COUNT(I27:I38)&lt;12,"",SUM(I27:I38))</f>
        <v/>
      </c>
    </row>
    <row r="39" customFormat="false" ht="15" hidden="false" customHeight="false" outlineLevel="0" collapsed="false">
      <c r="B39" s="8" t="s">
        <v>300</v>
      </c>
      <c r="C39" s="35"/>
      <c r="D39" s="35"/>
      <c r="E39" s="35"/>
      <c r="F39" s="35"/>
      <c r="G39" s="36" t="str">
        <f aca="false">IF(OR(C39="",D39=""),"",C39-D39)</f>
        <v/>
      </c>
      <c r="H39" s="36" t="str">
        <f aca="false">IF(OR(E39="",F39=""),"",E39-F39)</f>
        <v/>
      </c>
      <c r="I39" s="36" t="str">
        <f aca="false">IF(OR(G39="",H39=""),"",G39-H39)</f>
        <v/>
      </c>
      <c r="J39" s="36" t="str">
        <f aca="false">IF(COUNT(G28:G39)&lt;12,"",SUM(G28:G39))</f>
        <v/>
      </c>
      <c r="K39" s="36" t="str">
        <f aca="false">IF(COUNT(H28:H39)&lt;12,"",SUM(H28:H39))</f>
        <v/>
      </c>
      <c r="L39" s="36" t="str">
        <f aca="false">IF(COUNT(I28:I39)&lt;12,"",SUM(I28:I39))</f>
        <v/>
      </c>
    </row>
    <row r="40" customFormat="false" ht="15" hidden="false" customHeight="false" outlineLevel="0" collapsed="false">
      <c r="B40" s="8" t="s">
        <v>301</v>
      </c>
      <c r="C40" s="35"/>
      <c r="D40" s="35"/>
      <c r="E40" s="35"/>
      <c r="F40" s="35"/>
      <c r="G40" s="36" t="str">
        <f aca="false">IF(OR(C40="",D40=""),"",C40-D40)</f>
        <v/>
      </c>
      <c r="H40" s="36" t="str">
        <f aca="false">IF(OR(E40="",F40=""),"",E40-F40)</f>
        <v/>
      </c>
      <c r="I40" s="36" t="str">
        <f aca="false">IF(OR(G40="",H40=""),"",G40-H40)</f>
        <v/>
      </c>
      <c r="J40" s="36" t="str">
        <f aca="false">IF(COUNT(G29:G40)&lt;12,"",SUM(G29:G40))</f>
        <v/>
      </c>
      <c r="K40" s="36" t="str">
        <f aca="false">IF(COUNT(H29:H40)&lt;12,"",SUM(H29:H40))</f>
        <v/>
      </c>
      <c r="L40" s="36" t="str">
        <f aca="false">IF(COUNT(I29:I40)&lt;12,"",SUM(I29:I40))</f>
        <v/>
      </c>
    </row>
    <row r="41" customFormat="false" ht="15" hidden="false" customHeight="false" outlineLevel="0" collapsed="false">
      <c r="B41" s="8" t="s">
        <v>302</v>
      </c>
      <c r="C41" s="35"/>
      <c r="D41" s="35"/>
      <c r="E41" s="35"/>
      <c r="F41" s="35"/>
      <c r="G41" s="36" t="str">
        <f aca="false">IF(OR(C41="",D41=""),"",C41-D41)</f>
        <v/>
      </c>
      <c r="H41" s="36" t="str">
        <f aca="false">IF(OR(E41="",F41=""),"",E41-F41)</f>
        <v/>
      </c>
      <c r="I41" s="36" t="str">
        <f aca="false">IF(OR(G41="",H41=""),"",G41-H41)</f>
        <v/>
      </c>
      <c r="J41" s="36" t="str">
        <f aca="false">IF(COUNT(G30:G41)&lt;12,"",SUM(G30:G41))</f>
        <v/>
      </c>
      <c r="K41" s="36" t="str">
        <f aca="false">IF(COUNT(H30:H41)&lt;12,"",SUM(H30:H41))</f>
        <v/>
      </c>
      <c r="L41" s="36" t="str">
        <f aca="false">IF(COUNT(I30:I41)&lt;12,"",SUM(I30:I41))</f>
        <v/>
      </c>
    </row>
    <row r="42" customFormat="false" ht="15" hidden="false" customHeight="false" outlineLevel="0" collapsed="false">
      <c r="B42" s="8" t="s">
        <v>303</v>
      </c>
      <c r="C42" s="35"/>
      <c r="D42" s="35"/>
      <c r="E42" s="35"/>
      <c r="F42" s="35"/>
      <c r="G42" s="36" t="str">
        <f aca="false">IF(OR(C42="",D42=""),"",C42-D42)</f>
        <v/>
      </c>
      <c r="H42" s="36" t="str">
        <f aca="false">IF(OR(E42="",F42=""),"",E42-F42)</f>
        <v/>
      </c>
      <c r="I42" s="36" t="str">
        <f aca="false">IF(OR(G42="",H42=""),"",G42-H42)</f>
        <v/>
      </c>
      <c r="J42" s="36" t="str">
        <f aca="false">IF(COUNT(G31:G42)&lt;12,"",SUM(G31:G42))</f>
        <v/>
      </c>
      <c r="K42" s="36" t="str">
        <f aca="false">IF(COUNT(H31:H42)&lt;12,"",SUM(H31:H42))</f>
        <v/>
      </c>
      <c r="L42" s="36" t="str">
        <f aca="false">IF(COUNT(I31:I42)&lt;12,"",SUM(I31:I42))</f>
        <v/>
      </c>
    </row>
    <row r="43" customFormat="false" ht="15" hidden="false" customHeight="false" outlineLevel="0" collapsed="false">
      <c r="B43" s="8" t="s">
        <v>304</v>
      </c>
      <c r="C43" s="35"/>
      <c r="D43" s="35"/>
      <c r="E43" s="35"/>
      <c r="F43" s="35"/>
      <c r="G43" s="36" t="str">
        <f aca="false">IF(OR(C43="",D43=""),"",C43-D43)</f>
        <v/>
      </c>
      <c r="H43" s="36" t="str">
        <f aca="false">IF(OR(E43="",F43=""),"",E43-F43)</f>
        <v/>
      </c>
      <c r="I43" s="36" t="str">
        <f aca="false">IF(OR(G43="",H43=""),"",G43-H43)</f>
        <v/>
      </c>
      <c r="J43" s="36" t="str">
        <f aca="false">IF(COUNT(G32:G43)&lt;12,"",SUM(G32:G43))</f>
        <v/>
      </c>
      <c r="K43" s="36" t="str">
        <f aca="false">IF(COUNT(H32:H43)&lt;12,"",SUM(H32:H43))</f>
        <v/>
      </c>
      <c r="L43" s="36" t="str">
        <f aca="false">IF(COUNT(I32:I43)&lt;12,"",SUM(I32:I43))</f>
        <v/>
      </c>
    </row>
    <row r="44" customFormat="false" ht="15" hidden="false" customHeight="false" outlineLevel="0" collapsed="false">
      <c r="B44" s="8" t="s">
        <v>305</v>
      </c>
      <c r="C44" s="35"/>
      <c r="D44" s="35"/>
      <c r="E44" s="35"/>
      <c r="F44" s="35"/>
      <c r="G44" s="36" t="str">
        <f aca="false">IF(OR(C44="",D44=""),"",C44-D44)</f>
        <v/>
      </c>
      <c r="H44" s="36" t="str">
        <f aca="false">IF(OR(E44="",F44=""),"",E44-F44)</f>
        <v/>
      </c>
      <c r="I44" s="36" t="str">
        <f aca="false">IF(OR(G44="",H44=""),"",G44-H44)</f>
        <v/>
      </c>
      <c r="J44" s="36" t="str">
        <f aca="false">IF(COUNT(G33:G44)&lt;12,"",SUM(G33:G44))</f>
        <v/>
      </c>
      <c r="K44" s="36" t="str">
        <f aca="false">IF(COUNT(H33:H44)&lt;12,"",SUM(H33:H44))</f>
        <v/>
      </c>
      <c r="L44" s="36" t="str">
        <f aca="false">IF(COUNT(I33:I44)&lt;12,"",SUM(I33:I44))</f>
        <v/>
      </c>
    </row>
    <row r="45" customFormat="false" ht="15" hidden="false" customHeight="false" outlineLevel="0" collapsed="false">
      <c r="B45" s="8" t="s">
        <v>306</v>
      </c>
      <c r="C45" s="35"/>
      <c r="D45" s="35"/>
      <c r="E45" s="35"/>
      <c r="F45" s="35"/>
      <c r="G45" s="36" t="str">
        <f aca="false">IF(OR(C45="",D45=""),"",C45-D45)</f>
        <v/>
      </c>
      <c r="H45" s="36" t="str">
        <f aca="false">IF(OR(E45="",F45=""),"",E45-F45)</f>
        <v/>
      </c>
      <c r="I45" s="36" t="str">
        <f aca="false">IF(OR(G45="",H45=""),"",G45-H45)</f>
        <v/>
      </c>
      <c r="J45" s="36" t="str">
        <f aca="false">IF(COUNT(G34:G45)&lt;12,"",SUM(G34:G45))</f>
        <v/>
      </c>
      <c r="K45" s="36" t="str">
        <f aca="false">IF(COUNT(H34:H45)&lt;12,"",SUM(H34:H45))</f>
        <v/>
      </c>
      <c r="L45" s="36" t="str">
        <f aca="false">IF(COUNT(I34:I45)&lt;12,"",SUM(I34:I45))</f>
        <v/>
      </c>
    </row>
    <row r="46" customFormat="false" ht="15" hidden="false" customHeight="false" outlineLevel="0" collapsed="false">
      <c r="B46" s="8" t="s">
        <v>307</v>
      </c>
      <c r="C46" s="35"/>
      <c r="D46" s="35"/>
      <c r="E46" s="35"/>
      <c r="F46" s="35"/>
      <c r="G46" s="36" t="str">
        <f aca="false">IF(OR(C46="",D46=""),"",C46-D46)</f>
        <v/>
      </c>
      <c r="H46" s="36" t="str">
        <f aca="false">IF(OR(E46="",F46=""),"",E46-F46)</f>
        <v/>
      </c>
      <c r="I46" s="36" t="str">
        <f aca="false">IF(OR(G46="",H46=""),"",G46-H46)</f>
        <v/>
      </c>
      <c r="J46" s="36" t="str">
        <f aca="false">IF(COUNT(G35:G46)&lt;12,"",SUM(G35:G46))</f>
        <v/>
      </c>
      <c r="K46" s="36" t="str">
        <f aca="false">IF(COUNT(H35:H46)&lt;12,"",SUM(H35:H46))</f>
        <v/>
      </c>
      <c r="L46" s="36" t="str">
        <f aca="false">IF(COUNT(I35:I46)&lt;12,"",SUM(I35:I46))</f>
        <v/>
      </c>
    </row>
    <row r="47" customFormat="false" ht="15" hidden="false" customHeight="false" outlineLevel="0" collapsed="false">
      <c r="B47" s="8" t="s">
        <v>308</v>
      </c>
      <c r="C47" s="35"/>
      <c r="D47" s="35"/>
      <c r="E47" s="35"/>
      <c r="F47" s="35"/>
      <c r="G47" s="36" t="str">
        <f aca="false">IF(OR(C47="",D47=""),"",C47-D47)</f>
        <v/>
      </c>
      <c r="H47" s="36" t="str">
        <f aca="false">IF(OR(E47="",F47=""),"",E47-F47)</f>
        <v/>
      </c>
      <c r="I47" s="36" t="str">
        <f aca="false">IF(OR(G47="",H47=""),"",G47-H47)</f>
        <v/>
      </c>
      <c r="J47" s="36" t="str">
        <f aca="false">IF(COUNT(G36:G47)&lt;12,"",SUM(G36:G47))</f>
        <v/>
      </c>
      <c r="K47" s="36" t="str">
        <f aca="false">IF(COUNT(H36:H47)&lt;12,"",SUM(H36:H47))</f>
        <v/>
      </c>
      <c r="L47" s="36" t="str">
        <f aca="false">IF(COUNT(I36:I47)&lt;12,"",SUM(I36:I47))</f>
        <v/>
      </c>
    </row>
    <row r="48" customFormat="false" ht="15" hidden="false" customHeight="false" outlineLevel="0" collapsed="false">
      <c r="B48" s="8" t="s">
        <v>309</v>
      </c>
      <c r="C48" s="35"/>
      <c r="D48" s="35"/>
      <c r="E48" s="35"/>
      <c r="F48" s="35"/>
      <c r="G48" s="36" t="str">
        <f aca="false">IF(OR(C48="",D48=""),"",C48-D48)</f>
        <v/>
      </c>
      <c r="H48" s="36" t="str">
        <f aca="false">IF(OR(E48="",F48=""),"",E48-F48)</f>
        <v/>
      </c>
      <c r="I48" s="36" t="str">
        <f aca="false">IF(OR(G48="",H48=""),"",G48-H48)</f>
        <v/>
      </c>
      <c r="J48" s="36" t="str">
        <f aca="false">IF(COUNT(G37:G48)&lt;12,"",SUM(G37:G48))</f>
        <v/>
      </c>
      <c r="K48" s="36" t="str">
        <f aca="false">IF(COUNT(H37:H48)&lt;12,"",SUM(H37:H48))</f>
        <v/>
      </c>
      <c r="L48" s="36" t="str">
        <f aca="false">IF(COUNT(I37:I48)&lt;12,"",SUM(I37:I48))</f>
        <v/>
      </c>
    </row>
    <row r="49" customFormat="false" ht="15" hidden="false" customHeight="false" outlineLevel="0" collapsed="false">
      <c r="B49" s="8" t="s">
        <v>310</v>
      </c>
      <c r="C49" s="35"/>
      <c r="D49" s="35"/>
      <c r="E49" s="35"/>
      <c r="F49" s="35"/>
      <c r="G49" s="36" t="str">
        <f aca="false">IF(OR(C49="",D49=""),"",C49-D49)</f>
        <v/>
      </c>
      <c r="H49" s="36" t="str">
        <f aca="false">IF(OR(E49="",F49=""),"",E49-F49)</f>
        <v/>
      </c>
      <c r="I49" s="36" t="str">
        <f aca="false">IF(OR(G49="",H49=""),"",G49-H49)</f>
        <v/>
      </c>
      <c r="J49" s="36" t="str">
        <f aca="false">IF(COUNT(G38:G49)&lt;12,"",SUM(G38:G49))</f>
        <v/>
      </c>
      <c r="K49" s="36" t="str">
        <f aca="false">IF(COUNT(H38:H49)&lt;12,"",SUM(H38:H49))</f>
        <v/>
      </c>
      <c r="L49" s="36" t="str">
        <f aca="false">IF(COUNT(I38:I49)&lt;12,"",SUM(I38:I49))</f>
        <v/>
      </c>
    </row>
    <row r="50" customFormat="false" ht="15" hidden="false" customHeight="false" outlineLevel="0" collapsed="false">
      <c r="B50" s="8" t="s">
        <v>311</v>
      </c>
      <c r="C50" s="35"/>
      <c r="D50" s="35"/>
      <c r="E50" s="35"/>
      <c r="F50" s="35"/>
      <c r="G50" s="36" t="str">
        <f aca="false">IF(OR(C50="",D50=""),"",C50-D50)</f>
        <v/>
      </c>
      <c r="H50" s="36" t="str">
        <f aca="false">IF(OR(E50="",F50=""),"",E50-F50)</f>
        <v/>
      </c>
      <c r="I50" s="36" t="str">
        <f aca="false">IF(OR(G50="",H50=""),"",G50-H50)</f>
        <v/>
      </c>
      <c r="J50" s="36" t="str">
        <f aca="false">IF(COUNT(G39:G50)&lt;12,"",SUM(G39:G50))</f>
        <v/>
      </c>
      <c r="K50" s="36" t="str">
        <f aca="false">IF(COUNT(H39:H50)&lt;12,"",SUM(H39:H50))</f>
        <v/>
      </c>
      <c r="L50" s="36" t="str">
        <f aca="false">IF(COUNT(I39:I50)&lt;12,"",SUM(I39:I50))</f>
        <v/>
      </c>
    </row>
    <row r="51" customFormat="false" ht="15" hidden="false" customHeight="false" outlineLevel="0" collapsed="false">
      <c r="B51" s="8" t="s">
        <v>312</v>
      </c>
      <c r="C51" s="35"/>
      <c r="D51" s="35"/>
      <c r="E51" s="35"/>
      <c r="F51" s="35"/>
      <c r="G51" s="36" t="str">
        <f aca="false">IF(OR(C51="",D51=""),"",C51-D51)</f>
        <v/>
      </c>
      <c r="H51" s="36" t="str">
        <f aca="false">IF(OR(E51="",F51=""),"",E51-F51)</f>
        <v/>
      </c>
      <c r="I51" s="36" t="str">
        <f aca="false">IF(OR(G51="",H51=""),"",G51-H51)</f>
        <v/>
      </c>
      <c r="J51" s="36" t="str">
        <f aca="false">IF(COUNT(G40:G51)&lt;12,"",SUM(G40:G51))</f>
        <v/>
      </c>
      <c r="K51" s="36" t="str">
        <f aca="false">IF(COUNT(H40:H51)&lt;12,"",SUM(H40:H51))</f>
        <v/>
      </c>
      <c r="L51" s="36" t="str">
        <f aca="false">IF(COUNT(I40:I51)&lt;12,"",SUM(I40:I51))</f>
        <v/>
      </c>
    </row>
    <row r="52" customFormat="false" ht="15" hidden="false" customHeight="false" outlineLevel="0" collapsed="false">
      <c r="B52" s="8" t="s">
        <v>313</v>
      </c>
      <c r="C52" s="35"/>
      <c r="D52" s="35"/>
      <c r="E52" s="35"/>
      <c r="F52" s="35"/>
      <c r="G52" s="36" t="str">
        <f aca="false">IF(OR(C52="",D52=""),"",C52-D52)</f>
        <v/>
      </c>
      <c r="H52" s="36" t="str">
        <f aca="false">IF(OR(E52="",F52=""),"",E52-F52)</f>
        <v/>
      </c>
      <c r="I52" s="36" t="str">
        <f aca="false">IF(OR(G52="",H52=""),"",G52-H52)</f>
        <v/>
      </c>
      <c r="J52" s="36" t="str">
        <f aca="false">IF(COUNT(G41:G52)&lt;12,"",SUM(G41:G52))</f>
        <v/>
      </c>
      <c r="K52" s="36" t="str">
        <f aca="false">IF(COUNT(H41:H52)&lt;12,"",SUM(H41:H52))</f>
        <v/>
      </c>
      <c r="L52" s="36" t="str">
        <f aca="false">IF(COUNT(I41:I52)&lt;12,"",SUM(I41:I52))</f>
        <v/>
      </c>
    </row>
    <row r="53" customFormat="false" ht="15" hidden="false" customHeight="false" outlineLevel="0" collapsed="false">
      <c r="B53" s="8" t="s">
        <v>314</v>
      </c>
      <c r="C53" s="35"/>
      <c r="D53" s="35"/>
      <c r="E53" s="35"/>
      <c r="F53" s="35"/>
      <c r="G53" s="36" t="str">
        <f aca="false">IF(OR(C53="",D53=""),"",C53-D53)</f>
        <v/>
      </c>
      <c r="H53" s="36" t="str">
        <f aca="false">IF(OR(E53="",F53=""),"",E53-F53)</f>
        <v/>
      </c>
      <c r="I53" s="36" t="str">
        <f aca="false">IF(OR(G53="",H53=""),"",G53-H53)</f>
        <v/>
      </c>
      <c r="J53" s="36" t="str">
        <f aca="false">IF(COUNT(G42:G53)&lt;12,"",SUM(G42:G53))</f>
        <v/>
      </c>
      <c r="K53" s="36" t="str">
        <f aca="false">IF(COUNT(H42:H53)&lt;12,"",SUM(H42:H53))</f>
        <v/>
      </c>
      <c r="L53" s="36" t="str">
        <f aca="false">IF(COUNT(I42:I53)&lt;12,"",SUM(I42:I53))</f>
        <v/>
      </c>
    </row>
    <row r="54" customFormat="false" ht="15" hidden="false" customHeight="false" outlineLevel="0" collapsed="false">
      <c r="B54" s="8" t="s">
        <v>315</v>
      </c>
      <c r="C54" s="35"/>
      <c r="D54" s="35"/>
      <c r="E54" s="35"/>
      <c r="F54" s="35"/>
      <c r="G54" s="36" t="str">
        <f aca="false">IF(OR(C54="",D54=""),"",C54-D54)</f>
        <v/>
      </c>
      <c r="H54" s="36" t="str">
        <f aca="false">IF(OR(E54="",F54=""),"",E54-F54)</f>
        <v/>
      </c>
      <c r="I54" s="36" t="str">
        <f aca="false">IF(OR(G54="",H54=""),"",G54-H54)</f>
        <v/>
      </c>
      <c r="J54" s="36" t="str">
        <f aca="false">IF(COUNT(G43:G54)&lt;12,"",SUM(G43:G54))</f>
        <v/>
      </c>
      <c r="K54" s="36" t="str">
        <f aca="false">IF(COUNT(H43:H54)&lt;12,"",SUM(H43:H54))</f>
        <v/>
      </c>
      <c r="L54" s="36" t="str">
        <f aca="false">IF(COUNT(I43:I54)&lt;12,"",SUM(I43:I54))</f>
        <v/>
      </c>
    </row>
    <row r="55" customFormat="false" ht="15" hidden="false" customHeight="false" outlineLevel="0" collapsed="false">
      <c r="B55" s="8" t="s">
        <v>50</v>
      </c>
      <c r="C55" s="35"/>
      <c r="D55" s="35"/>
      <c r="E55" s="35"/>
      <c r="F55" s="35"/>
      <c r="G55" s="36" t="str">
        <f aca="false">IF(OR(C55="",D55=""),"",C55-D55)</f>
        <v/>
      </c>
      <c r="H55" s="36" t="str">
        <f aca="false">IF(OR(E55="",F55=""),"",E55-F55)</f>
        <v/>
      </c>
      <c r="I55" s="36" t="str">
        <f aca="false">IF(OR(G55="",H55=""),"",G55-H55)</f>
        <v/>
      </c>
      <c r="J55" s="36" t="str">
        <f aca="false">IF(COUNT(G44:G55)&lt;12,"",SUM(G44:G55))</f>
        <v/>
      </c>
      <c r="K55" s="36" t="str">
        <f aca="false">IF(COUNT(H44:H55)&lt;12,"",SUM(H44:H55))</f>
        <v/>
      </c>
      <c r="L55" s="36" t="str">
        <f aca="false">IF(COUNT(I44:I55)&lt;12,"",SUM(I44:I55))</f>
        <v/>
      </c>
    </row>
    <row r="56" customFormat="false" ht="15" hidden="false" customHeight="false" outlineLevel="0" collapsed="false">
      <c r="B56" s="8" t="s">
        <v>51</v>
      </c>
      <c r="C56" s="35"/>
      <c r="D56" s="35"/>
      <c r="E56" s="35"/>
      <c r="F56" s="35"/>
      <c r="G56" s="36" t="str">
        <f aca="false">IF(OR(C56="",D56=""),"",C56-D56)</f>
        <v/>
      </c>
      <c r="H56" s="36" t="str">
        <f aca="false">IF(OR(E56="",F56=""),"",E56-F56)</f>
        <v/>
      </c>
      <c r="I56" s="36" t="str">
        <f aca="false">IF(OR(G56="",H56=""),"",G56-H56)</f>
        <v/>
      </c>
      <c r="J56" s="36" t="str">
        <f aca="false">IF(COUNT(G45:G56)&lt;12,"",SUM(G45:G56))</f>
        <v/>
      </c>
      <c r="K56" s="36" t="str">
        <f aca="false">IF(COUNT(H45:H56)&lt;12,"",SUM(H45:H56))</f>
        <v/>
      </c>
      <c r="L56" s="36" t="str">
        <f aca="false">IF(COUNT(I45:I56)&lt;12,"",SUM(I45:I56))</f>
        <v/>
      </c>
    </row>
    <row r="57" customFormat="false" ht="15" hidden="false" customHeight="false" outlineLevel="0" collapsed="false">
      <c r="B57" s="8" t="s">
        <v>52</v>
      </c>
      <c r="C57" s="35"/>
      <c r="D57" s="35"/>
      <c r="E57" s="35"/>
      <c r="F57" s="35"/>
      <c r="G57" s="36" t="str">
        <f aca="false">IF(OR(C57="",D57=""),"",C57-D57)</f>
        <v/>
      </c>
      <c r="H57" s="36" t="str">
        <f aca="false">IF(OR(E57="",F57=""),"",E57-F57)</f>
        <v/>
      </c>
      <c r="I57" s="36" t="str">
        <f aca="false">IF(OR(G57="",H57=""),"",G57-H57)</f>
        <v/>
      </c>
      <c r="J57" s="36" t="str">
        <f aca="false">IF(COUNT(G46:G57)&lt;12,"",SUM(G46:G57))</f>
        <v/>
      </c>
      <c r="K57" s="36" t="str">
        <f aca="false">IF(COUNT(H46:H57)&lt;12,"",SUM(H46:H57))</f>
        <v/>
      </c>
      <c r="L57" s="36" t="str">
        <f aca="false">IF(COUNT(I46:I57)&lt;12,"",SUM(I46:I57))</f>
        <v/>
      </c>
    </row>
    <row r="58" customFormat="false" ht="15" hidden="false" customHeight="false" outlineLevel="0" collapsed="false">
      <c r="B58" s="8" t="s">
        <v>53</v>
      </c>
      <c r="C58" s="35"/>
      <c r="D58" s="35"/>
      <c r="E58" s="35"/>
      <c r="F58" s="35"/>
      <c r="G58" s="36" t="str">
        <f aca="false">IF(OR(C58="",D58=""),"",C58-D58)</f>
        <v/>
      </c>
      <c r="H58" s="36" t="str">
        <f aca="false">IF(OR(E58="",F58=""),"",E58-F58)</f>
        <v/>
      </c>
      <c r="I58" s="36" t="str">
        <f aca="false">IF(OR(G58="",H58=""),"",G58-H58)</f>
        <v/>
      </c>
      <c r="J58" s="36" t="str">
        <f aca="false">IF(COUNT(G47:G58)&lt;12,"",SUM(G47:G58))</f>
        <v/>
      </c>
      <c r="K58" s="36" t="str">
        <f aca="false">IF(COUNT(H47:H58)&lt;12,"",SUM(H47:H58))</f>
        <v/>
      </c>
      <c r="L58" s="36" t="str">
        <f aca="false">IF(COUNT(I47:I58)&lt;12,"",SUM(I47:I58))</f>
        <v/>
      </c>
    </row>
    <row r="59" customFormat="false" ht="15" hidden="false" customHeight="false" outlineLevel="0" collapsed="false">
      <c r="B59" s="8" t="s">
        <v>54</v>
      </c>
      <c r="C59" s="35"/>
      <c r="D59" s="35"/>
      <c r="E59" s="35"/>
      <c r="F59" s="35"/>
      <c r="G59" s="36" t="str">
        <f aca="false">IF(OR(C59="",D59=""),"",C59-D59)</f>
        <v/>
      </c>
      <c r="H59" s="36" t="str">
        <f aca="false">IF(OR(E59="",F59=""),"",E59-F59)</f>
        <v/>
      </c>
      <c r="I59" s="36" t="str">
        <f aca="false">IF(OR(G59="",H59=""),"",G59-H59)</f>
        <v/>
      </c>
      <c r="J59" s="36" t="str">
        <f aca="false">IF(COUNT(G48:G59)&lt;12,"",SUM(G48:G59))</f>
        <v/>
      </c>
      <c r="K59" s="36" t="str">
        <f aca="false">IF(COUNT(H48:H59)&lt;12,"",SUM(H48:H59))</f>
        <v/>
      </c>
      <c r="L59" s="36" t="str">
        <f aca="false">IF(COUNT(I48:I59)&lt;12,"",SUM(I48:I59))</f>
        <v/>
      </c>
    </row>
    <row r="60" customFormat="false" ht="15" hidden="false" customHeight="false" outlineLevel="0" collapsed="false">
      <c r="B60" s="8" t="s">
        <v>55</v>
      </c>
      <c r="C60" s="35"/>
      <c r="D60" s="35"/>
      <c r="E60" s="35"/>
      <c r="F60" s="35"/>
      <c r="G60" s="36" t="str">
        <f aca="false">IF(OR(C60="",D60=""),"",C60-D60)</f>
        <v/>
      </c>
      <c r="H60" s="36" t="str">
        <f aca="false">IF(OR(E60="",F60=""),"",E60-F60)</f>
        <v/>
      </c>
      <c r="I60" s="36" t="str">
        <f aca="false">IF(OR(G60="",H60=""),"",G60-H60)</f>
        <v/>
      </c>
      <c r="J60" s="36" t="str">
        <f aca="false">IF(COUNT(G49:G60)&lt;12,"",SUM(G49:G60))</f>
        <v/>
      </c>
      <c r="K60" s="36" t="str">
        <f aca="false">IF(COUNT(H49:H60)&lt;12,"",SUM(H49:H60))</f>
        <v/>
      </c>
      <c r="L60" s="36" t="str">
        <f aca="false">IF(COUNT(I49:I60)&lt;12,"",SUM(I49:I60))</f>
        <v/>
      </c>
    </row>
    <row r="61" customFormat="false" ht="15" hidden="false" customHeight="false" outlineLevel="0" collapsed="false">
      <c r="B61" s="8" t="s">
        <v>56</v>
      </c>
      <c r="C61" s="35"/>
      <c r="D61" s="35"/>
      <c r="E61" s="35"/>
      <c r="F61" s="35"/>
      <c r="G61" s="36" t="str">
        <f aca="false">IF(OR(C61="",D61=""),"",C61-D61)</f>
        <v/>
      </c>
      <c r="H61" s="36" t="str">
        <f aca="false">IF(OR(E61="",F61=""),"",E61-F61)</f>
        <v/>
      </c>
      <c r="I61" s="36" t="str">
        <f aca="false">IF(OR(G61="",H61=""),"",G61-H61)</f>
        <v/>
      </c>
      <c r="J61" s="36" t="str">
        <f aca="false">IF(COUNT(G50:G61)&lt;12,"",SUM(G50:G61))</f>
        <v/>
      </c>
      <c r="K61" s="36" t="str">
        <f aca="false">IF(COUNT(H50:H61)&lt;12,"",SUM(H50:H61))</f>
        <v/>
      </c>
      <c r="L61" s="36" t="str">
        <f aca="false">IF(COUNT(I50:I61)&lt;12,"",SUM(I50:I61))</f>
        <v/>
      </c>
    </row>
    <row r="62" customFormat="false" ht="15" hidden="false" customHeight="false" outlineLevel="0" collapsed="false">
      <c r="B62" s="8" t="s">
        <v>57</v>
      </c>
      <c r="C62" s="35"/>
      <c r="D62" s="35"/>
      <c r="E62" s="35"/>
      <c r="F62" s="35"/>
      <c r="G62" s="36" t="str">
        <f aca="false">IF(OR(C62="",D62=""),"",C62-D62)</f>
        <v/>
      </c>
      <c r="H62" s="36" t="str">
        <f aca="false">IF(OR(E62="",F62=""),"",E62-F62)</f>
        <v/>
      </c>
      <c r="I62" s="36" t="str">
        <f aca="false">IF(OR(G62="",H62=""),"",G62-H62)</f>
        <v/>
      </c>
      <c r="J62" s="36" t="str">
        <f aca="false">IF(COUNT(G51:G62)&lt;12,"",SUM(G51:G62))</f>
        <v/>
      </c>
      <c r="K62" s="36" t="str">
        <f aca="false">IF(COUNT(H51:H62)&lt;12,"",SUM(H51:H62))</f>
        <v/>
      </c>
      <c r="L62" s="36" t="str">
        <f aca="false">IF(COUNT(I51:I62)&lt;12,"",SUM(I51:I62))</f>
        <v/>
      </c>
    </row>
    <row r="63" customFormat="false" ht="15" hidden="false" customHeight="false" outlineLevel="0" collapsed="false">
      <c r="B63" s="8" t="s">
        <v>58</v>
      </c>
      <c r="C63" s="35"/>
      <c r="D63" s="35"/>
      <c r="E63" s="35"/>
      <c r="F63" s="35"/>
      <c r="G63" s="36" t="str">
        <f aca="false">IF(OR(C63="",D63=""),"",C63-D63)</f>
        <v/>
      </c>
      <c r="H63" s="36" t="str">
        <f aca="false">IF(OR(E63="",F63=""),"",E63-F63)</f>
        <v/>
      </c>
      <c r="I63" s="36" t="str">
        <f aca="false">IF(OR(G63="",H63=""),"",G63-H63)</f>
        <v/>
      </c>
      <c r="J63" s="36" t="str">
        <f aca="false">IF(COUNT(G52:G63)&lt;12,"",SUM(G52:G63))</f>
        <v/>
      </c>
      <c r="K63" s="36" t="str">
        <f aca="false">IF(COUNT(H52:H63)&lt;12,"",SUM(H52:H63))</f>
        <v/>
      </c>
      <c r="L63" s="36" t="str">
        <f aca="false">IF(COUNT(I52:I63)&lt;12,"",SUM(I52:I63))</f>
        <v/>
      </c>
    </row>
    <row r="64" customFormat="false" ht="15" hidden="false" customHeight="false" outlineLevel="0" collapsed="false">
      <c r="B64" s="8" t="s">
        <v>59</v>
      </c>
      <c r="C64" s="35"/>
      <c r="D64" s="35"/>
      <c r="E64" s="35"/>
      <c r="F64" s="35"/>
      <c r="G64" s="36" t="str">
        <f aca="false">IF(OR(C64="",D64=""),"",C64-D64)</f>
        <v/>
      </c>
      <c r="H64" s="36" t="str">
        <f aca="false">IF(OR(E64="",F64=""),"",E64-F64)</f>
        <v/>
      </c>
      <c r="I64" s="36" t="str">
        <f aca="false">IF(OR(G64="",H64=""),"",G64-H64)</f>
        <v/>
      </c>
      <c r="J64" s="36" t="str">
        <f aca="false">IF(COUNT(G53:G64)&lt;12,"",SUM(G53:G64))</f>
        <v/>
      </c>
      <c r="K64" s="36" t="str">
        <f aca="false">IF(COUNT(H53:H64)&lt;12,"",SUM(H53:H64))</f>
        <v/>
      </c>
      <c r="L64" s="36" t="str">
        <f aca="false">IF(COUNT(I53:I64)&lt;12,"",SUM(I53:I64))</f>
        <v/>
      </c>
    </row>
    <row r="65" customFormat="false" ht="15" hidden="false" customHeight="false" outlineLevel="0" collapsed="false">
      <c r="B65" s="8" t="s">
        <v>60</v>
      </c>
      <c r="C65" s="35"/>
      <c r="D65" s="35"/>
      <c r="E65" s="35"/>
      <c r="F65" s="35"/>
      <c r="G65" s="36" t="str">
        <f aca="false">IF(OR(C65="",D65=""),"",C65-D65)</f>
        <v/>
      </c>
      <c r="H65" s="36" t="str">
        <f aca="false">IF(OR(E65="",F65=""),"",E65-F65)</f>
        <v/>
      </c>
      <c r="I65" s="36" t="str">
        <f aca="false">IF(OR(G65="",H65=""),"",G65-H65)</f>
        <v/>
      </c>
      <c r="J65" s="36" t="str">
        <f aca="false">IF(COUNT(G54:G65)&lt;12,"",SUM(G54:G65))</f>
        <v/>
      </c>
      <c r="K65" s="36" t="str">
        <f aca="false">IF(COUNT(H54:H65)&lt;12,"",SUM(H54:H65))</f>
        <v/>
      </c>
      <c r="L65" s="36" t="str">
        <f aca="false">IF(COUNT(I54:I65)&lt;12,"",SUM(I54:I65))</f>
        <v/>
      </c>
    </row>
    <row r="66" customFormat="false" ht="15" hidden="false" customHeight="false" outlineLevel="0" collapsed="false">
      <c r="B66" s="8" t="s">
        <v>61</v>
      </c>
      <c r="C66" s="35"/>
      <c r="D66" s="35"/>
      <c r="E66" s="35"/>
      <c r="F66" s="35"/>
      <c r="G66" s="36" t="str">
        <f aca="false">IF(OR(C66="",D66=""),"",C66-D66)</f>
        <v/>
      </c>
      <c r="H66" s="36" t="str">
        <f aca="false">IF(OR(E66="",F66=""),"",E66-F66)</f>
        <v/>
      </c>
      <c r="I66" s="36" t="str">
        <f aca="false">IF(OR(G66="",H66=""),"",G66-H66)</f>
        <v/>
      </c>
      <c r="J66" s="36" t="str">
        <f aca="false">IF(COUNT(G55:G66)&lt;12,"",SUM(G55:G66))</f>
        <v/>
      </c>
      <c r="K66" s="36" t="str">
        <f aca="false">IF(COUNT(H55:H66)&lt;12,"",SUM(H55:H66))</f>
        <v/>
      </c>
      <c r="L66" s="36" t="str">
        <f aca="false">IF(COUNT(I55:I66)&lt;12,"",SUM(I55:I66))</f>
        <v/>
      </c>
    </row>
    <row r="67" customFormat="false" ht="15" hidden="false" customHeight="false" outlineLevel="0" collapsed="false">
      <c r="B67" s="8" t="s">
        <v>62</v>
      </c>
      <c r="C67" s="35"/>
      <c r="D67" s="35"/>
      <c r="E67" s="35"/>
      <c r="F67" s="35"/>
      <c r="G67" s="36" t="str">
        <f aca="false">IF(OR(C67="",D67=""),"",C67-D67)</f>
        <v/>
      </c>
      <c r="H67" s="36" t="str">
        <f aca="false">IF(OR(E67="",F67=""),"",E67-F67)</f>
        <v/>
      </c>
      <c r="I67" s="36" t="str">
        <f aca="false">IF(OR(G67="",H67=""),"",G67-H67)</f>
        <v/>
      </c>
      <c r="J67" s="36" t="str">
        <f aca="false">IF(COUNT(G56:G67)&lt;12,"",SUM(G56:G67))</f>
        <v/>
      </c>
      <c r="K67" s="36" t="str">
        <f aca="false">IF(COUNT(H56:H67)&lt;12,"",SUM(H56:H67))</f>
        <v/>
      </c>
      <c r="L67" s="36" t="str">
        <f aca="false">IF(COUNT(I56:I67)&lt;12,"",SUM(I56:I67))</f>
        <v/>
      </c>
    </row>
    <row r="68" customFormat="false" ht="15" hidden="false" customHeight="false" outlineLevel="0" collapsed="false">
      <c r="B68" s="8" t="s">
        <v>63</v>
      </c>
      <c r="C68" s="35"/>
      <c r="D68" s="35"/>
      <c r="E68" s="35"/>
      <c r="F68" s="35"/>
      <c r="G68" s="36" t="str">
        <f aca="false">IF(OR(C68="",D68=""),"",C68-D68)</f>
        <v/>
      </c>
      <c r="H68" s="36" t="str">
        <f aca="false">IF(OR(E68="",F68=""),"",E68-F68)</f>
        <v/>
      </c>
      <c r="I68" s="36" t="str">
        <f aca="false">IF(OR(G68="",H68=""),"",G68-H68)</f>
        <v/>
      </c>
      <c r="J68" s="36" t="str">
        <f aca="false">IF(COUNT(G57:G68)&lt;12,"",SUM(G57:G68))</f>
        <v/>
      </c>
      <c r="K68" s="36" t="str">
        <f aca="false">IF(COUNT(H57:H68)&lt;12,"",SUM(H57:H68))</f>
        <v/>
      </c>
      <c r="L68" s="36" t="str">
        <f aca="false">IF(COUNT(I57:I68)&lt;12,"",SUM(I57:I68))</f>
        <v/>
      </c>
    </row>
    <row r="69" customFormat="false" ht="15" hidden="false" customHeight="false" outlineLevel="0" collapsed="false">
      <c r="B69" s="8" t="s">
        <v>64</v>
      </c>
      <c r="C69" s="35"/>
      <c r="D69" s="35"/>
      <c r="E69" s="35"/>
      <c r="F69" s="35"/>
      <c r="G69" s="36" t="str">
        <f aca="false">IF(OR(C69="",D69=""),"",C69-D69)</f>
        <v/>
      </c>
      <c r="H69" s="36" t="str">
        <f aca="false">IF(OR(E69="",F69=""),"",E69-F69)</f>
        <v/>
      </c>
      <c r="I69" s="36" t="str">
        <f aca="false">IF(OR(G69="",H69=""),"",G69-H69)</f>
        <v/>
      </c>
      <c r="J69" s="36" t="str">
        <f aca="false">IF(COUNT(G58:G69)&lt;12,"",SUM(G58:G69))</f>
        <v/>
      </c>
      <c r="K69" s="36" t="str">
        <f aca="false">IF(COUNT(H58:H69)&lt;12,"",SUM(H58:H69))</f>
        <v/>
      </c>
      <c r="L69" s="36" t="str">
        <f aca="false">IF(COUNT(I58:I69)&lt;12,"",SUM(I58:I69))</f>
        <v/>
      </c>
    </row>
    <row r="70" customFormat="false" ht="15" hidden="false" customHeight="false" outlineLevel="0" collapsed="false">
      <c r="B70" s="8" t="s">
        <v>65</v>
      </c>
      <c r="C70" s="35"/>
      <c r="D70" s="35"/>
      <c r="E70" s="35"/>
      <c r="F70" s="35"/>
      <c r="G70" s="36" t="str">
        <f aca="false">IF(OR(C70="",D70=""),"",C70-D70)</f>
        <v/>
      </c>
      <c r="H70" s="36" t="str">
        <f aca="false">IF(OR(E70="",F70=""),"",E70-F70)</f>
        <v/>
      </c>
      <c r="I70" s="36" t="str">
        <f aca="false">IF(OR(G70="",H70=""),"",G70-H70)</f>
        <v/>
      </c>
      <c r="J70" s="36" t="str">
        <f aca="false">IF(COUNT(G59:G70)&lt;12,"",SUM(G59:G70))</f>
        <v/>
      </c>
      <c r="K70" s="36" t="str">
        <f aca="false">IF(COUNT(H59:H70)&lt;12,"",SUM(H59:H70))</f>
        <v/>
      </c>
      <c r="L70" s="36" t="str">
        <f aca="false">IF(COUNT(I59:I70)&lt;12,"",SUM(I59:I70))</f>
        <v/>
      </c>
    </row>
    <row r="71" customFormat="false" ht="15" hidden="false" customHeight="false" outlineLevel="0" collapsed="false">
      <c r="B71" s="8" t="s">
        <v>66</v>
      </c>
      <c r="C71" s="35"/>
      <c r="D71" s="35"/>
      <c r="E71" s="35"/>
      <c r="F71" s="35"/>
      <c r="G71" s="36" t="str">
        <f aca="false">IF(OR(C71="",D71=""),"",C71-D71)</f>
        <v/>
      </c>
      <c r="H71" s="36" t="str">
        <f aca="false">IF(OR(E71="",F71=""),"",E71-F71)</f>
        <v/>
      </c>
      <c r="I71" s="36" t="str">
        <f aca="false">IF(OR(G71="",H71=""),"",G71-H71)</f>
        <v/>
      </c>
      <c r="J71" s="36" t="str">
        <f aca="false">IF(COUNT(G60:G71)&lt;12,"",SUM(G60:G71))</f>
        <v/>
      </c>
      <c r="K71" s="36" t="str">
        <f aca="false">IF(COUNT(H60:H71)&lt;12,"",SUM(H60:H71))</f>
        <v/>
      </c>
      <c r="L71" s="36" t="str">
        <f aca="false">IF(COUNT(I60:I71)&lt;12,"",SUM(I60:I71))</f>
        <v/>
      </c>
    </row>
    <row r="72" customFormat="false" ht="15" hidden="false" customHeight="false" outlineLevel="0" collapsed="false">
      <c r="B72" s="8" t="s">
        <v>67</v>
      </c>
      <c r="C72" s="35"/>
      <c r="D72" s="35"/>
      <c r="E72" s="35"/>
      <c r="F72" s="35"/>
      <c r="G72" s="36" t="str">
        <f aca="false">IF(OR(C72="",D72=""),"",C72-D72)</f>
        <v/>
      </c>
      <c r="H72" s="36" t="str">
        <f aca="false">IF(OR(E72="",F72=""),"",E72-F72)</f>
        <v/>
      </c>
      <c r="I72" s="36" t="str">
        <f aca="false">IF(OR(G72="",H72=""),"",G72-H72)</f>
        <v/>
      </c>
      <c r="J72" s="36" t="str">
        <f aca="false">IF(COUNT(G61:G72)&lt;12,"",SUM(G61:G72))</f>
        <v/>
      </c>
      <c r="K72" s="36" t="str">
        <f aca="false">IF(COUNT(H61:H72)&lt;12,"",SUM(H61:H72))</f>
        <v/>
      </c>
      <c r="L72" s="36" t="str">
        <f aca="false">IF(COUNT(I61:I72)&lt;12,"",SUM(I61:I72))</f>
        <v/>
      </c>
    </row>
    <row r="73" customFormat="false" ht="15" hidden="false" customHeight="false" outlineLevel="0" collapsed="false">
      <c r="B73" s="8" t="s">
        <v>68</v>
      </c>
      <c r="C73" s="35"/>
      <c r="D73" s="35"/>
      <c r="E73" s="35"/>
      <c r="F73" s="35"/>
      <c r="G73" s="36" t="str">
        <f aca="false">IF(OR(C73="",D73=""),"",C73-D73)</f>
        <v/>
      </c>
      <c r="H73" s="36" t="str">
        <f aca="false">IF(OR(E73="",F73=""),"",E73-F73)</f>
        <v/>
      </c>
      <c r="I73" s="36" t="str">
        <f aca="false">IF(OR(G73="",H73=""),"",G73-H73)</f>
        <v/>
      </c>
      <c r="J73" s="36" t="str">
        <f aca="false">IF(COUNT(G62:G73)&lt;12,"",SUM(G62:G73))</f>
        <v/>
      </c>
      <c r="K73" s="36" t="str">
        <f aca="false">IF(COUNT(H62:H73)&lt;12,"",SUM(H62:H73))</f>
        <v/>
      </c>
      <c r="L73" s="36" t="str">
        <f aca="false">IF(COUNT(I62:I73)&lt;12,"",SUM(I62:I73))</f>
        <v/>
      </c>
    </row>
    <row r="74" customFormat="false" ht="15" hidden="false" customHeight="false" outlineLevel="0" collapsed="false">
      <c r="B74" s="8" t="s">
        <v>69</v>
      </c>
      <c r="C74" s="35"/>
      <c r="D74" s="35"/>
      <c r="E74" s="35"/>
      <c r="F74" s="35"/>
      <c r="G74" s="36" t="str">
        <f aca="false">IF(OR(C74="",D74=""),"",C74-D74)</f>
        <v/>
      </c>
      <c r="H74" s="36" t="str">
        <f aca="false">IF(OR(E74="",F74=""),"",E74-F74)</f>
        <v/>
      </c>
      <c r="I74" s="36" t="str">
        <f aca="false">IF(OR(G74="",H74=""),"",G74-H74)</f>
        <v/>
      </c>
      <c r="J74" s="36" t="str">
        <f aca="false">IF(COUNT(G63:G74)&lt;12,"",SUM(G63:G74))</f>
        <v/>
      </c>
      <c r="K74" s="36" t="str">
        <f aca="false">IF(COUNT(H63:H74)&lt;12,"",SUM(H63:H74))</f>
        <v/>
      </c>
      <c r="L74" s="36" t="str">
        <f aca="false">IF(COUNT(I63:I74)&lt;12,"",SUM(I63:I74))</f>
        <v/>
      </c>
    </row>
    <row r="75" customFormat="false" ht="15" hidden="false" customHeight="false" outlineLevel="0" collapsed="false">
      <c r="B75" s="8" t="s">
        <v>70</v>
      </c>
      <c r="C75" s="35"/>
      <c r="D75" s="35"/>
      <c r="E75" s="35"/>
      <c r="F75" s="35"/>
      <c r="G75" s="36" t="str">
        <f aca="false">IF(OR(C75="",D75=""),"",C75-D75)</f>
        <v/>
      </c>
      <c r="H75" s="36" t="str">
        <f aca="false">IF(OR(E75="",F75=""),"",E75-F75)</f>
        <v/>
      </c>
      <c r="I75" s="36" t="str">
        <f aca="false">IF(OR(G75="",H75=""),"",G75-H75)</f>
        <v/>
      </c>
      <c r="J75" s="36" t="str">
        <f aca="false">IF(COUNT(G64:G75)&lt;12,"",SUM(G64:G75))</f>
        <v/>
      </c>
      <c r="K75" s="36" t="str">
        <f aca="false">IF(COUNT(H64:H75)&lt;12,"",SUM(H64:H75))</f>
        <v/>
      </c>
      <c r="L75" s="36" t="str">
        <f aca="false">IF(COUNT(I64:I75)&lt;12,"",SUM(I64:I75))</f>
        <v/>
      </c>
    </row>
    <row r="76" customFormat="false" ht="15" hidden="false" customHeight="false" outlineLevel="0" collapsed="false">
      <c r="B76" s="8" t="s">
        <v>71</v>
      </c>
      <c r="C76" s="35"/>
      <c r="D76" s="35"/>
      <c r="E76" s="35"/>
      <c r="F76" s="35"/>
      <c r="G76" s="36" t="str">
        <f aca="false">IF(OR(C76="",D76=""),"",C76-D76)</f>
        <v/>
      </c>
      <c r="H76" s="36" t="str">
        <f aca="false">IF(OR(E76="",F76=""),"",E76-F76)</f>
        <v/>
      </c>
      <c r="I76" s="36" t="str">
        <f aca="false">IF(OR(G76="",H76=""),"",G76-H76)</f>
        <v/>
      </c>
      <c r="J76" s="36" t="str">
        <f aca="false">IF(COUNT(G65:G76)&lt;12,"",SUM(G65:G76))</f>
        <v/>
      </c>
      <c r="K76" s="36" t="str">
        <f aca="false">IF(COUNT(H65:H76)&lt;12,"",SUM(H65:H76))</f>
        <v/>
      </c>
      <c r="L76" s="36" t="str">
        <f aca="false">IF(COUNT(I65:I76)&lt;12,"",SUM(I65:I76))</f>
        <v/>
      </c>
    </row>
    <row r="77" customFormat="false" ht="15" hidden="false" customHeight="false" outlineLevel="0" collapsed="false">
      <c r="B77" s="8" t="s">
        <v>72</v>
      </c>
      <c r="C77" s="35"/>
      <c r="D77" s="35"/>
      <c r="E77" s="35"/>
      <c r="F77" s="35"/>
      <c r="G77" s="36" t="str">
        <f aca="false">IF(OR(C77="",D77=""),"",C77-D77)</f>
        <v/>
      </c>
      <c r="H77" s="36" t="str">
        <f aca="false">IF(OR(E77="",F77=""),"",E77-F77)</f>
        <v/>
      </c>
      <c r="I77" s="36" t="str">
        <f aca="false">IF(OR(G77="",H77=""),"",G77-H77)</f>
        <v/>
      </c>
      <c r="J77" s="36" t="str">
        <f aca="false">IF(COUNT(G66:G77)&lt;12,"",SUM(G66:G77))</f>
        <v/>
      </c>
      <c r="K77" s="36" t="str">
        <f aca="false">IF(COUNT(H66:H77)&lt;12,"",SUM(H66:H77))</f>
        <v/>
      </c>
      <c r="L77" s="36" t="str">
        <f aca="false">IF(COUNT(I66:I77)&lt;12,"",SUM(I66:I77))</f>
        <v/>
      </c>
    </row>
    <row r="78" customFormat="false" ht="15" hidden="false" customHeight="false" outlineLevel="0" collapsed="false">
      <c r="B78" s="8" t="s">
        <v>73</v>
      </c>
      <c r="C78" s="35"/>
      <c r="D78" s="35"/>
      <c r="E78" s="35"/>
      <c r="F78" s="35"/>
      <c r="G78" s="36" t="str">
        <f aca="false">IF(OR(C78="",D78=""),"",C78-D78)</f>
        <v/>
      </c>
      <c r="H78" s="36" t="str">
        <f aca="false">IF(OR(E78="",F78=""),"",E78-F78)</f>
        <v/>
      </c>
      <c r="I78" s="36" t="str">
        <f aca="false">IF(OR(G78="",H78=""),"",G78-H78)</f>
        <v/>
      </c>
      <c r="J78" s="36" t="str">
        <f aca="false">IF(COUNT(G67:G78)&lt;12,"",SUM(G67:G78))</f>
        <v/>
      </c>
      <c r="K78" s="36" t="str">
        <f aca="false">IF(COUNT(H67:H78)&lt;12,"",SUM(H67:H78))</f>
        <v/>
      </c>
      <c r="L78" s="36" t="str">
        <f aca="false">IF(COUNT(I67:I78)&lt;12,"",SUM(I67:I78))</f>
        <v/>
      </c>
    </row>
    <row r="79" customFormat="false" ht="15" hidden="false" customHeight="false" outlineLevel="0" collapsed="false">
      <c r="B79" s="8" t="s">
        <v>74</v>
      </c>
      <c r="C79" s="35"/>
      <c r="D79" s="35"/>
      <c r="E79" s="35"/>
      <c r="F79" s="35"/>
      <c r="G79" s="36" t="str">
        <f aca="false">IF(OR(C79="",D79=""),"",C79-D79)</f>
        <v/>
      </c>
      <c r="H79" s="36" t="str">
        <f aca="false">IF(OR(E79="",F79=""),"",E79-F79)</f>
        <v/>
      </c>
      <c r="I79" s="36" t="str">
        <f aca="false">IF(OR(G79="",H79=""),"",G79-H79)</f>
        <v/>
      </c>
      <c r="J79" s="36" t="str">
        <f aca="false">IF(COUNT(G68:G79)&lt;12,"",SUM(G68:G79))</f>
        <v/>
      </c>
      <c r="K79" s="36" t="str">
        <f aca="false">IF(COUNT(H68:H79)&lt;12,"",SUM(H68:H79))</f>
        <v/>
      </c>
      <c r="L79" s="36" t="str">
        <f aca="false">IF(COUNT(I68:I79)&lt;12,"",SUM(I68:I79))</f>
        <v/>
      </c>
    </row>
    <row r="80" customFormat="false" ht="15" hidden="false" customHeight="false" outlineLevel="0" collapsed="false">
      <c r="B80" s="8" t="s">
        <v>75</v>
      </c>
      <c r="C80" s="35"/>
      <c r="D80" s="35"/>
      <c r="E80" s="35"/>
      <c r="F80" s="35"/>
      <c r="G80" s="36" t="str">
        <f aca="false">IF(OR(C80="",D80=""),"",C80-D80)</f>
        <v/>
      </c>
      <c r="H80" s="36" t="str">
        <f aca="false">IF(OR(E80="",F80=""),"",E80-F80)</f>
        <v/>
      </c>
      <c r="I80" s="36" t="str">
        <f aca="false">IF(OR(G80="",H80=""),"",G80-H80)</f>
        <v/>
      </c>
      <c r="J80" s="36" t="str">
        <f aca="false">IF(COUNT(G69:G80)&lt;12,"",SUM(G69:G80))</f>
        <v/>
      </c>
      <c r="K80" s="36" t="str">
        <f aca="false">IF(COUNT(H69:H80)&lt;12,"",SUM(H69:H80))</f>
        <v/>
      </c>
      <c r="L80" s="36" t="str">
        <f aca="false">IF(COUNT(I69:I80)&lt;12,"",SUM(I69:I80))</f>
        <v/>
      </c>
    </row>
    <row r="81" customFormat="false" ht="15" hidden="false" customHeight="false" outlineLevel="0" collapsed="false">
      <c r="B81" s="8" t="s">
        <v>76</v>
      </c>
      <c r="C81" s="35"/>
      <c r="D81" s="35"/>
      <c r="E81" s="35"/>
      <c r="F81" s="35"/>
      <c r="G81" s="36" t="str">
        <f aca="false">IF(OR(C81="",D81=""),"",C81-D81)</f>
        <v/>
      </c>
      <c r="H81" s="36" t="str">
        <f aca="false">IF(OR(E81="",F81=""),"",E81-F81)</f>
        <v/>
      </c>
      <c r="I81" s="36" t="str">
        <f aca="false">IF(OR(G81="",H81=""),"",G81-H81)</f>
        <v/>
      </c>
      <c r="J81" s="36" t="str">
        <f aca="false">IF(COUNT(G70:G81)&lt;12,"",SUM(G70:G81))</f>
        <v/>
      </c>
      <c r="K81" s="36" t="str">
        <f aca="false">IF(COUNT(H70:H81)&lt;12,"",SUM(H70:H81))</f>
        <v/>
      </c>
      <c r="L81" s="36" t="str">
        <f aca="false">IF(COUNT(I70:I81)&lt;12,"",SUM(I70:I81))</f>
        <v/>
      </c>
    </row>
    <row r="82" customFormat="false" ht="15" hidden="false" customHeight="false" outlineLevel="0" collapsed="false">
      <c r="B82" s="8" t="s">
        <v>77</v>
      </c>
      <c r="C82" s="35"/>
      <c r="D82" s="35"/>
      <c r="E82" s="35"/>
      <c r="F82" s="35"/>
      <c r="G82" s="36" t="str">
        <f aca="false">IF(OR(C82="",D82=""),"",C82-D82)</f>
        <v/>
      </c>
      <c r="H82" s="36" t="str">
        <f aca="false">IF(OR(E82="",F82=""),"",E82-F82)</f>
        <v/>
      </c>
      <c r="I82" s="36" t="str">
        <f aca="false">IF(OR(G82="",H82=""),"",G82-H82)</f>
        <v/>
      </c>
      <c r="J82" s="36" t="str">
        <f aca="false">IF(COUNT(G71:G82)&lt;12,"",SUM(G71:G82))</f>
        <v/>
      </c>
      <c r="K82" s="36" t="str">
        <f aca="false">IF(COUNT(H71:H82)&lt;12,"",SUM(H71:H82))</f>
        <v/>
      </c>
      <c r="L82" s="36" t="str">
        <f aca="false">IF(COUNT(I71:I82)&lt;12,"",SUM(I71:I82))</f>
        <v/>
      </c>
    </row>
    <row r="83" customFormat="false" ht="15" hidden="false" customHeight="false" outlineLevel="0" collapsed="false">
      <c r="B83" s="8" t="s">
        <v>78</v>
      </c>
      <c r="C83" s="35"/>
      <c r="D83" s="35"/>
      <c r="E83" s="35"/>
      <c r="F83" s="35"/>
      <c r="G83" s="36" t="str">
        <f aca="false">IF(OR(C83="",D83=""),"",C83-D83)</f>
        <v/>
      </c>
      <c r="H83" s="36" t="str">
        <f aca="false">IF(OR(E83="",F83=""),"",E83-F83)</f>
        <v/>
      </c>
      <c r="I83" s="36" t="str">
        <f aca="false">IF(OR(G83="",H83=""),"",G83-H83)</f>
        <v/>
      </c>
      <c r="J83" s="36" t="str">
        <f aca="false">IF(COUNT(G72:G83)&lt;12,"",SUM(G72:G83))</f>
        <v/>
      </c>
      <c r="K83" s="36" t="str">
        <f aca="false">IF(COUNT(H72:H83)&lt;12,"",SUM(H72:H83))</f>
        <v/>
      </c>
      <c r="L83" s="36" t="str">
        <f aca="false">IF(COUNT(I72:I83)&lt;12,"",SUM(I72:I83))</f>
        <v/>
      </c>
    </row>
    <row r="84" customFormat="false" ht="15" hidden="false" customHeight="false" outlineLevel="0" collapsed="false">
      <c r="B84" s="8" t="s">
        <v>79</v>
      </c>
      <c r="C84" s="35"/>
      <c r="D84" s="35"/>
      <c r="E84" s="35"/>
      <c r="F84" s="35"/>
      <c r="G84" s="36" t="str">
        <f aca="false">IF(OR(C84="",D84=""),"",C84-D84)</f>
        <v/>
      </c>
      <c r="H84" s="36" t="str">
        <f aca="false">IF(OR(E84="",F84=""),"",E84-F84)</f>
        <v/>
      </c>
      <c r="I84" s="36" t="str">
        <f aca="false">IF(OR(G84="",H84=""),"",G84-H84)</f>
        <v/>
      </c>
      <c r="J84" s="36" t="str">
        <f aca="false">IF(COUNT(G73:G84)&lt;12,"",SUM(G73:G84))</f>
        <v/>
      </c>
      <c r="K84" s="36" t="str">
        <f aca="false">IF(COUNT(H73:H84)&lt;12,"",SUM(H73:H84))</f>
        <v/>
      </c>
      <c r="L84" s="36" t="str">
        <f aca="false">IF(COUNT(I73:I84)&lt;12,"",SUM(I73:I84))</f>
        <v/>
      </c>
    </row>
    <row r="85" customFormat="false" ht="15" hidden="false" customHeight="false" outlineLevel="0" collapsed="false">
      <c r="B85" s="8" t="s">
        <v>80</v>
      </c>
      <c r="C85" s="35"/>
      <c r="D85" s="35"/>
      <c r="E85" s="35"/>
      <c r="F85" s="35"/>
      <c r="G85" s="36" t="str">
        <f aca="false">IF(OR(C85="",D85=""),"",C85-D85)</f>
        <v/>
      </c>
      <c r="H85" s="36" t="str">
        <f aca="false">IF(OR(E85="",F85=""),"",E85-F85)</f>
        <v/>
      </c>
      <c r="I85" s="36" t="str">
        <f aca="false">IF(OR(G85="",H85=""),"",G85-H85)</f>
        <v/>
      </c>
      <c r="J85" s="36" t="str">
        <f aca="false">IF(COUNT(G74:G85)&lt;12,"",SUM(G74:G85))</f>
        <v/>
      </c>
      <c r="K85" s="36" t="str">
        <f aca="false">IF(COUNT(H74:H85)&lt;12,"",SUM(H74:H85))</f>
        <v/>
      </c>
      <c r="L85" s="36" t="str">
        <f aca="false">IF(COUNT(I74:I85)&lt;12,"",SUM(I74:I85))</f>
        <v/>
      </c>
    </row>
    <row r="86" customFormat="false" ht="15" hidden="false" customHeight="false" outlineLevel="0" collapsed="false">
      <c r="B86" s="8" t="s">
        <v>81</v>
      </c>
      <c r="C86" s="35"/>
      <c r="D86" s="35"/>
      <c r="E86" s="35"/>
      <c r="F86" s="35"/>
      <c r="G86" s="36" t="str">
        <f aca="false">IF(OR(C86="",D86=""),"",C86-D86)</f>
        <v/>
      </c>
      <c r="H86" s="36" t="str">
        <f aca="false">IF(OR(E86="",F86=""),"",E86-F86)</f>
        <v/>
      </c>
      <c r="I86" s="36" t="str">
        <f aca="false">IF(OR(G86="",H86=""),"",G86-H86)</f>
        <v/>
      </c>
      <c r="J86" s="36" t="str">
        <f aca="false">IF(COUNT(G75:G86)&lt;12,"",SUM(G75:G86))</f>
        <v/>
      </c>
      <c r="K86" s="36" t="str">
        <f aca="false">IF(COUNT(H75:H86)&lt;12,"",SUM(H75:H86))</f>
        <v/>
      </c>
      <c r="L86" s="36" t="str">
        <f aca="false">IF(COUNT(I75:I86)&lt;12,"",SUM(I75:I86))</f>
        <v/>
      </c>
    </row>
    <row r="87" customFormat="false" ht="15" hidden="false" customHeight="false" outlineLevel="0" collapsed="false">
      <c r="B87" s="8" t="s">
        <v>82</v>
      </c>
      <c r="C87" s="35"/>
      <c r="D87" s="35"/>
      <c r="E87" s="35"/>
      <c r="F87" s="35"/>
      <c r="G87" s="36" t="str">
        <f aca="false">IF(OR(C87="",D87=""),"",C87-D87)</f>
        <v/>
      </c>
      <c r="H87" s="36" t="str">
        <f aca="false">IF(OR(E87="",F87=""),"",E87-F87)</f>
        <v/>
      </c>
      <c r="I87" s="36" t="str">
        <f aca="false">IF(OR(G87="",H87=""),"",G87-H87)</f>
        <v/>
      </c>
      <c r="J87" s="36" t="str">
        <f aca="false">IF(COUNT(G76:G87)&lt;12,"",SUM(G76:G87))</f>
        <v/>
      </c>
      <c r="K87" s="36" t="str">
        <f aca="false">IF(COUNT(H76:H87)&lt;12,"",SUM(H76:H87))</f>
        <v/>
      </c>
      <c r="L87" s="36" t="str">
        <f aca="false">IF(COUNT(I76:I87)&lt;12,"",SUM(I76:I87))</f>
        <v/>
      </c>
    </row>
    <row r="88" customFormat="false" ht="15" hidden="false" customHeight="false" outlineLevel="0" collapsed="false">
      <c r="B88" s="8" t="s">
        <v>83</v>
      </c>
      <c r="C88" s="35"/>
      <c r="D88" s="35"/>
      <c r="E88" s="35"/>
      <c r="F88" s="35"/>
      <c r="G88" s="36" t="str">
        <f aca="false">IF(OR(C88="",D88=""),"",C88-D88)</f>
        <v/>
      </c>
      <c r="H88" s="36" t="str">
        <f aca="false">IF(OR(E88="",F88=""),"",E88-F88)</f>
        <v/>
      </c>
      <c r="I88" s="36" t="str">
        <f aca="false">IF(OR(G88="",H88=""),"",G88-H88)</f>
        <v/>
      </c>
      <c r="J88" s="36" t="str">
        <f aca="false">IF(COUNT(G77:G88)&lt;12,"",SUM(G77:G88))</f>
        <v/>
      </c>
      <c r="K88" s="36" t="str">
        <f aca="false">IF(COUNT(H77:H88)&lt;12,"",SUM(H77:H88))</f>
        <v/>
      </c>
      <c r="L88" s="36" t="str">
        <f aca="false">IF(COUNT(I77:I88)&lt;12,"",SUM(I77:I88))</f>
        <v/>
      </c>
    </row>
    <row r="89" customFormat="false" ht="15" hidden="false" customHeight="false" outlineLevel="0" collapsed="false">
      <c r="B89" s="8" t="s">
        <v>84</v>
      </c>
      <c r="C89" s="35"/>
      <c r="D89" s="35"/>
      <c r="E89" s="35"/>
      <c r="F89" s="35"/>
      <c r="G89" s="36" t="str">
        <f aca="false">IF(OR(C89="",D89=""),"",C89-D89)</f>
        <v/>
      </c>
      <c r="H89" s="36" t="str">
        <f aca="false">IF(OR(E89="",F89=""),"",E89-F89)</f>
        <v/>
      </c>
      <c r="I89" s="36" t="str">
        <f aca="false">IF(OR(G89="",H89=""),"",G89-H89)</f>
        <v/>
      </c>
      <c r="J89" s="36" t="str">
        <f aca="false">IF(COUNT(G78:G89)&lt;12,"",SUM(G78:G89))</f>
        <v/>
      </c>
      <c r="K89" s="36" t="str">
        <f aca="false">IF(COUNT(H78:H89)&lt;12,"",SUM(H78:H89))</f>
        <v/>
      </c>
      <c r="L89" s="36" t="str">
        <f aca="false">IF(COUNT(I78:I89)&lt;12,"",SUM(I78:I89))</f>
        <v/>
      </c>
    </row>
    <row r="90" customFormat="false" ht="15" hidden="false" customHeight="false" outlineLevel="0" collapsed="false">
      <c r="B90" s="8" t="s">
        <v>85</v>
      </c>
      <c r="C90" s="35"/>
      <c r="D90" s="35"/>
      <c r="E90" s="35"/>
      <c r="F90" s="35"/>
      <c r="G90" s="36" t="str">
        <f aca="false">IF(OR(C90="",D90=""),"",C90-D90)</f>
        <v/>
      </c>
      <c r="H90" s="36" t="str">
        <f aca="false">IF(OR(E90="",F90=""),"",E90-F90)</f>
        <v/>
      </c>
      <c r="I90" s="36" t="str">
        <f aca="false">IF(OR(G90="",H90=""),"",G90-H90)</f>
        <v/>
      </c>
      <c r="J90" s="36" t="str">
        <f aca="false">IF(COUNT(G79:G90)&lt;12,"",SUM(G79:G90))</f>
        <v/>
      </c>
      <c r="K90" s="36" t="str">
        <f aca="false">IF(COUNT(H79:H90)&lt;12,"",SUM(H79:H90))</f>
        <v/>
      </c>
      <c r="L90" s="36" t="str">
        <f aca="false">IF(COUNT(I79:I90)&lt;12,"",SUM(I79:I90))</f>
        <v/>
      </c>
    </row>
    <row r="91" customFormat="false" ht="15" hidden="false" customHeight="false" outlineLevel="0" collapsed="false">
      <c r="B91" s="8" t="s">
        <v>86</v>
      </c>
      <c r="C91" s="35"/>
      <c r="D91" s="35"/>
      <c r="E91" s="35"/>
      <c r="F91" s="35"/>
      <c r="G91" s="36" t="str">
        <f aca="false">IF(OR(C91="",D91=""),"",C91-D91)</f>
        <v/>
      </c>
      <c r="H91" s="36" t="str">
        <f aca="false">IF(OR(E91="",F91=""),"",E91-F91)</f>
        <v/>
      </c>
      <c r="I91" s="36" t="str">
        <f aca="false">IF(OR(G91="",H91=""),"",G91-H91)</f>
        <v/>
      </c>
      <c r="J91" s="36" t="str">
        <f aca="false">IF(COUNT(G80:G91)&lt;12,"",SUM(G80:G91))</f>
        <v/>
      </c>
      <c r="K91" s="36" t="str">
        <f aca="false">IF(COUNT(H80:H91)&lt;12,"",SUM(H80:H91))</f>
        <v/>
      </c>
      <c r="L91" s="36" t="str">
        <f aca="false">IF(COUNT(I80:I91)&lt;12,"",SUM(I80:I91))</f>
        <v/>
      </c>
    </row>
    <row r="92" customFormat="false" ht="15" hidden="false" customHeight="false" outlineLevel="0" collapsed="false">
      <c r="B92" s="8" t="s">
        <v>87</v>
      </c>
      <c r="C92" s="35"/>
      <c r="D92" s="35"/>
      <c r="E92" s="35"/>
      <c r="F92" s="35"/>
      <c r="G92" s="36" t="str">
        <f aca="false">IF(OR(C92="",D92=""),"",C92-D92)</f>
        <v/>
      </c>
      <c r="H92" s="36" t="str">
        <f aca="false">IF(OR(E92="",F92=""),"",E92-F92)</f>
        <v/>
      </c>
      <c r="I92" s="36" t="str">
        <f aca="false">IF(OR(G92="",H92=""),"",G92-H92)</f>
        <v/>
      </c>
      <c r="J92" s="36" t="str">
        <f aca="false">IF(COUNT(G81:G92)&lt;12,"",SUM(G81:G92))</f>
        <v/>
      </c>
      <c r="K92" s="36" t="str">
        <f aca="false">IF(COUNT(H81:H92)&lt;12,"",SUM(H81:H92))</f>
        <v/>
      </c>
      <c r="L92" s="36" t="str">
        <f aca="false">IF(COUNT(I81:I92)&lt;12,"",SUM(I81:I92))</f>
        <v/>
      </c>
    </row>
    <row r="93" customFormat="false" ht="15" hidden="false" customHeight="false" outlineLevel="0" collapsed="false">
      <c r="B93" s="8" t="s">
        <v>88</v>
      </c>
      <c r="C93" s="35"/>
      <c r="D93" s="35"/>
      <c r="E93" s="35"/>
      <c r="F93" s="35"/>
      <c r="G93" s="36" t="str">
        <f aca="false">IF(OR(C93="",D93=""),"",C93-D93)</f>
        <v/>
      </c>
      <c r="H93" s="36" t="str">
        <f aca="false">IF(OR(E93="",F93=""),"",E93-F93)</f>
        <v/>
      </c>
      <c r="I93" s="36" t="str">
        <f aca="false">IF(OR(G93="",H93=""),"",G93-H93)</f>
        <v/>
      </c>
      <c r="J93" s="36" t="str">
        <f aca="false">IF(COUNT(G82:G93)&lt;12,"",SUM(G82:G93))</f>
        <v/>
      </c>
      <c r="K93" s="36" t="str">
        <f aca="false">IF(COUNT(H82:H93)&lt;12,"",SUM(H82:H93))</f>
        <v/>
      </c>
      <c r="L93" s="36" t="str">
        <f aca="false">IF(COUNT(I82:I93)&lt;12,"",SUM(I82:I93))</f>
        <v/>
      </c>
    </row>
    <row r="94" customFormat="false" ht="15" hidden="false" customHeight="false" outlineLevel="0" collapsed="false">
      <c r="B94" s="8" t="s">
        <v>89</v>
      </c>
      <c r="C94" s="35"/>
      <c r="D94" s="35"/>
      <c r="E94" s="35"/>
      <c r="F94" s="35"/>
      <c r="G94" s="36" t="str">
        <f aca="false">IF(OR(C94="",D94=""),"",C94-D94)</f>
        <v/>
      </c>
      <c r="H94" s="36" t="str">
        <f aca="false">IF(OR(E94="",F94=""),"",E94-F94)</f>
        <v/>
      </c>
      <c r="I94" s="36" t="str">
        <f aca="false">IF(OR(G94="",H94=""),"",G94-H94)</f>
        <v/>
      </c>
      <c r="J94" s="36" t="str">
        <f aca="false">IF(COUNT(G83:G94)&lt;12,"",SUM(G83:G94))</f>
        <v/>
      </c>
      <c r="K94" s="36" t="str">
        <f aca="false">IF(COUNT(H83:H94)&lt;12,"",SUM(H83:H94))</f>
        <v/>
      </c>
      <c r="L94" s="36" t="str">
        <f aca="false">IF(COUNT(I83:I94)&lt;12,"",SUM(I83:I94))</f>
        <v/>
      </c>
    </row>
    <row r="95" customFormat="false" ht="15" hidden="false" customHeight="false" outlineLevel="0" collapsed="false">
      <c r="B95" s="8" t="s">
        <v>90</v>
      </c>
      <c r="C95" s="35"/>
      <c r="D95" s="35"/>
      <c r="E95" s="35"/>
      <c r="F95" s="35"/>
      <c r="G95" s="36" t="str">
        <f aca="false">IF(OR(C95="",D95=""),"",C95-D95)</f>
        <v/>
      </c>
      <c r="H95" s="36" t="str">
        <f aca="false">IF(OR(E95="",F95=""),"",E95-F95)</f>
        <v/>
      </c>
      <c r="I95" s="36" t="str">
        <f aca="false">IF(OR(G95="",H95=""),"",G95-H95)</f>
        <v/>
      </c>
      <c r="J95" s="36" t="str">
        <f aca="false">IF(COUNT(G84:G95)&lt;12,"",SUM(G84:G95))</f>
        <v/>
      </c>
      <c r="K95" s="36" t="str">
        <f aca="false">IF(COUNT(H84:H95)&lt;12,"",SUM(H84:H95))</f>
        <v/>
      </c>
      <c r="L95" s="36" t="str">
        <f aca="false">IF(COUNT(I84:I95)&lt;12,"",SUM(I84:I95))</f>
        <v/>
      </c>
    </row>
    <row r="96" customFormat="false" ht="15" hidden="false" customHeight="false" outlineLevel="0" collapsed="false">
      <c r="B96" s="8" t="s">
        <v>91</v>
      </c>
      <c r="C96" s="35"/>
      <c r="D96" s="35"/>
      <c r="E96" s="35"/>
      <c r="F96" s="35"/>
      <c r="G96" s="36" t="str">
        <f aca="false">IF(OR(C96="",D96=""),"",C96-D96)</f>
        <v/>
      </c>
      <c r="H96" s="36" t="str">
        <f aca="false">IF(OR(E96="",F96=""),"",E96-F96)</f>
        <v/>
      </c>
      <c r="I96" s="36" t="str">
        <f aca="false">IF(OR(G96="",H96=""),"",G96-H96)</f>
        <v/>
      </c>
      <c r="J96" s="36" t="str">
        <f aca="false">IF(COUNT(G85:G96)&lt;12,"",SUM(G85:G96))</f>
        <v/>
      </c>
      <c r="K96" s="36" t="str">
        <f aca="false">IF(COUNT(H85:H96)&lt;12,"",SUM(H85:H96))</f>
        <v/>
      </c>
      <c r="L96" s="36" t="str">
        <f aca="false">IF(COUNT(I85:I96)&lt;12,"",SUM(I85:I96))</f>
        <v/>
      </c>
    </row>
    <row r="97" customFormat="false" ht="15" hidden="false" customHeight="false" outlineLevel="0" collapsed="false">
      <c r="B97" s="8" t="s">
        <v>92</v>
      </c>
      <c r="C97" s="35"/>
      <c r="D97" s="35"/>
      <c r="E97" s="35"/>
      <c r="F97" s="35"/>
      <c r="G97" s="36" t="str">
        <f aca="false">IF(OR(C97="",D97=""),"",C97-D97)</f>
        <v/>
      </c>
      <c r="H97" s="36" t="str">
        <f aca="false">IF(OR(E97="",F97=""),"",E97-F97)</f>
        <v/>
      </c>
      <c r="I97" s="36" t="str">
        <f aca="false">IF(OR(G97="",H97=""),"",G97-H97)</f>
        <v/>
      </c>
      <c r="J97" s="36" t="str">
        <f aca="false">IF(COUNT(G86:G97)&lt;12,"",SUM(G86:G97))</f>
        <v/>
      </c>
      <c r="K97" s="36" t="str">
        <f aca="false">IF(COUNT(H86:H97)&lt;12,"",SUM(H86:H97))</f>
        <v/>
      </c>
      <c r="L97" s="36" t="str">
        <f aca="false">IF(COUNT(I86:I97)&lt;12,"",SUM(I86:I97))</f>
        <v/>
      </c>
    </row>
    <row r="98" customFormat="false" ht="15" hidden="false" customHeight="false" outlineLevel="0" collapsed="false">
      <c r="B98" s="8" t="s">
        <v>93</v>
      </c>
      <c r="C98" s="35"/>
      <c r="D98" s="35"/>
      <c r="E98" s="35"/>
      <c r="F98" s="35"/>
      <c r="G98" s="36" t="str">
        <f aca="false">IF(OR(C98="",D98=""),"",C98-D98)</f>
        <v/>
      </c>
      <c r="H98" s="36" t="str">
        <f aca="false">IF(OR(E98="",F98=""),"",E98-F98)</f>
        <v/>
      </c>
      <c r="I98" s="36" t="str">
        <f aca="false">IF(OR(G98="",H98=""),"",G98-H98)</f>
        <v/>
      </c>
      <c r="J98" s="36" t="str">
        <f aca="false">IF(COUNT(G87:G98)&lt;12,"",SUM(G87:G98))</f>
        <v/>
      </c>
      <c r="K98" s="36" t="str">
        <f aca="false">IF(COUNT(H87:H98)&lt;12,"",SUM(H87:H98))</f>
        <v/>
      </c>
      <c r="L98" s="36" t="str">
        <f aca="false">IF(COUNT(I87:I98)&lt;12,"",SUM(I87:I98))</f>
        <v/>
      </c>
    </row>
    <row r="99" customFormat="false" ht="15" hidden="false" customHeight="false" outlineLevel="0" collapsed="false">
      <c r="B99" s="8" t="s">
        <v>94</v>
      </c>
      <c r="C99" s="35"/>
      <c r="D99" s="35"/>
      <c r="E99" s="35"/>
      <c r="F99" s="35"/>
      <c r="G99" s="36" t="str">
        <f aca="false">IF(OR(C99="",D99=""),"",C99-D99)</f>
        <v/>
      </c>
      <c r="H99" s="36" t="str">
        <f aca="false">IF(OR(E99="",F99=""),"",E99-F99)</f>
        <v/>
      </c>
      <c r="I99" s="36" t="str">
        <f aca="false">IF(OR(G99="",H99=""),"",G99-H99)</f>
        <v/>
      </c>
      <c r="J99" s="36" t="str">
        <f aca="false">IF(COUNT(G88:G99)&lt;12,"",SUM(G88:G99))</f>
        <v/>
      </c>
      <c r="K99" s="36" t="str">
        <f aca="false">IF(COUNT(H88:H99)&lt;12,"",SUM(H88:H99))</f>
        <v/>
      </c>
      <c r="L99" s="36" t="str">
        <f aca="false">IF(COUNT(I88:I99)&lt;12,"",SUM(I88:I99))</f>
        <v/>
      </c>
    </row>
    <row r="100" customFormat="false" ht="15" hidden="false" customHeight="false" outlineLevel="0" collapsed="false">
      <c r="B100" s="8" t="s">
        <v>95</v>
      </c>
      <c r="C100" s="35"/>
      <c r="D100" s="35"/>
      <c r="E100" s="35"/>
      <c r="F100" s="35"/>
      <c r="G100" s="36" t="str">
        <f aca="false">IF(OR(C100="",D100=""),"",C100-D100)</f>
        <v/>
      </c>
      <c r="H100" s="36" t="str">
        <f aca="false">IF(OR(E100="",F100=""),"",E100-F100)</f>
        <v/>
      </c>
      <c r="I100" s="36" t="str">
        <f aca="false">IF(OR(G100="",H100=""),"",G100-H100)</f>
        <v/>
      </c>
      <c r="J100" s="36" t="str">
        <f aca="false">IF(COUNT(G89:G100)&lt;12,"",SUM(G89:G100))</f>
        <v/>
      </c>
      <c r="K100" s="36" t="str">
        <f aca="false">IF(COUNT(H89:H100)&lt;12,"",SUM(H89:H100))</f>
        <v/>
      </c>
      <c r="L100" s="36" t="str">
        <f aca="false">IF(COUNT(I89:I100)&lt;12,"",SUM(I89:I100))</f>
        <v/>
      </c>
    </row>
    <row r="101" customFormat="false" ht="15" hidden="false" customHeight="false" outlineLevel="0" collapsed="false">
      <c r="B101" s="8" t="s">
        <v>96</v>
      </c>
      <c r="C101" s="35"/>
      <c r="D101" s="35"/>
      <c r="E101" s="35"/>
      <c r="F101" s="35"/>
      <c r="G101" s="36" t="str">
        <f aca="false">IF(OR(C101="",D101=""),"",C101-D101)</f>
        <v/>
      </c>
      <c r="H101" s="36" t="str">
        <f aca="false">IF(OR(E101="",F101=""),"",E101-F101)</f>
        <v/>
      </c>
      <c r="I101" s="36" t="str">
        <f aca="false">IF(OR(G101="",H101=""),"",G101-H101)</f>
        <v/>
      </c>
      <c r="J101" s="36" t="str">
        <f aca="false">IF(COUNT(G90:G101)&lt;12,"",SUM(G90:G101))</f>
        <v/>
      </c>
      <c r="K101" s="36" t="str">
        <f aca="false">IF(COUNT(H90:H101)&lt;12,"",SUM(H90:H101))</f>
        <v/>
      </c>
      <c r="L101" s="36" t="str">
        <f aca="false">IF(COUNT(I90:I101)&lt;12,"",SUM(I90:I101))</f>
        <v/>
      </c>
    </row>
    <row r="102" customFormat="false" ht="15" hidden="false" customHeight="false" outlineLevel="0" collapsed="false">
      <c r="B102" s="8" t="s">
        <v>97</v>
      </c>
      <c r="C102" s="35"/>
      <c r="D102" s="35"/>
      <c r="E102" s="35"/>
      <c r="F102" s="35"/>
      <c r="G102" s="36" t="str">
        <f aca="false">IF(OR(C102="",D102=""),"",C102-D102)</f>
        <v/>
      </c>
      <c r="H102" s="36" t="str">
        <f aca="false">IF(OR(E102="",F102=""),"",E102-F102)</f>
        <v/>
      </c>
      <c r="I102" s="36" t="str">
        <f aca="false">IF(OR(G102="",H102=""),"",G102-H102)</f>
        <v/>
      </c>
      <c r="J102" s="36" t="str">
        <f aca="false">IF(COUNT(G91:G102)&lt;12,"",SUM(G91:G102))</f>
        <v/>
      </c>
      <c r="K102" s="36" t="str">
        <f aca="false">IF(COUNT(H91:H102)&lt;12,"",SUM(H91:H102))</f>
        <v/>
      </c>
      <c r="L102" s="36" t="str">
        <f aca="false">IF(COUNT(I91:I102)&lt;12,"",SUM(I91:I102))</f>
        <v/>
      </c>
    </row>
    <row r="103" customFormat="false" ht="15" hidden="false" customHeight="false" outlineLevel="0" collapsed="false">
      <c r="B103" s="8" t="s">
        <v>98</v>
      </c>
      <c r="C103" s="35"/>
      <c r="D103" s="35"/>
      <c r="E103" s="35"/>
      <c r="F103" s="35"/>
      <c r="G103" s="36" t="str">
        <f aca="false">IF(OR(C103="",D103=""),"",C103-D103)</f>
        <v/>
      </c>
      <c r="H103" s="36" t="str">
        <f aca="false">IF(OR(E103="",F103=""),"",E103-F103)</f>
        <v/>
      </c>
      <c r="I103" s="36" t="str">
        <f aca="false">IF(OR(G103="",H103=""),"",G103-H103)</f>
        <v/>
      </c>
      <c r="J103" s="36" t="str">
        <f aca="false">IF(COUNT(G92:G103)&lt;12,"",SUM(G92:G103))</f>
        <v/>
      </c>
      <c r="K103" s="36" t="str">
        <f aca="false">IF(COUNT(H92:H103)&lt;12,"",SUM(H92:H103))</f>
        <v/>
      </c>
      <c r="L103" s="36" t="str">
        <f aca="false">IF(COUNT(I92:I103)&lt;12,"",SUM(I92:I103))</f>
        <v/>
      </c>
    </row>
    <row r="104" customFormat="false" ht="15" hidden="false" customHeight="false" outlineLevel="0" collapsed="false">
      <c r="B104" s="8" t="s">
        <v>99</v>
      </c>
      <c r="C104" s="35"/>
      <c r="D104" s="35"/>
      <c r="E104" s="35"/>
      <c r="F104" s="35"/>
      <c r="G104" s="36" t="str">
        <f aca="false">IF(OR(C104="",D104=""),"",C104-D104)</f>
        <v/>
      </c>
      <c r="H104" s="36" t="str">
        <f aca="false">IF(OR(E104="",F104=""),"",E104-F104)</f>
        <v/>
      </c>
      <c r="I104" s="36" t="str">
        <f aca="false">IF(OR(G104="",H104=""),"",G104-H104)</f>
        <v/>
      </c>
      <c r="J104" s="36" t="str">
        <f aca="false">IF(COUNT(G93:G104)&lt;12,"",SUM(G93:G104))</f>
        <v/>
      </c>
      <c r="K104" s="36" t="str">
        <f aca="false">IF(COUNT(H93:H104)&lt;12,"",SUM(H93:H104))</f>
        <v/>
      </c>
      <c r="L104" s="36" t="str">
        <f aca="false">IF(COUNT(I93:I104)&lt;12,"",SUM(I93:I104))</f>
        <v/>
      </c>
    </row>
    <row r="105" customFormat="false" ht="15" hidden="false" customHeight="false" outlineLevel="0" collapsed="false">
      <c r="B105" s="8" t="s">
        <v>100</v>
      </c>
      <c r="C105" s="35"/>
      <c r="D105" s="35"/>
      <c r="E105" s="35"/>
      <c r="F105" s="35"/>
      <c r="G105" s="36" t="str">
        <f aca="false">IF(OR(C105="",D105=""),"",C105-D105)</f>
        <v/>
      </c>
      <c r="H105" s="36" t="str">
        <f aca="false">IF(OR(E105="",F105=""),"",E105-F105)</f>
        <v/>
      </c>
      <c r="I105" s="36" t="str">
        <f aca="false">IF(OR(G105="",H105=""),"",G105-H105)</f>
        <v/>
      </c>
      <c r="J105" s="36" t="str">
        <f aca="false">IF(COUNT(G94:G105)&lt;12,"",SUM(G94:G105))</f>
        <v/>
      </c>
      <c r="K105" s="36" t="str">
        <f aca="false">IF(COUNT(H94:H105)&lt;12,"",SUM(H94:H105))</f>
        <v/>
      </c>
      <c r="L105" s="36" t="str">
        <f aca="false">IF(COUNT(I94:I105)&lt;12,"",SUM(I94:I105))</f>
        <v/>
      </c>
    </row>
    <row r="106" customFormat="false" ht="15" hidden="false" customHeight="false" outlineLevel="0" collapsed="false">
      <c r="B106" s="8" t="s">
        <v>101</v>
      </c>
      <c r="C106" s="35"/>
      <c r="D106" s="35"/>
      <c r="E106" s="35"/>
      <c r="F106" s="35"/>
      <c r="G106" s="36" t="str">
        <f aca="false">IF(OR(C106="",D106=""),"",C106-D106)</f>
        <v/>
      </c>
      <c r="H106" s="36" t="str">
        <f aca="false">IF(OR(E106="",F106=""),"",E106-F106)</f>
        <v/>
      </c>
      <c r="I106" s="36" t="str">
        <f aca="false">IF(OR(G106="",H106=""),"",G106-H106)</f>
        <v/>
      </c>
      <c r="J106" s="36" t="str">
        <f aca="false">IF(COUNT(G95:G106)&lt;12,"",SUM(G95:G106))</f>
        <v/>
      </c>
      <c r="K106" s="36" t="str">
        <f aca="false">IF(COUNT(H95:H106)&lt;12,"",SUM(H95:H106))</f>
        <v/>
      </c>
      <c r="L106" s="36" t="str">
        <f aca="false">IF(COUNT(I95:I106)&lt;12,"",SUM(I95:I106))</f>
        <v/>
      </c>
    </row>
    <row r="107" customFormat="false" ht="15" hidden="false" customHeight="false" outlineLevel="0" collapsed="false">
      <c r="B107" s="8" t="s">
        <v>102</v>
      </c>
      <c r="C107" s="35"/>
      <c r="D107" s="35"/>
      <c r="E107" s="35"/>
      <c r="F107" s="35"/>
      <c r="G107" s="36" t="str">
        <f aca="false">IF(OR(C107="",D107=""),"",C107-D107)</f>
        <v/>
      </c>
      <c r="H107" s="36" t="str">
        <f aca="false">IF(OR(E107="",F107=""),"",E107-F107)</f>
        <v/>
      </c>
      <c r="I107" s="36" t="str">
        <f aca="false">IF(OR(G107="",H107=""),"",G107-H107)</f>
        <v/>
      </c>
      <c r="J107" s="36" t="str">
        <f aca="false">IF(COUNT(G96:G107)&lt;12,"",SUM(G96:G107))</f>
        <v/>
      </c>
      <c r="K107" s="36" t="str">
        <f aca="false">IF(COUNT(H96:H107)&lt;12,"",SUM(H96:H107))</f>
        <v/>
      </c>
      <c r="L107" s="36" t="str">
        <f aca="false">IF(COUNT(I96:I107)&lt;12,"",SUM(I96:I107))</f>
        <v/>
      </c>
    </row>
    <row r="108" customFormat="false" ht="15" hidden="false" customHeight="false" outlineLevel="0" collapsed="false">
      <c r="B108" s="8" t="s">
        <v>103</v>
      </c>
      <c r="C108" s="35"/>
      <c r="D108" s="35"/>
      <c r="E108" s="35"/>
      <c r="F108" s="35"/>
      <c r="G108" s="36" t="str">
        <f aca="false">IF(OR(C108="",D108=""),"",C108-D108)</f>
        <v/>
      </c>
      <c r="H108" s="36" t="str">
        <f aca="false">IF(OR(E108="",F108=""),"",E108-F108)</f>
        <v/>
      </c>
      <c r="I108" s="36" t="str">
        <f aca="false">IF(OR(G108="",H108=""),"",G108-H108)</f>
        <v/>
      </c>
      <c r="J108" s="36" t="str">
        <f aca="false">IF(COUNT(G97:G108)&lt;12,"",SUM(G97:G108))</f>
        <v/>
      </c>
      <c r="K108" s="36" t="str">
        <f aca="false">IF(COUNT(H97:H108)&lt;12,"",SUM(H97:H108))</f>
        <v/>
      </c>
      <c r="L108" s="36" t="str">
        <f aca="false">IF(COUNT(I97:I108)&lt;12,"",SUM(I97:I108))</f>
        <v/>
      </c>
    </row>
    <row r="109" customFormat="false" ht="15" hidden="false" customHeight="false" outlineLevel="0" collapsed="false">
      <c r="B109" s="8" t="s">
        <v>104</v>
      </c>
      <c r="C109" s="35"/>
      <c r="D109" s="35"/>
      <c r="E109" s="35"/>
      <c r="F109" s="35"/>
      <c r="G109" s="36" t="str">
        <f aca="false">IF(OR(C109="",D109=""),"",C109-D109)</f>
        <v/>
      </c>
      <c r="H109" s="36" t="str">
        <f aca="false">IF(OR(E109="",F109=""),"",E109-F109)</f>
        <v/>
      </c>
      <c r="I109" s="36" t="str">
        <f aca="false">IF(OR(G109="",H109=""),"",G109-H109)</f>
        <v/>
      </c>
      <c r="J109" s="36" t="str">
        <f aca="false">IF(COUNT(G98:G109)&lt;12,"",SUM(G98:G109))</f>
        <v/>
      </c>
      <c r="K109" s="36" t="str">
        <f aca="false">IF(COUNT(H98:H109)&lt;12,"",SUM(H98:H109))</f>
        <v/>
      </c>
      <c r="L109" s="36" t="str">
        <f aca="false">IF(COUNT(I98:I109)&lt;12,"",SUM(I98:I109))</f>
        <v/>
      </c>
    </row>
    <row r="110" customFormat="false" ht="15" hidden="false" customHeight="false" outlineLevel="0" collapsed="false">
      <c r="B110" s="8" t="s">
        <v>105</v>
      </c>
      <c r="C110" s="35"/>
      <c r="D110" s="35"/>
      <c r="E110" s="35"/>
      <c r="F110" s="35"/>
      <c r="G110" s="36" t="str">
        <f aca="false">IF(OR(C110="",D110=""),"",C110-D110)</f>
        <v/>
      </c>
      <c r="H110" s="36" t="str">
        <f aca="false">IF(OR(E110="",F110=""),"",E110-F110)</f>
        <v/>
      </c>
      <c r="I110" s="36" t="str">
        <f aca="false">IF(OR(G110="",H110=""),"",G110-H110)</f>
        <v/>
      </c>
      <c r="J110" s="36" t="str">
        <f aca="false">IF(COUNT(G99:G110)&lt;12,"",SUM(G99:G110))</f>
        <v/>
      </c>
      <c r="K110" s="36" t="str">
        <f aca="false">IF(COUNT(H99:H110)&lt;12,"",SUM(H99:H110))</f>
        <v/>
      </c>
      <c r="L110" s="36" t="str">
        <f aca="false">IF(COUNT(I99:I110)&lt;12,"",SUM(I99:I110))</f>
        <v/>
      </c>
    </row>
    <row r="111" customFormat="false" ht="15" hidden="false" customHeight="false" outlineLevel="0" collapsed="false">
      <c r="B111" s="8" t="s">
        <v>106</v>
      </c>
      <c r="C111" s="35"/>
      <c r="D111" s="35"/>
      <c r="E111" s="35"/>
      <c r="F111" s="35"/>
      <c r="G111" s="36" t="str">
        <f aca="false">IF(OR(C111="",D111=""),"",C111-D111)</f>
        <v/>
      </c>
      <c r="H111" s="36" t="str">
        <f aca="false">IF(OR(E111="",F111=""),"",E111-F111)</f>
        <v/>
      </c>
      <c r="I111" s="36" t="str">
        <f aca="false">IF(OR(G111="",H111=""),"",G111-H111)</f>
        <v/>
      </c>
      <c r="J111" s="36" t="str">
        <f aca="false">IF(COUNT(G100:G111)&lt;12,"",SUM(G100:G111))</f>
        <v/>
      </c>
      <c r="K111" s="36" t="str">
        <f aca="false">IF(COUNT(H100:H111)&lt;12,"",SUM(H100:H111))</f>
        <v/>
      </c>
      <c r="L111" s="36" t="str">
        <f aca="false">IF(COUNT(I100:I111)&lt;12,"",SUM(I100:I111))</f>
        <v/>
      </c>
    </row>
    <row r="112" customFormat="false" ht="15" hidden="false" customHeight="false" outlineLevel="0" collapsed="false">
      <c r="B112" s="8" t="s">
        <v>107</v>
      </c>
      <c r="C112" s="35"/>
      <c r="D112" s="35"/>
      <c r="E112" s="35"/>
      <c r="F112" s="35"/>
      <c r="G112" s="36" t="str">
        <f aca="false">IF(OR(C112="",D112=""),"",C112-D112)</f>
        <v/>
      </c>
      <c r="H112" s="36" t="str">
        <f aca="false">IF(OR(E112="",F112=""),"",E112-F112)</f>
        <v/>
      </c>
      <c r="I112" s="36" t="str">
        <f aca="false">IF(OR(G112="",H112=""),"",G112-H112)</f>
        <v/>
      </c>
      <c r="J112" s="36" t="str">
        <f aca="false">IF(COUNT(G101:G112)&lt;12,"",SUM(G101:G112))</f>
        <v/>
      </c>
      <c r="K112" s="36" t="str">
        <f aca="false">IF(COUNT(H101:H112)&lt;12,"",SUM(H101:H112))</f>
        <v/>
      </c>
      <c r="L112" s="36" t="str">
        <f aca="false">IF(COUNT(I101:I112)&lt;12,"",SUM(I101:I112))</f>
        <v/>
      </c>
    </row>
    <row r="113" customFormat="false" ht="15" hidden="false" customHeight="false" outlineLevel="0" collapsed="false">
      <c r="B113" s="8" t="s">
        <v>108</v>
      </c>
      <c r="C113" s="35"/>
      <c r="D113" s="35"/>
      <c r="E113" s="35"/>
      <c r="F113" s="35"/>
      <c r="G113" s="36" t="str">
        <f aca="false">IF(OR(C113="",D113=""),"",C113-D113)</f>
        <v/>
      </c>
      <c r="H113" s="36" t="str">
        <f aca="false">IF(OR(E113="",F113=""),"",E113-F113)</f>
        <v/>
      </c>
      <c r="I113" s="36" t="str">
        <f aca="false">IF(OR(G113="",H113=""),"",G113-H113)</f>
        <v/>
      </c>
      <c r="J113" s="36" t="str">
        <f aca="false">IF(COUNT(G102:G113)&lt;12,"",SUM(G102:G113))</f>
        <v/>
      </c>
      <c r="K113" s="36" t="str">
        <f aca="false">IF(COUNT(H102:H113)&lt;12,"",SUM(H102:H113))</f>
        <v/>
      </c>
      <c r="L113" s="36" t="str">
        <f aca="false">IF(COUNT(I102:I113)&lt;12,"",SUM(I102:I113))</f>
        <v/>
      </c>
    </row>
    <row r="114" customFormat="false" ht="15" hidden="false" customHeight="false" outlineLevel="0" collapsed="false">
      <c r="B114" s="8" t="s">
        <v>109</v>
      </c>
      <c r="C114" s="35"/>
      <c r="D114" s="35"/>
      <c r="E114" s="35"/>
      <c r="F114" s="35"/>
      <c r="G114" s="36" t="str">
        <f aca="false">IF(OR(C114="",D114=""),"",C114-D114)</f>
        <v/>
      </c>
      <c r="H114" s="36" t="str">
        <f aca="false">IF(OR(E114="",F114=""),"",E114-F114)</f>
        <v/>
      </c>
      <c r="I114" s="36" t="str">
        <f aca="false">IF(OR(G114="",H114=""),"",G114-H114)</f>
        <v/>
      </c>
      <c r="J114" s="36" t="str">
        <f aca="false">IF(COUNT(G103:G114)&lt;12,"",SUM(G103:G114))</f>
        <v/>
      </c>
      <c r="K114" s="36" t="str">
        <f aca="false">IF(COUNT(H103:H114)&lt;12,"",SUM(H103:H114))</f>
        <v/>
      </c>
      <c r="L114" s="36" t="str">
        <f aca="false">IF(COUNT(I103:I114)&lt;12,"",SUM(I103:I114))</f>
        <v/>
      </c>
    </row>
    <row r="115" customFormat="false" ht="15" hidden="false" customHeight="false" outlineLevel="0" collapsed="false">
      <c r="B115" s="8" t="s">
        <v>110</v>
      </c>
      <c r="C115" s="35"/>
      <c r="D115" s="35"/>
      <c r="E115" s="35"/>
      <c r="F115" s="35"/>
      <c r="G115" s="36" t="str">
        <f aca="false">IF(OR(C115="",D115=""),"",C115-D115)</f>
        <v/>
      </c>
      <c r="H115" s="36" t="str">
        <f aca="false">IF(OR(E115="",F115=""),"",E115-F115)</f>
        <v/>
      </c>
      <c r="I115" s="36" t="str">
        <f aca="false">IF(OR(G115="",H115=""),"",G115-H115)</f>
        <v/>
      </c>
      <c r="J115" s="36" t="str">
        <f aca="false">IF(COUNT(G104:G115)&lt;12,"",SUM(G104:G115))</f>
        <v/>
      </c>
      <c r="K115" s="36" t="str">
        <f aca="false">IF(COUNT(H104:H115)&lt;12,"",SUM(H104:H115))</f>
        <v/>
      </c>
      <c r="L115" s="36" t="str">
        <f aca="false">IF(COUNT(I104:I115)&lt;12,"",SUM(I104:I115))</f>
        <v/>
      </c>
    </row>
    <row r="116" customFormat="false" ht="15" hidden="false" customHeight="false" outlineLevel="0" collapsed="false">
      <c r="B116" s="8" t="s">
        <v>111</v>
      </c>
      <c r="C116" s="35"/>
      <c r="D116" s="35"/>
      <c r="E116" s="35"/>
      <c r="F116" s="35"/>
      <c r="G116" s="36" t="str">
        <f aca="false">IF(OR(C116="",D116=""),"",C116-D116)</f>
        <v/>
      </c>
      <c r="H116" s="36" t="str">
        <f aca="false">IF(OR(E116="",F116=""),"",E116-F116)</f>
        <v/>
      </c>
      <c r="I116" s="36" t="str">
        <f aca="false">IF(OR(G116="",H116=""),"",G116-H116)</f>
        <v/>
      </c>
      <c r="J116" s="36" t="str">
        <f aca="false">IF(COUNT(G105:G116)&lt;12,"",SUM(G105:G116))</f>
        <v/>
      </c>
      <c r="K116" s="36" t="str">
        <f aca="false">IF(COUNT(H105:H116)&lt;12,"",SUM(H105:H116))</f>
        <v/>
      </c>
      <c r="L116" s="36" t="str">
        <f aca="false">IF(COUNT(I105:I116)&lt;12,"",SUM(I105:I116))</f>
        <v/>
      </c>
    </row>
    <row r="117" customFormat="false" ht="15" hidden="false" customHeight="false" outlineLevel="0" collapsed="false">
      <c r="B117" s="8" t="s">
        <v>112</v>
      </c>
      <c r="C117" s="35"/>
      <c r="D117" s="35"/>
      <c r="E117" s="35"/>
      <c r="F117" s="35"/>
      <c r="G117" s="36" t="str">
        <f aca="false">IF(OR(C117="",D117=""),"",C117-D117)</f>
        <v/>
      </c>
      <c r="H117" s="36" t="str">
        <f aca="false">IF(OR(E117="",F117=""),"",E117-F117)</f>
        <v/>
      </c>
      <c r="I117" s="36" t="str">
        <f aca="false">IF(OR(G117="",H117=""),"",G117-H117)</f>
        <v/>
      </c>
      <c r="J117" s="36" t="str">
        <f aca="false">IF(COUNT(G106:G117)&lt;12,"",SUM(G106:G117))</f>
        <v/>
      </c>
      <c r="K117" s="36" t="str">
        <f aca="false">IF(COUNT(H106:H117)&lt;12,"",SUM(H106:H117))</f>
        <v/>
      </c>
      <c r="L117" s="36" t="str">
        <f aca="false">IF(COUNT(I106:I117)&lt;12,"",SUM(I106:I117))</f>
        <v/>
      </c>
    </row>
    <row r="118" customFormat="false" ht="15" hidden="false" customHeight="false" outlineLevel="0" collapsed="false">
      <c r="B118" s="8" t="s">
        <v>113</v>
      </c>
      <c r="C118" s="35"/>
      <c r="D118" s="35"/>
      <c r="E118" s="35"/>
      <c r="F118" s="35"/>
      <c r="G118" s="36" t="str">
        <f aca="false">IF(OR(C118="",D118=""),"",C118-D118)</f>
        <v/>
      </c>
      <c r="H118" s="36" t="str">
        <f aca="false">IF(OR(E118="",F118=""),"",E118-F118)</f>
        <v/>
      </c>
      <c r="I118" s="36" t="str">
        <f aca="false">IF(OR(G118="",H118=""),"",G118-H118)</f>
        <v/>
      </c>
      <c r="J118" s="36" t="str">
        <f aca="false">IF(COUNT(G107:G118)&lt;12,"",SUM(G107:G118))</f>
        <v/>
      </c>
      <c r="K118" s="36" t="str">
        <f aca="false">IF(COUNT(H107:H118)&lt;12,"",SUM(H107:H118))</f>
        <v/>
      </c>
      <c r="L118" s="36" t="str">
        <f aca="false">IF(COUNT(I107:I118)&lt;12,"",SUM(I107:I118))</f>
        <v/>
      </c>
    </row>
    <row r="119" customFormat="false" ht="15" hidden="false" customHeight="false" outlineLevel="0" collapsed="false">
      <c r="B119" s="8" t="s">
        <v>114</v>
      </c>
      <c r="C119" s="35"/>
      <c r="D119" s="35"/>
      <c r="E119" s="35"/>
      <c r="F119" s="35"/>
      <c r="G119" s="36" t="str">
        <f aca="false">IF(OR(C119="",D119=""),"",C119-D119)</f>
        <v/>
      </c>
      <c r="H119" s="36" t="str">
        <f aca="false">IF(OR(E119="",F119=""),"",E119-F119)</f>
        <v/>
      </c>
      <c r="I119" s="36" t="str">
        <f aca="false">IF(OR(G119="",H119=""),"",G119-H119)</f>
        <v/>
      </c>
      <c r="J119" s="36" t="str">
        <f aca="false">IF(COUNT(G108:G119)&lt;12,"",SUM(G108:G119))</f>
        <v/>
      </c>
      <c r="K119" s="36" t="str">
        <f aca="false">IF(COUNT(H108:H119)&lt;12,"",SUM(H108:H119))</f>
        <v/>
      </c>
      <c r="L119" s="36" t="str">
        <f aca="false">IF(COUNT(I108:I119)&lt;12,"",SUM(I108:I119))</f>
        <v/>
      </c>
    </row>
    <row r="120" customFormat="false" ht="15" hidden="false" customHeight="false" outlineLevel="0" collapsed="false">
      <c r="B120" s="8" t="s">
        <v>115</v>
      </c>
      <c r="C120" s="35"/>
      <c r="D120" s="35"/>
      <c r="E120" s="35"/>
      <c r="F120" s="35"/>
      <c r="G120" s="36" t="str">
        <f aca="false">IF(OR(C120="",D120=""),"",C120-D120)</f>
        <v/>
      </c>
      <c r="H120" s="36" t="str">
        <f aca="false">IF(OR(E120="",F120=""),"",E120-F120)</f>
        <v/>
      </c>
      <c r="I120" s="36" t="str">
        <f aca="false">IF(OR(G120="",H120=""),"",G120-H120)</f>
        <v/>
      </c>
      <c r="J120" s="36" t="str">
        <f aca="false">IF(COUNT(G109:G120)&lt;12,"",SUM(G109:G120))</f>
        <v/>
      </c>
      <c r="K120" s="36" t="str">
        <f aca="false">IF(COUNT(H109:H120)&lt;12,"",SUM(H109:H120))</f>
        <v/>
      </c>
      <c r="L120" s="36" t="str">
        <f aca="false">IF(COUNT(I109:I120)&lt;12,"",SUM(I109:I120))</f>
        <v/>
      </c>
    </row>
    <row r="121" customFormat="false" ht="15" hidden="false" customHeight="false" outlineLevel="0" collapsed="false">
      <c r="B121" s="8" t="s">
        <v>116</v>
      </c>
      <c r="C121" s="35"/>
      <c r="D121" s="35"/>
      <c r="E121" s="35"/>
      <c r="F121" s="35"/>
      <c r="G121" s="36" t="str">
        <f aca="false">IF(OR(C121="",D121=""),"",C121-D121)</f>
        <v/>
      </c>
      <c r="H121" s="36" t="str">
        <f aca="false">IF(OR(E121="",F121=""),"",E121-F121)</f>
        <v/>
      </c>
      <c r="I121" s="36" t="str">
        <f aca="false">IF(OR(G121="",H121=""),"",G121-H121)</f>
        <v/>
      </c>
      <c r="J121" s="36" t="str">
        <f aca="false">IF(COUNT(G110:G121)&lt;12,"",SUM(G110:G121))</f>
        <v/>
      </c>
      <c r="K121" s="36" t="str">
        <f aca="false">IF(COUNT(H110:H121)&lt;12,"",SUM(H110:H121))</f>
        <v/>
      </c>
      <c r="L121" s="36" t="str">
        <f aca="false">IF(COUNT(I110:I121)&lt;12,"",SUM(I110:I121))</f>
        <v/>
      </c>
    </row>
    <row r="122" customFormat="false" ht="15" hidden="false" customHeight="false" outlineLevel="0" collapsed="false">
      <c r="B122" s="8" t="s">
        <v>117</v>
      </c>
      <c r="C122" s="35"/>
      <c r="D122" s="35"/>
      <c r="E122" s="35"/>
      <c r="F122" s="35"/>
      <c r="G122" s="36" t="str">
        <f aca="false">IF(OR(C122="",D122=""),"",C122-D122)</f>
        <v/>
      </c>
      <c r="H122" s="36" t="str">
        <f aca="false">IF(OR(E122="",F122=""),"",E122-F122)</f>
        <v/>
      </c>
      <c r="I122" s="36" t="str">
        <f aca="false">IF(OR(G122="",H122=""),"",G122-H122)</f>
        <v/>
      </c>
      <c r="J122" s="36" t="str">
        <f aca="false">IF(COUNT(G111:G122)&lt;12,"",SUM(G111:G122))</f>
        <v/>
      </c>
      <c r="K122" s="36" t="str">
        <f aca="false">IF(COUNT(H111:H122)&lt;12,"",SUM(H111:H122))</f>
        <v/>
      </c>
      <c r="L122" s="36" t="str">
        <f aca="false">IF(COUNT(I111:I122)&lt;12,"",SUM(I111:I122))</f>
        <v/>
      </c>
    </row>
    <row r="123" customFormat="false" ht="15" hidden="false" customHeight="false" outlineLevel="0" collapsed="false">
      <c r="B123" s="8" t="s">
        <v>118</v>
      </c>
      <c r="C123" s="35"/>
      <c r="D123" s="35"/>
      <c r="E123" s="35"/>
      <c r="F123" s="35"/>
      <c r="G123" s="36" t="str">
        <f aca="false">IF(OR(C123="",D123=""),"",C123-D123)</f>
        <v/>
      </c>
      <c r="H123" s="36" t="str">
        <f aca="false">IF(OR(E123="",F123=""),"",E123-F123)</f>
        <v/>
      </c>
      <c r="I123" s="36" t="str">
        <f aca="false">IF(OR(G123="",H123=""),"",G123-H123)</f>
        <v/>
      </c>
      <c r="J123" s="36" t="str">
        <f aca="false">IF(COUNT(G112:G123)&lt;12,"",SUM(G112:G123))</f>
        <v/>
      </c>
      <c r="K123" s="36" t="str">
        <f aca="false">IF(COUNT(H112:H123)&lt;12,"",SUM(H112:H123))</f>
        <v/>
      </c>
      <c r="L123" s="36" t="str">
        <f aca="false">IF(COUNT(I112:I123)&lt;12,"",SUM(I112:I123))</f>
        <v/>
      </c>
    </row>
    <row r="124" customFormat="false" ht="15" hidden="false" customHeight="false" outlineLevel="0" collapsed="false">
      <c r="B124" s="8" t="s">
        <v>119</v>
      </c>
      <c r="C124" s="35"/>
      <c r="D124" s="35"/>
      <c r="E124" s="35"/>
      <c r="F124" s="35"/>
      <c r="G124" s="36" t="str">
        <f aca="false">IF(OR(C124="",D124=""),"",C124-D124)</f>
        <v/>
      </c>
      <c r="H124" s="36" t="str">
        <f aca="false">IF(OR(E124="",F124=""),"",E124-F124)</f>
        <v/>
      </c>
      <c r="I124" s="36" t="str">
        <f aca="false">IF(OR(G124="",H124=""),"",G124-H124)</f>
        <v/>
      </c>
      <c r="J124" s="36" t="str">
        <f aca="false">IF(COUNT(G113:G124)&lt;12,"",SUM(G113:G124))</f>
        <v/>
      </c>
      <c r="K124" s="36" t="str">
        <f aca="false">IF(COUNT(H113:H124)&lt;12,"",SUM(H113:H124))</f>
        <v/>
      </c>
      <c r="L124" s="36" t="str">
        <f aca="false">IF(COUNT(I113:I124)&lt;12,"",SUM(I113:I124))</f>
        <v/>
      </c>
    </row>
    <row r="125" customFormat="false" ht="15" hidden="false" customHeight="false" outlineLevel="0" collapsed="false">
      <c r="B125" s="8" t="s">
        <v>120</v>
      </c>
      <c r="C125" s="35"/>
      <c r="D125" s="35"/>
      <c r="E125" s="35"/>
      <c r="F125" s="35"/>
      <c r="G125" s="36" t="str">
        <f aca="false">IF(OR(C125="",D125=""),"",C125-D125)</f>
        <v/>
      </c>
      <c r="H125" s="36" t="str">
        <f aca="false">IF(OR(E125="",F125=""),"",E125-F125)</f>
        <v/>
      </c>
      <c r="I125" s="36" t="str">
        <f aca="false">IF(OR(G125="",H125=""),"",G125-H125)</f>
        <v/>
      </c>
      <c r="J125" s="36" t="str">
        <f aca="false">IF(COUNT(G114:G125)&lt;12,"",SUM(G114:G125))</f>
        <v/>
      </c>
      <c r="K125" s="36" t="str">
        <f aca="false">IF(COUNT(H114:H125)&lt;12,"",SUM(H114:H125))</f>
        <v/>
      </c>
      <c r="L125" s="36" t="str">
        <f aca="false">IF(COUNT(I114:I125)&lt;12,"",SUM(I114:I125))</f>
        <v/>
      </c>
    </row>
    <row r="126" customFormat="false" ht="15" hidden="false" customHeight="false" outlineLevel="0" collapsed="false">
      <c r="B126" s="8" t="s">
        <v>121</v>
      </c>
      <c r="C126" s="35"/>
      <c r="D126" s="35"/>
      <c r="E126" s="35"/>
      <c r="F126" s="35"/>
      <c r="G126" s="36" t="str">
        <f aca="false">IF(OR(C126="",D126=""),"",C126-D126)</f>
        <v/>
      </c>
      <c r="H126" s="36" t="str">
        <f aca="false">IF(OR(E126="",F126=""),"",E126-F126)</f>
        <v/>
      </c>
      <c r="I126" s="36" t="str">
        <f aca="false">IF(OR(G126="",H126=""),"",G126-H126)</f>
        <v/>
      </c>
      <c r="J126" s="36" t="str">
        <f aca="false">IF(COUNT(G115:G126)&lt;12,"",SUM(G115:G126))</f>
        <v/>
      </c>
      <c r="K126" s="36" t="str">
        <f aca="false">IF(COUNT(H115:H126)&lt;12,"",SUM(H115:H126))</f>
        <v/>
      </c>
      <c r="L126" s="36" t="str">
        <f aca="false">IF(COUNT(I115:I126)&lt;12,"",SUM(I115:I126))</f>
        <v/>
      </c>
    </row>
    <row r="127" customFormat="false" ht="15" hidden="false" customHeight="false" outlineLevel="0" collapsed="false">
      <c r="B127" s="8" t="s">
        <v>122</v>
      </c>
      <c r="C127" s="35"/>
      <c r="D127" s="35"/>
      <c r="E127" s="35"/>
      <c r="F127" s="35"/>
      <c r="G127" s="36" t="str">
        <f aca="false">IF(OR(C127="",D127=""),"",C127-D127)</f>
        <v/>
      </c>
      <c r="H127" s="36" t="str">
        <f aca="false">IF(OR(E127="",F127=""),"",E127-F127)</f>
        <v/>
      </c>
      <c r="I127" s="36" t="str">
        <f aca="false">IF(OR(G127="",H127=""),"",G127-H127)</f>
        <v/>
      </c>
      <c r="J127" s="36" t="str">
        <f aca="false">IF(COUNT(G116:G127)&lt;12,"",SUM(G116:G127))</f>
        <v/>
      </c>
      <c r="K127" s="36" t="str">
        <f aca="false">IF(COUNT(H116:H127)&lt;12,"",SUM(H116:H127))</f>
        <v/>
      </c>
      <c r="L127" s="36" t="str">
        <f aca="false">IF(COUNT(I116:I127)&lt;12,"",SUM(I116:I127))</f>
        <v/>
      </c>
    </row>
    <row r="128" customFormat="false" ht="15" hidden="false" customHeight="false" outlineLevel="0" collapsed="false">
      <c r="B128" s="8" t="s">
        <v>123</v>
      </c>
      <c r="C128" s="35"/>
      <c r="D128" s="35"/>
      <c r="E128" s="35"/>
      <c r="F128" s="35"/>
      <c r="G128" s="36" t="str">
        <f aca="false">IF(OR(C128="",D128=""),"",C128-D128)</f>
        <v/>
      </c>
      <c r="H128" s="36" t="str">
        <f aca="false">IF(OR(E128="",F128=""),"",E128-F128)</f>
        <v/>
      </c>
      <c r="I128" s="36" t="str">
        <f aca="false">IF(OR(G128="",H128=""),"",G128-H128)</f>
        <v/>
      </c>
      <c r="J128" s="36" t="str">
        <f aca="false">IF(COUNT(G117:G128)&lt;12,"",SUM(G117:G128))</f>
        <v/>
      </c>
      <c r="K128" s="36" t="str">
        <f aca="false">IF(COUNT(H117:H128)&lt;12,"",SUM(H117:H128))</f>
        <v/>
      </c>
      <c r="L128" s="36" t="str">
        <f aca="false">IF(COUNT(I117:I128)&lt;12,"",SUM(I117:I128))</f>
        <v/>
      </c>
    </row>
    <row r="129" customFormat="false" ht="15" hidden="false" customHeight="false" outlineLevel="0" collapsed="false">
      <c r="B129" s="8" t="s">
        <v>124</v>
      </c>
      <c r="C129" s="35"/>
      <c r="D129" s="35"/>
      <c r="E129" s="35"/>
      <c r="F129" s="35"/>
      <c r="G129" s="36" t="str">
        <f aca="false">IF(OR(C129="",D129=""),"",C129-D129)</f>
        <v/>
      </c>
      <c r="H129" s="36" t="str">
        <f aca="false">IF(OR(E129="",F129=""),"",E129-F129)</f>
        <v/>
      </c>
      <c r="I129" s="36" t="str">
        <f aca="false">IF(OR(G129="",H129=""),"",G129-H129)</f>
        <v/>
      </c>
      <c r="J129" s="36" t="str">
        <f aca="false">IF(COUNT(G118:G129)&lt;12,"",SUM(G118:G129))</f>
        <v/>
      </c>
      <c r="K129" s="36" t="str">
        <f aca="false">IF(COUNT(H118:H129)&lt;12,"",SUM(H118:H129))</f>
        <v/>
      </c>
      <c r="L129" s="36" t="str">
        <f aca="false">IF(COUNT(I118:I129)&lt;12,"",SUM(I118:I129))</f>
        <v/>
      </c>
    </row>
    <row r="130" customFormat="false" ht="15" hidden="false" customHeight="false" outlineLevel="0" collapsed="false">
      <c r="B130" s="8" t="s">
        <v>125</v>
      </c>
      <c r="C130" s="35"/>
      <c r="D130" s="35"/>
      <c r="E130" s="35"/>
      <c r="F130" s="35"/>
      <c r="G130" s="36" t="str">
        <f aca="false">IF(OR(C130="",D130=""),"",C130-D130)</f>
        <v/>
      </c>
      <c r="H130" s="36" t="str">
        <f aca="false">IF(OR(E130="",F130=""),"",E130-F130)</f>
        <v/>
      </c>
      <c r="I130" s="36" t="str">
        <f aca="false">IF(OR(G130="",H130=""),"",G130-H130)</f>
        <v/>
      </c>
      <c r="J130" s="36" t="str">
        <f aca="false">IF(COUNT(G119:G130)&lt;12,"",SUM(G119:G130))</f>
        <v/>
      </c>
      <c r="K130" s="36" t="str">
        <f aca="false">IF(COUNT(H119:H130)&lt;12,"",SUM(H119:H130))</f>
        <v/>
      </c>
      <c r="L130" s="36" t="str">
        <f aca="false">IF(COUNT(I119:I130)&lt;12,"",SUM(I119:I130))</f>
        <v/>
      </c>
    </row>
    <row r="131" customFormat="false" ht="15" hidden="false" customHeight="false" outlineLevel="0" collapsed="false">
      <c r="B131" s="8" t="s">
        <v>126</v>
      </c>
      <c r="C131" s="35"/>
      <c r="D131" s="35"/>
      <c r="E131" s="35"/>
      <c r="F131" s="35"/>
      <c r="G131" s="36" t="str">
        <f aca="false">IF(OR(C131="",D131=""),"",C131-D131)</f>
        <v/>
      </c>
      <c r="H131" s="36" t="str">
        <f aca="false">IF(OR(E131="",F131=""),"",E131-F131)</f>
        <v/>
      </c>
      <c r="I131" s="36" t="str">
        <f aca="false">IF(OR(G131="",H131=""),"",G131-H131)</f>
        <v/>
      </c>
      <c r="J131" s="36" t="str">
        <f aca="false">IF(COUNT(G120:G131)&lt;12,"",SUM(G120:G131))</f>
        <v/>
      </c>
      <c r="K131" s="36" t="str">
        <f aca="false">IF(COUNT(H120:H131)&lt;12,"",SUM(H120:H131))</f>
        <v/>
      </c>
      <c r="L131" s="36" t="str">
        <f aca="false">IF(COUNT(I120:I131)&lt;12,"",SUM(I120:I131))</f>
        <v/>
      </c>
    </row>
    <row r="132" customFormat="false" ht="15" hidden="false" customHeight="false" outlineLevel="0" collapsed="false">
      <c r="B132" s="8" t="s">
        <v>127</v>
      </c>
      <c r="C132" s="35"/>
      <c r="D132" s="35"/>
      <c r="E132" s="35"/>
      <c r="F132" s="35"/>
      <c r="G132" s="36" t="str">
        <f aca="false">IF(OR(C132="",D132=""),"",C132-D132)</f>
        <v/>
      </c>
      <c r="H132" s="36" t="str">
        <f aca="false">IF(OR(E132="",F132=""),"",E132-F132)</f>
        <v/>
      </c>
      <c r="I132" s="36" t="str">
        <f aca="false">IF(OR(G132="",H132=""),"",G132-H132)</f>
        <v/>
      </c>
      <c r="J132" s="36" t="str">
        <f aca="false">IF(COUNT(G121:G132)&lt;12,"",SUM(G121:G132))</f>
        <v/>
      </c>
      <c r="K132" s="36" t="str">
        <f aca="false">IF(COUNT(H121:H132)&lt;12,"",SUM(H121:H132))</f>
        <v/>
      </c>
      <c r="L132" s="36" t="str">
        <f aca="false">IF(COUNT(I121:I132)&lt;12,"",SUM(I121:I132))</f>
        <v/>
      </c>
    </row>
    <row r="133" customFormat="false" ht="15" hidden="false" customHeight="false" outlineLevel="0" collapsed="false">
      <c r="B133" s="8" t="s">
        <v>128</v>
      </c>
      <c r="C133" s="35"/>
      <c r="D133" s="35"/>
      <c r="E133" s="35"/>
      <c r="F133" s="35"/>
      <c r="G133" s="36" t="str">
        <f aca="false">IF(OR(C133="",D133=""),"",C133-D133)</f>
        <v/>
      </c>
      <c r="H133" s="36" t="str">
        <f aca="false">IF(OR(E133="",F133=""),"",E133-F133)</f>
        <v/>
      </c>
      <c r="I133" s="36" t="str">
        <f aca="false">IF(OR(G133="",H133=""),"",G133-H133)</f>
        <v/>
      </c>
      <c r="J133" s="36" t="str">
        <f aca="false">IF(COUNT(G122:G133)&lt;12,"",SUM(G122:G133))</f>
        <v/>
      </c>
      <c r="K133" s="36" t="str">
        <f aca="false">IF(COUNT(H122:H133)&lt;12,"",SUM(H122:H133))</f>
        <v/>
      </c>
      <c r="L133" s="36" t="str">
        <f aca="false">IF(COUNT(I122:I133)&lt;12,"",SUM(I122:I133))</f>
        <v/>
      </c>
    </row>
    <row r="134" customFormat="false" ht="15" hidden="false" customHeight="false" outlineLevel="0" collapsed="false">
      <c r="B134" s="8" t="s">
        <v>129</v>
      </c>
      <c r="C134" s="35"/>
      <c r="D134" s="35"/>
      <c r="E134" s="35"/>
      <c r="F134" s="35"/>
      <c r="G134" s="36" t="str">
        <f aca="false">IF(OR(C134="",D134=""),"",C134-D134)</f>
        <v/>
      </c>
      <c r="H134" s="36" t="str">
        <f aca="false">IF(OR(E134="",F134=""),"",E134-F134)</f>
        <v/>
      </c>
      <c r="I134" s="36" t="str">
        <f aca="false">IF(OR(G134="",H134=""),"",G134-H134)</f>
        <v/>
      </c>
      <c r="J134" s="36" t="str">
        <f aca="false">IF(COUNT(G123:G134)&lt;12,"",SUM(G123:G134))</f>
        <v/>
      </c>
      <c r="K134" s="36" t="str">
        <f aca="false">IF(COUNT(H123:H134)&lt;12,"",SUM(H123:H134))</f>
        <v/>
      </c>
      <c r="L134" s="36" t="str">
        <f aca="false">IF(COUNT(I123:I134)&lt;12,"",SUM(I123:I134))</f>
        <v/>
      </c>
    </row>
    <row r="135" customFormat="false" ht="15" hidden="false" customHeight="false" outlineLevel="0" collapsed="false">
      <c r="B135" s="8" t="s">
        <v>130</v>
      </c>
      <c r="C135" s="35"/>
      <c r="D135" s="35"/>
      <c r="E135" s="35"/>
      <c r="F135" s="35"/>
      <c r="G135" s="36" t="str">
        <f aca="false">IF(OR(C135="",D135=""),"",C135-D135)</f>
        <v/>
      </c>
      <c r="H135" s="36" t="str">
        <f aca="false">IF(OR(E135="",F135=""),"",E135-F135)</f>
        <v/>
      </c>
      <c r="I135" s="36" t="str">
        <f aca="false">IF(OR(G135="",H135=""),"",G135-H135)</f>
        <v/>
      </c>
      <c r="J135" s="36" t="str">
        <f aca="false">IF(COUNT(G124:G135)&lt;12,"",SUM(G124:G135))</f>
        <v/>
      </c>
      <c r="K135" s="36" t="str">
        <f aca="false">IF(COUNT(H124:H135)&lt;12,"",SUM(H124:H135))</f>
        <v/>
      </c>
      <c r="L135" s="36" t="str">
        <f aca="false">IF(COUNT(I124:I135)&lt;12,"",SUM(I124:I135))</f>
        <v/>
      </c>
    </row>
    <row r="136" customFormat="false" ht="15" hidden="false" customHeight="false" outlineLevel="0" collapsed="false">
      <c r="B136" s="8" t="s">
        <v>131</v>
      </c>
      <c r="C136" s="35"/>
      <c r="D136" s="35"/>
      <c r="E136" s="35"/>
      <c r="F136" s="35"/>
      <c r="G136" s="36" t="str">
        <f aca="false">IF(OR(C136="",D136=""),"",C136-D136)</f>
        <v/>
      </c>
      <c r="H136" s="36" t="str">
        <f aca="false">IF(OR(E136="",F136=""),"",E136-F136)</f>
        <v/>
      </c>
      <c r="I136" s="36" t="str">
        <f aca="false">IF(OR(G136="",H136=""),"",G136-H136)</f>
        <v/>
      </c>
      <c r="J136" s="36" t="str">
        <f aca="false">IF(COUNT(G125:G136)&lt;12,"",SUM(G125:G136))</f>
        <v/>
      </c>
      <c r="K136" s="36" t="str">
        <f aca="false">IF(COUNT(H125:H136)&lt;12,"",SUM(H125:H136))</f>
        <v/>
      </c>
      <c r="L136" s="36" t="str">
        <f aca="false">IF(COUNT(I125:I136)&lt;12,"",SUM(I125:I136))</f>
        <v/>
      </c>
    </row>
    <row r="137" customFormat="false" ht="15" hidden="false" customHeight="false" outlineLevel="0" collapsed="false">
      <c r="B137" s="8" t="s">
        <v>132</v>
      </c>
      <c r="C137" s="35"/>
      <c r="D137" s="35"/>
      <c r="E137" s="35"/>
      <c r="F137" s="35"/>
      <c r="G137" s="36" t="str">
        <f aca="false">IF(OR(C137="",D137=""),"",C137-D137)</f>
        <v/>
      </c>
      <c r="H137" s="36" t="str">
        <f aca="false">IF(OR(E137="",F137=""),"",E137-F137)</f>
        <v/>
      </c>
      <c r="I137" s="36" t="str">
        <f aca="false">IF(OR(G137="",H137=""),"",G137-H137)</f>
        <v/>
      </c>
      <c r="J137" s="36" t="str">
        <f aca="false">IF(COUNT(G126:G137)&lt;12,"",SUM(G126:G137))</f>
        <v/>
      </c>
      <c r="K137" s="36" t="str">
        <f aca="false">IF(COUNT(H126:H137)&lt;12,"",SUM(H126:H137))</f>
        <v/>
      </c>
      <c r="L137" s="36" t="str">
        <f aca="false">IF(COUNT(I126:I137)&lt;12,"",SUM(I126:I137))</f>
        <v/>
      </c>
    </row>
    <row r="138" customFormat="false" ht="15" hidden="false" customHeight="false" outlineLevel="0" collapsed="false">
      <c r="B138" s="8" t="s">
        <v>133</v>
      </c>
      <c r="C138" s="35"/>
      <c r="D138" s="35"/>
      <c r="E138" s="35"/>
      <c r="F138" s="35"/>
      <c r="G138" s="36" t="str">
        <f aca="false">IF(OR(C138="",D138=""),"",C138-D138)</f>
        <v/>
      </c>
      <c r="H138" s="36" t="str">
        <f aca="false">IF(OR(E138="",F138=""),"",E138-F138)</f>
        <v/>
      </c>
      <c r="I138" s="36" t="str">
        <f aca="false">IF(OR(G138="",H138=""),"",G138-H138)</f>
        <v/>
      </c>
      <c r="J138" s="36" t="str">
        <f aca="false">IF(COUNT(G127:G138)&lt;12,"",SUM(G127:G138))</f>
        <v/>
      </c>
      <c r="K138" s="36" t="str">
        <f aca="false">IF(COUNT(H127:H138)&lt;12,"",SUM(H127:H138))</f>
        <v/>
      </c>
      <c r="L138" s="36" t="str">
        <f aca="false">IF(COUNT(I127:I138)&lt;12,"",SUM(I127:I138))</f>
        <v/>
      </c>
    </row>
    <row r="139" customFormat="false" ht="15" hidden="false" customHeight="false" outlineLevel="0" collapsed="false">
      <c r="B139" s="8" t="s">
        <v>134</v>
      </c>
      <c r="C139" s="35"/>
      <c r="D139" s="35"/>
      <c r="E139" s="35"/>
      <c r="F139" s="35"/>
      <c r="G139" s="36" t="str">
        <f aca="false">IF(OR(C139="",D139=""),"",C139-D139)</f>
        <v/>
      </c>
      <c r="H139" s="36" t="str">
        <f aca="false">IF(OR(E139="",F139=""),"",E139-F139)</f>
        <v/>
      </c>
      <c r="I139" s="36" t="str">
        <f aca="false">IF(OR(G139="",H139=""),"",G139-H139)</f>
        <v/>
      </c>
      <c r="J139" s="36" t="str">
        <f aca="false">IF(COUNT(G128:G139)&lt;12,"",SUM(G128:G139))</f>
        <v/>
      </c>
      <c r="K139" s="36" t="str">
        <f aca="false">IF(COUNT(H128:H139)&lt;12,"",SUM(H128:H139))</f>
        <v/>
      </c>
      <c r="L139" s="36" t="str">
        <f aca="false">IF(COUNT(I128:I139)&lt;12,"",SUM(I128:I139))</f>
        <v/>
      </c>
    </row>
    <row r="140" customFormat="false" ht="15" hidden="false" customHeight="false" outlineLevel="0" collapsed="false">
      <c r="B140" s="8" t="s">
        <v>135</v>
      </c>
      <c r="C140" s="35"/>
      <c r="D140" s="35"/>
      <c r="E140" s="35"/>
      <c r="F140" s="35"/>
      <c r="G140" s="36" t="str">
        <f aca="false">IF(OR(C140="",D140=""),"",C140-D140)</f>
        <v/>
      </c>
      <c r="H140" s="36" t="str">
        <f aca="false">IF(OR(E140="",F140=""),"",E140-F140)</f>
        <v/>
      </c>
      <c r="I140" s="36" t="str">
        <f aca="false">IF(OR(G140="",H140=""),"",G140-H140)</f>
        <v/>
      </c>
      <c r="J140" s="36" t="str">
        <f aca="false">IF(COUNT(G129:G140)&lt;12,"",SUM(G129:G140))</f>
        <v/>
      </c>
      <c r="K140" s="36" t="str">
        <f aca="false">IF(COUNT(H129:H140)&lt;12,"",SUM(H129:H140))</f>
        <v/>
      </c>
      <c r="L140" s="36" t="str">
        <f aca="false">IF(COUNT(I129:I140)&lt;12,"",SUM(I129:I140))</f>
        <v/>
      </c>
    </row>
    <row r="141" customFormat="false" ht="15" hidden="false" customHeight="false" outlineLevel="0" collapsed="false">
      <c r="B141" s="8" t="s">
        <v>136</v>
      </c>
      <c r="C141" s="35"/>
      <c r="D141" s="35"/>
      <c r="E141" s="35"/>
      <c r="F141" s="35"/>
      <c r="G141" s="36" t="str">
        <f aca="false">IF(OR(C141="",D141=""),"",C141-D141)</f>
        <v/>
      </c>
      <c r="H141" s="36" t="str">
        <f aca="false">IF(OR(E141="",F141=""),"",E141-F141)</f>
        <v/>
      </c>
      <c r="I141" s="36" t="str">
        <f aca="false">IF(OR(G141="",H141=""),"",G141-H141)</f>
        <v/>
      </c>
      <c r="J141" s="36" t="str">
        <f aca="false">IF(COUNT(G130:G141)&lt;12,"",SUM(G130:G141))</f>
        <v/>
      </c>
      <c r="K141" s="36" t="str">
        <f aca="false">IF(COUNT(H130:H141)&lt;12,"",SUM(H130:H141))</f>
        <v/>
      </c>
      <c r="L141" s="36" t="str">
        <f aca="false">IF(COUNT(I130:I141)&lt;12,"",SUM(I130:I141))</f>
        <v/>
      </c>
    </row>
    <row r="142" customFormat="false" ht="15" hidden="false" customHeight="false" outlineLevel="0" collapsed="false">
      <c r="B142" s="8" t="s">
        <v>137</v>
      </c>
      <c r="C142" s="35"/>
      <c r="D142" s="35"/>
      <c r="E142" s="35"/>
      <c r="F142" s="35"/>
      <c r="G142" s="36" t="str">
        <f aca="false">IF(OR(C142="",D142=""),"",C142-D142)</f>
        <v/>
      </c>
      <c r="H142" s="36" t="str">
        <f aca="false">IF(OR(E142="",F142=""),"",E142-F142)</f>
        <v/>
      </c>
      <c r="I142" s="36" t="str">
        <f aca="false">IF(OR(G142="",H142=""),"",G142-H142)</f>
        <v/>
      </c>
      <c r="J142" s="36" t="str">
        <f aca="false">IF(COUNT(G131:G142)&lt;12,"",SUM(G131:G142))</f>
        <v/>
      </c>
      <c r="K142" s="36" t="str">
        <f aca="false">IF(COUNT(H131:H142)&lt;12,"",SUM(H131:H142))</f>
        <v/>
      </c>
      <c r="L142" s="36" t="str">
        <f aca="false">IF(COUNT(I131:I142)&lt;12,"",SUM(I131:I142))</f>
        <v/>
      </c>
    </row>
    <row r="143" customFormat="false" ht="15" hidden="false" customHeight="false" outlineLevel="0" collapsed="false">
      <c r="B143" s="8" t="s">
        <v>138</v>
      </c>
      <c r="C143" s="35"/>
      <c r="D143" s="35"/>
      <c r="E143" s="35"/>
      <c r="F143" s="35"/>
      <c r="G143" s="36" t="str">
        <f aca="false">IF(OR(C143="",D143=""),"",C143-D143)</f>
        <v/>
      </c>
      <c r="H143" s="36" t="str">
        <f aca="false">IF(OR(E143="",F143=""),"",E143-F143)</f>
        <v/>
      </c>
      <c r="I143" s="36" t="str">
        <f aca="false">IF(OR(G143="",H143=""),"",G143-H143)</f>
        <v/>
      </c>
      <c r="J143" s="36" t="str">
        <f aca="false">IF(COUNT(G132:G143)&lt;12,"",SUM(G132:G143))</f>
        <v/>
      </c>
      <c r="K143" s="36" t="str">
        <f aca="false">IF(COUNT(H132:H143)&lt;12,"",SUM(H132:H143))</f>
        <v/>
      </c>
      <c r="L143" s="36" t="str">
        <f aca="false">IF(COUNT(I132:I143)&lt;12,"",SUM(I132:I143))</f>
        <v/>
      </c>
    </row>
    <row r="144" customFormat="false" ht="15" hidden="false" customHeight="false" outlineLevel="0" collapsed="false">
      <c r="B144" s="8" t="s">
        <v>139</v>
      </c>
      <c r="C144" s="35"/>
      <c r="D144" s="35"/>
      <c r="E144" s="35"/>
      <c r="F144" s="35"/>
      <c r="G144" s="36" t="str">
        <f aca="false">IF(OR(C144="",D144=""),"",C144-D144)</f>
        <v/>
      </c>
      <c r="H144" s="36" t="str">
        <f aca="false">IF(OR(E144="",F144=""),"",E144-F144)</f>
        <v/>
      </c>
      <c r="I144" s="36" t="str">
        <f aca="false">IF(OR(G144="",H144=""),"",G144-H144)</f>
        <v/>
      </c>
      <c r="J144" s="36" t="str">
        <f aca="false">IF(COUNT(G133:G144)&lt;12,"",SUM(G133:G144))</f>
        <v/>
      </c>
      <c r="K144" s="36" t="str">
        <f aca="false">IF(COUNT(H133:H144)&lt;12,"",SUM(H133:H144))</f>
        <v/>
      </c>
      <c r="L144" s="36" t="str">
        <f aca="false">IF(COUNT(I133:I144)&lt;12,"",SUM(I133:I144))</f>
        <v/>
      </c>
    </row>
    <row r="145" customFormat="false" ht="15" hidden="false" customHeight="false" outlineLevel="0" collapsed="false">
      <c r="B145" s="8" t="s">
        <v>140</v>
      </c>
      <c r="C145" s="35"/>
      <c r="D145" s="35"/>
      <c r="E145" s="35"/>
      <c r="F145" s="35"/>
      <c r="G145" s="36" t="str">
        <f aca="false">IF(OR(C145="",D145=""),"",C145-D145)</f>
        <v/>
      </c>
      <c r="H145" s="36" t="str">
        <f aca="false">IF(OR(E145="",F145=""),"",E145-F145)</f>
        <v/>
      </c>
      <c r="I145" s="36" t="str">
        <f aca="false">IF(OR(G145="",H145=""),"",G145-H145)</f>
        <v/>
      </c>
      <c r="J145" s="36" t="str">
        <f aca="false">IF(COUNT(G134:G145)&lt;12,"",SUM(G134:G145))</f>
        <v/>
      </c>
      <c r="K145" s="36" t="str">
        <f aca="false">IF(COUNT(H134:H145)&lt;12,"",SUM(H134:H145))</f>
        <v/>
      </c>
      <c r="L145" s="36" t="str">
        <f aca="false">IF(COUNT(I134:I145)&lt;12,"",SUM(I134:I145))</f>
        <v/>
      </c>
    </row>
    <row r="146" customFormat="false" ht="15" hidden="false" customHeight="false" outlineLevel="0" collapsed="false">
      <c r="B146" s="8" t="s">
        <v>141</v>
      </c>
      <c r="C146" s="35"/>
      <c r="D146" s="35"/>
      <c r="E146" s="35"/>
      <c r="F146" s="35"/>
      <c r="G146" s="36" t="str">
        <f aca="false">IF(OR(C146="",D146=""),"",C146-D146)</f>
        <v/>
      </c>
      <c r="H146" s="36" t="str">
        <f aca="false">IF(OR(E146="",F146=""),"",E146-F146)</f>
        <v/>
      </c>
      <c r="I146" s="36" t="str">
        <f aca="false">IF(OR(G146="",H146=""),"",G146-H146)</f>
        <v/>
      </c>
      <c r="J146" s="36" t="str">
        <f aca="false">IF(COUNT(G135:G146)&lt;12,"",SUM(G135:G146))</f>
        <v/>
      </c>
      <c r="K146" s="36" t="str">
        <f aca="false">IF(COUNT(H135:H146)&lt;12,"",SUM(H135:H146))</f>
        <v/>
      </c>
      <c r="L146" s="36" t="str">
        <f aca="false">IF(COUNT(I135:I146)&lt;12,"",SUM(I135:I146))</f>
        <v/>
      </c>
    </row>
    <row r="147" customFormat="false" ht="15" hidden="false" customHeight="false" outlineLevel="0" collapsed="false">
      <c r="B147" s="8" t="s">
        <v>142</v>
      </c>
      <c r="C147" s="35"/>
      <c r="D147" s="35"/>
      <c r="E147" s="35"/>
      <c r="F147" s="35"/>
      <c r="G147" s="36" t="str">
        <f aca="false">IF(OR(C147="",D147=""),"",C147-D147)</f>
        <v/>
      </c>
      <c r="H147" s="36" t="str">
        <f aca="false">IF(OR(E147="",F147=""),"",E147-F147)</f>
        <v/>
      </c>
      <c r="I147" s="36" t="str">
        <f aca="false">IF(OR(G147="",H147=""),"",G147-H147)</f>
        <v/>
      </c>
      <c r="J147" s="36" t="str">
        <f aca="false">IF(COUNT(G136:G147)&lt;12,"",SUM(G136:G147))</f>
        <v/>
      </c>
      <c r="K147" s="36" t="str">
        <f aca="false">IF(COUNT(H136:H147)&lt;12,"",SUM(H136:H147))</f>
        <v/>
      </c>
      <c r="L147" s="36" t="str">
        <f aca="false">IF(COUNT(I136:I147)&lt;12,"",SUM(I136:I147))</f>
        <v/>
      </c>
    </row>
    <row r="148" customFormat="false" ht="15" hidden="false" customHeight="false" outlineLevel="0" collapsed="false">
      <c r="B148" s="8" t="s">
        <v>143</v>
      </c>
      <c r="C148" s="35"/>
      <c r="D148" s="35"/>
      <c r="E148" s="35"/>
      <c r="F148" s="35"/>
      <c r="G148" s="36" t="str">
        <f aca="false">IF(OR(C148="",D148=""),"",C148-D148)</f>
        <v/>
      </c>
      <c r="H148" s="36" t="str">
        <f aca="false">IF(OR(E148="",F148=""),"",E148-F148)</f>
        <v/>
      </c>
      <c r="I148" s="36" t="str">
        <f aca="false">IF(OR(G148="",H148=""),"",G148-H148)</f>
        <v/>
      </c>
      <c r="J148" s="36" t="str">
        <f aca="false">IF(COUNT(G137:G148)&lt;12,"",SUM(G137:G148))</f>
        <v/>
      </c>
      <c r="K148" s="36" t="str">
        <f aca="false">IF(COUNT(H137:H148)&lt;12,"",SUM(H137:H148))</f>
        <v/>
      </c>
      <c r="L148" s="36" t="str">
        <f aca="false">IF(COUNT(I137:I148)&lt;12,"",SUM(I137:I148))</f>
        <v/>
      </c>
    </row>
    <row r="149" customFormat="false" ht="15" hidden="false" customHeight="false" outlineLevel="0" collapsed="false">
      <c r="B149" s="8" t="s">
        <v>144</v>
      </c>
      <c r="C149" s="35"/>
      <c r="D149" s="35"/>
      <c r="E149" s="35"/>
      <c r="F149" s="35"/>
      <c r="G149" s="36" t="str">
        <f aca="false">IF(OR(C149="",D149=""),"",C149-D149)</f>
        <v/>
      </c>
      <c r="H149" s="36" t="str">
        <f aca="false">IF(OR(E149="",F149=""),"",E149-F149)</f>
        <v/>
      </c>
      <c r="I149" s="36" t="str">
        <f aca="false">IF(OR(G149="",H149=""),"",G149-H149)</f>
        <v/>
      </c>
      <c r="J149" s="36" t="str">
        <f aca="false">IF(COUNT(G138:G149)&lt;12,"",SUM(G138:G149))</f>
        <v/>
      </c>
      <c r="K149" s="36" t="str">
        <f aca="false">IF(COUNT(H138:H149)&lt;12,"",SUM(H138:H149))</f>
        <v/>
      </c>
      <c r="L149" s="36" t="str">
        <f aca="false">IF(COUNT(I138:I149)&lt;12,"",SUM(I138:I149))</f>
        <v/>
      </c>
    </row>
    <row r="150" customFormat="false" ht="15" hidden="false" customHeight="false" outlineLevel="0" collapsed="false">
      <c r="B150" s="8" t="s">
        <v>145</v>
      </c>
      <c r="C150" s="35"/>
      <c r="D150" s="35"/>
      <c r="E150" s="35"/>
      <c r="F150" s="35"/>
      <c r="G150" s="36" t="str">
        <f aca="false">IF(OR(C150="",D150=""),"",C150-D150)</f>
        <v/>
      </c>
      <c r="H150" s="36" t="str">
        <f aca="false">IF(OR(E150="",F150=""),"",E150-F150)</f>
        <v/>
      </c>
      <c r="I150" s="36" t="str">
        <f aca="false">IF(OR(G150="",H150=""),"",G150-H150)</f>
        <v/>
      </c>
      <c r="J150" s="36" t="str">
        <f aca="false">IF(COUNT(G139:G150)&lt;12,"",SUM(G139:G150))</f>
        <v/>
      </c>
      <c r="K150" s="36" t="str">
        <f aca="false">IF(COUNT(H139:H150)&lt;12,"",SUM(H139:H150))</f>
        <v/>
      </c>
      <c r="L150" s="36" t="str">
        <f aca="false">IF(COUNT(I139:I150)&lt;12,"",SUM(I139:I150))</f>
        <v/>
      </c>
    </row>
    <row r="151" customFormat="false" ht="15" hidden="false" customHeight="false" outlineLevel="0" collapsed="false">
      <c r="B151" s="8" t="s">
        <v>146</v>
      </c>
      <c r="C151" s="35"/>
      <c r="D151" s="35"/>
      <c r="E151" s="35"/>
      <c r="F151" s="35"/>
      <c r="G151" s="36" t="str">
        <f aca="false">IF(OR(C151="",D151=""),"",C151-D151)</f>
        <v/>
      </c>
      <c r="H151" s="36" t="str">
        <f aca="false">IF(OR(E151="",F151=""),"",E151-F151)</f>
        <v/>
      </c>
      <c r="I151" s="36" t="str">
        <f aca="false">IF(OR(G151="",H151=""),"",G151-H151)</f>
        <v/>
      </c>
      <c r="J151" s="36" t="str">
        <f aca="false">IF(COUNT(G140:G151)&lt;12,"",SUM(G140:G151))</f>
        <v/>
      </c>
      <c r="K151" s="36" t="str">
        <f aca="false">IF(COUNT(H140:H151)&lt;12,"",SUM(H140:H151))</f>
        <v/>
      </c>
      <c r="L151" s="36" t="str">
        <f aca="false">IF(COUNT(I140:I151)&lt;12,"",SUM(I140:I151))</f>
        <v/>
      </c>
    </row>
    <row r="152" customFormat="false" ht="15" hidden="false" customHeight="false" outlineLevel="0" collapsed="false">
      <c r="B152" s="8" t="s">
        <v>147</v>
      </c>
      <c r="C152" s="35"/>
      <c r="D152" s="35"/>
      <c r="E152" s="35"/>
      <c r="F152" s="35"/>
      <c r="G152" s="36" t="str">
        <f aca="false">IF(OR(C152="",D152=""),"",C152-D152)</f>
        <v/>
      </c>
      <c r="H152" s="36" t="str">
        <f aca="false">IF(OR(E152="",F152=""),"",E152-F152)</f>
        <v/>
      </c>
      <c r="I152" s="36" t="str">
        <f aca="false">IF(OR(G152="",H152=""),"",G152-H152)</f>
        <v/>
      </c>
      <c r="J152" s="36" t="str">
        <f aca="false">IF(COUNT(G141:G152)&lt;12,"",SUM(G141:G152))</f>
        <v/>
      </c>
      <c r="K152" s="36" t="str">
        <f aca="false">IF(COUNT(H141:H152)&lt;12,"",SUM(H141:H152))</f>
        <v/>
      </c>
      <c r="L152" s="36" t="str">
        <f aca="false">IF(COUNT(I141:I152)&lt;12,"",SUM(I141:I152))</f>
        <v/>
      </c>
    </row>
    <row r="153" customFormat="false" ht="15" hidden="false" customHeight="false" outlineLevel="0" collapsed="false">
      <c r="B153" s="8" t="s">
        <v>148</v>
      </c>
      <c r="C153" s="35"/>
      <c r="D153" s="35"/>
      <c r="E153" s="35"/>
      <c r="F153" s="35"/>
      <c r="G153" s="36" t="str">
        <f aca="false">IF(OR(C153="",D153=""),"",C153-D153)</f>
        <v/>
      </c>
      <c r="H153" s="36" t="str">
        <f aca="false">IF(OR(E153="",F153=""),"",E153-F153)</f>
        <v/>
      </c>
      <c r="I153" s="36" t="str">
        <f aca="false">IF(OR(G153="",H153=""),"",G153-H153)</f>
        <v/>
      </c>
      <c r="J153" s="36" t="str">
        <f aca="false">IF(COUNT(G142:G153)&lt;12,"",SUM(G142:G153))</f>
        <v/>
      </c>
      <c r="K153" s="36" t="str">
        <f aca="false">IF(COUNT(H142:H153)&lt;12,"",SUM(H142:H153))</f>
        <v/>
      </c>
      <c r="L153" s="36" t="str">
        <f aca="false">IF(COUNT(I142:I153)&lt;12,"",SUM(I142:I153))</f>
        <v/>
      </c>
    </row>
    <row r="154" customFormat="false" ht="15" hidden="false" customHeight="false" outlineLevel="0" collapsed="false">
      <c r="B154" s="8" t="s">
        <v>149</v>
      </c>
      <c r="C154" s="35"/>
      <c r="D154" s="35"/>
      <c r="E154" s="35"/>
      <c r="F154" s="35"/>
      <c r="G154" s="36" t="str">
        <f aca="false">IF(OR(C154="",D154=""),"",C154-D154)</f>
        <v/>
      </c>
      <c r="H154" s="36" t="str">
        <f aca="false">IF(OR(E154="",F154=""),"",E154-F154)</f>
        <v/>
      </c>
      <c r="I154" s="36" t="str">
        <f aca="false">IF(OR(G154="",H154=""),"",G154-H154)</f>
        <v/>
      </c>
      <c r="J154" s="36" t="str">
        <f aca="false">IF(COUNT(G143:G154)&lt;12,"",SUM(G143:G154))</f>
        <v/>
      </c>
      <c r="K154" s="36" t="str">
        <f aca="false">IF(COUNT(H143:H154)&lt;12,"",SUM(H143:H154))</f>
        <v/>
      </c>
      <c r="L154" s="36" t="str">
        <f aca="false">IF(COUNT(I143:I154)&lt;12,"",SUM(I143:I154))</f>
        <v/>
      </c>
    </row>
    <row r="155" customFormat="false" ht="15" hidden="false" customHeight="false" outlineLevel="0" collapsed="false">
      <c r="B155" s="8" t="s">
        <v>150</v>
      </c>
      <c r="C155" s="35"/>
      <c r="D155" s="35"/>
      <c r="E155" s="35"/>
      <c r="F155" s="35"/>
      <c r="G155" s="36" t="str">
        <f aca="false">IF(OR(C155="",D155=""),"",C155-D155)</f>
        <v/>
      </c>
      <c r="H155" s="36" t="str">
        <f aca="false">IF(OR(E155="",F155=""),"",E155-F155)</f>
        <v/>
      </c>
      <c r="I155" s="36" t="str">
        <f aca="false">IF(OR(G155="",H155=""),"",G155-H155)</f>
        <v/>
      </c>
      <c r="J155" s="36" t="str">
        <f aca="false">IF(COUNT(G144:G155)&lt;12,"",SUM(G144:G155))</f>
        <v/>
      </c>
      <c r="K155" s="36" t="str">
        <f aca="false">IF(COUNT(H144:H155)&lt;12,"",SUM(H144:H155))</f>
        <v/>
      </c>
      <c r="L155" s="36" t="str">
        <f aca="false">IF(COUNT(I144:I155)&lt;12,"",SUM(I144:I155))</f>
        <v/>
      </c>
    </row>
    <row r="156" customFormat="false" ht="15" hidden="false" customHeight="false" outlineLevel="0" collapsed="false">
      <c r="B156" s="8" t="s">
        <v>151</v>
      </c>
      <c r="C156" s="35"/>
      <c r="D156" s="35"/>
      <c r="E156" s="35"/>
      <c r="F156" s="35"/>
      <c r="G156" s="36" t="str">
        <f aca="false">IF(OR(C156="",D156=""),"",C156-D156)</f>
        <v/>
      </c>
      <c r="H156" s="36" t="str">
        <f aca="false">IF(OR(E156="",F156=""),"",E156-F156)</f>
        <v/>
      </c>
      <c r="I156" s="36" t="str">
        <f aca="false">IF(OR(G156="",H156=""),"",G156-H156)</f>
        <v/>
      </c>
      <c r="J156" s="36" t="str">
        <f aca="false">IF(COUNT(G145:G156)&lt;12,"",SUM(G145:G156))</f>
        <v/>
      </c>
      <c r="K156" s="36" t="str">
        <f aca="false">IF(COUNT(H145:H156)&lt;12,"",SUM(H145:H156))</f>
        <v/>
      </c>
      <c r="L156" s="36" t="str">
        <f aca="false">IF(COUNT(I145:I156)&lt;12,"",SUM(I145:I156))</f>
        <v/>
      </c>
    </row>
    <row r="157" customFormat="false" ht="15" hidden="false" customHeight="false" outlineLevel="0" collapsed="false">
      <c r="B157" s="8" t="s">
        <v>152</v>
      </c>
      <c r="C157" s="35"/>
      <c r="D157" s="35"/>
      <c r="E157" s="35"/>
      <c r="F157" s="35"/>
      <c r="G157" s="36" t="str">
        <f aca="false">IF(OR(C157="",D157=""),"",C157-D157)</f>
        <v/>
      </c>
      <c r="H157" s="36" t="str">
        <f aca="false">IF(OR(E157="",F157=""),"",E157-F157)</f>
        <v/>
      </c>
      <c r="I157" s="36" t="str">
        <f aca="false">IF(OR(G157="",H157=""),"",G157-H157)</f>
        <v/>
      </c>
      <c r="J157" s="36" t="str">
        <f aca="false">IF(COUNT(G146:G157)&lt;12,"",SUM(G146:G157))</f>
        <v/>
      </c>
      <c r="K157" s="36" t="str">
        <f aca="false">IF(COUNT(H146:H157)&lt;12,"",SUM(H146:H157))</f>
        <v/>
      </c>
      <c r="L157" s="36" t="str">
        <f aca="false">IF(COUNT(I146:I157)&lt;12,"",SUM(I146:I157))</f>
        <v/>
      </c>
    </row>
    <row r="158" customFormat="false" ht="15" hidden="false" customHeight="false" outlineLevel="0" collapsed="false">
      <c r="B158" s="8" t="s">
        <v>153</v>
      </c>
      <c r="C158" s="35"/>
      <c r="D158" s="35"/>
      <c r="E158" s="35"/>
      <c r="F158" s="35"/>
      <c r="G158" s="36" t="str">
        <f aca="false">IF(OR(C158="",D158=""),"",C158-D158)</f>
        <v/>
      </c>
      <c r="H158" s="36" t="str">
        <f aca="false">IF(OR(E158="",F158=""),"",E158-F158)</f>
        <v/>
      </c>
      <c r="I158" s="36" t="str">
        <f aca="false">IF(OR(G158="",H158=""),"",G158-H158)</f>
        <v/>
      </c>
      <c r="J158" s="36" t="str">
        <f aca="false">IF(COUNT(G147:G158)&lt;12,"",SUM(G147:G158))</f>
        <v/>
      </c>
      <c r="K158" s="36" t="str">
        <f aca="false">IF(COUNT(H147:H158)&lt;12,"",SUM(H147:H158))</f>
        <v/>
      </c>
      <c r="L158" s="36" t="str">
        <f aca="false">IF(COUNT(I147:I158)&lt;12,"",SUM(I147:I158))</f>
        <v/>
      </c>
    </row>
    <row r="159" customFormat="false" ht="15" hidden="false" customHeight="false" outlineLevel="0" collapsed="false">
      <c r="B159" s="8" t="s">
        <v>154</v>
      </c>
      <c r="C159" s="35"/>
      <c r="D159" s="35"/>
      <c r="E159" s="35"/>
      <c r="F159" s="35"/>
      <c r="G159" s="36" t="str">
        <f aca="false">IF(OR(C159="",D159=""),"",C159-D159)</f>
        <v/>
      </c>
      <c r="H159" s="36" t="str">
        <f aca="false">IF(OR(E159="",F159=""),"",E159-F159)</f>
        <v/>
      </c>
      <c r="I159" s="36" t="str">
        <f aca="false">IF(OR(G159="",H159=""),"",G159-H159)</f>
        <v/>
      </c>
      <c r="J159" s="36" t="str">
        <f aca="false">IF(COUNT(G148:G159)&lt;12,"",SUM(G148:G159))</f>
        <v/>
      </c>
      <c r="K159" s="36" t="str">
        <f aca="false">IF(COUNT(H148:H159)&lt;12,"",SUM(H148:H159))</f>
        <v/>
      </c>
      <c r="L159" s="36" t="str">
        <f aca="false">IF(COUNT(I148:I159)&lt;12,"",SUM(I148:I159))</f>
        <v/>
      </c>
    </row>
    <row r="160" customFormat="false" ht="15" hidden="false" customHeight="false" outlineLevel="0" collapsed="false">
      <c r="B160" s="8" t="s">
        <v>155</v>
      </c>
      <c r="C160" s="35"/>
      <c r="D160" s="35"/>
      <c r="E160" s="35"/>
      <c r="F160" s="35"/>
      <c r="G160" s="36" t="str">
        <f aca="false">IF(OR(C160="",D160=""),"",C160-D160)</f>
        <v/>
      </c>
      <c r="H160" s="36" t="str">
        <f aca="false">IF(OR(E160="",F160=""),"",E160-F160)</f>
        <v/>
      </c>
      <c r="I160" s="36" t="str">
        <f aca="false">IF(OR(G160="",H160=""),"",G160-H160)</f>
        <v/>
      </c>
      <c r="J160" s="36" t="str">
        <f aca="false">IF(COUNT(G149:G160)&lt;12,"",SUM(G149:G160))</f>
        <v/>
      </c>
      <c r="K160" s="36" t="str">
        <f aca="false">IF(COUNT(H149:H160)&lt;12,"",SUM(H149:H160))</f>
        <v/>
      </c>
      <c r="L160" s="36" t="str">
        <f aca="false">IF(COUNT(I149:I160)&lt;12,"",SUM(I149:I160))</f>
        <v/>
      </c>
    </row>
    <row r="161" customFormat="false" ht="15" hidden="false" customHeight="false" outlineLevel="0" collapsed="false">
      <c r="B161" s="8" t="s">
        <v>156</v>
      </c>
      <c r="C161" s="35"/>
      <c r="D161" s="35"/>
      <c r="E161" s="35"/>
      <c r="F161" s="35"/>
      <c r="G161" s="36" t="str">
        <f aca="false">IF(OR(C161="",D161=""),"",C161-D161)</f>
        <v/>
      </c>
      <c r="H161" s="36" t="str">
        <f aca="false">IF(OR(E161="",F161=""),"",E161-F161)</f>
        <v/>
      </c>
      <c r="I161" s="36" t="str">
        <f aca="false">IF(OR(G161="",H161=""),"",G161-H161)</f>
        <v/>
      </c>
      <c r="J161" s="36" t="str">
        <f aca="false">IF(COUNT(G150:G161)&lt;12,"",SUM(G150:G161))</f>
        <v/>
      </c>
      <c r="K161" s="36" t="str">
        <f aca="false">IF(COUNT(H150:H161)&lt;12,"",SUM(H150:H161))</f>
        <v/>
      </c>
      <c r="L161" s="36" t="str">
        <f aca="false">IF(COUNT(I150:I161)&lt;12,"",SUM(I150:I161))</f>
        <v/>
      </c>
    </row>
    <row r="162" customFormat="false" ht="15" hidden="false" customHeight="false" outlineLevel="0" collapsed="false">
      <c r="B162" s="8" t="s">
        <v>157</v>
      </c>
      <c r="C162" s="35"/>
      <c r="D162" s="35"/>
      <c r="E162" s="35"/>
      <c r="F162" s="35"/>
      <c r="G162" s="36" t="str">
        <f aca="false">IF(OR(C162="",D162=""),"",C162-D162)</f>
        <v/>
      </c>
      <c r="H162" s="36" t="str">
        <f aca="false">IF(OR(E162="",F162=""),"",E162-F162)</f>
        <v/>
      </c>
      <c r="I162" s="36" t="str">
        <f aca="false">IF(OR(G162="",H162=""),"",G162-H162)</f>
        <v/>
      </c>
      <c r="J162" s="36" t="str">
        <f aca="false">IF(COUNT(G151:G162)&lt;12,"",SUM(G151:G162))</f>
        <v/>
      </c>
      <c r="K162" s="36" t="str">
        <f aca="false">IF(COUNT(H151:H162)&lt;12,"",SUM(H151:H162))</f>
        <v/>
      </c>
      <c r="L162" s="36" t="str">
        <f aca="false">IF(COUNT(I151:I162)&lt;12,"",SUM(I151:I162))</f>
        <v/>
      </c>
    </row>
    <row r="163" customFormat="false" ht="15" hidden="false" customHeight="false" outlineLevel="0" collapsed="false">
      <c r="B163" s="8" t="s">
        <v>158</v>
      </c>
      <c r="C163" s="35"/>
      <c r="D163" s="35"/>
      <c r="E163" s="35"/>
      <c r="F163" s="35"/>
      <c r="G163" s="36" t="str">
        <f aca="false">IF(OR(C163="",D163=""),"",C163-D163)</f>
        <v/>
      </c>
      <c r="H163" s="36" t="str">
        <f aca="false">IF(OR(E163="",F163=""),"",E163-F163)</f>
        <v/>
      </c>
      <c r="I163" s="36" t="str">
        <f aca="false">IF(OR(G163="",H163=""),"",G163-H163)</f>
        <v/>
      </c>
      <c r="J163" s="36" t="str">
        <f aca="false">IF(COUNT(G152:G163)&lt;12,"",SUM(G152:G163))</f>
        <v/>
      </c>
      <c r="K163" s="36" t="str">
        <f aca="false">IF(COUNT(H152:H163)&lt;12,"",SUM(H152:H163))</f>
        <v/>
      </c>
      <c r="L163" s="36" t="str">
        <f aca="false">IF(COUNT(I152:I163)&lt;12,"",SUM(I152:I163))</f>
        <v/>
      </c>
    </row>
    <row r="165" customFormat="false" ht="279.85" hidden="false" customHeight="false" outlineLevel="0" collapsed="false">
      <c r="B165" s="17" t="s">
        <v>316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C0016"/>
    <pageSetUpPr fitToPage="false"/>
  </sheetPr>
  <dimension ref="B2:H1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1"/>
    <col collapsed="false" customWidth="true" hidden="false" outlineLevel="0" max="6" min="3" style="0" width="14"/>
    <col collapsed="false" customWidth="true" hidden="false" outlineLevel="0" max="8" min="7" style="0" width="13"/>
  </cols>
  <sheetData>
    <row r="2" customFormat="false" ht="25.5" hidden="false" customHeight="true" outlineLevel="0" collapsed="false">
      <c r="B2" s="1"/>
      <c r="C2" s="2" t="s">
        <v>317</v>
      </c>
    </row>
    <row r="3" customFormat="false" ht="15" hidden="false" customHeight="false" outlineLevel="0" collapsed="false">
      <c r="C3" s="3" t="s">
        <v>318</v>
      </c>
    </row>
    <row r="6" customFormat="false" ht="31.5" hidden="false" customHeight="true" outlineLevel="0" collapsed="false">
      <c r="B6" s="7" t="s">
        <v>31</v>
      </c>
      <c r="C6" s="7" t="s">
        <v>319</v>
      </c>
      <c r="D6" s="7" t="s">
        <v>320</v>
      </c>
      <c r="E6" s="27" t="s">
        <v>321</v>
      </c>
      <c r="F6" s="27" t="s">
        <v>322</v>
      </c>
      <c r="G6" s="7" t="s">
        <v>323</v>
      </c>
      <c r="H6" s="7" t="s">
        <v>324</v>
      </c>
    </row>
    <row r="7" customFormat="false" ht="15" hidden="false" customHeight="false" outlineLevel="0" collapsed="false">
      <c r="B7" s="8" t="s">
        <v>292</v>
      </c>
      <c r="C7" s="16" t="n">
        <v>-0.0417497980732648</v>
      </c>
      <c r="D7" s="16" t="n">
        <v>-0.057702454204699</v>
      </c>
      <c r="E7" s="33"/>
      <c r="F7" s="33"/>
      <c r="G7" s="13" t="str">
        <f aca="false">IF(F7="","",F7)</f>
        <v/>
      </c>
      <c r="H7" s="13" t="str">
        <f aca="false">IF(G7="","",G7)</f>
        <v/>
      </c>
    </row>
    <row r="8" customFormat="false" ht="15" hidden="false" customHeight="false" outlineLevel="0" collapsed="false">
      <c r="B8" s="8" t="s">
        <v>293</v>
      </c>
      <c r="C8" s="16" t="n">
        <v>-0.0404675044125253</v>
      </c>
      <c r="D8" s="16" t="n">
        <v>-0.0567964307346599</v>
      </c>
      <c r="E8" s="33"/>
      <c r="F8" s="33"/>
      <c r="G8" s="13" t="str">
        <f aca="false">IF(F8="","",F8)</f>
        <v/>
      </c>
      <c r="H8" s="13" t="str">
        <f aca="false">IF(G8="","",G8)</f>
        <v/>
      </c>
    </row>
    <row r="9" customFormat="false" ht="15" hidden="false" customHeight="false" outlineLevel="0" collapsed="false">
      <c r="B9" s="8" t="s">
        <v>294</v>
      </c>
      <c r="C9" s="16" t="n">
        <v>-0.0407704838597587</v>
      </c>
      <c r="D9" s="16" t="n">
        <v>-0.056673137875568</v>
      </c>
      <c r="E9" s="33"/>
      <c r="F9" s="33"/>
      <c r="G9" s="13" t="str">
        <f aca="false">IF(F9="","",F9)</f>
        <v/>
      </c>
      <c r="H9" s="13" t="str">
        <f aca="false">IF(G9="","",G9)</f>
        <v/>
      </c>
    </row>
    <row r="10" customFormat="false" ht="15" hidden="false" customHeight="false" outlineLevel="0" collapsed="false">
      <c r="B10" s="8" t="s">
        <v>295</v>
      </c>
      <c r="C10" s="16" t="n">
        <v>-0.0385758380424023</v>
      </c>
      <c r="D10" s="16" t="n">
        <v>-0.0547253268950669</v>
      </c>
      <c r="E10" s="33"/>
      <c r="F10" s="33"/>
      <c r="G10" s="13" t="str">
        <f aca="false">IF(F10="","",F10)</f>
        <v/>
      </c>
      <c r="H10" s="13" t="str">
        <f aca="false">IF(G10="","",G10)</f>
        <v/>
      </c>
    </row>
    <row r="11" customFormat="false" ht="15" hidden="false" customHeight="false" outlineLevel="0" collapsed="false">
      <c r="B11" s="8" t="s">
        <v>296</v>
      </c>
      <c r="C11" s="16" t="n">
        <v>-0.0386822257313878</v>
      </c>
      <c r="D11" s="16" t="n">
        <v>-0.0572093658377956</v>
      </c>
      <c r="E11" s="33"/>
      <c r="F11" s="33"/>
      <c r="G11" s="13" t="str">
        <f aca="false">IF(F11="","",F11)</f>
        <v/>
      </c>
      <c r="H11" s="13" t="str">
        <f aca="false">IF(G11="","",G11)</f>
        <v/>
      </c>
    </row>
    <row r="12" customFormat="false" ht="15" hidden="false" customHeight="false" outlineLevel="0" collapsed="false">
      <c r="B12" s="8" t="s">
        <v>297</v>
      </c>
      <c r="C12" s="16" t="n">
        <v>-0.0396186860282216</v>
      </c>
      <c r="D12" s="16" t="n">
        <v>-0.0583179668500646</v>
      </c>
      <c r="E12" s="33"/>
      <c r="F12" s="33"/>
      <c r="G12" s="13" t="str">
        <f aca="false">IF(F12="","",F12)</f>
        <v/>
      </c>
      <c r="H12" s="13" t="str">
        <f aca="false">IF(G12="","",G12)</f>
        <v/>
      </c>
    </row>
    <row r="13" customFormat="false" ht="15" hidden="false" customHeight="false" outlineLevel="0" collapsed="false">
      <c r="B13" s="8" t="s">
        <v>298</v>
      </c>
      <c r="C13" s="16" t="n">
        <v>-0.0402270574397738</v>
      </c>
      <c r="D13" s="16" t="n">
        <v>-0.0592224468324953</v>
      </c>
      <c r="E13" s="33"/>
      <c r="F13" s="33"/>
      <c r="G13" s="13" t="str">
        <f aca="false">IF(F13="","",F13)</f>
        <v/>
      </c>
      <c r="H13" s="13" t="str">
        <f aca="false">IF(G13="","",G13)</f>
        <v/>
      </c>
    </row>
    <row r="14" customFormat="false" ht="15" hidden="false" customHeight="false" outlineLevel="0" collapsed="false">
      <c r="B14" s="8" t="s">
        <v>299</v>
      </c>
      <c r="C14" s="16" t="n">
        <v>-0.0391200646987675</v>
      </c>
      <c r="D14" s="16" t="n">
        <v>-0.058483523828906</v>
      </c>
      <c r="E14" s="33"/>
      <c r="F14" s="33"/>
      <c r="G14" s="13" t="str">
        <f aca="false">IF(F14="","",F14)</f>
        <v/>
      </c>
      <c r="H14" s="13" t="str">
        <f aca="false">IF(G14="","",G14)</f>
        <v/>
      </c>
    </row>
    <row r="15" customFormat="false" ht="15" hidden="false" customHeight="false" outlineLevel="0" collapsed="false">
      <c r="B15" s="8" t="s">
        <v>300</v>
      </c>
      <c r="C15" s="16" t="n">
        <v>-0.037139040245613</v>
      </c>
      <c r="D15" s="16" t="n">
        <v>-0.0564313219747198</v>
      </c>
      <c r="E15" s="33"/>
      <c r="F15" s="33"/>
      <c r="G15" s="13" t="str">
        <f aca="false">IF(F15="","",F15)</f>
        <v/>
      </c>
      <c r="H15" s="13" t="str">
        <f aca="false">IF(G15="","",G15)</f>
        <v/>
      </c>
    </row>
    <row r="16" customFormat="false" ht="15" hidden="false" customHeight="false" outlineLevel="0" collapsed="false">
      <c r="B16" s="8" t="s">
        <v>301</v>
      </c>
      <c r="C16" s="16" t="n">
        <v>-0.0357395295316448</v>
      </c>
      <c r="D16" s="16" t="n">
        <v>-0.0553868072216191</v>
      </c>
      <c r="E16" s="33"/>
      <c r="F16" s="33"/>
      <c r="G16" s="13" t="str">
        <f aca="false">IF(F16="","",F16)</f>
        <v/>
      </c>
      <c r="H16" s="13" t="str">
        <f aca="false">IF(G16="","",G16)</f>
        <v/>
      </c>
    </row>
    <row r="17" customFormat="false" ht="15" hidden="false" customHeight="false" outlineLevel="0" collapsed="false">
      <c r="B17" s="8" t="s">
        <v>302</v>
      </c>
      <c r="C17" s="16" t="n">
        <v>-0.032076344515757</v>
      </c>
      <c r="D17" s="16" t="n">
        <v>-0.0526484556411683</v>
      </c>
      <c r="E17" s="33"/>
      <c r="F17" s="33"/>
      <c r="G17" s="13" t="str">
        <f aca="false">IF(F17="","",F17)</f>
        <v/>
      </c>
      <c r="H17" s="13" t="str">
        <f aca="false">IF(G17="","",G17)</f>
        <v/>
      </c>
    </row>
    <row r="18" customFormat="false" ht="15" hidden="false" customHeight="false" outlineLevel="0" collapsed="false">
      <c r="B18" s="8" t="s">
        <v>303</v>
      </c>
      <c r="C18" s="16" t="n">
        <v>-0.0329453193414222</v>
      </c>
      <c r="D18" s="16" t="n">
        <v>-0.0540084244703621</v>
      </c>
      <c r="E18" s="33"/>
      <c r="F18" s="33"/>
      <c r="G18" s="13" t="str">
        <f aca="false">IF(F18="","",F18)</f>
        <v/>
      </c>
      <c r="H18" s="13" t="str">
        <f aca="false">IF(G18="","",G18)</f>
        <v/>
      </c>
    </row>
    <row r="19" customFormat="false" ht="15" hidden="false" customHeight="false" outlineLevel="0" collapsed="false">
      <c r="B19" s="8" t="s">
        <v>304</v>
      </c>
      <c r="C19" s="16" t="n">
        <v>-0.0379112886929974</v>
      </c>
      <c r="D19" s="16" t="n">
        <v>-0.0590090541029536</v>
      </c>
      <c r="E19" s="33"/>
      <c r="F19" s="33"/>
      <c r="G19" s="13" t="str">
        <f aca="false">IF(F19="","",F19)</f>
        <v/>
      </c>
      <c r="H19" s="13" t="str">
        <f aca="false">IF(G19="","",G19)</f>
        <v/>
      </c>
    </row>
    <row r="20" customFormat="false" ht="15" hidden="false" customHeight="false" outlineLevel="0" collapsed="false">
      <c r="B20" s="8" t="s">
        <v>305</v>
      </c>
      <c r="C20" s="16" t="n">
        <v>-0.0369975623197944</v>
      </c>
      <c r="D20" s="16" t="n">
        <v>-0.059498584728406</v>
      </c>
      <c r="E20" s="33"/>
      <c r="F20" s="33"/>
      <c r="G20" s="13" t="str">
        <f aca="false">IF(F20="","",F20)</f>
        <v/>
      </c>
      <c r="H20" s="13" t="str">
        <f aca="false">IF(G20="","",G20)</f>
        <v/>
      </c>
    </row>
    <row r="21" customFormat="false" ht="15" hidden="false" customHeight="false" outlineLevel="0" collapsed="false">
      <c r="B21" s="8" t="s">
        <v>306</v>
      </c>
      <c r="C21" s="16" t="n">
        <v>-0.035530905740047</v>
      </c>
      <c r="D21" s="16" t="n">
        <v>-0.0578752504603907</v>
      </c>
      <c r="E21" s="33"/>
      <c r="F21" s="33"/>
      <c r="G21" s="13" t="str">
        <f aca="false">IF(F21="","",F21)</f>
        <v/>
      </c>
      <c r="H21" s="13" t="str">
        <f aca="false">IF(G21="","",G21)</f>
        <v/>
      </c>
    </row>
    <row r="22" customFormat="false" ht="15" hidden="false" customHeight="false" outlineLevel="0" collapsed="false">
      <c r="B22" s="8" t="s">
        <v>307</v>
      </c>
      <c r="C22" s="16" t="n">
        <v>-0.0343496436038578</v>
      </c>
      <c r="D22" s="16" t="n">
        <v>-0.0566913914812517</v>
      </c>
      <c r="E22" s="33"/>
      <c r="F22" s="33"/>
      <c r="G22" s="13" t="str">
        <f aca="false">IF(F22="","",F22)</f>
        <v/>
      </c>
      <c r="H22" s="13" t="str">
        <f aca="false">IF(G22="","",G22)</f>
        <v/>
      </c>
    </row>
    <row r="23" customFormat="false" ht="15" hidden="false" customHeight="false" outlineLevel="0" collapsed="false">
      <c r="B23" s="8" t="s">
        <v>308</v>
      </c>
      <c r="C23" s="16" t="n">
        <v>-0.0327469660086277</v>
      </c>
      <c r="D23" s="16" t="n">
        <v>-0.0547413554017027</v>
      </c>
      <c r="E23" s="33"/>
      <c r="F23" s="33"/>
      <c r="G23" s="13" t="str">
        <f aca="false">IF(F23="","",F23)</f>
        <v/>
      </c>
      <c r="H23" s="13" t="str">
        <f aca="false">IF(G23="","",G23)</f>
        <v/>
      </c>
    </row>
    <row r="24" customFormat="false" ht="15" hidden="false" customHeight="false" outlineLevel="0" collapsed="false">
      <c r="B24" s="8" t="s">
        <v>309</v>
      </c>
      <c r="C24" s="16" t="n">
        <v>-0.0302573915634214</v>
      </c>
      <c r="D24" s="16" t="n">
        <v>-0.0518822717892396</v>
      </c>
      <c r="E24" s="33"/>
      <c r="F24" s="33"/>
      <c r="G24" s="13" t="str">
        <f aca="false">IF(F24="","",F24)</f>
        <v/>
      </c>
      <c r="H24" s="13" t="str">
        <f aca="false">IF(G24="","",G24)</f>
        <v/>
      </c>
    </row>
    <row r="25" customFormat="false" ht="15" hidden="false" customHeight="false" outlineLevel="0" collapsed="false">
      <c r="B25" s="8" t="s">
        <v>310</v>
      </c>
      <c r="C25" s="16" t="n">
        <v>-0.0294127935919368</v>
      </c>
      <c r="D25" s="16" t="n">
        <v>-0.0502455889044049</v>
      </c>
      <c r="E25" s="33"/>
      <c r="F25" s="33"/>
      <c r="G25" s="13" t="str">
        <f aca="false">IF(F25="","",F25)</f>
        <v/>
      </c>
      <c r="H25" s="13" t="str">
        <f aca="false">IF(G25="","",G25)</f>
        <v/>
      </c>
    </row>
    <row r="26" customFormat="false" ht="15" hidden="false" customHeight="false" outlineLevel="0" collapsed="false">
      <c r="B26" s="8" t="s">
        <v>311</v>
      </c>
      <c r="C26" s="16" t="n">
        <v>-0.02803383312444</v>
      </c>
      <c r="D26" s="16" t="n">
        <v>-0.0512583792668253</v>
      </c>
      <c r="E26" s="33"/>
      <c r="F26" s="33"/>
      <c r="G26" s="13" t="str">
        <f aca="false">IF(F26="","",F26)</f>
        <v/>
      </c>
      <c r="H26" s="13" t="str">
        <f aca="false">IF(G26="","",G26)</f>
        <v/>
      </c>
    </row>
    <row r="27" customFormat="false" ht="15" hidden="false" customHeight="false" outlineLevel="0" collapsed="false">
      <c r="B27" s="8" t="s">
        <v>312</v>
      </c>
      <c r="C27" s="16" t="n">
        <v>-0.0262136326832915</v>
      </c>
      <c r="D27" s="16" t="n">
        <v>-0.0486252712171673</v>
      </c>
      <c r="E27" s="33"/>
      <c r="F27" s="33"/>
      <c r="G27" s="13" t="str">
        <f aca="false">IF(F27="","",F27)</f>
        <v/>
      </c>
      <c r="H27" s="13" t="str">
        <f aca="false">IF(G27="","",G27)</f>
        <v/>
      </c>
    </row>
    <row r="28" customFormat="false" ht="15" hidden="false" customHeight="false" outlineLevel="0" collapsed="false">
      <c r="B28" s="8" t="s">
        <v>313</v>
      </c>
      <c r="C28" s="16" t="n">
        <v>-0.0248708567603762</v>
      </c>
      <c r="D28" s="16" t="n">
        <v>-0.0476520829560037</v>
      </c>
      <c r="E28" s="33"/>
      <c r="F28" s="33"/>
      <c r="G28" s="13" t="str">
        <f aca="false">IF(F28="","",F28)</f>
        <v/>
      </c>
      <c r="H28" s="13" t="str">
        <f aca="false">IF(G28="","",G28)</f>
        <v/>
      </c>
    </row>
    <row r="29" customFormat="false" ht="15" hidden="false" customHeight="false" outlineLevel="0" collapsed="false">
      <c r="B29" s="8" t="s">
        <v>314</v>
      </c>
      <c r="C29" s="16" t="n">
        <v>-0.0229966815704736</v>
      </c>
      <c r="D29" s="16" t="n">
        <v>-0.0474387210306662</v>
      </c>
      <c r="E29" s="33"/>
      <c r="F29" s="33"/>
      <c r="G29" s="13" t="str">
        <f aca="false">IF(F29="","",F29)</f>
        <v/>
      </c>
      <c r="H29" s="13" t="str">
        <f aca="false">IF(G29="","",G29)</f>
        <v/>
      </c>
    </row>
    <row r="30" customFormat="false" ht="15" hidden="false" customHeight="false" outlineLevel="0" collapsed="false">
      <c r="B30" s="8" t="s">
        <v>315</v>
      </c>
      <c r="C30" s="16" t="n">
        <v>-0.0225870154356291</v>
      </c>
      <c r="D30" s="16" t="n">
        <v>-0.0478782991246996</v>
      </c>
      <c r="E30" s="33"/>
      <c r="F30" s="33"/>
      <c r="G30" s="13" t="str">
        <f aca="false">IF(F30="","",F30)</f>
        <v/>
      </c>
      <c r="H30" s="13" t="str">
        <f aca="false">IF(G30="","",G30)</f>
        <v/>
      </c>
    </row>
    <row r="31" customFormat="false" ht="15" hidden="false" customHeight="false" outlineLevel="0" collapsed="false">
      <c r="B31" s="8" t="s">
        <v>50</v>
      </c>
      <c r="C31" s="16" t="n">
        <v>-0.0229902578893512</v>
      </c>
      <c r="D31" s="16" t="n">
        <v>-0.0493683517498362</v>
      </c>
      <c r="E31" s="33"/>
      <c r="F31" s="33"/>
      <c r="G31" s="13" t="str">
        <f aca="false">IF(F31="","",F31)</f>
        <v/>
      </c>
      <c r="H31" s="13" t="str">
        <f aca="false">IF(G31="","",G31)</f>
        <v/>
      </c>
    </row>
    <row r="32" customFormat="false" ht="15" hidden="false" customHeight="false" outlineLevel="0" collapsed="false">
      <c r="B32" s="8" t="s">
        <v>51</v>
      </c>
      <c r="C32" s="16" t="n">
        <v>-0.0215335377110934</v>
      </c>
      <c r="D32" s="16" t="n">
        <v>-0.0502982065871772</v>
      </c>
      <c r="E32" s="33"/>
      <c r="F32" s="33"/>
      <c r="G32" s="13" t="str">
        <f aca="false">IF(F32="","",F32)</f>
        <v/>
      </c>
      <c r="H32" s="13" t="str">
        <f aca="false">IF(G32="","",G32)</f>
        <v/>
      </c>
    </row>
    <row r="33" customFormat="false" ht="15" hidden="false" customHeight="false" outlineLevel="0" collapsed="false">
      <c r="B33" s="8" t="s">
        <v>52</v>
      </c>
      <c r="C33" s="16" t="n">
        <v>-0.0192410825956343</v>
      </c>
      <c r="D33" s="16" t="n">
        <v>-0.0475231031403759</v>
      </c>
      <c r="E33" s="33"/>
      <c r="F33" s="33"/>
      <c r="G33" s="13" t="str">
        <f aca="false">IF(F33="","",F33)</f>
        <v/>
      </c>
      <c r="H33" s="13" t="str">
        <f aca="false">IF(G33="","",G33)</f>
        <v/>
      </c>
    </row>
    <row r="34" customFormat="false" ht="15" hidden="false" customHeight="false" outlineLevel="0" collapsed="false">
      <c r="B34" s="8" t="s">
        <v>53</v>
      </c>
      <c r="C34" s="16" t="n">
        <v>-0.0186008211994118</v>
      </c>
      <c r="D34" s="16" t="n">
        <v>-0.046945045755097</v>
      </c>
      <c r="E34" s="33"/>
      <c r="F34" s="33"/>
      <c r="G34" s="13" t="str">
        <f aca="false">IF(F34="","",F34)</f>
        <v/>
      </c>
      <c r="H34" s="13" t="str">
        <f aca="false">IF(G34="","",G34)</f>
        <v/>
      </c>
    </row>
    <row r="35" customFormat="false" ht="15" hidden="false" customHeight="false" outlineLevel="0" collapsed="false">
      <c r="B35" s="8" t="s">
        <v>54</v>
      </c>
      <c r="C35" s="16" t="n">
        <v>-0.0173509372078464</v>
      </c>
      <c r="D35" s="16" t="n">
        <v>-0.046813977822131</v>
      </c>
      <c r="E35" s="33"/>
      <c r="F35" s="33"/>
      <c r="G35" s="13" t="str">
        <f aca="false">IF(F35="","",F35)</f>
        <v/>
      </c>
      <c r="H35" s="13" t="str">
        <f aca="false">IF(G35="","",G35)</f>
        <v/>
      </c>
    </row>
    <row r="36" customFormat="false" ht="15" hidden="false" customHeight="false" outlineLevel="0" collapsed="false">
      <c r="B36" s="8" t="s">
        <v>55</v>
      </c>
      <c r="C36" s="16" t="n">
        <v>-0.0147850140521288</v>
      </c>
      <c r="D36" s="16" t="n">
        <v>-0.0458789143627267</v>
      </c>
      <c r="E36" s="33"/>
      <c r="F36" s="33"/>
      <c r="G36" s="13" t="str">
        <f aca="false">IF(F36="","",F36)</f>
        <v/>
      </c>
      <c r="H36" s="13" t="str">
        <f aca="false">IF(G36="","",G36)</f>
        <v/>
      </c>
    </row>
    <row r="37" customFormat="false" ht="15" hidden="false" customHeight="false" outlineLevel="0" collapsed="false">
      <c r="B37" s="8" t="s">
        <v>56</v>
      </c>
      <c r="C37" s="16" t="n">
        <v>-0.0114642857945569</v>
      </c>
      <c r="D37" s="16" t="n">
        <v>-0.0431557995179838</v>
      </c>
      <c r="E37" s="33"/>
      <c r="F37" s="33"/>
      <c r="G37" s="13" t="str">
        <f aca="false">IF(F37="","",F37)</f>
        <v/>
      </c>
      <c r="H37" s="13" t="str">
        <f aca="false">IF(G37="","",G37)</f>
        <v/>
      </c>
    </row>
    <row r="38" customFormat="false" ht="15" hidden="false" customHeight="false" outlineLevel="0" collapsed="false">
      <c r="B38" s="8" t="s">
        <v>57</v>
      </c>
      <c r="C38" s="16" t="n">
        <v>-0.0100904767020785</v>
      </c>
      <c r="D38" s="16" t="n">
        <v>-0.0426583937198504</v>
      </c>
      <c r="E38" s="33"/>
      <c r="F38" s="33"/>
      <c r="G38" s="13" t="str">
        <f aca="false">IF(F38="","",F38)</f>
        <v/>
      </c>
      <c r="H38" s="13" t="str">
        <f aca="false">IF(G38="","",G38)</f>
        <v/>
      </c>
    </row>
    <row r="39" customFormat="false" ht="15" hidden="false" customHeight="false" outlineLevel="0" collapsed="false">
      <c r="B39" s="8" t="s">
        <v>58</v>
      </c>
      <c r="C39" s="16" t="n">
        <v>-0.00850344562076782</v>
      </c>
      <c r="D39" s="16" t="n">
        <v>-0.0413703121799723</v>
      </c>
      <c r="E39" s="33"/>
      <c r="F39" s="33"/>
      <c r="G39" s="13" t="str">
        <f aca="false">IF(F39="","",F39)</f>
        <v/>
      </c>
      <c r="H39" s="13" t="str">
        <f aca="false">IF(G39="","",G39)</f>
        <v/>
      </c>
    </row>
    <row r="40" customFormat="false" ht="15" hidden="false" customHeight="false" outlineLevel="0" collapsed="false">
      <c r="B40" s="8" t="s">
        <v>59</v>
      </c>
      <c r="C40" s="16" t="n">
        <v>-0.00836530106459389</v>
      </c>
      <c r="D40" s="16" t="n">
        <v>-0.0411162880301203</v>
      </c>
      <c r="E40" s="33"/>
      <c r="F40" s="33"/>
      <c r="G40" s="13" t="str">
        <f aca="false">IF(F40="","",F40)</f>
        <v/>
      </c>
      <c r="H40" s="13" t="str">
        <f aca="false">IF(G40="","",G40)</f>
        <v/>
      </c>
    </row>
    <row r="41" customFormat="false" ht="15" hidden="false" customHeight="false" outlineLevel="0" collapsed="false">
      <c r="B41" s="8" t="s">
        <v>60</v>
      </c>
      <c r="C41" s="16" t="n">
        <v>-0.00683576335370147</v>
      </c>
      <c r="D41" s="16" t="n">
        <v>-0.0390283426350194</v>
      </c>
      <c r="E41" s="33"/>
      <c r="F41" s="33"/>
      <c r="G41" s="13" t="str">
        <f aca="false">IF(F41="","",F41)</f>
        <v/>
      </c>
      <c r="H41" s="13" t="str">
        <f aca="false">IF(G41="","",G41)</f>
        <v/>
      </c>
    </row>
    <row r="42" customFormat="false" ht="15" hidden="false" customHeight="false" outlineLevel="0" collapsed="false">
      <c r="B42" s="8" t="s">
        <v>61</v>
      </c>
      <c r="C42" s="16" t="n">
        <v>-0.00528710807075142</v>
      </c>
      <c r="D42" s="16" t="n">
        <v>-0.0377156757598541</v>
      </c>
      <c r="E42" s="33"/>
      <c r="F42" s="33"/>
      <c r="G42" s="13" t="str">
        <f aca="false">IF(F42="","",F42)</f>
        <v/>
      </c>
      <c r="H42" s="13" t="str">
        <f aca="false">IF(G42="","",G42)</f>
        <v/>
      </c>
    </row>
    <row r="43" customFormat="false" ht="15" hidden="false" customHeight="false" outlineLevel="0" collapsed="false">
      <c r="B43" s="8" t="s">
        <v>62</v>
      </c>
      <c r="C43" s="16" t="n">
        <v>-0.00441219224085459</v>
      </c>
      <c r="D43" s="16" t="n">
        <v>-0.0380085869986301</v>
      </c>
      <c r="E43" s="33"/>
      <c r="F43" s="33"/>
      <c r="G43" s="13" t="str">
        <f aca="false">IF(F43="","",F43)</f>
        <v/>
      </c>
      <c r="H43" s="13" t="str">
        <f aca="false">IF(G43="","",G43)</f>
        <v/>
      </c>
    </row>
    <row r="44" customFormat="false" ht="15" hidden="false" customHeight="false" outlineLevel="0" collapsed="false">
      <c r="B44" s="8" t="s">
        <v>63</v>
      </c>
      <c r="C44" s="16" t="n">
        <v>-0.00519527059129884</v>
      </c>
      <c r="D44" s="16" t="n">
        <v>-0.0382273966881361</v>
      </c>
      <c r="E44" s="33"/>
      <c r="F44" s="33"/>
      <c r="G44" s="13" t="str">
        <f aca="false">IF(F44="","",F44)</f>
        <v/>
      </c>
      <c r="H44" s="13" t="str">
        <f aca="false">IF(G44="","",G44)</f>
        <v/>
      </c>
    </row>
    <row r="45" customFormat="false" ht="15" hidden="false" customHeight="false" outlineLevel="0" collapsed="false">
      <c r="B45" s="8" t="s">
        <v>64</v>
      </c>
      <c r="C45" s="16" t="n">
        <v>-0.00654081668174568</v>
      </c>
      <c r="D45" s="16" t="n">
        <v>-0.0398675064230772</v>
      </c>
      <c r="E45" s="33"/>
      <c r="F45" s="33"/>
      <c r="G45" s="13" t="str">
        <f aca="false">IF(F45="","",F45)</f>
        <v/>
      </c>
      <c r="H45" s="13" t="str">
        <f aca="false">IF(G45="","",G45)</f>
        <v/>
      </c>
    </row>
    <row r="46" customFormat="false" ht="15" hidden="false" customHeight="false" outlineLevel="0" collapsed="false">
      <c r="B46" s="8" t="s">
        <v>65</v>
      </c>
      <c r="C46" s="16" t="n">
        <v>-0.0111555822880116</v>
      </c>
      <c r="D46" s="16" t="n">
        <v>-0.0439180278997297</v>
      </c>
      <c r="E46" s="33"/>
      <c r="F46" s="33"/>
      <c r="G46" s="13" t="str">
        <f aca="false">IF(F46="","",F46)</f>
        <v/>
      </c>
      <c r="H46" s="13" t="str">
        <f aca="false">IF(G46="","",G46)</f>
        <v/>
      </c>
    </row>
    <row r="47" customFormat="false" ht="15" hidden="false" customHeight="false" outlineLevel="0" collapsed="false">
      <c r="B47" s="8" t="s">
        <v>66</v>
      </c>
      <c r="C47" s="16" t="n">
        <v>-0.020670708462954</v>
      </c>
      <c r="D47" s="16" t="n">
        <v>-0.0517758962470233</v>
      </c>
      <c r="E47" s="33"/>
      <c r="F47" s="33"/>
      <c r="G47" s="13" t="str">
        <f aca="false">IF(F47="","",F47)</f>
        <v/>
      </c>
      <c r="H47" s="13" t="str">
        <f aca="false">IF(G47="","",G47)</f>
        <v/>
      </c>
    </row>
    <row r="48" customFormat="false" ht="15" hidden="false" customHeight="false" outlineLevel="0" collapsed="false">
      <c r="B48" s="8" t="s">
        <v>67</v>
      </c>
      <c r="C48" s="16" t="n">
        <v>-0.032124933746214</v>
      </c>
      <c r="D48" s="16" t="n">
        <v>-0.0626941480171966</v>
      </c>
      <c r="E48" s="33"/>
      <c r="F48" s="33"/>
      <c r="G48" s="13" t="str">
        <f aca="false">IF(F48="","",F48)</f>
        <v/>
      </c>
      <c r="H48" s="13" t="str">
        <f aca="false">IF(G48="","",G48)</f>
        <v/>
      </c>
    </row>
    <row r="49" customFormat="false" ht="15" hidden="false" customHeight="false" outlineLevel="0" collapsed="false">
      <c r="B49" s="8" t="s">
        <v>68</v>
      </c>
      <c r="C49" s="16" t="n">
        <v>-0.042060602942391</v>
      </c>
      <c r="D49" s="16" t="n">
        <v>-0.0712539050892525</v>
      </c>
      <c r="E49" s="33"/>
      <c r="F49" s="33"/>
      <c r="G49" s="13" t="str">
        <f aca="false">IF(F49="","",F49)</f>
        <v/>
      </c>
      <c r="H49" s="13" t="str">
        <f aca="false">IF(G49="","",G49)</f>
        <v/>
      </c>
    </row>
    <row r="50" customFormat="false" ht="15" hidden="false" customHeight="false" outlineLevel="0" collapsed="false">
      <c r="B50" s="8" t="s">
        <v>69</v>
      </c>
      <c r="C50" s="16" t="n">
        <v>-0.0479438822885019</v>
      </c>
      <c r="D50" s="16" t="n">
        <v>-0.0747114838815094</v>
      </c>
      <c r="E50" s="33"/>
      <c r="F50" s="33"/>
      <c r="G50" s="13" t="str">
        <f aca="false">IF(F50="","",F50)</f>
        <v/>
      </c>
      <c r="H50" s="13" t="str">
        <f aca="false">IF(G50="","",G50)</f>
        <v/>
      </c>
    </row>
    <row r="51" customFormat="false" ht="15" hidden="false" customHeight="false" outlineLevel="0" collapsed="false">
      <c r="B51" s="8" t="s">
        <v>70</v>
      </c>
      <c r="C51" s="16" t="n">
        <v>-0.0512282733141229</v>
      </c>
      <c r="D51" s="16" t="n">
        <v>-0.0786218791782372</v>
      </c>
      <c r="E51" s="33"/>
      <c r="F51" s="33"/>
      <c r="G51" s="13" t="str">
        <f aca="false">IF(F51="","",F51)</f>
        <v/>
      </c>
      <c r="H51" s="13" t="str">
        <f aca="false">IF(G51="","",G51)</f>
        <v/>
      </c>
    </row>
    <row r="52" customFormat="false" ht="15" hidden="false" customHeight="false" outlineLevel="0" collapsed="false">
      <c r="B52" s="8" t="s">
        <v>71</v>
      </c>
      <c r="C52" s="16" t="n">
        <v>-0.0558108603937922</v>
      </c>
      <c r="D52" s="16" t="n">
        <v>-0.0824380264231237</v>
      </c>
      <c r="E52" s="33"/>
      <c r="F52" s="33"/>
      <c r="G52" s="13" t="str">
        <f aca="false">IF(F52="","",F52)</f>
        <v/>
      </c>
      <c r="H52" s="13" t="str">
        <f aca="false">IF(G52="","",G52)</f>
        <v/>
      </c>
    </row>
    <row r="53" customFormat="false" ht="15" hidden="false" customHeight="false" outlineLevel="0" collapsed="false">
      <c r="B53" s="8" t="s">
        <v>72</v>
      </c>
      <c r="C53" s="16" t="n">
        <v>-0.0581846250972671</v>
      </c>
      <c r="D53" s="16" t="n">
        <v>-0.0826802938157125</v>
      </c>
      <c r="E53" s="33"/>
      <c r="F53" s="33"/>
      <c r="G53" s="13" t="str">
        <f aca="false">IF(F53="","",F53)</f>
        <v/>
      </c>
      <c r="H53" s="13" t="str">
        <f aca="false">IF(G53="","",G53)</f>
        <v/>
      </c>
    </row>
    <row r="54" customFormat="false" ht="15" hidden="false" customHeight="false" outlineLevel="0" collapsed="false">
      <c r="B54" s="8" t="s">
        <v>73</v>
      </c>
      <c r="C54" s="16" t="n">
        <v>-0.0589152366489504</v>
      </c>
      <c r="D54" s="16" t="n">
        <v>-0.0829285594134936</v>
      </c>
      <c r="E54" s="33"/>
      <c r="F54" s="33"/>
      <c r="G54" s="13" t="str">
        <f aca="false">IF(F54="","",F54)</f>
        <v/>
      </c>
      <c r="H54" s="13" t="str">
        <f aca="false">IF(G54="","",G54)</f>
        <v/>
      </c>
    </row>
    <row r="55" customFormat="false" ht="15" hidden="false" customHeight="false" outlineLevel="0" collapsed="false">
      <c r="B55" s="8" t="s">
        <v>74</v>
      </c>
      <c r="C55" s="16" t="n">
        <v>-0.064313485964464</v>
      </c>
      <c r="D55" s="16" t="n">
        <v>-0.0842647799035268</v>
      </c>
      <c r="E55" s="33"/>
      <c r="F55" s="33"/>
      <c r="G55" s="13" t="str">
        <f aca="false">IF(F55="","",F55)</f>
        <v/>
      </c>
      <c r="H55" s="13" t="str">
        <f aca="false">IF(G55="","",G55)</f>
        <v/>
      </c>
    </row>
    <row r="56" customFormat="false" ht="15" hidden="false" customHeight="false" outlineLevel="0" collapsed="false">
      <c r="B56" s="8" t="s">
        <v>75</v>
      </c>
      <c r="C56" s="16" t="n">
        <v>-0.061469616501183</v>
      </c>
      <c r="D56" s="16" t="n">
        <v>-0.078707164456434</v>
      </c>
      <c r="E56" s="33"/>
      <c r="F56" s="33"/>
      <c r="G56" s="13" t="str">
        <f aca="false">IF(F56="","",F56)</f>
        <v/>
      </c>
      <c r="H56" s="13" t="str">
        <f aca="false">IF(G56="","",G56)</f>
        <v/>
      </c>
    </row>
    <row r="57" customFormat="false" ht="15" hidden="false" customHeight="false" outlineLevel="0" collapsed="false">
      <c r="B57" s="8" t="s">
        <v>76</v>
      </c>
      <c r="C57" s="16" t="n">
        <v>-0.0591669631289953</v>
      </c>
      <c r="D57" s="16" t="n">
        <v>-0.0760326303233491</v>
      </c>
      <c r="E57" s="33"/>
      <c r="F57" s="33"/>
      <c r="G57" s="13" t="str">
        <f aca="false">IF(F57="","",F57)</f>
        <v/>
      </c>
      <c r="H57" s="13" t="str">
        <f aca="false">IF(G57="","",G57)</f>
        <v/>
      </c>
    </row>
    <row r="58" customFormat="false" ht="15" hidden="false" customHeight="false" outlineLevel="0" collapsed="false">
      <c r="B58" s="8" t="s">
        <v>77</v>
      </c>
      <c r="C58" s="16" t="n">
        <v>-0.0551502448727496</v>
      </c>
      <c r="D58" s="16" t="n">
        <v>-0.0713798000244174</v>
      </c>
      <c r="E58" s="33"/>
      <c r="F58" s="33"/>
      <c r="G58" s="13" t="str">
        <f aca="false">IF(F58="","",F58)</f>
        <v/>
      </c>
      <c r="H58" s="13" t="str">
        <f aca="false">IF(G58="","",G58)</f>
        <v/>
      </c>
    </row>
    <row r="59" customFormat="false" ht="15" hidden="false" customHeight="false" outlineLevel="0" collapsed="false">
      <c r="B59" s="8" t="s">
        <v>78</v>
      </c>
      <c r="C59" s="16" t="n">
        <v>-0.0454332815822256</v>
      </c>
      <c r="D59" s="16" t="n">
        <v>-0.0610763394965519</v>
      </c>
      <c r="E59" s="33"/>
      <c r="F59" s="33"/>
      <c r="G59" s="13" t="str">
        <f aca="false">IF(F59="","",F59)</f>
        <v/>
      </c>
      <c r="H59" s="13" t="str">
        <f aca="false">IF(G59="","",G59)</f>
        <v/>
      </c>
    </row>
    <row r="60" customFormat="false" ht="15" hidden="false" customHeight="false" outlineLevel="0" collapsed="false">
      <c r="B60" s="8" t="s">
        <v>79</v>
      </c>
      <c r="C60" s="16" t="n">
        <v>-0.0345697111664781</v>
      </c>
      <c r="D60" s="16" t="n">
        <v>-0.0502813070736959</v>
      </c>
      <c r="E60" s="33"/>
      <c r="F60" s="33"/>
      <c r="G60" s="13" t="str">
        <f aca="false">IF(F60="","",F60)</f>
        <v/>
      </c>
      <c r="H60" s="13" t="str">
        <f aca="false">IF(G60="","",G60)</f>
        <v/>
      </c>
    </row>
    <row r="61" customFormat="false" ht="15" hidden="false" customHeight="false" outlineLevel="0" collapsed="false">
      <c r="B61" s="8" t="s">
        <v>80</v>
      </c>
      <c r="C61" s="16" t="n">
        <v>-0.0298937805427614</v>
      </c>
      <c r="D61" s="16" t="n">
        <v>-0.0453143404139798</v>
      </c>
      <c r="E61" s="33"/>
      <c r="F61" s="33"/>
      <c r="G61" s="13" t="str">
        <f aca="false">IF(F61="","",F61)</f>
        <v/>
      </c>
      <c r="H61" s="13" t="str">
        <f aca="false">IF(G61="","",G61)</f>
        <v/>
      </c>
    </row>
    <row r="62" customFormat="false" ht="15" hidden="false" customHeight="false" outlineLevel="0" collapsed="false">
      <c r="B62" s="8" t="s">
        <v>81</v>
      </c>
      <c r="C62" s="16" t="n">
        <v>-0.027022241415282</v>
      </c>
      <c r="D62" s="16" t="n">
        <v>-0.0425754579397146</v>
      </c>
      <c r="E62" s="33"/>
      <c r="F62" s="33"/>
      <c r="G62" s="13" t="str">
        <f aca="false">IF(F62="","",F62)</f>
        <v/>
      </c>
      <c r="H62" s="13" t="str">
        <f aca="false">IF(G62="","",G62)</f>
        <v/>
      </c>
    </row>
    <row r="63" customFormat="false" ht="15" hidden="false" customHeight="false" outlineLevel="0" collapsed="false">
      <c r="B63" s="8" t="s">
        <v>82</v>
      </c>
      <c r="C63" s="16" t="n">
        <v>-0.0268072124678975</v>
      </c>
      <c r="D63" s="16" t="n">
        <v>-0.0420360294698066</v>
      </c>
      <c r="E63" s="33"/>
      <c r="F63" s="33"/>
      <c r="G63" s="13" t="str">
        <f aca="false">IF(F63="","",F63)</f>
        <v/>
      </c>
      <c r="H63" s="13" t="str">
        <f aca="false">IF(G63="","",G63)</f>
        <v/>
      </c>
    </row>
    <row r="64" customFormat="false" ht="15" hidden="false" customHeight="false" outlineLevel="0" collapsed="false">
      <c r="B64" s="8" t="s">
        <v>83</v>
      </c>
      <c r="C64" s="16" t="n">
        <v>-0.0144419091889895</v>
      </c>
      <c r="D64" s="16" t="n">
        <v>-0.0292741774200723</v>
      </c>
      <c r="E64" s="33"/>
      <c r="F64" s="33"/>
      <c r="G64" s="13" t="str">
        <f aca="false">IF(F64="","",F64)</f>
        <v/>
      </c>
      <c r="H64" s="13" t="str">
        <f aca="false">IF(G64="","",G64)</f>
        <v/>
      </c>
    </row>
    <row r="65" customFormat="false" ht="15" hidden="false" customHeight="false" outlineLevel="0" collapsed="false">
      <c r="B65" s="8" t="s">
        <v>84</v>
      </c>
      <c r="C65" s="16" t="n">
        <v>-0.0168381906024503</v>
      </c>
      <c r="D65" s="16" t="n">
        <v>-0.0319164240919959</v>
      </c>
      <c r="E65" s="33"/>
      <c r="F65" s="33"/>
      <c r="G65" s="13" t="str">
        <f aca="false">IF(F65="","",F65)</f>
        <v/>
      </c>
      <c r="H65" s="13" t="str">
        <f aca="false">IF(G65="","",G65)</f>
        <v/>
      </c>
    </row>
    <row r="66" customFormat="false" ht="15" hidden="false" customHeight="false" outlineLevel="0" collapsed="false">
      <c r="B66" s="8" t="s">
        <v>85</v>
      </c>
      <c r="C66" s="16" t="n">
        <v>-0.0178524891257905</v>
      </c>
      <c r="D66" s="16" t="n">
        <v>-0.0331867146033874</v>
      </c>
      <c r="E66" s="33"/>
      <c r="F66" s="33"/>
      <c r="G66" s="13" t="str">
        <f aca="false">IF(F66="","",F66)</f>
        <v/>
      </c>
      <c r="H66" s="13" t="str">
        <f aca="false">IF(G66="","",G66)</f>
        <v/>
      </c>
    </row>
    <row r="67" customFormat="false" ht="15" hidden="false" customHeight="false" outlineLevel="0" collapsed="false">
      <c r="B67" s="8" t="s">
        <v>86</v>
      </c>
      <c r="C67" s="16" t="n">
        <v>-0.0212085555478717</v>
      </c>
      <c r="D67" s="16" t="n">
        <v>-0.0360128733324825</v>
      </c>
      <c r="E67" s="33"/>
      <c r="F67" s="33"/>
      <c r="G67" s="13" t="str">
        <f aca="false">IF(F67="","",F67)</f>
        <v/>
      </c>
      <c r="H67" s="13" t="str">
        <f aca="false">IF(G67="","",G67)</f>
        <v/>
      </c>
    </row>
    <row r="68" customFormat="false" ht="15" hidden="false" customHeight="false" outlineLevel="0" collapsed="false">
      <c r="B68" s="8" t="s">
        <v>87</v>
      </c>
      <c r="C68" s="16" t="n">
        <v>-0.0212326222887786</v>
      </c>
      <c r="D68" s="16" t="n">
        <v>-0.0376841551043988</v>
      </c>
      <c r="E68" s="33"/>
      <c r="F68" s="33"/>
      <c r="G68" s="13" t="str">
        <f aca="false">IF(F68="","",F68)</f>
        <v/>
      </c>
      <c r="H68" s="13" t="str">
        <f aca="false">IF(G68="","",G68)</f>
        <v/>
      </c>
    </row>
    <row r="69" customFormat="false" ht="15" hidden="false" customHeight="false" outlineLevel="0" collapsed="false">
      <c r="B69" s="8" t="s">
        <v>88</v>
      </c>
      <c r="C69" s="16" t="n">
        <v>-0.0215719700036265</v>
      </c>
      <c r="D69" s="16" t="n">
        <v>-0.0376960744284345</v>
      </c>
      <c r="E69" s="33"/>
      <c r="F69" s="33"/>
      <c r="G69" s="13" t="str">
        <f aca="false">IF(F69="","",F69)</f>
        <v/>
      </c>
      <c r="H69" s="13" t="str">
        <f aca="false">IF(G69="","",G69)</f>
        <v/>
      </c>
    </row>
    <row r="70" customFormat="false" ht="15" hidden="false" customHeight="false" outlineLevel="0" collapsed="false">
      <c r="B70" s="8" t="s">
        <v>89</v>
      </c>
      <c r="C70" s="16" t="n">
        <v>-0.0211829451547904</v>
      </c>
      <c r="D70" s="16" t="n">
        <v>-0.0372231454230622</v>
      </c>
      <c r="E70" s="33"/>
      <c r="F70" s="33"/>
      <c r="G70" s="13" t="str">
        <f aca="false">IF(F70="","",F70)</f>
        <v/>
      </c>
      <c r="H70" s="13" t="str">
        <f aca="false">IF(G70="","",G70)</f>
        <v/>
      </c>
    </row>
    <row r="71" customFormat="false" ht="15" hidden="false" customHeight="false" outlineLevel="0" collapsed="false">
      <c r="B71" s="8" t="s">
        <v>90</v>
      </c>
      <c r="C71" s="16" t="n">
        <v>-0.0214778435493888</v>
      </c>
      <c r="D71" s="16" t="n">
        <v>-0.0371959295401355</v>
      </c>
      <c r="E71" s="33"/>
      <c r="F71" s="33"/>
      <c r="G71" s="13" t="str">
        <f aca="false">IF(F71="","",F71)</f>
        <v/>
      </c>
      <c r="H71" s="13" t="str">
        <f aca="false">IF(G71="","",G71)</f>
        <v/>
      </c>
    </row>
    <row r="72" customFormat="false" ht="15" hidden="false" customHeight="false" outlineLevel="0" collapsed="false">
      <c r="B72" s="8" t="s">
        <v>91</v>
      </c>
      <c r="C72" s="16" t="n">
        <v>-0.0237458480684759</v>
      </c>
      <c r="D72" s="16" t="n">
        <v>-0.0385392583072052</v>
      </c>
      <c r="E72" s="33"/>
      <c r="F72" s="33"/>
      <c r="G72" s="13" t="str">
        <f aca="false">IF(F72="","",F72)</f>
        <v/>
      </c>
      <c r="H72" s="13" t="str">
        <f aca="false">IF(G72="","",G72)</f>
        <v/>
      </c>
    </row>
    <row r="73" customFormat="false" ht="15" hidden="false" customHeight="false" outlineLevel="0" collapsed="false">
      <c r="B73" s="8" t="s">
        <v>92</v>
      </c>
      <c r="C73" s="16" t="n">
        <v>-0.0253868420604395</v>
      </c>
      <c r="D73" s="16" t="n">
        <v>-0.03979502181803</v>
      </c>
      <c r="E73" s="33"/>
      <c r="F73" s="33"/>
      <c r="G73" s="13" t="str">
        <f aca="false">IF(F73="","",F73)</f>
        <v/>
      </c>
      <c r="H73" s="13" t="str">
        <f aca="false">IF(G73="","",G73)</f>
        <v/>
      </c>
    </row>
    <row r="74" customFormat="false" ht="15" hidden="false" customHeight="false" outlineLevel="0" collapsed="false">
      <c r="B74" s="8" t="s">
        <v>93</v>
      </c>
      <c r="C74" s="16" t="n">
        <v>-0.0226073562130953</v>
      </c>
      <c r="D74" s="16" t="n">
        <v>-0.0373327371908155</v>
      </c>
      <c r="E74" s="33"/>
      <c r="F74" s="33"/>
      <c r="G74" s="13" t="str">
        <f aca="false">IF(F74="","",F74)</f>
        <v/>
      </c>
      <c r="H74" s="13" t="str">
        <f aca="false">IF(G74="","",G74)</f>
        <v/>
      </c>
    </row>
    <row r="75" customFormat="false" ht="15" hidden="false" customHeight="false" outlineLevel="0" collapsed="false">
      <c r="B75" s="8" t="s">
        <v>94</v>
      </c>
      <c r="C75" s="16" t="n">
        <v>-0.022745995849143</v>
      </c>
      <c r="D75" s="16" t="n">
        <v>-0.038101383920646</v>
      </c>
      <c r="E75" s="33"/>
      <c r="F75" s="33"/>
      <c r="G75" s="13" t="str">
        <f aca="false">IF(F75="","",F75)</f>
        <v/>
      </c>
      <c r="H75" s="13" t="str">
        <f aca="false">IF(G75="","",G75)</f>
        <v/>
      </c>
    </row>
    <row r="76" customFormat="false" ht="15" hidden="false" customHeight="false" outlineLevel="0" collapsed="false">
      <c r="B76" s="8" t="s">
        <v>95</v>
      </c>
      <c r="C76" s="16" t="n">
        <v>-0.0245757231014615</v>
      </c>
      <c r="D76" s="16" t="n">
        <v>-0.0395812606089067</v>
      </c>
      <c r="E76" s="33"/>
      <c r="F76" s="33"/>
      <c r="G76" s="13" t="str">
        <f aca="false">IF(F76="","",F76)</f>
        <v/>
      </c>
      <c r="H76" s="13" t="str">
        <f aca="false">IF(G76="","",G76)</f>
        <v/>
      </c>
    </row>
    <row r="77" customFormat="false" ht="15" hidden="false" customHeight="false" outlineLevel="0" collapsed="false">
      <c r="B77" s="8" t="s">
        <v>96</v>
      </c>
      <c r="C77" s="16" t="n">
        <v>-0.0218598991796385</v>
      </c>
      <c r="D77" s="16" t="n">
        <v>-0.0362732623449622</v>
      </c>
      <c r="E77" s="33"/>
      <c r="F77" s="33"/>
      <c r="G77" s="13" t="str">
        <f aca="false">IF(F77="","",F77)</f>
        <v/>
      </c>
      <c r="H77" s="13" t="str">
        <f aca="false">IF(G77="","",G77)</f>
        <v/>
      </c>
    </row>
    <row r="78" customFormat="false" ht="15" hidden="false" customHeight="false" outlineLevel="0" collapsed="false">
      <c r="B78" s="8" t="s">
        <v>97</v>
      </c>
      <c r="C78" s="16" t="n">
        <v>-0.021886381883349</v>
      </c>
      <c r="D78" s="16" t="n">
        <v>-0.0380348643399357</v>
      </c>
      <c r="E78" s="33"/>
      <c r="F78" s="33"/>
      <c r="G78" s="13" t="str">
        <f aca="false">IF(F78="","",F78)</f>
        <v/>
      </c>
      <c r="H78" s="13" t="str">
        <f aca="false">IF(G78="","",G78)</f>
        <v/>
      </c>
    </row>
    <row r="79" customFormat="false" ht="15" hidden="false" customHeight="false" outlineLevel="0" collapsed="false">
      <c r="B79" s="8" t="s">
        <v>98</v>
      </c>
      <c r="C79" s="16" t="n">
        <v>-0.0200428219859384</v>
      </c>
      <c r="D79" s="16" t="n">
        <v>-0.0380721563683628</v>
      </c>
      <c r="E79" s="33"/>
      <c r="F79" s="33"/>
      <c r="G79" s="13" t="str">
        <f aca="false">IF(F79="","",F79)</f>
        <v/>
      </c>
      <c r="H79" s="13" t="str">
        <f aca="false">IF(G79="","",G79)</f>
        <v/>
      </c>
    </row>
    <row r="80" customFormat="false" ht="15" hidden="false" customHeight="false" outlineLevel="0" collapsed="false">
      <c r="B80" s="8" t="s">
        <v>99</v>
      </c>
      <c r="C80" s="16" t="n">
        <v>-0.0210885479844946</v>
      </c>
      <c r="D80" s="16" t="n">
        <v>-0.0404197693019138</v>
      </c>
      <c r="E80" s="33"/>
      <c r="F80" s="33"/>
      <c r="G80" s="13" t="str">
        <f aca="false">IF(F80="","",F80)</f>
        <v/>
      </c>
      <c r="H80" s="13" t="str">
        <f aca="false">IF(G80="","",G80)</f>
        <v/>
      </c>
    </row>
    <row r="81" customFormat="false" ht="15" hidden="false" customHeight="false" outlineLevel="0" collapsed="false">
      <c r="B81" s="8" t="s">
        <v>100</v>
      </c>
      <c r="C81" s="16" t="n">
        <v>-0.0215613130039416</v>
      </c>
      <c r="D81" s="16" t="n">
        <v>-0.0419477034910497</v>
      </c>
      <c r="E81" s="33"/>
      <c r="F81" s="33"/>
      <c r="G81" s="13" t="str">
        <f aca="false">IF(F81="","",F81)</f>
        <v/>
      </c>
      <c r="H81" s="13" t="str">
        <f aca="false">IF(G81="","",G81)</f>
        <v/>
      </c>
    </row>
    <row r="82" customFormat="false" ht="15" hidden="false" customHeight="false" outlineLevel="0" collapsed="false">
      <c r="B82" s="8" t="s">
        <v>101</v>
      </c>
      <c r="C82" s="16" t="n">
        <v>-0.0219449055895504</v>
      </c>
      <c r="D82" s="16" t="n">
        <v>-0.0417619008634944</v>
      </c>
      <c r="E82" s="33"/>
      <c r="F82" s="33"/>
      <c r="G82" s="13" t="str">
        <f aca="false">IF(F82="","",F82)</f>
        <v/>
      </c>
      <c r="H82" s="13" t="str">
        <f aca="false">IF(G82="","",G82)</f>
        <v/>
      </c>
    </row>
    <row r="83" customFormat="false" ht="15" hidden="false" customHeight="false" outlineLevel="0" collapsed="false">
      <c r="B83" s="8" t="s">
        <v>102</v>
      </c>
      <c r="C83" s="16" t="n">
        <v>-0.0230855797540914</v>
      </c>
      <c r="D83" s="16" t="n">
        <v>-0.0418355096461463</v>
      </c>
      <c r="E83" s="33"/>
      <c r="F83" s="33"/>
      <c r="G83" s="13" t="str">
        <f aca="false">IF(F83="","",F83)</f>
        <v/>
      </c>
      <c r="H83" s="13" t="str">
        <f aca="false">IF(G83="","",G83)</f>
        <v/>
      </c>
    </row>
    <row r="84" customFormat="false" ht="15" hidden="false" customHeight="false" outlineLevel="0" collapsed="false">
      <c r="B84" s="8" t="s">
        <v>103</v>
      </c>
      <c r="C84" s="16" t="n">
        <v>-0.0224693197733299</v>
      </c>
      <c r="D84" s="16" t="n">
        <v>-0.0428281322484852</v>
      </c>
      <c r="E84" s="33"/>
      <c r="F84" s="33"/>
      <c r="G84" s="13" t="str">
        <f aca="false">IF(F84="","",F84)</f>
        <v/>
      </c>
      <c r="H84" s="13" t="str">
        <f aca="false">IF(G84="","",G84)</f>
        <v/>
      </c>
    </row>
    <row r="85" customFormat="false" ht="15" hidden="false" customHeight="false" outlineLevel="0" collapsed="false">
      <c r="B85" s="8" t="s">
        <v>104</v>
      </c>
      <c r="C85" s="16" t="n">
        <v>-0.0234671074789336</v>
      </c>
      <c r="D85" s="16" t="n">
        <v>-0.0426995170094646</v>
      </c>
      <c r="E85" s="33"/>
      <c r="F85" s="33"/>
      <c r="G85" s="13" t="str">
        <f aca="false">IF(F85="","",F85)</f>
        <v/>
      </c>
      <c r="H85" s="13" t="str">
        <f aca="false">IF(G85="","",G85)</f>
        <v/>
      </c>
    </row>
    <row r="86" customFormat="false" ht="15" hidden="false" customHeight="false" outlineLevel="0" collapsed="false">
      <c r="B86" s="8" t="s">
        <v>105</v>
      </c>
      <c r="C86" s="16" t="n">
        <v>-0.0244624869574135</v>
      </c>
      <c r="D86" s="16" t="n">
        <v>-0.0446497632975819</v>
      </c>
      <c r="E86" s="33"/>
      <c r="F86" s="33"/>
      <c r="G86" s="13" t="str">
        <f aca="false">IF(F86="","",F86)</f>
        <v/>
      </c>
      <c r="H86" s="13" t="str">
        <f aca="false">IF(G86="","",G86)</f>
        <v/>
      </c>
    </row>
    <row r="87" customFormat="false" ht="15" hidden="false" customHeight="false" outlineLevel="0" collapsed="false">
      <c r="B87" s="8" t="s">
        <v>106</v>
      </c>
      <c r="C87" s="16" t="n">
        <v>-0.0214286906945812</v>
      </c>
      <c r="D87" s="16" t="n">
        <v>-0.0415169053407193</v>
      </c>
      <c r="E87" s="33"/>
      <c r="F87" s="33"/>
      <c r="G87" s="13" t="str">
        <f aca="false">IF(F87="","",F87)</f>
        <v/>
      </c>
      <c r="H87" s="13" t="str">
        <f aca="false">IF(G87="","",G87)</f>
        <v/>
      </c>
    </row>
    <row r="88" customFormat="false" ht="15" hidden="false" customHeight="false" outlineLevel="0" collapsed="false">
      <c r="B88" s="8" t="s">
        <v>107</v>
      </c>
      <c r="C88" s="16" t="n">
        <v>-0.0228800784680543</v>
      </c>
      <c r="D88" s="16" t="n">
        <v>-0.0417333093038971</v>
      </c>
      <c r="E88" s="33"/>
      <c r="F88" s="33"/>
      <c r="G88" s="13" t="str">
        <f aca="false">IF(F88="","",F88)</f>
        <v/>
      </c>
      <c r="H88" s="13" t="str">
        <f aca="false">IF(G88="","",G88)</f>
        <v/>
      </c>
    </row>
    <row r="89" customFormat="false" ht="15" hidden="false" customHeight="false" outlineLevel="0" collapsed="false">
      <c r="B89" s="8" t="s">
        <v>108</v>
      </c>
      <c r="C89" s="16" t="n">
        <v>-0.022469369781336</v>
      </c>
      <c r="D89" s="16" t="n">
        <v>-0.0400836060886883</v>
      </c>
      <c r="E89" s="33"/>
      <c r="F89" s="33"/>
      <c r="G89" s="13" t="str">
        <f aca="false">IF(F89="","",F89)</f>
        <v/>
      </c>
      <c r="H89" s="13" t="str">
        <f aca="false">IF(G89="","",G89)</f>
        <v/>
      </c>
    </row>
    <row r="90" customFormat="false" ht="15" hidden="false" customHeight="false" outlineLevel="0" collapsed="false">
      <c r="B90" s="8" t="s">
        <v>109</v>
      </c>
      <c r="C90" s="16" t="n">
        <v>-0.0205003424017014</v>
      </c>
      <c r="D90" s="16" t="n">
        <v>-0.0380151064261253</v>
      </c>
      <c r="E90" s="33"/>
      <c r="F90" s="33"/>
      <c r="G90" s="13" t="str">
        <f aca="false">IF(F90="","",F90)</f>
        <v/>
      </c>
      <c r="H90" s="13" t="str">
        <f aca="false">IF(G90="","",G90)</f>
        <v/>
      </c>
    </row>
    <row r="91" customFormat="false" ht="15" hidden="false" customHeight="false" outlineLevel="0" collapsed="false">
      <c r="B91" s="8" t="s">
        <v>110</v>
      </c>
      <c r="C91" s="16" t="n">
        <v>-0.0266292227919494</v>
      </c>
      <c r="D91" s="16" t="n">
        <v>-0.043406207124548</v>
      </c>
      <c r="E91" s="33"/>
      <c r="F91" s="33"/>
      <c r="G91" s="13" t="str">
        <f aca="false">IF(F91="","",F91)</f>
        <v/>
      </c>
      <c r="H91" s="13" t="str">
        <f aca="false">IF(G91="","",G91)</f>
        <v/>
      </c>
    </row>
    <row r="92" customFormat="false" ht="15" hidden="false" customHeight="false" outlineLevel="0" collapsed="false">
      <c r="B92" s="8" t="s">
        <v>111</v>
      </c>
      <c r="C92" s="16" t="n">
        <v>-0.0136479242632869</v>
      </c>
      <c r="D92" s="16" t="n">
        <v>-0.0340606378474978</v>
      </c>
      <c r="E92" s="33"/>
      <c r="F92" s="33"/>
      <c r="G92" s="13" t="str">
        <f aca="false">IF(F92="","",F92)</f>
        <v/>
      </c>
      <c r="H92" s="13" t="str">
        <f aca="false">IF(G92="","",G92)</f>
        <v/>
      </c>
    </row>
    <row r="93" customFormat="false" ht="15" hidden="false" customHeight="false" outlineLevel="0" collapsed="false">
      <c r="B93" s="8" t="s">
        <v>112</v>
      </c>
      <c r="C93" s="16" t="n">
        <v>-0.00613887579258401</v>
      </c>
      <c r="D93" s="16" t="n">
        <v>-0.0269512753211396</v>
      </c>
      <c r="E93" s="33"/>
      <c r="F93" s="33"/>
      <c r="G93" s="13" t="str">
        <f aca="false">IF(F93="","",F93)</f>
        <v/>
      </c>
      <c r="H93" s="13" t="str">
        <f aca="false">IF(G93="","",G93)</f>
        <v/>
      </c>
    </row>
    <row r="94" customFormat="false" ht="15" hidden="false" customHeight="false" outlineLevel="0" collapsed="false">
      <c r="B94" s="8" t="s">
        <v>113</v>
      </c>
      <c r="C94" s="16" t="n">
        <v>-0.00223483552983248</v>
      </c>
      <c r="D94" s="16" t="n">
        <v>-0.0216470722432192</v>
      </c>
      <c r="E94" s="33"/>
      <c r="F94" s="33"/>
      <c r="G94" s="13" t="str">
        <f aca="false">IF(F94="","",F94)</f>
        <v/>
      </c>
      <c r="H94" s="13" t="str">
        <f aca="false">IF(G94="","",G94)</f>
        <v/>
      </c>
    </row>
    <row r="95" customFormat="false" ht="15" hidden="false" customHeight="false" outlineLevel="0" collapsed="false">
      <c r="B95" s="8" t="s">
        <v>114</v>
      </c>
      <c r="C95" s="16" t="n">
        <v>-3.33160871185499E-005</v>
      </c>
      <c r="D95" s="16" t="n">
        <v>-0.0180132525937958</v>
      </c>
      <c r="E95" s="33"/>
      <c r="F95" s="33"/>
      <c r="G95" s="13" t="str">
        <f aca="false">IF(F95="","",F95)</f>
        <v/>
      </c>
      <c r="H95" s="13" t="str">
        <f aca="false">IF(G95="","",G95)</f>
        <v/>
      </c>
    </row>
    <row r="96" customFormat="false" ht="15" hidden="false" customHeight="false" outlineLevel="0" collapsed="false">
      <c r="B96" s="8" t="s">
        <v>115</v>
      </c>
      <c r="C96" s="16" t="n">
        <v>0.00763904905549198</v>
      </c>
      <c r="D96" s="16" t="n">
        <v>-0.0108035086686561</v>
      </c>
      <c r="E96" s="33"/>
      <c r="F96" s="33"/>
      <c r="G96" s="13" t="str">
        <f aca="false">IF(F96="","",F96)</f>
        <v/>
      </c>
      <c r="H96" s="13" t="str">
        <f aca="false">IF(G96="","",G96)</f>
        <v/>
      </c>
    </row>
    <row r="97" customFormat="false" ht="15" hidden="false" customHeight="false" outlineLevel="0" collapsed="false">
      <c r="B97" s="8" t="s">
        <v>116</v>
      </c>
      <c r="C97" s="16" t="n">
        <v>0.00988733991015187</v>
      </c>
      <c r="D97" s="16" t="n">
        <v>-0.007240240639677</v>
      </c>
      <c r="E97" s="33"/>
      <c r="F97" s="33"/>
      <c r="G97" s="13" t="str">
        <f aca="false">IF(F97="","",F97)</f>
        <v/>
      </c>
      <c r="H97" s="13" t="str">
        <f aca="false">IF(G97="","",G97)</f>
        <v/>
      </c>
    </row>
    <row r="98" customFormat="false" ht="15" hidden="false" customHeight="false" outlineLevel="0" collapsed="false">
      <c r="B98" s="8" t="s">
        <v>117</v>
      </c>
      <c r="C98" s="16" t="n">
        <v>0.0120885065940057</v>
      </c>
      <c r="D98" s="16" t="n">
        <v>-0.00623586612258003</v>
      </c>
      <c r="E98" s="33"/>
      <c r="F98" s="33"/>
      <c r="G98" s="13" t="str">
        <f aca="false">IF(F98="","",F98)</f>
        <v/>
      </c>
      <c r="H98" s="13" t="str">
        <f aca="false">IF(G98="","",G98)</f>
        <v/>
      </c>
    </row>
    <row r="99" customFormat="false" ht="15" hidden="false" customHeight="false" outlineLevel="0" collapsed="false">
      <c r="B99" s="8" t="s">
        <v>118</v>
      </c>
      <c r="C99" s="16" t="n">
        <v>0.0132210031731085</v>
      </c>
      <c r="D99" s="16" t="n">
        <v>-0.00485094591487557</v>
      </c>
      <c r="E99" s="33"/>
      <c r="F99" s="33"/>
      <c r="G99" s="13" t="str">
        <f aca="false">IF(F99="","",F99)</f>
        <v/>
      </c>
      <c r="H99" s="13" t="str">
        <f aca="false">IF(G99="","",G99)</f>
        <v/>
      </c>
    </row>
    <row r="100" customFormat="false" ht="15" hidden="false" customHeight="false" outlineLevel="0" collapsed="false">
      <c r="B100" s="8" t="s">
        <v>119</v>
      </c>
      <c r="C100" s="16" t="n">
        <v>0.0147265088673112</v>
      </c>
      <c r="D100" s="16" t="n">
        <v>-0.00244114992362024</v>
      </c>
      <c r="E100" s="33"/>
      <c r="F100" s="33"/>
      <c r="G100" s="13" t="str">
        <f aca="false">IF(F100="","",F100)</f>
        <v/>
      </c>
      <c r="H100" s="13" t="str">
        <f aca="false">IF(G100="","",G100)</f>
        <v/>
      </c>
    </row>
    <row r="101" customFormat="false" ht="15" hidden="false" customHeight="false" outlineLevel="0" collapsed="false">
      <c r="B101" s="8" t="s">
        <v>120</v>
      </c>
      <c r="C101" s="16" t="n">
        <v>0.015777257164324</v>
      </c>
      <c r="D101" s="16" t="n">
        <v>-0.000369750696366794</v>
      </c>
      <c r="E101" s="33"/>
      <c r="F101" s="33"/>
      <c r="G101" s="13" t="str">
        <f aca="false">IF(F101="","",F101)</f>
        <v/>
      </c>
      <c r="H101" s="13" t="str">
        <f aca="false">IF(G101="","",G101)</f>
        <v/>
      </c>
    </row>
    <row r="102" customFormat="false" ht="15" hidden="false" customHeight="false" outlineLevel="0" collapsed="false">
      <c r="B102" s="8" t="s">
        <v>121</v>
      </c>
      <c r="C102" s="16" t="n">
        <v>0.0176311761299245</v>
      </c>
      <c r="D102" s="16" t="n">
        <v>0.00167271436800528</v>
      </c>
      <c r="E102" s="33"/>
      <c r="F102" s="33"/>
      <c r="G102" s="13" t="str">
        <f aca="false">IF(F102="","",F102)</f>
        <v/>
      </c>
      <c r="H102" s="13" t="str">
        <f aca="false">IF(G102="","",G102)</f>
        <v/>
      </c>
    </row>
    <row r="103" customFormat="false" ht="15" hidden="false" customHeight="false" outlineLevel="0" collapsed="false">
      <c r="B103" s="8" t="s">
        <v>122</v>
      </c>
      <c r="C103" s="16" t="n">
        <v>0.0178066741224438</v>
      </c>
      <c r="D103" s="16" t="n">
        <v>0.00301994425978437</v>
      </c>
      <c r="E103" s="33"/>
      <c r="F103" s="33"/>
      <c r="G103" s="13" t="str">
        <f aca="false">IF(F103="","",F103)</f>
        <v/>
      </c>
      <c r="H103" s="13" t="str">
        <f aca="false">IF(G103="","",G103)</f>
        <v/>
      </c>
    </row>
    <row r="104" customFormat="false" ht="15" hidden="false" customHeight="false" outlineLevel="0" collapsed="false">
      <c r="B104" s="8" t="s">
        <v>123</v>
      </c>
      <c r="C104" s="16" t="n">
        <v>0.0176909324182118</v>
      </c>
      <c r="D104" s="16" t="n">
        <v>0.00301569620082178</v>
      </c>
      <c r="E104" s="33"/>
      <c r="F104" s="33"/>
      <c r="G104" s="13" t="str">
        <f aca="false">IF(F104="","",F104)</f>
        <v/>
      </c>
      <c r="H104" s="13" t="str">
        <f aca="false">IF(G104="","",G104)</f>
        <v/>
      </c>
    </row>
    <row r="105" customFormat="false" ht="15" hidden="false" customHeight="false" outlineLevel="0" collapsed="false">
      <c r="B105" s="8" t="s">
        <v>124</v>
      </c>
      <c r="C105" s="16" t="n">
        <v>0.0169463655582493</v>
      </c>
      <c r="D105" s="16" t="n">
        <v>0.00286060908040955</v>
      </c>
      <c r="E105" s="33"/>
      <c r="F105" s="33"/>
      <c r="G105" s="13" t="str">
        <f aca="false">IF(F105="","",F105)</f>
        <v/>
      </c>
      <c r="H105" s="13" t="str">
        <f aca="false">IF(G105="","",G105)</f>
        <v/>
      </c>
    </row>
    <row r="106" customFormat="false" ht="15" hidden="false" customHeight="false" outlineLevel="0" collapsed="false">
      <c r="B106" s="8" t="s">
        <v>125</v>
      </c>
      <c r="C106" s="16" t="n">
        <v>0.0165360378591884</v>
      </c>
      <c r="D106" s="16" t="n">
        <v>0.00294610544752943</v>
      </c>
      <c r="E106" s="33"/>
      <c r="F106" s="33"/>
      <c r="G106" s="13" t="str">
        <f aca="false">IF(F106="","",F106)</f>
        <v/>
      </c>
      <c r="H106" s="13" t="str">
        <f aca="false">IF(G106="","",G106)</f>
        <v/>
      </c>
    </row>
    <row r="107" customFormat="false" ht="15" hidden="false" customHeight="false" outlineLevel="0" collapsed="false">
      <c r="B107" s="8" t="s">
        <v>126</v>
      </c>
      <c r="C107" s="16" t="n">
        <v>0.0168122593832077</v>
      </c>
      <c r="D107" s="16" t="n">
        <v>0.00365666673083154</v>
      </c>
      <c r="E107" s="33"/>
      <c r="F107" s="33"/>
      <c r="G107" s="13" t="str">
        <f aca="false">IF(F107="","",F107)</f>
        <v/>
      </c>
      <c r="H107" s="13" t="str">
        <f aca="false">IF(G107="","",G107)</f>
        <v/>
      </c>
    </row>
    <row r="108" customFormat="false" ht="15" hidden="false" customHeight="false" outlineLevel="0" collapsed="false">
      <c r="B108" s="8" t="s">
        <v>127</v>
      </c>
      <c r="C108" s="16" t="n">
        <v>0.0153647874862185</v>
      </c>
      <c r="D108" s="16" t="n">
        <v>0.00279860130615334</v>
      </c>
      <c r="E108" s="33"/>
      <c r="F108" s="33"/>
      <c r="G108" s="13" t="str">
        <f aca="false">IF(F108="","",F108)</f>
        <v/>
      </c>
      <c r="H108" s="13" t="str">
        <f aca="false">IF(G108="","",G108)</f>
        <v/>
      </c>
    </row>
    <row r="109" customFormat="false" ht="15" hidden="false" customHeight="false" outlineLevel="0" collapsed="false">
      <c r="B109" s="8" t="s">
        <v>128</v>
      </c>
      <c r="C109" s="16" t="n">
        <v>0.0153091540392814</v>
      </c>
      <c r="D109" s="16" t="n">
        <v>0.0031430122203506</v>
      </c>
      <c r="E109" s="33"/>
      <c r="F109" s="33"/>
      <c r="G109" s="13" t="str">
        <f aca="false">IF(F109="","",F109)</f>
        <v/>
      </c>
      <c r="H109" s="13" t="str">
        <f aca="false">IF(G109="","",G109)</f>
        <v/>
      </c>
    </row>
    <row r="110" customFormat="false" ht="15" hidden="false" customHeight="false" outlineLevel="0" collapsed="false">
      <c r="B110" s="8" t="s">
        <v>129</v>
      </c>
      <c r="C110" s="16" t="n">
        <v>0.0159927666806407</v>
      </c>
      <c r="D110" s="16" t="n">
        <v>0.00363002194157716</v>
      </c>
      <c r="E110" s="33"/>
      <c r="F110" s="33"/>
      <c r="G110" s="13" t="str">
        <f aca="false">IF(F110="","",F110)</f>
        <v/>
      </c>
      <c r="H110" s="13" t="str">
        <f aca="false">IF(G110="","",G110)</f>
        <v/>
      </c>
    </row>
    <row r="111" customFormat="false" ht="15" hidden="false" customHeight="false" outlineLevel="0" collapsed="false">
      <c r="B111" s="8" t="s">
        <v>130</v>
      </c>
      <c r="C111" s="16" t="n">
        <v>0.016416459220593</v>
      </c>
      <c r="D111" s="16" t="n">
        <v>0.00403476296999725</v>
      </c>
      <c r="E111" s="33"/>
      <c r="F111" s="33"/>
      <c r="G111" s="13" t="str">
        <f aca="false">IF(F111="","",F111)</f>
        <v/>
      </c>
      <c r="H111" s="13" t="str">
        <f aca="false">IF(G111="","",G111)</f>
        <v/>
      </c>
    </row>
    <row r="112" customFormat="false" ht="15" hidden="false" customHeight="false" outlineLevel="0" collapsed="false">
      <c r="B112" s="8" t="s">
        <v>131</v>
      </c>
      <c r="C112" s="16" t="n">
        <v>0.0158413480416535</v>
      </c>
      <c r="D112" s="16" t="n">
        <v>0.0037319259964212</v>
      </c>
      <c r="E112" s="33"/>
      <c r="F112" s="33"/>
      <c r="G112" s="13" t="str">
        <f aca="false">IF(F112="","",F112)</f>
        <v/>
      </c>
      <c r="H112" s="13" t="str">
        <f aca="false">IF(G112="","",G112)</f>
        <v/>
      </c>
    </row>
    <row r="113" customFormat="false" ht="15" hidden="false" customHeight="false" outlineLevel="0" collapsed="false">
      <c r="B113" s="8" t="s">
        <v>132</v>
      </c>
      <c r="C113" s="16" t="n">
        <v>0.0155428121848654</v>
      </c>
      <c r="D113" s="16" t="n">
        <v>0.00363215128210706</v>
      </c>
      <c r="E113" s="33"/>
      <c r="F113" s="33"/>
      <c r="G113" s="13" t="str">
        <f aca="false">IF(F113="","",F113)</f>
        <v/>
      </c>
      <c r="H113" s="13" t="str">
        <f aca="false">IF(G113="","",G113)</f>
        <v/>
      </c>
    </row>
    <row r="114" customFormat="false" ht="15" hidden="false" customHeight="false" outlineLevel="0" collapsed="false">
      <c r="B114" s="8" t="s">
        <v>133</v>
      </c>
      <c r="C114" s="16" t="n">
        <v>0.016071506203971</v>
      </c>
      <c r="D114" s="16" t="n">
        <v>0.00383802081115035</v>
      </c>
      <c r="E114" s="33"/>
      <c r="F114" s="33"/>
      <c r="G114" s="13" t="str">
        <f aca="false">IF(F114="","",F114)</f>
        <v/>
      </c>
      <c r="H114" s="13" t="str">
        <f aca="false">IF(G114="","",G114)</f>
        <v/>
      </c>
    </row>
    <row r="115" customFormat="false" ht="15" hidden="false" customHeight="false" outlineLevel="0" collapsed="false">
      <c r="B115" s="8" t="s">
        <v>134</v>
      </c>
      <c r="C115" s="16" t="n">
        <v>0.0138422325378931</v>
      </c>
      <c r="D115" s="16" t="n">
        <v>0.00170989290672499</v>
      </c>
      <c r="E115" s="33"/>
      <c r="F115" s="33"/>
      <c r="G115" s="13" t="str">
        <f aca="false">IF(F115="","",F115)</f>
        <v/>
      </c>
      <c r="H115" s="13" t="str">
        <f aca="false">IF(G115="","",G115)</f>
        <v/>
      </c>
    </row>
    <row r="116" customFormat="false" ht="15" hidden="false" customHeight="false" outlineLevel="0" collapsed="false">
      <c r="B116" s="8" t="s">
        <v>135</v>
      </c>
      <c r="C116" s="16" t="n">
        <v>0.0143185479112872</v>
      </c>
      <c r="D116" s="16" t="n">
        <v>0.00225144916954379</v>
      </c>
      <c r="E116" s="33"/>
      <c r="F116" s="33"/>
      <c r="G116" s="13" t="str">
        <f aca="false">IF(F116="","",F116)</f>
        <v/>
      </c>
      <c r="H116" s="13" t="str">
        <f aca="false">IF(G116="","",G116)</f>
        <v/>
      </c>
    </row>
    <row r="117" customFormat="false" ht="15" hidden="false" customHeight="false" outlineLevel="0" collapsed="false">
      <c r="B117" s="8" t="s">
        <v>136</v>
      </c>
      <c r="C117" s="16" t="n">
        <v>0.0142577781796478</v>
      </c>
      <c r="D117" s="16" t="n">
        <v>0.00201381993259505</v>
      </c>
      <c r="E117" s="33"/>
      <c r="F117" s="33"/>
      <c r="G117" s="13" t="str">
        <f aca="false">IF(F117="","",F117)</f>
        <v/>
      </c>
      <c r="H117" s="13" t="str">
        <f aca="false">IF(G117="","",G117)</f>
        <v/>
      </c>
    </row>
    <row r="118" customFormat="false" ht="15" hidden="false" customHeight="false" outlineLevel="0" collapsed="false">
      <c r="B118" s="8" t="s">
        <v>137</v>
      </c>
      <c r="C118" s="16" t="n">
        <v>0.0141325385967458</v>
      </c>
      <c r="D118" s="16" t="n">
        <v>0.00206170590781037</v>
      </c>
      <c r="E118" s="33"/>
      <c r="F118" s="33"/>
      <c r="G118" s="13" t="str">
        <f aca="false">IF(F118="","",F118)</f>
        <v/>
      </c>
      <c r="H118" s="13" t="str">
        <f aca="false">IF(G118="","",G118)</f>
        <v/>
      </c>
    </row>
    <row r="119" customFormat="false" ht="15" hidden="false" customHeight="false" outlineLevel="0" collapsed="false">
      <c r="B119" s="8" t="s">
        <v>138</v>
      </c>
      <c r="C119" s="16" t="n">
        <v>0.0135555872988774</v>
      </c>
      <c r="D119" s="16" t="n">
        <v>0.0016851962518868</v>
      </c>
      <c r="E119" s="33"/>
      <c r="F119" s="33"/>
      <c r="G119" s="13" t="str">
        <f aca="false">IF(F119="","",F119)</f>
        <v/>
      </c>
      <c r="H119" s="13" t="str">
        <f aca="false">IF(G119="","",G119)</f>
        <v/>
      </c>
    </row>
    <row r="120" customFormat="false" ht="15" hidden="false" customHeight="false" outlineLevel="0" collapsed="false">
      <c r="B120" s="8" t="s">
        <v>139</v>
      </c>
      <c r="C120" s="16" t="n">
        <v>0.0134514597632155</v>
      </c>
      <c r="D120" s="16" t="n">
        <v>0.00145129365330028</v>
      </c>
      <c r="E120" s="33"/>
      <c r="F120" s="33"/>
      <c r="G120" s="13" t="str">
        <f aca="false">IF(F120="","",F120)</f>
        <v/>
      </c>
      <c r="H120" s="13" t="str">
        <f aca="false">IF(G120="","",G120)</f>
        <v/>
      </c>
    </row>
    <row r="121" customFormat="false" ht="15" hidden="false" customHeight="false" outlineLevel="0" collapsed="false">
      <c r="B121" s="8" t="s">
        <v>140</v>
      </c>
      <c r="C121" s="16"/>
      <c r="D121" s="16"/>
      <c r="E121" s="33"/>
      <c r="F121" s="33"/>
      <c r="G121" s="13" t="str">
        <f aca="false">IF(F121="","",F121)</f>
        <v/>
      </c>
      <c r="H121" s="13" t="str">
        <f aca="false">IF(G121="","",G121)</f>
        <v/>
      </c>
    </row>
    <row r="122" customFormat="false" ht="15" hidden="false" customHeight="false" outlineLevel="0" collapsed="false">
      <c r="B122" s="8" t="s">
        <v>141</v>
      </c>
      <c r="C122" s="16"/>
      <c r="D122" s="16"/>
      <c r="E122" s="33"/>
      <c r="F122" s="33"/>
      <c r="G122" s="13" t="str">
        <f aca="false">IF(F122="","",F122)</f>
        <v/>
      </c>
      <c r="H122" s="13" t="str">
        <f aca="false">IF(G122="","",G122)</f>
        <v/>
      </c>
    </row>
    <row r="123" customFormat="false" ht="15" hidden="false" customHeight="false" outlineLevel="0" collapsed="false">
      <c r="B123" s="8" t="s">
        <v>142</v>
      </c>
      <c r="C123" s="16"/>
      <c r="D123" s="16"/>
      <c r="E123" s="33"/>
      <c r="F123" s="33"/>
      <c r="G123" s="13" t="str">
        <f aca="false">IF(F123="","",F123)</f>
        <v/>
      </c>
      <c r="H123" s="13" t="str">
        <f aca="false">IF(G123="","",G123)</f>
        <v/>
      </c>
    </row>
    <row r="124" customFormat="false" ht="15" hidden="false" customHeight="false" outlineLevel="0" collapsed="false">
      <c r="B124" s="8" t="s">
        <v>143</v>
      </c>
      <c r="C124" s="16"/>
      <c r="D124" s="16"/>
      <c r="E124" s="33"/>
      <c r="F124" s="33"/>
      <c r="G124" s="13" t="str">
        <f aca="false">IF(F124="","",F124)</f>
        <v/>
      </c>
      <c r="H124" s="13" t="str">
        <f aca="false">IF(G124="","",G124)</f>
        <v/>
      </c>
    </row>
    <row r="125" customFormat="false" ht="15" hidden="false" customHeight="false" outlineLevel="0" collapsed="false">
      <c r="B125" s="8" t="s">
        <v>144</v>
      </c>
      <c r="C125" s="16"/>
      <c r="D125" s="16"/>
      <c r="E125" s="33"/>
      <c r="F125" s="33"/>
      <c r="G125" s="13" t="str">
        <f aca="false">IF(F125="","",F125)</f>
        <v/>
      </c>
      <c r="H125" s="13" t="str">
        <f aca="false">IF(G125="","",G125)</f>
        <v/>
      </c>
    </row>
    <row r="126" customFormat="false" ht="15" hidden="false" customHeight="false" outlineLevel="0" collapsed="false">
      <c r="B126" s="8" t="s">
        <v>145</v>
      </c>
      <c r="C126" s="16"/>
      <c r="D126" s="16"/>
      <c r="E126" s="33"/>
      <c r="F126" s="33"/>
      <c r="G126" s="13" t="str">
        <f aca="false">IF(F126="","",F126)</f>
        <v/>
      </c>
      <c r="H126" s="13" t="str">
        <f aca="false">IF(G126="","",G126)</f>
        <v/>
      </c>
    </row>
    <row r="127" customFormat="false" ht="15" hidden="false" customHeight="false" outlineLevel="0" collapsed="false">
      <c r="B127" s="8" t="s">
        <v>146</v>
      </c>
      <c r="C127" s="16"/>
      <c r="D127" s="16"/>
      <c r="E127" s="33"/>
      <c r="F127" s="33"/>
      <c r="G127" s="13" t="str">
        <f aca="false">IF(F127="","",F127)</f>
        <v/>
      </c>
      <c r="H127" s="13" t="str">
        <f aca="false">IF(G127="","",G127)</f>
        <v/>
      </c>
    </row>
    <row r="128" customFormat="false" ht="15" hidden="false" customHeight="false" outlineLevel="0" collapsed="false">
      <c r="B128" s="8" t="s">
        <v>147</v>
      </c>
      <c r="C128" s="16"/>
      <c r="D128" s="16"/>
      <c r="E128" s="33"/>
      <c r="F128" s="33"/>
      <c r="G128" s="13" t="str">
        <f aca="false">IF(F128="","",F128)</f>
        <v/>
      </c>
      <c r="H128" s="13" t="str">
        <f aca="false">IF(G128="","",G128)</f>
        <v/>
      </c>
    </row>
    <row r="129" customFormat="false" ht="15" hidden="false" customHeight="false" outlineLevel="0" collapsed="false">
      <c r="B129" s="8" t="s">
        <v>148</v>
      </c>
      <c r="C129" s="16"/>
      <c r="D129" s="16"/>
      <c r="E129" s="33"/>
      <c r="F129" s="33"/>
      <c r="G129" s="13" t="str">
        <f aca="false">IF(F129="","",F129)</f>
        <v/>
      </c>
      <c r="H129" s="13" t="str">
        <f aca="false">IF(G129="","",G129)</f>
        <v/>
      </c>
    </row>
    <row r="130" customFormat="false" ht="15" hidden="false" customHeight="false" outlineLevel="0" collapsed="false">
      <c r="B130" s="8" t="s">
        <v>149</v>
      </c>
      <c r="C130" s="16"/>
      <c r="D130" s="16"/>
      <c r="E130" s="33"/>
      <c r="F130" s="33"/>
      <c r="G130" s="13" t="str">
        <f aca="false">IF(F130="","",F130)</f>
        <v/>
      </c>
      <c r="H130" s="13" t="str">
        <f aca="false">IF(G130="","",G130)</f>
        <v/>
      </c>
    </row>
    <row r="131" customFormat="false" ht="15" hidden="false" customHeight="false" outlineLevel="0" collapsed="false">
      <c r="B131" s="8" t="s">
        <v>150</v>
      </c>
      <c r="C131" s="16"/>
      <c r="D131" s="16"/>
      <c r="E131" s="33"/>
      <c r="F131" s="33"/>
      <c r="G131" s="13" t="str">
        <f aca="false">IF(F131="","",F131)</f>
        <v/>
      </c>
      <c r="H131" s="13" t="str">
        <f aca="false">IF(G131="","",G131)</f>
        <v/>
      </c>
    </row>
    <row r="132" customFormat="false" ht="15" hidden="false" customHeight="false" outlineLevel="0" collapsed="false">
      <c r="B132" s="8" t="s">
        <v>151</v>
      </c>
      <c r="C132" s="16"/>
      <c r="D132" s="16"/>
      <c r="E132" s="33"/>
      <c r="F132" s="33"/>
      <c r="G132" s="13" t="str">
        <f aca="false">IF(F132="","",F132)</f>
        <v/>
      </c>
      <c r="H132" s="13" t="str">
        <f aca="false">IF(G132="","",G132)</f>
        <v/>
      </c>
    </row>
    <row r="133" customFormat="false" ht="15" hidden="false" customHeight="false" outlineLevel="0" collapsed="false">
      <c r="B133" s="8" t="s">
        <v>152</v>
      </c>
      <c r="C133" s="16"/>
      <c r="D133" s="16"/>
      <c r="E133" s="33"/>
      <c r="F133" s="33"/>
      <c r="G133" s="13" t="str">
        <f aca="false">IF(F133="","",F133)</f>
        <v/>
      </c>
      <c r="H133" s="13" t="str">
        <f aca="false">IF(G133="","",G133)</f>
        <v/>
      </c>
    </row>
    <row r="134" customFormat="false" ht="15" hidden="false" customHeight="false" outlineLevel="0" collapsed="false">
      <c r="B134" s="8" t="s">
        <v>153</v>
      </c>
      <c r="C134" s="16"/>
      <c r="D134" s="16"/>
      <c r="E134" s="33"/>
      <c r="F134" s="33"/>
      <c r="G134" s="13" t="str">
        <f aca="false">IF(F134="","",F134)</f>
        <v/>
      </c>
      <c r="H134" s="13" t="str">
        <f aca="false">IF(G134="","",G134)</f>
        <v/>
      </c>
    </row>
    <row r="135" customFormat="false" ht="15" hidden="false" customHeight="false" outlineLevel="0" collapsed="false">
      <c r="B135" s="8" t="s">
        <v>154</v>
      </c>
      <c r="C135" s="16"/>
      <c r="D135" s="16"/>
      <c r="E135" s="33"/>
      <c r="F135" s="33"/>
      <c r="G135" s="13" t="str">
        <f aca="false">IF(F135="","",F135)</f>
        <v/>
      </c>
      <c r="H135" s="13" t="str">
        <f aca="false">IF(G135="","",G135)</f>
        <v/>
      </c>
    </row>
    <row r="136" customFormat="false" ht="15" hidden="false" customHeight="false" outlineLevel="0" collapsed="false">
      <c r="B136" s="8" t="s">
        <v>155</v>
      </c>
      <c r="C136" s="16"/>
      <c r="D136" s="16"/>
      <c r="E136" s="33"/>
      <c r="F136" s="33"/>
      <c r="G136" s="13" t="str">
        <f aca="false">IF(F136="","",F136)</f>
        <v/>
      </c>
      <c r="H136" s="13" t="str">
        <f aca="false">IF(G136="","",G136)</f>
        <v/>
      </c>
    </row>
    <row r="137" customFormat="false" ht="15" hidden="false" customHeight="false" outlineLevel="0" collapsed="false">
      <c r="B137" s="8" t="s">
        <v>156</v>
      </c>
      <c r="C137" s="16"/>
      <c r="D137" s="16"/>
      <c r="E137" s="33"/>
      <c r="F137" s="33"/>
      <c r="G137" s="13" t="str">
        <f aca="false">IF(F137="","",F137)</f>
        <v/>
      </c>
      <c r="H137" s="13" t="str">
        <f aca="false">IF(G137="","",G137)</f>
        <v/>
      </c>
    </row>
    <row r="138" customFormat="false" ht="15" hidden="false" customHeight="false" outlineLevel="0" collapsed="false">
      <c r="B138" s="8" t="s">
        <v>157</v>
      </c>
      <c r="C138" s="16"/>
      <c r="D138" s="16"/>
      <c r="E138" s="33"/>
      <c r="F138" s="33"/>
      <c r="G138" s="13" t="str">
        <f aca="false">IF(F138="","",F138)</f>
        <v/>
      </c>
      <c r="H138" s="13" t="str">
        <f aca="false">IF(G138="","",G138)</f>
        <v/>
      </c>
    </row>
    <row r="139" customFormat="false" ht="15" hidden="false" customHeight="false" outlineLevel="0" collapsed="false">
      <c r="B139" s="8" t="s">
        <v>158</v>
      </c>
      <c r="C139" s="16"/>
      <c r="D139" s="16"/>
      <c r="E139" s="33"/>
      <c r="F139" s="33"/>
      <c r="G139" s="13" t="str">
        <f aca="false">IF(F139="","",F139)</f>
        <v/>
      </c>
      <c r="H139" s="13" t="str">
        <f aca="false">IF(G139="","",G139)</f>
        <v/>
      </c>
    </row>
    <row r="141" customFormat="false" ht="333.55" hidden="false" customHeight="false" outlineLevel="0" collapsed="false">
      <c r="B141" s="17" t="s">
        <v>325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C0016"/>
    <pageSetUpPr fitToPage="false"/>
  </sheetPr>
  <dimension ref="B2:D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3" min="3" style="0" width="40"/>
    <col collapsed="false" customWidth="true" hidden="false" outlineLevel="0" max="4" min="4" style="0" width="72"/>
  </cols>
  <sheetData>
    <row r="2" customFormat="false" ht="25.5" hidden="false" customHeight="true" outlineLevel="0" collapsed="false">
      <c r="B2" s="1"/>
      <c r="C2" s="2" t="s">
        <v>326</v>
      </c>
    </row>
    <row r="3" customFormat="false" ht="15" hidden="false" customHeight="false" outlineLevel="0" collapsed="false">
      <c r="C3" s="3" t="s">
        <v>327</v>
      </c>
    </row>
    <row r="5" customFormat="false" ht="15" hidden="false" customHeight="false" outlineLevel="0" collapsed="false">
      <c r="B5" s="7" t="s">
        <v>328</v>
      </c>
      <c r="C5" s="7" t="s">
        <v>329</v>
      </c>
      <c r="D5" s="7" t="s">
        <v>330</v>
      </c>
    </row>
    <row r="6" customFormat="false" ht="12.75" hidden="false" customHeight="true" outlineLevel="0" collapsed="false">
      <c r="B6" s="8" t="s">
        <v>331</v>
      </c>
      <c r="C6" s="8" t="s">
        <v>332</v>
      </c>
      <c r="D6" s="37" t="s">
        <v>333</v>
      </c>
    </row>
    <row r="7" customFormat="false" ht="12.75" hidden="false" customHeight="true" outlineLevel="0" collapsed="false">
      <c r="B7" s="8" t="s">
        <v>331</v>
      </c>
      <c r="C7" s="8" t="s">
        <v>334</v>
      </c>
      <c r="D7" s="37" t="s">
        <v>335</v>
      </c>
    </row>
    <row r="8" customFormat="false" ht="12.75" hidden="false" customHeight="true" outlineLevel="0" collapsed="false">
      <c r="B8" s="8" t="s">
        <v>331</v>
      </c>
      <c r="C8" s="8" t="s">
        <v>336</v>
      </c>
      <c r="D8" s="37" t="s">
        <v>337</v>
      </c>
    </row>
    <row r="9" customFormat="false" ht="12.75" hidden="false" customHeight="true" outlineLevel="0" collapsed="false">
      <c r="B9" s="8" t="s">
        <v>331</v>
      </c>
      <c r="C9" s="8" t="s">
        <v>338</v>
      </c>
      <c r="D9" s="37" t="s">
        <v>339</v>
      </c>
    </row>
    <row r="10" customFormat="false" ht="51.75" hidden="false" customHeight="true" outlineLevel="0" collapsed="false">
      <c r="B10" s="8" t="s">
        <v>340</v>
      </c>
      <c r="C10" s="8" t="s">
        <v>341</v>
      </c>
      <c r="D10" s="37" t="s">
        <v>342</v>
      </c>
    </row>
    <row r="11" customFormat="false" ht="12.75" hidden="false" customHeight="true" outlineLevel="0" collapsed="false">
      <c r="B11" s="8" t="s">
        <v>343</v>
      </c>
      <c r="C11" s="8" t="s">
        <v>344</v>
      </c>
      <c r="D11" s="37" t="s">
        <v>345</v>
      </c>
    </row>
    <row r="12" customFormat="false" ht="12.75" hidden="false" customHeight="true" outlineLevel="0" collapsed="false">
      <c r="B12" s="8" t="s">
        <v>343</v>
      </c>
      <c r="C12" s="8" t="s">
        <v>346</v>
      </c>
      <c r="D12" s="37" t="s">
        <v>347</v>
      </c>
    </row>
    <row r="13" customFormat="false" ht="12.75" hidden="false" customHeight="true" outlineLevel="0" collapsed="false">
      <c r="B13" s="8" t="s">
        <v>348</v>
      </c>
      <c r="C13" s="8" t="s">
        <v>349</v>
      </c>
      <c r="D13" s="37" t="s">
        <v>350</v>
      </c>
    </row>
    <row r="14" customFormat="false" ht="12.75" hidden="false" customHeight="true" outlineLevel="0" collapsed="false">
      <c r="B14" s="8" t="s">
        <v>351</v>
      </c>
      <c r="C14" s="8" t="s">
        <v>352</v>
      </c>
      <c r="D14" s="37" t="s">
        <v>353</v>
      </c>
    </row>
    <row r="15" customFormat="false" ht="12.75" hidden="false" customHeight="true" outlineLevel="0" collapsed="false">
      <c r="B15" s="8" t="s">
        <v>354</v>
      </c>
      <c r="C15" s="8" t="s">
        <v>355</v>
      </c>
      <c r="D15" s="37" t="s">
        <v>356</v>
      </c>
    </row>
    <row r="16" customFormat="false" ht="12.75" hidden="false" customHeight="true" outlineLevel="0" collapsed="false">
      <c r="B16" s="8" t="s">
        <v>354</v>
      </c>
      <c r="C16" s="8" t="s">
        <v>357</v>
      </c>
      <c r="D16" s="37" t="s">
        <v>358</v>
      </c>
    </row>
    <row r="18" customFormat="false" ht="99.95" hidden="false" customHeight="false" outlineLevel="0" collapsed="false">
      <c r="B18" s="17" t="s">
        <v>359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2026-08-06T19:59:24Z</dcterms:created>
  <dc:creator>openpyxl</dc:creator>
  <dc:description/>
  <dc:language>en-US</dc:language>
  <cp:lastModifiedBy/>
  <dcterms:modified xsi:type="dcterms:W3CDTF">2026-08-06T19:59:26Z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