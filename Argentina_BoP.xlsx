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 BoP" sheetId="2" state="visible" r:id="rId4"/>
    <sheet name="Current Account" sheetId="3" state="visible" r:id="rId5"/>
    <sheet name="Financial Account" sheetId="4" state="visible" r:id="rId6"/>
    <sheet name="Funding" sheetId="5" state="visible" r:id="rId7"/>
    <sheet name="% of GDP" sheetId="6" state="visible" r:id="rId8"/>
    <sheet name="Reserves" sheetId="7" state="visible" r:id="rId9"/>
    <sheet name="Forecast"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INDEC, balanza de pagos MBP6, quarterly, millions of USD, from apis.datos.gob.ar dataset 160.2. Provisional from 2022 onward.</t>
        </r>
      </text>
    </comment>
  </commentList>
</comments>
</file>

<file path=xl/sharedStrings.xml><?xml version="1.0" encoding="utf-8"?>
<sst xmlns="http://schemas.openxmlformats.org/spreadsheetml/2006/main" count="392" uniqueCount="294">
  <si>
    <t xml:space="preserve">Argentina — balance of payments and external funding</t>
  </si>
  <si>
    <t xml:space="preserve">INDEC balanza de pagos, BPM6 basis, millions of US dollars. Data through 2026-Q1.</t>
  </si>
  <si>
    <t xml:space="preserve">What's in here</t>
  </si>
  <si>
    <t xml:space="preserve">Data BoP</t>
  </si>
  <si>
    <t xml:space="preserve">All 33 published BPM6 lines, quarterly from 2006. Blue = INDEC source. The identity and build-up check columns must read zero — they are how you know nothing has been mistyped or mis-signed.</t>
  </si>
  <si>
    <t xml:space="preserve">Current Account</t>
  </si>
  <si>
    <t xml:space="preserve">Every current-account line in three frames: quarterly, four-quarter rolling, and annual. The rolling frame is the one to read — quarterly Argentine BoP is violently seasonal (the harvest lands in Q2) and the annual frame is too slow to trade on.</t>
  </si>
  <si>
    <t xml:space="preserve">Financial Account</t>
  </si>
  <si>
    <t xml:space="preserve">The same three frames for the financial account, split into direct, portfolio, derivatives, other investment and reserve assets, each further split into what residents did with assets and what non-residents did with liabilities.</t>
  </si>
  <si>
    <t xml:space="preserve">Funding</t>
  </si>
  <si>
    <t xml:space="preserve">How the current account is actually funded. Reads down from the current account to the change in reserves, showing every source of financing in between. This is the tab that answers what builds and what dents reserves.</t>
  </si>
  <si>
    <t xml:space="preserve">% of GDP</t>
  </si>
  <si>
    <t xml:space="preserve">The four-quarter rolling frame divided by four-quarter rolling USD GDP. Scale-free, so 2006 and 2026 are comparable.</t>
  </si>
  <si>
    <t xml:space="preserve">Reserves</t>
  </si>
  <si>
    <t xml:space="preserve">The reserve-asset line on its own: quarterly, rolling, annual, and cumulated since 2006.</t>
  </si>
  <si>
    <t xml:space="preserve">Forecast</t>
  </si>
  <si>
    <t xml:space="preserve">Bull / base / bear current-account paths for 2026 and 2027, built up from the components, with the assumptions behind each and the IMF projection as a benchmark.</t>
  </si>
  <si>
    <t xml:space="preserve">Sign conventions — read this before using any number</t>
  </si>
  <si>
    <t xml:space="preserve">Financial account</t>
  </si>
  <si>
    <t xml:space="preserve">BPM6 net lending(+) / net borrowing(-). The financial account equals net acquisition of financial assets MINUS net incurrence of liabilities, and reserve assets sit inside it. So a NEGATIVE financial account is a net capital INFLOW. This trips people up constantly; the Funding tab restates everything in inflow-positive terms so you never have to hold it in your head.</t>
  </si>
  <si>
    <t xml:space="preserve">Reserve assets</t>
  </si>
  <si>
    <t xml:space="preserve">POSITIVE = reserves BUILT. Verified against the known years: 2019 -21,375 and 2023 -21,675 (the two big loss years), 2024 +6,093, 2025 +7,221.</t>
  </si>
  <si>
    <t xml:space="preserve">The identity</t>
  </si>
  <si>
    <t xml:space="preserve">Current account + capital account - financial account + errors and omissions = 0. It holds to machine precision in 77 of 81 quarters; the four 2016 quarters carry a residual of up to 2.1 that is internal to INDEC's own vintage.</t>
  </si>
  <si>
    <t xml:space="preserve">A trap in the source data</t>
  </si>
  <si>
    <t xml:space="preserve">The other-investment liabilities series is stored with its sign FLIPPED from Q1-2017 onward, but in natural sign before that. Column AL of the Data tab corrects for it with an explicit date test, and everything downstream uses the corrected column. If you pull this series yourself and assume one sign convention, you will silently corrupt 2006-2016.</t>
  </si>
  <si>
    <t xml:space="preserve">Two gaps in what INDEC publishes</t>
  </si>
  <si>
    <t xml:space="preserve">Investment income</t>
  </si>
  <si>
    <t xml:space="preserve">Investment income does not decompose into direct + portfolio + other. A fourth component — income earned ON reserve assets — is in the total but not published separately. It averages about +88mn a quarter and is always a credit. Column AN backs it out as the residual so the decomposition closes.</t>
  </si>
  <si>
    <t xml:space="preserve">Sector detail</t>
  </si>
  <si>
    <t xml:space="preserve">INDEC's API does not carry other investment split by sector (central bank, government, banks, other) or by instrument (currency and deposits, loans, trade credit). That detail exists only in the informe tecnico spreadsheets. If you need to see which sector borrowed, that is the source, not this.</t>
  </si>
  <si>
    <t xml:space="preserve">Source</t>
  </si>
  <si>
    <t xml:space="preserve">INDEC, Balanza de pagos, posicion de inversion internacional y deuda externa, MBP6, quarterly, retrieved from the official series API at apis.datos.gob.ar, dataset 160 (quarterly family 160.2). USD GDP for the ratio tab is INDEC current-price GDP converted at the BCRA Comunicacion "A" 3500 wholesale rate, period average — the same series used in the companion GDP pack.</t>
  </si>
  <si>
    <t xml:space="preserve">Validation</t>
  </si>
  <si>
    <t xml:space="preserve">Annual current account reproduces INDEC's published figures for 2023 (-22,355), 2024 (+5,891) and 2025 (-7,788), and every quarterly print from Q1-2025 to Q1-2026, to within rounding. Reserve assets reproduce 2019, 2023, 2024 and 2025 exactly. One benchmark did NOT reproduce: 2021 computes to 6,624.8 against a published 6,645 — INDEC has since revised 2021 down by 20.2, so the live series is right and the old print is stale.</t>
  </si>
  <si>
    <t xml:space="preserve">Provisional data</t>
  </si>
  <si>
    <t xml:space="preserve">INDEC marks everything from 2022 onward as provisional and has revised it more than once. Do not treat the last four years as settled.</t>
  </si>
  <si>
    <t xml:space="preserve">INDEC balance of payments, BPM6 — quarterly source data</t>
  </si>
  <si>
    <t xml:space="preserve">Millions of US dollars. Blue = INDEC source value. Black = formula. Check columns must read zero.</t>
  </si>
  <si>
    <t xml:space="preserve">Quarter</t>
  </si>
  <si>
    <t xml:space="preserve">Year</t>
  </si>
  <si>
    <t xml:space="preserve">Q</t>
  </si>
  <si>
    <t xml:space="preserve">CURRENT
ACCOUNT</t>
  </si>
  <si>
    <t xml:space="preserve">Goods &amp;
services</t>
  </si>
  <si>
    <t xml:space="preserve">Goods
balance</t>
  </si>
  <si>
    <t xml:space="preserve">Goods
exports FOB</t>
  </si>
  <si>
    <t xml:space="preserve">Goods
imports FOB</t>
  </si>
  <si>
    <t xml:space="preserve">Services
balance</t>
  </si>
  <si>
    <t xml:space="preserve">Services
credits</t>
  </si>
  <si>
    <t xml:space="preserve">Services
debits</t>
  </si>
  <si>
    <t xml:space="preserve">Primary
income</t>
  </si>
  <si>
    <t xml:space="preserve">of which:
compensation</t>
  </si>
  <si>
    <t xml:space="preserve">Investment
income</t>
  </si>
  <si>
    <t xml:space="preserve">Income on
direct inv.</t>
  </si>
  <si>
    <t xml:space="preserve">Income on
portfolio</t>
  </si>
  <si>
    <t xml:space="preserve">Income on
other inv.</t>
  </si>
  <si>
    <t xml:space="preserve">Secondary
income</t>
  </si>
  <si>
    <t xml:space="preserve">CAPITAL
ACCOUNT</t>
  </si>
  <si>
    <t xml:space="preserve">FINANCIAL
ACCOUNT</t>
  </si>
  <si>
    <t xml:space="preserve">Direct inv.
total</t>
  </si>
  <si>
    <t xml:space="preserve">DI assets
equity</t>
  </si>
  <si>
    <t xml:space="preserve">DI assets
debt</t>
  </si>
  <si>
    <t xml:space="preserve">DI liab.
equity</t>
  </si>
  <si>
    <t xml:space="preserve">DI liab.
debt</t>
  </si>
  <si>
    <t xml:space="preserve">Portfolio
total</t>
  </si>
  <si>
    <t xml:space="preserve">PI assets
equity</t>
  </si>
  <si>
    <t xml:space="preserve">PI assets
debt</t>
  </si>
  <si>
    <t xml:space="preserve">PI liab.
equity</t>
  </si>
  <si>
    <t xml:space="preserve">PI liab.
debt</t>
  </si>
  <si>
    <t xml:space="preserve">Financial
derivatives</t>
  </si>
  <si>
    <t xml:space="preserve">Other inv.
total</t>
  </si>
  <si>
    <t xml:space="preserve">OI assets</t>
  </si>
  <si>
    <t xml:space="preserve">OI liab.
(as published)</t>
  </si>
  <si>
    <t xml:space="preserve">RESERVE
ASSETS</t>
  </si>
  <si>
    <t xml:space="preserve">Errors &amp;
omissions</t>
  </si>
  <si>
    <t xml:space="preserve">OI liab., sign
corrected</t>
  </si>
  <si>
    <t xml:space="preserve">Identity
check</t>
  </si>
  <si>
    <t xml:space="preserve">Fin. acct
build check</t>
  </si>
  <si>
    <t xml:space="preserve">Income on
reserves (resid.)</t>
  </si>
  <si>
    <t xml:space="preserve">Nominal GDP
(USD mn, qtr)</t>
  </si>
  <si>
    <t xml:space="preserve">4q rolling GDP
(USD mn)</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</si>
  <si>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</si>
  <si>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</si>
  <si>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</si>
  <si>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</si>
  <si>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</si>
  <si>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</si>
  <si>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</si>
  <si>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</si>
  <si>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</si>
  <si>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</si>
  <si>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</si>
  <si>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</si>
  <si>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</si>
  <si>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</si>
  <si>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</si>
  <si>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</si>
  <si>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</si>
  <si>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</si>
  <si>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</si>
  <si>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</si>
  <si>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</si>
  <si>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</si>
  <si>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</si>
  <si>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</si>
  <si>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</si>
  <si>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</si>
  <si>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</si>
  <si>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</si>
  <si>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</si>
  <si>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</si>
  <si>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</si>
  <si>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</si>
  <si>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</si>
  <si>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</si>
  <si>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</si>
  <si>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</si>
  <si>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</si>
  <si>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</si>
  <si>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</si>
  <si>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</si>
  <si>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</si>
  <si>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</si>
  <si>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</si>
  <si>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</si>
  <si>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</si>
  <si>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</si>
  <si>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</si>
  <si>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</si>
  <si>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</si>
  <si>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</si>
  <si>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</si>
  <si>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</si>
  <si>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</si>
  <si>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</si>
  <si>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</si>
  <si>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</si>
  <si>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</si>
  <si>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</si>
  <si>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</si>
  <si>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</si>
  <si>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</si>
  <si>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</si>
  <si>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</si>
  <si>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</si>
  <si>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</si>
  <si>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</si>
  <si>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</si>
  <si>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</si>
  <si>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</si>
  <si>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</si>
  <si>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</si>
  <si>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</si>
  <si>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</si>
  <si>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</si>
  <si>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</si>
  <si>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</si>
  <si>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</si>
  <si>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</si>
  <si>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</si>
  <si>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</si>
  <si>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</si>
  <si>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Identity check = current account + capital account - financial account + errors and omissions. Zero except the four 2016 quarters (residual up to 2.1), which is internal to INDEC's vintage.</t>
  </si>
  <si>
    <t xml:space="preserve">Other-investment liabilities are published in natural sign to Q4-2016 and sign-flipped from Q1-2017. Column AL corrects for that; use AL, never AI, in any calculation. In AL a POSITIVE value is a net incurrence of liabilities, i.e. an inflow.</t>
  </si>
  <si>
    <t xml:space="preserve">Income on reserve assets is not published separately; it is the residual that makes investment income close. Always a credit, averaging about +88mn a quarter.</t>
  </si>
  <si>
    <t xml:space="preserve">Nominal GDP in USD: INDEC current-price GDP (published at annual rates, so divided by four for a true quarterly flow) converted at the period-average Com. "A" 3500 wholesale rate. Same construction as the companion GDP pack.</t>
  </si>
  <si>
    <t xml:space="preserve">Current account — quarterly, four-quarter rolling and annual</t>
  </si>
  <si>
    <t xml:space="preserve">Millions of US dollars. Positive = credit / surplus. The rolling frame is the one to read: Argentine quarterly BoP is dominated by the Q2 harvest.</t>
  </si>
  <si>
    <t xml:space="preserve">Quarterly</t>
  </si>
  <si>
    <t xml:space="preserve">Four-quarter rolling</t>
  </si>
  <si>
    <t xml:space="preserve">CURRENT ACCOUNT</t>
  </si>
  <si>
    <t xml:space="preserve">Goods balance</t>
  </si>
  <si>
    <t xml:space="preserve">  Exports FOB</t>
  </si>
  <si>
    <t xml:space="preserve">  Imports FOB</t>
  </si>
  <si>
    <t xml:space="preserve">Services balance</t>
  </si>
  <si>
    <t xml:space="preserve">  Services credits</t>
  </si>
  <si>
    <t xml:space="preserve">  Services debits</t>
  </si>
  <si>
    <t xml:space="preserve">Primary income</t>
  </si>
  <si>
    <t xml:space="preserve">  Compensation</t>
  </si>
  <si>
    <t xml:space="preserve">  Investment income</t>
  </si>
  <si>
    <t xml:space="preserve">    on direct inv.</t>
  </si>
  <si>
    <t xml:space="preserve">    on portfolio</t>
  </si>
  <si>
    <t xml:space="preserve">    on other inv.</t>
  </si>
  <si>
    <t xml:space="preserve">    on reserves</t>
  </si>
  <si>
    <t xml:space="preserve">Secondary income</t>
  </si>
  <si>
    <t xml:space="preserve">Capital account</t>
  </si>
  <si>
    <t xml:space="preserve">Annual</t>
  </si>
  <si>
    <t xml:space="preserve">Financial account — quarterly, four-quarter rolling and annual</t>
  </si>
  <si>
    <t xml:space="preserve">Millions of US dollars, BPM6 net lending(+) / net borrowing(-). A NEGATIVE total is a net capital INFLOW. Liabilities are shown in natural sign: positive = non-residents put money in.</t>
  </si>
  <si>
    <t xml:space="preserve">FINANCIAL ACCOUNT</t>
  </si>
  <si>
    <t xml:space="preserve">Direct investment, net</t>
  </si>
  <si>
    <t xml:space="preserve">  DI assets (equity)</t>
  </si>
  <si>
    <t xml:space="preserve">  DI assets (debt)</t>
  </si>
  <si>
    <t xml:space="preserve">  DI liabilities (equity)</t>
  </si>
  <si>
    <t xml:space="preserve">  DI liabilities (debt)</t>
  </si>
  <si>
    <t xml:space="preserve">Portfolio investment, net</t>
  </si>
  <si>
    <t xml:space="preserve">  PI assets (equity)</t>
  </si>
  <si>
    <t xml:space="preserve">  PI assets (debt)</t>
  </si>
  <si>
    <t xml:space="preserve">  PI liabilities (equity)</t>
  </si>
  <si>
    <t xml:space="preserve">  PI liabilities (debt)</t>
  </si>
  <si>
    <t xml:space="preserve">Financial derivatives</t>
  </si>
  <si>
    <t xml:space="preserve">Other investment, net</t>
  </si>
  <si>
    <t xml:space="preserve">  OI assets</t>
  </si>
  <si>
    <t xml:space="preserve">  OI liabilities (corrected)</t>
  </si>
  <si>
    <t xml:space="preserve">RESERVE ASSETS</t>
  </si>
  <si>
    <t xml:space="preserve">Errors &amp; omissions</t>
  </si>
  <si>
    <t xml:space="preserve">How the current account is funded — and what that leaves for reserves</t>
  </si>
  <si>
    <t xml:space="preserve">Four-quarter rolling, millions of US dollars. Everything is restated INFLOW-POSITIVE: a positive number adds to Argentina's dollars, a negative number takes them away.</t>
  </si>
  <si>
    <t xml:space="preserve">Read it down. The current account plus the capital account is the external balance. Non-residents putting money in adds to it; residents taking money out subtracts. Errors and omissions is unrecorded flow — in Argentina it is large and usually a leak. What is left is the change in reserve assets, which is the bottom line and ties exactly to INDEC's published reserve-asset figure.</t>
  </si>
  <si>
    <t xml:space="preserve">Current account</t>
  </si>
  <si>
    <t xml:space="preserve">Total: external balance</t>
  </si>
  <si>
    <t xml:space="preserve">FDI into Argentina</t>
  </si>
  <si>
    <t xml:space="preserve">Portfolio into Argentina</t>
  </si>
  <si>
    <t xml:space="preserve">Other inv. borrowing</t>
  </si>
  <si>
    <t xml:space="preserve">Total: gross inflows (liabilities)</t>
  </si>
  <si>
    <t xml:space="preserve">Residents' FDI abroad</t>
  </si>
  <si>
    <t xml:space="preserve">Residents' portfolio abroad</t>
  </si>
  <si>
    <t xml:space="preserve">Residents' other assets</t>
  </si>
  <si>
    <t xml:space="preserve">Total: gross outflows (assets)</t>
  </si>
  <si>
    <t xml:space="preserve">Total: net capital inflow</t>
  </si>
  <si>
    <t xml:space="preserve">CHANGE IN RESERVES</t>
  </si>
  <si>
    <t xml:space="preserve">Check: external balance + net capital inflow + errors and omissions = change in reserves. This is the BPM6 identity rearranged, so it holds by construction — if it ever does not, a source cell has been edited.</t>
  </si>
  <si>
    <t xml:space="preserve">'Other investment borrowing' is where IMF disbursements land. The April-2025 EFF disbursement is the single largest positive entry in that column in the whole history.</t>
  </si>
  <si>
    <t xml:space="preserve">Errors and omissions in Argentina is not noise to be ignored. It is persistently negative and large, and is conventionally read as unrecorded capital flight. Treat it as a funding line, which is why it sits here rather than in a footnote.</t>
  </si>
  <si>
    <t xml:space="preserve">Four-quarter rolling, as a share of GDP</t>
  </si>
  <si>
    <t xml:space="preserve">Rolling four-quarter flows divided by rolling four-quarter nominal GDP in US dollars. Scale-free, so any two eras are directly comparable.</t>
  </si>
  <si>
    <t xml:space="preserve">FDI liabilities</t>
  </si>
  <si>
    <t xml:space="preserve">Portfolio liabilities</t>
  </si>
  <si>
    <t xml:space="preserve">Other inv. liabilities</t>
  </si>
  <si>
    <t xml:space="preserve">Resident asset accumulation</t>
  </si>
  <si>
    <t xml:space="preserve">Change in reserves</t>
  </si>
  <si>
    <t xml:space="preserve">memo: 4q GDP
(USD mn)</t>
  </si>
  <si>
    <t xml:space="preserve">Denominator is nominal GDP converted at the official Com. "A" 3500 rate. Under a managed band that rate is not a market-clearing one, so the USD GDP level — and therefore every ratio here — moves with the regime as well as with the economy. In periods with a wide parallel gap (2012-2015, 2020-2023) these ratios understate the true burden.</t>
  </si>
  <si>
    <t xml:space="preserve">Reserve assets — the BPM6 transaction line</t>
  </si>
  <si>
    <t xml:space="preserve">This is the change in reserves attributable to transactions, which is what the balance of payments explains. It is not the change in the headline stock: valuation, gold price and cross-rate moves are excluded.</t>
  </si>
  <si>
    <t xml:space="preserve">4q rolling</t>
  </si>
  <si>
    <t xml:space="preserve">Cumulative
since 2006</t>
  </si>
  <si>
    <t xml:space="preserve">% of GDP
(4q rolling)</t>
  </si>
  <si>
    <t xml:space="preserve">Reserve assets
(USD mn)</t>
  </si>
  <si>
    <t xml:space="preserve">Current account
(USD mn)</t>
  </si>
  <si>
    <t xml:space="preserve">Net capital inflow
(USD mn)</t>
  </si>
  <si>
    <t xml:space="preserve">Errors &amp; omissions
(USD mn)</t>
  </si>
  <si>
    <t xml:space="preserve">Reserve assets here are transaction flows on the BPM6 definition. The BCRA's published gross reserve stock moves for other reasons too — valuation, the gold price, cross rates, and swap lines that are on the balance sheet but not freely usable. Reconciling this line to the headline stock needs BCRA's balance cambiario, which is not in this pack.</t>
  </si>
  <si>
    <t xml:space="preserve">Validated against INDEC's published annual figures: 2019 -21,375; 2023 -21,675; 2024 +6,093; 2025 +7,221.</t>
  </si>
  <si>
    <t xml:space="preserve">Current account forecast — bull / base / bear, 2026 and 2027</t>
  </si>
  <si>
    <t xml:space="preserve">Built up from the components in millions of US dollars. Blue = judgement input. Black = formula. 'Bull' means a stronger external position, i.e. a better current account.</t>
  </si>
  <si>
    <t xml:space="preserve">2025 and the first quarter of 2026 are actuals pulled from the Data tab. The scenario columns are full-year figures, so the 2026 columns already contain the realised Q1 — check the memo row at the bottom, which shows what the remaining three quarters have to deliver for each scenario to land.</t>
  </si>
  <si>
    <t xml:space="preserve">US$ mn</t>
  </si>
  <si>
    <t xml:space="preserve">2025
actual</t>
  </si>
  <si>
    <t xml:space="preserve">2026 Q1
actual</t>
  </si>
  <si>
    <t xml:space="preserve">2026 Bull</t>
  </si>
  <si>
    <t xml:space="preserve">2026 Base</t>
  </si>
  <si>
    <t xml:space="preserve">2026 Bear</t>
  </si>
  <si>
    <t xml:space="preserve">2027 Bull</t>
  </si>
  <si>
    <t xml:space="preserve">2027 Base</t>
  </si>
  <si>
    <t xml:space="preserve">2027 Bear</t>
  </si>
  <si>
    <t xml:space="preserve">Goods exports FOB</t>
  </si>
  <si>
    <t xml:space="preserve">Goods imports FOB</t>
  </si>
  <si>
    <t xml:space="preserve">Services credits</t>
  </si>
  <si>
    <t xml:space="preserve">Services debits</t>
  </si>
  <si>
    <t xml:space="preserve">  % of GDP</t>
  </si>
  <si>
    <t xml:space="preserve">Nominal GDP (USD bn)</t>
  </si>
  <si>
    <t xml:space="preserve">Memo</t>
  </si>
  <si>
    <t xml:space="preserve">Implied Q2-Q4 2026 current account</t>
  </si>
  <si>
    <t xml:space="preserve">IMF projection (Apr-2026 WEO / Art. IV)</t>
  </si>
  <si>
    <t xml:space="preserve">IMF World Economic Outlook of April 2026 and the 2026 Article IV / Second Review of the Extended Arrangement, which both carry a current account of -US$5.4bn for 2026 (-0.8% of GDP) and -US$4.1bn for 2027 (-0.6%). The BCRA REM does not survey the current account, so there is no market consensus line to show; the REM's June-2026 trade balance median of +US$23.6bn on a customs basis is the nearest thing, and it is not directly comparable with the BoP goods balance.</t>
  </si>
  <si>
    <t xml:space="preserve">Scenario assumptions</t>
  </si>
  <si>
    <t xml:space="preserve">Driver</t>
  </si>
  <si>
    <t xml:space="preserve">Bull (stronger external)</t>
  </si>
  <si>
    <t xml:space="preserve">Base</t>
  </si>
  <si>
    <t xml:space="preserve">Bear (weaker external)</t>
  </si>
  <si>
    <t xml:space="preserve">Energy and mining exports</t>
  </si>
  <si>
    <t xml:space="preserve">Vaca Muerta liquids and the pipeline build push net energy exports past US$12bn by 2027; Rio Tinto / lithium volumes add on top</t>
  </si>
  <si>
    <t xml:space="preserve">Net energy exports build steadily toward US$9-10bn by 2027 — the volume is real but infrastructure paces it</t>
  </si>
  <si>
    <t xml:space="preserve">Pipeline and export-terminal slippage caps energy at current levels; a soft global oil price does the rest</t>
  </si>
  <si>
    <t xml:space="preserve">Agriculture</t>
  </si>
  <si>
    <t xml:space="preserve">Two good harvests and no export-tax reversal; farmer selling stays current</t>
  </si>
  <si>
    <t xml:space="preserve">Normal harvest, no drought, retenciones broadly where they are</t>
  </si>
  <si>
    <t xml:space="preserve">A La Nina drought year — the 2018 and 2023 template, worth US$15-20bn of exports when it lands</t>
  </si>
  <si>
    <t xml:space="preserve">Imports</t>
  </si>
  <si>
    <t xml:space="preserve">Import growth lags activity as the real exchange rate normalises</t>
  </si>
  <si>
    <t xml:space="preserve">Imports grow roughly with domestic demand; no new restrictions and none needed</t>
  </si>
  <si>
    <t xml:space="preserve">A strong real exchange rate plus recovering activity pulls imports up faster than exports</t>
  </si>
  <si>
    <t xml:space="preserve">Services</t>
  </si>
  <si>
    <t xml:space="preserve">The tourism deficit narrows as the real exchange rate corrects; knowledge-based exports keep growing</t>
  </si>
  <si>
    <t xml:space="preserve">Tourism stays a large and persistent deficit — Argentines travelling out is the single biggest services line and it responds to a strong peso</t>
  </si>
  <si>
    <t xml:space="preserve">An overvalued peso keeps outbound tourism at record levels; the services deficit widens further</t>
  </si>
  <si>
    <t xml:space="preserve">Falling country risk cuts the interest bill; profit remittances stay modest</t>
  </si>
  <si>
    <t xml:space="preserve">Interest on the restructured stock plus IMF charges keeps primary income deeply negative; remittances resume gradually as FX access normalises</t>
  </si>
  <si>
    <t xml:space="preserve">Renewed profit and dividend remittance after years of pent-up stock, on top of the interest bill</t>
  </si>
  <si>
    <t xml:space="preserve">What would change my mind</t>
  </si>
  <si>
    <t xml:space="preserve">Monthly trade prints running above US$2.5bn with imports flat — that is the bull case showing up early</t>
  </si>
  <si>
    <t xml:space="preserve">The base sits close to the IMF on 2026 but is more cautious on 2027, because the import response to a recovering economy at a strong real exchange rate is the thing that historically closes these windows</t>
  </si>
  <si>
    <t xml:space="preserve">Watch the services line, not the goods line. Goods surpluses in Argentina have repeatedly been eaten by tourism and profit remittances rather than by imports</t>
  </si>
</sst>
</file>

<file path=xl/styles.xml><?xml version="1.0" encoding="utf-8"?>
<styleSheet xmlns="http://schemas.openxmlformats.org/spreadsheetml/2006/main">
  <numFmts count="7">
    <numFmt numFmtId="164" formatCode="General"/>
    <numFmt numFmtId="165" formatCode="0"/>
    <numFmt numFmtId="166" formatCode="#,##0;\(#,##0\);\-"/>
    <numFmt numFmtId="167" formatCode="#,##0.00;\(#,##0.00\);\-"/>
    <numFmt numFmtId="168" formatCode="#,##0"/>
    <numFmt numFmtId="169" formatCode="0.0%"/>
    <numFmt numFmtId="170" formatCode="#,##0.0;\(#,##0.0\);\-"/>
  </numFmts>
  <fonts count="2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1F3B63"/>
      <name val="Arial"/>
      <family val="0"/>
      <charset val="1"/>
    </font>
    <font>
      <b val="true"/>
      <sz val="10"/>
      <color rgb="FF1A1A1A"/>
      <name val="Arial"/>
      <family val="0"/>
      <charset val="1"/>
    </font>
    <font>
      <sz val="10"/>
      <color rgb="FF1A1A1A"/>
      <name val="Arial"/>
      <family val="0"/>
      <charset val="1"/>
    </font>
    <font>
      <b val="true"/>
      <sz val="9"/>
      <color rgb="FF1A1A1A"/>
      <name val="Arial"/>
      <family val="0"/>
      <charset val="1"/>
    </font>
    <font>
      <sz val="9"/>
      <color rgb="FF1A1A1A"/>
      <name val="Arial"/>
      <family val="0"/>
      <charset val="1"/>
    </font>
    <font>
      <sz val="9"/>
      <color rgb="FF6B6B6B"/>
      <name val="Arial"/>
      <family val="0"/>
      <charset val="1"/>
    </font>
    <font>
      <sz val="9"/>
      <color rgb="FF0000FF"/>
      <name val="Arial"/>
      <family val="0"/>
      <charset val="1"/>
    </font>
    <font>
      <i val="true"/>
      <sz val="8"/>
      <color rgb="FF6B6B6B"/>
      <name val="Arial"/>
      <family val="0"/>
      <charset val="1"/>
    </font>
    <font>
      <sz val="10"/>
      <name val="Arial"/>
      <family val="2"/>
    </font>
    <font>
      <sz val="9"/>
      <color rgb="FF008000"/>
      <name val="Arial"/>
      <family val="0"/>
      <charset val="1"/>
    </font>
    <font>
      <b val="true"/>
      <sz val="9"/>
      <color rgb="FF1F3B63"/>
      <name val="Arial"/>
      <family val="0"/>
      <charset val="1"/>
    </font>
    <font>
      <b val="true"/>
      <sz val="18"/>
      <color rgb="FF000000"/>
      <name val="Calibri"/>
      <family val="2"/>
    </font>
    <font>
      <sz val="10"/>
      <color rgb="FF000000"/>
      <name val="Calibri"/>
      <family val="2"/>
    </font>
    <font>
      <b val="true"/>
      <sz val="9"/>
      <color rgb="FFD1495B"/>
      <name val="Arial"/>
      <family val="0"/>
      <charset val="1"/>
    </font>
    <font>
      <b val="true"/>
      <sz val="11"/>
      <color rgb="FF1A1A1A"/>
      <name val="Arial"/>
      <family val="0"/>
      <charset val="1"/>
    </font>
  </fonts>
  <fills count="4">
    <fill>
      <patternFill patternType="none"/>
    </fill>
    <fill>
      <patternFill patternType="gray125"/>
    </fill>
    <fill>
      <patternFill patternType="solid">
        <fgColor rgb="FF1F3B63"/>
        <bgColor rgb="FF2F5C8F"/>
      </patternFill>
    </fill>
    <fill>
      <patternFill patternType="solid">
        <fgColor rgb="FFF2F4F7"/>
        <bgColor rgb="FFFFFFFF"/>
      </patternFill>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4"/>
      <rgbColor rgb="FF878787"/>
      <rgbColor rgb="FF9999FF"/>
      <rgbColor rgb="FFD1495B"/>
      <rgbColor rgb="FFF2F4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6B6B6B"/>
      <rgbColor rgb="FF8AA0B8"/>
      <rgbColor rgb="FF1F3B63"/>
      <rgbColor rgb="FF4F9D69"/>
      <rgbColor rgb="FF003300"/>
      <rgbColor rgb="FF333300"/>
      <rgbColor rgb="FF993300"/>
      <rgbColor rgb="FF993366"/>
      <rgbColor rgb="FF2F5C8F"/>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Current account and its main components — four-quarter rolling (USD mn)</a:t>
            </a:r>
          </a:p>
        </c:rich>
      </c:tx>
      <c:overlay val="0"/>
      <c:spPr>
        <a:noFill/>
        <a:ln w="0">
          <a:noFill/>
        </a:ln>
      </c:spPr>
    </c:title>
    <c:autoTitleDeleted val="0"/>
    <c:plotArea>
      <c:lineChart>
        <c:grouping val="standard"/>
        <c:varyColors val="0"/>
        <c:ser>
          <c:idx val="0"/>
          <c:order val="0"/>
          <c:tx>
            <c:strRef>
              <c:f>"Current account"</c:f>
              <c:strCache>
                <c:ptCount val="1"/>
                <c:pt idx="0">
                  <c:v>Current account</c:v>
                </c:pt>
              </c:strCache>
            </c:strRef>
          </c:tx>
          <c:spPr>
            <a:solidFill>
              <a:srgbClr val="1a1a1a"/>
            </a:solidFill>
            <a:ln w="3204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'Current Account'!$T$34:$T$86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'Current Account'!$U$5:$U$86</c:f>
              <c:numCache>
                <c:formatCode>#,##0;\(#,##0\);\-</c:formatCode>
                <c:ptCount val="82"/>
                <c:pt idx="4">
                  <c:v>6498.80252020454</c:v>
                </c:pt>
                <c:pt idx="5">
                  <c:v>6397.33773409391</c:v>
                </c:pt>
                <c:pt idx="6">
                  <c:v>6506.93383809467</c:v>
                </c:pt>
                <c:pt idx="7">
                  <c:v>5439.33218557157</c:v>
                </c:pt>
                <c:pt idx="8">
                  <c:v>6048.53789288669</c:v>
                </c:pt>
                <c:pt idx="9">
                  <c:v>6769.95036963392</c:v>
                </c:pt>
                <c:pt idx="10">
                  <c:v>5063.01960839204</c:v>
                </c:pt>
                <c:pt idx="11">
                  <c:v>7605.67360198784</c:v>
                </c:pt>
                <c:pt idx="12">
                  <c:v>5421.20632861009</c:v>
                </c:pt>
                <c:pt idx="13">
                  <c:v>5288.6833188092</c:v>
                </c:pt>
                <c:pt idx="14">
                  <c:v>9267.24861316452</c:v>
                </c:pt>
                <c:pt idx="15">
                  <c:v>6980.05168979425</c:v>
                </c:pt>
                <c:pt idx="16">
                  <c:v>7254.11568393702</c:v>
                </c:pt>
                <c:pt idx="17">
                  <c:v>4430.90429249182</c:v>
                </c:pt>
                <c:pt idx="18">
                  <c:v>2234.46267539211</c:v>
                </c:pt>
                <c:pt idx="19">
                  <c:v>1000.50522312814</c:v>
                </c:pt>
                <c:pt idx="20">
                  <c:v>-1622.99587125069</c:v>
                </c:pt>
                <c:pt idx="21">
                  <c:v>-2232.60379694478</c:v>
                </c:pt>
                <c:pt idx="22">
                  <c:v>-3824.99904945616</c:v>
                </c:pt>
                <c:pt idx="23">
                  <c:v>-4811.87335454515</c:v>
                </c:pt>
                <c:pt idx="24">
                  <c:v>-5340.1811923952</c:v>
                </c:pt>
                <c:pt idx="25">
                  <c:v>-4880.52281235096</c:v>
                </c:pt>
                <c:pt idx="26">
                  <c:v>-4890.6026578976</c:v>
                </c:pt>
                <c:pt idx="27">
                  <c:v>-3308.13538072872</c:v>
                </c:pt>
                <c:pt idx="28">
                  <c:v>-2138.04036043296</c:v>
                </c:pt>
                <c:pt idx="29">
                  <c:v>-4241.39716316543</c:v>
                </c:pt>
                <c:pt idx="30">
                  <c:v>-5066.05121453119</c:v>
                </c:pt>
                <c:pt idx="31">
                  <c:v>-8154.51322815173</c:v>
                </c:pt>
                <c:pt idx="32">
                  <c:v>-13124.3737858633</c:v>
                </c:pt>
                <c:pt idx="33">
                  <c:v>-15286.1022551213</c:v>
                </c:pt>
                <c:pt idx="34">
                  <c:v>-14314.0207503334</c:v>
                </c:pt>
                <c:pt idx="35">
                  <c:v>-13131.7421740108</c:v>
                </c:pt>
                <c:pt idx="36">
                  <c:v>-9179.02626687552</c:v>
                </c:pt>
                <c:pt idx="37">
                  <c:v>-8675.33334401603</c:v>
                </c:pt>
                <c:pt idx="38">
                  <c:v>-11790.730681041</c:v>
                </c:pt>
                <c:pt idx="39">
                  <c:v>-14458.8321850679</c:v>
                </c:pt>
                <c:pt idx="40">
                  <c:v>-17621.98516821</c:v>
                </c:pt>
                <c:pt idx="41">
                  <c:v>-16974.6340688448</c:v>
                </c:pt>
                <c:pt idx="42">
                  <c:v>-17436.1638411193</c:v>
                </c:pt>
                <c:pt idx="43">
                  <c:v>-15895.3566387233</c:v>
                </c:pt>
                <c:pt idx="44">
                  <c:v>-15104.7865245601</c:v>
                </c:pt>
                <c:pt idx="45">
                  <c:v>-17442.944731041</c:v>
                </c:pt>
                <c:pt idx="46">
                  <c:v>-21117.6640418004</c:v>
                </c:pt>
                <c:pt idx="47">
                  <c:v>-26299.2485744139</c:v>
                </c:pt>
                <c:pt idx="48">
                  <c:v>-31151.3517507624</c:v>
                </c:pt>
                <c:pt idx="49">
                  <c:v>-33313.0846588572</c:v>
                </c:pt>
                <c:pt idx="50">
                  <c:v>-35142.1616143303</c:v>
                </c:pt>
                <c:pt idx="51">
                  <c:v>-34352.1763705979</c:v>
                </c:pt>
                <c:pt idx="52">
                  <c:v>-27083.606451057</c:v>
                </c:pt>
                <c:pt idx="53">
                  <c:v>-21120.8806087083</c:v>
                </c:pt>
                <c:pt idx="54">
                  <c:v>-14498.388013171</c:v>
                </c:pt>
                <c:pt idx="55">
                  <c:v>-7948.06605148448</c:v>
                </c:pt>
                <c:pt idx="56">
                  <c:v>-3492.4795810842</c:v>
                </c:pt>
                <c:pt idx="57">
                  <c:v>58.3202931740239</c:v>
                </c:pt>
                <c:pt idx="58">
                  <c:v>4733.53941512048</c:v>
                </c:pt>
                <c:pt idx="59">
                  <c:v>6692.34211862423</c:v>
                </c:pt>
                <c:pt idx="60">
                  <c:v>2688.36200552312</c:v>
                </c:pt>
                <c:pt idx="61">
                  <c:v>2966.65996275671</c:v>
                </c:pt>
                <c:pt idx="62">
                  <c:v>2650.03659268607</c:v>
                </c:pt>
                <c:pt idx="63">
                  <c:v>4848.19988224014</c:v>
                </c:pt>
                <c:pt idx="64">
                  <c:v>6624.785192348</c:v>
                </c:pt>
                <c:pt idx="65">
                  <c:v>4986.75848802318</c:v>
                </c:pt>
                <c:pt idx="66">
                  <c:v>1487.3739226203</c:v>
                </c:pt>
                <c:pt idx="67">
                  <c:v>-5466.91783994029</c:v>
                </c:pt>
                <c:pt idx="68">
                  <c:v>-3964.07491528094</c:v>
                </c:pt>
                <c:pt idx="69">
                  <c:v>-8595.90993839898</c:v>
                </c:pt>
                <c:pt idx="70">
                  <c:v>-14463.4727346439</c:v>
                </c:pt>
                <c:pt idx="71">
                  <c:v>-17258.8078329025</c:v>
                </c:pt>
                <c:pt idx="72">
                  <c:v>-22354.6872895608</c:v>
                </c:pt>
                <c:pt idx="73">
                  <c:v>-16422.4706770259</c:v>
                </c:pt>
                <c:pt idx="74">
                  <c:v>-6099.51341355133</c:v>
                </c:pt>
                <c:pt idx="75">
                  <c:v>926.991533776657</c:v>
                </c:pt>
                <c:pt idx="76">
                  <c:v>5891.4047816786</c:v>
                </c:pt>
                <c:pt idx="77">
                  <c:v>676.07530977895</c:v>
                </c:pt>
                <c:pt idx="78">
                  <c:v>-5278.83836884675</c:v>
                </c:pt>
                <c:pt idx="79">
                  <c:v>-8004.76630505813</c:v>
                </c:pt>
                <c:pt idx="80">
                  <c:v>-7788.12555895449</c:v>
                </c:pt>
                <c:pt idx="81">
                  <c:v>-4281.09874635343</c:v>
                </c:pt>
              </c:numCache>
            </c:numRef>
          </c:val>
          <c:smooth val="0"/>
        </c:ser>
        <c:ser>
          <c:idx val="1"/>
          <c:order val="1"/>
          <c:tx>
            <c:strRef>
              <c:f>"Goods balance"</c:f>
              <c:strCache>
                <c:ptCount val="1"/>
                <c:pt idx="0">
                  <c:v>Goods balance</c:v>
                </c:pt>
              </c:strCache>
            </c:strRef>
          </c:tx>
          <c:spPr>
            <a:solidFill>
              <a:srgbClr val="2f5c8f"/>
            </a:solidFill>
            <a:ln w="2412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'Current Account'!$T$34:$T$86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'Current Account'!$V$5:$V$86</c:f>
              <c:numCache>
                <c:formatCode>#,##0;\(#,##0\);\-</c:formatCode>
                <c:ptCount val="82"/>
                <c:pt idx="4">
                  <c:v>14029.6</c:v>
                </c:pt>
                <c:pt idx="5">
                  <c:v>13547.8</c:v>
                </c:pt>
                <c:pt idx="6">
                  <c:v>13408.5</c:v>
                </c:pt>
                <c:pt idx="7">
                  <c:v>12499.262</c:v>
                </c:pt>
                <c:pt idx="8">
                  <c:v>13552.062</c:v>
                </c:pt>
                <c:pt idx="9">
                  <c:v>14987.962</c:v>
                </c:pt>
                <c:pt idx="10">
                  <c:v>13946.062</c:v>
                </c:pt>
                <c:pt idx="11">
                  <c:v>17258.272</c:v>
                </c:pt>
                <c:pt idx="12">
                  <c:v>15563.272</c:v>
                </c:pt>
                <c:pt idx="13">
                  <c:v>15701.572</c:v>
                </c:pt>
                <c:pt idx="14">
                  <c:v>19558.711</c:v>
                </c:pt>
                <c:pt idx="15">
                  <c:v>17664.727</c:v>
                </c:pt>
                <c:pt idx="16">
                  <c:v>18644.85</c:v>
                </c:pt>
                <c:pt idx="17">
                  <c:v>17167.13035765</c:v>
                </c:pt>
                <c:pt idx="18">
                  <c:v>16304.4304532</c:v>
                </c:pt>
                <c:pt idx="19">
                  <c:v>16072.0829138</c:v>
                </c:pt>
                <c:pt idx="20">
                  <c:v>14147.10929849</c:v>
                </c:pt>
                <c:pt idx="21">
                  <c:v>13709.03122402</c:v>
                </c:pt>
                <c:pt idx="22">
                  <c:v>12671.84445411</c:v>
                </c:pt>
                <c:pt idx="23">
                  <c:v>11949.44700385</c:v>
                </c:pt>
                <c:pt idx="24">
                  <c:v>12350.93108679</c:v>
                </c:pt>
                <c:pt idx="25">
                  <c:v>13315.30080912</c:v>
                </c:pt>
                <c:pt idx="26">
                  <c:v>13016.99957349</c:v>
                </c:pt>
                <c:pt idx="27">
                  <c:v>14452.19955144</c:v>
                </c:pt>
                <c:pt idx="28">
                  <c:v>15040.91278654</c:v>
                </c:pt>
                <c:pt idx="29">
                  <c:v>13005.25261612</c:v>
                </c:pt>
                <c:pt idx="30">
                  <c:v>12183.5600190999</c:v>
                </c:pt>
                <c:pt idx="31">
                  <c:v>9301.64717127991</c:v>
                </c:pt>
                <c:pt idx="32">
                  <c:v>4635.23524090994</c:v>
                </c:pt>
                <c:pt idx="33">
                  <c:v>1606.73070767993</c:v>
                </c:pt>
                <c:pt idx="34">
                  <c:v>2130.34871657</c:v>
                </c:pt>
                <c:pt idx="35">
                  <c:v>2616.89617059002</c:v>
                </c:pt>
                <c:pt idx="36">
                  <c:v>5541.4698129</c:v>
                </c:pt>
                <c:pt idx="37">
                  <c:v>6692.61154496</c:v>
                </c:pt>
                <c:pt idx="38">
                  <c:v>3852.00919491999</c:v>
                </c:pt>
                <c:pt idx="39">
                  <c:v>1721.59979181999</c:v>
                </c:pt>
                <c:pt idx="40">
                  <c:v>-785.176392620004</c:v>
                </c:pt>
                <c:pt idx="41">
                  <c:v>256.720604659994</c:v>
                </c:pt>
                <c:pt idx="42">
                  <c:v>471.542729679996</c:v>
                </c:pt>
                <c:pt idx="43">
                  <c:v>2578.85027996999</c:v>
                </c:pt>
                <c:pt idx="44">
                  <c:v>4416.1569416</c:v>
                </c:pt>
                <c:pt idx="45">
                  <c:v>3619.7276842601</c:v>
                </c:pt>
                <c:pt idx="46">
                  <c:v>1230.10558093</c:v>
                </c:pt>
                <c:pt idx="47">
                  <c:v>-2275.75209971</c:v>
                </c:pt>
                <c:pt idx="48">
                  <c:v>-5447.0631075401</c:v>
                </c:pt>
                <c:pt idx="49">
                  <c:v>-6492.0311420402</c:v>
                </c:pt>
                <c:pt idx="50">
                  <c:v>-7476.2338724501</c:v>
                </c:pt>
                <c:pt idx="51">
                  <c:v>-6542.6076251902</c:v>
                </c:pt>
                <c:pt idx="52">
                  <c:v>-743.227678190101</c:v>
                </c:pt>
                <c:pt idx="53">
                  <c:v>3471.78032607</c:v>
                </c:pt>
                <c:pt idx="54">
                  <c:v>9391.09461666</c:v>
                </c:pt>
                <c:pt idx="55">
                  <c:v>14608.2088623602</c:v>
                </c:pt>
                <c:pt idx="56">
                  <c:v>18233.7234583003</c:v>
                </c:pt>
                <c:pt idx="57">
                  <c:v>19609.7413826103</c:v>
                </c:pt>
                <c:pt idx="58">
                  <c:v>20727.6170270902</c:v>
                </c:pt>
                <c:pt idx="59">
                  <c:v>20325.20480122</c:v>
                </c:pt>
                <c:pt idx="60">
                  <c:v>14630.6981770898</c:v>
                </c:pt>
                <c:pt idx="61">
                  <c:v>13946.0124711497</c:v>
                </c:pt>
                <c:pt idx="62">
                  <c:v>13773.3925441499</c:v>
                </c:pt>
                <c:pt idx="63">
                  <c:v>16363.6350534201</c:v>
                </c:pt>
                <c:pt idx="64">
                  <c:v>18695.4656150303</c:v>
                </c:pt>
                <c:pt idx="65">
                  <c:v>18232.0491553902</c:v>
                </c:pt>
                <c:pt idx="66">
                  <c:v>16277.8951105102</c:v>
                </c:pt>
                <c:pt idx="67">
                  <c:v>10543.7468121001</c:v>
                </c:pt>
                <c:pt idx="68">
                  <c:v>12416.5544162899</c:v>
                </c:pt>
                <c:pt idx="69">
                  <c:v>9327.0759795</c:v>
                </c:pt>
                <c:pt idx="70">
                  <c:v>4013.8975709001</c:v>
                </c:pt>
                <c:pt idx="71">
                  <c:v>1805.1978260902</c:v>
                </c:pt>
                <c:pt idx="72">
                  <c:v>-2757.49085138533</c:v>
                </c:pt>
                <c:pt idx="73">
                  <c:v>2623.86979742467</c:v>
                </c:pt>
                <c:pt idx="74">
                  <c:v>11832.4955817945</c:v>
                </c:pt>
                <c:pt idx="75">
                  <c:v>18422.1882327044</c:v>
                </c:pt>
                <c:pt idx="76">
                  <c:v>22403.8459927798</c:v>
                </c:pt>
                <c:pt idx="77">
                  <c:v>19394.1325721099</c:v>
                </c:pt>
                <c:pt idx="78">
                  <c:v>14952.74657603</c:v>
                </c:pt>
                <c:pt idx="79">
                  <c:v>13995.1612903901</c:v>
                </c:pt>
                <c:pt idx="80">
                  <c:v>15359.0354040203</c:v>
                </c:pt>
                <c:pt idx="81">
                  <c:v>19638.6537127403</c:v>
                </c:pt>
              </c:numCache>
            </c:numRef>
          </c:val>
          <c:smooth val="0"/>
        </c:ser>
        <c:ser>
          <c:idx val="2"/>
          <c:order val="2"/>
          <c:tx>
            <c:strRef>
              <c:f>"Services balance"</c:f>
              <c:strCache>
                <c:ptCount val="1"/>
                <c:pt idx="0">
                  <c:v>Services balance</c:v>
                </c:pt>
              </c:strCache>
            </c:strRef>
          </c:tx>
          <c:spPr>
            <a:solidFill>
              <a:srgbClr val="e8a33d"/>
            </a:solidFill>
            <a:ln w="21960">
              <a:solidFill>
                <a:srgbClr val="e8a33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'Current Account'!$T$34:$T$86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'Current Account'!$Y$5:$Y$86</c:f>
              <c:numCache>
                <c:formatCode>#,##0;\(#,##0\);\-</c:formatCode>
                <c:ptCount val="82"/>
                <c:pt idx="4">
                  <c:v>-762.957426840711</c:v>
                </c:pt>
                <c:pt idx="5">
                  <c:v>-644.464145941131</c:v>
                </c:pt>
                <c:pt idx="6">
                  <c:v>-686.121852650294</c:v>
                </c:pt>
                <c:pt idx="7">
                  <c:v>-899.970100463726</c:v>
                </c:pt>
                <c:pt idx="8">
                  <c:v>-981.482023711277</c:v>
                </c:pt>
                <c:pt idx="9">
                  <c:v>-1441.52350710408</c:v>
                </c:pt>
                <c:pt idx="10">
                  <c:v>-1786.4112741323</c:v>
                </c:pt>
                <c:pt idx="11">
                  <c:v>-2003.49644884185</c:v>
                </c:pt>
                <c:pt idx="12">
                  <c:v>-2222.33502670325</c:v>
                </c:pt>
                <c:pt idx="13">
                  <c:v>-2296.37111012273</c:v>
                </c:pt>
                <c:pt idx="14">
                  <c:v>-1939.56798866383</c:v>
                </c:pt>
                <c:pt idx="15">
                  <c:v>-1962.81219387169</c:v>
                </c:pt>
                <c:pt idx="16">
                  <c:v>-1992.03148960427</c:v>
                </c:pt>
                <c:pt idx="17">
                  <c:v>-1931.83106630575</c:v>
                </c:pt>
                <c:pt idx="18">
                  <c:v>-2145.97938246216</c:v>
                </c:pt>
                <c:pt idx="19">
                  <c:v>-1957.08908298763</c:v>
                </c:pt>
                <c:pt idx="20">
                  <c:v>-1803.58864991169</c:v>
                </c:pt>
                <c:pt idx="21">
                  <c:v>-2084.70062442203</c:v>
                </c:pt>
                <c:pt idx="22">
                  <c:v>-2302.33338814363</c:v>
                </c:pt>
                <c:pt idx="23">
                  <c:v>-2651.20219794298</c:v>
                </c:pt>
                <c:pt idx="24">
                  <c:v>-3152.48803707646</c:v>
                </c:pt>
                <c:pt idx="25">
                  <c:v>-3524.02666183034</c:v>
                </c:pt>
                <c:pt idx="26">
                  <c:v>-3770.98468195421</c:v>
                </c:pt>
                <c:pt idx="27">
                  <c:v>-3904.50684124578</c:v>
                </c:pt>
                <c:pt idx="28">
                  <c:v>-4097.22472397185</c:v>
                </c:pt>
                <c:pt idx="29">
                  <c:v>-4604.24255202164</c:v>
                </c:pt>
                <c:pt idx="30">
                  <c:v>-4852.41446122928</c:v>
                </c:pt>
                <c:pt idx="31">
                  <c:v>-5190.02766911792</c:v>
                </c:pt>
                <c:pt idx="32">
                  <c:v>-5328.91611533877</c:v>
                </c:pt>
                <c:pt idx="33">
                  <c:v>-5149.42984566029</c:v>
                </c:pt>
                <c:pt idx="34">
                  <c:v>-5067.77629181973</c:v>
                </c:pt>
                <c:pt idx="35">
                  <c:v>-4834.4101368072</c:v>
                </c:pt>
                <c:pt idx="36">
                  <c:v>-4641.29215340124</c:v>
                </c:pt>
                <c:pt idx="37">
                  <c:v>-4626.29273890958</c:v>
                </c:pt>
                <c:pt idx="38">
                  <c:v>-4677.74597813872</c:v>
                </c:pt>
                <c:pt idx="39">
                  <c:v>-5100.76146478908</c:v>
                </c:pt>
                <c:pt idx="40">
                  <c:v>-5815.04469324428</c:v>
                </c:pt>
                <c:pt idx="41">
                  <c:v>-6777.71894965579</c:v>
                </c:pt>
                <c:pt idx="42">
                  <c:v>-7457.65727225267</c:v>
                </c:pt>
                <c:pt idx="43">
                  <c:v>-8139.15584972209</c:v>
                </c:pt>
                <c:pt idx="44">
                  <c:v>-8451.65518553581</c:v>
                </c:pt>
                <c:pt idx="45">
                  <c:v>-9014.03176839295</c:v>
                </c:pt>
                <c:pt idx="46">
                  <c:v>-9156.03329011326</c:v>
                </c:pt>
                <c:pt idx="47">
                  <c:v>-9480.20679461768</c:v>
                </c:pt>
                <c:pt idx="48">
                  <c:v>-9695.43859222436</c:v>
                </c:pt>
                <c:pt idx="49">
                  <c:v>-10031.2995426946</c:v>
                </c:pt>
                <c:pt idx="50">
                  <c:v>-10499.41746605</c:v>
                </c:pt>
                <c:pt idx="51">
                  <c:v>-9903.16617723332</c:v>
                </c:pt>
                <c:pt idx="52">
                  <c:v>-8935.2677860446</c:v>
                </c:pt>
                <c:pt idx="53">
                  <c:v>-7248.57921512631</c:v>
                </c:pt>
                <c:pt idx="54">
                  <c:v>-6002.93954857708</c:v>
                </c:pt>
                <c:pt idx="55">
                  <c:v>-5335.19030058766</c:v>
                </c:pt>
                <c:pt idx="56">
                  <c:v>-4843.17341741793</c:v>
                </c:pt>
                <c:pt idx="57">
                  <c:v>-4118.9970926193</c:v>
                </c:pt>
                <c:pt idx="58">
                  <c:v>-3123.02688254016</c:v>
                </c:pt>
                <c:pt idx="59">
                  <c:v>-2439.50850247504</c:v>
                </c:pt>
                <c:pt idx="60">
                  <c:v>-2536.28276646437</c:v>
                </c:pt>
                <c:pt idx="61">
                  <c:v>-2208.97151206735</c:v>
                </c:pt>
                <c:pt idx="62">
                  <c:v>-2554.44167079415</c:v>
                </c:pt>
                <c:pt idx="63">
                  <c:v>-2980.92980631865</c:v>
                </c:pt>
                <c:pt idx="64">
                  <c:v>-3700.0914981581</c:v>
                </c:pt>
                <c:pt idx="65">
                  <c:v>-4939.1789625855</c:v>
                </c:pt>
                <c:pt idx="66">
                  <c:v>-6079.59899849368</c:v>
                </c:pt>
                <c:pt idx="67">
                  <c:v>-7039.1596317882</c:v>
                </c:pt>
                <c:pt idx="68">
                  <c:v>-6774.85809437849</c:v>
                </c:pt>
                <c:pt idx="69">
                  <c:v>-7194.26733668249</c:v>
                </c:pt>
                <c:pt idx="70">
                  <c:v>-6959.27110947346</c:v>
                </c:pt>
                <c:pt idx="71">
                  <c:v>-6609.9020018558</c:v>
                </c:pt>
                <c:pt idx="72">
                  <c:v>-6376.17993263637</c:v>
                </c:pt>
                <c:pt idx="73">
                  <c:v>-5427.20463434589</c:v>
                </c:pt>
                <c:pt idx="74">
                  <c:v>-4935.30130599002</c:v>
                </c:pt>
                <c:pt idx="75">
                  <c:v>-4841.6199771856</c:v>
                </c:pt>
                <c:pt idx="76">
                  <c:v>-4938.15206540616</c:v>
                </c:pt>
                <c:pt idx="77">
                  <c:v>-8129.91388715265</c:v>
                </c:pt>
                <c:pt idx="78">
                  <c:v>-9508.23885822881</c:v>
                </c:pt>
                <c:pt idx="79">
                  <c:v>-10642.3841473802</c:v>
                </c:pt>
                <c:pt idx="80">
                  <c:v>-11600.9379502738</c:v>
                </c:pt>
                <c:pt idx="81">
                  <c:v>-11069.2013658078</c:v>
                </c:pt>
              </c:numCache>
            </c:numRef>
          </c:val>
          <c:smooth val="0"/>
        </c:ser>
        <c:ser>
          <c:idx val="3"/>
          <c:order val="3"/>
          <c:tx>
            <c:strRef>
              <c:f>"Primary income"</c:f>
              <c:strCache>
                <c:ptCount val="1"/>
                <c:pt idx="0">
                  <c:v>Primary income</c:v>
                </c:pt>
              </c:strCache>
            </c:strRef>
          </c:tx>
          <c:spPr>
            <a:solidFill>
              <a:srgbClr val="d1495b"/>
            </a:solidFill>
            <a:ln w="2196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'Current Account'!$T$34:$T$86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'Current Account'!$AB$5:$AB$86</c:f>
              <c:numCache>
                <c:formatCode>#,##0;\(#,##0\);\-</c:formatCode>
                <c:ptCount val="82"/>
                <c:pt idx="4">
                  <c:v>-7722.60998290152</c:v>
                </c:pt>
                <c:pt idx="5">
                  <c:v>-7502.52301335343</c:v>
                </c:pt>
                <c:pt idx="6">
                  <c:v>-7224.81189442602</c:v>
                </c:pt>
                <c:pt idx="7">
                  <c:v>-7199.68827365737</c:v>
                </c:pt>
                <c:pt idx="8">
                  <c:v>-7594.65576344788</c:v>
                </c:pt>
                <c:pt idx="9">
                  <c:v>-7891.53234752295</c:v>
                </c:pt>
                <c:pt idx="10">
                  <c:v>-8240.03282357635</c:v>
                </c:pt>
                <c:pt idx="11">
                  <c:v>-8800.90354565599</c:v>
                </c:pt>
                <c:pt idx="12">
                  <c:v>-9034.1907000384</c:v>
                </c:pt>
                <c:pt idx="13">
                  <c:v>-9152.33487014408</c:v>
                </c:pt>
                <c:pt idx="14">
                  <c:v>-9342.06101883812</c:v>
                </c:pt>
                <c:pt idx="15">
                  <c:v>-9644.3825870581</c:v>
                </c:pt>
                <c:pt idx="16">
                  <c:v>-10318.875001573</c:v>
                </c:pt>
                <c:pt idx="17">
                  <c:v>-11669.0678573627</c:v>
                </c:pt>
                <c:pt idx="18">
                  <c:v>-12735.9070514712</c:v>
                </c:pt>
                <c:pt idx="19">
                  <c:v>-13856.741682444</c:v>
                </c:pt>
                <c:pt idx="20">
                  <c:v>-14547.533203937</c:v>
                </c:pt>
                <c:pt idx="21">
                  <c:v>-14322.6489870292</c:v>
                </c:pt>
                <c:pt idx="22">
                  <c:v>-14602.5233381329</c:v>
                </c:pt>
                <c:pt idx="23">
                  <c:v>-14607.4150661164</c:v>
                </c:pt>
                <c:pt idx="24">
                  <c:v>-15073.0670998511</c:v>
                </c:pt>
                <c:pt idx="25">
                  <c:v>-15331.5741608655</c:v>
                </c:pt>
                <c:pt idx="26">
                  <c:v>-14836.7679006848</c:v>
                </c:pt>
                <c:pt idx="27">
                  <c:v>-14511.5737333932</c:v>
                </c:pt>
                <c:pt idx="28">
                  <c:v>-13753.840627053</c:v>
                </c:pt>
                <c:pt idx="29">
                  <c:v>-13340.173375595</c:v>
                </c:pt>
                <c:pt idx="30">
                  <c:v>-13349.4915146308</c:v>
                </c:pt>
                <c:pt idx="31">
                  <c:v>-13282.6689760308</c:v>
                </c:pt>
                <c:pt idx="32">
                  <c:v>-13164.8275748438</c:v>
                </c:pt>
                <c:pt idx="33">
                  <c:v>-12604.5666653954</c:v>
                </c:pt>
                <c:pt idx="34">
                  <c:v>-12308.3834099581</c:v>
                </c:pt>
                <c:pt idx="35">
                  <c:v>-12037.9019163406</c:v>
                </c:pt>
                <c:pt idx="36">
                  <c:v>-11613.8474812072</c:v>
                </c:pt>
                <c:pt idx="37">
                  <c:v>-12054.3387230803</c:v>
                </c:pt>
                <c:pt idx="38">
                  <c:v>-12157.9627868499</c:v>
                </c:pt>
                <c:pt idx="39">
                  <c:v>-12052.1856063281</c:v>
                </c:pt>
                <c:pt idx="40">
                  <c:v>-12104.5985786044</c:v>
                </c:pt>
                <c:pt idx="41">
                  <c:v>-11776.3129285134</c:v>
                </c:pt>
                <c:pt idx="42">
                  <c:v>-11674.9599641967</c:v>
                </c:pt>
                <c:pt idx="43">
                  <c:v>-11651.2994231317</c:v>
                </c:pt>
                <c:pt idx="44">
                  <c:v>-12192.210740788</c:v>
                </c:pt>
                <c:pt idx="45">
                  <c:v>-13075.3642522131</c:v>
                </c:pt>
                <c:pt idx="46">
                  <c:v>-14121.6309755776</c:v>
                </c:pt>
                <c:pt idx="47">
                  <c:v>-15102.0422294769</c:v>
                </c:pt>
                <c:pt idx="48">
                  <c:v>-16380.2837055356</c:v>
                </c:pt>
                <c:pt idx="49">
                  <c:v>-17092.7263973886</c:v>
                </c:pt>
                <c:pt idx="50">
                  <c:v>-17713.1622629884</c:v>
                </c:pt>
                <c:pt idx="51">
                  <c:v>-18767.9608556602</c:v>
                </c:pt>
                <c:pt idx="52">
                  <c:v>-18650.2303250389</c:v>
                </c:pt>
                <c:pt idx="53">
                  <c:v>-18717.8412873955</c:v>
                </c:pt>
                <c:pt idx="54">
                  <c:v>-18904.1731968183</c:v>
                </c:pt>
                <c:pt idx="55">
                  <c:v>-18225.2203244549</c:v>
                </c:pt>
                <c:pt idx="56">
                  <c:v>-17732.1645619185</c:v>
                </c:pt>
                <c:pt idx="57">
                  <c:v>-16261.8173440935</c:v>
                </c:pt>
                <c:pt idx="58">
                  <c:v>-13996.3029421161</c:v>
                </c:pt>
                <c:pt idx="59">
                  <c:v>-12369.5611512341</c:v>
                </c:pt>
                <c:pt idx="60">
                  <c:v>-10505.5777491292</c:v>
                </c:pt>
                <c:pt idx="61">
                  <c:v>-9921.13918047187</c:v>
                </c:pt>
                <c:pt idx="62">
                  <c:v>-9760.91439497093</c:v>
                </c:pt>
                <c:pt idx="63">
                  <c:v>-9775.37005959193</c:v>
                </c:pt>
                <c:pt idx="64">
                  <c:v>-9772.63437162035</c:v>
                </c:pt>
                <c:pt idx="65">
                  <c:v>-9840.09851906912</c:v>
                </c:pt>
                <c:pt idx="66">
                  <c:v>-10398.2161480382</c:v>
                </c:pt>
                <c:pt idx="67">
                  <c:v>-10760.7525115382</c:v>
                </c:pt>
                <c:pt idx="68">
                  <c:v>-11576.553237529</c:v>
                </c:pt>
                <c:pt idx="69">
                  <c:v>-12724.5000111253</c:v>
                </c:pt>
                <c:pt idx="70">
                  <c:v>-13560.1525481348</c:v>
                </c:pt>
                <c:pt idx="71">
                  <c:v>-14558.1717676219</c:v>
                </c:pt>
                <c:pt idx="72">
                  <c:v>-15301.3682843922</c:v>
                </c:pt>
                <c:pt idx="73">
                  <c:v>-15722.7202378204</c:v>
                </c:pt>
                <c:pt idx="74">
                  <c:v>-15243.6461727231</c:v>
                </c:pt>
                <c:pt idx="75">
                  <c:v>-14779.2318488098</c:v>
                </c:pt>
                <c:pt idx="76">
                  <c:v>-13819.9517039086</c:v>
                </c:pt>
                <c:pt idx="77">
                  <c:v>-12697.5003924335</c:v>
                </c:pt>
                <c:pt idx="78">
                  <c:v>-12934.3600312708</c:v>
                </c:pt>
                <c:pt idx="79">
                  <c:v>-13707.946005884</c:v>
                </c:pt>
                <c:pt idx="80">
                  <c:v>-14078.6828629298</c:v>
                </c:pt>
                <c:pt idx="81">
                  <c:v>-15737.0073134767</c:v>
                </c:pt>
              </c:numCache>
            </c:numRef>
          </c:val>
          <c:smooth val="0"/>
        </c:ser>
        <c:ser>
          <c:idx val="4"/>
          <c:order val="4"/>
          <c:tx>
            <c:strRef>
              <c:f>"Secondary income"</c:f>
              <c:strCache>
                <c:ptCount val="1"/>
                <c:pt idx="0">
                  <c:v>Secondary income</c:v>
                </c:pt>
              </c:strCache>
            </c:strRef>
          </c:tx>
          <c:spPr>
            <a:solidFill>
              <a:srgbClr val="8aa0b8"/>
            </a:solidFill>
            <a:ln w="18000">
              <a:solidFill>
                <a:srgbClr val="8aa0b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'Current Account'!$T$34:$T$86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'Current Account'!$AI$5:$AI$86</c:f>
              <c:numCache>
                <c:formatCode>#,##0;\(#,##0\);\-</c:formatCode>
                <c:ptCount val="82"/>
                <c:pt idx="4">
                  <c:v>954.769929946759</c:v>
                </c:pt>
                <c:pt idx="5">
                  <c:v>996.524893388454</c:v>
                </c:pt>
                <c:pt idx="6">
                  <c:v>1009.36758517098</c:v>
                </c:pt>
                <c:pt idx="7">
                  <c:v>1039.72855969266</c:v>
                </c:pt>
                <c:pt idx="8">
                  <c:v>1072.61368004585</c:v>
                </c:pt>
                <c:pt idx="9">
                  <c:v>1115.04422426095</c:v>
                </c:pt>
                <c:pt idx="10">
                  <c:v>1143.40170610069</c:v>
                </c:pt>
                <c:pt idx="11">
                  <c:v>1151.80159648568</c:v>
                </c:pt>
                <c:pt idx="12">
                  <c:v>1114.46005535173</c:v>
                </c:pt>
                <c:pt idx="13">
                  <c:v>1035.817299076</c:v>
                </c:pt>
                <c:pt idx="14">
                  <c:v>990.16662066646</c:v>
                </c:pt>
                <c:pt idx="15">
                  <c:v>922.519470724031</c:v>
                </c:pt>
                <c:pt idx="16">
                  <c:v>920.172175114258</c:v>
                </c:pt>
                <c:pt idx="17">
                  <c:v>864.672858510244</c:v>
                </c:pt>
                <c:pt idx="18">
                  <c:v>811.918656125424</c:v>
                </c:pt>
                <c:pt idx="19">
                  <c:v>742.25307475972</c:v>
                </c:pt>
                <c:pt idx="20">
                  <c:v>581.016684107961</c:v>
                </c:pt>
                <c:pt idx="21">
                  <c:v>465.714590486441</c:v>
                </c:pt>
                <c:pt idx="22">
                  <c:v>408.013222710389</c:v>
                </c:pt>
                <c:pt idx="23">
                  <c:v>497.29690566425</c:v>
                </c:pt>
                <c:pt idx="24">
                  <c:v>534.442857742389</c:v>
                </c:pt>
                <c:pt idx="25">
                  <c:v>659.777201224894</c:v>
                </c:pt>
                <c:pt idx="26">
                  <c:v>700.150351251423</c:v>
                </c:pt>
                <c:pt idx="27">
                  <c:v>655.745642470205</c:v>
                </c:pt>
                <c:pt idx="28">
                  <c:v>672.112204051891</c:v>
                </c:pt>
                <c:pt idx="29">
                  <c:v>697.766148331191</c:v>
                </c:pt>
                <c:pt idx="30">
                  <c:v>952.294742228905</c:v>
                </c:pt>
                <c:pt idx="31">
                  <c:v>1016.53624571713</c:v>
                </c:pt>
                <c:pt idx="32">
                  <c:v>734.134663409385</c:v>
                </c:pt>
                <c:pt idx="33">
                  <c:v>861.163548254489</c:v>
                </c:pt>
                <c:pt idx="34">
                  <c:v>931.790234874395</c:v>
                </c:pt>
                <c:pt idx="35">
                  <c:v>1123.67370854699</c:v>
                </c:pt>
                <c:pt idx="36">
                  <c:v>1534.64355483294</c:v>
                </c:pt>
                <c:pt idx="37">
                  <c:v>1312.68657301382</c:v>
                </c:pt>
                <c:pt idx="38">
                  <c:v>1192.96888902761</c:v>
                </c:pt>
                <c:pt idx="39">
                  <c:v>972.515094229315</c:v>
                </c:pt>
                <c:pt idx="40">
                  <c:v>1082.83449625872</c:v>
                </c:pt>
                <c:pt idx="41">
                  <c:v>1322.67720466438</c:v>
                </c:pt>
                <c:pt idx="42">
                  <c:v>1224.91066565013</c:v>
                </c:pt>
                <c:pt idx="43">
                  <c:v>1316.24835416057</c:v>
                </c:pt>
                <c:pt idx="44">
                  <c:v>1122.92246016368</c:v>
                </c:pt>
                <c:pt idx="45">
                  <c:v>1026.72360530498</c:v>
                </c:pt>
                <c:pt idx="46">
                  <c:v>929.894642960438</c:v>
                </c:pt>
                <c:pt idx="47">
                  <c:v>558.752549390681</c:v>
                </c:pt>
                <c:pt idx="48">
                  <c:v>371.433654537697</c:v>
                </c:pt>
                <c:pt idx="49">
                  <c:v>302.972423266242</c:v>
                </c:pt>
                <c:pt idx="50">
                  <c:v>546.651987158178</c:v>
                </c:pt>
                <c:pt idx="51">
                  <c:v>861.558287485814</c:v>
                </c:pt>
                <c:pt idx="52">
                  <c:v>1245.11933821656</c:v>
                </c:pt>
                <c:pt idx="53">
                  <c:v>1373.75956774349</c:v>
                </c:pt>
                <c:pt idx="54">
                  <c:v>1017.63011556442</c:v>
                </c:pt>
                <c:pt idx="55">
                  <c:v>1004.13571119787</c:v>
                </c:pt>
                <c:pt idx="56">
                  <c:v>849.134939951966</c:v>
                </c:pt>
                <c:pt idx="57">
                  <c:v>829.393347276505</c:v>
                </c:pt>
                <c:pt idx="58">
                  <c:v>1125.25221268653</c:v>
                </c:pt>
                <c:pt idx="59">
                  <c:v>1176.2069711133</c:v>
                </c:pt>
                <c:pt idx="60">
                  <c:v>1099.52434402689</c:v>
                </c:pt>
                <c:pt idx="61">
                  <c:v>1150.75818414619</c:v>
                </c:pt>
                <c:pt idx="62">
                  <c:v>1192.00011430124</c:v>
                </c:pt>
                <c:pt idx="63">
                  <c:v>1240.86469473061</c:v>
                </c:pt>
                <c:pt idx="64">
                  <c:v>1402.04544709615</c:v>
                </c:pt>
                <c:pt idx="65">
                  <c:v>1533.98681428759</c:v>
                </c:pt>
                <c:pt idx="66">
                  <c:v>1687.29395864203</c:v>
                </c:pt>
                <c:pt idx="67">
                  <c:v>1789.24749128604</c:v>
                </c:pt>
                <c:pt idx="68">
                  <c:v>1970.78200033663</c:v>
                </c:pt>
                <c:pt idx="69">
                  <c:v>1995.78142990879</c:v>
                </c:pt>
                <c:pt idx="70">
                  <c:v>2042.05335206431</c:v>
                </c:pt>
                <c:pt idx="71">
                  <c:v>2104.068110485</c:v>
                </c:pt>
                <c:pt idx="72">
                  <c:v>2080.35177885313</c:v>
                </c:pt>
                <c:pt idx="73">
                  <c:v>2103.58439771579</c:v>
                </c:pt>
                <c:pt idx="74">
                  <c:v>2246.93848336727</c:v>
                </c:pt>
                <c:pt idx="75">
                  <c:v>2125.65512706766</c:v>
                </c:pt>
                <c:pt idx="76">
                  <c:v>2245.66255821357</c:v>
                </c:pt>
                <c:pt idx="77">
                  <c:v>2109.35701725521</c:v>
                </c:pt>
                <c:pt idx="78">
                  <c:v>2211.01394462285</c:v>
                </c:pt>
                <c:pt idx="79">
                  <c:v>2350.40255781595</c:v>
                </c:pt>
                <c:pt idx="80">
                  <c:v>2532.45985022887</c:v>
                </c:pt>
                <c:pt idx="81">
                  <c:v>2886.45622019074</c:v>
                </c:pt>
              </c:numCache>
            </c:numRef>
          </c:val>
          <c:smooth val="0"/>
        </c:ser>
        <c:hiLowLines>
          <c:spPr>
            <a:ln w="0">
              <a:noFill/>
            </a:ln>
          </c:spPr>
        </c:hiLowLines>
        <c:marker val="0"/>
        <c:axId val="78358195"/>
        <c:axId val="61553807"/>
      </c:lineChart>
      <c:catAx>
        <c:axId val="783581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53807"/>
        <c:crosses val="autoZero"/>
        <c:auto val="1"/>
        <c:lblAlgn val="ctr"/>
        <c:lblOffset val="100"/>
        <c:noMultiLvlLbl val="0"/>
      </c:catAx>
      <c:valAx>
        <c:axId val="6155380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3581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Financial account by instrument — four-quarter rolling (USD mn)</a:t>
            </a:r>
          </a:p>
        </c:rich>
      </c:tx>
      <c:overlay val="0"/>
      <c:spPr>
        <a:noFill/>
        <a:ln w="0">
          <a:noFill/>
        </a:ln>
      </c:spPr>
    </c:title>
    <c:autoTitleDeleted val="0"/>
    <c:plotArea>
      <c:lineChart>
        <c:grouping val="standard"/>
        <c:varyColors val="0"/>
        <c:ser>
          <c:idx val="0"/>
          <c:order val="0"/>
          <c:tx>
            <c:strRef>
              <c:f>"Financial account"</c:f>
              <c:strCache>
                <c:ptCount val="1"/>
                <c:pt idx="0">
                  <c:v>Financial account</c:v>
                </c:pt>
              </c:strCache>
            </c:strRef>
          </c:tx>
          <c:spPr>
            <a:solidFill>
              <a:srgbClr val="1a1a1a"/>
            </a:solidFill>
            <a:ln w="3204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'Financial Account'!$U$34:$U$86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'Financial Account'!$V$5:$V$86</c:f>
              <c:numCache>
                <c:formatCode>#,##0;\(#,##0\);\-</c:formatCode>
                <c:ptCount val="82"/>
                <c:pt idx="4">
                  <c:v>7480.43088796755</c:v>
                </c:pt>
                <c:pt idx="5">
                  <c:v>8175.69105847029</c:v>
                </c:pt>
                <c:pt idx="6">
                  <c:v>7156.40057357003</c:v>
                </c:pt>
                <c:pt idx="7">
                  <c:v>6620.77641466451</c:v>
                </c:pt>
                <c:pt idx="8">
                  <c:v>5899.44687966722</c:v>
                </c:pt>
                <c:pt idx="9">
                  <c:v>7034.08593574957</c:v>
                </c:pt>
                <c:pt idx="10">
                  <c:v>5404.53187918377</c:v>
                </c:pt>
                <c:pt idx="11">
                  <c:v>9243.26954740511</c:v>
                </c:pt>
                <c:pt idx="12">
                  <c:v>6553.95418271813</c:v>
                </c:pt>
                <c:pt idx="13">
                  <c:v>5006.60527179493</c:v>
                </c:pt>
                <c:pt idx="14">
                  <c:v>8748.33239489593</c:v>
                </c:pt>
                <c:pt idx="15">
                  <c:v>4769.54671372307</c:v>
                </c:pt>
                <c:pt idx="16">
                  <c:v>6712.78261735372</c:v>
                </c:pt>
                <c:pt idx="17">
                  <c:v>3987.80123781861</c:v>
                </c:pt>
                <c:pt idx="18">
                  <c:v>1851.5242314287</c:v>
                </c:pt>
                <c:pt idx="19">
                  <c:v>478.22725503543</c:v>
                </c:pt>
                <c:pt idx="20">
                  <c:v>-3802.10328742484</c:v>
                </c:pt>
                <c:pt idx="21">
                  <c:v>-4017.01859581545</c:v>
                </c:pt>
                <c:pt idx="22">
                  <c:v>-4786.37211692937</c:v>
                </c:pt>
                <c:pt idx="23">
                  <c:v>-7446.83369872033</c:v>
                </c:pt>
                <c:pt idx="24">
                  <c:v>-5252.20297522253</c:v>
                </c:pt>
                <c:pt idx="25">
                  <c:v>-5380.68168614601</c:v>
                </c:pt>
                <c:pt idx="26">
                  <c:v>-5289.94266531224</c:v>
                </c:pt>
                <c:pt idx="27">
                  <c:v>-2332.34349352836</c:v>
                </c:pt>
                <c:pt idx="28">
                  <c:v>-2788.13561377819</c:v>
                </c:pt>
                <c:pt idx="29">
                  <c:v>-5450.98210563138</c:v>
                </c:pt>
                <c:pt idx="30">
                  <c:v>-6444.30583977067</c:v>
                </c:pt>
                <c:pt idx="31">
                  <c:v>-10163.4392496892</c:v>
                </c:pt>
                <c:pt idx="32">
                  <c:v>-16164.8964912533</c:v>
                </c:pt>
                <c:pt idx="33">
                  <c:v>-15999.7986372684</c:v>
                </c:pt>
                <c:pt idx="34">
                  <c:v>-14833.7353592006</c:v>
                </c:pt>
                <c:pt idx="35">
                  <c:v>-12762.1391568545</c:v>
                </c:pt>
                <c:pt idx="36">
                  <c:v>-9320.67230462319</c:v>
                </c:pt>
                <c:pt idx="37">
                  <c:v>-10429.8131812203</c:v>
                </c:pt>
                <c:pt idx="38">
                  <c:v>-13359.3961279107</c:v>
                </c:pt>
                <c:pt idx="39">
                  <c:v>-16596.8268898774</c:v>
                </c:pt>
                <c:pt idx="40">
                  <c:v>-18497.8492219529</c:v>
                </c:pt>
                <c:pt idx="41">
                  <c:v>-17617.4546024929</c:v>
                </c:pt>
                <c:pt idx="42">
                  <c:v>-18223.1914788947</c:v>
                </c:pt>
                <c:pt idx="43">
                  <c:v>-17474.7070476203</c:v>
                </c:pt>
                <c:pt idx="44">
                  <c:v>-13964.056184691</c:v>
                </c:pt>
                <c:pt idx="45">
                  <c:v>-15457.133856721</c:v>
                </c:pt>
                <c:pt idx="46">
                  <c:v>-19324.5854189454</c:v>
                </c:pt>
                <c:pt idx="47">
                  <c:v>-23546.731233069</c:v>
                </c:pt>
                <c:pt idx="48">
                  <c:v>-31273.1879310112</c:v>
                </c:pt>
                <c:pt idx="49">
                  <c:v>-34595.9226547499</c:v>
                </c:pt>
                <c:pt idx="50">
                  <c:v>-36626.3181832641</c:v>
                </c:pt>
                <c:pt idx="51">
                  <c:v>-35600.8736178795</c:v>
                </c:pt>
                <c:pt idx="52">
                  <c:v>-28035.820784839</c:v>
                </c:pt>
                <c:pt idx="53">
                  <c:v>-22127.8017670134</c:v>
                </c:pt>
                <c:pt idx="54">
                  <c:v>-15499.0196094991</c:v>
                </c:pt>
                <c:pt idx="55">
                  <c:v>-9184.55091726654</c:v>
                </c:pt>
                <c:pt idx="56">
                  <c:v>-5119.26555722345</c:v>
                </c:pt>
                <c:pt idx="57">
                  <c:v>-1991.73533982559</c:v>
                </c:pt>
                <c:pt idx="58">
                  <c:v>4206.18800663083</c:v>
                </c:pt>
                <c:pt idx="59">
                  <c:v>5368.70105491604</c:v>
                </c:pt>
                <c:pt idx="60">
                  <c:v>1362.12000672899</c:v>
                </c:pt>
                <c:pt idx="61">
                  <c:v>3283.27478492607</c:v>
                </c:pt>
                <c:pt idx="62">
                  <c:v>763.045220231655</c:v>
                </c:pt>
                <c:pt idx="63">
                  <c:v>2353.88711623368</c:v>
                </c:pt>
                <c:pt idx="64">
                  <c:v>4501.70810239281</c:v>
                </c:pt>
                <c:pt idx="65">
                  <c:v>1352.9443231056</c:v>
                </c:pt>
                <c:pt idx="66">
                  <c:v>-3070.27803526096</c:v>
                </c:pt>
                <c:pt idx="67">
                  <c:v>-7741.63164230003</c:v>
                </c:pt>
                <c:pt idx="68">
                  <c:v>-7437.16149794146</c:v>
                </c:pt>
                <c:pt idx="69">
                  <c:v>-13235.7301427142</c:v>
                </c:pt>
                <c:pt idx="70">
                  <c:v>-17120.9156096262</c:v>
                </c:pt>
                <c:pt idx="71">
                  <c:v>-20971.625579869</c:v>
                </c:pt>
                <c:pt idx="72">
                  <c:v>-25914.3091165741</c:v>
                </c:pt>
                <c:pt idx="73">
                  <c:v>-19209.9755423886</c:v>
                </c:pt>
                <c:pt idx="74">
                  <c:v>-9628.14722467764</c:v>
                </c:pt>
                <c:pt idx="75">
                  <c:v>-3135.49815292045</c:v>
                </c:pt>
                <c:pt idx="76">
                  <c:v>2319.03762706679</c:v>
                </c:pt>
                <c:pt idx="77">
                  <c:v>-4036.68644653012</c:v>
                </c:pt>
                <c:pt idx="78">
                  <c:v>-9963.45661135079</c:v>
                </c:pt>
                <c:pt idx="79">
                  <c:v>-12807.3739008349</c:v>
                </c:pt>
                <c:pt idx="80">
                  <c:v>-12003.1036642632</c:v>
                </c:pt>
                <c:pt idx="81">
                  <c:v>-7212.24304143064</c:v>
                </c:pt>
              </c:numCache>
            </c:numRef>
          </c:val>
          <c:smooth val="0"/>
        </c:ser>
        <c:ser>
          <c:idx val="1"/>
          <c:order val="1"/>
          <c:tx>
            <c:strRef>
              <c:f>"Direct investment"</c:f>
              <c:strCache>
                <c:ptCount val="1"/>
                <c:pt idx="0">
                  <c:v>Direct investment</c:v>
                </c:pt>
              </c:strCache>
            </c:strRef>
          </c:tx>
          <c:spPr>
            <a:solidFill>
              <a:srgbClr val="2f5c8f"/>
            </a:solidFill>
            <a:ln w="2196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'Financial Account'!$U$34:$U$86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'Financial Account'!$W$5:$W$86</c:f>
              <c:numCache>
                <c:formatCode>#,##0;\(#,##0\);\-</c:formatCode>
                <c:ptCount val="82"/>
                <c:pt idx="4">
                  <c:v>-3098.62706563233</c:v>
                </c:pt>
                <c:pt idx="5">
                  <c:v>-2440.30364246002</c:v>
                </c:pt>
                <c:pt idx="6">
                  <c:v>-2470.26660215812</c:v>
                </c:pt>
                <c:pt idx="7">
                  <c:v>-2883.4318229268</c:v>
                </c:pt>
                <c:pt idx="8">
                  <c:v>-4968.92480078457</c:v>
                </c:pt>
                <c:pt idx="9">
                  <c:v>-7388.49737487466</c:v>
                </c:pt>
                <c:pt idx="10">
                  <c:v>-8632.33519453518</c:v>
                </c:pt>
                <c:pt idx="11">
                  <c:v>-8956.37830243833</c:v>
                </c:pt>
                <c:pt idx="12">
                  <c:v>-8334.61854064713</c:v>
                </c:pt>
                <c:pt idx="13">
                  <c:v>-6526.99294842626</c:v>
                </c:pt>
                <c:pt idx="14">
                  <c:v>-5161.80176544998</c:v>
                </c:pt>
                <c:pt idx="15">
                  <c:v>-3638.38821783552</c:v>
                </c:pt>
                <c:pt idx="16">
                  <c:v>-3305.61252113841</c:v>
                </c:pt>
                <c:pt idx="17">
                  <c:v>-5135.60703752582</c:v>
                </c:pt>
                <c:pt idx="18">
                  <c:v>-6453.34372496313</c:v>
                </c:pt>
                <c:pt idx="19">
                  <c:v>-9028.84956666696</c:v>
                </c:pt>
                <c:pt idx="20">
                  <c:v>-10367.9579460427</c:v>
                </c:pt>
                <c:pt idx="21">
                  <c:v>-10422.3422161696</c:v>
                </c:pt>
                <c:pt idx="22">
                  <c:v>-9155.11138416867</c:v>
                </c:pt>
                <c:pt idx="23">
                  <c:v>-7639.25521599551</c:v>
                </c:pt>
                <c:pt idx="24">
                  <c:v>-9351.9309446815</c:v>
                </c:pt>
                <c:pt idx="25">
                  <c:v>-10291.7868942588</c:v>
                </c:pt>
                <c:pt idx="26">
                  <c:v>-13272.2280971384</c:v>
                </c:pt>
                <c:pt idx="27">
                  <c:v>-14988.0363832993</c:v>
                </c:pt>
                <c:pt idx="28">
                  <c:v>-14269.0843387678</c:v>
                </c:pt>
                <c:pt idx="29">
                  <c:v>-12056.967212893</c:v>
                </c:pt>
                <c:pt idx="30">
                  <c:v>-11365.3963563476</c:v>
                </c:pt>
                <c:pt idx="31">
                  <c:v>-10771.8580423229</c:v>
                </c:pt>
                <c:pt idx="32">
                  <c:v>-8931.68899943165</c:v>
                </c:pt>
                <c:pt idx="33">
                  <c:v>-7028.94155199292</c:v>
                </c:pt>
                <c:pt idx="34">
                  <c:v>-2364.66016993478</c:v>
                </c:pt>
                <c:pt idx="35">
                  <c:v>-1907.01621704352</c:v>
                </c:pt>
                <c:pt idx="36">
                  <c:v>-3144.79410885981</c:v>
                </c:pt>
                <c:pt idx="37">
                  <c:v>-6379.28080665734</c:v>
                </c:pt>
                <c:pt idx="38">
                  <c:v>-11298.526273588</c:v>
                </c:pt>
                <c:pt idx="39">
                  <c:v>-11693.517805887</c:v>
                </c:pt>
                <c:pt idx="40">
                  <c:v>-10883.7607839318</c:v>
                </c:pt>
                <c:pt idx="41">
                  <c:v>-9462.46149829866</c:v>
                </c:pt>
                <c:pt idx="42">
                  <c:v>-5880.30583708967</c:v>
                </c:pt>
                <c:pt idx="43">
                  <c:v>-4133.27832085506</c:v>
                </c:pt>
                <c:pt idx="44">
                  <c:v>-1473.6334070259</c:v>
                </c:pt>
                <c:pt idx="45">
                  <c:v>-2795.47647176374</c:v>
                </c:pt>
                <c:pt idx="46">
                  <c:v>-5223.11874050475</c:v>
                </c:pt>
                <c:pt idx="47">
                  <c:v>-7563.11254229854</c:v>
                </c:pt>
                <c:pt idx="48">
                  <c:v>-10361.23124426</c:v>
                </c:pt>
                <c:pt idx="49">
                  <c:v>-9657.98040408289</c:v>
                </c:pt>
                <c:pt idx="50">
                  <c:v>-9847.69093810219</c:v>
                </c:pt>
                <c:pt idx="51">
                  <c:v>-9460.71887550719</c:v>
                </c:pt>
                <c:pt idx="52">
                  <c:v>-9990.78824604859</c:v>
                </c:pt>
                <c:pt idx="53">
                  <c:v>-9488.82370059072</c:v>
                </c:pt>
                <c:pt idx="54">
                  <c:v>-7658.99780758104</c:v>
                </c:pt>
                <c:pt idx="55">
                  <c:v>-6234.44922700097</c:v>
                </c:pt>
                <c:pt idx="56">
                  <c:v>-5126.45968619074</c:v>
                </c:pt>
                <c:pt idx="57">
                  <c:v>-4751.89555133439</c:v>
                </c:pt>
                <c:pt idx="58">
                  <c:v>-3983.79648616611</c:v>
                </c:pt>
                <c:pt idx="59">
                  <c:v>-4002.28690521528</c:v>
                </c:pt>
                <c:pt idx="60">
                  <c:v>-3706.95076735161</c:v>
                </c:pt>
                <c:pt idx="61">
                  <c:v>-4326.84908807965</c:v>
                </c:pt>
                <c:pt idx="62">
                  <c:v>-6297.27405225297</c:v>
                </c:pt>
                <c:pt idx="63">
                  <c:v>-5386.09124544202</c:v>
                </c:pt>
                <c:pt idx="64">
                  <c:v>-5114.18794151842</c:v>
                </c:pt>
                <c:pt idx="65">
                  <c:v>-5955.77496016144</c:v>
                </c:pt>
                <c:pt idx="66">
                  <c:v>-8662.71740423051</c:v>
                </c:pt>
                <c:pt idx="67">
                  <c:v>-13745.4882531852</c:v>
                </c:pt>
                <c:pt idx="68">
                  <c:v>-13116.2508142436</c:v>
                </c:pt>
                <c:pt idx="69">
                  <c:v>-14066.8177985123</c:v>
                </c:pt>
                <c:pt idx="70">
                  <c:v>-15407.4353928217</c:v>
                </c:pt>
                <c:pt idx="71">
                  <c:v>-16783.8928652338</c:v>
                </c:pt>
                <c:pt idx="72">
                  <c:v>-23244.0508355558</c:v>
                </c:pt>
                <c:pt idx="73">
                  <c:v>-24260.1054727691</c:v>
                </c:pt>
                <c:pt idx="74">
                  <c:v>-20299.3915301049</c:v>
                </c:pt>
                <c:pt idx="75">
                  <c:v>-16618.0938915519</c:v>
                </c:pt>
                <c:pt idx="76">
                  <c:v>-9590.26436145366</c:v>
                </c:pt>
                <c:pt idx="77">
                  <c:v>-4881.1315740425</c:v>
                </c:pt>
                <c:pt idx="78">
                  <c:v>-5195.06356606897</c:v>
                </c:pt>
                <c:pt idx="79">
                  <c:v>-6380.79270035321</c:v>
                </c:pt>
                <c:pt idx="80">
                  <c:v>-1618.39728605927</c:v>
                </c:pt>
                <c:pt idx="81">
                  <c:v>-2596.10303544476</c:v>
                </c:pt>
              </c:numCache>
            </c:numRef>
          </c:val>
          <c:smooth val="0"/>
        </c:ser>
        <c:ser>
          <c:idx val="2"/>
          <c:order val="2"/>
          <c:tx>
            <c:strRef>
              <c:f>"Portfolio investment"</c:f>
              <c:strCache>
                <c:ptCount val="1"/>
                <c:pt idx="0">
                  <c:v>Portfolio investment</c:v>
                </c:pt>
              </c:strCache>
            </c:strRef>
          </c:tx>
          <c:spPr>
            <a:solidFill>
              <a:srgbClr val="d1495b"/>
            </a:solidFill>
            <a:ln w="2196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'Financial Account'!$U$34:$U$86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'Financial Account'!$AB$5:$AB$86</c:f>
              <c:numCache>
                <c:formatCode>#,##0;\(#,##0\);\-</c:formatCode>
                <c:ptCount val="82"/>
                <c:pt idx="4">
                  <c:v>-7239.39678873852</c:v>
                </c:pt>
                <c:pt idx="5">
                  <c:v>-7285.56211242283</c:v>
                </c:pt>
                <c:pt idx="6">
                  <c:v>-10977.7010382051</c:v>
                </c:pt>
                <c:pt idx="7">
                  <c:v>-8686.35569928867</c:v>
                </c:pt>
                <c:pt idx="8">
                  <c:v>-7467.9628975237</c:v>
                </c:pt>
                <c:pt idx="9">
                  <c:v>-4135.08573143474</c:v>
                </c:pt>
                <c:pt idx="10">
                  <c:v>3671.31135205054</c:v>
                </c:pt>
                <c:pt idx="11">
                  <c:v>6194.57240521979</c:v>
                </c:pt>
                <c:pt idx="12">
                  <c:v>7878.58906330988</c:v>
                </c:pt>
                <c:pt idx="13">
                  <c:v>7671.36824528615</c:v>
                </c:pt>
                <c:pt idx="14">
                  <c:v>5498.07832502579</c:v>
                </c:pt>
                <c:pt idx="15">
                  <c:v>2303.14735233224</c:v>
                </c:pt>
                <c:pt idx="16">
                  <c:v>2153.1431366226</c:v>
                </c:pt>
                <c:pt idx="17">
                  <c:v>1115.27523810295</c:v>
                </c:pt>
                <c:pt idx="18">
                  <c:v>62.2932212404755</c:v>
                </c:pt>
                <c:pt idx="19">
                  <c:v>-1063.92898022948</c:v>
                </c:pt>
                <c:pt idx="20">
                  <c:v>-3262.19361641713</c:v>
                </c:pt>
                <c:pt idx="21">
                  <c:v>-3746.0846334014</c:v>
                </c:pt>
                <c:pt idx="22">
                  <c:v>-2748.45482909056</c:v>
                </c:pt>
                <c:pt idx="23">
                  <c:v>-2582.10174148487</c:v>
                </c:pt>
                <c:pt idx="24">
                  <c:v>-143.23415627634</c:v>
                </c:pt>
                <c:pt idx="25">
                  <c:v>-1354.08383988342</c:v>
                </c:pt>
                <c:pt idx="26">
                  <c:v>-843.424499030216</c:v>
                </c:pt>
                <c:pt idx="27">
                  <c:v>700.658417297317</c:v>
                </c:pt>
                <c:pt idx="28">
                  <c:v>149.918325572206</c:v>
                </c:pt>
                <c:pt idx="29">
                  <c:v>1777.64783488979</c:v>
                </c:pt>
                <c:pt idx="30">
                  <c:v>2297.19463265966</c:v>
                </c:pt>
                <c:pt idx="31">
                  <c:v>1085.52255758106</c:v>
                </c:pt>
                <c:pt idx="32">
                  <c:v>-432.585920294059</c:v>
                </c:pt>
                <c:pt idx="33">
                  <c:v>-1317.86640697284</c:v>
                </c:pt>
                <c:pt idx="34">
                  <c:v>1864.06967933932</c:v>
                </c:pt>
                <c:pt idx="35">
                  <c:v>1229.25588027866</c:v>
                </c:pt>
                <c:pt idx="36">
                  <c:v>2339.43039310179</c:v>
                </c:pt>
                <c:pt idx="37">
                  <c:v>2318.50211851506</c:v>
                </c:pt>
                <c:pt idx="38">
                  <c:v>-3117.13484623452</c:v>
                </c:pt>
                <c:pt idx="39">
                  <c:v>-3086.20117544709</c:v>
                </c:pt>
                <c:pt idx="40">
                  <c:v>-437.238814350207</c:v>
                </c:pt>
                <c:pt idx="41">
                  <c:v>-3930.62269925842</c:v>
                </c:pt>
                <c:pt idx="42">
                  <c:v>-13313.6700331735</c:v>
                </c:pt>
                <c:pt idx="43">
                  <c:v>-20606.9784741583</c:v>
                </c:pt>
                <c:pt idx="44">
                  <c:v>-35255.2938550228</c:v>
                </c:pt>
                <c:pt idx="45">
                  <c:v>-44620.0928431636</c:v>
                </c:pt>
                <c:pt idx="46">
                  <c:v>-37688.7850985712</c:v>
                </c:pt>
                <c:pt idx="47">
                  <c:v>-37189.598356754</c:v>
                </c:pt>
                <c:pt idx="48">
                  <c:v>-35921.7394916229</c:v>
                </c:pt>
                <c:pt idx="49">
                  <c:v>-34832.2439318856</c:v>
                </c:pt>
                <c:pt idx="50">
                  <c:v>-29197.9911013872</c:v>
                </c:pt>
                <c:pt idx="51">
                  <c:v>-20087.2552729604</c:v>
                </c:pt>
                <c:pt idx="52">
                  <c:v>-6923.92532596175</c:v>
                </c:pt>
                <c:pt idx="53">
                  <c:v>6391.64517405111</c:v>
                </c:pt>
                <c:pt idx="54">
                  <c:v>10544.0573549148</c:v>
                </c:pt>
                <c:pt idx="55">
                  <c:v>8531.03522584768</c:v>
                </c:pt>
                <c:pt idx="56">
                  <c:v>7108.58172531548</c:v>
                </c:pt>
                <c:pt idx="57">
                  <c:v>6070.7522577597</c:v>
                </c:pt>
                <c:pt idx="58">
                  <c:v>1303.54712048057</c:v>
                </c:pt>
                <c:pt idx="59">
                  <c:v>3682.60106544789</c:v>
                </c:pt>
                <c:pt idx="60">
                  <c:v>1570.70177706217</c:v>
                </c:pt>
                <c:pt idx="61">
                  <c:v>4137.90223780222</c:v>
                </c:pt>
                <c:pt idx="62">
                  <c:v>4124.27134709441</c:v>
                </c:pt>
                <c:pt idx="63">
                  <c:v>2841.36729458925</c:v>
                </c:pt>
                <c:pt idx="64">
                  <c:v>4940.43811763494</c:v>
                </c:pt>
                <c:pt idx="65">
                  <c:v>5381.84015569952</c:v>
                </c:pt>
                <c:pt idx="66">
                  <c:v>5989.84764957649</c:v>
                </c:pt>
                <c:pt idx="67">
                  <c:v>7061.77880183113</c:v>
                </c:pt>
                <c:pt idx="68">
                  <c:v>7462.6233277254</c:v>
                </c:pt>
                <c:pt idx="69">
                  <c:v>8130.83985302493</c:v>
                </c:pt>
                <c:pt idx="70">
                  <c:v>7243.5535066047</c:v>
                </c:pt>
                <c:pt idx="71">
                  <c:v>7608.52770282803</c:v>
                </c:pt>
                <c:pt idx="72">
                  <c:v>6910.09602689934</c:v>
                </c:pt>
                <c:pt idx="73">
                  <c:v>1154.38695770126</c:v>
                </c:pt>
                <c:pt idx="74">
                  <c:v>-394.838025326021</c:v>
                </c:pt>
                <c:pt idx="75">
                  <c:v>1318.31428642672</c:v>
                </c:pt>
                <c:pt idx="76">
                  <c:v>4129.70262873116</c:v>
                </c:pt>
                <c:pt idx="77">
                  <c:v>10135.0808445345</c:v>
                </c:pt>
                <c:pt idx="78">
                  <c:v>8742.37336772632</c:v>
                </c:pt>
                <c:pt idx="79">
                  <c:v>8077.5762849976</c:v>
                </c:pt>
                <c:pt idx="80">
                  <c:v>278.162340148708</c:v>
                </c:pt>
                <c:pt idx="81">
                  <c:v>-2316.09478340768</c:v>
                </c:pt>
              </c:numCache>
            </c:numRef>
          </c:val>
          <c:smooth val="0"/>
        </c:ser>
        <c:ser>
          <c:idx val="3"/>
          <c:order val="3"/>
          <c:tx>
            <c:strRef>
              <c:f>"Other investment"</c:f>
              <c:strCache>
                <c:ptCount val="1"/>
                <c:pt idx="0">
                  <c:v>Other investment</c:v>
                </c:pt>
              </c:strCache>
            </c:strRef>
          </c:tx>
          <c:spPr>
            <a:solidFill>
              <a:srgbClr val="e8a33d"/>
            </a:solidFill>
            <a:ln w="21960">
              <a:solidFill>
                <a:srgbClr val="e8a33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'Financial Account'!$U$34:$U$86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'Financial Account'!$AH$5:$AH$86</c:f>
              <c:numCache>
                <c:formatCode>#,##0;\(#,##0\);\-</c:formatCode>
                <c:ptCount val="82"/>
                <c:pt idx="4">
                  <c:v>14161.9802070314</c:v>
                </c:pt>
                <c:pt idx="5">
                  <c:v>2927.60728627838</c:v>
                </c:pt>
                <c:pt idx="6">
                  <c:v>3074.57066592368</c:v>
                </c:pt>
                <c:pt idx="7">
                  <c:v>4012.43456325822</c:v>
                </c:pt>
                <c:pt idx="8">
                  <c:v>4682.0271695354</c:v>
                </c:pt>
                <c:pt idx="9">
                  <c:v>6049.12980671125</c:v>
                </c:pt>
                <c:pt idx="10">
                  <c:v>6784.54932208142</c:v>
                </c:pt>
                <c:pt idx="11">
                  <c:v>7601.99544462365</c:v>
                </c:pt>
                <c:pt idx="12">
                  <c:v>6057.90366005537</c:v>
                </c:pt>
                <c:pt idx="13">
                  <c:v>6165.73997493505</c:v>
                </c:pt>
                <c:pt idx="14">
                  <c:v>8850.14583532013</c:v>
                </c:pt>
                <c:pt idx="15">
                  <c:v>4673.75757922635</c:v>
                </c:pt>
                <c:pt idx="16">
                  <c:v>5270.74200186953</c:v>
                </c:pt>
                <c:pt idx="17">
                  <c:v>5960.04303724148</c:v>
                </c:pt>
                <c:pt idx="18">
                  <c:v>3310.42973311784</c:v>
                </c:pt>
                <c:pt idx="19">
                  <c:v>6990.25079989837</c:v>
                </c:pt>
                <c:pt idx="20">
                  <c:v>6382.95624188964</c:v>
                </c:pt>
                <c:pt idx="21">
                  <c:v>7549.70531840431</c:v>
                </c:pt>
                <c:pt idx="22">
                  <c:v>6316.95002527211</c:v>
                </c:pt>
                <c:pt idx="23">
                  <c:v>5574.95202987901</c:v>
                </c:pt>
                <c:pt idx="24">
                  <c:v>7994.69072544157</c:v>
                </c:pt>
                <c:pt idx="25">
                  <c:v>8214.47754990846</c:v>
                </c:pt>
                <c:pt idx="26">
                  <c:v>11860.2165705086</c:v>
                </c:pt>
                <c:pt idx="27">
                  <c:v>13569.4302699491</c:v>
                </c:pt>
                <c:pt idx="28">
                  <c:v>11727.5689333869</c:v>
                </c:pt>
                <c:pt idx="29">
                  <c:v>8499.39608332201</c:v>
                </c:pt>
                <c:pt idx="30">
                  <c:v>8321.82443660001</c:v>
                </c:pt>
                <c:pt idx="31">
                  <c:v>6103.68922966633</c:v>
                </c:pt>
                <c:pt idx="32">
                  <c:v>5055.51510001648</c:v>
                </c:pt>
                <c:pt idx="33">
                  <c:v>5304.83281738752</c:v>
                </c:pt>
                <c:pt idx="34">
                  <c:v>-6121.35820927583</c:v>
                </c:pt>
                <c:pt idx="35">
                  <c:v>-5438.6445805927</c:v>
                </c:pt>
                <c:pt idx="36">
                  <c:v>-9542.21168810297</c:v>
                </c:pt>
                <c:pt idx="37">
                  <c:v>-11420.1441032275</c:v>
                </c:pt>
                <c:pt idx="38">
                  <c:v>-4268.59168306552</c:v>
                </c:pt>
                <c:pt idx="39">
                  <c:v>-7931.54758378237</c:v>
                </c:pt>
                <c:pt idx="40">
                  <c:v>-2245.88829260459</c:v>
                </c:pt>
                <c:pt idx="41">
                  <c:v>-2543.32975927256</c:v>
                </c:pt>
                <c:pt idx="42">
                  <c:v>3506.6267341133</c:v>
                </c:pt>
                <c:pt idx="43">
                  <c:v>10174.8630226359</c:v>
                </c:pt>
                <c:pt idx="44">
                  <c:v>8231.59054346096</c:v>
                </c:pt>
                <c:pt idx="45">
                  <c:v>10203.7127576616</c:v>
                </c:pt>
                <c:pt idx="46">
                  <c:v>6069.94483241366</c:v>
                </c:pt>
                <c:pt idx="47">
                  <c:v>1191.13474287469</c:v>
                </c:pt>
                <c:pt idx="48">
                  <c:v>550.302880797627</c:v>
                </c:pt>
                <c:pt idx="49">
                  <c:v>106.638958682616</c:v>
                </c:pt>
                <c:pt idx="50">
                  <c:v>-10902.3042057014</c:v>
                </c:pt>
                <c:pt idx="51">
                  <c:v>-5222.05352370739</c:v>
                </c:pt>
                <c:pt idx="52">
                  <c:v>-22365.8911006742</c:v>
                </c:pt>
                <c:pt idx="53">
                  <c:v>-24080.0981138975</c:v>
                </c:pt>
                <c:pt idx="54">
                  <c:v>-20878.743738665</c:v>
                </c:pt>
                <c:pt idx="55">
                  <c:v>-11442.2950229555</c:v>
                </c:pt>
                <c:pt idx="56">
                  <c:v>14297.4700012431</c:v>
                </c:pt>
                <c:pt idx="57">
                  <c:v>19107.931695179</c:v>
                </c:pt>
                <c:pt idx="58">
                  <c:v>28275.894623543</c:v>
                </c:pt>
                <c:pt idx="59">
                  <c:v>15324.8889407061</c:v>
                </c:pt>
                <c:pt idx="60">
                  <c:v>11215.1264832402</c:v>
                </c:pt>
                <c:pt idx="61">
                  <c:v>9423.89496869136</c:v>
                </c:pt>
                <c:pt idx="62">
                  <c:v>5695.75267625655</c:v>
                </c:pt>
                <c:pt idx="63">
                  <c:v>4169.48660762476</c:v>
                </c:pt>
                <c:pt idx="64">
                  <c:v>4796.84447957185</c:v>
                </c:pt>
                <c:pt idx="65">
                  <c:v>-468.79564938144</c:v>
                </c:pt>
                <c:pt idx="66">
                  <c:v>-1675.80358467162</c:v>
                </c:pt>
                <c:pt idx="67">
                  <c:v>1645.97218138512</c:v>
                </c:pt>
                <c:pt idx="68">
                  <c:v>-8707.75310359058</c:v>
                </c:pt>
                <c:pt idx="69">
                  <c:v>-5029.98432910928</c:v>
                </c:pt>
                <c:pt idx="70">
                  <c:v>4658.4977505516</c:v>
                </c:pt>
                <c:pt idx="71">
                  <c:v>-820.086448639741</c:v>
                </c:pt>
                <c:pt idx="72">
                  <c:v>12085.0318986408</c:v>
                </c:pt>
                <c:pt idx="73">
                  <c:v>15481.8700740686</c:v>
                </c:pt>
                <c:pt idx="74">
                  <c:v>10903.878638477</c:v>
                </c:pt>
                <c:pt idx="75">
                  <c:v>14063.5378810158</c:v>
                </c:pt>
                <c:pt idx="76">
                  <c:v>1667.09021423901</c:v>
                </c:pt>
                <c:pt idx="77">
                  <c:v>-5687.68071106273</c:v>
                </c:pt>
                <c:pt idx="78">
                  <c:v>-22485.366767173</c:v>
                </c:pt>
                <c:pt idx="79">
                  <c:v>-25955.471838802</c:v>
                </c:pt>
                <c:pt idx="80">
                  <c:v>-17886.6630625827</c:v>
                </c:pt>
                <c:pt idx="81">
                  <c:v>-15160.6989230109</c:v>
                </c:pt>
              </c:numCache>
            </c:numRef>
          </c:val>
          <c:smooth val="0"/>
        </c:ser>
        <c:ser>
          <c:idx val="4"/>
          <c:order val="4"/>
          <c:tx>
            <c:strRef>
              <c:f>"Reserve assets"</c:f>
              <c:strCache>
                <c:ptCount val="1"/>
                <c:pt idx="0">
                  <c:v>Reserve assets</c:v>
                </c:pt>
              </c:strCache>
            </c:strRef>
          </c:tx>
          <c:spPr>
            <a:solidFill>
              <a:srgbClr val="4f9d69"/>
            </a:solidFill>
            <a:ln w="25920">
              <a:solidFill>
                <a:srgbClr val="4f9d6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'Financial Account'!$U$34:$U$86</c:f>
              <c:strCache>
                <c:ptCount val="53"/>
                <c:pt idx="0">
                  <c:v>2013-Q1</c:v>
                </c:pt>
                <c:pt idx="1">
                  <c:v>2013-Q2</c:v>
                </c:pt>
                <c:pt idx="2">
                  <c:v>2013-Q3</c:v>
                </c:pt>
                <c:pt idx="3">
                  <c:v>2013-Q4</c:v>
                </c:pt>
                <c:pt idx="4">
                  <c:v>2014-Q1</c:v>
                </c:pt>
                <c:pt idx="5">
                  <c:v>2014-Q2</c:v>
                </c:pt>
                <c:pt idx="6">
                  <c:v>2014-Q3</c:v>
                </c:pt>
                <c:pt idx="7">
                  <c:v>2014-Q4</c:v>
                </c:pt>
                <c:pt idx="8">
                  <c:v>2015-Q1</c:v>
                </c:pt>
                <c:pt idx="9">
                  <c:v>2015-Q2</c:v>
                </c:pt>
                <c:pt idx="10">
                  <c:v>2015-Q3</c:v>
                </c:pt>
                <c:pt idx="11">
                  <c:v>2015-Q4</c:v>
                </c:pt>
                <c:pt idx="12">
                  <c:v>2016-Q1</c:v>
                </c:pt>
                <c:pt idx="13">
                  <c:v>2016-Q2</c:v>
                </c:pt>
                <c:pt idx="14">
                  <c:v>2016-Q3</c:v>
                </c:pt>
                <c:pt idx="15">
                  <c:v>2016-Q4</c:v>
                </c:pt>
                <c:pt idx="16">
                  <c:v>2017-Q1</c:v>
                </c:pt>
                <c:pt idx="17">
                  <c:v>2017-Q2</c:v>
                </c:pt>
                <c:pt idx="18">
                  <c:v>2017-Q3</c:v>
                </c:pt>
                <c:pt idx="19">
                  <c:v>2017-Q4</c:v>
                </c:pt>
                <c:pt idx="20">
                  <c:v>2018-Q1</c:v>
                </c:pt>
                <c:pt idx="21">
                  <c:v>2018-Q2</c:v>
                </c:pt>
                <c:pt idx="22">
                  <c:v>2018-Q3</c:v>
                </c:pt>
                <c:pt idx="23">
                  <c:v>2018-Q4</c:v>
                </c:pt>
                <c:pt idx="24">
                  <c:v>2019-Q1</c:v>
                </c:pt>
                <c:pt idx="25">
                  <c:v>2019-Q2</c:v>
                </c:pt>
                <c:pt idx="26">
                  <c:v>2019-Q3</c:v>
                </c:pt>
                <c:pt idx="27">
                  <c:v>2019-Q4</c:v>
                </c:pt>
                <c:pt idx="28">
                  <c:v>2020-Q1</c:v>
                </c:pt>
                <c:pt idx="29">
                  <c:v>2020-Q2</c:v>
                </c:pt>
                <c:pt idx="30">
                  <c:v>2020-Q3</c:v>
                </c:pt>
                <c:pt idx="31">
                  <c:v>2020-Q4</c:v>
                </c:pt>
                <c:pt idx="32">
                  <c:v>2021-Q1</c:v>
                </c:pt>
                <c:pt idx="33">
                  <c:v>2021-Q2</c:v>
                </c:pt>
                <c:pt idx="34">
                  <c:v>2021-Q3</c:v>
                </c:pt>
                <c:pt idx="35">
                  <c:v>2021-Q4</c:v>
                </c:pt>
                <c:pt idx="36">
                  <c:v>2022-Q1</c:v>
                </c:pt>
                <c:pt idx="37">
                  <c:v>2022-Q2</c:v>
                </c:pt>
                <c:pt idx="38">
                  <c:v>2022-Q3</c:v>
                </c:pt>
                <c:pt idx="39">
                  <c:v>2022-Q4</c:v>
                </c:pt>
                <c:pt idx="40">
                  <c:v>2023-Q1</c:v>
                </c:pt>
                <c:pt idx="41">
                  <c:v>2023-Q2</c:v>
                </c:pt>
                <c:pt idx="42">
                  <c:v>2023-Q3</c:v>
                </c:pt>
                <c:pt idx="43">
                  <c:v>2023-Q4</c:v>
                </c:pt>
                <c:pt idx="44">
                  <c:v>2024-Q1</c:v>
                </c:pt>
                <c:pt idx="45">
                  <c:v>2024-Q2</c:v>
                </c:pt>
                <c:pt idx="46">
                  <c:v>2024-Q3</c:v>
                </c:pt>
                <c:pt idx="47">
                  <c:v>2024-Q4</c:v>
                </c:pt>
                <c:pt idx="48">
                  <c:v>2025-Q1</c:v>
                </c:pt>
                <c:pt idx="49">
                  <c:v>2025-Q2</c:v>
                </c:pt>
                <c:pt idx="50">
                  <c:v>2025-Q3</c:v>
                </c:pt>
                <c:pt idx="51">
                  <c:v>2025-Q4</c:v>
                </c:pt>
                <c:pt idx="52">
                  <c:v>2026-Q1</c:v>
                </c:pt>
              </c:strCache>
            </c:strRef>
          </c:cat>
          <c:val>
            <c:numRef>
              <c:f>'Financial Account'!$AK$5:$AK$86</c:f>
              <c:numCache>
                <c:formatCode>#,##0;\(#,##0\);\-</c:formatCode>
                <c:ptCount val="82"/>
                <c:pt idx="4">
                  <c:v>3529.83</c:v>
                </c:pt>
                <c:pt idx="5">
                  <c:v>14823.46</c:v>
                </c:pt>
                <c:pt idx="6">
                  <c:v>17320.09</c:v>
                </c:pt>
                <c:pt idx="7">
                  <c:v>13948.38</c:v>
                </c:pt>
                <c:pt idx="8">
                  <c:v>13089.72</c:v>
                </c:pt>
                <c:pt idx="9">
                  <c:v>11964.24</c:v>
                </c:pt>
                <c:pt idx="10">
                  <c:v>3003.66000000001</c:v>
                </c:pt>
                <c:pt idx="11">
                  <c:v>3795.98</c:v>
                </c:pt>
                <c:pt idx="12">
                  <c:v>17.3800000000086</c:v>
                </c:pt>
                <c:pt idx="13">
                  <c:v>-3249.71</c:v>
                </c:pt>
                <c:pt idx="14">
                  <c:v>-1327.49000000001</c:v>
                </c:pt>
                <c:pt idx="15">
                  <c:v>533.030000000003</c:v>
                </c:pt>
                <c:pt idx="16">
                  <c:v>1346.21</c:v>
                </c:pt>
                <c:pt idx="17">
                  <c:v>775.489999999997</c:v>
                </c:pt>
                <c:pt idx="18">
                  <c:v>3578.62</c:v>
                </c:pt>
                <c:pt idx="19">
                  <c:v>3046.33</c:v>
                </c:pt>
                <c:pt idx="20">
                  <c:v>4157.35</c:v>
                </c:pt>
                <c:pt idx="21">
                  <c:v>3301.46</c:v>
                </c:pt>
                <c:pt idx="22">
                  <c:v>1422.77</c:v>
                </c:pt>
                <c:pt idx="23">
                  <c:v>-3009.55</c:v>
                </c:pt>
                <c:pt idx="24">
                  <c:v>-6107.91</c:v>
                </c:pt>
                <c:pt idx="25">
                  <c:v>-4278.62</c:v>
                </c:pt>
                <c:pt idx="26">
                  <c:v>-5203.17</c:v>
                </c:pt>
                <c:pt idx="27">
                  <c:v>-3776.14</c:v>
                </c:pt>
                <c:pt idx="28">
                  <c:v>-3304.72</c:v>
                </c:pt>
                <c:pt idx="29">
                  <c:v>-6557.95</c:v>
                </c:pt>
                <c:pt idx="30">
                  <c:v>-8569.81</c:v>
                </c:pt>
                <c:pt idx="31">
                  <c:v>-9428.22</c:v>
                </c:pt>
                <c:pt idx="32">
                  <c:v>-11823.76</c:v>
                </c:pt>
                <c:pt idx="33">
                  <c:v>-12973.45</c:v>
                </c:pt>
                <c:pt idx="34">
                  <c:v>-8078.75</c:v>
                </c:pt>
                <c:pt idx="35">
                  <c:v>-6476.66</c:v>
                </c:pt>
                <c:pt idx="36">
                  <c:v>1195.11</c:v>
                </c:pt>
                <c:pt idx="37">
                  <c:v>5267.33</c:v>
                </c:pt>
                <c:pt idx="38">
                  <c:v>5383.41</c:v>
                </c:pt>
                <c:pt idx="39">
                  <c:v>6139.12252521446</c:v>
                </c:pt>
                <c:pt idx="40">
                  <c:v>-4905.97</c:v>
                </c:pt>
                <c:pt idx="41">
                  <c:v>-1700.07</c:v>
                </c:pt>
                <c:pt idx="42">
                  <c:v>-2926.36</c:v>
                </c:pt>
                <c:pt idx="43">
                  <c:v>-3268.67447954937</c:v>
                </c:pt>
                <c:pt idx="44">
                  <c:v>14311.2354955464</c:v>
                </c:pt>
                <c:pt idx="45">
                  <c:v>21704.4487573822</c:v>
                </c:pt>
                <c:pt idx="46">
                  <c:v>17826.265706929</c:v>
                </c:pt>
                <c:pt idx="47">
                  <c:v>20280.897042321</c:v>
                </c:pt>
                <c:pt idx="48">
                  <c:v>14555.705524074</c:v>
                </c:pt>
                <c:pt idx="49">
                  <c:v>9770.52347364045</c:v>
                </c:pt>
                <c:pt idx="50">
                  <c:v>13315.7731414328</c:v>
                </c:pt>
                <c:pt idx="51">
                  <c:v>-856.088416323857</c:v>
                </c:pt>
                <c:pt idx="52">
                  <c:v>11276.8927768528</c:v>
                </c:pt>
                <c:pt idx="53">
                  <c:v>5078.75048966118</c:v>
                </c:pt>
                <c:pt idx="54">
                  <c:v>2564.49839084426</c:v>
                </c:pt>
                <c:pt idx="55">
                  <c:v>28.0764334547766</c:v>
                </c:pt>
                <c:pt idx="56">
                  <c:v>-21374.5572677384</c:v>
                </c:pt>
                <c:pt idx="57">
                  <c:v>-22418.4784871639</c:v>
                </c:pt>
                <c:pt idx="58">
                  <c:v>-21437.8064812565</c:v>
                </c:pt>
                <c:pt idx="59">
                  <c:v>-9650.88045314198</c:v>
                </c:pt>
                <c:pt idx="60">
                  <c:v>-7727.1708557292</c:v>
                </c:pt>
                <c:pt idx="61">
                  <c:v>-5958.48195345025</c:v>
                </c:pt>
                <c:pt idx="62">
                  <c:v>-2763.01032661837</c:v>
                </c:pt>
                <c:pt idx="63">
                  <c:v>724.982905690632</c:v>
                </c:pt>
                <c:pt idx="64">
                  <c:v>-105.812825529981</c:v>
                </c:pt>
                <c:pt idx="65">
                  <c:v>2406.92843808606</c:v>
                </c:pt>
                <c:pt idx="66">
                  <c:v>1287.5702868245</c:v>
                </c:pt>
                <c:pt idx="67">
                  <c:v>-2689.60691984</c:v>
                </c:pt>
                <c:pt idx="68">
                  <c:v>6919.76929264</c:v>
                </c:pt>
                <c:pt idx="69">
                  <c:v>-2276.13728624</c:v>
                </c:pt>
                <c:pt idx="70">
                  <c:v>-13617.9907327227</c:v>
                </c:pt>
                <c:pt idx="71">
                  <c:v>-10981.4920313156</c:v>
                </c:pt>
                <c:pt idx="72">
                  <c:v>-21674.9716845256</c:v>
                </c:pt>
                <c:pt idx="73">
                  <c:v>-11593.3382958572</c:v>
                </c:pt>
                <c:pt idx="74">
                  <c:v>159.173762623171</c:v>
                </c:pt>
                <c:pt idx="75">
                  <c:v>-1922.55146905765</c:v>
                </c:pt>
                <c:pt idx="76">
                  <c:v>6093.26330840165</c:v>
                </c:pt>
                <c:pt idx="77">
                  <c:v>-3612.36261049634</c:v>
                </c:pt>
                <c:pt idx="78">
                  <c:v>8964.99246625489</c:v>
                </c:pt>
                <c:pt idx="79">
                  <c:v>11481.0889663743</c:v>
                </c:pt>
                <c:pt idx="80">
                  <c:v>7221.07400776715</c:v>
                </c:pt>
                <c:pt idx="81">
                  <c:v>12859.1594523927</c:v>
                </c:pt>
              </c:numCache>
            </c:numRef>
          </c:val>
          <c:smooth val="0"/>
        </c:ser>
        <c:hiLowLines>
          <c:spPr>
            <a:ln w="0">
              <a:noFill/>
            </a:ln>
          </c:spPr>
        </c:hiLowLines>
        <c:marker val="0"/>
        <c:axId val="69092012"/>
        <c:axId val="93345232"/>
      </c:lineChart>
      <c:catAx>
        <c:axId val="690920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45232"/>
        <c:crosses val="autoZero"/>
        <c:auto val="1"/>
        <c:lblAlgn val="ctr"/>
        <c:lblOffset val="100"/>
        <c:noMultiLvlLbl val="0"/>
      </c:catAx>
      <c:valAx>
        <c:axId val="9334523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0920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builds and what dents reserves — four-quarter rolling (USD mn)</a:t>
            </a:r>
          </a:p>
        </c:rich>
      </c:tx>
      <c:overlay val="0"/>
      <c:spPr>
        <a:noFill/>
        <a:ln w="0">
          <a:noFill/>
        </a:ln>
      </c:spPr>
    </c:title>
    <c:autoTitleDeleted val="0"/>
    <c:plotArea>
      <c:barChart>
        <c:barDir val="col"/>
        <c:grouping val="stacked"/>
        <c:varyColors val="0"/>
        <c:ser>
          <c:idx val="0"/>
          <c:order val="0"/>
          <c:tx>
            <c:strRef>
              <c:f>Funding!E6</c:f>
              <c:strCache>
                <c:ptCount val="1"/>
                <c:pt idx="0">
                  <c:v>Total: external balance</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Funding!$B$7:$B$87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Funding!$E$7:$E$87</c:f>
              <c:numCache>
                <c:formatCode>#,##0;\(#,##0\);\-</c:formatCode>
                <c:ptCount val="81"/>
                <c:pt idx="3">
                  <c:v>6596.42684800934</c:v>
                </c:pt>
                <c:pt idx="4">
                  <c:v>6496.06206189871</c:v>
                </c:pt>
                <c:pt idx="5">
                  <c:v>6572.44136234487</c:v>
                </c:pt>
                <c:pt idx="6">
                  <c:v>5561.62001324231</c:v>
                </c:pt>
                <c:pt idx="7">
                  <c:v>6169.68378185487</c:v>
                </c:pt>
                <c:pt idx="8">
                  <c:v>6923.2272586021</c:v>
                </c:pt>
                <c:pt idx="9">
                  <c:v>5224.36444570681</c:v>
                </c:pt>
                <c:pt idx="10">
                  <c:v>7788.60772377984</c:v>
                </c:pt>
                <c:pt idx="11">
                  <c:v>5606.26634533696</c:v>
                </c:pt>
                <c:pt idx="12">
                  <c:v>5452.18063230954</c:v>
                </c:pt>
                <c:pt idx="13">
                  <c:v>9416.59478187286</c:v>
                </c:pt>
                <c:pt idx="14">
                  <c:v>7060.31459039425</c:v>
                </c:pt>
                <c:pt idx="15">
                  <c:v>7334.09991192176</c:v>
                </c:pt>
                <c:pt idx="16">
                  <c:v>4506.09601119229</c:v>
                </c:pt>
                <c:pt idx="17">
                  <c:v>2312.95439409258</c:v>
                </c:pt>
                <c:pt idx="18">
                  <c:v>1079.01520993695</c:v>
                </c:pt>
                <c:pt idx="19">
                  <c:v>-1544.51798651392</c:v>
                </c:pt>
                <c:pt idx="20">
                  <c:v>-2154.95109969721</c:v>
                </c:pt>
                <c:pt idx="21">
                  <c:v>-3750.09635220859</c:v>
                </c:pt>
                <c:pt idx="22">
                  <c:v>-4747.08365729758</c:v>
                </c:pt>
                <c:pt idx="23">
                  <c:v>-5277.45734617164</c:v>
                </c:pt>
                <c:pt idx="24">
                  <c:v>-4833.3995661274</c:v>
                </c:pt>
                <c:pt idx="25">
                  <c:v>-4822.43911210522</c:v>
                </c:pt>
                <c:pt idx="26">
                  <c:v>-3256.09883493633</c:v>
                </c:pt>
                <c:pt idx="27">
                  <c:v>-2090.15631586414</c:v>
                </c:pt>
                <c:pt idx="28">
                  <c:v>-4193.34736237817</c:v>
                </c:pt>
                <c:pt idx="29">
                  <c:v>-5039.92387581275</c:v>
                </c:pt>
                <c:pt idx="30">
                  <c:v>-8124.23562193329</c:v>
                </c:pt>
                <c:pt idx="31">
                  <c:v>-13090.9609121449</c:v>
                </c:pt>
                <c:pt idx="32">
                  <c:v>-15251.9771246213</c:v>
                </c:pt>
                <c:pt idx="33">
                  <c:v>-14264.1464507411</c:v>
                </c:pt>
                <c:pt idx="34">
                  <c:v>-13074.8153335888</c:v>
                </c:pt>
                <c:pt idx="35">
                  <c:v>-9122.22916174178</c:v>
                </c:pt>
                <c:pt idx="36">
                  <c:v>-8610.7114818823</c:v>
                </c:pt>
                <c:pt idx="37">
                  <c:v>-11739.4154073107</c:v>
                </c:pt>
                <c:pt idx="38">
                  <c:v>-14408.6900268323</c:v>
                </c:pt>
                <c:pt idx="39">
                  <c:v>-17570.0559684415</c:v>
                </c:pt>
                <c:pt idx="40">
                  <c:v>-16847.9102843935</c:v>
                </c:pt>
                <c:pt idx="41">
                  <c:v>-17278.8461165453</c:v>
                </c:pt>
                <c:pt idx="42">
                  <c:v>-15666.2057006821</c:v>
                </c:pt>
                <c:pt idx="43">
                  <c:v>-14733.9819783031</c:v>
                </c:pt>
                <c:pt idx="44">
                  <c:v>-17111.1838046161</c:v>
                </c:pt>
                <c:pt idx="45">
                  <c:v>-20775.7037566866</c:v>
                </c:pt>
                <c:pt idx="46">
                  <c:v>-25988.4678491785</c:v>
                </c:pt>
                <c:pt idx="47">
                  <c:v>-30977.8562833584</c:v>
                </c:pt>
                <c:pt idx="48">
                  <c:v>-33160.9376367717</c:v>
                </c:pt>
                <c:pt idx="49">
                  <c:v>-35012.523269613</c:v>
                </c:pt>
                <c:pt idx="50">
                  <c:v>-34254.4301838821</c:v>
                </c:pt>
                <c:pt idx="51">
                  <c:v>-26972.530933018</c:v>
                </c:pt>
                <c:pt idx="52">
                  <c:v>-20996.4100576504</c:v>
                </c:pt>
                <c:pt idx="53">
                  <c:v>-14255.7369510276</c:v>
                </c:pt>
                <c:pt idx="54">
                  <c:v>-7672.75102671559</c:v>
                </c:pt>
                <c:pt idx="55">
                  <c:v>-3208.53228068633</c:v>
                </c:pt>
                <c:pt idx="56">
                  <c:v>347.343384080984</c:v>
                </c:pt>
                <c:pt idx="57">
                  <c:v>4915.0109234271</c:v>
                </c:pt>
                <c:pt idx="58">
                  <c:v>6834.21499980712</c:v>
                </c:pt>
                <c:pt idx="59">
                  <c:v>2853.12447907644</c:v>
                </c:pt>
                <c:pt idx="60">
                  <c:v>3134.77382850179</c:v>
                </c:pt>
                <c:pt idx="61">
                  <c:v>2880.42877971042</c:v>
                </c:pt>
                <c:pt idx="62">
                  <c:v>5108.50778708288</c:v>
                </c:pt>
                <c:pt idx="63">
                  <c:v>6877.77321255582</c:v>
                </c:pt>
                <c:pt idx="64">
                  <c:v>5228.21360936479</c:v>
                </c:pt>
                <c:pt idx="65">
                  <c:v>1661.83624466521</c:v>
                </c:pt>
                <c:pt idx="66">
                  <c:v>-5281.44683732828</c:v>
                </c:pt>
                <c:pt idx="67">
                  <c:v>-3772.56038411219</c:v>
                </c:pt>
                <c:pt idx="68">
                  <c:v>-8411.95369255002</c:v>
                </c:pt>
                <c:pt idx="69">
                  <c:v>-14257.6383830415</c:v>
                </c:pt>
                <c:pt idx="70">
                  <c:v>-17096.5608736123</c:v>
                </c:pt>
                <c:pt idx="71">
                  <c:v>-22164.2987382588</c:v>
                </c:pt>
                <c:pt idx="72">
                  <c:v>-16164.2389913362</c:v>
                </c:pt>
                <c:pt idx="73">
                  <c:v>-5833.01505902701</c:v>
                </c:pt>
                <c:pt idx="74">
                  <c:v>1200.92406492867</c:v>
                </c:pt>
                <c:pt idx="75">
                  <c:v>6168.98312993347</c:v>
                </c:pt>
                <c:pt idx="76">
                  <c:v>918.243472156361</c:v>
                </c:pt>
                <c:pt idx="77">
                  <c:v>-4921.74773871665</c:v>
                </c:pt>
                <c:pt idx="78">
                  <c:v>-7555.96387579703</c:v>
                </c:pt>
                <c:pt idx="79">
                  <c:v>-7333.98541760744</c:v>
                </c:pt>
                <c:pt idx="80">
                  <c:v>-3822.70224389256</c:v>
                </c:pt>
              </c:numCache>
            </c:numRef>
          </c:val>
        </c:ser>
        <c:ser>
          <c:idx val="1"/>
          <c:order val="1"/>
          <c:tx>
            <c:strRef>
              <c:f>Funding!J6</c:f>
              <c:strCache>
                <c:ptCount val="1"/>
                <c:pt idx="0">
                  <c:v>Residents' FDI abroad</c:v>
                </c:pt>
              </c:strCache>
            </c:strRef>
          </c:tx>
          <c:spPr>
            <a:solidFill>
              <a:srgbClr val="4f9d6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Funding!$B$7:$B$87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Funding!$J$7:$J$87</c:f>
              <c:numCache>
                <c:formatCode>#,##0;\(#,##0\);\-</c:formatCode>
                <c:ptCount val="81"/>
                <c:pt idx="3">
                  <c:v>-2438.72072056097</c:v>
                </c:pt>
                <c:pt idx="4">
                  <c:v>-2471.14220946811</c:v>
                </c:pt>
                <c:pt idx="5">
                  <c:v>-1777.65964594046</c:v>
                </c:pt>
                <c:pt idx="6">
                  <c:v>-1714.3709428132</c:v>
                </c:pt>
                <c:pt idx="7">
                  <c:v>-1504.23296134457</c:v>
                </c:pt>
                <c:pt idx="8">
                  <c:v>-1440.60719025074</c:v>
                </c:pt>
                <c:pt idx="9">
                  <c:v>-1361.75498062502</c:v>
                </c:pt>
                <c:pt idx="10">
                  <c:v>-1498.61313906712</c:v>
                </c:pt>
                <c:pt idx="11">
                  <c:v>-1390.93458887756</c:v>
                </c:pt>
                <c:pt idx="12">
                  <c:v>-1386.0362779952</c:v>
                </c:pt>
                <c:pt idx="13">
                  <c:v>-832.248240162605</c:v>
                </c:pt>
                <c:pt idx="14">
                  <c:v>-687.919920038039</c:v>
                </c:pt>
                <c:pt idx="15">
                  <c:v>-711.54640374567</c:v>
                </c:pt>
                <c:pt idx="16">
                  <c:v>-798.628365923868</c:v>
                </c:pt>
                <c:pt idx="17">
                  <c:v>-1037.85713607429</c:v>
                </c:pt>
                <c:pt idx="18">
                  <c:v>-937.805259383639</c:v>
                </c:pt>
                <c:pt idx="19">
                  <c:v>-964.760680391808</c:v>
                </c:pt>
                <c:pt idx="20">
                  <c:v>-966.573751789991</c:v>
                </c:pt>
                <c:pt idx="21">
                  <c:v>-1366.52211142255</c:v>
                </c:pt>
                <c:pt idx="22">
                  <c:v>-1441.38098747991</c:v>
                </c:pt>
                <c:pt idx="23">
                  <c:v>-1488</c:v>
                </c:pt>
                <c:pt idx="24">
                  <c:v>-1574</c:v>
                </c:pt>
                <c:pt idx="25">
                  <c:v>-1399.95596358628</c:v>
                </c:pt>
                <c:pt idx="26">
                  <c:v>-1126.28542061131</c:v>
                </c:pt>
                <c:pt idx="27">
                  <c:v>-1054.84957805633</c:v>
                </c:pt>
                <c:pt idx="28">
                  <c:v>-782.457070284071</c:v>
                </c:pt>
                <c:pt idx="29">
                  <c:v>-883.623685237307</c:v>
                </c:pt>
                <c:pt idx="30">
                  <c:v>-1147.85821598127</c:v>
                </c:pt>
                <c:pt idx="31">
                  <c:v>-889.972858727091</c:v>
                </c:pt>
                <c:pt idx="32">
                  <c:v>-1736.12405700682</c:v>
                </c:pt>
                <c:pt idx="33">
                  <c:v>-1652.04362475962</c:v>
                </c:pt>
                <c:pt idx="34">
                  <c:v>-1710.1988073728</c:v>
                </c:pt>
                <c:pt idx="35">
                  <c:v>-1920.54143310505</c:v>
                </c:pt>
                <c:pt idx="36">
                  <c:v>-1071.83938080122</c:v>
                </c:pt>
                <c:pt idx="37">
                  <c:v>-1010.3011711436</c:v>
                </c:pt>
                <c:pt idx="38">
                  <c:v>-884.950440618208</c:v>
                </c:pt>
                <c:pt idx="39">
                  <c:v>-875.233227354258</c:v>
                </c:pt>
                <c:pt idx="40">
                  <c:v>-890.194194957953</c:v>
                </c:pt>
                <c:pt idx="41">
                  <c:v>-1808.01006318205</c:v>
                </c:pt>
                <c:pt idx="42">
                  <c:v>-1735.15797999865</c:v>
                </c:pt>
                <c:pt idx="43">
                  <c:v>-1786.53093474804</c:v>
                </c:pt>
                <c:pt idx="44">
                  <c:v>-1864.91525726511</c:v>
                </c:pt>
                <c:pt idx="45">
                  <c:v>-1029.28327920685</c:v>
                </c:pt>
                <c:pt idx="46">
                  <c:v>-1137.5038802962</c:v>
                </c:pt>
                <c:pt idx="47">
                  <c:v>-1155.63021802453</c:v>
                </c:pt>
                <c:pt idx="48">
                  <c:v>-1301.26373930841</c:v>
                </c:pt>
                <c:pt idx="49">
                  <c:v>-1482.51530023592</c:v>
                </c:pt>
                <c:pt idx="50">
                  <c:v>-1692.1886202778</c:v>
                </c:pt>
                <c:pt idx="51">
                  <c:v>-1725.98157270571</c:v>
                </c:pt>
                <c:pt idx="52">
                  <c:v>-1653.43234924325</c:v>
                </c:pt>
                <c:pt idx="53">
                  <c:v>-1539.06175398653</c:v>
                </c:pt>
                <c:pt idx="54">
                  <c:v>-1412.53984458643</c:v>
                </c:pt>
                <c:pt idx="55">
                  <c:v>-1522.72815179532</c:v>
                </c:pt>
                <c:pt idx="56">
                  <c:v>-1361.10776218553</c:v>
                </c:pt>
                <c:pt idx="57">
                  <c:v>-1294.21342518603</c:v>
                </c:pt>
                <c:pt idx="58">
                  <c:v>-1247.4131583007</c:v>
                </c:pt>
                <c:pt idx="59">
                  <c:v>-1177.17690860546</c:v>
                </c:pt>
                <c:pt idx="60">
                  <c:v>-1267.58027694841</c:v>
                </c:pt>
                <c:pt idx="61">
                  <c:v>-1381.03164950229</c:v>
                </c:pt>
                <c:pt idx="62">
                  <c:v>-1459.22549629798</c:v>
                </c:pt>
                <c:pt idx="63">
                  <c:v>-1543.86173775887</c:v>
                </c:pt>
                <c:pt idx="64">
                  <c:v>-1643.61594459284</c:v>
                </c:pt>
                <c:pt idx="65">
                  <c:v>-1777.43994888107</c:v>
                </c:pt>
                <c:pt idx="66">
                  <c:v>-1929.59100462885</c:v>
                </c:pt>
                <c:pt idx="67">
                  <c:v>-2089.83658305669</c:v>
                </c:pt>
                <c:pt idx="68">
                  <c:v>-2407.16253896004</c:v>
                </c:pt>
                <c:pt idx="69">
                  <c:v>-2621.1560580646</c:v>
                </c:pt>
                <c:pt idx="70">
                  <c:v>-2596.35489095546</c:v>
                </c:pt>
                <c:pt idx="71">
                  <c:v>-3023.32933417089</c:v>
                </c:pt>
                <c:pt idx="72">
                  <c:v>-2842.1206958849</c:v>
                </c:pt>
                <c:pt idx="73">
                  <c:v>-2875.76109173275</c:v>
                </c:pt>
                <c:pt idx="74">
                  <c:v>-2920.20885028573</c:v>
                </c:pt>
                <c:pt idx="75">
                  <c:v>-2774.24077799598</c:v>
                </c:pt>
                <c:pt idx="76">
                  <c:v>-2754.00484175716</c:v>
                </c:pt>
                <c:pt idx="77">
                  <c:v>-2684.15409383865</c:v>
                </c:pt>
                <c:pt idx="78">
                  <c:v>-2732.32941018816</c:v>
                </c:pt>
                <c:pt idx="79">
                  <c:v>-2743.33134082928</c:v>
                </c:pt>
                <c:pt idx="80">
                  <c:v>-2694.48864637641</c:v>
                </c:pt>
              </c:numCache>
            </c:numRef>
          </c:val>
        </c:ser>
        <c:ser>
          <c:idx val="2"/>
          <c:order val="2"/>
          <c:tx>
            <c:strRef>
              <c:f>Funding!N6</c:f>
              <c:strCache>
                <c:ptCount val="1"/>
                <c:pt idx="0">
                  <c:v>Financial derivatives</c:v>
                </c:pt>
              </c:strCache>
            </c:strRef>
          </c:tx>
          <c:spPr>
            <a:solidFill>
              <a:srgbClr val="d149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Funding!$B$7:$B$87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Funding!$N$7:$N$87</c:f>
              <c:numCache>
                <c:formatCode>#,##0;\(#,##0\);\-</c:formatCode>
                <c:ptCount val="81"/>
                <c:pt idx="3">
                  <c:v>-126.644535307005</c:v>
                </c:pt>
                <c:pt idx="4">
                  <c:v>-150.489527074757</c:v>
                </c:pt>
                <c:pt idx="5">
                  <c:v>-209.707548009589</c:v>
                </c:pt>
                <c:pt idx="6">
                  <c:v>-229.749373621757</c:v>
                </c:pt>
                <c:pt idx="7">
                  <c:v>-564.587408440092</c:v>
                </c:pt>
                <c:pt idx="8">
                  <c:v>-544.299235347716</c:v>
                </c:pt>
                <c:pt idx="9">
                  <c:v>-577.346399586982</c:v>
                </c:pt>
                <c:pt idx="10">
                  <c:v>-607.1</c:v>
                </c:pt>
                <c:pt idx="11">
                  <c:v>-934.7</c:v>
                </c:pt>
                <c:pt idx="12">
                  <c:v>-946.2</c:v>
                </c:pt>
                <c:pt idx="13">
                  <c:v>-889.4</c:v>
                </c:pt>
                <c:pt idx="14">
                  <c:v>-898</c:v>
                </c:pt>
                <c:pt idx="15">
                  <c:v>-1248.3</c:v>
                </c:pt>
                <c:pt idx="16">
                  <c:v>-1272.6</c:v>
                </c:pt>
                <c:pt idx="17">
                  <c:v>-1353.52500203351</c:v>
                </c:pt>
                <c:pt idx="18">
                  <c:v>-534.425002033505</c:v>
                </c:pt>
                <c:pt idx="19">
                  <c:v>712.257966854692</c:v>
                </c:pt>
                <c:pt idx="20">
                  <c:v>699.757064648719</c:v>
                </c:pt>
                <c:pt idx="21">
                  <c:v>622.525928942246</c:v>
                </c:pt>
                <c:pt idx="22">
                  <c:v>-209.121228881032</c:v>
                </c:pt>
                <c:pt idx="23">
                  <c:v>-2356.18140029374</c:v>
                </c:pt>
                <c:pt idx="24">
                  <c:v>-2329.33149808777</c:v>
                </c:pt>
                <c:pt idx="25">
                  <c:v>-2168.66336034779</c:v>
                </c:pt>
                <c:pt idx="26">
                  <c:v>-2161.74420252451</c:v>
                </c:pt>
                <c:pt idx="27">
                  <c:v>-2908.18146603051</c:v>
                </c:pt>
                <c:pt idx="28">
                  <c:v>-2886.8911890498</c:v>
                </c:pt>
                <c:pt idx="29">
                  <c:v>-2871.88144731723</c:v>
                </c:pt>
                <c:pt idx="30">
                  <c:v>-2847.42700538628</c:v>
                </c:pt>
                <c:pt idx="31">
                  <c:v>32.3766715440217</c:v>
                </c:pt>
                <c:pt idx="32">
                  <c:v>-15.6265043098499</c:v>
                </c:pt>
                <c:pt idx="33">
                  <c:v>133.036659329344</c:v>
                </c:pt>
                <c:pt idx="34">
                  <c:v>169.074239496935</c:v>
                </c:pt>
                <c:pt idx="35">
                  <c:v>168.206900762195</c:v>
                </c:pt>
                <c:pt idx="36">
                  <c:v>216.220389850576</c:v>
                </c:pt>
                <c:pt idx="37">
                  <c:v>58.5533250226557</c:v>
                </c:pt>
                <c:pt idx="38">
                  <c:v>24.6828499754626</c:v>
                </c:pt>
                <c:pt idx="39">
                  <c:v>24.991331066334</c:v>
                </c:pt>
                <c:pt idx="40">
                  <c:v>-19.0293543367127</c:v>
                </c:pt>
                <c:pt idx="41">
                  <c:v>-390.517657255216</c:v>
                </c:pt>
                <c:pt idx="42">
                  <c:v>-359.361204306566</c:v>
                </c:pt>
                <c:pt idx="43">
                  <c:v>-222.045038350332</c:v>
                </c:pt>
                <c:pt idx="44">
                  <c:v>-50.2739431625066</c:v>
                </c:pt>
                <c:pt idx="45">
                  <c:v>308.892119212159</c:v>
                </c:pt>
                <c:pt idx="46">
                  <c:v>266.052119212159</c:v>
                </c:pt>
                <c:pt idx="47">
                  <c:v>96.2256</c:v>
                </c:pt>
                <c:pt idx="48">
                  <c:v>-17.1392488956</c:v>
                </c:pt>
                <c:pt idx="49">
                  <c:v>-5.89492049398147</c:v>
                </c:pt>
                <c:pt idx="50">
                  <c:v>-25.2424706193265</c:v>
                </c:pt>
                <c:pt idx="51">
                  <c:v>32.1088890072798</c:v>
                </c:pt>
                <c:pt idx="52">
                  <c:v>29.2756162374003</c:v>
                </c:pt>
                <c:pt idx="53">
                  <c:v>69.8338090121157</c:v>
                </c:pt>
                <c:pt idx="54">
                  <c:v>66.9183266125509</c:v>
                </c:pt>
                <c:pt idx="55">
                  <c:v>24.3003298529818</c:v>
                </c:pt>
                <c:pt idx="56">
                  <c:v>0.045254265963301</c:v>
                </c:pt>
                <c:pt idx="57">
                  <c:v>-48.3492300298273</c:v>
                </c:pt>
                <c:pt idx="58">
                  <c:v>-14.3784071193189</c:v>
                </c:pt>
                <c:pt idx="59">
                  <c:v>-10.4133695074656</c:v>
                </c:pt>
                <c:pt idx="60">
                  <c:v>-6.80861996239232</c:v>
                </c:pt>
                <c:pt idx="61">
                  <c:v>-3.30557575203215</c:v>
                </c:pt>
                <c:pt idx="62">
                  <c:v>-4.14155377105097</c:v>
                </c:pt>
                <c:pt idx="63">
                  <c:v>15.5737277655788</c:v>
                </c:pt>
                <c:pt idx="64">
                  <c:v>11.2536611371019</c:v>
                </c:pt>
                <c:pt idx="65">
                  <c:v>9.17498275982139</c:v>
                </c:pt>
                <c:pt idx="66">
                  <c:v>14.2874524911112</c:v>
                </c:pt>
                <c:pt idx="67">
                  <c:v>-4.44979952731973</c:v>
                </c:pt>
                <c:pt idx="68">
                  <c:v>-6.36941812247039</c:v>
                </c:pt>
                <c:pt idx="69">
                  <c:v>-2.45925876189674</c:v>
                </c:pt>
                <c:pt idx="70">
                  <c:v>-5.31806249205849</c:v>
                </c:pt>
                <c:pt idx="71">
                  <c:v>-9.58547796723004</c:v>
                </c:pt>
                <c:pt idx="72">
                  <c:v>-7.21119446789202</c:v>
                </c:pt>
                <c:pt idx="73">
                  <c:v>-3.0299296530991</c:v>
                </c:pt>
                <c:pt idx="74">
                  <c:v>-23.2950402465592</c:v>
                </c:pt>
                <c:pt idx="75">
                  <c:v>-19.2458371486411</c:v>
                </c:pt>
                <c:pt idx="76">
                  <c:v>-9.40760453698353</c:v>
                </c:pt>
                <c:pt idx="77">
                  <c:v>-9.60788790992884</c:v>
                </c:pt>
                <c:pt idx="78">
                  <c:v>29.7746130516636</c:v>
                </c:pt>
                <c:pt idx="79">
                  <c:v>-2.72033646292213</c:v>
                </c:pt>
                <c:pt idx="80">
                  <c:v>-1.49424803996012</c:v>
                </c:pt>
              </c:numCache>
            </c:numRef>
          </c:val>
        </c:ser>
        <c:ser>
          <c:idx val="3"/>
          <c:order val="3"/>
          <c:tx>
            <c:strRef>
              <c:f>Funding!O6</c:f>
              <c:strCache>
                <c:ptCount val="1"/>
                <c:pt idx="0">
                  <c:v>Total: net capital inflow</c:v>
                </c:pt>
              </c:strCache>
            </c:strRef>
          </c:tx>
          <c:spPr>
            <a:solidFill>
              <a:srgbClr val="bfc9d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Funding!$B$7:$B$87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Funding!$O$7:$O$87</c:f>
              <c:numCache>
                <c:formatCode>#,##0;\(#,##0\);\-</c:formatCode>
                <c:ptCount val="81"/>
                <c:pt idx="3">
                  <c:v>-3950.60088796755</c:v>
                </c:pt>
                <c:pt idx="4">
                  <c:v>6647.76894152971</c:v>
                </c:pt>
                <c:pt idx="5">
                  <c:v>10163.68942643</c:v>
                </c:pt>
                <c:pt idx="6">
                  <c:v>7327.6035853355</c:v>
                </c:pt>
                <c:pt idx="7">
                  <c:v>7190.27312033278</c:v>
                </c:pt>
                <c:pt idx="8">
                  <c:v>4930.15406425043</c:v>
                </c:pt>
                <c:pt idx="9">
                  <c:v>-2400.87187918376</c:v>
                </c:pt>
                <c:pt idx="10">
                  <c:v>-5447.28954740512</c:v>
                </c:pt>
                <c:pt idx="11">
                  <c:v>-6536.57418271812</c:v>
                </c:pt>
                <c:pt idx="12">
                  <c:v>-8256.31527179493</c:v>
                </c:pt>
                <c:pt idx="13">
                  <c:v>-10075.8223948959</c:v>
                </c:pt>
                <c:pt idx="14">
                  <c:v>-4236.51671372307</c:v>
                </c:pt>
                <c:pt idx="15">
                  <c:v>-5366.57261735372</c:v>
                </c:pt>
                <c:pt idx="16">
                  <c:v>-3212.31123781861</c:v>
                </c:pt>
                <c:pt idx="17">
                  <c:v>1727.09576857131</c:v>
                </c:pt>
                <c:pt idx="18">
                  <c:v>2568.10274496457</c:v>
                </c:pt>
                <c:pt idx="19">
                  <c:v>7959.45328742484</c:v>
                </c:pt>
                <c:pt idx="20">
                  <c:v>7318.47859581545</c:v>
                </c:pt>
                <c:pt idx="21">
                  <c:v>6209.14211692937</c:v>
                </c:pt>
                <c:pt idx="22">
                  <c:v>4437.28369872033</c:v>
                </c:pt>
                <c:pt idx="23">
                  <c:v>-855.707024777471</c:v>
                </c:pt>
                <c:pt idx="24">
                  <c:v>1102.061686146</c:v>
                </c:pt>
                <c:pt idx="25">
                  <c:v>86.7726653122356</c:v>
                </c:pt>
                <c:pt idx="26">
                  <c:v>-1443.79650647164</c:v>
                </c:pt>
                <c:pt idx="27">
                  <c:v>-516.584386221809</c:v>
                </c:pt>
                <c:pt idx="28">
                  <c:v>-1106.96789436862</c:v>
                </c:pt>
                <c:pt idx="29">
                  <c:v>-2125.50416022933</c:v>
                </c:pt>
                <c:pt idx="30">
                  <c:v>735.219249689206</c:v>
                </c:pt>
                <c:pt idx="31">
                  <c:v>4341.13649125326</c:v>
                </c:pt>
                <c:pt idx="32">
                  <c:v>3026.34863726839</c:v>
                </c:pt>
                <c:pt idx="33">
                  <c:v>6754.98535920063</c:v>
                </c:pt>
                <c:pt idx="34">
                  <c:v>6285.4791568545</c:v>
                </c:pt>
                <c:pt idx="35">
                  <c:v>10515.7823046232</c:v>
                </c:pt>
                <c:pt idx="36">
                  <c:v>15697.1431812203</c:v>
                </c:pt>
                <c:pt idx="37">
                  <c:v>18742.8061279107</c:v>
                </c:pt>
                <c:pt idx="38">
                  <c:v>22735.9494150919</c:v>
                </c:pt>
                <c:pt idx="39">
                  <c:v>13591.8792219529</c:v>
                </c:pt>
                <c:pt idx="40">
                  <c:v>15917.3846024929</c:v>
                </c:pt>
                <c:pt idx="41">
                  <c:v>15296.8314788947</c:v>
                </c:pt>
                <c:pt idx="42">
                  <c:v>14206.0325680709</c:v>
                </c:pt>
                <c:pt idx="43">
                  <c:v>28275.2916802374</c:v>
                </c:pt>
                <c:pt idx="44">
                  <c:v>37161.5826141032</c:v>
                </c:pt>
                <c:pt idx="45">
                  <c:v>37150.8511258744</c:v>
                </c:pt>
                <c:pt idx="46">
                  <c:v>43827.62827539</c:v>
                </c:pt>
                <c:pt idx="47">
                  <c:v>45828.8934550852</c:v>
                </c:pt>
                <c:pt idx="48">
                  <c:v>44366.4461283903</c:v>
                </c:pt>
                <c:pt idx="49">
                  <c:v>49942.0913246968</c:v>
                </c:pt>
                <c:pt idx="50">
                  <c:v>34744.7852015556</c:v>
                </c:pt>
                <c:pt idx="51">
                  <c:v>39312.7135616918</c:v>
                </c:pt>
                <c:pt idx="52">
                  <c:v>27206.5522566746</c:v>
                </c:pt>
                <c:pt idx="53">
                  <c:v>18063.5180003434</c:v>
                </c:pt>
                <c:pt idx="54">
                  <c:v>9212.62735072132</c:v>
                </c:pt>
                <c:pt idx="55">
                  <c:v>-16255.2917105149</c:v>
                </c:pt>
                <c:pt idx="56">
                  <c:v>-20426.7431473383</c:v>
                </c:pt>
                <c:pt idx="57">
                  <c:v>-25643.9944878873</c:v>
                </c:pt>
                <c:pt idx="58">
                  <c:v>-15019.581508058</c:v>
                </c:pt>
                <c:pt idx="59">
                  <c:v>-9089.29086245819</c:v>
                </c:pt>
                <c:pt idx="60">
                  <c:v>-9241.75673837631</c:v>
                </c:pt>
                <c:pt idx="61">
                  <c:v>-3526.05554685002</c:v>
                </c:pt>
                <c:pt idx="62">
                  <c:v>-1628.90421054305</c:v>
                </c:pt>
                <c:pt idx="63">
                  <c:v>-4607.52092792279</c:v>
                </c:pt>
                <c:pt idx="64">
                  <c:v>1053.98411498046</c:v>
                </c:pt>
                <c:pt idx="65">
                  <c:v>4357.84832208545</c:v>
                </c:pt>
                <c:pt idx="66">
                  <c:v>5052.02472246002</c:v>
                </c:pt>
                <c:pt idx="67">
                  <c:v>14356.9307905815</c:v>
                </c:pt>
                <c:pt idx="68">
                  <c:v>10959.5928564742</c:v>
                </c:pt>
                <c:pt idx="69">
                  <c:v>3502.92487690347</c:v>
                </c:pt>
                <c:pt idx="70">
                  <c:v>9990.13354855343</c:v>
                </c:pt>
                <c:pt idx="71">
                  <c:v>4239.33743204847</c:v>
                </c:pt>
                <c:pt idx="72">
                  <c:v>7616.63724653143</c:v>
                </c:pt>
                <c:pt idx="73">
                  <c:v>9787.32098730081</c:v>
                </c:pt>
                <c:pt idx="74">
                  <c:v>1212.9466838628</c:v>
                </c:pt>
                <c:pt idx="75">
                  <c:v>3774.22568133486</c:v>
                </c:pt>
                <c:pt idx="76">
                  <c:v>424.323836033779</c:v>
                </c:pt>
                <c:pt idx="77">
                  <c:v>18928.4490776057</c:v>
                </c:pt>
                <c:pt idx="78">
                  <c:v>24288.4628672093</c:v>
                </c:pt>
                <c:pt idx="79">
                  <c:v>19224.1776720304</c:v>
                </c:pt>
                <c:pt idx="80">
                  <c:v>20071.4024938234</c:v>
                </c:pt>
              </c:numCache>
            </c:numRef>
          </c:val>
        </c:ser>
        <c:ser>
          <c:idx val="4"/>
          <c:order val="4"/>
          <c:tx>
            <c:strRef>
              <c:f>Funding!Q6</c:f>
              <c:strCache>
                <c:ptCount val="1"/>
                <c:pt idx="0">
                  <c:v>CHANGE IN RESERVES</c:v>
                </c:pt>
              </c:strCache>
            </c:strRef>
          </c:tx>
          <c:spPr>
            <a:solidFill>
              <a:srgbClr val="e8a33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Funding!$B$7:$B$87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Funding!$Q$7:$Q$87</c:f>
              <c:numCache>
                <c:formatCode>#,##0;\(#,##0\);\-</c:formatCode>
                <c:ptCount val="81"/>
                <c:pt idx="3">
                  <c:v>3529.83</c:v>
                </c:pt>
                <c:pt idx="4">
                  <c:v>14823.46</c:v>
                </c:pt>
                <c:pt idx="5">
                  <c:v>17320.09</c:v>
                </c:pt>
                <c:pt idx="6">
                  <c:v>13948.38</c:v>
                </c:pt>
                <c:pt idx="7">
                  <c:v>13089.72</c:v>
                </c:pt>
                <c:pt idx="8">
                  <c:v>11964.24</c:v>
                </c:pt>
                <c:pt idx="9">
                  <c:v>3003.66000000001</c:v>
                </c:pt>
                <c:pt idx="10">
                  <c:v>3795.98</c:v>
                </c:pt>
                <c:pt idx="11">
                  <c:v>17.3800000000086</c:v>
                </c:pt>
                <c:pt idx="12">
                  <c:v>-3249.71</c:v>
                </c:pt>
                <c:pt idx="13">
                  <c:v>-1327.49000000001</c:v>
                </c:pt>
                <c:pt idx="14">
                  <c:v>533.030000000003</c:v>
                </c:pt>
                <c:pt idx="15">
                  <c:v>1346.21</c:v>
                </c:pt>
                <c:pt idx="16">
                  <c:v>775.489999999997</c:v>
                </c:pt>
                <c:pt idx="17">
                  <c:v>3578.62</c:v>
                </c:pt>
                <c:pt idx="18">
                  <c:v>3046.33</c:v>
                </c:pt>
                <c:pt idx="19">
                  <c:v>4157.35</c:v>
                </c:pt>
                <c:pt idx="20">
                  <c:v>3301.46</c:v>
                </c:pt>
                <c:pt idx="21">
                  <c:v>1422.77</c:v>
                </c:pt>
                <c:pt idx="22">
                  <c:v>-3009.55</c:v>
                </c:pt>
                <c:pt idx="23">
                  <c:v>-6107.91</c:v>
                </c:pt>
                <c:pt idx="24">
                  <c:v>-4278.62</c:v>
                </c:pt>
                <c:pt idx="25">
                  <c:v>-5203.17</c:v>
                </c:pt>
                <c:pt idx="26">
                  <c:v>-3776.14</c:v>
                </c:pt>
                <c:pt idx="27">
                  <c:v>-3304.72</c:v>
                </c:pt>
                <c:pt idx="28">
                  <c:v>-6557.95</c:v>
                </c:pt>
                <c:pt idx="29">
                  <c:v>-8569.81</c:v>
                </c:pt>
                <c:pt idx="30">
                  <c:v>-9428.22</c:v>
                </c:pt>
                <c:pt idx="31">
                  <c:v>-11823.76</c:v>
                </c:pt>
                <c:pt idx="32">
                  <c:v>-12973.45</c:v>
                </c:pt>
                <c:pt idx="33">
                  <c:v>-8078.75</c:v>
                </c:pt>
                <c:pt idx="34">
                  <c:v>-6476.66</c:v>
                </c:pt>
                <c:pt idx="35">
                  <c:v>1195.11</c:v>
                </c:pt>
                <c:pt idx="36">
                  <c:v>5267.33</c:v>
                </c:pt>
                <c:pt idx="37">
                  <c:v>5383.41</c:v>
                </c:pt>
                <c:pt idx="38">
                  <c:v>6139.12252521446</c:v>
                </c:pt>
                <c:pt idx="39">
                  <c:v>-4905.97</c:v>
                </c:pt>
                <c:pt idx="40">
                  <c:v>-1700.07</c:v>
                </c:pt>
                <c:pt idx="41">
                  <c:v>-2926.36</c:v>
                </c:pt>
                <c:pt idx="42">
                  <c:v>-3268.67447954937</c:v>
                </c:pt>
                <c:pt idx="43">
                  <c:v>14311.2354955464</c:v>
                </c:pt>
                <c:pt idx="44">
                  <c:v>21704.4487573822</c:v>
                </c:pt>
                <c:pt idx="45">
                  <c:v>17826.265706929</c:v>
                </c:pt>
                <c:pt idx="46">
                  <c:v>20280.897042321</c:v>
                </c:pt>
                <c:pt idx="47">
                  <c:v>14555.705524074</c:v>
                </c:pt>
                <c:pt idx="48">
                  <c:v>9770.52347364045</c:v>
                </c:pt>
                <c:pt idx="49">
                  <c:v>13315.7731414328</c:v>
                </c:pt>
                <c:pt idx="50">
                  <c:v>-856.088416323857</c:v>
                </c:pt>
                <c:pt idx="51">
                  <c:v>11276.8927768528</c:v>
                </c:pt>
                <c:pt idx="52">
                  <c:v>5078.75048966118</c:v>
                </c:pt>
                <c:pt idx="53">
                  <c:v>2564.49839084426</c:v>
                </c:pt>
                <c:pt idx="54">
                  <c:v>28.0764334547766</c:v>
                </c:pt>
                <c:pt idx="55">
                  <c:v>-21374.5572677384</c:v>
                </c:pt>
                <c:pt idx="56">
                  <c:v>-22418.4784871639</c:v>
                </c:pt>
                <c:pt idx="57">
                  <c:v>-21437.8064812565</c:v>
                </c:pt>
                <c:pt idx="58">
                  <c:v>-9650.88045314198</c:v>
                </c:pt>
                <c:pt idx="59">
                  <c:v>-7727.1708557292</c:v>
                </c:pt>
                <c:pt idx="60">
                  <c:v>-5958.48195345025</c:v>
                </c:pt>
                <c:pt idx="61">
                  <c:v>-2763.01032661837</c:v>
                </c:pt>
                <c:pt idx="62">
                  <c:v>724.982905690632</c:v>
                </c:pt>
                <c:pt idx="63">
                  <c:v>-105.812825529981</c:v>
                </c:pt>
                <c:pt idx="64">
                  <c:v>2406.92843808606</c:v>
                </c:pt>
                <c:pt idx="65">
                  <c:v>1287.5702868245</c:v>
                </c:pt>
                <c:pt idx="66">
                  <c:v>-2689.60691984</c:v>
                </c:pt>
                <c:pt idx="67">
                  <c:v>6919.76929264</c:v>
                </c:pt>
                <c:pt idx="68">
                  <c:v>-2276.13728624</c:v>
                </c:pt>
                <c:pt idx="69">
                  <c:v>-13617.9907327227</c:v>
                </c:pt>
                <c:pt idx="70">
                  <c:v>-10981.4920313156</c:v>
                </c:pt>
                <c:pt idx="71">
                  <c:v>-21674.9716845256</c:v>
                </c:pt>
                <c:pt idx="72">
                  <c:v>-11593.3382958572</c:v>
                </c:pt>
                <c:pt idx="73">
                  <c:v>159.173762623171</c:v>
                </c:pt>
                <c:pt idx="74">
                  <c:v>-1922.55146905765</c:v>
                </c:pt>
                <c:pt idx="75">
                  <c:v>6093.26330840165</c:v>
                </c:pt>
                <c:pt idx="76">
                  <c:v>-3612.36261049634</c:v>
                </c:pt>
                <c:pt idx="77">
                  <c:v>8964.99246625489</c:v>
                </c:pt>
                <c:pt idx="78">
                  <c:v>11481.0889663743</c:v>
                </c:pt>
                <c:pt idx="79">
                  <c:v>7221.07400776715</c:v>
                </c:pt>
                <c:pt idx="80">
                  <c:v>12859.1594523927</c:v>
                </c:pt>
              </c:numCache>
            </c:numRef>
          </c:val>
        </c:ser>
        <c:gapWidth val="150"/>
        <c:overlap val="100"/>
        <c:axId val="10736488"/>
        <c:axId val="13357493"/>
      </c:barChart>
      <c:catAx>
        <c:axId val="107364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357493"/>
        <c:crosses val="autoZero"/>
        <c:auto val="1"/>
        <c:lblAlgn val="ctr"/>
        <c:lblOffset val="100"/>
        <c:noMultiLvlLbl val="0"/>
      </c:catAx>
      <c:valAx>
        <c:axId val="1335749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7364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Change in reserve assets, four-quarter rolling (USD mn)</a:t>
            </a:r>
          </a:p>
        </c:rich>
      </c:tx>
      <c:overlay val="0"/>
      <c:spPr>
        <a:noFill/>
        <a:ln w="0">
          <a:noFill/>
        </a:ln>
      </c:spPr>
    </c:title>
    <c:autoTitleDeleted val="0"/>
    <c:plotArea>
      <c:lineChart>
        <c:grouping val="standard"/>
        <c:varyColors val="0"/>
        <c:ser>
          <c:idx val="0"/>
          <c:order val="0"/>
          <c:tx>
            <c:strRef>
              <c:f>Funding!Q6</c:f>
              <c:strCache>
                <c:ptCount val="1"/>
                <c:pt idx="0">
                  <c:v>CHANGE IN RESERVES</c:v>
                </c:pt>
              </c:strCache>
            </c:strRef>
          </c:tx>
          <c:spPr>
            <a:solidFill>
              <a:srgbClr val="d1495b"/>
            </a:solidFill>
            <a:ln w="2988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Funding!$B$7:$B$87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Funding!$Q$7:$Q$87</c:f>
              <c:numCache>
                <c:formatCode>#,##0;\(#,##0\);\-</c:formatCode>
                <c:ptCount val="81"/>
                <c:pt idx="3">
                  <c:v>3529.83</c:v>
                </c:pt>
                <c:pt idx="4">
                  <c:v>14823.46</c:v>
                </c:pt>
                <c:pt idx="5">
                  <c:v>17320.09</c:v>
                </c:pt>
                <c:pt idx="6">
                  <c:v>13948.38</c:v>
                </c:pt>
                <c:pt idx="7">
                  <c:v>13089.72</c:v>
                </c:pt>
                <c:pt idx="8">
                  <c:v>11964.24</c:v>
                </c:pt>
                <c:pt idx="9">
                  <c:v>3003.66000000001</c:v>
                </c:pt>
                <c:pt idx="10">
                  <c:v>3795.98</c:v>
                </c:pt>
                <c:pt idx="11">
                  <c:v>17.3800000000086</c:v>
                </c:pt>
                <c:pt idx="12">
                  <c:v>-3249.71</c:v>
                </c:pt>
                <c:pt idx="13">
                  <c:v>-1327.49000000001</c:v>
                </c:pt>
                <c:pt idx="14">
                  <c:v>533.030000000003</c:v>
                </c:pt>
                <c:pt idx="15">
                  <c:v>1346.21</c:v>
                </c:pt>
                <c:pt idx="16">
                  <c:v>775.489999999997</c:v>
                </c:pt>
                <c:pt idx="17">
                  <c:v>3578.62</c:v>
                </c:pt>
                <c:pt idx="18">
                  <c:v>3046.33</c:v>
                </c:pt>
                <c:pt idx="19">
                  <c:v>4157.35</c:v>
                </c:pt>
                <c:pt idx="20">
                  <c:v>3301.46</c:v>
                </c:pt>
                <c:pt idx="21">
                  <c:v>1422.77</c:v>
                </c:pt>
                <c:pt idx="22">
                  <c:v>-3009.55</c:v>
                </c:pt>
                <c:pt idx="23">
                  <c:v>-6107.91</c:v>
                </c:pt>
                <c:pt idx="24">
                  <c:v>-4278.62</c:v>
                </c:pt>
                <c:pt idx="25">
                  <c:v>-5203.17</c:v>
                </c:pt>
                <c:pt idx="26">
                  <c:v>-3776.14</c:v>
                </c:pt>
                <c:pt idx="27">
                  <c:v>-3304.72</c:v>
                </c:pt>
                <c:pt idx="28">
                  <c:v>-6557.95</c:v>
                </c:pt>
                <c:pt idx="29">
                  <c:v>-8569.81</c:v>
                </c:pt>
                <c:pt idx="30">
                  <c:v>-9428.22</c:v>
                </c:pt>
                <c:pt idx="31">
                  <c:v>-11823.76</c:v>
                </c:pt>
                <c:pt idx="32">
                  <c:v>-12973.45</c:v>
                </c:pt>
                <c:pt idx="33">
                  <c:v>-8078.75</c:v>
                </c:pt>
                <c:pt idx="34">
                  <c:v>-6476.66</c:v>
                </c:pt>
                <c:pt idx="35">
                  <c:v>1195.11</c:v>
                </c:pt>
                <c:pt idx="36">
                  <c:v>5267.33</c:v>
                </c:pt>
                <c:pt idx="37">
                  <c:v>5383.41</c:v>
                </c:pt>
                <c:pt idx="38">
                  <c:v>6139.12252521446</c:v>
                </c:pt>
                <c:pt idx="39">
                  <c:v>-4905.97</c:v>
                </c:pt>
                <c:pt idx="40">
                  <c:v>-1700.07</c:v>
                </c:pt>
                <c:pt idx="41">
                  <c:v>-2926.36</c:v>
                </c:pt>
                <c:pt idx="42">
                  <c:v>-3268.67447954937</c:v>
                </c:pt>
                <c:pt idx="43">
                  <c:v>14311.2354955464</c:v>
                </c:pt>
                <c:pt idx="44">
                  <c:v>21704.4487573822</c:v>
                </c:pt>
                <c:pt idx="45">
                  <c:v>17826.265706929</c:v>
                </c:pt>
                <c:pt idx="46">
                  <c:v>20280.897042321</c:v>
                </c:pt>
                <c:pt idx="47">
                  <c:v>14555.705524074</c:v>
                </c:pt>
                <c:pt idx="48">
                  <c:v>9770.52347364045</c:v>
                </c:pt>
                <c:pt idx="49">
                  <c:v>13315.7731414328</c:v>
                </c:pt>
                <c:pt idx="50">
                  <c:v>-856.088416323857</c:v>
                </c:pt>
                <c:pt idx="51">
                  <c:v>11276.8927768528</c:v>
                </c:pt>
                <c:pt idx="52">
                  <c:v>5078.75048966118</c:v>
                </c:pt>
                <c:pt idx="53">
                  <c:v>2564.49839084426</c:v>
                </c:pt>
                <c:pt idx="54">
                  <c:v>28.0764334547766</c:v>
                </c:pt>
                <c:pt idx="55">
                  <c:v>-21374.5572677384</c:v>
                </c:pt>
                <c:pt idx="56">
                  <c:v>-22418.4784871639</c:v>
                </c:pt>
                <c:pt idx="57">
                  <c:v>-21437.8064812565</c:v>
                </c:pt>
                <c:pt idx="58">
                  <c:v>-9650.88045314198</c:v>
                </c:pt>
                <c:pt idx="59">
                  <c:v>-7727.1708557292</c:v>
                </c:pt>
                <c:pt idx="60">
                  <c:v>-5958.48195345025</c:v>
                </c:pt>
                <c:pt idx="61">
                  <c:v>-2763.01032661837</c:v>
                </c:pt>
                <c:pt idx="62">
                  <c:v>724.982905690632</c:v>
                </c:pt>
                <c:pt idx="63">
                  <c:v>-105.812825529981</c:v>
                </c:pt>
                <c:pt idx="64">
                  <c:v>2406.92843808606</c:v>
                </c:pt>
                <c:pt idx="65">
                  <c:v>1287.5702868245</c:v>
                </c:pt>
                <c:pt idx="66">
                  <c:v>-2689.60691984</c:v>
                </c:pt>
                <c:pt idx="67">
                  <c:v>6919.76929264</c:v>
                </c:pt>
                <c:pt idx="68">
                  <c:v>-2276.13728624</c:v>
                </c:pt>
                <c:pt idx="69">
                  <c:v>-13617.9907327227</c:v>
                </c:pt>
                <c:pt idx="70">
                  <c:v>-10981.4920313156</c:v>
                </c:pt>
                <c:pt idx="71">
                  <c:v>-21674.9716845256</c:v>
                </c:pt>
                <c:pt idx="72">
                  <c:v>-11593.3382958572</c:v>
                </c:pt>
                <c:pt idx="73">
                  <c:v>159.173762623171</c:v>
                </c:pt>
                <c:pt idx="74">
                  <c:v>-1922.55146905765</c:v>
                </c:pt>
                <c:pt idx="75">
                  <c:v>6093.26330840165</c:v>
                </c:pt>
                <c:pt idx="76">
                  <c:v>-3612.36261049634</c:v>
                </c:pt>
                <c:pt idx="77">
                  <c:v>8964.99246625489</c:v>
                </c:pt>
                <c:pt idx="78">
                  <c:v>11481.0889663743</c:v>
                </c:pt>
                <c:pt idx="79">
                  <c:v>7221.07400776715</c:v>
                </c:pt>
                <c:pt idx="80">
                  <c:v>12859.1594523927</c:v>
                </c:pt>
              </c:numCache>
            </c:numRef>
          </c:val>
          <c:smooth val="0"/>
        </c:ser>
        <c:hiLowLines>
          <c:spPr>
            <a:ln w="0">
              <a:noFill/>
            </a:ln>
          </c:spPr>
        </c:hiLowLines>
        <c:marker val="0"/>
        <c:axId val="18302409"/>
        <c:axId val="51199500"/>
      </c:lineChart>
      <c:catAx>
        <c:axId val="183024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199500"/>
        <c:crosses val="autoZero"/>
        <c:auto val="1"/>
        <c:lblAlgn val="ctr"/>
        <c:lblOffset val="100"/>
        <c:noMultiLvlLbl val="0"/>
      </c:catAx>
      <c:valAx>
        <c:axId val="5119950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3024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Current account and reserve change, % of GDP (4q rolling)</a:t>
            </a:r>
          </a:p>
        </c:rich>
      </c:tx>
      <c:overlay val="0"/>
      <c:spPr>
        <a:noFill/>
        <a:ln w="0">
          <a:noFill/>
        </a:ln>
      </c:spPr>
    </c:title>
    <c:autoTitleDeleted val="0"/>
    <c:plotArea>
      <c:lineChart>
        <c:grouping val="standard"/>
        <c:varyColors val="0"/>
        <c:ser>
          <c:idx val="0"/>
          <c:order val="0"/>
          <c:tx>
            <c:strRef>
              <c:f>'% of GDP'!C6</c:f>
              <c:strCache>
                <c:ptCount val="1"/>
                <c:pt idx="0">
                  <c:v>Current account</c:v>
                </c:pt>
              </c:strCache>
            </c:strRef>
          </c:tx>
          <c:spPr>
            <a:solidFill>
              <a:srgbClr val="1a1a1a"/>
            </a:solidFill>
            <a:ln w="298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of GDP'!$B$7:$B$87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 of GDP'!$C$7:$C$87</c:f>
              <c:numCache>
                <c:formatCode>0.0%</c:formatCode>
                <c:ptCount val="81"/>
                <c:pt idx="3">
                  <c:v>0.0279078473490778</c:v>
                </c:pt>
                <c:pt idx="4">
                  <c:v>0.0263400588350796</c:v>
                </c:pt>
                <c:pt idx="5">
                  <c:v>0.0253319781765755</c:v>
                </c:pt>
                <c:pt idx="6">
                  <c:v>0.0200972072071525</c:v>
                </c:pt>
                <c:pt idx="7">
                  <c:v>0.0210174749714352</c:v>
                </c:pt>
                <c:pt idx="8">
                  <c:v>0.0220426227321985</c:v>
                </c:pt>
                <c:pt idx="9">
                  <c:v>0.0152938386100734</c:v>
                </c:pt>
                <c:pt idx="10">
                  <c:v>0.0214039082405306</c:v>
                </c:pt>
                <c:pt idx="11">
                  <c:v>0.0148984021550951</c:v>
                </c:pt>
                <c:pt idx="12">
                  <c:v>0.0146703806848225</c:v>
                </c:pt>
                <c:pt idx="13">
                  <c:v>0.0266943512495481</c:v>
                </c:pt>
                <c:pt idx="14">
                  <c:v>0.0209678119945069</c:v>
                </c:pt>
                <c:pt idx="15">
                  <c:v>0.021700604043809</c:v>
                </c:pt>
                <c:pt idx="16">
                  <c:v>0.0127264521824956</c:v>
                </c:pt>
                <c:pt idx="17">
                  <c:v>0.00600149597603175</c:v>
                </c:pt>
                <c:pt idx="18">
                  <c:v>0.00251323678651105</c:v>
                </c:pt>
                <c:pt idx="19">
                  <c:v>-0.00382471018549719</c:v>
                </c:pt>
                <c:pt idx="20">
                  <c:v>-0.00496552074789485</c:v>
                </c:pt>
                <c:pt idx="21">
                  <c:v>-0.00799226957155909</c:v>
                </c:pt>
                <c:pt idx="22">
                  <c:v>-0.00952937907801059</c:v>
                </c:pt>
                <c:pt idx="23">
                  <c:v>-0.0101309664476852</c:v>
                </c:pt>
                <c:pt idx="24">
                  <c:v>-0.00896264939592554</c:v>
                </c:pt>
                <c:pt idx="25">
                  <c:v>-0.00878880069668267</c:v>
                </c:pt>
                <c:pt idx="26">
                  <c:v>-0.00582295008633295</c:v>
                </c:pt>
                <c:pt idx="27">
                  <c:v>-0.00369212247352157</c:v>
                </c:pt>
                <c:pt idx="28">
                  <c:v>-0.00721287287780869</c:v>
                </c:pt>
                <c:pt idx="29">
                  <c:v>-0.00843307411864061</c:v>
                </c:pt>
                <c:pt idx="30">
                  <c:v>-0.0134151038916565</c:v>
                </c:pt>
                <c:pt idx="31">
                  <c:v>-0.0214749623412678</c:v>
                </c:pt>
                <c:pt idx="32">
                  <c:v>-0.0256590570080471</c:v>
                </c:pt>
                <c:pt idx="33">
                  <c:v>-0.0246773829208668</c:v>
                </c:pt>
                <c:pt idx="34">
                  <c:v>-0.0231436449279255</c:v>
                </c:pt>
                <c:pt idx="35">
                  <c:v>-0.0163082231820791</c:v>
                </c:pt>
                <c:pt idx="36">
                  <c:v>-0.0149377301294897</c:v>
                </c:pt>
                <c:pt idx="37">
                  <c:v>-0.0196167349185285</c:v>
                </c:pt>
                <c:pt idx="38">
                  <c:v>-0.0230209491364467</c:v>
                </c:pt>
                <c:pt idx="39">
                  <c:v>-0.0274460071850608</c:v>
                </c:pt>
                <c:pt idx="40">
                  <c:v>-0.0275191204770668</c:v>
                </c:pt>
                <c:pt idx="41">
                  <c:v>-0.0291307930478411</c:v>
                </c:pt>
                <c:pt idx="42">
                  <c:v>-0.0277402151937837</c:v>
                </c:pt>
                <c:pt idx="43">
                  <c:v>-0.0271255487574594</c:v>
                </c:pt>
                <c:pt idx="44">
                  <c:v>-0.0299189505794859</c:v>
                </c:pt>
                <c:pt idx="45">
                  <c:v>-0.0350162724955718</c:v>
                </c:pt>
                <c:pt idx="46">
                  <c:v>-0.0423239742770725</c:v>
                </c:pt>
                <c:pt idx="47">
                  <c:v>-0.0484180003101394</c:v>
                </c:pt>
                <c:pt idx="48">
                  <c:v>-0.0509378565111618</c:v>
                </c:pt>
                <c:pt idx="49">
                  <c:v>-0.0549421257058042</c:v>
                </c:pt>
                <c:pt idx="50">
                  <c:v>-0.0574536976443979</c:v>
                </c:pt>
                <c:pt idx="51">
                  <c:v>-0.0497591786842153</c:v>
                </c:pt>
                <c:pt idx="52">
                  <c:v>-0.0423809082818251</c:v>
                </c:pt>
                <c:pt idx="53">
                  <c:v>-0.0311418454180893</c:v>
                </c:pt>
                <c:pt idx="54">
                  <c:v>-0.0174013304177181</c:v>
                </c:pt>
                <c:pt idx="55">
                  <c:v>-0.00776836037296342</c:v>
                </c:pt>
                <c:pt idx="56">
                  <c:v>0.000132844733003676</c:v>
                </c:pt>
                <c:pt idx="57">
                  <c:v>0.0116317426225548</c:v>
                </c:pt>
                <c:pt idx="58">
                  <c:v>0.0171382017677691</c:v>
                </c:pt>
                <c:pt idx="59">
                  <c:v>0.00697970500030937</c:v>
                </c:pt>
                <c:pt idx="60">
                  <c:v>0.00765719858749574</c:v>
                </c:pt>
                <c:pt idx="61">
                  <c:v>0.00628196508787179</c:v>
                </c:pt>
                <c:pt idx="62">
                  <c:v>0.0107753088829701</c:v>
                </c:pt>
                <c:pt idx="63">
                  <c:v>0.0136824336799295</c:v>
                </c:pt>
                <c:pt idx="64">
                  <c:v>0.00955485101946781</c:v>
                </c:pt>
                <c:pt idx="65">
                  <c:v>0.0026298804039459</c:v>
                </c:pt>
                <c:pt idx="66">
                  <c:v>-0.00902846454901742</c:v>
                </c:pt>
                <c:pt idx="67">
                  <c:v>-0.0062794259137992</c:v>
                </c:pt>
                <c:pt idx="68">
                  <c:v>-0.0132525959065108</c:v>
                </c:pt>
                <c:pt idx="69">
                  <c:v>-0.0220982629721639</c:v>
                </c:pt>
                <c:pt idx="70">
                  <c:v>-0.0261780108406284</c:v>
                </c:pt>
                <c:pt idx="71">
                  <c:v>-0.0339622563956869</c:v>
                </c:pt>
                <c:pt idx="72">
                  <c:v>-0.0261210586942253</c:v>
                </c:pt>
                <c:pt idx="73">
                  <c:v>-0.00993647355417098</c:v>
                </c:pt>
                <c:pt idx="74">
                  <c:v>0.00150453507254616</c:v>
                </c:pt>
                <c:pt idx="75">
                  <c:v>0.00930425546099193</c:v>
                </c:pt>
                <c:pt idx="76">
                  <c:v>0.000999439688142534</c:v>
                </c:pt>
                <c:pt idx="77">
                  <c:v>-0.00754200627137837</c:v>
                </c:pt>
                <c:pt idx="78">
                  <c:v>-0.0114759774818535</c:v>
                </c:pt>
                <c:pt idx="79">
                  <c:v>-0.0113615629975955</c:v>
                </c:pt>
                <c:pt idx="80">
                  <c:v>-0.00625432616071124</c:v>
                </c:pt>
              </c:numCache>
            </c:numRef>
          </c:val>
          <c:smooth val="0"/>
        </c:ser>
        <c:ser>
          <c:idx val="1"/>
          <c:order val="1"/>
          <c:tx>
            <c:strRef>
              <c:f>'% of GDP'!D6</c:f>
              <c:strCache>
                <c:ptCount val="1"/>
                <c:pt idx="0">
                  <c:v>Goods balance</c:v>
                </c:pt>
              </c:strCache>
            </c:strRef>
          </c:tx>
          <c:spPr>
            <a:solidFill>
              <a:srgbClr val="2f5c8f"/>
            </a:solidFill>
            <a:ln w="2196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of GDP'!$B$7:$B$87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 of GDP'!$D$7:$D$87</c:f>
              <c:numCache>
                <c:formatCode>0.0%</c:formatCode>
                <c:ptCount val="81"/>
                <c:pt idx="3">
                  <c:v>0.0602473969552623</c:v>
                </c:pt>
                <c:pt idx="4">
                  <c:v>0.0557809926438774</c:v>
                </c:pt>
                <c:pt idx="5">
                  <c:v>0.0522002893885381</c:v>
                </c:pt>
                <c:pt idx="6">
                  <c:v>0.0461821874047008</c:v>
                </c:pt>
                <c:pt idx="7">
                  <c:v>0.0470907397689133</c:v>
                </c:pt>
                <c:pt idx="8">
                  <c:v>0.0488000611307867</c:v>
                </c:pt>
                <c:pt idx="9">
                  <c:v>0.0421268013895399</c:v>
                </c:pt>
                <c:pt idx="10">
                  <c:v>0.0485682780525283</c:v>
                </c:pt>
                <c:pt idx="11">
                  <c:v>0.0427705331710883</c:v>
                </c:pt>
                <c:pt idx="12">
                  <c:v>0.043554893478102</c:v>
                </c:pt>
                <c:pt idx="13">
                  <c:v>0.0563389548739121</c:v>
                </c:pt>
                <c:pt idx="14">
                  <c:v>0.0530641736094663</c:v>
                </c:pt>
                <c:pt idx="15">
                  <c:v>0.0557758553812614</c:v>
                </c:pt>
                <c:pt idx="16">
                  <c:v>0.0493074661931901</c:v>
                </c:pt>
                <c:pt idx="17">
                  <c:v>0.0437917244418496</c:v>
                </c:pt>
                <c:pt idx="18">
                  <c:v>0.0403725528673672</c:v>
                </c:pt>
                <c:pt idx="19">
                  <c:v>0.033338712678043</c:v>
                </c:pt>
                <c:pt idx="20">
                  <c:v>0.0304901743289892</c:v>
                </c:pt>
                <c:pt idx="21">
                  <c:v>0.0264776005265969</c:v>
                </c:pt>
                <c:pt idx="22">
                  <c:v>0.0236645484787595</c:v>
                </c:pt>
                <c:pt idx="23">
                  <c:v>0.0234312027869263</c:v>
                </c:pt>
                <c:pt idx="24">
                  <c:v>0.0244523747438319</c:v>
                </c:pt>
                <c:pt idx="25">
                  <c:v>0.0233925802038858</c:v>
                </c:pt>
                <c:pt idx="26">
                  <c:v>0.0254386314163542</c:v>
                </c:pt>
                <c:pt idx="27">
                  <c:v>0.0259737342424241</c:v>
                </c:pt>
                <c:pt idx="28">
                  <c:v>0.0221165880617165</c:v>
                </c:pt>
                <c:pt idx="29">
                  <c:v>0.0202810552675165</c:v>
                </c:pt>
                <c:pt idx="30">
                  <c:v>0.0153022700037406</c:v>
                </c:pt>
                <c:pt idx="31">
                  <c:v>0.00758447632363822</c:v>
                </c:pt>
                <c:pt idx="32">
                  <c:v>0.00269703774951046</c:v>
                </c:pt>
                <c:pt idx="33">
                  <c:v>0.0036727228464127</c:v>
                </c:pt>
                <c:pt idx="34">
                  <c:v>0.00461207012617468</c:v>
                </c:pt>
                <c:pt idx="35">
                  <c:v>0.00984543717797738</c:v>
                </c:pt>
                <c:pt idx="36">
                  <c:v>0.0115237560512966</c:v>
                </c:pt>
                <c:pt idx="37">
                  <c:v>0.00640874983278037</c:v>
                </c:pt>
                <c:pt idx="38">
                  <c:v>0.0027410831479001</c:v>
                </c:pt>
                <c:pt idx="39">
                  <c:v>-0.00122290177342022</c:v>
                </c:pt>
                <c:pt idx="40">
                  <c:v>0.000416193080801099</c:v>
                </c:pt>
                <c:pt idx="41">
                  <c:v>0.000787811688206772</c:v>
                </c:pt>
                <c:pt idx="42">
                  <c:v>0.00450055090583127</c:v>
                </c:pt>
                <c:pt idx="43">
                  <c:v>0.00793064372311294</c:v>
                </c:pt>
                <c:pt idx="44">
                  <c:v>0.00620872538246652</c:v>
                </c:pt>
                <c:pt idx="45">
                  <c:v>0.00203970060963695</c:v>
                </c:pt>
                <c:pt idx="46">
                  <c:v>-0.00366241921538499</c:v>
                </c:pt>
                <c:pt idx="47">
                  <c:v>-0.00846627476522817</c:v>
                </c:pt>
                <c:pt idx="48">
                  <c:v>-0.00992673461991503</c:v>
                </c:pt>
                <c:pt idx="49">
                  <c:v>-0.011688529172851</c:v>
                </c:pt>
                <c:pt idx="50">
                  <c:v>-0.0109424508144218</c:v>
                </c:pt>
                <c:pt idx="51">
                  <c:v>-0.00136549018717086</c:v>
                </c:pt>
                <c:pt idx="52">
                  <c:v>0.00696643318523149</c:v>
                </c:pt>
                <c:pt idx="53">
                  <c:v>0.0201716229827065</c:v>
                </c:pt>
                <c:pt idx="54">
                  <c:v>0.0319829084935058</c:v>
                </c:pt>
                <c:pt idx="55">
                  <c:v>0.0405574696935125</c:v>
                </c:pt>
                <c:pt idx="56">
                  <c:v>0.0446680000470967</c:v>
                </c:pt>
                <c:pt idx="57">
                  <c:v>0.0509340443364326</c:v>
                </c:pt>
                <c:pt idx="58">
                  <c:v>0.0520501574307064</c:v>
                </c:pt>
                <c:pt idx="59">
                  <c:v>0.0379851958236482</c:v>
                </c:pt>
                <c:pt idx="60">
                  <c:v>0.035995829766771</c:v>
                </c:pt>
                <c:pt idx="61">
                  <c:v>0.0326501042825989</c:v>
                </c:pt>
                <c:pt idx="62">
                  <c:v>0.0363688021186387</c:v>
                </c:pt>
                <c:pt idx="63">
                  <c:v>0.0386124924757586</c:v>
                </c:pt>
                <c:pt idx="64">
                  <c:v>0.0349334169436436</c:v>
                </c:pt>
                <c:pt idx="65">
                  <c:v>0.0287815435766154</c:v>
                </c:pt>
                <c:pt idx="66">
                  <c:v>0.0174127080548737</c:v>
                </c:pt>
                <c:pt idx="67">
                  <c:v>0.0196688597536818</c:v>
                </c:pt>
                <c:pt idx="68">
                  <c:v>0.0143798585410329</c:v>
                </c:pt>
                <c:pt idx="69">
                  <c:v>0.00613270171641557</c:v>
                </c:pt>
                <c:pt idx="70">
                  <c:v>0.00273810849036614</c:v>
                </c:pt>
                <c:pt idx="71">
                  <c:v>-0.0041893053609049</c:v>
                </c:pt>
                <c:pt idx="72">
                  <c:v>0.0041734437121216</c:v>
                </c:pt>
                <c:pt idx="73">
                  <c:v>0.0192758457038774</c:v>
                </c:pt>
                <c:pt idx="74">
                  <c:v>0.0298997642364972</c:v>
                </c:pt>
                <c:pt idx="75">
                  <c:v>0.0353822414432965</c:v>
                </c:pt>
                <c:pt idx="76">
                  <c:v>0.0286702761205731</c:v>
                </c:pt>
                <c:pt idx="77">
                  <c:v>0.021363356968133</c:v>
                </c:pt>
                <c:pt idx="78">
                  <c:v>0.0200640655457909</c:v>
                </c:pt>
                <c:pt idx="79">
                  <c:v>0.0224062448665122</c:v>
                </c:pt>
                <c:pt idx="80">
                  <c:v>0.0286904257420743</c:v>
                </c:pt>
              </c:numCache>
            </c:numRef>
          </c:val>
          <c:smooth val="0"/>
        </c:ser>
        <c:ser>
          <c:idx val="2"/>
          <c:order val="2"/>
          <c:tx>
            <c:strRef>
              <c:f>'% of GDP'!F6</c:f>
              <c:strCache>
                <c:ptCount val="1"/>
                <c:pt idx="0">
                  <c:v>Primary income</c:v>
                </c:pt>
              </c:strCache>
            </c:strRef>
          </c:tx>
          <c:spPr>
            <a:solidFill>
              <a:srgbClr val="d1495b"/>
            </a:solidFill>
            <a:ln w="2196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of GDP'!$B$7:$B$87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 of GDP'!$F$7:$F$87</c:f>
              <c:numCache>
                <c:formatCode>0.0%</c:formatCode>
                <c:ptCount val="81"/>
                <c:pt idx="3">
                  <c:v>-0.0331632512096239</c:v>
                </c:pt>
                <c:pt idx="4">
                  <c:v>-0.030890490044021</c:v>
                </c:pt>
                <c:pt idx="5">
                  <c:v>-0.0281267309293948</c:v>
                </c:pt>
                <c:pt idx="6">
                  <c:v>-0.0266013587929808</c:v>
                </c:pt>
                <c:pt idx="7">
                  <c:v>-0.0263899293104622</c:v>
                </c:pt>
                <c:pt idx="8">
                  <c:v>-0.0256944380413228</c:v>
                </c:pt>
                <c:pt idx="9">
                  <c:v>-0.0248906269169096</c:v>
                </c:pt>
                <c:pt idx="10">
                  <c:v>-0.0247675277408365</c:v>
                </c:pt>
                <c:pt idx="11">
                  <c:v>-0.0248275011199399</c:v>
                </c:pt>
                <c:pt idx="12">
                  <c:v>-0.025387838258809</c:v>
                </c:pt>
                <c:pt idx="13">
                  <c:v>-0.0269098487200743</c:v>
                </c:pt>
                <c:pt idx="14">
                  <c:v>-0.0289713615135838</c:v>
                </c:pt>
                <c:pt idx="15">
                  <c:v>-0.0308687964657827</c:v>
                </c:pt>
                <c:pt idx="16">
                  <c:v>-0.0335159200691078</c:v>
                </c:pt>
                <c:pt idx="17">
                  <c:v>-0.0342071030150931</c:v>
                </c:pt>
                <c:pt idx="18">
                  <c:v>-0.0348076872888438</c:v>
                </c:pt>
                <c:pt idx="19">
                  <c:v>-0.0342823413198703</c:v>
                </c:pt>
                <c:pt idx="20">
                  <c:v>-0.0318549179246368</c:v>
                </c:pt>
                <c:pt idx="21">
                  <c:v>-0.0305117207702143</c:v>
                </c:pt>
                <c:pt idx="22">
                  <c:v>-0.0289283580964122</c:v>
                </c:pt>
                <c:pt idx="23">
                  <c:v>-0.0285954224305652</c:v>
                </c:pt>
                <c:pt idx="24">
                  <c:v>-0.0281550828004997</c:v>
                </c:pt>
                <c:pt idx="25">
                  <c:v>-0.0266628481566551</c:v>
                </c:pt>
                <c:pt idx="26">
                  <c:v>-0.0255431413163856</c:v>
                </c:pt>
                <c:pt idx="27">
                  <c:v>-0.0237511251032198</c:v>
                </c:pt>
                <c:pt idx="28">
                  <c:v>-0.0226861505830507</c:v>
                </c:pt>
                <c:pt idx="29">
                  <c:v>-0.0222218936646622</c:v>
                </c:pt>
                <c:pt idx="30">
                  <c:v>-0.0218515047172624</c:v>
                </c:pt>
                <c:pt idx="31">
                  <c:v>-0.0215411554876299</c:v>
                </c:pt>
                <c:pt idx="32">
                  <c:v>-0.0211578654408619</c:v>
                </c:pt>
                <c:pt idx="33">
                  <c:v>-0.0212196625841348</c:v>
                </c:pt>
                <c:pt idx="34">
                  <c:v>-0.0212158389905312</c:v>
                </c:pt>
                <c:pt idx="35">
                  <c:v>-0.0206341295056153</c:v>
                </c:pt>
                <c:pt idx="36">
                  <c:v>-0.0207559123775956</c:v>
                </c:pt>
                <c:pt idx="37">
                  <c:v>-0.0202277144301553</c:v>
                </c:pt>
                <c:pt idx="38">
                  <c:v>-0.0191891536104022</c:v>
                </c:pt>
                <c:pt idx="39">
                  <c:v>-0.0188527510600782</c:v>
                </c:pt>
                <c:pt idx="40">
                  <c:v>-0.0190916501022077</c:v>
                </c:pt>
                <c:pt idx="41">
                  <c:v>-0.0195054855906317</c:v>
                </c:pt>
                <c:pt idx="42">
                  <c:v>-0.0203335829847001</c:v>
                </c:pt>
                <c:pt idx="43">
                  <c:v>-0.0218950732188581</c:v>
                </c:pt>
                <c:pt idx="44">
                  <c:v>-0.0224274732794727</c:v>
                </c:pt>
                <c:pt idx="45">
                  <c:v>-0.0234157943484631</c:v>
                </c:pt>
                <c:pt idx="46">
                  <c:v>-0.0243040573970425</c:v>
                </c:pt>
                <c:pt idx="47">
                  <c:v>-0.025459588010186</c:v>
                </c:pt>
                <c:pt idx="48">
                  <c:v>-0.0261358818473521</c:v>
                </c:pt>
                <c:pt idx="49">
                  <c:v>-0.0276931965193502</c:v>
                </c:pt>
                <c:pt idx="50">
                  <c:v>-0.0313892411581208</c:v>
                </c:pt>
                <c:pt idx="51">
                  <c:v>-0.0342650135949366</c:v>
                </c:pt>
                <c:pt idx="52">
                  <c:v>-0.0375589981086202</c:v>
                </c:pt>
                <c:pt idx="53">
                  <c:v>-0.0406052616964929</c:v>
                </c:pt>
                <c:pt idx="54">
                  <c:v>-0.0399019181203606</c:v>
                </c:pt>
                <c:pt idx="55">
                  <c:v>-0.0394418467772148</c:v>
                </c:pt>
                <c:pt idx="56">
                  <c:v>-0.0370419397032943</c:v>
                </c:pt>
                <c:pt idx="57">
                  <c:v>-0.0343931631729864</c:v>
                </c:pt>
                <c:pt idx="58">
                  <c:v>-0.0316768077649007</c:v>
                </c:pt>
                <c:pt idx="59">
                  <c:v>-0.0272752826427734</c:v>
                </c:pt>
                <c:pt idx="60">
                  <c:v>-0.0256072936813648</c:v>
                </c:pt>
                <c:pt idx="61">
                  <c:v>-0.0231384440592804</c:v>
                </c:pt>
                <c:pt idx="62">
                  <c:v>-0.0217261322544259</c:v>
                </c:pt>
                <c:pt idx="63">
                  <c:v>-0.020183812423434</c:v>
                </c:pt>
                <c:pt idx="64">
                  <c:v>-0.0188540663423751</c:v>
                </c:pt>
                <c:pt idx="65">
                  <c:v>-0.0183854674791825</c:v>
                </c:pt>
                <c:pt idx="66">
                  <c:v>-0.0177710870028795</c:v>
                </c:pt>
                <c:pt idx="67">
                  <c:v>-0.0183382276939293</c:v>
                </c:pt>
                <c:pt idx="68">
                  <c:v>-0.0196177784514159</c:v>
                </c:pt>
                <c:pt idx="69">
                  <c:v>-0.0207181098515564</c:v>
                </c:pt>
                <c:pt idx="70">
                  <c:v>-0.0220817093534116</c:v>
                </c:pt>
                <c:pt idx="71">
                  <c:v>-0.0232465337648465</c:v>
                </c:pt>
                <c:pt idx="72">
                  <c:v>-0.0250080579373194</c:v>
                </c:pt>
                <c:pt idx="73">
                  <c:v>-0.0248328148156679</c:v>
                </c:pt>
                <c:pt idx="74">
                  <c:v>-0.0239871367230663</c:v>
                </c:pt>
                <c:pt idx="75">
                  <c:v>-0.0218257556349913</c:v>
                </c:pt>
                <c:pt idx="76">
                  <c:v>-0.0187706689607593</c:v>
                </c:pt>
                <c:pt idx="77">
                  <c:v>-0.0184796384461799</c:v>
                </c:pt>
                <c:pt idx="78">
                  <c:v>-0.0196523013528307</c:v>
                </c:pt>
                <c:pt idx="79">
                  <c:v>-0.0205384262309991</c:v>
                </c:pt>
                <c:pt idx="80">
                  <c:v>-0.0229904476311876</c:v>
                </c:pt>
              </c:numCache>
            </c:numRef>
          </c:val>
          <c:smooth val="0"/>
        </c:ser>
        <c:ser>
          <c:idx val="3"/>
          <c:order val="3"/>
          <c:tx>
            <c:strRef>
              <c:f>'% of GDP'!N6</c:f>
              <c:strCache>
                <c:ptCount val="1"/>
                <c:pt idx="0">
                  <c:v>Change in reserves</c:v>
                </c:pt>
              </c:strCache>
            </c:strRef>
          </c:tx>
          <c:spPr>
            <a:solidFill>
              <a:srgbClr val="4f9d69"/>
            </a:solidFill>
            <a:ln w="24120">
              <a:solidFill>
                <a:srgbClr val="4f9d6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of GDP'!$B$7:$B$87</c:f>
              <c:strCache>
                <c:ptCount val="81"/>
                <c:pt idx="0">
                  <c:v>2006-Q1</c:v>
                </c:pt>
                <c:pt idx="1">
                  <c:v>2006-Q2</c:v>
                </c:pt>
                <c:pt idx="2">
                  <c:v>2006-Q3</c:v>
                </c:pt>
                <c:pt idx="3">
                  <c:v>2006-Q4</c:v>
                </c:pt>
                <c:pt idx="4">
                  <c:v>2007-Q1</c:v>
                </c:pt>
                <c:pt idx="5">
                  <c:v>2007-Q2</c:v>
                </c:pt>
                <c:pt idx="6">
                  <c:v>2007-Q3</c:v>
                </c:pt>
                <c:pt idx="7">
                  <c:v>2007-Q4</c:v>
                </c:pt>
                <c:pt idx="8">
                  <c:v>2008-Q1</c:v>
                </c:pt>
                <c:pt idx="9">
                  <c:v>2008-Q2</c:v>
                </c:pt>
                <c:pt idx="10">
                  <c:v>2008-Q3</c:v>
                </c:pt>
                <c:pt idx="11">
                  <c:v>2008-Q4</c:v>
                </c:pt>
                <c:pt idx="12">
                  <c:v>2009-Q1</c:v>
                </c:pt>
                <c:pt idx="13">
                  <c:v>2009-Q2</c:v>
                </c:pt>
                <c:pt idx="14">
                  <c:v>2009-Q3</c:v>
                </c:pt>
                <c:pt idx="15">
                  <c:v>2009-Q4</c:v>
                </c:pt>
                <c:pt idx="16">
                  <c:v>2010-Q1</c:v>
                </c:pt>
                <c:pt idx="17">
                  <c:v>2010-Q2</c:v>
                </c:pt>
                <c:pt idx="18">
                  <c:v>2010-Q3</c:v>
                </c:pt>
                <c:pt idx="19">
                  <c:v>2010-Q4</c:v>
                </c:pt>
                <c:pt idx="20">
                  <c:v>2011-Q1</c:v>
                </c:pt>
                <c:pt idx="21">
                  <c:v>2011-Q2</c:v>
                </c:pt>
                <c:pt idx="22">
                  <c:v>2011-Q3</c:v>
                </c:pt>
                <c:pt idx="23">
                  <c:v>2011-Q4</c:v>
                </c:pt>
                <c:pt idx="24">
                  <c:v>2012-Q1</c:v>
                </c:pt>
                <c:pt idx="25">
                  <c:v>2012-Q2</c:v>
                </c:pt>
                <c:pt idx="26">
                  <c:v>2012-Q3</c:v>
                </c:pt>
                <c:pt idx="27">
                  <c:v>2012-Q4</c:v>
                </c:pt>
                <c:pt idx="28">
                  <c:v>2013-Q1</c:v>
                </c:pt>
                <c:pt idx="29">
                  <c:v>2013-Q2</c:v>
                </c:pt>
                <c:pt idx="30">
                  <c:v>2013-Q3</c:v>
                </c:pt>
                <c:pt idx="31">
                  <c:v>2013-Q4</c:v>
                </c:pt>
                <c:pt idx="32">
                  <c:v>2014-Q1</c:v>
                </c:pt>
                <c:pt idx="33">
                  <c:v>2014-Q2</c:v>
                </c:pt>
                <c:pt idx="34">
                  <c:v>2014-Q3</c:v>
                </c:pt>
                <c:pt idx="35">
                  <c:v>2014-Q4</c:v>
                </c:pt>
                <c:pt idx="36">
                  <c:v>2015-Q1</c:v>
                </c:pt>
                <c:pt idx="37">
                  <c:v>2015-Q2</c:v>
                </c:pt>
                <c:pt idx="38">
                  <c:v>2015-Q3</c:v>
                </c:pt>
                <c:pt idx="39">
                  <c:v>2015-Q4</c:v>
                </c:pt>
                <c:pt idx="40">
                  <c:v>2016-Q1</c:v>
                </c:pt>
                <c:pt idx="41">
                  <c:v>2016-Q2</c:v>
                </c:pt>
                <c:pt idx="42">
                  <c:v>2016-Q3</c:v>
                </c:pt>
                <c:pt idx="43">
                  <c:v>2016-Q4</c:v>
                </c:pt>
                <c:pt idx="44">
                  <c:v>2017-Q1</c:v>
                </c:pt>
                <c:pt idx="45">
                  <c:v>2017-Q2</c:v>
                </c:pt>
                <c:pt idx="46">
                  <c:v>2017-Q3</c:v>
                </c:pt>
                <c:pt idx="47">
                  <c:v>2017-Q4</c:v>
                </c:pt>
                <c:pt idx="48">
                  <c:v>2018-Q1</c:v>
                </c:pt>
                <c:pt idx="49">
                  <c:v>2018-Q2</c:v>
                </c:pt>
                <c:pt idx="50">
                  <c:v>2018-Q3</c:v>
                </c:pt>
                <c:pt idx="51">
                  <c:v>2018-Q4</c:v>
                </c:pt>
                <c:pt idx="52">
                  <c:v>2019-Q1</c:v>
                </c:pt>
                <c:pt idx="53">
                  <c:v>2019-Q2</c:v>
                </c:pt>
                <c:pt idx="54">
                  <c:v>2019-Q3</c:v>
                </c:pt>
                <c:pt idx="55">
                  <c:v>2019-Q4</c:v>
                </c:pt>
                <c:pt idx="56">
                  <c:v>2020-Q1</c:v>
                </c:pt>
                <c:pt idx="57">
                  <c:v>2020-Q2</c:v>
                </c:pt>
                <c:pt idx="58">
                  <c:v>2020-Q3</c:v>
                </c:pt>
                <c:pt idx="59">
                  <c:v>2020-Q4</c:v>
                </c:pt>
                <c:pt idx="60">
                  <c:v>2021-Q1</c:v>
                </c:pt>
                <c:pt idx="61">
                  <c:v>2021-Q2</c:v>
                </c:pt>
                <c:pt idx="62">
                  <c:v>2021-Q3</c:v>
                </c:pt>
                <c:pt idx="63">
                  <c:v>2021-Q4</c:v>
                </c:pt>
                <c:pt idx="64">
                  <c:v>2022-Q1</c:v>
                </c:pt>
                <c:pt idx="65">
                  <c:v>2022-Q2</c:v>
                </c:pt>
                <c:pt idx="66">
                  <c:v>2022-Q3</c:v>
                </c:pt>
                <c:pt idx="67">
                  <c:v>2022-Q4</c:v>
                </c:pt>
                <c:pt idx="68">
                  <c:v>2023-Q1</c:v>
                </c:pt>
                <c:pt idx="69">
                  <c:v>2023-Q2</c:v>
                </c:pt>
                <c:pt idx="70">
                  <c:v>2023-Q3</c:v>
                </c:pt>
                <c:pt idx="71">
                  <c:v>2023-Q4</c:v>
                </c:pt>
                <c:pt idx="72">
                  <c:v>2024-Q1</c:v>
                </c:pt>
                <c:pt idx="73">
                  <c:v>2024-Q2</c:v>
                </c:pt>
                <c:pt idx="74">
                  <c:v>2024-Q3</c:v>
                </c:pt>
                <c:pt idx="75">
                  <c:v>2024-Q4</c:v>
                </c:pt>
                <c:pt idx="76">
                  <c:v>2025-Q1</c:v>
                </c:pt>
                <c:pt idx="77">
                  <c:v>2025-Q2</c:v>
                </c:pt>
                <c:pt idx="78">
                  <c:v>2025-Q3</c:v>
                </c:pt>
                <c:pt idx="79">
                  <c:v>2025-Q4</c:v>
                </c:pt>
                <c:pt idx="80">
                  <c:v>2026-Q1</c:v>
                </c:pt>
              </c:strCache>
            </c:strRef>
          </c:cat>
          <c:val>
            <c:numRef>
              <c:f>'% of GDP'!$N$7:$N$87</c:f>
              <c:numCache>
                <c:formatCode>0.0%</c:formatCode>
                <c:ptCount val="81"/>
                <c:pt idx="3">
                  <c:v>0.01515817052479</c:v>
                </c:pt>
                <c:pt idx="4">
                  <c:v>0.0610333274197146</c:v>
                </c:pt>
                <c:pt idx="5">
                  <c:v>0.0674284006589495</c:v>
                </c:pt>
                <c:pt idx="6">
                  <c:v>0.0515363786399533</c:v>
                </c:pt>
                <c:pt idx="7">
                  <c:v>0.0454841926024201</c:v>
                </c:pt>
                <c:pt idx="8">
                  <c:v>0.0389549722226013</c:v>
                </c:pt>
                <c:pt idx="9">
                  <c:v>0.00907314109615356</c:v>
                </c:pt>
                <c:pt idx="10">
                  <c:v>0.0106826576914442</c:v>
                </c:pt>
                <c:pt idx="11">
                  <c:v>4.77632124217763E-005</c:v>
                </c:pt>
                <c:pt idx="12">
                  <c:v>-0.00901443326086857</c:v>
                </c:pt>
                <c:pt idx="13">
                  <c:v>-0.00382384090677396</c:v>
                </c:pt>
                <c:pt idx="14">
                  <c:v>0.00160120201456009</c:v>
                </c:pt>
                <c:pt idx="15">
                  <c:v>0.00402717180737887</c:v>
                </c:pt>
                <c:pt idx="16">
                  <c:v>0.00222736393104381</c:v>
                </c:pt>
                <c:pt idx="17">
                  <c:v>0.00961173966621659</c:v>
                </c:pt>
                <c:pt idx="18">
                  <c:v>0.00765228250974522</c:v>
                </c:pt>
                <c:pt idx="19">
                  <c:v>0.00979710372117189</c:v>
                </c:pt>
                <c:pt idx="20">
                  <c:v>0.00734275743451599</c:v>
                </c:pt>
                <c:pt idx="21">
                  <c:v>0.00297285338670709</c:v>
                </c:pt>
                <c:pt idx="22">
                  <c:v>-0.00596007847487036</c:v>
                </c:pt>
                <c:pt idx="23">
                  <c:v>-0.0115874403968916</c:v>
                </c:pt>
                <c:pt idx="24">
                  <c:v>-0.00785730800424693</c:v>
                </c:pt>
                <c:pt idx="25">
                  <c:v>-0.0093505089903617</c:v>
                </c:pt>
                <c:pt idx="26">
                  <c:v>-0.00664672759981234</c:v>
                </c:pt>
                <c:pt idx="27">
                  <c:v>-0.00570682911627794</c:v>
                </c:pt>
                <c:pt idx="28">
                  <c:v>-0.0111523768865171</c:v>
                </c:pt>
                <c:pt idx="29">
                  <c:v>-0.014265517629465</c:v>
                </c:pt>
                <c:pt idx="30">
                  <c:v>-0.015510496736549</c:v>
                </c:pt>
                <c:pt idx="31">
                  <c:v>-0.0193468126460776</c:v>
                </c:pt>
                <c:pt idx="32">
                  <c:v>-0.0217770683190034</c:v>
                </c:pt>
                <c:pt idx="33">
                  <c:v>-0.0139277712914667</c:v>
                </c:pt>
                <c:pt idx="34">
                  <c:v>-0.0114145950607798</c:v>
                </c:pt>
                <c:pt idx="35">
                  <c:v>0.00212333204421354</c:v>
                </c:pt>
                <c:pt idx="36">
                  <c:v>0.00906961737640172</c:v>
                </c:pt>
                <c:pt idx="37">
                  <c:v>0.00895660581049178</c:v>
                </c:pt>
                <c:pt idx="38">
                  <c:v>0.00977453957459514</c:v>
                </c:pt>
                <c:pt idx="39">
                  <c:v>-0.00764098293037949</c:v>
                </c:pt>
                <c:pt idx="40">
                  <c:v>-0.00275613783246821</c:v>
                </c:pt>
                <c:pt idx="41">
                  <c:v>-0.00488910223144634</c:v>
                </c:pt>
                <c:pt idx="42">
                  <c:v>-0.00570441642311031</c:v>
                </c:pt>
                <c:pt idx="43">
                  <c:v>0.0257004702173527</c:v>
                </c:pt>
                <c:pt idx="44">
                  <c:v>0.0372284806115043</c:v>
                </c:pt>
                <c:pt idx="45">
                  <c:v>0.0295586375622194</c:v>
                </c:pt>
                <c:pt idx="46">
                  <c:v>0.0326385053286368</c:v>
                </c:pt>
                <c:pt idx="47">
                  <c:v>0.0226236781060926</c:v>
                </c:pt>
                <c:pt idx="48">
                  <c:v>0.01493976099289</c:v>
                </c:pt>
                <c:pt idx="49">
                  <c:v>0.0208182094725851</c:v>
                </c:pt>
                <c:pt idx="50">
                  <c:v>-0.00143179996800553</c:v>
                </c:pt>
                <c:pt idx="51">
                  <c:v>0.0207183974446009</c:v>
                </c:pt>
                <c:pt idx="52">
                  <c:v>0.0101909604375046</c:v>
                </c:pt>
                <c:pt idx="53">
                  <c:v>0.00550842013540123</c:v>
                </c:pt>
                <c:pt idx="54">
                  <c:v>6.14699591489167E-005</c:v>
                </c:pt>
                <c:pt idx="55">
                  <c:v>-0.0475436605464101</c:v>
                </c:pt>
                <c:pt idx="56">
                  <c:v>-0.0510658747906026</c:v>
                </c:pt>
                <c:pt idx="57">
                  <c:v>-0.0526791953153654</c:v>
                </c:pt>
                <c:pt idx="58">
                  <c:v>-0.0247146265852541</c:v>
                </c:pt>
                <c:pt idx="59">
                  <c:v>-0.0200617970902632</c:v>
                </c:pt>
                <c:pt idx="60">
                  <c:v>-0.0153793424829119</c:v>
                </c:pt>
                <c:pt idx="61">
                  <c:v>-0.00654977159830562</c:v>
                </c:pt>
                <c:pt idx="62">
                  <c:v>0.00161130211902076</c:v>
                </c:pt>
                <c:pt idx="63">
                  <c:v>-0.000218539458377033</c:v>
                </c:pt>
                <c:pt idx="64">
                  <c:v>0.00461178192119532</c:v>
                </c:pt>
                <c:pt idx="65">
                  <c:v>0.0022766002647521</c:v>
                </c:pt>
                <c:pt idx="66">
                  <c:v>-0.00444181190160937</c:v>
                </c:pt>
                <c:pt idx="67">
                  <c:v>0.0109614927927355</c:v>
                </c:pt>
                <c:pt idx="68">
                  <c:v>-0.00350919540786848</c:v>
                </c:pt>
                <c:pt idx="69">
                  <c:v>-0.0208064789062298</c:v>
                </c:pt>
                <c:pt idx="70">
                  <c:v>-0.0166566323830322</c:v>
                </c:pt>
                <c:pt idx="71">
                  <c:v>-0.0329296015723232</c:v>
                </c:pt>
                <c:pt idx="72">
                  <c:v>-0.0184399945686454</c:v>
                </c:pt>
                <c:pt idx="73">
                  <c:v>0.000259303615811241</c:v>
                </c:pt>
                <c:pt idx="74">
                  <c:v>-0.00312035871804337</c:v>
                </c:pt>
                <c:pt idx="75">
                  <c:v>0.00962304925792325</c:v>
                </c:pt>
                <c:pt idx="76">
                  <c:v>-0.00534014259753495</c:v>
                </c:pt>
                <c:pt idx="77">
                  <c:v>0.0128085053337456</c:v>
                </c:pt>
                <c:pt idx="78">
                  <c:v>0.0164597832621313</c:v>
                </c:pt>
                <c:pt idx="79">
                  <c:v>0.0105343303248644</c:v>
                </c:pt>
                <c:pt idx="80">
                  <c:v>0.0187861533061722</c:v>
                </c:pt>
              </c:numCache>
            </c:numRef>
          </c:val>
          <c:smooth val="0"/>
        </c:ser>
        <c:hiLowLines>
          <c:spPr>
            <a:ln w="0">
              <a:noFill/>
            </a:ln>
          </c:spPr>
        </c:hiLowLines>
        <c:marker val="0"/>
        <c:axId val="53007896"/>
        <c:axId val="43463893"/>
      </c:lineChart>
      <c:catAx>
        <c:axId val="530078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463893"/>
        <c:crosses val="autoZero"/>
        <c:auto val="1"/>
        <c:lblAlgn val="ctr"/>
        <c:lblOffset val="100"/>
        <c:noMultiLvlLbl val="0"/>
      </c:catAx>
      <c:valAx>
        <c:axId val="4346389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0078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Reserve assets by year (USD mn, BPM6 transactions)</a:t>
            </a:r>
          </a:p>
        </c:rich>
      </c:tx>
      <c:overlay val="0"/>
      <c:spPr>
        <a:noFill/>
        <a:ln w="0">
          <a:noFill/>
        </a:ln>
      </c:spPr>
    </c:title>
    <c:autoTitleDeleted val="0"/>
    <c:plotArea>
      <c:barChart>
        <c:barDir val="col"/>
        <c:grouping val="clustered"/>
        <c:varyColors val="0"/>
        <c:ser>
          <c:idx val="0"/>
          <c:order val="0"/>
          <c:tx>
            <c:strRef>
              <c:f>Reserves!C91</c:f>
              <c:strCache>
                <c:ptCount val="1"/>
                <c:pt idx="0">
                  <c:v>Reserve assets
(USD mn)</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Reserves!$B$92:$B$111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Reserves!$C$92:$C$111</c:f>
              <c:numCache>
                <c:formatCode>#,##0;\(#,##0\);\-</c:formatCode>
                <c:ptCount val="20"/>
                <c:pt idx="0">
                  <c:v>3529.83</c:v>
                </c:pt>
                <c:pt idx="1">
                  <c:v>13089.72</c:v>
                </c:pt>
                <c:pt idx="2">
                  <c:v>17.3800000000087</c:v>
                </c:pt>
                <c:pt idx="3">
                  <c:v>1346.21</c:v>
                </c:pt>
                <c:pt idx="4">
                  <c:v>4157.35</c:v>
                </c:pt>
                <c:pt idx="5">
                  <c:v>-6107.91</c:v>
                </c:pt>
                <c:pt idx="6">
                  <c:v>-3304.72</c:v>
                </c:pt>
                <c:pt idx="7">
                  <c:v>-11823.76</c:v>
                </c:pt>
                <c:pt idx="8">
                  <c:v>1195.11</c:v>
                </c:pt>
                <c:pt idx="9">
                  <c:v>-4905.97</c:v>
                </c:pt>
                <c:pt idx="10">
                  <c:v>14311.2354955464</c:v>
                </c:pt>
                <c:pt idx="11">
                  <c:v>14555.705524074</c:v>
                </c:pt>
                <c:pt idx="12">
                  <c:v>11276.8927768528</c:v>
                </c:pt>
                <c:pt idx="13">
                  <c:v>-21374.5572677384</c:v>
                </c:pt>
                <c:pt idx="14">
                  <c:v>-7727.1708557292</c:v>
                </c:pt>
                <c:pt idx="15">
                  <c:v>-105.812825529981</c:v>
                </c:pt>
                <c:pt idx="16">
                  <c:v>6919.76929264</c:v>
                </c:pt>
                <c:pt idx="17">
                  <c:v>-21674.9716845256</c:v>
                </c:pt>
                <c:pt idx="18">
                  <c:v>6093.26330840165</c:v>
                </c:pt>
                <c:pt idx="19">
                  <c:v>7221.07400776715</c:v>
                </c:pt>
              </c:numCache>
            </c:numRef>
          </c:val>
        </c:ser>
        <c:gapWidth val="150"/>
        <c:overlap val="0"/>
        <c:axId val="73024612"/>
        <c:axId val="7138605"/>
      </c:barChart>
      <c:catAx>
        <c:axId val="73024612"/>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38605"/>
        <c:crosses val="autoZero"/>
        <c:auto val="1"/>
        <c:lblAlgn val="ctr"/>
        <c:lblOffset val="100"/>
        <c:noMultiLvlLbl val="0"/>
      </c:catAx>
      <c:valAx>
        <c:axId val="713860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0246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113</xdr:row>
      <xdr:rowOff>0</xdr:rowOff>
    </xdr:from>
    <xdr:to>
      <xdr:col>14</xdr:col>
      <xdr:colOff>539280</xdr:colOff>
      <xdr:row>139</xdr:row>
      <xdr:rowOff>86760</xdr:rowOff>
    </xdr:to>
    <xdr:graphicFrame>
      <xdr:nvGraphicFramePr>
        <xdr:cNvPr id="0" name="Chart 1"/>
        <xdr:cNvGraphicFramePr/>
      </xdr:nvGraphicFramePr>
      <xdr:xfrm>
        <a:off x="141120" y="22288680"/>
        <a:ext cx="1223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113</xdr:row>
      <xdr:rowOff>0</xdr:rowOff>
    </xdr:from>
    <xdr:to>
      <xdr:col>14</xdr:col>
      <xdr:colOff>539280</xdr:colOff>
      <xdr:row>139</xdr:row>
      <xdr:rowOff>86760</xdr:rowOff>
    </xdr:to>
    <xdr:graphicFrame>
      <xdr:nvGraphicFramePr>
        <xdr:cNvPr id="1" name="Chart 1"/>
        <xdr:cNvGraphicFramePr/>
      </xdr:nvGraphicFramePr>
      <xdr:xfrm>
        <a:off x="141120" y="22288680"/>
        <a:ext cx="1223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92</xdr:row>
      <xdr:rowOff>0</xdr:rowOff>
    </xdr:from>
    <xdr:to>
      <xdr:col>14</xdr:col>
      <xdr:colOff>413280</xdr:colOff>
      <xdr:row>120</xdr:row>
      <xdr:rowOff>65520</xdr:rowOff>
    </xdr:to>
    <xdr:graphicFrame>
      <xdr:nvGraphicFramePr>
        <xdr:cNvPr id="2" name="Chart 1"/>
        <xdr:cNvGraphicFramePr/>
      </xdr:nvGraphicFramePr>
      <xdr:xfrm>
        <a:off x="141120" y="18021240"/>
        <a:ext cx="1295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124</xdr:row>
      <xdr:rowOff>0</xdr:rowOff>
    </xdr:from>
    <xdr:to>
      <xdr:col>14</xdr:col>
      <xdr:colOff>413280</xdr:colOff>
      <xdr:row>148</xdr:row>
      <xdr:rowOff>107640</xdr:rowOff>
    </xdr:to>
    <xdr:graphicFrame>
      <xdr:nvGraphicFramePr>
        <xdr:cNvPr id="3" name="Chart 2"/>
        <xdr:cNvGraphicFramePr/>
      </xdr:nvGraphicFramePr>
      <xdr:xfrm>
        <a:off x="141120" y="24117480"/>
        <a:ext cx="1295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91</xdr:row>
      <xdr:rowOff>0</xdr:rowOff>
    </xdr:from>
    <xdr:to>
      <xdr:col>13</xdr:col>
      <xdr:colOff>680400</xdr:colOff>
      <xdr:row>117</xdr:row>
      <xdr:rowOff>86760</xdr:rowOff>
    </xdr:to>
    <xdr:graphicFrame>
      <xdr:nvGraphicFramePr>
        <xdr:cNvPr id="4" name="Chart 1"/>
        <xdr:cNvGraphicFramePr/>
      </xdr:nvGraphicFramePr>
      <xdr:xfrm>
        <a:off x="141120" y="17830800"/>
        <a:ext cx="1223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89</xdr:row>
      <xdr:rowOff>0</xdr:rowOff>
    </xdr:from>
    <xdr:to>
      <xdr:col>25</xdr:col>
      <xdr:colOff>403920</xdr:colOff>
      <xdr:row>110</xdr:row>
      <xdr:rowOff>81000</xdr:rowOff>
    </xdr:to>
    <xdr:graphicFrame>
      <xdr:nvGraphicFramePr>
        <xdr:cNvPr id="5" name="Chart 1"/>
        <xdr:cNvGraphicFramePr/>
      </xdr:nvGraphicFramePr>
      <xdr:xfrm>
        <a:off x="7095960" y="1732608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6"/>
  </cols>
  <sheetData>
    <row r="2" customFormat="false" ht="25.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7.75" hidden="false" customHeight="true" outlineLevel="0" collapsed="false">
      <c r="B6" s="4" t="s">
        <v>3</v>
      </c>
      <c r="C6" s="5" t="s">
        <v>4</v>
      </c>
    </row>
    <row r="7" customFormat="false" ht="42" hidden="false" customHeight="true" outlineLevel="0" collapsed="false">
      <c r="B7" s="4" t="s">
        <v>5</v>
      </c>
      <c r="C7" s="5" t="s">
        <v>6</v>
      </c>
    </row>
    <row r="8" customFormat="false" ht="42" hidden="false" customHeight="true" outlineLevel="0" collapsed="false">
      <c r="B8" s="4" t="s">
        <v>7</v>
      </c>
      <c r="C8" s="5" t="s">
        <v>8</v>
      </c>
    </row>
    <row r="9" customFormat="false" ht="42" hidden="false" customHeight="true" outlineLevel="0" collapsed="false">
      <c r="B9" s="4" t="s">
        <v>9</v>
      </c>
      <c r="C9" s="5" t="s">
        <v>10</v>
      </c>
    </row>
    <row r="10" customFormat="false" ht="27.75" hidden="false" customHeight="true" outlineLevel="0" collapsed="false">
      <c r="B10" s="4" t="s">
        <v>11</v>
      </c>
      <c r="C10" s="5" t="s">
        <v>12</v>
      </c>
    </row>
    <row r="11" customFormat="false" ht="13.5" hidden="false" customHeight="true" outlineLevel="0" collapsed="false">
      <c r="B11" s="4" t="s">
        <v>13</v>
      </c>
      <c r="C11" s="5" t="s">
        <v>14</v>
      </c>
    </row>
    <row r="12" customFormat="false" ht="27.75" hidden="false" customHeight="true" outlineLevel="0" collapsed="false">
      <c r="B12" s="4" t="s">
        <v>15</v>
      </c>
      <c r="C12" s="5" t="s">
        <v>16</v>
      </c>
    </row>
    <row r="13" customFormat="false" ht="15" hidden="false" customHeight="false" outlineLevel="0" collapsed="false">
      <c r="B13" s="3"/>
    </row>
    <row r="14" customFormat="false" ht="15" hidden="false" customHeight="false" outlineLevel="0" collapsed="false">
      <c r="B14" s="3" t="s">
        <v>17</v>
      </c>
    </row>
    <row r="15" customFormat="false" ht="55.5" hidden="false" customHeight="true" outlineLevel="0" collapsed="false">
      <c r="B15" s="4" t="s">
        <v>18</v>
      </c>
      <c r="C15" s="5" t="s">
        <v>19</v>
      </c>
    </row>
    <row r="16" customFormat="false" ht="27.75" hidden="false" customHeight="true" outlineLevel="0" collapsed="false">
      <c r="B16" s="4" t="s">
        <v>20</v>
      </c>
      <c r="C16" s="5" t="s">
        <v>21</v>
      </c>
    </row>
    <row r="17" customFormat="false" ht="42" hidden="false" customHeight="true" outlineLevel="0" collapsed="false">
      <c r="B17" s="4" t="s">
        <v>22</v>
      </c>
      <c r="C17" s="5" t="s">
        <v>23</v>
      </c>
    </row>
    <row r="18" customFormat="false" ht="55.5" hidden="false" customHeight="true" outlineLevel="0" collapsed="false">
      <c r="B18" s="4" t="s">
        <v>24</v>
      </c>
      <c r="C18" s="5" t="s">
        <v>25</v>
      </c>
    </row>
    <row r="19" customFormat="false" ht="15" hidden="false" customHeight="false" outlineLevel="0" collapsed="false">
      <c r="B19" s="3"/>
    </row>
    <row r="20" customFormat="false" ht="15" hidden="false" customHeight="false" outlineLevel="0" collapsed="false">
      <c r="B20" s="3" t="s">
        <v>26</v>
      </c>
    </row>
    <row r="21" customFormat="false" ht="55.5" hidden="false" customHeight="true" outlineLevel="0" collapsed="false">
      <c r="B21" s="4" t="s">
        <v>27</v>
      </c>
      <c r="C21" s="5" t="s">
        <v>28</v>
      </c>
    </row>
    <row r="22" customFormat="false" ht="55.5" hidden="false" customHeight="true" outlineLevel="0" collapsed="false">
      <c r="B22" s="4" t="s">
        <v>29</v>
      </c>
      <c r="C22" s="5" t="s">
        <v>30</v>
      </c>
    </row>
    <row r="23" customFormat="false" ht="15" hidden="false" customHeight="false" outlineLevel="0" collapsed="false">
      <c r="B23" s="3"/>
    </row>
    <row r="24" customFormat="false" ht="55.5" hidden="false" customHeight="true" outlineLevel="0" collapsed="false">
      <c r="B24" s="4" t="s">
        <v>31</v>
      </c>
      <c r="C24" s="5" t="s">
        <v>32</v>
      </c>
    </row>
    <row r="25" customFormat="false" ht="69.75" hidden="false" customHeight="true" outlineLevel="0" collapsed="false">
      <c r="B25" s="4" t="s">
        <v>33</v>
      </c>
      <c r="C25" s="5" t="s">
        <v>34</v>
      </c>
    </row>
    <row r="26" customFormat="false" ht="27.75" hidden="false" customHeight="true" outlineLevel="0" collapsed="false">
      <c r="B26" s="4" t="s">
        <v>35</v>
      </c>
      <c r="C26" s="5"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Q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5"/>
    <col collapsed="false" customWidth="true" hidden="false" outlineLevel="0" max="5" min="5" style="0" width="13"/>
    <col collapsed="false" customWidth="true" hidden="false" outlineLevel="0" max="7" min="6" style="0" width="12"/>
    <col collapsed="false" customWidth="true" hidden="false" outlineLevel="0" max="9" min="8" style="0" width="13"/>
    <col collapsed="false" customWidth="true" hidden="false" outlineLevel="0" max="13" min="10" style="0" width="12"/>
    <col collapsed="false" customWidth="true" hidden="false" outlineLevel="0" max="14" min="14" style="0" width="13"/>
    <col collapsed="false" customWidth="true" hidden="false" outlineLevel="0" max="20" min="15" style="0" width="12"/>
    <col collapsed="false" customWidth="true" hidden="false" outlineLevel="0" max="21" min="21" style="0" width="13"/>
    <col collapsed="false" customWidth="true" hidden="false" outlineLevel="0" max="34" min="22" style="0" width="12"/>
    <col collapsed="false" customWidth="true" hidden="false" outlineLevel="0" max="35" min="35" style="0" width="14"/>
    <col collapsed="false" customWidth="true" hidden="false" outlineLevel="0" max="37" min="36" style="0" width="12"/>
    <col collapsed="false" customWidth="true" hidden="false" outlineLevel="0" max="38" min="38" style="0" width="14"/>
    <col collapsed="false" customWidth="true" hidden="false" outlineLevel="0" max="39" min="39" style="0" width="11"/>
    <col collapsed="false" customWidth="true" hidden="false" outlineLevel="0" max="40" min="40" style="0" width="12"/>
    <col collapsed="false" customWidth="true" hidden="false" outlineLevel="0" max="43" min="41" style="0" width="14"/>
  </cols>
  <sheetData>
    <row r="2" customFormat="false" ht="25.5" hidden="false" customHeight="true" outlineLevel="0" collapsed="false">
      <c r="B2" s="1" t="s">
        <v>37</v>
      </c>
    </row>
    <row r="3" customFormat="false" ht="15" hidden="false" customHeight="false" outlineLevel="0" collapsed="false">
      <c r="B3" s="2" t="s">
        <v>38</v>
      </c>
    </row>
    <row r="5" customFormat="false" ht="33.75" hidden="false" customHeight="true" outlineLevel="0" collapsed="false">
      <c r="B5" s="6" t="s">
        <v>39</v>
      </c>
      <c r="C5" s="6" t="s">
        <v>40</v>
      </c>
      <c r="D5" s="6" t="s">
        <v>41</v>
      </c>
      <c r="E5" s="6" t="s">
        <v>42</v>
      </c>
      <c r="F5" s="6" t="s">
        <v>43</v>
      </c>
      <c r="G5" s="6" t="s">
        <v>44</v>
      </c>
      <c r="H5" s="6" t="s">
        <v>45</v>
      </c>
      <c r="I5" s="6" t="s">
        <v>46</v>
      </c>
      <c r="J5" s="6" t="s">
        <v>47</v>
      </c>
      <c r="K5" s="6" t="s">
        <v>48</v>
      </c>
      <c r="L5" s="6" t="s">
        <v>49</v>
      </c>
      <c r="M5" s="6" t="s">
        <v>50</v>
      </c>
      <c r="N5" s="6" t="s">
        <v>51</v>
      </c>
      <c r="O5" s="6" t="s">
        <v>52</v>
      </c>
      <c r="P5" s="6" t="s">
        <v>53</v>
      </c>
      <c r="Q5" s="6" t="s">
        <v>54</v>
      </c>
      <c r="R5" s="6" t="s">
        <v>55</v>
      </c>
      <c r="S5" s="6" t="s">
        <v>56</v>
      </c>
      <c r="T5" s="6" t="s">
        <v>57</v>
      </c>
      <c r="U5" s="6" t="s">
        <v>58</v>
      </c>
      <c r="V5" s="6" t="s">
        <v>59</v>
      </c>
      <c r="W5" s="6" t="s">
        <v>60</v>
      </c>
      <c r="X5" s="6" t="s">
        <v>61</v>
      </c>
      <c r="Y5" s="6" t="s">
        <v>62</v>
      </c>
      <c r="Z5" s="6" t="s">
        <v>63</v>
      </c>
      <c r="AA5" s="6" t="s">
        <v>64</v>
      </c>
      <c r="AB5" s="6" t="s">
        <v>65</v>
      </c>
      <c r="AC5" s="6" t="s">
        <v>66</v>
      </c>
      <c r="AD5" s="6" t="s">
        <v>67</v>
      </c>
      <c r="AE5" s="6" t="s">
        <v>68</v>
      </c>
      <c r="AF5" s="6" t="s">
        <v>69</v>
      </c>
      <c r="AG5" s="6" t="s">
        <v>70</v>
      </c>
      <c r="AH5" s="6" t="s">
        <v>71</v>
      </c>
      <c r="AI5" s="6" t="s">
        <v>72</v>
      </c>
      <c r="AJ5" s="6" t="s">
        <v>73</v>
      </c>
      <c r="AK5" s="6" t="s">
        <v>74</v>
      </c>
      <c r="AL5" s="6" t="s">
        <v>75</v>
      </c>
      <c r="AM5" s="6" t="s">
        <v>76</v>
      </c>
      <c r="AN5" s="6" t="s">
        <v>77</v>
      </c>
      <c r="AO5" s="6" t="s">
        <v>78</v>
      </c>
      <c r="AP5" s="6" t="s">
        <v>79</v>
      </c>
      <c r="AQ5" s="6" t="s">
        <v>80</v>
      </c>
    </row>
    <row r="6" customFormat="false" ht="15" hidden="false" customHeight="false" outlineLevel="0" collapsed="false">
      <c r="B6" s="7" t="s">
        <v>81</v>
      </c>
      <c r="C6" s="8" t="n">
        <v>2006</v>
      </c>
      <c r="D6" s="8" t="n">
        <v>1</v>
      </c>
      <c r="E6" s="9" t="n">
        <v>703.266873532502</v>
      </c>
      <c r="F6" s="9" t="n">
        <v>2691.07594227232</v>
      </c>
      <c r="G6" s="9" t="n">
        <v>2906.3</v>
      </c>
      <c r="H6" s="9" t="n">
        <v>9945.6</v>
      </c>
      <c r="I6" s="9" t="n">
        <v>7039.3</v>
      </c>
      <c r="J6" s="9" t="n">
        <v>-215.224057727681</v>
      </c>
      <c r="K6" s="9" t="n">
        <v>1945.13754028478</v>
      </c>
      <c r="L6" s="9" t="n">
        <v>2160.36159801246</v>
      </c>
      <c r="M6" s="9" t="n">
        <v>-2177.7488594003</v>
      </c>
      <c r="N6" s="9" t="n">
        <v>-13.4847359989448</v>
      </c>
      <c r="O6" s="9" t="n">
        <v>-2164.26412340135</v>
      </c>
      <c r="P6" s="9" t="n">
        <v>-1542.47223264978</v>
      </c>
      <c r="Q6" s="9" t="n">
        <v>-715.42769996881</v>
      </c>
      <c r="R6" s="9" t="n">
        <v>-85.4753018938778</v>
      </c>
      <c r="S6" s="9" t="n">
        <v>189.939790660481</v>
      </c>
      <c r="T6" s="9" t="n">
        <v>10.4</v>
      </c>
      <c r="U6" s="9" t="n">
        <v>781.036609045184</v>
      </c>
      <c r="V6" s="9" t="n">
        <v>-1375.7522158134</v>
      </c>
      <c r="W6" s="9" t="n">
        <v>377.207559492677</v>
      </c>
      <c r="X6" s="9" t="n">
        <v>0</v>
      </c>
      <c r="Y6" s="9" t="n">
        <v>1469.95977530608</v>
      </c>
      <c r="Z6" s="9" t="n">
        <v>283</v>
      </c>
      <c r="AA6" s="9" t="n">
        <v>-2253.09621789303</v>
      </c>
      <c r="AB6" s="9" t="n">
        <v>205.538</v>
      </c>
      <c r="AC6" s="9" t="n">
        <v>541.692</v>
      </c>
      <c r="AD6" s="9" t="n">
        <v>247.065572305654</v>
      </c>
      <c r="AE6" s="9" t="n">
        <v>2753.26064558738</v>
      </c>
      <c r="AF6" s="9" t="n">
        <v>-15.9568186753769</v>
      </c>
      <c r="AG6" s="9" t="n">
        <v>11059.781861427</v>
      </c>
      <c r="AH6" s="9" t="n">
        <v>587.049222617343</v>
      </c>
      <c r="AI6" s="9" t="n">
        <v>-10472.7326388097</v>
      </c>
      <c r="AJ6" s="9" t="n">
        <v>-6633.94</v>
      </c>
      <c r="AK6" s="9" t="n">
        <v>67.369735512682</v>
      </c>
      <c r="AL6" s="10" t="n">
        <f aca="false">IF($C6&lt;2017,AI6,-AI6)</f>
        <v>-10472.7326388097</v>
      </c>
      <c r="AM6" s="11" t="n">
        <f aca="false">E6+T6-U6+AK6</f>
        <v>0</v>
      </c>
      <c r="AN6" s="11" t="n">
        <f aca="false">V6+AA6+AF6+AG6+AJ6-U6</f>
        <v>6.3664629124105E-012</v>
      </c>
      <c r="AO6" s="10" t="n">
        <f aca="false">O6-P6-Q6-R6</f>
        <v>179.111111111111</v>
      </c>
      <c r="AP6" s="9" t="n">
        <v>52522.5263222369</v>
      </c>
    </row>
    <row r="7" customFormat="false" ht="15" hidden="false" customHeight="false" outlineLevel="0" collapsed="false">
      <c r="B7" s="7" t="s">
        <v>82</v>
      </c>
      <c r="C7" s="8" t="n">
        <v>2006</v>
      </c>
      <c r="D7" s="8" t="n">
        <v>2</v>
      </c>
      <c r="E7" s="9" t="n">
        <v>1916.59445117935</v>
      </c>
      <c r="F7" s="9" t="n">
        <v>3803.20803256014</v>
      </c>
      <c r="G7" s="9" t="n">
        <v>4123.5</v>
      </c>
      <c r="H7" s="9" t="n">
        <v>11980.3</v>
      </c>
      <c r="I7" s="9" t="n">
        <v>7856.8</v>
      </c>
      <c r="J7" s="9" t="n">
        <v>-320.291967439859</v>
      </c>
      <c r="K7" s="9" t="n">
        <v>1712.91881357271</v>
      </c>
      <c r="L7" s="9" t="n">
        <v>2033.21078101257</v>
      </c>
      <c r="M7" s="9" t="n">
        <v>-2159.04006717335</v>
      </c>
      <c r="N7" s="9" t="n">
        <v>-18.3737529946978</v>
      </c>
      <c r="O7" s="9" t="n">
        <v>-2140.66631417865</v>
      </c>
      <c r="P7" s="9" t="n">
        <v>-1514.78497811816</v>
      </c>
      <c r="Q7" s="9" t="n">
        <v>-803.742973069549</v>
      </c>
      <c r="R7" s="9" t="n">
        <v>-51.6745193427325</v>
      </c>
      <c r="S7" s="9" t="n">
        <v>272.426485792557</v>
      </c>
      <c r="T7" s="9" t="n">
        <v>39.9</v>
      </c>
      <c r="U7" s="9" t="n">
        <v>1980.88277755137</v>
      </c>
      <c r="V7" s="9" t="n">
        <v>-672.391114497571</v>
      </c>
      <c r="W7" s="9" t="n">
        <v>1090.94568120298</v>
      </c>
      <c r="X7" s="9" t="n">
        <v>0</v>
      </c>
      <c r="Y7" s="9" t="n">
        <v>612.336795700548</v>
      </c>
      <c r="Z7" s="9" t="n">
        <v>1151</v>
      </c>
      <c r="AA7" s="9" t="n">
        <v>-1970.56478315304</v>
      </c>
      <c r="AB7" s="9" t="n">
        <v>-54.226</v>
      </c>
      <c r="AC7" s="9" t="n">
        <v>104.85</v>
      </c>
      <c r="AD7" s="9" t="n">
        <v>110.723963408605</v>
      </c>
      <c r="AE7" s="9" t="n">
        <v>1910.46481974444</v>
      </c>
      <c r="AF7" s="9" t="n">
        <v>-32.3651851740977</v>
      </c>
      <c r="AG7" s="9" t="n">
        <v>813.193860376086</v>
      </c>
      <c r="AH7" s="9" t="n">
        <v>224.663080011352</v>
      </c>
      <c r="AI7" s="9" t="n">
        <v>-588.530780364734</v>
      </c>
      <c r="AJ7" s="9" t="n">
        <v>3843.01</v>
      </c>
      <c r="AK7" s="9" t="n">
        <v>24.3883263720254</v>
      </c>
      <c r="AL7" s="10" t="n">
        <f aca="false">IF($C7&lt;2017,AI7,-AI7)</f>
        <v>-588.530780364734</v>
      </c>
      <c r="AM7" s="11" t="n">
        <f aca="false">E7+T7-U7+AK7</f>
        <v>4.51194637207664E-013</v>
      </c>
      <c r="AN7" s="11" t="n">
        <f aca="false">V7+AA7+AF7+AG7+AJ7-U7</f>
        <v>0</v>
      </c>
      <c r="AO7" s="10" t="n">
        <f aca="false">O7-P7-Q7-R7</f>
        <v>229.536156351791</v>
      </c>
      <c r="AP7" s="9" t="n">
        <v>59326.4112689317</v>
      </c>
    </row>
    <row r="8" customFormat="false" ht="15" hidden="false" customHeight="false" outlineLevel="0" collapsed="false">
      <c r="B8" s="7" t="s">
        <v>83</v>
      </c>
      <c r="C8" s="8" t="n">
        <v>2006</v>
      </c>
      <c r="D8" s="8" t="n">
        <v>3</v>
      </c>
      <c r="E8" s="9" t="n">
        <v>1516.86647919467</v>
      </c>
      <c r="F8" s="9" t="n">
        <v>2986.87598986402</v>
      </c>
      <c r="G8" s="9" t="n">
        <v>3255.5</v>
      </c>
      <c r="H8" s="9" t="n">
        <v>12126.8</v>
      </c>
      <c r="I8" s="9" t="n">
        <v>8871.3</v>
      </c>
      <c r="J8" s="9" t="n">
        <v>-268.624010135983</v>
      </c>
      <c r="K8" s="9" t="n">
        <v>1898.85436922996</v>
      </c>
      <c r="L8" s="9" t="n">
        <v>2167.47837936594</v>
      </c>
      <c r="M8" s="9" t="n">
        <v>-1690.74355227089</v>
      </c>
      <c r="N8" s="9" t="n">
        <v>-15.6094848618233</v>
      </c>
      <c r="O8" s="9" t="n">
        <v>-1675.13406740906</v>
      </c>
      <c r="P8" s="9" t="n">
        <v>-1220.37507719442</v>
      </c>
      <c r="Q8" s="9" t="n">
        <v>-700.768730671175</v>
      </c>
      <c r="R8" s="9" t="n">
        <v>-27.196084786189</v>
      </c>
      <c r="S8" s="9" t="n">
        <v>220.73404160154</v>
      </c>
      <c r="T8" s="9" t="n">
        <v>45.4304121022431</v>
      </c>
      <c r="U8" s="9" t="n">
        <v>1232.3860821007</v>
      </c>
      <c r="V8" s="9" t="n">
        <v>-1116.86682116257</v>
      </c>
      <c r="W8" s="9" t="n">
        <v>424.951865443019</v>
      </c>
      <c r="X8" s="9" t="n">
        <v>0</v>
      </c>
      <c r="Y8" s="9" t="n">
        <v>1653.81868660559</v>
      </c>
      <c r="Z8" s="9" t="n">
        <v>-112</v>
      </c>
      <c r="AA8" s="9" t="n">
        <v>-802.528171834329</v>
      </c>
      <c r="AB8" s="9" t="n">
        <v>122.74</v>
      </c>
      <c r="AC8" s="9" t="n">
        <v>59.778</v>
      </c>
      <c r="AD8" s="9" t="n">
        <v>132.149695892849</v>
      </c>
      <c r="AE8" s="9" t="n">
        <v>852.89647594148</v>
      </c>
      <c r="AF8" s="9" t="n">
        <v>-37.9954260251855</v>
      </c>
      <c r="AG8" s="9" t="n">
        <v>659.816501122787</v>
      </c>
      <c r="AH8" s="9" t="n">
        <v>421.678961679834</v>
      </c>
      <c r="AI8" s="9" t="n">
        <v>-238.137539442953</v>
      </c>
      <c r="AJ8" s="9" t="n">
        <v>2529.96</v>
      </c>
      <c r="AK8" s="9" t="n">
        <v>-329.910809196213</v>
      </c>
      <c r="AL8" s="10" t="n">
        <f aca="false">IF($C8&lt;2017,AI8,-AI8)</f>
        <v>-238.137539442953</v>
      </c>
      <c r="AM8" s="11" t="n">
        <f aca="false">E8+T8-U8+AK8</f>
        <v>0</v>
      </c>
      <c r="AN8" s="11" t="n">
        <f aca="false">V8+AA8+AF8+AG8+AJ8-U8</f>
        <v>0</v>
      </c>
      <c r="AO8" s="10" t="n">
        <f aca="false">O8-P8-Q8-R8</f>
        <v>273.205825242718</v>
      </c>
      <c r="AP8" s="9" t="n">
        <v>59067.2539898427</v>
      </c>
    </row>
    <row r="9" customFormat="false" ht="15" hidden="false" customHeight="false" outlineLevel="0" collapsed="false">
      <c r="B9" s="7" t="s">
        <v>84</v>
      </c>
      <c r="C9" s="8" t="n">
        <v>2006</v>
      </c>
      <c r="D9" s="8" t="n">
        <v>4</v>
      </c>
      <c r="E9" s="9" t="n">
        <v>2362.07471629801</v>
      </c>
      <c r="F9" s="9" t="n">
        <v>3785.48260846281</v>
      </c>
      <c r="G9" s="9" t="n">
        <v>3744.3</v>
      </c>
      <c r="H9" s="9" t="n">
        <v>12564.8</v>
      </c>
      <c r="I9" s="9" t="n">
        <v>8820.5</v>
      </c>
      <c r="J9" s="9" t="n">
        <v>41.1826084628115</v>
      </c>
      <c r="K9" s="9" t="n">
        <v>2354.10436983294</v>
      </c>
      <c r="L9" s="9" t="n">
        <v>2312.92176137013</v>
      </c>
      <c r="M9" s="9" t="n">
        <v>-1695.07750405698</v>
      </c>
      <c r="N9" s="9" t="n">
        <v>-13.6310646305608</v>
      </c>
      <c r="O9" s="9" t="n">
        <v>-1681.44643942642</v>
      </c>
      <c r="P9" s="9" t="n">
        <v>-1199.18669250506</v>
      </c>
      <c r="Q9" s="9" t="n">
        <v>-772.494420349605</v>
      </c>
      <c r="R9" s="9" t="n">
        <v>-17.5588330652585</v>
      </c>
      <c r="S9" s="9" t="n">
        <v>271.66961189218</v>
      </c>
      <c r="T9" s="9" t="n">
        <v>1.89391570255773</v>
      </c>
      <c r="U9" s="9" t="n">
        <v>3486.12541927029</v>
      </c>
      <c r="V9" s="9" t="n">
        <v>66.3830858412053</v>
      </c>
      <c r="W9" s="9" t="n">
        <v>545.615614422297</v>
      </c>
      <c r="X9" s="9" t="n">
        <v>0</v>
      </c>
      <c r="Y9" s="9" t="n">
        <v>1538.23252858109</v>
      </c>
      <c r="Z9" s="9" t="n">
        <v>-1059</v>
      </c>
      <c r="AA9" s="9" t="n">
        <v>-2213.20761585812</v>
      </c>
      <c r="AB9" s="9" t="n">
        <v>127.706</v>
      </c>
      <c r="AC9" s="9" t="n">
        <v>152.9156</v>
      </c>
      <c r="AD9" s="9" t="n">
        <v>216.716497314817</v>
      </c>
      <c r="AE9" s="9" t="n">
        <v>2277.1127185433</v>
      </c>
      <c r="AF9" s="9" t="n">
        <v>212.961965181665</v>
      </c>
      <c r="AG9" s="9" t="n">
        <v>1629.18798410554</v>
      </c>
      <c r="AH9" s="9" t="n">
        <v>2007.1772665932</v>
      </c>
      <c r="AI9" s="9" t="n">
        <v>377.989282487664</v>
      </c>
      <c r="AJ9" s="9" t="n">
        <v>3790.8</v>
      </c>
      <c r="AK9" s="9" t="n">
        <v>1122.15678726972</v>
      </c>
      <c r="AL9" s="10" t="n">
        <f aca="false">IF($C9&lt;2017,AI9,-AI9)</f>
        <v>377.989282487664</v>
      </c>
      <c r="AM9" s="11" t="n">
        <f aca="false">E9+T9-U9+AK9</f>
        <v>0</v>
      </c>
      <c r="AN9" s="11" t="n">
        <f aca="false">V9+AA9+AF9+AG9+AJ9-U9</f>
        <v>0</v>
      </c>
      <c r="AO9" s="10" t="n">
        <f aca="false">O9-P9-Q9-R9</f>
        <v>307.793506493507</v>
      </c>
      <c r="AP9" s="9" t="n">
        <v>61950.3007326384</v>
      </c>
      <c r="AQ9" s="10" t="n">
        <f aca="false">SUM(AP6:AP9)</f>
        <v>232866.49231365</v>
      </c>
    </row>
    <row r="10" customFormat="false" ht="15" hidden="false" customHeight="false" outlineLevel="0" collapsed="false">
      <c r="B10" s="7" t="s">
        <v>85</v>
      </c>
      <c r="C10" s="8" t="n">
        <v>2007</v>
      </c>
      <c r="D10" s="8" t="n">
        <v>1</v>
      </c>
      <c r="E10" s="9" t="n">
        <v>601.802087421871</v>
      </c>
      <c r="F10" s="9" t="n">
        <v>2327.7692231719</v>
      </c>
      <c r="G10" s="9" t="n">
        <v>2424.5</v>
      </c>
      <c r="H10" s="9" t="n">
        <v>11178.1</v>
      </c>
      <c r="I10" s="9" t="n">
        <v>8753.6</v>
      </c>
      <c r="J10" s="9" t="n">
        <v>-96.7307768281007</v>
      </c>
      <c r="K10" s="9" t="n">
        <v>2600.12971883191</v>
      </c>
      <c r="L10" s="9" t="n">
        <v>2696.86049566001</v>
      </c>
      <c r="M10" s="9" t="n">
        <v>-1957.66188985221</v>
      </c>
      <c r="N10" s="9" t="n">
        <v>-17.7183264737642</v>
      </c>
      <c r="O10" s="9" t="n">
        <v>-1939.94356337844</v>
      </c>
      <c r="P10" s="9" t="n">
        <v>-1443.21631892541</v>
      </c>
      <c r="Q10" s="9" t="n">
        <v>-829.191259648879</v>
      </c>
      <c r="R10" s="9" t="n">
        <v>-29.505300049627</v>
      </c>
      <c r="S10" s="9" t="n">
        <v>231.694754102176</v>
      </c>
      <c r="T10" s="9" t="n">
        <v>11.5</v>
      </c>
      <c r="U10" s="9" t="n">
        <v>1476.29677954792</v>
      </c>
      <c r="V10" s="9" t="n">
        <v>-717.428792641087</v>
      </c>
      <c r="W10" s="9" t="n">
        <v>409.629048399815</v>
      </c>
      <c r="X10" s="9" t="n">
        <v>0</v>
      </c>
      <c r="Y10" s="9" t="n">
        <v>425.759463448342</v>
      </c>
      <c r="Z10" s="9" t="n">
        <v>701.29837759256</v>
      </c>
      <c r="AA10" s="9" t="n">
        <v>-2299.26154157734</v>
      </c>
      <c r="AB10" s="9" t="n">
        <v>257.825</v>
      </c>
      <c r="AC10" s="9" t="n">
        <v>14.9075001164999</v>
      </c>
      <c r="AD10" s="9" t="n">
        <v>549.906355874947</v>
      </c>
      <c r="AE10" s="9" t="n">
        <v>2022.08768581889</v>
      </c>
      <c r="AF10" s="9" t="n">
        <v>7.88817309237557</v>
      </c>
      <c r="AG10" s="9" t="n">
        <v>-174.591059326031</v>
      </c>
      <c r="AH10" s="9" t="n">
        <v>398.640547664285</v>
      </c>
      <c r="AI10" s="9" t="n">
        <v>573.231606990315</v>
      </c>
      <c r="AJ10" s="9" t="n">
        <v>4659.69</v>
      </c>
      <c r="AK10" s="9" t="n">
        <v>862.994692126047</v>
      </c>
      <c r="AL10" s="10" t="n">
        <f aca="false">IF($C10&lt;2017,AI10,-AI10)</f>
        <v>573.231606990315</v>
      </c>
      <c r="AM10" s="11" t="n">
        <f aca="false">E10+T10-U10+AK10</f>
        <v>0</v>
      </c>
      <c r="AN10" s="11" t="n">
        <f aca="false">V10+AA10+AF10+AG10+AJ10-U10</f>
        <v>0</v>
      </c>
      <c r="AO10" s="10" t="n">
        <f aca="false">O10-P10-Q10-R10</f>
        <v>361.969315245478</v>
      </c>
      <c r="AP10" s="9" t="n">
        <v>62530.8800424904</v>
      </c>
      <c r="AQ10" s="10" t="n">
        <f aca="false">SUM(AP7:AP10)</f>
        <v>242874.846033903</v>
      </c>
    </row>
    <row r="11" customFormat="false" ht="15" hidden="false" customHeight="false" outlineLevel="0" collapsed="false">
      <c r="B11" s="7" t="s">
        <v>86</v>
      </c>
      <c r="C11" s="8" t="n">
        <v>2007</v>
      </c>
      <c r="D11" s="8" t="n">
        <v>2</v>
      </c>
      <c r="E11" s="9" t="n">
        <v>2026.19055518011</v>
      </c>
      <c r="F11" s="9" t="n">
        <v>3622.25032585098</v>
      </c>
      <c r="G11" s="9" t="n">
        <v>3984.2</v>
      </c>
      <c r="H11" s="9" t="n">
        <v>13693.2</v>
      </c>
      <c r="I11" s="9" t="n">
        <v>9709</v>
      </c>
      <c r="J11" s="9" t="n">
        <v>-361.949674149022</v>
      </c>
      <c r="K11" s="9" t="n">
        <v>2154.1851770688</v>
      </c>
      <c r="L11" s="9" t="n">
        <v>2516.13485121782</v>
      </c>
      <c r="M11" s="9" t="n">
        <v>-1881.32894824595</v>
      </c>
      <c r="N11" s="9" t="n">
        <v>-15.892115460911</v>
      </c>
      <c r="O11" s="9" t="n">
        <v>-1865.43683278504</v>
      </c>
      <c r="P11" s="9" t="n">
        <v>-1416.40474664762</v>
      </c>
      <c r="Q11" s="9" t="n">
        <v>-857.363522845087</v>
      </c>
      <c r="R11" s="9" t="n">
        <v>-42.1552516040194</v>
      </c>
      <c r="S11" s="9" t="n">
        <v>285.26917757508</v>
      </c>
      <c r="T11" s="9" t="n">
        <v>6.68319644540191</v>
      </c>
      <c r="U11" s="9" t="n">
        <v>961.592292651113</v>
      </c>
      <c r="V11" s="9" t="n">
        <v>-702.354074195666</v>
      </c>
      <c r="W11" s="9" t="n">
        <v>397.463117675333</v>
      </c>
      <c r="X11" s="9" t="n">
        <v>0</v>
      </c>
      <c r="Y11" s="9" t="n">
        <v>502.602556423598</v>
      </c>
      <c r="Z11" s="9" t="n">
        <v>597.214635447401</v>
      </c>
      <c r="AA11" s="9" t="n">
        <v>-5662.70370893534</v>
      </c>
      <c r="AB11" s="9" t="n">
        <v>398.552</v>
      </c>
      <c r="AC11" s="9" t="n">
        <v>-192.7557</v>
      </c>
      <c r="AD11" s="9" t="n">
        <v>594.931451444728</v>
      </c>
      <c r="AE11" s="9" t="n">
        <v>5273.56855749061</v>
      </c>
      <c r="AF11" s="9" t="n">
        <v>26.8528357607342</v>
      </c>
      <c r="AG11" s="9" t="n">
        <v>960.15724002138</v>
      </c>
      <c r="AH11" s="9" t="n">
        <v>1776.4562763159</v>
      </c>
      <c r="AI11" s="9" t="n">
        <v>816.299036294521</v>
      </c>
      <c r="AJ11" s="9" t="n">
        <v>6339.64</v>
      </c>
      <c r="AK11" s="9" t="n">
        <v>-1071.2814589744</v>
      </c>
      <c r="AL11" s="10" t="n">
        <f aca="false">IF($C11&lt;2017,AI11,-AI11)</f>
        <v>816.299036294521</v>
      </c>
      <c r="AM11" s="11" t="n">
        <f aca="false">E11+T11-U11+AK11</f>
        <v>0</v>
      </c>
      <c r="AN11" s="11" t="n">
        <f aca="false">V11+AA11+AF11+AG11+AJ11-U11</f>
        <v>0</v>
      </c>
      <c r="AO11" s="10" t="n">
        <f aca="false">O11-P11-Q11-R11</f>
        <v>450.486688311688</v>
      </c>
      <c r="AP11" s="9" t="n">
        <v>73317.9573003604</v>
      </c>
      <c r="AQ11" s="10" t="n">
        <f aca="false">SUM(AP8:AP11)</f>
        <v>256866.392065332</v>
      </c>
    </row>
    <row r="12" customFormat="false" ht="15" hidden="false" customHeight="false" outlineLevel="0" collapsed="false">
      <c r="B12" s="7" t="s">
        <v>87</v>
      </c>
      <c r="C12" s="8" t="n">
        <v>2007</v>
      </c>
      <c r="D12" s="8" t="n">
        <v>3</v>
      </c>
      <c r="E12" s="9" t="n">
        <v>449.264826671577</v>
      </c>
      <c r="F12" s="9" t="n">
        <v>1863.78974205059</v>
      </c>
      <c r="G12" s="9" t="n">
        <v>2346.262</v>
      </c>
      <c r="H12" s="9" t="n">
        <v>14388.562</v>
      </c>
      <c r="I12" s="9" t="n">
        <v>12042.3</v>
      </c>
      <c r="J12" s="9" t="n">
        <v>-482.472257949415</v>
      </c>
      <c r="K12" s="9" t="n">
        <v>2321.41186175029</v>
      </c>
      <c r="L12" s="9" t="n">
        <v>2803.88411969971</v>
      </c>
      <c r="M12" s="9" t="n">
        <v>-1665.61993150223</v>
      </c>
      <c r="N12" s="9" t="n">
        <v>-19.4733355995358</v>
      </c>
      <c r="O12" s="9" t="n">
        <v>-1646.1465959027</v>
      </c>
      <c r="P12" s="9" t="n">
        <v>-1294.30579733474</v>
      </c>
      <c r="Q12" s="9" t="n">
        <v>-823.465904785086</v>
      </c>
      <c r="R12" s="9" t="n">
        <v>-25.8054670312789</v>
      </c>
      <c r="S12" s="9" t="n">
        <v>251.095016123226</v>
      </c>
      <c r="T12" s="9" t="n">
        <v>102.210715522771</v>
      </c>
      <c r="U12" s="9" t="n">
        <v>696.761923195183</v>
      </c>
      <c r="V12" s="9" t="n">
        <v>-1530.03204193125</v>
      </c>
      <c r="W12" s="9" t="n">
        <v>361.663162315754</v>
      </c>
      <c r="X12" s="9" t="n">
        <v>0</v>
      </c>
      <c r="Y12" s="9" t="n">
        <v>1460.49571592557</v>
      </c>
      <c r="Z12" s="9" t="n">
        <v>431.19948832144</v>
      </c>
      <c r="AA12" s="9" t="n">
        <v>1488.81716708212</v>
      </c>
      <c r="AB12" s="9" t="n">
        <v>245.997</v>
      </c>
      <c r="AC12" s="9" t="n">
        <v>-31.229</v>
      </c>
      <c r="AD12" s="9" t="n">
        <v>228.47212727772</v>
      </c>
      <c r="AE12" s="9" t="n">
        <v>-1502.52129435984</v>
      </c>
      <c r="AF12" s="9" t="n">
        <v>-17.9536004130181</v>
      </c>
      <c r="AG12" s="9" t="n">
        <v>1597.68039845733</v>
      </c>
      <c r="AH12" s="9" t="n">
        <v>4161.89461860046</v>
      </c>
      <c r="AI12" s="9" t="n">
        <v>2564.21422014313</v>
      </c>
      <c r="AJ12" s="9" t="n">
        <v>-841.749999999997</v>
      </c>
      <c r="AK12" s="9" t="n">
        <v>145.286381000835</v>
      </c>
      <c r="AL12" s="10" t="n">
        <f aca="false">IF($C12&lt;2017,AI12,-AI12)</f>
        <v>2564.21422014313</v>
      </c>
      <c r="AM12" s="11" t="n">
        <f aca="false">E12+T12-U12+AK12</f>
        <v>0</v>
      </c>
      <c r="AN12" s="11" t="n">
        <f aca="false">V12+AA12+AF12+AG12+AJ12-U12</f>
        <v>0</v>
      </c>
      <c r="AO12" s="10" t="n">
        <f aca="false">O12-P12-Q12-R12</f>
        <v>497.430573248407</v>
      </c>
      <c r="AP12" s="9" t="n">
        <v>72852.0090966288</v>
      </c>
      <c r="AQ12" s="10" t="n">
        <f aca="false">SUM(AP9:AP12)</f>
        <v>270651.147172118</v>
      </c>
    </row>
    <row r="13" customFormat="false" ht="15" hidden="false" customHeight="false" outlineLevel="0" collapsed="false">
      <c r="B13" s="7" t="s">
        <v>88</v>
      </c>
      <c r="C13" s="8" t="n">
        <v>2007</v>
      </c>
      <c r="D13" s="8" t="n">
        <v>4</v>
      </c>
      <c r="E13" s="9" t="n">
        <v>2971.28042361313</v>
      </c>
      <c r="F13" s="9" t="n">
        <v>4756.77068521526</v>
      </c>
      <c r="G13" s="9" t="n">
        <v>4797.1</v>
      </c>
      <c r="H13" s="9" t="n">
        <v>16816.7</v>
      </c>
      <c r="I13" s="9" t="n">
        <v>12019.6</v>
      </c>
      <c r="J13" s="9" t="n">
        <v>-40.3293147847394</v>
      </c>
      <c r="K13" s="9" t="n">
        <v>2970.00973852471</v>
      </c>
      <c r="L13" s="9" t="n">
        <v>3010.33905330945</v>
      </c>
      <c r="M13" s="9" t="n">
        <v>-2090.0449938475</v>
      </c>
      <c r="N13" s="9" t="n">
        <v>-19.3831394088229</v>
      </c>
      <c r="O13" s="9" t="n">
        <v>-2070.66185443867</v>
      </c>
      <c r="P13" s="9" t="n">
        <v>-1643.93814558522</v>
      </c>
      <c r="Q13" s="9" t="n">
        <v>-768.973759943459</v>
      </c>
      <c r="R13" s="9" t="n">
        <v>-147.081459765394</v>
      </c>
      <c r="S13" s="9" t="n">
        <v>304.55473224537</v>
      </c>
      <c r="T13" s="9" t="n">
        <v>0.751977000000001</v>
      </c>
      <c r="U13" s="9" t="n">
        <v>2764.795884273</v>
      </c>
      <c r="V13" s="9" t="n">
        <v>-2019.10989201657</v>
      </c>
      <c r="W13" s="9" t="n">
        <v>335.477632953672</v>
      </c>
      <c r="X13" s="9" t="n">
        <v>0</v>
      </c>
      <c r="Y13" s="9" t="n">
        <v>2238.66319106417</v>
      </c>
      <c r="Z13" s="9" t="n">
        <v>115.92433390607</v>
      </c>
      <c r="AA13" s="9" t="n">
        <v>-994.814814093143</v>
      </c>
      <c r="AB13" s="9" t="n">
        <v>486.984</v>
      </c>
      <c r="AC13" s="9" t="n">
        <v>-6.732</v>
      </c>
      <c r="AD13" s="9" t="n">
        <v>411.625076952925</v>
      </c>
      <c r="AE13" s="9" t="n">
        <v>1063.44173714022</v>
      </c>
      <c r="AF13" s="9" t="n">
        <v>547.8</v>
      </c>
      <c r="AG13" s="9" t="n">
        <v>2298.78059038272</v>
      </c>
      <c r="AH13" s="9" t="n">
        <v>4219.681997181</v>
      </c>
      <c r="AI13" s="9" t="n">
        <v>1920.90140679827</v>
      </c>
      <c r="AJ13" s="9" t="n">
        <v>2932.13999999999</v>
      </c>
      <c r="AK13" s="9" t="n">
        <v>-207.23651634013</v>
      </c>
      <c r="AL13" s="10" t="n">
        <f aca="false">IF($C13&lt;2017,AI13,-AI13)</f>
        <v>1920.90140679827</v>
      </c>
      <c r="AM13" s="11" t="n">
        <f aca="false">E13+T13-U13+AK13</f>
        <v>0</v>
      </c>
      <c r="AN13" s="11" t="n">
        <f aca="false">V13+AA13+AF13+AG13+AJ13-U13</f>
        <v>0</v>
      </c>
      <c r="AO13" s="10" t="n">
        <f aca="false">O13-P13-Q13-R13</f>
        <v>489.3315108554</v>
      </c>
      <c r="AP13" s="9" t="n">
        <v>79085.2887222011</v>
      </c>
      <c r="AQ13" s="10" t="n">
        <f aca="false">SUM(AP10:AP13)</f>
        <v>287786.135161681</v>
      </c>
    </row>
    <row r="14" customFormat="false" ht="15" hidden="false" customHeight="false" outlineLevel="0" collapsed="false">
      <c r="B14" s="7" t="s">
        <v>89</v>
      </c>
      <c r="C14" s="8" t="n">
        <v>2008</v>
      </c>
      <c r="D14" s="8" t="n">
        <v>1</v>
      </c>
      <c r="E14" s="9" t="n">
        <v>1323.2145641691</v>
      </c>
      <c r="F14" s="9" t="n">
        <v>3303.6277397791</v>
      </c>
      <c r="G14" s="9" t="n">
        <v>3860.4</v>
      </c>
      <c r="H14" s="9" t="n">
        <v>16067.5</v>
      </c>
      <c r="I14" s="9" t="n">
        <v>12207.1</v>
      </c>
      <c r="J14" s="9" t="n">
        <v>-556.7722602209</v>
      </c>
      <c r="K14" s="9" t="n">
        <v>2943.99757674031</v>
      </c>
      <c r="L14" s="9" t="n">
        <v>3500.76983696121</v>
      </c>
      <c r="M14" s="9" t="n">
        <v>-2254.53847392727</v>
      </c>
      <c r="N14" s="9" t="n">
        <v>-12.7695771519373</v>
      </c>
      <c r="O14" s="9" t="n">
        <v>-2241.76889677534</v>
      </c>
      <c r="P14" s="9" t="n">
        <v>-1770.13249739243</v>
      </c>
      <c r="Q14" s="9" t="n">
        <v>-797.869133863475</v>
      </c>
      <c r="R14" s="9" t="n">
        <v>-121.013971992747</v>
      </c>
      <c r="S14" s="9" t="n">
        <v>274.125298317276</v>
      </c>
      <c r="T14" s="9" t="n">
        <v>43.631</v>
      </c>
      <c r="U14" s="9" t="n">
        <v>2610.93583563028</v>
      </c>
      <c r="V14" s="9" t="n">
        <v>-3137.00136673117</v>
      </c>
      <c r="W14" s="9" t="n">
        <v>346.003277305985</v>
      </c>
      <c r="X14" s="9" t="n">
        <v>0</v>
      </c>
      <c r="Y14" s="9" t="n">
        <v>1537.49676347086</v>
      </c>
      <c r="Z14" s="9" t="n">
        <v>1945.5078805663</v>
      </c>
      <c r="AA14" s="9" t="n">
        <v>1033.61562451162</v>
      </c>
      <c r="AB14" s="9" t="n">
        <v>130.501</v>
      </c>
      <c r="AC14" s="9" t="n">
        <v>583.686</v>
      </c>
      <c r="AD14" s="9" t="n">
        <v>-92.9096731325036</v>
      </c>
      <c r="AE14" s="9" t="n">
        <v>-226.518951379119</v>
      </c>
      <c r="AF14" s="9" t="n">
        <v>-12.4</v>
      </c>
      <c r="AG14" s="9" t="n">
        <v>1192.51157784982</v>
      </c>
      <c r="AH14" s="9" t="n">
        <v>2617.83978939195</v>
      </c>
      <c r="AI14" s="9" t="n">
        <v>1425.32821154213</v>
      </c>
      <c r="AJ14" s="9" t="n">
        <v>3534.21000000001</v>
      </c>
      <c r="AK14" s="9" t="n">
        <v>1244.09027146117</v>
      </c>
      <c r="AL14" s="10" t="n">
        <f aca="false">IF($C14&lt;2017,AI14,-AI14)</f>
        <v>1425.32821154213</v>
      </c>
      <c r="AM14" s="11" t="n">
        <f aca="false">E14+T14-U14+AK14</f>
        <v>0</v>
      </c>
      <c r="AN14" s="11" t="n">
        <f aca="false">V14+AA14+AF14+AG14+AJ14-U14</f>
        <v>0</v>
      </c>
      <c r="AO14" s="10" t="n">
        <f aca="false">O14-P14-Q14-R14</f>
        <v>447.24670647332</v>
      </c>
      <c r="AP14" s="9" t="n">
        <v>81874.728997663</v>
      </c>
      <c r="AQ14" s="10" t="n">
        <f aca="false">SUM(AP11:AP14)</f>
        <v>307129.984116853</v>
      </c>
    </row>
    <row r="15" customFormat="false" ht="15" hidden="false" customHeight="false" outlineLevel="0" collapsed="false">
      <c r="B15" s="7" t="s">
        <v>90</v>
      </c>
      <c r="C15" s="8" t="n">
        <v>2008</v>
      </c>
      <c r="D15" s="8" t="n">
        <v>2</v>
      </c>
      <c r="E15" s="9" t="n">
        <v>319.259793938225</v>
      </c>
      <c r="F15" s="9" t="n">
        <v>2235.46255882276</v>
      </c>
      <c r="G15" s="9" t="n">
        <v>2942.3</v>
      </c>
      <c r="H15" s="9" t="n">
        <v>17526.3</v>
      </c>
      <c r="I15" s="9" t="n">
        <v>14584</v>
      </c>
      <c r="J15" s="9" t="n">
        <v>-706.837441177241</v>
      </c>
      <c r="K15" s="9" t="n">
        <v>2579.42813442157</v>
      </c>
      <c r="L15" s="9" t="n">
        <v>3286.26557559881</v>
      </c>
      <c r="M15" s="9" t="n">
        <v>-2229.82942429935</v>
      </c>
      <c r="N15" s="9" t="n">
        <v>-15.4034538016475</v>
      </c>
      <c r="O15" s="9" t="n">
        <v>-2214.4259704977</v>
      </c>
      <c r="P15" s="9" t="n">
        <v>-1575.9096449144</v>
      </c>
      <c r="Q15" s="9" t="n">
        <v>-866.319091273272</v>
      </c>
      <c r="R15" s="9" t="n">
        <v>-160.938058329606</v>
      </c>
      <c r="S15" s="9" t="n">
        <v>313.626659414817</v>
      </c>
      <c r="T15" s="9" t="n">
        <v>14.7511447920026</v>
      </c>
      <c r="U15" s="9" t="n">
        <v>-667.961763914693</v>
      </c>
      <c r="V15" s="9" t="n">
        <v>-1946.19189385618</v>
      </c>
      <c r="W15" s="9" t="n">
        <v>318.610908049611</v>
      </c>
      <c r="X15" s="9" t="n">
        <v>0</v>
      </c>
      <c r="Y15" s="9" t="n">
        <v>329.719421538463</v>
      </c>
      <c r="Z15" s="9" t="n">
        <v>1935.08338036733</v>
      </c>
      <c r="AA15" s="9" t="n">
        <v>2143.69337454994</v>
      </c>
      <c r="AB15" s="9" t="n">
        <v>669.137</v>
      </c>
      <c r="AC15" s="9" t="n">
        <v>18.489</v>
      </c>
      <c r="AD15" s="9" t="n">
        <v>-202.873018788848</v>
      </c>
      <c r="AE15" s="9" t="n">
        <v>-1253.19435576109</v>
      </c>
      <c r="AF15" s="9" t="n">
        <v>59.9</v>
      </c>
      <c r="AG15" s="9" t="n">
        <v>1695.57675539155</v>
      </c>
      <c r="AH15" s="9" t="n">
        <v>5196.44621364801</v>
      </c>
      <c r="AI15" s="9" t="n">
        <v>3500.86945825646</v>
      </c>
      <c r="AJ15" s="9" t="n">
        <v>-2620.94</v>
      </c>
      <c r="AK15" s="9" t="n">
        <v>-1001.97270264492</v>
      </c>
      <c r="AL15" s="10" t="n">
        <f aca="false">IF($C15&lt;2017,AI15,-AI15)</f>
        <v>3500.86945825646</v>
      </c>
      <c r="AM15" s="11" t="n">
        <f aca="false">E15+T15-U15+AK15</f>
        <v>0</v>
      </c>
      <c r="AN15" s="11" t="n">
        <f aca="false">V15+AA15+AF15+AG15+AJ15-U15</f>
        <v>0</v>
      </c>
      <c r="AO15" s="10" t="n">
        <f aca="false">O15-P15-Q15-R15</f>
        <v>388.740824019576</v>
      </c>
      <c r="AP15" s="9" t="n">
        <v>97237.6028727631</v>
      </c>
      <c r="AQ15" s="10" t="n">
        <f aca="false">SUM(AP12:AP15)</f>
        <v>331049.629689256</v>
      </c>
    </row>
    <row r="16" customFormat="false" ht="15" hidden="false" customHeight="false" outlineLevel="0" collapsed="false">
      <c r="B16" s="7" t="s">
        <v>91</v>
      </c>
      <c r="C16" s="8" t="n">
        <v>2008</v>
      </c>
      <c r="D16" s="8" t="n">
        <v>3</v>
      </c>
      <c r="E16" s="9" t="n">
        <v>2991.91882026738</v>
      </c>
      <c r="F16" s="9" t="n">
        <v>4958.91456734103</v>
      </c>
      <c r="G16" s="9" t="n">
        <v>5658.472</v>
      </c>
      <c r="H16" s="9" t="n">
        <v>21338.372</v>
      </c>
      <c r="I16" s="9" t="n">
        <v>15679.9</v>
      </c>
      <c r="J16" s="9" t="n">
        <v>-699.55743265897</v>
      </c>
      <c r="K16" s="9" t="n">
        <v>2838.16101860859</v>
      </c>
      <c r="L16" s="9" t="n">
        <v>3537.71845126756</v>
      </c>
      <c r="M16" s="9" t="n">
        <v>-2226.49065358187</v>
      </c>
      <c r="N16" s="9" t="n">
        <v>-17.4486576955325</v>
      </c>
      <c r="O16" s="9" t="n">
        <v>-2209.04199588634</v>
      </c>
      <c r="P16" s="9" t="n">
        <v>-1641.98652415695</v>
      </c>
      <c r="Q16" s="9" t="n">
        <v>-740.699016189923</v>
      </c>
      <c r="R16" s="9" t="n">
        <v>-132.02733918907</v>
      </c>
      <c r="S16" s="9" t="n">
        <v>259.494906508216</v>
      </c>
      <c r="T16" s="9" t="n">
        <v>123.8</v>
      </c>
      <c r="U16" s="9" t="n">
        <v>4535.49959141653</v>
      </c>
      <c r="V16" s="9" t="n">
        <v>-1854.0751498344</v>
      </c>
      <c r="W16" s="9" t="n">
        <v>498.521320757855</v>
      </c>
      <c r="X16" s="9" t="n">
        <v>0</v>
      </c>
      <c r="Y16" s="9" t="n">
        <v>1906.24667020432</v>
      </c>
      <c r="Z16" s="9" t="n">
        <v>446.349800387941</v>
      </c>
      <c r="AA16" s="9" t="n">
        <v>4012.07822025137</v>
      </c>
      <c r="AB16" s="9" t="n">
        <v>97.261</v>
      </c>
      <c r="AC16" s="9" t="n">
        <v>1679.4657</v>
      </c>
      <c r="AD16" s="9" t="n">
        <v>-58.1797925150349</v>
      </c>
      <c r="AE16" s="9" t="n">
        <v>-2177.17172773634</v>
      </c>
      <c r="AF16" s="9" t="n">
        <v>11.8</v>
      </c>
      <c r="AG16" s="9" t="n">
        <v>2415.12652099956</v>
      </c>
      <c r="AH16" s="9" t="n">
        <v>4809.11734817188</v>
      </c>
      <c r="AI16" s="9" t="n">
        <v>2393.99082717232</v>
      </c>
      <c r="AJ16" s="9" t="n">
        <v>-49.4300000000062</v>
      </c>
      <c r="AK16" s="9" t="n">
        <v>1419.78077114915</v>
      </c>
      <c r="AL16" s="10" t="n">
        <f aca="false">IF($C16&lt;2017,AI16,-AI16)</f>
        <v>2393.99082717232</v>
      </c>
      <c r="AM16" s="11" t="n">
        <f aca="false">E16+T16-U16+AK16</f>
        <v>0</v>
      </c>
      <c r="AN16" s="11" t="n">
        <f aca="false">V16+AA16+AF16+AG16+AJ16-U16</f>
        <v>0</v>
      </c>
      <c r="AO16" s="10" t="n">
        <f aca="false">O16-P16-Q16-R16</f>
        <v>305.670883649607</v>
      </c>
      <c r="AP16" s="9" t="n">
        <v>97142.792780369</v>
      </c>
      <c r="AQ16" s="10" t="n">
        <f aca="false">SUM(AP13:AP16)</f>
        <v>355340.413372996</v>
      </c>
    </row>
    <row r="17" customFormat="false" ht="15" hidden="false" customHeight="false" outlineLevel="0" collapsed="false">
      <c r="B17" s="7" t="s">
        <v>92</v>
      </c>
      <c r="C17" s="8" t="n">
        <v>2008</v>
      </c>
      <c r="D17" s="8" t="n">
        <v>4</v>
      </c>
      <c r="E17" s="9" t="n">
        <v>786.813150235379</v>
      </c>
      <c r="F17" s="9" t="n">
        <v>2842.93210735387</v>
      </c>
      <c r="G17" s="9" t="n">
        <v>3102.1</v>
      </c>
      <c r="H17" s="9" t="n">
        <v>15227.3</v>
      </c>
      <c r="I17" s="9" t="n">
        <v>12125.2</v>
      </c>
      <c r="J17" s="9" t="n">
        <v>-259.167892646136</v>
      </c>
      <c r="K17" s="9" t="n">
        <v>3062.56234200586</v>
      </c>
      <c r="L17" s="9" t="n">
        <v>3321.73023465199</v>
      </c>
      <c r="M17" s="9" t="n">
        <v>-2323.3321482299</v>
      </c>
      <c r="N17" s="9" t="n">
        <v>-6.01997710556925</v>
      </c>
      <c r="O17" s="9" t="n">
        <v>-2317.31217112434</v>
      </c>
      <c r="P17" s="9" t="n">
        <v>-1591.50954522342</v>
      </c>
      <c r="Q17" s="9" t="n">
        <v>-678.935220911981</v>
      </c>
      <c r="R17" s="9" t="n">
        <v>-276.47159759397</v>
      </c>
      <c r="S17" s="9" t="n">
        <v>267.213191111418</v>
      </c>
      <c r="T17" s="9" t="n">
        <v>2.87787193487515</v>
      </c>
      <c r="U17" s="9" t="n">
        <v>75.4805195860174</v>
      </c>
      <c r="V17" s="9" t="n">
        <v>-1397.35013022537</v>
      </c>
      <c r="W17" s="9" t="n">
        <v>227.799082764112</v>
      </c>
      <c r="X17" s="9" t="n">
        <v>0</v>
      </c>
      <c r="Y17" s="9" t="n">
        <v>1175.4658442465</v>
      </c>
      <c r="Z17" s="9" t="n">
        <v>449.68336874298</v>
      </c>
      <c r="AA17" s="9" t="n">
        <v>689.201843996941</v>
      </c>
      <c r="AB17" s="9" t="n">
        <v>-370.519</v>
      </c>
      <c r="AC17" s="9" t="n">
        <v>-652.456850770433</v>
      </c>
      <c r="AD17" s="9" t="n">
        <v>-176.659291195054</v>
      </c>
      <c r="AE17" s="9" t="n">
        <v>-1535.51840357232</v>
      </c>
      <c r="AF17" s="9" t="n">
        <v>875.4</v>
      </c>
      <c r="AG17" s="9" t="n">
        <v>754.688805814439</v>
      </c>
      <c r="AH17" s="9" t="n">
        <v>-382.888310070917</v>
      </c>
      <c r="AI17" s="9" t="n">
        <v>-1137.57711588536</v>
      </c>
      <c r="AJ17" s="9" t="n">
        <v>-846.459999999994</v>
      </c>
      <c r="AK17" s="9" t="n">
        <v>-714.210502584237</v>
      </c>
      <c r="AL17" s="10" t="n">
        <f aca="false">IF($C17&lt;2017,AI17,-AI17)</f>
        <v>-1137.57711588536</v>
      </c>
      <c r="AM17" s="11" t="n">
        <f aca="false">E17+T17-U17+AK17</f>
        <v>0</v>
      </c>
      <c r="AN17" s="11" t="n">
        <f aca="false">V17+AA17+AF17+AG17+AJ17-U17</f>
        <v>0</v>
      </c>
      <c r="AO17" s="10" t="n">
        <f aca="false">O17-P17-Q17-R17</f>
        <v>229.604192605032</v>
      </c>
      <c r="AP17" s="9" t="n">
        <v>87623.2478199123</v>
      </c>
      <c r="AQ17" s="10" t="n">
        <f aca="false">SUM(AP14:AP17)</f>
        <v>363878.372470707</v>
      </c>
    </row>
    <row r="18" customFormat="false" ht="15" hidden="false" customHeight="false" outlineLevel="0" collapsed="false">
      <c r="B18" s="7" t="s">
        <v>93</v>
      </c>
      <c r="C18" s="8" t="n">
        <v>2009</v>
      </c>
      <c r="D18" s="8" t="n">
        <v>1</v>
      </c>
      <c r="E18" s="9" t="n">
        <v>1190.69155436822</v>
      </c>
      <c r="F18" s="9" t="n">
        <v>3367.89165635962</v>
      </c>
      <c r="G18" s="9" t="n">
        <v>3998.7</v>
      </c>
      <c r="H18" s="9" t="n">
        <v>11954.2</v>
      </c>
      <c r="I18" s="9" t="n">
        <v>7955.5</v>
      </c>
      <c r="J18" s="9" t="n">
        <v>-630.80834364038</v>
      </c>
      <c r="K18" s="9" t="n">
        <v>2755.1961460775</v>
      </c>
      <c r="L18" s="9" t="n">
        <v>3386.00448971788</v>
      </c>
      <c r="M18" s="9" t="n">
        <v>-2372.68264403296</v>
      </c>
      <c r="N18" s="9" t="n">
        <v>-9.95658286175428</v>
      </c>
      <c r="O18" s="9" t="n">
        <v>-2362.7260611712</v>
      </c>
      <c r="P18" s="9" t="n">
        <v>-1760.21537281162</v>
      </c>
      <c r="Q18" s="9" t="n">
        <v>-478.925679731796</v>
      </c>
      <c r="R18" s="9" t="n">
        <v>-239.123179401991</v>
      </c>
      <c r="S18" s="9" t="n">
        <v>195.482542041553</v>
      </c>
      <c r="T18" s="9" t="n">
        <v>22.0682967734612</v>
      </c>
      <c r="U18" s="9" t="n">
        <v>1063.58692470708</v>
      </c>
      <c r="V18" s="9" t="n">
        <v>-1329.37577451031</v>
      </c>
      <c r="W18" s="9" t="n">
        <v>341.104966423619</v>
      </c>
      <c r="X18" s="9" t="n">
        <v>0</v>
      </c>
      <c r="Y18" s="9" t="n">
        <v>1974</v>
      </c>
      <c r="Z18" s="9" t="n">
        <v>-303.51925906607</v>
      </c>
      <c r="AA18" s="9" t="n">
        <v>826.394806487892</v>
      </c>
      <c r="AB18" s="9" t="n">
        <v>109</v>
      </c>
      <c r="AC18" s="9" t="n">
        <v>740.441859879785</v>
      </c>
      <c r="AD18" s="9" t="n">
        <v>-73.1003882223938</v>
      </c>
      <c r="AE18" s="9" t="n">
        <v>96.1474416142862</v>
      </c>
      <c r="AF18" s="9" t="n">
        <v>-0.9</v>
      </c>
      <c r="AG18" s="9" t="n">
        <v>1300.3478927295</v>
      </c>
      <c r="AH18" s="9" t="n">
        <v>1731.63051115735</v>
      </c>
      <c r="AI18" s="9" t="n">
        <v>431.282618427846</v>
      </c>
      <c r="AJ18" s="9" t="n">
        <v>267.119999999998</v>
      </c>
      <c r="AK18" s="9" t="n">
        <v>-149.172926434598</v>
      </c>
      <c r="AL18" s="10" t="n">
        <f aca="false">IF($C18&lt;2017,AI18,-AI18)</f>
        <v>431.282618427846</v>
      </c>
      <c r="AM18" s="11" t="n">
        <f aca="false">E18+T18-U18+AK18</f>
        <v>0</v>
      </c>
      <c r="AN18" s="11" t="n">
        <f aca="false">V18+AA18+AF18+AG18+AJ18-U18</f>
        <v>0</v>
      </c>
      <c r="AO18" s="10" t="n">
        <f aca="false">O18-P18-Q18-R18</f>
        <v>115.538170774203</v>
      </c>
      <c r="AP18" s="9" t="n">
        <v>78497.1119218521</v>
      </c>
      <c r="AQ18" s="10" t="n">
        <f aca="false">SUM(AP15:AP18)</f>
        <v>360500.755394896</v>
      </c>
    </row>
    <row r="19" customFormat="false" ht="15" hidden="false" customHeight="false" outlineLevel="0" collapsed="false">
      <c r="B19" s="7" t="s">
        <v>94</v>
      </c>
      <c r="C19" s="8" t="n">
        <v>2009</v>
      </c>
      <c r="D19" s="8" t="n">
        <v>2</v>
      </c>
      <c r="E19" s="9" t="n">
        <v>4297.82508829355</v>
      </c>
      <c r="F19" s="9" t="n">
        <v>6449.40468028166</v>
      </c>
      <c r="G19" s="9" t="n">
        <v>6799.439</v>
      </c>
      <c r="H19" s="9" t="n">
        <v>15499.383</v>
      </c>
      <c r="I19" s="9" t="n">
        <v>8699.944</v>
      </c>
      <c r="J19" s="9" t="n">
        <v>-350.034319718339</v>
      </c>
      <c r="K19" s="9" t="n">
        <v>2346.01620451565</v>
      </c>
      <c r="L19" s="9" t="n">
        <v>2696.05052423399</v>
      </c>
      <c r="M19" s="9" t="n">
        <v>-2419.55557299339</v>
      </c>
      <c r="N19" s="9" t="n">
        <v>-15.1973039910758</v>
      </c>
      <c r="O19" s="9" t="n">
        <v>-2404.35826900231</v>
      </c>
      <c r="P19" s="9" t="n">
        <v>-1590.0894854035</v>
      </c>
      <c r="Q19" s="9" t="n">
        <v>-667.815098156631</v>
      </c>
      <c r="R19" s="9" t="n">
        <v>-248.423210460852</v>
      </c>
      <c r="S19" s="9" t="n">
        <v>267.975981005273</v>
      </c>
      <c r="T19" s="9" t="n">
        <v>0.6</v>
      </c>
      <c r="U19" s="9" t="n">
        <v>3073.7653591863</v>
      </c>
      <c r="V19" s="9" t="n">
        <v>-581.000710879901</v>
      </c>
      <c r="W19" s="9" t="n">
        <v>-235.177129782981</v>
      </c>
      <c r="X19" s="9" t="n">
        <v>0</v>
      </c>
      <c r="Y19" s="9" t="n">
        <v>533</v>
      </c>
      <c r="Z19" s="9" t="n">
        <v>-187.17641890308</v>
      </c>
      <c r="AA19" s="9" t="n">
        <v>-29.5965457104192</v>
      </c>
      <c r="AB19" s="9" t="n">
        <v>165</v>
      </c>
      <c r="AC19" s="9" t="n">
        <v>-480.541745573688</v>
      </c>
      <c r="AD19" s="9" t="n">
        <v>10.4041726882247</v>
      </c>
      <c r="AE19" s="9" t="n">
        <v>-296.349372551493</v>
      </c>
      <c r="AF19" s="9" t="n">
        <v>3.1</v>
      </c>
      <c r="AG19" s="9" t="n">
        <v>4379.98261577663</v>
      </c>
      <c r="AH19" s="9" t="n">
        <v>4536.05203058624</v>
      </c>
      <c r="AI19" s="9" t="n">
        <v>156.069414809616</v>
      </c>
      <c r="AJ19" s="9" t="n">
        <v>-698.720000000003</v>
      </c>
      <c r="AK19" s="9" t="n">
        <v>-1224.65972910724</v>
      </c>
      <c r="AL19" s="10" t="n">
        <f aca="false">IF($C19&lt;2017,AI19,-AI19)</f>
        <v>156.069414809616</v>
      </c>
      <c r="AM19" s="11" t="n">
        <f aca="false">E19+T19-U19+AK19</f>
        <v>0</v>
      </c>
      <c r="AN19" s="11" t="n">
        <f aca="false">V19+AA19+AF19+AG19+AJ19-U19</f>
        <v>0</v>
      </c>
      <c r="AO19" s="10" t="n">
        <f aca="false">O19-P19-Q19-R19</f>
        <v>101.969525018667</v>
      </c>
      <c r="AP19" s="9" t="n">
        <v>83898.2572656922</v>
      </c>
      <c r="AQ19" s="10" t="n">
        <f aca="false">SUM(AP16:AP19)</f>
        <v>347161.409787826</v>
      </c>
    </row>
    <row r="20" customFormat="false" ht="15" hidden="false" customHeight="false" outlineLevel="0" collapsed="false">
      <c r="B20" s="7" t="s">
        <v>95</v>
      </c>
      <c r="C20" s="8" t="n">
        <v>2009</v>
      </c>
      <c r="D20" s="8" t="n">
        <v>3</v>
      </c>
      <c r="E20" s="9" t="n">
        <v>704.721896897103</v>
      </c>
      <c r="F20" s="9" t="n">
        <v>3041.68636213317</v>
      </c>
      <c r="G20" s="9" t="n">
        <v>3764.488</v>
      </c>
      <c r="H20" s="9" t="n">
        <v>13837.668</v>
      </c>
      <c r="I20" s="9" t="n">
        <v>10073.18</v>
      </c>
      <c r="J20" s="9" t="n">
        <v>-722.801637866831</v>
      </c>
      <c r="K20" s="9" t="n">
        <v>2313.68685692728</v>
      </c>
      <c r="L20" s="9" t="n">
        <v>3036.48849479411</v>
      </c>
      <c r="M20" s="9" t="n">
        <v>-2528.81222180185</v>
      </c>
      <c r="N20" s="9" t="n">
        <v>-21.4137745299396</v>
      </c>
      <c r="O20" s="9" t="n">
        <v>-2507.39844727192</v>
      </c>
      <c r="P20" s="9" t="n">
        <v>-1663.93764703705</v>
      </c>
      <c r="Q20" s="9" t="n">
        <v>-668.775884615168</v>
      </c>
      <c r="R20" s="9" t="n">
        <v>-255.423970829359</v>
      </c>
      <c r="S20" s="9" t="n">
        <v>191.847756565787</v>
      </c>
      <c r="T20" s="9" t="n">
        <v>54.7167318916649</v>
      </c>
      <c r="U20" s="9" t="n">
        <v>556.713910243671</v>
      </c>
      <c r="V20" s="9" t="n">
        <v>-330.661602219941</v>
      </c>
      <c r="W20" s="9" t="n">
        <v>354.193000633289</v>
      </c>
      <c r="X20" s="9" t="n">
        <v>0</v>
      </c>
      <c r="Y20" s="9" t="n">
        <v>1381</v>
      </c>
      <c r="Z20" s="9" t="n">
        <v>-696.14539714677</v>
      </c>
      <c r="AA20" s="9" t="n">
        <v>817.147247557825</v>
      </c>
      <c r="AB20" s="9" t="n">
        <v>304</v>
      </c>
      <c r="AC20" s="9" t="n">
        <v>-168.6982</v>
      </c>
      <c r="AD20" s="9" t="n">
        <v>-54.2868034483821</v>
      </c>
      <c r="AE20" s="9" t="n">
        <v>-627.558644109443</v>
      </c>
      <c r="AF20" s="9" t="n">
        <v>20.4</v>
      </c>
      <c r="AG20" s="9" t="n">
        <v>-1761.26173509422</v>
      </c>
      <c r="AH20" s="9" t="n">
        <v>367.694475269158</v>
      </c>
      <c r="AI20" s="9" t="n">
        <v>2128.95621036337</v>
      </c>
      <c r="AJ20" s="9" t="n">
        <v>1811.09</v>
      </c>
      <c r="AK20" s="9" t="n">
        <v>-202.724718545097</v>
      </c>
      <c r="AL20" s="10" t="n">
        <f aca="false">IF($C20&lt;2017,AI20,-AI20)</f>
        <v>2128.95621036337</v>
      </c>
      <c r="AM20" s="11" t="n">
        <f aca="false">E20+T20-U20+AK20</f>
        <v>0</v>
      </c>
      <c r="AN20" s="11" t="n">
        <f aca="false">V20+AA20+AF20+AG20+AJ20-U20</f>
        <v>0</v>
      </c>
      <c r="AO20" s="10" t="n">
        <f aca="false">O20-P20-Q20-R20</f>
        <v>80.7390552096619</v>
      </c>
      <c r="AP20" s="9" t="n">
        <v>82875.0436006628</v>
      </c>
      <c r="AQ20" s="10" t="n">
        <f aca="false">SUM(AP17:AP20)</f>
        <v>332893.660608119</v>
      </c>
    </row>
    <row r="21" customFormat="false" ht="15" hidden="false" customHeight="false" outlineLevel="0" collapsed="false">
      <c r="B21" s="7" t="s">
        <v>96</v>
      </c>
      <c r="C21" s="8" t="n">
        <v>2009</v>
      </c>
      <c r="D21" s="8" t="n">
        <v>4</v>
      </c>
      <c r="E21" s="9" t="n">
        <v>1060.87714437816</v>
      </c>
      <c r="F21" s="9" t="n">
        <v>3793.83581162128</v>
      </c>
      <c r="G21" s="9" t="n">
        <v>4082.223</v>
      </c>
      <c r="H21" s="9" t="n">
        <v>14499.733</v>
      </c>
      <c r="I21" s="9" t="n">
        <v>10417.51</v>
      </c>
      <c r="J21" s="9" t="n">
        <v>-288.387188378718</v>
      </c>
      <c r="K21" s="9" t="n">
        <v>3129.72211611434</v>
      </c>
      <c r="L21" s="9" t="n">
        <v>3418.10930449306</v>
      </c>
      <c r="M21" s="9" t="n">
        <v>-2997.82456274477</v>
      </c>
      <c r="N21" s="9" t="n">
        <v>-12.7901257277265</v>
      </c>
      <c r="O21" s="9" t="n">
        <v>-2985.03443701705</v>
      </c>
      <c r="P21" s="9" t="n">
        <v>-2055.54998339286</v>
      </c>
      <c r="Q21" s="9" t="n">
        <v>-733.187032864019</v>
      </c>
      <c r="R21" s="9" t="n">
        <v>-255.457420760166</v>
      </c>
      <c r="S21" s="9" t="n">
        <v>264.865895501645</v>
      </c>
      <c r="T21" s="9" t="n">
        <v>2.5991993196065</v>
      </c>
      <c r="U21" s="9" t="n">
        <v>2018.71642321667</v>
      </c>
      <c r="V21" s="9" t="n">
        <v>-1064.57443352826</v>
      </c>
      <c r="W21" s="9" t="n">
        <v>251.425566471743</v>
      </c>
      <c r="X21" s="9" t="n">
        <v>0</v>
      </c>
      <c r="Y21" s="9" t="n">
        <v>1139</v>
      </c>
      <c r="Z21" s="9" t="n">
        <v>177</v>
      </c>
      <c r="AA21" s="9" t="n">
        <v>539.1976282873</v>
      </c>
      <c r="AB21" s="9" t="n">
        <v>405</v>
      </c>
      <c r="AC21" s="9" t="n">
        <v>-428.668</v>
      </c>
      <c r="AD21" s="9" t="n">
        <v>-94.9348455623686</v>
      </c>
      <c r="AE21" s="9" t="n">
        <v>-467.930782724932</v>
      </c>
      <c r="AF21" s="9" t="n">
        <v>1225.7</v>
      </c>
      <c r="AG21" s="9" t="n">
        <v>1351.67322845762</v>
      </c>
      <c r="AH21" s="9" t="n">
        <v>-456.05594552361</v>
      </c>
      <c r="AI21" s="9" t="n">
        <v>-1807.72917398123</v>
      </c>
      <c r="AJ21" s="9" t="n">
        <v>-33.2799999999979</v>
      </c>
      <c r="AK21" s="9" t="n">
        <v>955.240079518903</v>
      </c>
      <c r="AL21" s="10" t="n">
        <f aca="false">IF($C21&lt;2017,AI21,-AI21)</f>
        <v>-1807.72917398123</v>
      </c>
      <c r="AM21" s="11" t="n">
        <f aca="false">E21+T21-U21+AK21</f>
        <v>0</v>
      </c>
      <c r="AN21" s="11" t="n">
        <f aca="false">V21+AA21+AF21+AG21+AJ21-U21</f>
        <v>0</v>
      </c>
      <c r="AO21" s="10" t="n">
        <f aca="false">O21-P21-Q21-R21</f>
        <v>59.1600000000006</v>
      </c>
      <c r="AP21" s="9" t="n">
        <v>89011.3274478012</v>
      </c>
      <c r="AQ21" s="10" t="n">
        <f aca="false">SUM(AP18:AP21)</f>
        <v>334281.740236008</v>
      </c>
    </row>
    <row r="22" customFormat="false" ht="15" hidden="false" customHeight="false" outlineLevel="0" collapsed="false">
      <c r="B22" s="7" t="s">
        <v>97</v>
      </c>
      <c r="C22" s="8" t="n">
        <v>2010</v>
      </c>
      <c r="D22" s="8" t="n">
        <v>1</v>
      </c>
      <c r="E22" s="9" t="n">
        <v>-1632.51983707698</v>
      </c>
      <c r="F22" s="9" t="n">
        <v>1950.37243730815</v>
      </c>
      <c r="G22" s="9" t="n">
        <v>2520.98035765</v>
      </c>
      <c r="H22" s="9" t="n">
        <v>13082.378</v>
      </c>
      <c r="I22" s="9" t="n">
        <v>10561.39764235</v>
      </c>
      <c r="J22" s="9" t="n">
        <v>-570.607920341858</v>
      </c>
      <c r="K22" s="9" t="n">
        <v>3164.98577161261</v>
      </c>
      <c r="L22" s="9" t="n">
        <v>3735.59369195447</v>
      </c>
      <c r="M22" s="9" t="n">
        <v>-3722.87549982267</v>
      </c>
      <c r="N22" s="9" t="n">
        <v>-13.7733835000875</v>
      </c>
      <c r="O22" s="9" t="n">
        <v>-3709.10211632258</v>
      </c>
      <c r="P22" s="9" t="n">
        <v>-2847.68511405442</v>
      </c>
      <c r="Q22" s="9" t="n">
        <v>-667.399208900151</v>
      </c>
      <c r="R22" s="9" t="n">
        <v>-227.569235717678</v>
      </c>
      <c r="S22" s="9" t="n">
        <v>139.983225437539</v>
      </c>
      <c r="T22" s="9" t="n">
        <v>17.275787489199</v>
      </c>
      <c r="U22" s="9" t="n">
        <v>-1661.39445482803</v>
      </c>
      <c r="V22" s="9" t="n">
        <v>-3159.37029089772</v>
      </c>
      <c r="W22" s="9" t="n">
        <v>428.186928601817</v>
      </c>
      <c r="X22" s="9" t="n">
        <v>0</v>
      </c>
      <c r="Y22" s="9" t="n">
        <v>2838.27049156232</v>
      </c>
      <c r="Z22" s="9" t="n">
        <v>749.286727937215</v>
      </c>
      <c r="AA22" s="9" t="n">
        <v>-211.473092031758</v>
      </c>
      <c r="AB22" s="9" t="n">
        <v>-33</v>
      </c>
      <c r="AC22" s="9" t="n">
        <v>11.3424</v>
      </c>
      <c r="AD22" s="9" t="n">
        <v>-215.442207120147</v>
      </c>
      <c r="AE22" s="9" t="n">
        <v>405.257699151905</v>
      </c>
      <c r="AF22" s="9" t="n">
        <v>23.4</v>
      </c>
      <c r="AG22" s="9" t="n">
        <v>1989.64892810145</v>
      </c>
      <c r="AH22" s="9" t="n">
        <v>3095.52733974502</v>
      </c>
      <c r="AI22" s="9" t="n">
        <v>1105.87841164357</v>
      </c>
      <c r="AJ22" s="9" t="n">
        <v>-303.600000000005</v>
      </c>
      <c r="AK22" s="9" t="n">
        <v>-46.1504052402456</v>
      </c>
      <c r="AL22" s="10" t="n">
        <f aca="false">IF($C22&lt;2017,AI22,-AI22)</f>
        <v>1105.87841164357</v>
      </c>
      <c r="AM22" s="11" t="n">
        <f aca="false">E22+T22-U22+AK22</f>
        <v>2.27373675443232E-013</v>
      </c>
      <c r="AN22" s="11" t="n">
        <f aca="false">V22+AA22+AF22+AG22+AJ22-U22</f>
        <v>0</v>
      </c>
      <c r="AO22" s="10" t="n">
        <f aca="false">O22-P22-Q22-R22</f>
        <v>33.551442349663</v>
      </c>
      <c r="AP22" s="9" t="n">
        <v>92380.2984818789</v>
      </c>
      <c r="AQ22" s="10" t="n">
        <f aca="false">SUM(AP19:AP22)</f>
        <v>348164.926796035</v>
      </c>
    </row>
    <row r="23" customFormat="false" ht="15" hidden="false" customHeight="false" outlineLevel="0" collapsed="false">
      <c r="B23" s="7" t="s">
        <v>98</v>
      </c>
      <c r="C23" s="8" t="n">
        <v>2010</v>
      </c>
      <c r="D23" s="8" t="n">
        <v>2</v>
      </c>
      <c r="E23" s="9" t="n">
        <v>2101.38347119383</v>
      </c>
      <c r="F23" s="9" t="n">
        <v>5372.55645967524</v>
      </c>
      <c r="G23" s="9" t="n">
        <v>5936.73909555</v>
      </c>
      <c r="H23" s="9" t="n">
        <v>19117.864</v>
      </c>
      <c r="I23" s="9" t="n">
        <v>13181.12490445</v>
      </c>
      <c r="J23" s="9" t="n">
        <v>-564.182635874759</v>
      </c>
      <c r="K23" s="9" t="n">
        <v>2987.75245463425</v>
      </c>
      <c r="L23" s="9" t="n">
        <v>3551.93509050901</v>
      </c>
      <c r="M23" s="9" t="n">
        <v>-3486.39476710186</v>
      </c>
      <c r="N23" s="9" t="n">
        <v>-11.665439274438</v>
      </c>
      <c r="O23" s="9" t="n">
        <v>-3474.72932782742</v>
      </c>
      <c r="P23" s="9" t="n">
        <v>-2657.32123852588</v>
      </c>
      <c r="Q23" s="9" t="n">
        <v>-563.286046727933</v>
      </c>
      <c r="R23" s="9" t="n">
        <v>-293.06928233148</v>
      </c>
      <c r="S23" s="9" t="n">
        <v>215.221778620453</v>
      </c>
      <c r="T23" s="9" t="n">
        <v>3.9</v>
      </c>
      <c r="U23" s="9" t="n">
        <v>937.488352796391</v>
      </c>
      <c r="V23" s="9" t="n">
        <v>-1898.73739831721</v>
      </c>
      <c r="W23" s="9" t="n">
        <v>4.0516403674448</v>
      </c>
      <c r="X23" s="9" t="n">
        <v>0</v>
      </c>
      <c r="Y23" s="9" t="n">
        <v>602.956110971215</v>
      </c>
      <c r="Z23" s="9" t="n">
        <v>1299.83292771344</v>
      </c>
      <c r="AA23" s="9" t="n">
        <v>-1082.57856257289</v>
      </c>
      <c r="AB23" s="9" t="n">
        <v>-26</v>
      </c>
      <c r="AC23" s="9" t="n">
        <v>-994.45579786558</v>
      </c>
      <c r="AD23" s="9" t="n">
        <v>-82.5114072007655</v>
      </c>
      <c r="AE23" s="9" t="n">
        <v>144.634171908078</v>
      </c>
      <c r="AF23" s="9" t="n">
        <v>84.0250020335049</v>
      </c>
      <c r="AG23" s="9" t="n">
        <v>1730.36931165299</v>
      </c>
      <c r="AH23" s="9" t="n">
        <v>2516.93075831098</v>
      </c>
      <c r="AI23" s="9" t="n">
        <v>786.561446657997</v>
      </c>
      <c r="AJ23" s="9" t="n">
        <v>2104.41</v>
      </c>
      <c r="AK23" s="9" t="n">
        <v>-1167.79511839744</v>
      </c>
      <c r="AL23" s="10" t="n">
        <f aca="false">IF($C23&lt;2017,AI23,-AI23)</f>
        <v>786.561446657997</v>
      </c>
      <c r="AM23" s="11" t="n">
        <f aca="false">E23+T23-U23+AK23</f>
        <v>0</v>
      </c>
      <c r="AN23" s="11" t="n">
        <f aca="false">V23+AA23+AF23+AG23+AJ23-U23</f>
        <v>0</v>
      </c>
      <c r="AO23" s="10" t="n">
        <f aca="false">O23-P23-Q23-R23</f>
        <v>38.9472397578721</v>
      </c>
      <c r="AP23" s="9" t="n">
        <v>108050.946663338</v>
      </c>
      <c r="AQ23" s="10" t="n">
        <f aca="false">SUM(AP20:AP23)</f>
        <v>372317.616193681</v>
      </c>
    </row>
    <row r="24" customFormat="false" ht="15" hidden="false" customHeight="false" outlineLevel="0" collapsed="false">
      <c r="B24" s="7" t="s">
        <v>99</v>
      </c>
      <c r="C24" s="8" t="n">
        <v>2010</v>
      </c>
      <c r="D24" s="8" t="n">
        <v>3</v>
      </c>
      <c r="E24" s="9" t="n">
        <v>-529.235555366864</v>
      </c>
      <c r="F24" s="9" t="n">
        <v>2998.22912220771</v>
      </c>
      <c r="G24" s="9" t="n">
        <v>3532.1404606</v>
      </c>
      <c r="H24" s="9" t="n">
        <v>18767.533</v>
      </c>
      <c r="I24" s="9" t="n">
        <v>15235.3925394</v>
      </c>
      <c r="J24" s="9" t="n">
        <v>-533.911338392294</v>
      </c>
      <c r="K24" s="9" t="n">
        <v>2968.07680589468</v>
      </c>
      <c r="L24" s="9" t="n">
        <v>3501.98814428698</v>
      </c>
      <c r="M24" s="9" t="n">
        <v>-3649.64685277466</v>
      </c>
      <c r="N24" s="9" t="n">
        <v>-15.6406838340557</v>
      </c>
      <c r="O24" s="9" t="n">
        <v>-3634.0061689406</v>
      </c>
      <c r="P24" s="9" t="n">
        <v>-2829.2641936483</v>
      </c>
      <c r="Q24" s="9" t="n">
        <v>-540.177486804782</v>
      </c>
      <c r="R24" s="9" t="n">
        <v>-306.789920232464</v>
      </c>
      <c r="S24" s="9" t="n">
        <v>122.182175200082</v>
      </c>
      <c r="T24" s="9" t="n">
        <v>54.735</v>
      </c>
      <c r="U24" s="9" t="n">
        <v>-816.583066149596</v>
      </c>
      <c r="V24" s="9" t="n">
        <v>-2906.16744392378</v>
      </c>
      <c r="W24" s="9" t="n">
        <v>254.141123942635</v>
      </c>
      <c r="X24" s="9" t="n">
        <v>0</v>
      </c>
      <c r="Y24" s="9" t="n">
        <v>2523.66714343017</v>
      </c>
      <c r="Z24" s="9" t="n">
        <v>636.641424436245</v>
      </c>
      <c r="AA24" s="9" t="n">
        <v>-309.074953912127</v>
      </c>
      <c r="AB24" s="9" t="n">
        <v>285</v>
      </c>
      <c r="AC24" s="9" t="n">
        <v>-160.763987940864</v>
      </c>
      <c r="AD24" s="9" t="n">
        <v>95.972418060002</v>
      </c>
      <c r="AE24" s="9" t="n">
        <v>337.338547911262</v>
      </c>
      <c r="AF24" s="9" t="n">
        <v>-798.7</v>
      </c>
      <c r="AG24" s="9" t="n">
        <v>1918.55933168632</v>
      </c>
      <c r="AH24" s="9" t="n">
        <v>2832.6957451549</v>
      </c>
      <c r="AI24" s="9" t="n">
        <v>914.136413468586</v>
      </c>
      <c r="AJ24" s="9" t="n">
        <v>1278.8</v>
      </c>
      <c r="AK24" s="9" t="n">
        <v>-342.082510782732</v>
      </c>
      <c r="AL24" s="10" t="n">
        <f aca="false">IF($C24&lt;2017,AI24,-AI24)</f>
        <v>914.136413468586</v>
      </c>
      <c r="AM24" s="11" t="n">
        <f aca="false">E24+T24-U24+AK24</f>
        <v>0</v>
      </c>
      <c r="AN24" s="11" t="n">
        <f aca="false">V24+AA24+AF24+AG24+AJ24-U24</f>
        <v>0</v>
      </c>
      <c r="AO24" s="10" t="n">
        <f aca="false">O24-P24-Q24-R24</f>
        <v>42.2254317449492</v>
      </c>
      <c r="AP24" s="9" t="n">
        <v>108651.720988078</v>
      </c>
      <c r="AQ24" s="10" t="n">
        <f aca="false">SUM(AP21:AP24)</f>
        <v>398094.293581096</v>
      </c>
    </row>
    <row r="25" customFormat="false" ht="15" hidden="false" customHeight="false" outlineLevel="0" collapsed="false">
      <c r="B25" s="7" t="s">
        <v>100</v>
      </c>
      <c r="C25" s="8" t="n">
        <v>2010</v>
      </c>
      <c r="D25" s="8" t="n">
        <v>4</v>
      </c>
      <c r="E25" s="9" t="n">
        <v>-1562.62395000067</v>
      </c>
      <c r="F25" s="9" t="n">
        <v>2022.36262938721</v>
      </c>
      <c r="G25" s="9" t="n">
        <v>2157.24938469</v>
      </c>
      <c r="H25" s="9" t="n">
        <v>17338.098</v>
      </c>
      <c r="I25" s="9" t="n">
        <v>15180.84861531</v>
      </c>
      <c r="J25" s="9" t="n">
        <v>-134.886755302784</v>
      </c>
      <c r="K25" s="9" t="n">
        <v>3696.32832846722</v>
      </c>
      <c r="L25" s="9" t="n">
        <v>3831.21508377001</v>
      </c>
      <c r="M25" s="9" t="n">
        <v>-3688.61608423777</v>
      </c>
      <c r="N25" s="9" t="n">
        <v>-13.6438394636376</v>
      </c>
      <c r="O25" s="9" t="n">
        <v>-3674.97224477414</v>
      </c>
      <c r="P25" s="9" t="n">
        <v>-2827.43398562239</v>
      </c>
      <c r="Q25" s="9" t="n">
        <v>-642.278926556974</v>
      </c>
      <c r="R25" s="9" t="n">
        <v>-239.473572174753</v>
      </c>
      <c r="S25" s="9" t="n">
        <v>103.629504849887</v>
      </c>
      <c r="T25" s="9" t="n">
        <v>2.56709724756904</v>
      </c>
      <c r="U25" s="9" t="n">
        <v>-2261.61411924361</v>
      </c>
      <c r="V25" s="9" t="n">
        <v>-2403.68281290395</v>
      </c>
      <c r="W25" s="9" t="n">
        <v>278.380987479911</v>
      </c>
      <c r="X25" s="9" t="n">
        <v>0</v>
      </c>
      <c r="Y25" s="9" t="n">
        <v>1861.14329603441</v>
      </c>
      <c r="Z25" s="9" t="n">
        <v>820.920504349447</v>
      </c>
      <c r="AA25" s="9" t="n">
        <v>-1659.06700790035</v>
      </c>
      <c r="AB25" s="9" t="n">
        <v>414</v>
      </c>
      <c r="AC25" s="9" t="n">
        <v>-82.5353275203409</v>
      </c>
      <c r="AD25" s="9" t="n">
        <v>130.964874692201</v>
      </c>
      <c r="AE25" s="9" t="n">
        <v>1859.56680568781</v>
      </c>
      <c r="AF25" s="9" t="n">
        <v>-20.9829688881965</v>
      </c>
      <c r="AG25" s="9" t="n">
        <v>744.37867044889</v>
      </c>
      <c r="AH25" s="9" t="n">
        <v>271.878987131375</v>
      </c>
      <c r="AI25" s="9" t="n">
        <v>-472.499683317514</v>
      </c>
      <c r="AJ25" s="9" t="n">
        <v>1077.74</v>
      </c>
      <c r="AK25" s="9" t="n">
        <v>-701.557266490502</v>
      </c>
      <c r="AL25" s="10" t="n">
        <f aca="false">IF($C25&lt;2017,AI25,-AI25)</f>
        <v>-472.499683317514</v>
      </c>
      <c r="AM25" s="11" t="n">
        <f aca="false">E25+T25-U25+AK25</f>
        <v>0</v>
      </c>
      <c r="AN25" s="11" t="n">
        <f aca="false">V25+AA25+AF25+AG25+AJ25-U25</f>
        <v>0</v>
      </c>
      <c r="AO25" s="10" t="n">
        <f aca="false">O25-P25-Q25-R25</f>
        <v>34.214239579979</v>
      </c>
      <c r="AP25" s="9" t="n">
        <v>115261.831913072</v>
      </c>
      <c r="AQ25" s="10" t="n">
        <f aca="false">SUM(AP22:AP25)</f>
        <v>424344.798046367</v>
      </c>
    </row>
    <row r="26" customFormat="false" ht="15" hidden="false" customHeight="false" outlineLevel="0" collapsed="false">
      <c r="B26" s="7" t="s">
        <v>101</v>
      </c>
      <c r="C26" s="8" t="n">
        <v>2011</v>
      </c>
      <c r="D26" s="8" t="n">
        <v>1</v>
      </c>
      <c r="E26" s="9" t="n">
        <v>-2242.12776277108</v>
      </c>
      <c r="F26" s="9" t="n">
        <v>1231.18238832781</v>
      </c>
      <c r="G26" s="9" t="n">
        <v>2082.90228318</v>
      </c>
      <c r="H26" s="9" t="n">
        <v>16706.599</v>
      </c>
      <c r="I26" s="9" t="n">
        <v>14623.69671682</v>
      </c>
      <c r="J26" s="9" t="n">
        <v>-851.719894852196</v>
      </c>
      <c r="K26" s="9" t="n">
        <v>3523.50222767909</v>
      </c>
      <c r="L26" s="9" t="n">
        <v>4375.22212253129</v>
      </c>
      <c r="M26" s="9" t="n">
        <v>-3497.99128291491</v>
      </c>
      <c r="N26" s="9" t="n">
        <v>-9.59020159998345</v>
      </c>
      <c r="O26" s="9" t="n">
        <v>-3488.40108131492</v>
      </c>
      <c r="P26" s="9" t="n">
        <v>-2620.42397764396</v>
      </c>
      <c r="Q26" s="9" t="n">
        <v>-673.157039398303</v>
      </c>
      <c r="R26" s="9" t="n">
        <v>-225.624313922214</v>
      </c>
      <c r="S26" s="9" t="n">
        <v>24.6811318160188</v>
      </c>
      <c r="T26" s="9" t="n">
        <v>16.4506</v>
      </c>
      <c r="U26" s="9" t="n">
        <v>-1876.30976321864</v>
      </c>
      <c r="V26" s="9" t="n">
        <v>-3213.75456102471</v>
      </c>
      <c r="W26" s="9" t="n">
        <v>430</v>
      </c>
      <c r="X26" s="9" t="n">
        <v>0</v>
      </c>
      <c r="Y26" s="9" t="n">
        <v>2687.24921526333</v>
      </c>
      <c r="Z26" s="9" t="n">
        <v>956.505345761376</v>
      </c>
      <c r="AA26" s="9" t="n">
        <v>-695.364109016023</v>
      </c>
      <c r="AB26" s="9" t="n">
        <v>259</v>
      </c>
      <c r="AC26" s="9" t="n">
        <v>-208.446476873473</v>
      </c>
      <c r="AD26" s="9" t="n">
        <v>-51.0172659840873</v>
      </c>
      <c r="AE26" s="9" t="n">
        <v>796.934898126637</v>
      </c>
      <c r="AF26" s="9" t="n">
        <v>35.9009022059723</v>
      </c>
      <c r="AG26" s="9" t="n">
        <v>3156.39800461612</v>
      </c>
      <c r="AH26" s="9" t="n">
        <v>4629.26895563358</v>
      </c>
      <c r="AI26" s="9" t="n">
        <v>1472.87095101746</v>
      </c>
      <c r="AJ26" s="9" t="n">
        <v>-1159.49</v>
      </c>
      <c r="AK26" s="9" t="n">
        <v>349.367399552442</v>
      </c>
      <c r="AL26" s="10" t="n">
        <f aca="false">IF($C26&lt;2017,AI26,-AI26)</f>
        <v>1472.87095101746</v>
      </c>
      <c r="AM26" s="11" t="n">
        <f aca="false">E26+T26-U26+AK26</f>
        <v>0</v>
      </c>
      <c r="AN26" s="11" t="n">
        <f aca="false">V26+AA26+AF26+AG26+AJ26-U26</f>
        <v>0</v>
      </c>
      <c r="AO26" s="10" t="n">
        <f aca="false">O26-P26-Q26-R26</f>
        <v>30.8042496495559</v>
      </c>
      <c r="AP26" s="9" t="n">
        <v>117656.780920807</v>
      </c>
      <c r="AQ26" s="10" t="n">
        <f aca="false">SUM(AP23:AP26)</f>
        <v>449621.280485295</v>
      </c>
    </row>
    <row r="27" customFormat="false" ht="15" hidden="false" customHeight="false" outlineLevel="0" collapsed="false">
      <c r="B27" s="7" t="s">
        <v>102</v>
      </c>
      <c r="C27" s="8" t="n">
        <v>2011</v>
      </c>
      <c r="D27" s="8" t="n">
        <v>2</v>
      </c>
      <c r="E27" s="9" t="n">
        <v>508.988218682458</v>
      </c>
      <c r="F27" s="9" t="n">
        <v>4117.73692604364</v>
      </c>
      <c r="G27" s="9" t="n">
        <v>4899.55232564</v>
      </c>
      <c r="H27" s="9" t="n">
        <v>22833.188</v>
      </c>
      <c r="I27" s="9" t="n">
        <v>17933.63567436</v>
      </c>
      <c r="J27" s="9" t="n">
        <v>-781.815399596358</v>
      </c>
      <c r="K27" s="9" t="n">
        <v>3347.59534135146</v>
      </c>
      <c r="L27" s="9" t="n">
        <v>4129.41074094782</v>
      </c>
      <c r="M27" s="9" t="n">
        <v>-3766.26911820559</v>
      </c>
      <c r="N27" s="9" t="n">
        <v>-10.8431102204947</v>
      </c>
      <c r="O27" s="9" t="n">
        <v>-3755.42600798509</v>
      </c>
      <c r="P27" s="9" t="n">
        <v>-2751.08588069621</v>
      </c>
      <c r="Q27" s="9" t="n">
        <v>-726.382973340865</v>
      </c>
      <c r="R27" s="9" t="n">
        <v>-298.844007867728</v>
      </c>
      <c r="S27" s="9" t="n">
        <v>157.520410844401</v>
      </c>
      <c r="T27" s="9" t="n">
        <v>1.15</v>
      </c>
      <c r="U27" s="9" t="n">
        <v>168.134831682473</v>
      </c>
      <c r="V27" s="9" t="n">
        <v>-631.506566316237</v>
      </c>
      <c r="W27" s="9" t="n">
        <v>404</v>
      </c>
      <c r="X27" s="9" t="n">
        <v>0</v>
      </c>
      <c r="Y27" s="9" t="n">
        <v>788.894282807048</v>
      </c>
      <c r="Z27" s="9" t="n">
        <v>246.612283509189</v>
      </c>
      <c r="AA27" s="9" t="n">
        <v>-84.9487582620553</v>
      </c>
      <c r="AB27" s="9" t="n">
        <v>301</v>
      </c>
      <c r="AC27" s="9" t="n">
        <v>-13.4010451051482</v>
      </c>
      <c r="AD27" s="9" t="n">
        <v>85.8399865801663</v>
      </c>
      <c r="AE27" s="9" t="n">
        <v>286.707726576741</v>
      </c>
      <c r="AF27" s="9" t="n">
        <v>161.256137739978</v>
      </c>
      <c r="AG27" s="9" t="n">
        <v>497.614018520785</v>
      </c>
      <c r="AH27" s="9" t="n">
        <v>4384.25608982045</v>
      </c>
      <c r="AI27" s="9" t="n">
        <v>3886.64207129966</v>
      </c>
      <c r="AJ27" s="9" t="n">
        <v>225.720000000002</v>
      </c>
      <c r="AK27" s="9" t="n">
        <v>-342.003386999985</v>
      </c>
      <c r="AL27" s="10" t="n">
        <f aca="false">IF($C27&lt;2017,AI27,-AI27)</f>
        <v>3886.64207129966</v>
      </c>
      <c r="AM27" s="11" t="n">
        <f aca="false">E27+T27-U27+AK27</f>
        <v>0</v>
      </c>
      <c r="AN27" s="11" t="n">
        <f aca="false">V27+AA27+AF27+AG27+AJ27-U27</f>
        <v>0</v>
      </c>
      <c r="AO27" s="10" t="n">
        <f aca="false">O27-P27-Q27-R27</f>
        <v>20.8868539197088</v>
      </c>
      <c r="AP27" s="9" t="n">
        <v>137017.008009907</v>
      </c>
      <c r="AQ27" s="10" t="n">
        <f aca="false">SUM(AP24:AP27)</f>
        <v>478587.341831864</v>
      </c>
    </row>
    <row r="28" customFormat="false" ht="15" hidden="false" customHeight="false" outlineLevel="0" collapsed="false">
      <c r="B28" s="7" t="s">
        <v>103</v>
      </c>
      <c r="C28" s="8" t="n">
        <v>2011</v>
      </c>
      <c r="D28" s="8" t="n">
        <v>3</v>
      </c>
      <c r="E28" s="9" t="n">
        <v>-1516.10986045585</v>
      </c>
      <c r="F28" s="9" t="n">
        <v>1926.96286214835</v>
      </c>
      <c r="G28" s="9" t="n">
        <v>2809.74301034</v>
      </c>
      <c r="H28" s="9" t="n">
        <v>23303.707</v>
      </c>
      <c r="I28" s="9" t="n">
        <v>20493.96398966</v>
      </c>
      <c r="J28" s="9" t="n">
        <v>-882.780148191648</v>
      </c>
      <c r="K28" s="9" t="n">
        <v>3450.41139520334</v>
      </c>
      <c r="L28" s="9" t="n">
        <v>4333.19154339499</v>
      </c>
      <c r="M28" s="9" t="n">
        <v>-3654.53858075814</v>
      </c>
      <c r="N28" s="9" t="n">
        <v>-15.8374744330858</v>
      </c>
      <c r="O28" s="9" t="n">
        <v>-3638.70110632506</v>
      </c>
      <c r="P28" s="9" t="n">
        <v>-2703.66494339349</v>
      </c>
      <c r="Q28" s="9" t="n">
        <v>-652.551880315066</v>
      </c>
      <c r="R28" s="9" t="n">
        <v>-300.531475076963</v>
      </c>
      <c r="S28" s="9" t="n">
        <v>211.465858153944</v>
      </c>
      <c r="T28" s="9" t="n">
        <v>44.622</v>
      </c>
      <c r="U28" s="9" t="n">
        <v>-3477.04464794056</v>
      </c>
      <c r="V28" s="9" t="n">
        <v>-1390.31127575062</v>
      </c>
      <c r="W28" s="9" t="n">
        <v>329</v>
      </c>
      <c r="X28" s="9" t="n">
        <v>0</v>
      </c>
      <c r="Y28" s="9" t="n">
        <v>1751.63526156594</v>
      </c>
      <c r="Z28" s="9" t="n">
        <v>-32.3239858153258</v>
      </c>
      <c r="AA28" s="9" t="n">
        <v>-142.721866306438</v>
      </c>
      <c r="AB28" s="9" t="n">
        <v>-299</v>
      </c>
      <c r="AC28" s="9" t="n">
        <v>46.5992971771395</v>
      </c>
      <c r="AD28" s="9" t="n">
        <v>126.620883760985</v>
      </c>
      <c r="AE28" s="9" t="n">
        <v>-236.299720277408</v>
      </c>
      <c r="AF28" s="9" t="n">
        <v>32.9471578232777</v>
      </c>
      <c r="AG28" s="9" t="n">
        <v>1176.56133629322</v>
      </c>
      <c r="AH28" s="9" t="n">
        <v>5621.41695491862</v>
      </c>
      <c r="AI28" s="9" t="n">
        <v>4444.85561862541</v>
      </c>
      <c r="AJ28" s="9" t="n">
        <v>-3153.52</v>
      </c>
      <c r="AK28" s="9" t="n">
        <v>-2005.55678748471</v>
      </c>
      <c r="AL28" s="10" t="n">
        <f aca="false">IF($C28&lt;2017,AI28,-AI28)</f>
        <v>4444.85561862541</v>
      </c>
      <c r="AM28" s="11" t="n">
        <f aca="false">E28+T28-U28+AK28</f>
        <v>0</v>
      </c>
      <c r="AN28" s="11" t="n">
        <f aca="false">V28+AA28+AF28+AG28+AJ28-U28</f>
        <v>0</v>
      </c>
      <c r="AO28" s="10" t="n">
        <f aca="false">O28-P28-Q28-R28</f>
        <v>18.0471924604611</v>
      </c>
      <c r="AP28" s="9" t="n">
        <v>135015.784190434</v>
      </c>
      <c r="AQ28" s="10" t="n">
        <f aca="false">SUM(AP25:AP28)</f>
        <v>504951.40503422</v>
      </c>
    </row>
    <row r="29" customFormat="false" ht="15" hidden="false" customHeight="false" outlineLevel="0" collapsed="false">
      <c r="B29" s="7" t="s">
        <v>104</v>
      </c>
      <c r="C29" s="8" t="n">
        <v>2011</v>
      </c>
      <c r="D29" s="8" t="n">
        <v>4</v>
      </c>
      <c r="E29" s="9" t="n">
        <v>-2090.93178785073</v>
      </c>
      <c r="F29" s="9" t="n">
        <v>1922.56087319374</v>
      </c>
      <c r="G29" s="9" t="n">
        <v>2558.73346763</v>
      </c>
      <c r="H29" s="9" t="n">
        <v>20276.215</v>
      </c>
      <c r="I29" s="9" t="n">
        <v>17717.48153237</v>
      </c>
      <c r="J29" s="9" t="n">
        <v>-636.172594436263</v>
      </c>
      <c r="K29" s="9" t="n">
        <v>4175.47231114959</v>
      </c>
      <c r="L29" s="9" t="n">
        <v>4811.64490558586</v>
      </c>
      <c r="M29" s="9" t="n">
        <v>-4154.26811797249</v>
      </c>
      <c r="N29" s="9" t="n">
        <v>-9.62709149375674</v>
      </c>
      <c r="O29" s="9" t="n">
        <v>-4144.64102647874</v>
      </c>
      <c r="P29" s="9" t="n">
        <v>-3061.1804400372</v>
      </c>
      <c r="Q29" s="9" t="n">
        <v>-692.599972022326</v>
      </c>
      <c r="R29" s="9" t="n">
        <v>-402.853876491696</v>
      </c>
      <c r="S29" s="9" t="n">
        <v>140.775456928025</v>
      </c>
      <c r="T29" s="9" t="n">
        <v>0.501246223564955</v>
      </c>
      <c r="U29" s="9" t="n">
        <v>-66.9833957458041</v>
      </c>
      <c r="V29" s="9" t="n">
        <v>-4116.35854158994</v>
      </c>
      <c r="W29" s="9" t="n">
        <v>325</v>
      </c>
      <c r="X29" s="9" t="n">
        <v>0</v>
      </c>
      <c r="Y29" s="9" t="n">
        <v>3012.58181715578</v>
      </c>
      <c r="Z29" s="9" t="n">
        <v>1428.77672443416</v>
      </c>
      <c r="AA29" s="9" t="n">
        <v>779.800577308176</v>
      </c>
      <c r="AB29" s="9" t="n">
        <v>-458</v>
      </c>
      <c r="AC29" s="9" t="n">
        <v>-19.3716903953553</v>
      </c>
      <c r="AD29" s="9" t="n">
        <v>-369.63926512419</v>
      </c>
      <c r="AE29" s="9" t="n">
        <v>-887.533002579341</v>
      </c>
      <c r="AF29" s="9" t="n">
        <v>2126.07720252451</v>
      </c>
      <c r="AG29" s="9" t="n">
        <v>3164.11736601145</v>
      </c>
      <c r="AH29" s="9" t="n">
        <v>4378.50323150415</v>
      </c>
      <c r="AI29" s="9" t="n">
        <v>1214.3858654927</v>
      </c>
      <c r="AJ29" s="9" t="n">
        <v>-2020.62</v>
      </c>
      <c r="AK29" s="9" t="n">
        <v>2023.44714588136</v>
      </c>
      <c r="AL29" s="10" t="n">
        <f aca="false">IF($C29&lt;2017,AI29,-AI29)</f>
        <v>1214.3858654927</v>
      </c>
      <c r="AM29" s="11" t="n">
        <f aca="false">E29+T29-U29+AK29</f>
        <v>0</v>
      </c>
      <c r="AN29" s="11" t="n">
        <f aca="false">V29+AA29+AF29+AG29+AJ29-U29</f>
        <v>0</v>
      </c>
      <c r="AO29" s="10" t="n">
        <f aca="false">O29-P29-Q29-R29</f>
        <v>11.993262072489</v>
      </c>
      <c r="AP29" s="9" t="n">
        <v>137425.112330737</v>
      </c>
      <c r="AQ29" s="10" t="n">
        <f aca="false">SUM(AP26:AP29)</f>
        <v>527114.685451885</v>
      </c>
    </row>
    <row r="30" customFormat="false" ht="15" hidden="false" customHeight="false" outlineLevel="0" collapsed="false">
      <c r="B30" s="7" t="s">
        <v>105</v>
      </c>
      <c r="C30" s="8" t="n">
        <v>2012</v>
      </c>
      <c r="D30" s="8" t="n">
        <v>1</v>
      </c>
      <c r="E30" s="9" t="n">
        <v>-1782.46938272684</v>
      </c>
      <c r="F30" s="9" t="n">
        <v>1824.01348590392</v>
      </c>
      <c r="G30" s="9" t="n">
        <v>3047.27200551</v>
      </c>
      <c r="H30" s="9" t="n">
        <v>17652.115</v>
      </c>
      <c r="I30" s="9" t="n">
        <v>14604.84299449</v>
      </c>
      <c r="J30" s="9" t="n">
        <v>-1223.25851960607</v>
      </c>
      <c r="K30" s="9" t="n">
        <v>3842.8691195722</v>
      </c>
      <c r="L30" s="9" t="n">
        <v>5066.12763917827</v>
      </c>
      <c r="M30" s="9" t="n">
        <v>-3756.49834392929</v>
      </c>
      <c r="N30" s="9" t="n">
        <v>-12.405693889</v>
      </c>
      <c r="O30" s="9" t="n">
        <v>-3744.09265004029</v>
      </c>
      <c r="P30" s="9" t="n">
        <v>-2677.1006536569</v>
      </c>
      <c r="Q30" s="9" t="n">
        <v>-655.759146933993</v>
      </c>
      <c r="R30" s="9" t="n">
        <v>-421.622967743331</v>
      </c>
      <c r="S30" s="9" t="n">
        <v>150.015475298524</v>
      </c>
      <c r="T30" s="9" t="n">
        <v>0.850000000000001</v>
      </c>
      <c r="U30" s="9" t="n">
        <v>-2004.78847414211</v>
      </c>
      <c r="V30" s="9" t="n">
        <v>-4153.61051060202</v>
      </c>
      <c r="W30" s="9" t="n">
        <v>516</v>
      </c>
      <c r="X30" s="9" t="n">
        <v>0</v>
      </c>
      <c r="Y30" s="9" t="n">
        <v>3506.00103197185</v>
      </c>
      <c r="Z30" s="9" t="n">
        <v>1163.60947863017</v>
      </c>
      <c r="AA30" s="9" t="n">
        <v>-1906.2137926231</v>
      </c>
      <c r="AB30" s="9" t="n">
        <v>-377</v>
      </c>
      <c r="AC30" s="9" t="n">
        <v>-5.30921808674225</v>
      </c>
      <c r="AD30" s="9" t="n">
        <v>-29.2154407294261</v>
      </c>
      <c r="AE30" s="9" t="n">
        <v>1553.12001526578</v>
      </c>
      <c r="AF30" s="9" t="n">
        <v>9.051</v>
      </c>
      <c r="AG30" s="9" t="n">
        <v>3376.18482908301</v>
      </c>
      <c r="AH30" s="9" t="n">
        <v>3047.21871485903</v>
      </c>
      <c r="AI30" s="9" t="n">
        <v>-328.966114223976</v>
      </c>
      <c r="AJ30" s="9" t="n">
        <v>669.8</v>
      </c>
      <c r="AK30" s="9" t="n">
        <v>-223.169091415274</v>
      </c>
      <c r="AL30" s="10" t="n">
        <f aca="false">IF($C30&lt;2017,AI30,-AI30)</f>
        <v>-328.966114223976</v>
      </c>
      <c r="AM30" s="11" t="n">
        <f aca="false">E30+T30-U30+AK30</f>
        <v>0</v>
      </c>
      <c r="AN30" s="11" t="n">
        <f aca="false">V30+AA30+AF30+AG30+AJ30-U30</f>
        <v>0</v>
      </c>
      <c r="AO30" s="10" t="n">
        <f aca="false">O30-P30-Q30-R30</f>
        <v>10.3901182939359</v>
      </c>
      <c r="AP30" s="9" t="n">
        <v>135082.286293488</v>
      </c>
      <c r="AQ30" s="10" t="n">
        <f aca="false">SUM(AP27:AP30)</f>
        <v>544540.190824565</v>
      </c>
    </row>
    <row r="31" customFormat="false" ht="15" hidden="false" customHeight="false" outlineLevel="0" collapsed="false">
      <c r="B31" s="7" t="s">
        <v>106</v>
      </c>
      <c r="C31" s="8" t="n">
        <v>2012</v>
      </c>
      <c r="D31" s="8" t="n">
        <v>2</v>
      </c>
      <c r="E31" s="9" t="n">
        <v>498.908373135819</v>
      </c>
      <c r="F31" s="9" t="n">
        <v>3572.47767028978</v>
      </c>
      <c r="G31" s="9" t="n">
        <v>4601.25109001001</v>
      </c>
      <c r="H31" s="9" t="n">
        <v>20646.265</v>
      </c>
      <c r="I31" s="9" t="n">
        <v>16045.01390999</v>
      </c>
      <c r="J31" s="9" t="n">
        <v>-1028.77341972023</v>
      </c>
      <c r="K31" s="9" t="n">
        <v>3354.26213069839</v>
      </c>
      <c r="L31" s="9" t="n">
        <v>4383.03555041862</v>
      </c>
      <c r="M31" s="9" t="n">
        <v>-3271.46285802489</v>
      </c>
      <c r="N31" s="9" t="n">
        <v>-10.4714568590235</v>
      </c>
      <c r="O31" s="9" t="n">
        <v>-3260.99140116587</v>
      </c>
      <c r="P31" s="9" t="n">
        <v>-2303.1263428595</v>
      </c>
      <c r="Q31" s="9" t="n">
        <v>-683.713390840485</v>
      </c>
      <c r="R31" s="9" t="n">
        <v>-287.497766133374</v>
      </c>
      <c r="S31" s="9" t="n">
        <v>197.893560870929</v>
      </c>
      <c r="T31" s="9" t="n">
        <v>22.1902995688196</v>
      </c>
      <c r="U31" s="9" t="n">
        <v>258.873852516243</v>
      </c>
      <c r="V31" s="9" t="n">
        <v>-3611.94776919585</v>
      </c>
      <c r="W31" s="9" t="n">
        <v>229.955963586278</v>
      </c>
      <c r="X31" s="9" t="n">
        <v>0</v>
      </c>
      <c r="Y31" s="9" t="n">
        <v>2733.99077404556</v>
      </c>
      <c r="Z31" s="9" t="n">
        <v>1107.91295873657</v>
      </c>
      <c r="AA31" s="9" t="n">
        <v>425.710582591144</v>
      </c>
      <c r="AB31" s="9" t="n">
        <v>270</v>
      </c>
      <c r="AC31" s="9" t="n">
        <v>171.592127539396</v>
      </c>
      <c r="AD31" s="9" t="n">
        <v>-11.1216920314486</v>
      </c>
      <c r="AE31" s="9" t="n">
        <v>27.0032369796999</v>
      </c>
      <c r="AF31" s="9" t="n">
        <v>0.588</v>
      </c>
      <c r="AG31" s="9" t="n">
        <v>4143.35303912095</v>
      </c>
      <c r="AH31" s="9" t="n">
        <v>4680.4241055914</v>
      </c>
      <c r="AI31" s="9" t="n">
        <v>537.071066470457</v>
      </c>
      <c r="AJ31" s="9" t="n">
        <v>-698.829999999995</v>
      </c>
      <c r="AK31" s="9" t="n">
        <v>-262.224820188395</v>
      </c>
      <c r="AL31" s="10" t="n">
        <f aca="false">IF($C31&lt;2017,AI31,-AI31)</f>
        <v>537.071066470457</v>
      </c>
      <c r="AM31" s="11" t="n">
        <f aca="false">E31+T31-U31+AK31</f>
        <v>0</v>
      </c>
      <c r="AN31" s="11" t="n">
        <f aca="false">V31+AA31+AF31+AG31+AJ31-U31</f>
        <v>0</v>
      </c>
      <c r="AO31" s="10" t="n">
        <f aca="false">O31-P31-Q31-R31</f>
        <v>13.3460986674924</v>
      </c>
      <c r="AP31" s="9" t="n">
        <v>148935.295046099</v>
      </c>
      <c r="AQ31" s="10" t="n">
        <f aca="false">SUM(AP28:AP31)</f>
        <v>556458.477860758</v>
      </c>
    </row>
    <row r="32" customFormat="false" ht="15" hidden="false" customHeight="false" outlineLevel="0" collapsed="false">
      <c r="B32" s="7" t="s">
        <v>107</v>
      </c>
      <c r="C32" s="8" t="n">
        <v>2012</v>
      </c>
      <c r="D32" s="8" t="n">
        <v>3</v>
      </c>
      <c r="E32" s="9" t="n">
        <v>66.3574167130282</v>
      </c>
      <c r="F32" s="9" t="n">
        <v>3228.64068080679</v>
      </c>
      <c r="G32" s="9" t="n">
        <v>4244.94298829001</v>
      </c>
      <c r="H32" s="9" t="n">
        <v>21920.104</v>
      </c>
      <c r="I32" s="9" t="n">
        <v>17675.16101171</v>
      </c>
      <c r="J32" s="9" t="n">
        <v>-1016.30230748321</v>
      </c>
      <c r="K32" s="9" t="n">
        <v>3413.57383659744</v>
      </c>
      <c r="L32" s="9" t="n">
        <v>4429.87614408066</v>
      </c>
      <c r="M32" s="9" t="n">
        <v>-3329.34441346649</v>
      </c>
      <c r="N32" s="9" t="n">
        <v>-23.251576894253</v>
      </c>
      <c r="O32" s="9" t="n">
        <v>-3306.09283657224</v>
      </c>
      <c r="P32" s="9" t="n">
        <v>-2250.39710584596</v>
      </c>
      <c r="Q32" s="9" t="n">
        <v>-644.023834475331</v>
      </c>
      <c r="R32" s="9" t="n">
        <v>-425.549390007075</v>
      </c>
      <c r="S32" s="9" t="n">
        <v>167.061149372726</v>
      </c>
      <c r="T32" s="9" t="n">
        <v>28.495</v>
      </c>
      <c r="U32" s="9" t="n">
        <v>-519.445476156688</v>
      </c>
      <c r="V32" s="9" t="n">
        <v>-3106.11956191147</v>
      </c>
      <c r="W32" s="9" t="n">
        <v>55.3294570250283</v>
      </c>
      <c r="X32" s="9" t="n">
        <v>0</v>
      </c>
      <c r="Y32" s="9" t="n">
        <v>2868.31157456956</v>
      </c>
      <c r="Z32" s="9" t="n">
        <v>293.137444366939</v>
      </c>
      <c r="AA32" s="9" t="n">
        <v>1401.3610500211</v>
      </c>
      <c r="AB32" s="9" t="n">
        <v>-105</v>
      </c>
      <c r="AC32" s="9" t="n">
        <v>-64.0689336129845</v>
      </c>
      <c r="AD32" s="9" t="n">
        <v>-115.981397706632</v>
      </c>
      <c r="AE32" s="9" t="n">
        <v>-1454.44858592745</v>
      </c>
      <c r="AF32" s="9" t="n">
        <v>26.028</v>
      </c>
      <c r="AG32" s="9" t="n">
        <v>2885.7750357337</v>
      </c>
      <c r="AH32" s="9" t="n">
        <v>2375.55925408095</v>
      </c>
      <c r="AI32" s="9" t="n">
        <v>-510.215781652751</v>
      </c>
      <c r="AJ32" s="9" t="n">
        <v>-1726.49</v>
      </c>
      <c r="AK32" s="9" t="n">
        <v>-614.297892869716</v>
      </c>
      <c r="AL32" s="10" t="n">
        <f aca="false">IF($C32&lt;2017,AI32,-AI32)</f>
        <v>-510.215781652751</v>
      </c>
      <c r="AM32" s="11" t="n">
        <f aca="false">E32+T32-U32+AK32</f>
        <v>0</v>
      </c>
      <c r="AN32" s="11" t="n">
        <f aca="false">V32+AA32+AF32+AG32+AJ32-U32</f>
        <v>0</v>
      </c>
      <c r="AO32" s="10" t="n">
        <f aca="false">O32-P32-Q32-R32</f>
        <v>13.877493756124</v>
      </c>
      <c r="AP32" s="9" t="n">
        <v>146677.474231037</v>
      </c>
      <c r="AQ32" s="10" t="n">
        <f aca="false">SUM(AP29:AP32)</f>
        <v>568120.167901361</v>
      </c>
    </row>
    <row r="33" customFormat="false" ht="15" hidden="false" customHeight="false" outlineLevel="0" collapsed="false">
      <c r="B33" s="7" t="s">
        <v>108</v>
      </c>
      <c r="C33" s="8" t="n">
        <v>2012</v>
      </c>
      <c r="D33" s="8" t="n">
        <v>4</v>
      </c>
      <c r="E33" s="9" t="n">
        <v>-920.836767554967</v>
      </c>
      <c r="F33" s="9" t="n">
        <v>2318.55622556766</v>
      </c>
      <c r="G33" s="9" t="n">
        <v>3147.44670273</v>
      </c>
      <c r="H33" s="9" t="n">
        <v>19865.171</v>
      </c>
      <c r="I33" s="9" t="n">
        <v>16717.72429727</v>
      </c>
      <c r="J33" s="9" t="n">
        <v>-828.890477162337</v>
      </c>
      <c r="K33" s="9" t="n">
        <v>3636.39564268968</v>
      </c>
      <c r="L33" s="9" t="n">
        <v>4465.28611985202</v>
      </c>
      <c r="M33" s="9" t="n">
        <v>-3396.53501163234</v>
      </c>
      <c r="N33" s="9" t="n">
        <v>-16.6431992204254</v>
      </c>
      <c r="O33" s="9" t="n">
        <v>-3379.89181241191</v>
      </c>
      <c r="P33" s="9" t="n">
        <v>-2385.62470220159</v>
      </c>
      <c r="Q33" s="9" t="n">
        <v>-675.003933605329</v>
      </c>
      <c r="R33" s="9" t="n">
        <v>-335.503405795686</v>
      </c>
      <c r="S33" s="9" t="n">
        <v>157.142018509711</v>
      </c>
      <c r="T33" s="9" t="n">
        <v>-3.651255</v>
      </c>
      <c r="U33" s="9" t="n">
        <v>-522.775515995634</v>
      </c>
      <c r="V33" s="9" t="n">
        <v>-3397.40649705845</v>
      </c>
      <c r="W33" s="9" t="n">
        <v>253.564157445021</v>
      </c>
      <c r="X33" s="9" t="n">
        <v>0</v>
      </c>
      <c r="Y33" s="9" t="n">
        <v>3095.51291163746</v>
      </c>
      <c r="Z33" s="9" t="n">
        <v>555.457742866008</v>
      </c>
      <c r="AA33" s="9" t="n">
        <v>229.060485583066</v>
      </c>
      <c r="AB33" s="9" t="n">
        <v>343</v>
      </c>
      <c r="AC33" s="9" t="n">
        <v>31.7109394859763</v>
      </c>
      <c r="AD33" s="9" t="n">
        <v>21.4108121712994</v>
      </c>
      <c r="AE33" s="9" t="n">
        <v>124.239641731611</v>
      </c>
      <c r="AF33" s="9" t="n">
        <v>2872.51446603051</v>
      </c>
      <c r="AG33" s="9" t="n">
        <v>1322.25602944924</v>
      </c>
      <c r="AH33" s="9" t="n">
        <v>-381.144668829405</v>
      </c>
      <c r="AI33" s="9" t="n">
        <v>-1703.40069827864</v>
      </c>
      <c r="AJ33" s="9" t="n">
        <v>-1549.2</v>
      </c>
      <c r="AK33" s="9" t="n">
        <v>401.712506559333</v>
      </c>
      <c r="AL33" s="10" t="n">
        <f aca="false">IF($C33&lt;2017,AI33,-AI33)</f>
        <v>-1703.40069827864</v>
      </c>
      <c r="AM33" s="11" t="n">
        <f aca="false">E33+T33-U33+AK33</f>
        <v>0</v>
      </c>
      <c r="AN33" s="11" t="n">
        <f aca="false">V33+AA33+AF33+AG33+AJ33-U33</f>
        <v>0</v>
      </c>
      <c r="AO33" s="10" t="n">
        <f aca="false">O33-P33-Q33-R33</f>
        <v>16.2402291906885</v>
      </c>
      <c r="AP33" s="9" t="n">
        <v>148386.590763194</v>
      </c>
      <c r="AQ33" s="10" t="n">
        <f aca="false">SUM(AP30:AP33)</f>
        <v>579081.646333818</v>
      </c>
    </row>
    <row r="34" customFormat="false" ht="15" hidden="false" customHeight="false" outlineLevel="0" collapsed="false">
      <c r="B34" s="7" t="s">
        <v>109</v>
      </c>
      <c r="C34" s="8" t="n">
        <v>2013</v>
      </c>
      <c r="D34" s="8" t="n">
        <v>1</v>
      </c>
      <c r="E34" s="9" t="n">
        <v>-3885.82618545931</v>
      </c>
      <c r="F34" s="9" t="n">
        <v>-718.664512565854</v>
      </c>
      <c r="G34" s="9" t="n">
        <v>1011.61183509001</v>
      </c>
      <c r="H34" s="9" t="n">
        <v>16467.46885315</v>
      </c>
      <c r="I34" s="9" t="n">
        <v>15455.85701806</v>
      </c>
      <c r="J34" s="9" t="n">
        <v>-1730.27634765586</v>
      </c>
      <c r="K34" s="9" t="n">
        <v>3401.60556878379</v>
      </c>
      <c r="L34" s="9" t="n">
        <v>5131.88191643965</v>
      </c>
      <c r="M34" s="9" t="n">
        <v>-3342.83109247128</v>
      </c>
      <c r="N34" s="9" t="n">
        <v>-13.6848796959377</v>
      </c>
      <c r="O34" s="9" t="n">
        <v>-3329.14621277534</v>
      </c>
      <c r="P34" s="9" t="n">
        <v>-2341.01706138722</v>
      </c>
      <c r="Q34" s="9" t="n">
        <v>-659.714477340595</v>
      </c>
      <c r="R34" s="9" t="n">
        <v>-342.250043401141</v>
      </c>
      <c r="S34" s="9" t="n">
        <v>175.669419577825</v>
      </c>
      <c r="T34" s="9" t="n">
        <v>1.01575621843786</v>
      </c>
      <c r="U34" s="9" t="n">
        <v>-4667.6349659953</v>
      </c>
      <c r="V34" s="9" t="n">
        <v>-1941.4933847272</v>
      </c>
      <c r="W34" s="9" t="n">
        <v>243.607492227743</v>
      </c>
      <c r="X34" s="9" t="n">
        <v>0</v>
      </c>
      <c r="Y34" s="9" t="n">
        <v>3194.10087695494</v>
      </c>
      <c r="Z34" s="9" t="n">
        <v>-1009</v>
      </c>
      <c r="AA34" s="9" t="n">
        <v>-278.484283305519</v>
      </c>
      <c r="AB34" s="9" t="n">
        <v>-74.8981976838012</v>
      </c>
      <c r="AC34" s="9" t="n">
        <v>44.5450028434458</v>
      </c>
      <c r="AD34" s="9" t="n">
        <v>79.6541373840613</v>
      </c>
      <c r="AE34" s="9" t="n">
        <v>168.476951081102</v>
      </c>
      <c r="AF34" s="9" t="n">
        <v>-12.2392769807118</v>
      </c>
      <c r="AG34" s="9" t="n">
        <v>148.011979018129</v>
      </c>
      <c r="AH34" s="9" t="n">
        <v>517.683648915312</v>
      </c>
      <c r="AI34" s="9" t="n">
        <v>369.671669897183</v>
      </c>
      <c r="AJ34" s="9" t="n">
        <v>-2583.43</v>
      </c>
      <c r="AK34" s="9" t="n">
        <v>-782.824536754432</v>
      </c>
      <c r="AL34" s="10" t="n">
        <f aca="false">IF($C34&lt;2017,AI34,-AI34)</f>
        <v>369.671669897183</v>
      </c>
      <c r="AM34" s="11" t="n">
        <f aca="false">E34+T34-U34+AK34</f>
        <v>0</v>
      </c>
      <c r="AN34" s="11" t="n">
        <f aca="false">V34+AA34+AF34+AG34+AJ34-U34</f>
        <v>0</v>
      </c>
      <c r="AO34" s="10" t="n">
        <f aca="false">O34-P34-Q34-R34</f>
        <v>13.8353693536098</v>
      </c>
      <c r="AP34" s="9" t="n">
        <v>144032.237773436</v>
      </c>
      <c r="AQ34" s="10" t="n">
        <f aca="false">SUM(AP31:AP34)</f>
        <v>588031.597813767</v>
      </c>
    </row>
    <row r="35" customFormat="false" ht="15" hidden="false" customHeight="false" outlineLevel="0" collapsed="false">
      <c r="B35" s="7" t="s">
        <v>110</v>
      </c>
      <c r="C35" s="8" t="n">
        <v>2013</v>
      </c>
      <c r="D35" s="8" t="n">
        <v>2</v>
      </c>
      <c r="E35" s="9" t="n">
        <v>-325.745678229941</v>
      </c>
      <c r="F35" s="9" t="n">
        <v>2502.61316406207</v>
      </c>
      <c r="G35" s="9" t="n">
        <v>3779.55849298993</v>
      </c>
      <c r="H35" s="9" t="n">
        <v>22803.2089764699</v>
      </c>
      <c r="I35" s="9" t="n">
        <v>19023.65048348</v>
      </c>
      <c r="J35" s="9" t="n">
        <v>-1276.94532892786</v>
      </c>
      <c r="K35" s="9" t="n">
        <v>3222.50375079942</v>
      </c>
      <c r="L35" s="9" t="n">
        <v>4499.44907972728</v>
      </c>
      <c r="M35" s="9" t="n">
        <v>-3280.78099706065</v>
      </c>
      <c r="N35" s="9" t="n">
        <v>-16.0796410807878</v>
      </c>
      <c r="O35" s="9" t="n">
        <v>-3264.70135597987</v>
      </c>
      <c r="P35" s="9" t="n">
        <v>-2271.88784212242</v>
      </c>
      <c r="Q35" s="9" t="n">
        <v>-675.019761345183</v>
      </c>
      <c r="R35" s="9" t="n">
        <v>-328.396707797123</v>
      </c>
      <c r="S35" s="9" t="n">
        <v>452.422154768643</v>
      </c>
      <c r="T35" s="9" t="n">
        <v>0.2678375</v>
      </c>
      <c r="U35" s="9" t="n">
        <v>-734.449881623045</v>
      </c>
      <c r="V35" s="9" t="n">
        <v>-2920.37691265045</v>
      </c>
      <c r="W35" s="9" t="n">
        <v>331.122578539515</v>
      </c>
      <c r="X35" s="9" t="n">
        <v>0</v>
      </c>
      <c r="Y35" s="9" t="n">
        <v>2925.49949118996</v>
      </c>
      <c r="Z35" s="9" t="n">
        <v>326</v>
      </c>
      <c r="AA35" s="9" t="n">
        <v>945.257380361018</v>
      </c>
      <c r="AB35" s="9" t="n">
        <v>351.584660123035</v>
      </c>
      <c r="AC35" s="9" t="n">
        <v>52.7790270669611</v>
      </c>
      <c r="AD35" s="9" t="n">
        <v>27.3084344325477</v>
      </c>
      <c r="AE35" s="9" t="n">
        <v>-568.20212760357</v>
      </c>
      <c r="AF35" s="9" t="n">
        <v>-14.421741732564</v>
      </c>
      <c r="AG35" s="9" t="n">
        <v>3965.78139239895</v>
      </c>
      <c r="AH35" s="9" t="n">
        <v>3076.34836730333</v>
      </c>
      <c r="AI35" s="9" t="n">
        <v>-889.433025095616</v>
      </c>
      <c r="AJ35" s="9" t="n">
        <v>-2710.69</v>
      </c>
      <c r="AK35" s="9" t="n">
        <v>-408.972040893104</v>
      </c>
      <c r="AL35" s="10" t="n">
        <f aca="false">IF($C35&lt;2017,AI35,-AI35)</f>
        <v>-889.433025095616</v>
      </c>
      <c r="AM35" s="11" t="n">
        <f aca="false">E35+T35-U35+AK35</f>
        <v>0</v>
      </c>
      <c r="AN35" s="11" t="n">
        <f aca="false">V35+AA35+AF35+AG35+AJ35-U35</f>
        <v>0</v>
      </c>
      <c r="AO35" s="10" t="n">
        <f aca="false">O35-P35-Q35-R35</f>
        <v>10.6029552848545</v>
      </c>
      <c r="AP35" s="9" t="n">
        <v>161639.697326664</v>
      </c>
      <c r="AQ35" s="10" t="n">
        <f aca="false">SUM(AP32:AP35)</f>
        <v>600736.000094332</v>
      </c>
    </row>
    <row r="36" customFormat="false" ht="15" hidden="false" customHeight="false" outlineLevel="0" collapsed="false">
      <c r="B36" s="7" t="s">
        <v>111</v>
      </c>
      <c r="C36" s="8" t="n">
        <v>2013</v>
      </c>
      <c r="D36" s="8" t="n">
        <v>3</v>
      </c>
      <c r="E36" s="9" t="n">
        <v>-3022.10459690751</v>
      </c>
      <c r="F36" s="9" t="n">
        <v>9.11462509811463</v>
      </c>
      <c r="G36" s="9" t="n">
        <v>1363.03014046998</v>
      </c>
      <c r="H36" s="9" t="n">
        <v>20605.21595938</v>
      </c>
      <c r="I36" s="9" t="n">
        <v>19242.18581891</v>
      </c>
      <c r="J36" s="9" t="n">
        <v>-1353.91551537186</v>
      </c>
      <c r="K36" s="9" t="n">
        <v>3185.85231014052</v>
      </c>
      <c r="L36" s="9" t="n">
        <v>4539.76782551238</v>
      </c>
      <c r="M36" s="9" t="n">
        <v>-3262.52187486657</v>
      </c>
      <c r="N36" s="9" t="n">
        <v>-19.4897327495606</v>
      </c>
      <c r="O36" s="9" t="n">
        <v>-3243.03214211701</v>
      </c>
      <c r="P36" s="9" t="n">
        <v>-2227.60735402081</v>
      </c>
      <c r="Q36" s="9" t="n">
        <v>-666.633433476575</v>
      </c>
      <c r="R36" s="9" t="n">
        <v>-356.458020535192</v>
      </c>
      <c r="S36" s="9" t="n">
        <v>231.30265286095</v>
      </c>
      <c r="T36" s="9" t="n">
        <v>32.6452675</v>
      </c>
      <c r="U36" s="9" t="n">
        <v>-4238.57888607523</v>
      </c>
      <c r="V36" s="9" t="n">
        <v>-2512.58124788678</v>
      </c>
      <c r="W36" s="9" t="n">
        <v>319.563987768996</v>
      </c>
      <c r="X36" s="9" t="n">
        <v>0</v>
      </c>
      <c r="Y36" s="9" t="n">
        <v>2533.14523565578</v>
      </c>
      <c r="Z36" s="9" t="n">
        <v>299</v>
      </c>
      <c r="AA36" s="9" t="n">
        <v>189.688974942494</v>
      </c>
      <c r="AB36" s="9" t="n">
        <v>-223.942185074033</v>
      </c>
      <c r="AC36" s="9" t="n">
        <v>155.900703012464</v>
      </c>
      <c r="AD36" s="9" t="n">
        <v>-4.22954544216412</v>
      </c>
      <c r="AE36" s="9" t="n">
        <v>-253.500911561899</v>
      </c>
      <c r="AF36" s="9" t="n">
        <v>1.57355806904797</v>
      </c>
      <c r="AG36" s="9" t="n">
        <v>667.639828800013</v>
      </c>
      <c r="AH36" s="9" t="n">
        <v>607.775717905944</v>
      </c>
      <c r="AI36" s="9" t="n">
        <v>-59.8641108940691</v>
      </c>
      <c r="AJ36" s="9" t="n">
        <v>-2584.9</v>
      </c>
      <c r="AK36" s="9" t="n">
        <v>-1249.11955666772</v>
      </c>
      <c r="AL36" s="10" t="n">
        <f aca="false">IF($C36&lt;2017,AI36,-AI36)</f>
        <v>-59.8641108940691</v>
      </c>
      <c r="AM36" s="11" t="n">
        <f aca="false">E36+T36-U36+AK36</f>
        <v>0</v>
      </c>
      <c r="AN36" s="11" t="n">
        <f aca="false">V36+AA36+AF36+AG36+AJ36-U36</f>
        <v>0</v>
      </c>
      <c r="AO36" s="10" t="n">
        <f aca="false">O36-P36-Q36-R36</f>
        <v>7.66666591556589</v>
      </c>
      <c r="AP36" s="9" t="n">
        <v>153802.083641447</v>
      </c>
      <c r="AQ36" s="10" t="n">
        <f aca="false">SUM(AP33:AP36)</f>
        <v>607860.609504741</v>
      </c>
    </row>
    <row r="37" customFormat="false" ht="15" hidden="false" customHeight="false" outlineLevel="0" collapsed="false">
      <c r="B37" s="7" t="s">
        <v>112</v>
      </c>
      <c r="C37" s="8" t="n">
        <v>2013</v>
      </c>
      <c r="D37" s="8" t="n">
        <v>4</v>
      </c>
      <c r="E37" s="9" t="n">
        <v>-5890.69732526653</v>
      </c>
      <c r="F37" s="9" t="n">
        <v>-2486.74415102316</v>
      </c>
      <c r="G37" s="9" t="n">
        <v>-1518.96522763998</v>
      </c>
      <c r="H37" s="9" t="n">
        <v>16052.33457207</v>
      </c>
      <c r="I37" s="9" t="n">
        <v>17571.29979971</v>
      </c>
      <c r="J37" s="9" t="n">
        <v>-967.778923383182</v>
      </c>
      <c r="K37" s="9" t="n">
        <v>3869.93013865163</v>
      </c>
      <c r="L37" s="9" t="n">
        <v>4837.70906203481</v>
      </c>
      <c r="M37" s="9" t="n">
        <v>-3278.69361044534</v>
      </c>
      <c r="N37" s="9" t="n">
        <v>-16.1551674928628</v>
      </c>
      <c r="O37" s="9" t="n">
        <v>-3262.53844295248</v>
      </c>
      <c r="P37" s="9" t="n">
        <v>-2138.05457645788</v>
      </c>
      <c r="Q37" s="9" t="n">
        <v>-771.931487739929</v>
      </c>
      <c r="R37" s="9" t="n">
        <v>-357.758930638677</v>
      </c>
      <c r="S37" s="9" t="n">
        <v>-125.259563798033</v>
      </c>
      <c r="T37" s="9" t="n">
        <v>-0.5159875</v>
      </c>
      <c r="U37" s="9" t="n">
        <v>-6524.23275755968</v>
      </c>
      <c r="V37" s="9" t="n">
        <v>-1557.23745416722</v>
      </c>
      <c r="W37" s="9" t="n">
        <v>-4.32119980916261</v>
      </c>
      <c r="X37" s="9" t="n">
        <v>0</v>
      </c>
      <c r="Y37" s="9" t="n">
        <v>1951.91625435806</v>
      </c>
      <c r="Z37" s="9" t="n">
        <v>-399</v>
      </c>
      <c r="AA37" s="9" t="n">
        <v>-1289.04799229205</v>
      </c>
      <c r="AB37" s="9" t="n">
        <v>63.7379545466206</v>
      </c>
      <c r="AC37" s="9" t="n">
        <v>126.851872458284</v>
      </c>
      <c r="AD37" s="9" t="n">
        <v>239.144758016801</v>
      </c>
      <c r="AE37" s="9" t="n">
        <v>1240.49306128016</v>
      </c>
      <c r="AF37" s="9" t="n">
        <v>-7.28921089979385</v>
      </c>
      <c r="AG37" s="9" t="n">
        <v>274.081899799387</v>
      </c>
      <c r="AH37" s="9" t="n">
        <v>-309.156497121863</v>
      </c>
      <c r="AI37" s="9" t="n">
        <v>-583.23839692125</v>
      </c>
      <c r="AJ37" s="9" t="n">
        <v>-3944.74</v>
      </c>
      <c r="AK37" s="9" t="n">
        <v>-633.019444793153</v>
      </c>
      <c r="AL37" s="10" t="n">
        <f aca="false">IF($C37&lt;2017,AI37,-AI37)</f>
        <v>-583.23839692125</v>
      </c>
      <c r="AM37" s="11" t="n">
        <f aca="false">E37+T37-U37+AK37</f>
        <v>0</v>
      </c>
      <c r="AN37" s="11" t="n">
        <f aca="false">V37+AA37+AF37+AG37+AJ37-U37</f>
        <v>0</v>
      </c>
      <c r="AO37" s="10" t="n">
        <f aca="false">O37-P37-Q37-R37</f>
        <v>5.20655188401327</v>
      </c>
      <c r="AP37" s="9" t="n">
        <v>151673.678623331</v>
      </c>
      <c r="AQ37" s="10" t="n">
        <f aca="false">SUM(AP34:AP37)</f>
        <v>611147.697364878</v>
      </c>
    </row>
    <row r="38" customFormat="false" ht="15" hidden="false" customHeight="false" outlineLevel="0" collapsed="false">
      <c r="B38" s="7" t="s">
        <v>113</v>
      </c>
      <c r="C38" s="8" t="n">
        <v>2014</v>
      </c>
      <c r="D38" s="8" t="n">
        <v>1</v>
      </c>
      <c r="E38" s="9" t="n">
        <v>-6047.55465471733</v>
      </c>
      <c r="F38" s="9" t="n">
        <v>-3567.68277611739</v>
      </c>
      <c r="G38" s="9" t="n">
        <v>-2016.89269814</v>
      </c>
      <c r="H38" s="9" t="n">
        <v>13846.469446</v>
      </c>
      <c r="I38" s="9" t="n">
        <v>15863.36214414</v>
      </c>
      <c r="J38" s="9" t="n">
        <v>-1550.79007797739</v>
      </c>
      <c r="K38" s="9" t="n">
        <v>3413.56946580067</v>
      </c>
      <c r="L38" s="9" t="n">
        <v>4964.35954377805</v>
      </c>
      <c r="M38" s="9" t="n">
        <v>-2782.57018302287</v>
      </c>
      <c r="N38" s="9" t="n">
        <v>-12.1216535753582</v>
      </c>
      <c r="O38" s="9" t="n">
        <v>-2770.44852944751</v>
      </c>
      <c r="P38" s="9" t="n">
        <v>-1836.25769265025</v>
      </c>
      <c r="Q38" s="9" t="n">
        <v>-676.006722548944</v>
      </c>
      <c r="R38" s="9" t="n">
        <v>-262.758144790901</v>
      </c>
      <c r="S38" s="9" t="n">
        <v>302.698304422928</v>
      </c>
      <c r="T38" s="9" t="n">
        <v>1.728013</v>
      </c>
      <c r="U38" s="9" t="n">
        <v>-4502.53711201044</v>
      </c>
      <c r="V38" s="9" t="n">
        <v>-38.7459372884639</v>
      </c>
      <c r="W38" s="9" t="n">
        <v>1089.75869050748</v>
      </c>
      <c r="X38" s="9" t="n">
        <v>0</v>
      </c>
      <c r="Y38" s="9" t="n">
        <v>1698.16720899337</v>
      </c>
      <c r="Z38" s="9" t="n">
        <v>-569.662581197432</v>
      </c>
      <c r="AA38" s="9" t="n">
        <v>-1163.7647699843</v>
      </c>
      <c r="AB38" s="9" t="n">
        <v>15.2018261567797</v>
      </c>
      <c r="AC38" s="9" t="n">
        <v>-1.90622233894716</v>
      </c>
      <c r="AD38" s="9" t="n">
        <v>14.6869319932968</v>
      </c>
      <c r="AE38" s="9" t="n">
        <v>1162.37344180884</v>
      </c>
      <c r="AF38" s="9" t="n">
        <v>35.7638988731597</v>
      </c>
      <c r="AG38" s="9" t="n">
        <v>397.329696389172</v>
      </c>
      <c r="AH38" s="9" t="n">
        <v>-85.6403466292732</v>
      </c>
      <c r="AI38" s="9" t="n">
        <v>-482.970043018445</v>
      </c>
      <c r="AJ38" s="9" t="n">
        <v>-3733.12</v>
      </c>
      <c r="AK38" s="9" t="n">
        <v>1543.28952970689</v>
      </c>
      <c r="AL38" s="10" t="n">
        <f aca="false">IF($C38&lt;2017,AI38,-AI38)</f>
        <v>-482.970043018445</v>
      </c>
      <c r="AM38" s="11" t="n">
        <f aca="false">E38+T38-U38+AK38</f>
        <v>0</v>
      </c>
      <c r="AN38" s="11" t="n">
        <f aca="false">V38+AA38+AF38+AG38+AJ38-U38</f>
        <v>0</v>
      </c>
      <c r="AO38" s="10" t="n">
        <f aca="false">O38-P38-Q38-R38</f>
        <v>4.57403054258504</v>
      </c>
      <c r="AP38" s="9" t="n">
        <v>128623.590769112</v>
      </c>
      <c r="AQ38" s="10" t="n">
        <f aca="false">SUM(AP35:AP38)</f>
        <v>595739.050360553</v>
      </c>
    </row>
    <row r="39" customFormat="false" ht="15" hidden="false" customHeight="false" outlineLevel="0" collapsed="false">
      <c r="B39" s="7" t="s">
        <v>114</v>
      </c>
      <c r="C39" s="8" t="n">
        <v>2014</v>
      </c>
      <c r="D39" s="8" t="n">
        <v>2</v>
      </c>
      <c r="E39" s="9" t="n">
        <v>646.335826557937</v>
      </c>
      <c r="F39" s="9" t="n">
        <v>3107.88472679271</v>
      </c>
      <c r="G39" s="9" t="n">
        <v>4303.17650188</v>
      </c>
      <c r="H39" s="9" t="n">
        <v>20864.058567</v>
      </c>
      <c r="I39" s="9" t="n">
        <v>16560.88206512</v>
      </c>
      <c r="J39" s="9" t="n">
        <v>-1195.2917750873</v>
      </c>
      <c r="K39" s="9" t="n">
        <v>3098.85650879477</v>
      </c>
      <c r="L39" s="9" t="n">
        <v>4294.14828388207</v>
      </c>
      <c r="M39" s="9" t="n">
        <v>-2984.59774162332</v>
      </c>
      <c r="N39" s="9" t="n">
        <v>-5.69977309330524</v>
      </c>
      <c r="O39" s="9" t="n">
        <v>-2978.89796853001</v>
      </c>
      <c r="P39" s="9" t="n">
        <v>-1787.94737684703</v>
      </c>
      <c r="Q39" s="9" t="n">
        <v>-818.246010398435</v>
      </c>
      <c r="R39" s="9" t="n">
        <v>-377.090328843164</v>
      </c>
      <c r="S39" s="9" t="n">
        <v>523.04884138855</v>
      </c>
      <c r="T39" s="9" t="n">
        <v>16.0170065923132</v>
      </c>
      <c r="U39" s="9" t="n">
        <v>431.613396444709</v>
      </c>
      <c r="V39" s="9" t="n">
        <v>1743.90446940769</v>
      </c>
      <c r="W39" s="9" t="n">
        <v>247.042146292308</v>
      </c>
      <c r="X39" s="9" t="n">
        <v>0</v>
      </c>
      <c r="Y39" s="9" t="n">
        <v>-477.0832027904</v>
      </c>
      <c r="Z39" s="9" t="n">
        <v>-1019.77912032498</v>
      </c>
      <c r="AA39" s="9" t="n">
        <v>4127.19346667318</v>
      </c>
      <c r="AB39" s="9" t="n">
        <v>11.2707803018997</v>
      </c>
      <c r="AC39" s="9" t="n">
        <v>-1.93902309225297</v>
      </c>
      <c r="AD39" s="9" t="n">
        <v>231.275172573391</v>
      </c>
      <c r="AE39" s="9" t="n">
        <v>-4349.13688203693</v>
      </c>
      <c r="AF39" s="9" t="n">
        <v>-163.084905371758</v>
      </c>
      <c r="AG39" s="9" t="n">
        <v>-7460.4096342644</v>
      </c>
      <c r="AH39" s="9" t="n">
        <v>2783.84155172767</v>
      </c>
      <c r="AI39" s="9" t="n">
        <v>10244.2511859921</v>
      </c>
      <c r="AJ39" s="9" t="n">
        <v>2184.01</v>
      </c>
      <c r="AK39" s="9" t="n">
        <v>-230.739436705542</v>
      </c>
      <c r="AL39" s="10" t="n">
        <f aca="false">IF($C39&lt;2017,AI39,-AI39)</f>
        <v>10244.2511859921</v>
      </c>
      <c r="AM39" s="11" t="n">
        <f aca="false">E39+T39-U39+AK39</f>
        <v>0</v>
      </c>
      <c r="AN39" s="11" t="n">
        <f aca="false">V39+AA39+AF39+AG39+AJ39-U39</f>
        <v>0</v>
      </c>
      <c r="AO39" s="10" t="n">
        <f aca="false">O39-P39-Q39-R39</f>
        <v>4.38574755862152</v>
      </c>
      <c r="AP39" s="9" t="n">
        <v>145946.788659269</v>
      </c>
      <c r="AQ39" s="10" t="n">
        <f aca="false">SUM(AP36:AP39)</f>
        <v>580046.141693159</v>
      </c>
    </row>
    <row r="40" customFormat="false" ht="15" hidden="false" customHeight="false" outlineLevel="0" collapsed="false">
      <c r="B40" s="7" t="s">
        <v>115</v>
      </c>
      <c r="C40" s="8" t="n">
        <v>2014</v>
      </c>
      <c r="D40" s="8" t="n">
        <v>3</v>
      </c>
      <c r="E40" s="9" t="n">
        <v>-1839.82602058489</v>
      </c>
      <c r="F40" s="9" t="n">
        <v>729.028234130667</v>
      </c>
      <c r="G40" s="9" t="n">
        <v>1849.57759449</v>
      </c>
      <c r="H40" s="9" t="n">
        <v>18534.448505</v>
      </c>
      <c r="I40" s="9" t="n">
        <v>16684.87091051</v>
      </c>
      <c r="J40" s="9" t="n">
        <v>-1120.54936035933</v>
      </c>
      <c r="K40" s="9" t="n">
        <v>3199.75362495821</v>
      </c>
      <c r="L40" s="9" t="n">
        <v>4320.30298531754</v>
      </c>
      <c r="M40" s="9" t="n">
        <v>-2992.04038124909</v>
      </c>
      <c r="N40" s="9" t="n">
        <v>-10.0921083155693</v>
      </c>
      <c r="O40" s="9" t="n">
        <v>-2981.94827293352</v>
      </c>
      <c r="P40" s="9" t="n">
        <v>-1878.68779221942</v>
      </c>
      <c r="Q40" s="9" t="n">
        <v>-745.79215292445</v>
      </c>
      <c r="R40" s="9" t="n">
        <v>-361.854075348275</v>
      </c>
      <c r="S40" s="9" t="n">
        <v>423.18612653354</v>
      </c>
      <c r="T40" s="9" t="n">
        <v>39.6978083297256</v>
      </c>
      <c r="U40" s="9" t="n">
        <v>-2166.98268372909</v>
      </c>
      <c r="V40" s="9" t="n">
        <v>-2054.93729499552</v>
      </c>
      <c r="W40" s="9" t="n">
        <v>377.719170382182</v>
      </c>
      <c r="X40" s="9" t="n">
        <v>0</v>
      </c>
      <c r="Y40" s="9" t="n">
        <v>2379.76445623432</v>
      </c>
      <c r="Z40" s="9" t="n">
        <v>52.8920091433827</v>
      </c>
      <c r="AA40" s="9" t="n">
        <v>-445.124824118168</v>
      </c>
      <c r="AB40" s="9" t="n">
        <v>96.8481238492679</v>
      </c>
      <c r="AC40" s="9" t="n">
        <v>65.1722614288321</v>
      </c>
      <c r="AD40" s="9" t="n">
        <v>66.2950181798717</v>
      </c>
      <c r="AE40" s="9" t="n">
        <v>540.850191216397</v>
      </c>
      <c r="AF40" s="9" t="n">
        <v>-34.4640220985426</v>
      </c>
      <c r="AG40" s="9" t="n">
        <v>1350.35345748314</v>
      </c>
      <c r="AH40" s="9" t="n">
        <v>-705.056670193947</v>
      </c>
      <c r="AI40" s="9" t="n">
        <v>-2055.41012767709</v>
      </c>
      <c r="AJ40" s="9" t="n">
        <v>-982.809999999999</v>
      </c>
      <c r="AK40" s="9" t="n">
        <v>-366.85447147393</v>
      </c>
      <c r="AL40" s="10" t="n">
        <f aca="false">IF($C40&lt;2017,AI40,-AI40)</f>
        <v>-2055.41012767709</v>
      </c>
      <c r="AM40" s="11" t="n">
        <f aca="false">E40+T40-U40+AK40</f>
        <v>0</v>
      </c>
      <c r="AN40" s="11" t="n">
        <f aca="false">V40+AA40+AF40+AG40+AJ40-U40</f>
        <v>0</v>
      </c>
      <c r="AO40" s="10" t="n">
        <f aca="false">O40-P40-Q40-R40</f>
        <v>4.38574755862175</v>
      </c>
      <c r="AP40" s="9" t="n">
        <v>141157.585678392</v>
      </c>
      <c r="AQ40" s="10" t="n">
        <f aca="false">SUM(AP37:AP40)</f>
        <v>567401.643730104</v>
      </c>
    </row>
    <row r="41" customFormat="false" ht="15" hidden="false" customHeight="false" outlineLevel="0" collapsed="false">
      <c r="B41" s="7" t="s">
        <v>116</v>
      </c>
      <c r="C41" s="8" t="n">
        <v>2014</v>
      </c>
      <c r="D41" s="8" t="n">
        <v>4</v>
      </c>
      <c r="E41" s="9" t="n">
        <v>-1937.98141813124</v>
      </c>
      <c r="F41" s="9" t="n">
        <v>630.94747469277</v>
      </c>
      <c r="G41" s="9" t="n">
        <v>1405.60841467</v>
      </c>
      <c r="H41" s="9" t="n">
        <v>15195.459389</v>
      </c>
      <c r="I41" s="9" t="n">
        <v>13789.85097433</v>
      </c>
      <c r="J41" s="9" t="n">
        <v>-774.660939977224</v>
      </c>
      <c r="K41" s="9" t="n">
        <v>3684.19222817274</v>
      </c>
      <c r="L41" s="9" t="n">
        <v>4458.85316814996</v>
      </c>
      <c r="M41" s="9" t="n">
        <v>-2854.63917531193</v>
      </c>
      <c r="N41" s="9" t="n">
        <v>-6.2777380462107</v>
      </c>
      <c r="O41" s="9" t="n">
        <v>-2848.36143726572</v>
      </c>
      <c r="P41" s="9" t="n">
        <v>-1796.6806634509</v>
      </c>
      <c r="Q41" s="9" t="n">
        <v>-698.643571609316</v>
      </c>
      <c r="R41" s="9" t="n">
        <v>-357.144921611496</v>
      </c>
      <c r="S41" s="9" t="n">
        <v>285.710282487921</v>
      </c>
      <c r="T41" s="9" t="n">
        <v>-0.645722788303721</v>
      </c>
      <c r="U41" s="9" t="n">
        <v>-3082.76590532838</v>
      </c>
      <c r="V41" s="9" t="n">
        <v>-2795.01534598352</v>
      </c>
      <c r="W41" s="9" t="n">
        <v>206.021425923085</v>
      </c>
      <c r="X41" s="9" t="n">
        <v>0</v>
      </c>
      <c r="Y41" s="9" t="n">
        <v>2409.01169183061</v>
      </c>
      <c r="Z41" s="9" t="n">
        <v>592.025080075987</v>
      </c>
      <c r="AA41" s="9" t="n">
        <v>-178.873479468925</v>
      </c>
      <c r="AB41" s="9" t="n">
        <v>-307.998164978935</v>
      </c>
      <c r="AC41" s="9" t="n">
        <v>98.1382283225001</v>
      </c>
      <c r="AD41" s="9" t="n">
        <v>-94.3575254859095</v>
      </c>
      <c r="AE41" s="9" t="n">
        <v>63.3710682983998</v>
      </c>
      <c r="AF41" s="9" t="n">
        <v>-6.42187216505386</v>
      </c>
      <c r="AG41" s="9" t="n">
        <v>-3829.48520771088</v>
      </c>
      <c r="AH41" s="9" t="n">
        <v>-571.138704374549</v>
      </c>
      <c r="AI41" s="9" t="n">
        <v>3258.34650333634</v>
      </c>
      <c r="AJ41" s="9" t="n">
        <v>3727.03</v>
      </c>
      <c r="AK41" s="9" t="n">
        <v>-1144.13876440883</v>
      </c>
      <c r="AL41" s="10" t="n">
        <f aca="false">IF($C41&lt;2017,AI41,-AI41)</f>
        <v>3258.34650333634</v>
      </c>
      <c r="AM41" s="11" t="n">
        <f aca="false">E41+T41-U41+AK41</f>
        <v>0</v>
      </c>
      <c r="AN41" s="11" t="n">
        <f aca="false">V41+AA41+AF41+AG41+AJ41-U41</f>
        <v>0</v>
      </c>
      <c r="AO41" s="10" t="n">
        <f aca="false">O41-P41-Q41-R41</f>
        <v>4.10771940598625</v>
      </c>
      <c r="AP41" s="9" t="n">
        <v>147118.530455186</v>
      </c>
      <c r="AQ41" s="10" t="n">
        <f aca="false">SUM(AP38:AP41)</f>
        <v>562846.495561959</v>
      </c>
    </row>
    <row r="42" customFormat="false" ht="15" hidden="false" customHeight="false" outlineLevel="0" collapsed="false">
      <c r="B42" s="7" t="s">
        <v>117</v>
      </c>
      <c r="C42" s="8" t="n">
        <v>2015</v>
      </c>
      <c r="D42" s="8" t="n">
        <v>1</v>
      </c>
      <c r="E42" s="9" t="n">
        <v>-5543.86173185784</v>
      </c>
      <c r="F42" s="9" t="n">
        <v>-2401.54162956573</v>
      </c>
      <c r="G42" s="9" t="n">
        <v>-865.750966080001</v>
      </c>
      <c r="H42" s="9" t="n">
        <v>12061.478493</v>
      </c>
      <c r="I42" s="9" t="n">
        <v>12927.22945908</v>
      </c>
      <c r="J42" s="9" t="n">
        <v>-1535.79066348573</v>
      </c>
      <c r="K42" s="9" t="n">
        <v>3473.96328435329</v>
      </c>
      <c r="L42" s="9" t="n">
        <v>5009.75394783902</v>
      </c>
      <c r="M42" s="9" t="n">
        <v>-3223.06142489592</v>
      </c>
      <c r="N42" s="9" t="n">
        <v>1.86945118060899</v>
      </c>
      <c r="O42" s="9" t="n">
        <v>-3224.93087607653</v>
      </c>
      <c r="P42" s="9" t="n">
        <v>-2271.32424010332</v>
      </c>
      <c r="Q42" s="9" t="n">
        <v>-615.787580230829</v>
      </c>
      <c r="R42" s="9" t="n">
        <v>-343.77000188794</v>
      </c>
      <c r="S42" s="9" t="n">
        <v>80.7413226038053</v>
      </c>
      <c r="T42" s="9" t="n">
        <v>9.55277</v>
      </c>
      <c r="U42" s="9" t="n">
        <v>-5611.67798860758</v>
      </c>
      <c r="V42" s="9" t="n">
        <v>-3273.23263508599</v>
      </c>
      <c r="W42" s="9" t="n">
        <v>241.056638203648</v>
      </c>
      <c r="X42" s="9" t="n">
        <v>0</v>
      </c>
      <c r="Y42" s="9" t="n">
        <v>2605.91674582075</v>
      </c>
      <c r="Z42" s="9" t="n">
        <v>908.372527468889</v>
      </c>
      <c r="AA42" s="9" t="n">
        <v>-1184.69304457103</v>
      </c>
      <c r="AB42" s="9" t="n">
        <v>19.9839170827431</v>
      </c>
      <c r="AC42" s="9" t="n">
        <v>-28.7680225049035</v>
      </c>
      <c r="AD42" s="9" t="n">
        <v>41.6976754063964</v>
      </c>
      <c r="AE42" s="9" t="n">
        <v>1134.21126374247</v>
      </c>
      <c r="AF42" s="9" t="n">
        <v>-12.2495902152215</v>
      </c>
      <c r="AG42" s="9" t="n">
        <v>-1480.60271873534</v>
      </c>
      <c r="AH42" s="9" t="n">
        <v>1927.91295710709</v>
      </c>
      <c r="AI42" s="9" t="n">
        <v>3408.51567584242</v>
      </c>
      <c r="AJ42" s="9" t="n">
        <v>339.1</v>
      </c>
      <c r="AK42" s="9" t="n">
        <v>-77.3690267497377</v>
      </c>
      <c r="AL42" s="10" t="n">
        <f aca="false">IF($C42&lt;2017,AI42,-AI42)</f>
        <v>3408.51567584242</v>
      </c>
      <c r="AM42" s="11" t="n">
        <f aca="false">E42+T42-U42+AK42</f>
        <v>0</v>
      </c>
      <c r="AN42" s="11" t="n">
        <f aca="false">V42+AA42+AF42+AG42+AJ42-U42</f>
        <v>0</v>
      </c>
      <c r="AO42" s="10" t="n">
        <f aca="false">O42-P42-Q42-R42</f>
        <v>5.95094614556115</v>
      </c>
      <c r="AP42" s="9" t="n">
        <v>146543.601819117</v>
      </c>
      <c r="AQ42" s="10" t="n">
        <f aca="false">SUM(AP39:AP42)</f>
        <v>580766.506611965</v>
      </c>
    </row>
    <row r="43" customFormat="false" ht="15" hidden="false" customHeight="false" outlineLevel="0" collapsed="false">
      <c r="B43" s="7" t="s">
        <v>118</v>
      </c>
      <c r="C43" s="8" t="n">
        <v>2015</v>
      </c>
      <c r="D43" s="8" t="n">
        <v>2</v>
      </c>
      <c r="E43" s="9" t="n">
        <v>-2469.06151046702</v>
      </c>
      <c r="F43" s="9" t="n">
        <v>215.829137523557</v>
      </c>
      <c r="G43" s="9" t="n">
        <v>1462.57415184</v>
      </c>
      <c r="H43" s="9" t="n">
        <v>16411.409</v>
      </c>
      <c r="I43" s="9" t="n">
        <v>14948.83484816</v>
      </c>
      <c r="J43" s="9" t="n">
        <v>-1246.74501431644</v>
      </c>
      <c r="K43" s="9" t="n">
        <v>3047.37400305265</v>
      </c>
      <c r="L43" s="9" t="n">
        <v>4294.11901736909</v>
      </c>
      <c r="M43" s="9" t="n">
        <v>-3088.22180539291</v>
      </c>
      <c r="N43" s="9" t="n">
        <v>5.55228718607091</v>
      </c>
      <c r="O43" s="9" t="n">
        <v>-3093.77409257898</v>
      </c>
      <c r="P43" s="9" t="n">
        <v>-2089.73486361583</v>
      </c>
      <c r="Q43" s="9" t="n">
        <v>-663.01567109887</v>
      </c>
      <c r="R43" s="9" t="n">
        <v>-348.017506344992</v>
      </c>
      <c r="S43" s="9" t="n">
        <v>403.331157402339</v>
      </c>
      <c r="T43" s="9" t="n">
        <v>2.71041818889612</v>
      </c>
      <c r="U43" s="9" t="n">
        <v>-2497.96955024568</v>
      </c>
      <c r="V43" s="9" t="n">
        <v>-3175.34099752301</v>
      </c>
      <c r="W43" s="9" t="n">
        <v>185.503936634687</v>
      </c>
      <c r="X43" s="9" t="n">
        <v>0</v>
      </c>
      <c r="Y43" s="9" t="n">
        <v>2426.46576450904</v>
      </c>
      <c r="Z43" s="9" t="n">
        <v>934.37916964866</v>
      </c>
      <c r="AA43" s="9" t="n">
        <v>-1308.4434980764</v>
      </c>
      <c r="AB43" s="9" t="n">
        <v>-16.8325265796949</v>
      </c>
      <c r="AC43" s="9" t="n">
        <v>98.2532190963221</v>
      </c>
      <c r="AD43" s="9" t="n">
        <v>22.8332473850187</v>
      </c>
      <c r="AE43" s="9" t="n">
        <v>1367.03094320801</v>
      </c>
      <c r="AF43" s="9" t="n">
        <v>-5.41784054383772</v>
      </c>
      <c r="AG43" s="9" t="n">
        <v>-308.857214102431</v>
      </c>
      <c r="AH43" s="9" t="n">
        <v>2996.63638196415</v>
      </c>
      <c r="AI43" s="9" t="n">
        <v>3305.49359606658</v>
      </c>
      <c r="AJ43" s="9" t="n">
        <v>2300.09</v>
      </c>
      <c r="AK43" s="9" t="n">
        <v>-31.6184579675582</v>
      </c>
      <c r="AL43" s="10" t="n">
        <f aca="false">IF($C43&lt;2017,AI43,-AI43)</f>
        <v>3305.49359606658</v>
      </c>
      <c r="AM43" s="11" t="n">
        <f aca="false">E43+T43-U43+AK43</f>
        <v>0</v>
      </c>
      <c r="AN43" s="11" t="n">
        <f aca="false">V43+AA43+AF43+AG43+AJ43-U43</f>
        <v>0</v>
      </c>
      <c r="AO43" s="10" t="n">
        <f aca="false">O43-P43-Q43-R43</f>
        <v>6.99394848071307</v>
      </c>
      <c r="AP43" s="9" t="n">
        <v>166234.97998811</v>
      </c>
      <c r="AQ43" s="10" t="n">
        <f aca="false">SUM(AP40:AP43)</f>
        <v>601054.697940805</v>
      </c>
    </row>
    <row r="44" customFormat="false" ht="15" hidden="false" customHeight="false" outlineLevel="0" collapsed="false">
      <c r="B44" s="7" t="s">
        <v>119</v>
      </c>
      <c r="C44" s="8" t="n">
        <v>2015</v>
      </c>
      <c r="D44" s="8" t="n">
        <v>3</v>
      </c>
      <c r="E44" s="9" t="n">
        <v>-4507.92752461182</v>
      </c>
      <c r="F44" s="9" t="n">
        <v>-1824.39665561969</v>
      </c>
      <c r="G44" s="9" t="n">
        <v>-280.831808609999</v>
      </c>
      <c r="H44" s="9" t="n">
        <v>15872.122</v>
      </c>
      <c r="I44" s="9" t="n">
        <v>16152.95380861</v>
      </c>
      <c r="J44" s="9" t="n">
        <v>-1543.56484700969</v>
      </c>
      <c r="K44" s="9" t="n">
        <v>3228.33181776595</v>
      </c>
      <c r="L44" s="9" t="n">
        <v>4771.89666477564</v>
      </c>
      <c r="M44" s="9" t="n">
        <v>-2886.26320072738</v>
      </c>
      <c r="N44" s="9" t="n">
        <v>8.9435560206481</v>
      </c>
      <c r="O44" s="9" t="n">
        <v>-2895.20675674803</v>
      </c>
      <c r="P44" s="9" t="n">
        <v>-1966.54594759305</v>
      </c>
      <c r="Q44" s="9" t="n">
        <v>-673.231096598727</v>
      </c>
      <c r="R44" s="9" t="n">
        <v>-263.295576004315</v>
      </c>
      <c r="S44" s="9" t="n">
        <v>202.73233173525</v>
      </c>
      <c r="T44" s="9" t="n">
        <v>38.5246928349827</v>
      </c>
      <c r="U44" s="9" t="n">
        <v>-5404.4134456958</v>
      </c>
      <c r="V44" s="9" t="n">
        <v>-2449.92882729445</v>
      </c>
      <c r="W44" s="9" t="n">
        <v>252.368439856789</v>
      </c>
      <c r="X44" s="9" t="n">
        <v>0</v>
      </c>
      <c r="Y44" s="9" t="n">
        <v>2313.63397352154</v>
      </c>
      <c r="Z44" s="9" t="n">
        <v>388.663293629697</v>
      </c>
      <c r="AA44" s="9" t="n">
        <v>-414.19115333074</v>
      </c>
      <c r="AB44" s="9" t="n">
        <v>96.6834052001041</v>
      </c>
      <c r="AC44" s="9" t="n">
        <v>63.3092783767022</v>
      </c>
      <c r="AD44" s="9" t="n">
        <v>-44.7013051208689</v>
      </c>
      <c r="AE44" s="9" t="n">
        <v>618.885142028415</v>
      </c>
      <c r="AF44" s="9" t="n">
        <v>-0.593547051349476</v>
      </c>
      <c r="AG44" s="9" t="n">
        <v>-2312.60244323372</v>
      </c>
      <c r="AH44" s="9" t="n">
        <v>1092.04589703335</v>
      </c>
      <c r="AI44" s="9" t="n">
        <v>3404.64834026707</v>
      </c>
      <c r="AJ44" s="9" t="n">
        <v>-227.097474785542</v>
      </c>
      <c r="AK44" s="9" t="n">
        <v>-935.010613918962</v>
      </c>
      <c r="AL44" s="10" t="n">
        <f aca="false">IF($C44&lt;2017,AI44,-AI44)</f>
        <v>3404.64834026707</v>
      </c>
      <c r="AM44" s="11" t="n">
        <f aca="false">E44+T44-U44+AK44</f>
        <v>0</v>
      </c>
      <c r="AN44" s="11" t="n">
        <f aca="false">V44+AA44+AF44+AG44+AJ44-U44</f>
        <v>0</v>
      </c>
      <c r="AO44" s="10" t="n">
        <f aca="false">O44-P44-Q44-R44</f>
        <v>7.86586344806466</v>
      </c>
      <c r="AP44" s="9" t="n">
        <v>168175.696524464</v>
      </c>
      <c r="AQ44" s="10" t="n">
        <f aca="false">SUM(AP41:AP44)</f>
        <v>628072.808786877</v>
      </c>
    </row>
    <row r="45" customFormat="false" ht="15" hidden="false" customHeight="false" outlineLevel="0" collapsed="false">
      <c r="B45" s="7" t="s">
        <v>120</v>
      </c>
      <c r="C45" s="8" t="n">
        <v>2015</v>
      </c>
      <c r="D45" s="8" t="n">
        <v>4</v>
      </c>
      <c r="E45" s="9" t="n">
        <v>-5101.13440127329</v>
      </c>
      <c r="F45" s="9" t="n">
        <v>-2590.11193820242</v>
      </c>
      <c r="G45" s="9" t="n">
        <v>-1101.16776977</v>
      </c>
      <c r="H45" s="9" t="n">
        <v>12464.044</v>
      </c>
      <c r="I45" s="9" t="n">
        <v>13565.21176977</v>
      </c>
      <c r="J45" s="9" t="n">
        <v>-1488.94416843242</v>
      </c>
      <c r="K45" s="9" t="n">
        <v>3463.84324480454</v>
      </c>
      <c r="L45" s="9" t="n">
        <v>4952.78741323696</v>
      </c>
      <c r="M45" s="9" t="n">
        <v>-2907.0521475882</v>
      </c>
      <c r="N45" s="9" t="n">
        <v>9.44753364133259</v>
      </c>
      <c r="O45" s="9" t="n">
        <v>-2916.49968122953</v>
      </c>
      <c r="P45" s="9" t="n">
        <v>-1817.54008508779</v>
      </c>
      <c r="Q45" s="9" t="n">
        <v>-735.210088270212</v>
      </c>
      <c r="R45" s="9" t="n">
        <v>-367.415279097212</v>
      </c>
      <c r="S45" s="9" t="n">
        <v>396.02968451733</v>
      </c>
      <c r="T45" s="9" t="n">
        <v>1.14131874458687</v>
      </c>
      <c r="U45" s="9" t="n">
        <v>-4983.78823740387</v>
      </c>
      <c r="V45" s="9" t="n">
        <v>-1985.25832402834</v>
      </c>
      <c r="W45" s="9" t="n">
        <v>196.304212659135</v>
      </c>
      <c r="X45" s="9" t="n">
        <v>0</v>
      </c>
      <c r="Y45" s="9" t="n">
        <v>2030.49916686036</v>
      </c>
      <c r="Z45" s="9" t="n">
        <v>151.063369827111</v>
      </c>
      <c r="AA45" s="9" t="n">
        <v>2470.08888162796</v>
      </c>
      <c r="AB45" s="9" t="n">
        <v>-276.224835710955</v>
      </c>
      <c r="AC45" s="9" t="n">
        <v>136.278155164716</v>
      </c>
      <c r="AD45" s="9" t="n">
        <v>219.281935220203</v>
      </c>
      <c r="AE45" s="9" t="n">
        <v>-2829.3174973944</v>
      </c>
      <c r="AF45" s="9" t="n">
        <v>-6.73035325592534</v>
      </c>
      <c r="AG45" s="9" t="n">
        <v>1856.1740834669</v>
      </c>
      <c r="AH45" s="9" t="n">
        <v>2797.05733788969</v>
      </c>
      <c r="AI45" s="9" t="n">
        <v>940.883254422793</v>
      </c>
      <c r="AJ45" s="9" t="n">
        <v>-7318.06252521446</v>
      </c>
      <c r="AK45" s="9" t="n">
        <v>116.204845124837</v>
      </c>
      <c r="AL45" s="10" t="n">
        <f aca="false">IF($C45&lt;2017,AI45,-AI45)</f>
        <v>940.883254422793</v>
      </c>
      <c r="AM45" s="11" t="n">
        <f aca="false">E45+T45-U45+AK45</f>
        <v>8.66862137627322E-013</v>
      </c>
      <c r="AN45" s="11" t="n">
        <f aca="false">V45+AA45+AF45+AG45+AJ45-U45</f>
        <v>0</v>
      </c>
      <c r="AO45" s="10" t="n">
        <f aca="false">O45-P45-Q45-R45</f>
        <v>3.66577122568265</v>
      </c>
      <c r="AP45" s="9" t="n">
        <v>161105.787068343</v>
      </c>
      <c r="AQ45" s="10" t="n">
        <f aca="false">SUM(AP42:AP45)</f>
        <v>642060.065400035</v>
      </c>
    </row>
    <row r="46" customFormat="false" ht="15" hidden="false" customHeight="false" outlineLevel="0" collapsed="false">
      <c r="B46" s="7" t="s">
        <v>121</v>
      </c>
      <c r="C46" s="8" t="n">
        <v>2016</v>
      </c>
      <c r="D46" s="8" t="n">
        <v>1</v>
      </c>
      <c r="E46" s="9" t="n">
        <v>-4896.5106324927</v>
      </c>
      <c r="F46" s="9" t="n">
        <v>-2322.31888869724</v>
      </c>
      <c r="G46" s="9" t="n">
        <v>176.146031199998</v>
      </c>
      <c r="H46" s="9" t="n">
        <v>12454.08528896</v>
      </c>
      <c r="I46" s="9" t="n">
        <v>12277.93925776</v>
      </c>
      <c r="J46" s="9" t="n">
        <v>-2498.46491989724</v>
      </c>
      <c r="K46" s="9" t="n">
        <v>3610.11150456841</v>
      </c>
      <c r="L46" s="9" t="n">
        <v>6108.57642446564</v>
      </c>
      <c r="M46" s="9" t="n">
        <v>-2894.77577480493</v>
      </c>
      <c r="N46" s="9" t="n">
        <v>-23.7306561720634</v>
      </c>
      <c r="O46" s="9" t="n">
        <v>-2871.04511863286</v>
      </c>
      <c r="P46" s="9" t="n">
        <v>-1832.31354340266</v>
      </c>
      <c r="Q46" s="9" t="n">
        <v>-704.239641676672</v>
      </c>
      <c r="R46" s="9" t="n">
        <v>-348.797457135831</v>
      </c>
      <c r="S46" s="9" t="n">
        <v>320.58403100946</v>
      </c>
      <c r="T46" s="9" t="n">
        <v>84.347354682844</v>
      </c>
      <c r="U46" s="9" t="n">
        <v>-4731.28336914759</v>
      </c>
      <c r="V46" s="9" t="n">
        <v>-1851.93334945286</v>
      </c>
      <c r="W46" s="9" t="n">
        <v>256.017605807343</v>
      </c>
      <c r="X46" s="9" t="n">
        <v>0</v>
      </c>
      <c r="Y46" s="9" t="n">
        <v>1985.4828677044</v>
      </c>
      <c r="Z46" s="9" t="n">
        <v>122.468087555801</v>
      </c>
      <c r="AA46" s="9" t="n">
        <v>-4678.07692947924</v>
      </c>
      <c r="AB46" s="9" t="n">
        <v>-1.58887278857722</v>
      </c>
      <c r="AC46" s="9" t="n">
        <v>82.0276479156726</v>
      </c>
      <c r="AD46" s="9" t="n">
        <v>29.5488180680997</v>
      </c>
      <c r="AE46" s="9" t="n">
        <v>4728.96688653824</v>
      </c>
      <c r="AF46" s="9" t="n">
        <v>31.7710951878252</v>
      </c>
      <c r="AG46" s="9" t="n">
        <v>-1778.04418540331</v>
      </c>
      <c r="AH46" s="9" t="n">
        <v>1766.07573582239</v>
      </c>
      <c r="AI46" s="9" t="n">
        <v>3544.11992122569</v>
      </c>
      <c r="AJ46" s="9" t="n">
        <v>3545</v>
      </c>
      <c r="AK46" s="9" t="n">
        <v>81.85874155904</v>
      </c>
      <c r="AL46" s="10" t="n">
        <f aca="false">IF($C46&lt;2017,AI46,-AI46)</f>
        <v>3544.11992122569</v>
      </c>
      <c r="AM46" s="11" t="n">
        <f aca="false">E46+T46-U46+AK46</f>
        <v>0.978832896766107</v>
      </c>
      <c r="AN46" s="11" t="n">
        <f aca="false">V46+AA46+AF46+AG46+AJ46-U46</f>
        <v>0</v>
      </c>
      <c r="AO46" s="10" t="n">
        <f aca="false">O46-P46-Q46-R46</f>
        <v>14.3055235822972</v>
      </c>
      <c r="AP46" s="9" t="n">
        <v>121314.080948685</v>
      </c>
      <c r="AQ46" s="10" t="n">
        <f aca="false">SUM(AP43:AP46)</f>
        <v>616830.544529602</v>
      </c>
    </row>
    <row r="47" customFormat="false" ht="15" hidden="false" customHeight="false" outlineLevel="0" collapsed="false">
      <c r="B47" s="7" t="s">
        <v>122</v>
      </c>
      <c r="C47" s="8" t="n">
        <v>2016</v>
      </c>
      <c r="D47" s="8" t="n">
        <v>2</v>
      </c>
      <c r="E47" s="9" t="n">
        <v>-2930.59128274145</v>
      </c>
      <c r="F47" s="9" t="n">
        <v>-249.287060053321</v>
      </c>
      <c r="G47" s="9" t="n">
        <v>1677.39627686</v>
      </c>
      <c r="H47" s="9" t="n">
        <v>15437.820769</v>
      </c>
      <c r="I47" s="9" t="n">
        <v>13760.42449214</v>
      </c>
      <c r="J47" s="9" t="n">
        <v>-1926.68333691332</v>
      </c>
      <c r="K47" s="9" t="n">
        <v>2954.63346329572</v>
      </c>
      <c r="L47" s="9" t="n">
        <v>4881.31680020904</v>
      </c>
      <c r="M47" s="9" t="n">
        <v>-2986.86884107621</v>
      </c>
      <c r="N47" s="9" t="n">
        <v>-23.0917647307765</v>
      </c>
      <c r="O47" s="9" t="n">
        <v>-2963.77707634544</v>
      </c>
      <c r="P47" s="9" t="n">
        <v>-1770.41599731938</v>
      </c>
      <c r="Q47" s="9" t="n">
        <v>-827.636486783903</v>
      </c>
      <c r="R47" s="9" t="n">
        <v>-380.283987349398</v>
      </c>
      <c r="S47" s="9" t="n">
        <v>305.56461838809</v>
      </c>
      <c r="T47" s="9" t="n">
        <v>33.304358311503</v>
      </c>
      <c r="U47" s="9" t="n">
        <v>-3103.70642664743</v>
      </c>
      <c r="V47" s="9" t="n">
        <v>406.814663685974</v>
      </c>
      <c r="W47" s="9" t="n">
        <v>1103.31980485878</v>
      </c>
      <c r="X47" s="9" t="n">
        <v>0</v>
      </c>
      <c r="Y47" s="9" t="n">
        <v>1723.2449480276</v>
      </c>
      <c r="Z47" s="9" t="n">
        <v>-1026.7398068548</v>
      </c>
      <c r="AA47" s="9" t="n">
        <v>-10691.4908319915</v>
      </c>
      <c r="AB47" s="9" t="n">
        <v>-328.337584137201</v>
      </c>
      <c r="AC47" s="9" t="n">
        <v>2266.0221939814</v>
      </c>
      <c r="AD47" s="9" t="n">
        <v>38.598506304463</v>
      </c>
      <c r="AE47" s="9" t="n">
        <v>12590.5769355312</v>
      </c>
      <c r="AF47" s="9" t="n">
        <v>366.070462374666</v>
      </c>
      <c r="AG47" s="9" t="n">
        <v>5741.09927928343</v>
      </c>
      <c r="AH47" s="9" t="n">
        <v>1656.4017361521</v>
      </c>
      <c r="AI47" s="9" t="n">
        <v>-4084.69754313133</v>
      </c>
      <c r="AJ47" s="9" t="n">
        <v>1073.8</v>
      </c>
      <c r="AK47" s="9" t="n">
        <v>-205.440669320724</v>
      </c>
      <c r="AL47" s="10" t="n">
        <f aca="false">IF($C47&lt;2017,AI47,-AI47)</f>
        <v>-4084.69754313133</v>
      </c>
      <c r="AM47" s="11" t="n">
        <f aca="false">E47+T47-U47+AK47</f>
        <v>0.978832896765681</v>
      </c>
      <c r="AN47" s="11" t="n">
        <f aca="false">V47+AA47+AF47+AG47+AJ47-U47</f>
        <v>0</v>
      </c>
      <c r="AO47" s="10" t="n">
        <f aca="false">O47-P47-Q47-R47</f>
        <v>14.5593951072385</v>
      </c>
      <c r="AP47" s="9" t="n">
        <v>147951.952255737</v>
      </c>
      <c r="AQ47" s="10" t="n">
        <f aca="false">SUM(AP44:AP47)</f>
        <v>598547.516797229</v>
      </c>
    </row>
    <row r="48" customFormat="false" ht="15" hidden="false" customHeight="false" outlineLevel="0" collapsed="false">
      <c r="B48" s="7" t="s">
        <v>123</v>
      </c>
      <c r="C48" s="8" t="n">
        <v>2016</v>
      </c>
      <c r="D48" s="8" t="n">
        <v>3</v>
      </c>
      <c r="E48" s="9" t="n">
        <v>-2967.12032221582</v>
      </c>
      <c r="F48" s="9" t="n">
        <v>-398.587682799105</v>
      </c>
      <c r="G48" s="9" t="n">
        <v>1826.47574168</v>
      </c>
      <c r="H48" s="9" t="n">
        <v>15828.63788207</v>
      </c>
      <c r="I48" s="9" t="n">
        <v>14002.16214039</v>
      </c>
      <c r="J48" s="9" t="n">
        <v>-2225.0634244791</v>
      </c>
      <c r="K48" s="9" t="n">
        <v>3221.79961592558</v>
      </c>
      <c r="L48" s="9" t="n">
        <v>5446.86304040468</v>
      </c>
      <c r="M48" s="9" t="n">
        <v>-2862.6026596624</v>
      </c>
      <c r="N48" s="9" t="n">
        <v>-25.8840686936954</v>
      </c>
      <c r="O48" s="9" t="n">
        <v>-2836.71859096871</v>
      </c>
      <c r="P48" s="9" t="n">
        <v>-1664.26293390256</v>
      </c>
      <c r="Q48" s="9" t="n">
        <v>-856.384614380346</v>
      </c>
      <c r="R48" s="9" t="n">
        <v>-331.177846468729</v>
      </c>
      <c r="S48" s="9" t="n">
        <v>294.070020245685</v>
      </c>
      <c r="T48" s="9" t="n">
        <v>110.357906302194</v>
      </c>
      <c r="U48" s="9" t="n">
        <v>-4655.9290144214</v>
      </c>
      <c r="V48" s="9" t="n">
        <v>-702.901311059833</v>
      </c>
      <c r="W48" s="9" t="n">
        <v>179.516356673396</v>
      </c>
      <c r="X48" s="9" t="n">
        <v>0</v>
      </c>
      <c r="Y48" s="9" t="n">
        <v>1856.30180005694</v>
      </c>
      <c r="Z48" s="9" t="n">
        <v>-973.884132323711</v>
      </c>
      <c r="AA48" s="9" t="n">
        <v>-7707.49959431554</v>
      </c>
      <c r="AB48" s="9" t="n">
        <v>-132.560129538735</v>
      </c>
      <c r="AC48" s="9" t="n">
        <v>-277.977280660725</v>
      </c>
      <c r="AD48" s="9" t="n">
        <v>417.52177471664</v>
      </c>
      <c r="AE48" s="9" t="n">
        <v>6879.44040939944</v>
      </c>
      <c r="AF48" s="9" t="n">
        <v>-31.75</v>
      </c>
      <c r="AG48" s="9" t="n">
        <v>4355.63384528889</v>
      </c>
      <c r="AH48" s="9" t="n">
        <v>2240.73580107867</v>
      </c>
      <c r="AI48" s="9" t="n">
        <v>-2114.89804421022</v>
      </c>
      <c r="AJ48" s="9" t="n">
        <v>-569.411954334913</v>
      </c>
      <c r="AK48" s="9" t="n">
        <v>-1798.18776561101</v>
      </c>
      <c r="AL48" s="10" t="n">
        <f aca="false">IF($C48&lt;2017,AI48,-AI48)</f>
        <v>-2114.89804421022</v>
      </c>
      <c r="AM48" s="11" t="n">
        <f aca="false">E48+T48-U48+AK48</f>
        <v>0.978832896766562</v>
      </c>
      <c r="AN48" s="11" t="n">
        <f aca="false">V48+AA48+AF48+AG48+AJ48-U48</f>
        <v>0</v>
      </c>
      <c r="AO48" s="10" t="n">
        <f aca="false">O48-P48-Q48-R48</f>
        <v>15.1068037829294</v>
      </c>
      <c r="AP48" s="9" t="n">
        <v>142635.870103236</v>
      </c>
      <c r="AQ48" s="10" t="n">
        <f aca="false">SUM(AP45:AP48)</f>
        <v>573007.690376001</v>
      </c>
    </row>
    <row r="49" customFormat="false" ht="15" hidden="false" customHeight="false" outlineLevel="0" collapsed="false">
      <c r="B49" s="7" t="s">
        <v>124</v>
      </c>
      <c r="C49" s="8" t="n">
        <v>2016</v>
      </c>
      <c r="D49" s="8" t="n">
        <v>4</v>
      </c>
      <c r="E49" s="9" t="n">
        <v>-4310.56428711015</v>
      </c>
      <c r="F49" s="9" t="n">
        <v>-1065.30461238614</v>
      </c>
      <c r="G49" s="9" t="n">
        <v>736.138891860004</v>
      </c>
      <c r="H49" s="9" t="n">
        <v>14239.3897505</v>
      </c>
      <c r="I49" s="9" t="n">
        <v>13503.25085864</v>
      </c>
      <c r="J49" s="9" t="n">
        <v>-1801.44350424614</v>
      </c>
      <c r="K49" s="9" t="n">
        <v>3638.1623004355</v>
      </c>
      <c r="L49" s="9" t="n">
        <v>5439.60580468164</v>
      </c>
      <c r="M49" s="9" t="n">
        <v>-3447.96346524445</v>
      </c>
      <c r="N49" s="9" t="n">
        <v>-21.2313410339151</v>
      </c>
      <c r="O49" s="9" t="n">
        <v>-3426.73212421054</v>
      </c>
      <c r="P49" s="9" t="n">
        <v>-1899.26297058827</v>
      </c>
      <c r="Q49" s="9" t="n">
        <v>-1117.1685661781</v>
      </c>
      <c r="R49" s="9" t="n">
        <v>-426.881243238417</v>
      </c>
      <c r="S49" s="9" t="n">
        <v>202.703790520443</v>
      </c>
      <c r="T49" s="9" t="n">
        <v>142.794926960483</v>
      </c>
      <c r="U49" s="9" t="n">
        <v>-1473.13737447462</v>
      </c>
      <c r="V49" s="9" t="n">
        <v>674.386589800825</v>
      </c>
      <c r="W49" s="9" t="n">
        <v>247.677167408526</v>
      </c>
      <c r="X49" s="9" t="n">
        <v>0</v>
      </c>
      <c r="Y49" s="9" t="n">
        <v>2426.8174078931</v>
      </c>
      <c r="Z49" s="9" t="n">
        <v>-2853.5268302854</v>
      </c>
      <c r="AA49" s="9" t="n">
        <v>-12178.2264992365</v>
      </c>
      <c r="AB49" s="9" t="n">
        <v>-515.769289952766</v>
      </c>
      <c r="AC49" s="9" t="n">
        <v>-293.977121000566</v>
      </c>
      <c r="AD49" s="9" t="n">
        <v>499.547569881022</v>
      </c>
      <c r="AE49" s="9" t="n">
        <v>10868.9325184022</v>
      </c>
      <c r="AF49" s="9" t="n">
        <v>-144.046519212159</v>
      </c>
      <c r="AG49" s="9" t="n">
        <v>-87.0983957080489</v>
      </c>
      <c r="AH49" s="9" t="n">
        <v>-2973.82610433962</v>
      </c>
      <c r="AI49" s="9" t="n">
        <v>-2886.72770863157</v>
      </c>
      <c r="AJ49" s="9" t="n">
        <v>10261.8474498813</v>
      </c>
      <c r="AK49" s="9" t="n">
        <v>2696.6854485043</v>
      </c>
      <c r="AL49" s="10" t="n">
        <f aca="false">IF($C49&lt;2017,AI49,-AI49)</f>
        <v>-2886.72770863157</v>
      </c>
      <c r="AM49" s="11" t="n">
        <f aca="false">E49+T49-U49+AK49</f>
        <v>2.05346282926485</v>
      </c>
      <c r="AN49" s="11" t="n">
        <f aca="false">V49+AA49+AF49+AG49+AJ49-U49</f>
        <v>0</v>
      </c>
      <c r="AO49" s="10" t="n">
        <f aca="false">O49-P49-Q49-R49</f>
        <v>16.5806557942491</v>
      </c>
      <c r="AP49" s="9" t="n">
        <v>144945.320673622</v>
      </c>
      <c r="AQ49" s="10" t="n">
        <f aca="false">SUM(AP46:AP49)</f>
        <v>556847.223981279</v>
      </c>
    </row>
    <row r="50" customFormat="false" ht="15" hidden="false" customHeight="false" outlineLevel="0" collapsed="false">
      <c r="B50" s="7" t="s">
        <v>125</v>
      </c>
      <c r="C50" s="8" t="n">
        <v>2017</v>
      </c>
      <c r="D50" s="8" t="n">
        <v>1</v>
      </c>
      <c r="E50" s="9" t="n">
        <v>-7234.66883897359</v>
      </c>
      <c r="F50" s="9" t="n">
        <v>-3681.12472889428</v>
      </c>
      <c r="G50" s="9" t="n">
        <v>-620.283226139902</v>
      </c>
      <c r="H50" s="9" t="n">
        <v>12764.82563288</v>
      </c>
      <c r="I50" s="9" t="n">
        <v>13385.1088590199</v>
      </c>
      <c r="J50" s="9" t="n">
        <v>-3060.84150275438</v>
      </c>
      <c r="K50" s="9" t="n">
        <v>4037.4781476365</v>
      </c>
      <c r="L50" s="9" t="n">
        <v>7098.31965039088</v>
      </c>
      <c r="M50" s="9" t="n">
        <v>-3777.92928623007</v>
      </c>
      <c r="N50" s="9" t="n">
        <v>-24.917890204641</v>
      </c>
      <c r="O50" s="9" t="n">
        <v>-3753.01139602543</v>
      </c>
      <c r="P50" s="9" t="n">
        <v>-2032.94940813363</v>
      </c>
      <c r="Q50" s="9" t="n">
        <v>-1348.91084403559</v>
      </c>
      <c r="R50" s="9" t="n">
        <v>-398.434375377866</v>
      </c>
      <c r="S50" s="9" t="n">
        <v>224.385176150762</v>
      </c>
      <c r="T50" s="9" t="n">
        <v>45.3037348507495</v>
      </c>
      <c r="U50" s="9" t="n">
        <v>-6224.36104117757</v>
      </c>
      <c r="V50" s="9" t="n">
        <v>-3173.77641419071</v>
      </c>
      <c r="W50" s="9" t="n">
        <v>334.401928324414</v>
      </c>
      <c r="X50" s="9" t="n">
        <v>0</v>
      </c>
      <c r="Y50" s="9" t="n">
        <v>2502.91774693211</v>
      </c>
      <c r="Z50" s="9" t="n">
        <v>1005.26059558302</v>
      </c>
      <c r="AA50" s="9" t="n">
        <v>-14042.87591762</v>
      </c>
      <c r="AB50" s="9" t="n">
        <v>-129.045420423032</v>
      </c>
      <c r="AC50" s="9" t="n">
        <v>1689.27425534681</v>
      </c>
      <c r="AD50" s="9" t="n">
        <v>50.0279130234979</v>
      </c>
      <c r="AE50" s="9" t="n">
        <v>15553.0768395202</v>
      </c>
      <c r="AF50" s="9" t="n">
        <v>-140</v>
      </c>
      <c r="AG50" s="9" t="n">
        <v>194.078028797332</v>
      </c>
      <c r="AH50" s="9" t="n">
        <v>694.409247065211</v>
      </c>
      <c r="AI50" s="9" t="n">
        <v>-500.331218267878</v>
      </c>
      <c r="AJ50" s="9" t="n">
        <v>10938.2132618358</v>
      </c>
      <c r="AK50" s="9" t="n">
        <v>965.004062945267</v>
      </c>
      <c r="AL50" s="10" t="n">
        <f aca="false">IF($C50&lt;2017,AI50,-AI50)</f>
        <v>500.331218267878</v>
      </c>
      <c r="AM50" s="11" t="n">
        <f aca="false">E50+T50-U50+AK50</f>
        <v>0</v>
      </c>
      <c r="AN50" s="11" t="n">
        <f aca="false">V50+AA50+AF50+AG50+AJ50-U50</f>
        <v>0</v>
      </c>
      <c r="AO50" s="10" t="n">
        <f aca="false">O50-P50-Q50-R50</f>
        <v>27.2832315216681</v>
      </c>
      <c r="AP50" s="9" t="n">
        <v>147473.426155058</v>
      </c>
      <c r="AQ50" s="10" t="n">
        <f aca="false">SUM(AP47:AP50)</f>
        <v>583006.569187653</v>
      </c>
    </row>
    <row r="51" customFormat="false" ht="15" hidden="false" customHeight="false" outlineLevel="0" collapsed="false">
      <c r="B51" s="7" t="s">
        <v>126</v>
      </c>
      <c r="C51" s="8" t="n">
        <v>2017</v>
      </c>
      <c r="D51" s="8" t="n">
        <v>2</v>
      </c>
      <c r="E51" s="9" t="n">
        <v>-6605.31059350088</v>
      </c>
      <c r="F51" s="9" t="n">
        <v>-2780.91068510373</v>
      </c>
      <c r="G51" s="9" t="n">
        <v>-712.2258264701</v>
      </c>
      <c r="H51" s="9" t="n">
        <v>15524.04101412</v>
      </c>
      <c r="I51" s="9" t="n">
        <v>16236.2668405901</v>
      </c>
      <c r="J51" s="9" t="n">
        <v>-2068.68485863363</v>
      </c>
      <c r="K51" s="9" t="n">
        <v>3625.34060687029</v>
      </c>
      <c r="L51" s="9" t="n">
        <v>5694.02546550393</v>
      </c>
      <c r="M51" s="9" t="n">
        <v>-4033.1355644407</v>
      </c>
      <c r="N51" s="9" t="n">
        <v>-12.5850517517141</v>
      </c>
      <c r="O51" s="9" t="n">
        <v>-4020.55051268899</v>
      </c>
      <c r="P51" s="9" t="n">
        <v>-2072.9253911912</v>
      </c>
      <c r="Q51" s="9" t="n">
        <v>-1471.86373481843</v>
      </c>
      <c r="R51" s="9" t="n">
        <v>-513.040653051618</v>
      </c>
      <c r="S51" s="9" t="n">
        <v>208.735656043548</v>
      </c>
      <c r="T51" s="9" t="n">
        <v>43.5037170004316</v>
      </c>
      <c r="U51" s="9" t="n">
        <v>-6971.15798887182</v>
      </c>
      <c r="V51" s="9" t="n">
        <v>-2020.82760505504</v>
      </c>
      <c r="W51" s="9" t="n">
        <v>267.687826800519</v>
      </c>
      <c r="X51" s="9" t="n">
        <v>0</v>
      </c>
      <c r="Y51" s="9" t="n">
        <v>2228.15543185555</v>
      </c>
      <c r="Z51" s="9" t="n">
        <v>60.36</v>
      </c>
      <c r="AA51" s="9" t="n">
        <v>-3760.1830873991</v>
      </c>
      <c r="AB51" s="9" t="n">
        <v>259.224118091938</v>
      </c>
      <c r="AC51" s="9" t="n">
        <v>1207.23552687093</v>
      </c>
      <c r="AD51" s="9" t="n">
        <v>852.409184207933</v>
      </c>
      <c r="AE51" s="9" t="n">
        <v>4374.23354815404</v>
      </c>
      <c r="AF51" s="9" t="n">
        <v>6.9044</v>
      </c>
      <c r="AG51" s="9" t="n">
        <v>1607.33135403549</v>
      </c>
      <c r="AH51" s="9" t="n">
        <v>2187.93427237453</v>
      </c>
      <c r="AI51" s="9" t="n">
        <v>-580.602918339047</v>
      </c>
      <c r="AJ51" s="9" t="n">
        <v>-2804.38305045317</v>
      </c>
      <c r="AK51" s="9" t="n">
        <v>-409.351112371367</v>
      </c>
      <c r="AL51" s="10" t="n">
        <f aca="false">IF($C51&lt;2017,AI51,-AI51)</f>
        <v>580.602918339047</v>
      </c>
      <c r="AM51" s="11" t="n">
        <f aca="false">E51+T51-U51+AK51</f>
        <v>0</v>
      </c>
      <c r="AN51" s="11" t="n">
        <f aca="false">V51+AA51+AF51+AG51+AJ51-U51</f>
        <v>0</v>
      </c>
      <c r="AO51" s="10" t="n">
        <f aca="false">O51-P51-Q51-R51</f>
        <v>37.2792663722623</v>
      </c>
      <c r="AP51" s="9" t="n">
        <v>168026.823117736</v>
      </c>
      <c r="AQ51" s="10" t="n">
        <f aca="false">SUM(AP48:AP51)</f>
        <v>603081.440049652</v>
      </c>
    </row>
    <row r="52" customFormat="false" ht="15" hidden="false" customHeight="false" outlineLevel="0" collapsed="false">
      <c r="B52" s="7" t="s">
        <v>127</v>
      </c>
      <c r="C52" s="8" t="n">
        <v>2017</v>
      </c>
      <c r="D52" s="8" t="n">
        <v>3</v>
      </c>
      <c r="E52" s="9" t="n">
        <v>-8148.70485482926</v>
      </c>
      <c r="F52" s="9" t="n">
        <v>-4228.61886794353</v>
      </c>
      <c r="G52" s="9" t="n">
        <v>-1679.38193896</v>
      </c>
      <c r="H52" s="9" t="n">
        <v>15851.8840510599</v>
      </c>
      <c r="I52" s="9" t="n">
        <v>17531.2659900199</v>
      </c>
      <c r="J52" s="9" t="n">
        <v>-2549.23692898353</v>
      </c>
      <c r="K52" s="9" t="n">
        <v>3659.99110295258</v>
      </c>
      <c r="L52" s="9" t="n">
        <v>6209.22803193611</v>
      </c>
      <c r="M52" s="9" t="n">
        <v>-3843.01391356166</v>
      </c>
      <c r="N52" s="9" t="n">
        <v>-26.1907888040552</v>
      </c>
      <c r="O52" s="9" t="n">
        <v>-3816.8231247576</v>
      </c>
      <c r="P52" s="9" t="n">
        <v>-2114.94509940135</v>
      </c>
      <c r="Q52" s="9" t="n">
        <v>-1351.35209969916</v>
      </c>
      <c r="R52" s="9" t="n">
        <v>-391.053234751248</v>
      </c>
      <c r="S52" s="9" t="n">
        <v>-77.0720733240714</v>
      </c>
      <c r="T52" s="9" t="n">
        <v>79.1783464237527</v>
      </c>
      <c r="U52" s="9" t="n">
        <v>-8878.07482854497</v>
      </c>
      <c r="V52" s="9" t="n">
        <v>-3042.89511285362</v>
      </c>
      <c r="W52" s="9" t="n">
        <v>287.736957762745</v>
      </c>
      <c r="X52" s="9" t="n">
        <v>0</v>
      </c>
      <c r="Y52" s="9" t="n">
        <v>2200.64245628757</v>
      </c>
      <c r="Z52" s="9" t="n">
        <v>1129.98961432879</v>
      </c>
      <c r="AA52" s="9" t="n">
        <v>-7208.31285249838</v>
      </c>
      <c r="AB52" s="9" t="n">
        <v>331.19672063329</v>
      </c>
      <c r="AC52" s="9" t="n">
        <v>236.58591300988</v>
      </c>
      <c r="AD52" s="9" t="n">
        <v>1596.11967749392</v>
      </c>
      <c r="AE52" s="9" t="n">
        <v>6179.97580864763</v>
      </c>
      <c r="AF52" s="9" t="n">
        <v>11.09</v>
      </c>
      <c r="AG52" s="9" t="n">
        <v>-523.176244250079</v>
      </c>
      <c r="AH52" s="9" t="n">
        <v>5417.39715587911</v>
      </c>
      <c r="AI52" s="9" t="n">
        <v>-5940.57340012918</v>
      </c>
      <c r="AJ52" s="9" t="n">
        <v>1885.21938105711</v>
      </c>
      <c r="AK52" s="9" t="n">
        <v>-808.548320139469</v>
      </c>
      <c r="AL52" s="10" t="n">
        <f aca="false">IF($C52&lt;2017,AI52,-AI52)</f>
        <v>5940.57340012918</v>
      </c>
      <c r="AM52" s="11" t="n">
        <f aca="false">E52+T52-U52+AK52</f>
        <v>0</v>
      </c>
      <c r="AN52" s="11" t="n">
        <f aca="false">V52+AA52+AF52+AG52+AJ52-U52</f>
        <v>0</v>
      </c>
      <c r="AO52" s="10" t="n">
        <f aca="false">O52-P52-Q52-R52</f>
        <v>40.5273090941649</v>
      </c>
      <c r="AP52" s="9" t="n">
        <v>160933.896978091</v>
      </c>
      <c r="AQ52" s="10" t="n">
        <f aca="false">SUM(AP49:AP52)</f>
        <v>621379.466924507</v>
      </c>
    </row>
    <row r="53" customFormat="false" ht="15" hidden="false" customHeight="false" outlineLevel="0" collapsed="false">
      <c r="B53" s="7" t="s">
        <v>128</v>
      </c>
      <c r="C53" s="8" t="n">
        <v>2017</v>
      </c>
      <c r="D53" s="8" t="n">
        <v>4</v>
      </c>
      <c r="E53" s="9" t="n">
        <v>-9162.66746345865</v>
      </c>
      <c r="F53" s="9" t="n">
        <v>-4451.84741782292</v>
      </c>
      <c r="G53" s="9" t="n">
        <v>-2435.1721159701</v>
      </c>
      <c r="H53" s="9" t="n">
        <v>14521.12285372</v>
      </c>
      <c r="I53" s="9" t="n">
        <v>16956.2949696901</v>
      </c>
      <c r="J53" s="9" t="n">
        <v>-2016.67530185282</v>
      </c>
      <c r="K53" s="9" t="n">
        <v>4183.39210452291</v>
      </c>
      <c r="L53" s="9" t="n">
        <v>6200.06740637572</v>
      </c>
      <c r="M53" s="9" t="n">
        <v>-4726.2049413032</v>
      </c>
      <c r="N53" s="9" t="n">
        <v>-17.1097911454638</v>
      </c>
      <c r="O53" s="9" t="n">
        <v>-4709.09515015773</v>
      </c>
      <c r="P53" s="9" t="n">
        <v>-2460.8253951186</v>
      </c>
      <c r="Q53" s="9" t="n">
        <v>-1808.71571836966</v>
      </c>
      <c r="R53" s="9" t="n">
        <v>-464.816507164618</v>
      </c>
      <c r="S53" s="9" t="n">
        <v>15.3848956674592</v>
      </c>
      <c r="T53" s="9" t="n">
        <v>5.50966912901984</v>
      </c>
      <c r="U53" s="9" t="n">
        <v>-9199.59407241683</v>
      </c>
      <c r="V53" s="9" t="n">
        <v>-2123.73211216059</v>
      </c>
      <c r="W53" s="9" t="n">
        <v>265.80350513685</v>
      </c>
      <c r="X53" s="9" t="n">
        <v>0</v>
      </c>
      <c r="Y53" s="9" t="n">
        <v>2163.08561729744</v>
      </c>
      <c r="Z53" s="9" t="n">
        <v>226.45</v>
      </c>
      <c r="AA53" s="9" t="n">
        <v>-10910.3676341054</v>
      </c>
      <c r="AB53" s="9" t="n">
        <v>-153.574977348914</v>
      </c>
      <c r="AC53" s="9" t="n">
        <v>2061.44214761502</v>
      </c>
      <c r="AD53" s="9" t="n">
        <v>514.743198781707</v>
      </c>
      <c r="AE53" s="9" t="n">
        <v>12303.4916055898</v>
      </c>
      <c r="AF53" s="9" t="n">
        <v>25.78</v>
      </c>
      <c r="AG53" s="9" t="n">
        <v>-727.930257785113</v>
      </c>
      <c r="AH53" s="9" t="n">
        <v>4206.34232191474</v>
      </c>
      <c r="AI53" s="9" t="n">
        <v>-4934.27257969985</v>
      </c>
      <c r="AJ53" s="9" t="n">
        <v>4536.65593163429</v>
      </c>
      <c r="AK53" s="9" t="n">
        <v>-42.4362780871961</v>
      </c>
      <c r="AL53" s="10" t="n">
        <f aca="false">IF($C53&lt;2017,AI53,-AI53)</f>
        <v>4934.27257969985</v>
      </c>
      <c r="AM53" s="11" t="n">
        <f aca="false">E53+T53-U53+AK53</f>
        <v>0</v>
      </c>
      <c r="AN53" s="11" t="n">
        <f aca="false">V53+AA53+AF53+AG53+AJ53-U53</f>
        <v>0</v>
      </c>
      <c r="AO53" s="10" t="n">
        <f aca="false">O53-P53-Q53-R53</f>
        <v>25.2624704951475</v>
      </c>
      <c r="AP53" s="9" t="n">
        <v>166949.544757081</v>
      </c>
      <c r="AQ53" s="10" t="n">
        <f aca="false">SUM(AP50:AP53)</f>
        <v>643383.691007967</v>
      </c>
    </row>
    <row r="54" customFormat="false" ht="15" hidden="false" customHeight="false" outlineLevel="0" collapsed="false">
      <c r="B54" s="7" t="s">
        <v>129</v>
      </c>
      <c r="C54" s="8" t="n">
        <v>2018</v>
      </c>
      <c r="D54" s="8" t="n">
        <v>1</v>
      </c>
      <c r="E54" s="9" t="n">
        <v>-9396.40174706839</v>
      </c>
      <c r="F54" s="9" t="n">
        <v>-5061.95371386462</v>
      </c>
      <c r="G54" s="9" t="n">
        <v>-1665.25126064</v>
      </c>
      <c r="H54" s="9" t="n">
        <v>14535.24547182</v>
      </c>
      <c r="I54" s="9" t="n">
        <v>16200.49673246</v>
      </c>
      <c r="J54" s="9" t="n">
        <v>-3396.70245322462</v>
      </c>
      <c r="K54" s="9" t="n">
        <v>4473.66539441506</v>
      </c>
      <c r="L54" s="9" t="n">
        <v>7870.36784763967</v>
      </c>
      <c r="M54" s="9" t="n">
        <v>-4490.37197808308</v>
      </c>
      <c r="N54" s="9" t="n">
        <v>-22.9665420819388</v>
      </c>
      <c r="O54" s="9" t="n">
        <v>-4467.40543600114</v>
      </c>
      <c r="P54" s="9" t="n">
        <v>-1967.65902997634</v>
      </c>
      <c r="Q54" s="9" t="n">
        <v>-2116.05447816109</v>
      </c>
      <c r="R54" s="9" t="n">
        <v>-447.150350660864</v>
      </c>
      <c r="S54" s="9" t="n">
        <v>155.923944879307</v>
      </c>
      <c r="T54" s="9" t="n">
        <v>23.9552895322502</v>
      </c>
      <c r="U54" s="9" t="n">
        <v>-9547.09576491623</v>
      </c>
      <c r="V54" s="9" t="n">
        <v>-2470.52557401365</v>
      </c>
      <c r="W54" s="9" t="n">
        <v>480.035449608292</v>
      </c>
      <c r="X54" s="9" t="n">
        <v>0</v>
      </c>
      <c r="Y54" s="9" t="n">
        <v>2809.51593419953</v>
      </c>
      <c r="Z54" s="9" t="n">
        <v>141.045089422406</v>
      </c>
      <c r="AA54" s="9" t="n">
        <v>-12953.3803578827</v>
      </c>
      <c r="AB54" s="9" t="n">
        <v>1.62539426711349</v>
      </c>
      <c r="AC54" s="9" t="n">
        <v>3576.74604719965</v>
      </c>
      <c r="AD54" s="9" t="n">
        <v>102.026577988947</v>
      </c>
      <c r="AE54" s="9" t="n">
        <v>16429.7252213606</v>
      </c>
      <c r="AF54" s="9" t="n">
        <v>-26.6351511044001</v>
      </c>
      <c r="AG54" s="9" t="n">
        <v>-249.585893317678</v>
      </c>
      <c r="AH54" s="9" t="n">
        <v>3239.0376444927</v>
      </c>
      <c r="AI54" s="9" t="n">
        <v>-3488.62353781037</v>
      </c>
      <c r="AJ54" s="9" t="n">
        <v>6153.03121140222</v>
      </c>
      <c r="AK54" s="9" t="n">
        <v>-174.649307380101</v>
      </c>
      <c r="AL54" s="10" t="n">
        <f aca="false">IF($C54&lt;2017,AI54,-AI54)</f>
        <v>3488.62353781037</v>
      </c>
      <c r="AM54" s="11" t="n">
        <f aca="false">E54+T54-U54+AK54</f>
        <v>-3.66640051652212E-012</v>
      </c>
      <c r="AN54" s="11" t="n">
        <f aca="false">V54+AA54+AF54+AG54+AJ54-U54</f>
        <v>0</v>
      </c>
      <c r="AO54" s="10" t="n">
        <f aca="false">O54-P54-Q54-R54</f>
        <v>63.4584227971583</v>
      </c>
      <c r="AP54" s="9" t="n">
        <v>158084.365870459</v>
      </c>
      <c r="AQ54" s="10" t="n">
        <f aca="false">SUM(AP51:AP54)</f>
        <v>653994.630723368</v>
      </c>
    </row>
    <row r="55" customFormat="false" ht="15" hidden="false" customHeight="false" outlineLevel="0" collapsed="false">
      <c r="B55" s="7" t="s">
        <v>130</v>
      </c>
      <c r="C55" s="8" t="n">
        <v>2018</v>
      </c>
      <c r="D55" s="8" t="n">
        <v>2</v>
      </c>
      <c r="E55" s="9" t="n">
        <v>-8434.38754897401</v>
      </c>
      <c r="F55" s="9" t="n">
        <v>-4233.23133886907</v>
      </c>
      <c r="G55" s="9" t="n">
        <v>-1696.42855688</v>
      </c>
      <c r="H55" s="9" t="n">
        <v>15518.4522272499</v>
      </c>
      <c r="I55" s="9" t="n">
        <v>17214.8807841299</v>
      </c>
      <c r="J55" s="9" t="n">
        <v>-2536.80278198906</v>
      </c>
      <c r="K55" s="9" t="n">
        <v>3517.77670169052</v>
      </c>
      <c r="L55" s="9" t="n">
        <v>6054.57948367958</v>
      </c>
      <c r="M55" s="9" t="n">
        <v>-4653.57143004043</v>
      </c>
      <c r="N55" s="9" t="n">
        <v>-17.8212878265972</v>
      </c>
      <c r="O55" s="9" t="n">
        <v>-4635.75014221383</v>
      </c>
      <c r="P55" s="9" t="n">
        <v>-1883.77494331223</v>
      </c>
      <c r="Q55" s="9" t="n">
        <v>-2418.06196680339</v>
      </c>
      <c r="R55" s="9" t="n">
        <v>-477.913232098212</v>
      </c>
      <c r="S55" s="9" t="n">
        <v>452.415219935483</v>
      </c>
      <c r="T55" s="9" t="n">
        <v>20.9950396322502</v>
      </c>
      <c r="U55" s="9" t="n">
        <v>-9001.55351738603</v>
      </c>
      <c r="V55" s="9" t="n">
        <v>-2210.53813907433</v>
      </c>
      <c r="W55" s="9" t="n">
        <v>448.939387728029</v>
      </c>
      <c r="X55" s="9" t="n">
        <v>0</v>
      </c>
      <c r="Y55" s="9" t="n">
        <v>2293.36843523179</v>
      </c>
      <c r="Z55" s="9" t="n">
        <v>366.109091570578</v>
      </c>
      <c r="AA55" s="9" t="n">
        <v>1874.06974309934</v>
      </c>
      <c r="AB55" s="9" t="n">
        <v>73</v>
      </c>
      <c r="AC55" s="9" t="n">
        <v>468.505811642536</v>
      </c>
      <c r="AD55" s="9" t="n">
        <v>-292.454396807919</v>
      </c>
      <c r="AE55" s="9" t="n">
        <v>-1040.10953464888</v>
      </c>
      <c r="AF55" s="9" t="n">
        <v>-4.33992840161848</v>
      </c>
      <c r="AG55" s="9" t="n">
        <v>-9401.61181034855</v>
      </c>
      <c r="AH55" s="9" t="n">
        <v>10343.260037719</v>
      </c>
      <c r="AI55" s="9" t="n">
        <v>-19744.8718480675</v>
      </c>
      <c r="AJ55" s="9" t="n">
        <v>740.866617339134</v>
      </c>
      <c r="AK55" s="9" t="n">
        <v>-588.161008044272</v>
      </c>
      <c r="AL55" s="10" t="n">
        <f aca="false">IF($C55&lt;2017,AI55,-AI55)</f>
        <v>19744.8718480675</v>
      </c>
      <c r="AM55" s="11" t="n">
        <f aca="false">E55+T55-U55+AK55</f>
        <v>0</v>
      </c>
      <c r="AN55" s="11" t="n">
        <f aca="false">V55+AA55+AF55+AG55+AJ55-U55</f>
        <v>0</v>
      </c>
      <c r="AO55" s="10" t="n">
        <f aca="false">O55-P55-Q55-R55</f>
        <v>143.999999999999</v>
      </c>
      <c r="AP55" s="9" t="n">
        <v>153653.633372175</v>
      </c>
      <c r="AQ55" s="10" t="n">
        <f aca="false">SUM(AP52:AP55)</f>
        <v>639621.440977808</v>
      </c>
    </row>
    <row r="56" customFormat="false" ht="15" hidden="false" customHeight="false" outlineLevel="0" collapsed="false">
      <c r="B56" s="7" t="s">
        <v>131</v>
      </c>
      <c r="C56" s="8" t="n">
        <v>2018</v>
      </c>
      <c r="D56" s="8" t="n">
        <v>3</v>
      </c>
      <c r="E56" s="9" t="n">
        <v>-7358.71961109684</v>
      </c>
      <c r="F56" s="9" t="n">
        <v>-2698.74133186692</v>
      </c>
      <c r="G56" s="9" t="n">
        <v>-745.755691700098</v>
      </c>
      <c r="H56" s="9" t="n">
        <v>15665.26091715</v>
      </c>
      <c r="I56" s="9" t="n">
        <v>16411.0166088501</v>
      </c>
      <c r="J56" s="9" t="n">
        <v>-1952.98564016682</v>
      </c>
      <c r="K56" s="9" t="n">
        <v>3357.72554729946</v>
      </c>
      <c r="L56" s="9" t="n">
        <v>5310.71118746629</v>
      </c>
      <c r="M56" s="9" t="n">
        <v>-4897.81250623349</v>
      </c>
      <c r="N56" s="9" t="n">
        <v>-19.9528822530578</v>
      </c>
      <c r="O56" s="9" t="n">
        <v>-4877.85962398043</v>
      </c>
      <c r="P56" s="9" t="n">
        <v>-1981.0955895502</v>
      </c>
      <c r="Q56" s="9" t="n">
        <v>-2369.37403136816</v>
      </c>
      <c r="R56" s="9" t="n">
        <v>-638.360994877815</v>
      </c>
      <c r="S56" s="9" t="n">
        <v>237.834227003565</v>
      </c>
      <c r="T56" s="9" t="n">
        <v>47.2861884222503</v>
      </c>
      <c r="U56" s="9" t="n">
        <v>-7852.63026316041</v>
      </c>
      <c r="V56" s="9" t="n">
        <v>-2655.92305025862</v>
      </c>
      <c r="W56" s="9" t="n">
        <v>497.410277804633</v>
      </c>
      <c r="X56" s="9" t="n">
        <v>0</v>
      </c>
      <c r="Y56" s="9" t="n">
        <v>2813.61583932005</v>
      </c>
      <c r="Z56" s="9" t="n">
        <v>339.7174887432</v>
      </c>
      <c r="AA56" s="9" t="n">
        <v>1902.42297592843</v>
      </c>
      <c r="AB56" s="9" t="n">
        <v>398.263781794475</v>
      </c>
      <c r="AC56" s="9" t="n">
        <v>308.423208195835</v>
      </c>
      <c r="AD56" s="9" t="n">
        <v>-130.885581879457</v>
      </c>
      <c r="AE56" s="9" t="n">
        <v>-1064.85040405866</v>
      </c>
      <c r="AF56" s="9" t="n">
        <v>30.437550125345</v>
      </c>
      <c r="AG56" s="9" t="n">
        <v>5157.07443774395</v>
      </c>
      <c r="AH56" s="9" t="n">
        <v>8069.97313174098</v>
      </c>
      <c r="AI56" s="9" t="n">
        <v>-2912.89869399703</v>
      </c>
      <c r="AJ56" s="9" t="n">
        <v>-12286.6421766995</v>
      </c>
      <c r="AK56" s="9" t="n">
        <v>-541.196840485812</v>
      </c>
      <c r="AL56" s="10" t="n">
        <f aca="false">IF($C56&lt;2017,AI56,-AI56)</f>
        <v>2912.89869399703</v>
      </c>
      <c r="AM56" s="11" t="n">
        <f aca="false">E56+T56-U56+AK56</f>
        <v>0</v>
      </c>
      <c r="AN56" s="11" t="n">
        <f aca="false">V56+AA56+AF56+AG56+AJ56-U56</f>
        <v>0</v>
      </c>
      <c r="AO56" s="10" t="n">
        <f aca="false">O56-P56-Q56-R56</f>
        <v>110.970991815737</v>
      </c>
      <c r="AP56" s="9" t="n">
        <v>119223.082801298</v>
      </c>
      <c r="AQ56" s="10" t="n">
        <f aca="false">SUM(AP53:AP56)</f>
        <v>597910.626801014</v>
      </c>
    </row>
    <row r="57" customFormat="false" ht="15" hidden="false" customHeight="false" outlineLevel="0" collapsed="false">
      <c r="B57" s="7" t="s">
        <v>132</v>
      </c>
      <c r="C57" s="8" t="n">
        <v>2018</v>
      </c>
      <c r="D57" s="8" t="n">
        <v>4</v>
      </c>
      <c r="E57" s="9" t="n">
        <v>-1894.09754391778</v>
      </c>
      <c r="F57" s="9" t="n">
        <v>2315.4309203659</v>
      </c>
      <c r="G57" s="9" t="n">
        <v>3364.20783103</v>
      </c>
      <c r="H57" s="9" t="n">
        <v>16082.04402207</v>
      </c>
      <c r="I57" s="9" t="n">
        <v>12717.83619104</v>
      </c>
      <c r="J57" s="9" t="n">
        <v>-1048.7769106641</v>
      </c>
      <c r="K57" s="9" t="n">
        <v>3992.99553442729</v>
      </c>
      <c r="L57" s="9" t="n">
        <v>5041.77244509139</v>
      </c>
      <c r="M57" s="9" t="n">
        <v>-4608.47441068189</v>
      </c>
      <c r="N57" s="9" t="n">
        <v>-18.7149825417272</v>
      </c>
      <c r="O57" s="9" t="n">
        <v>-4589.75942814016</v>
      </c>
      <c r="P57" s="9" t="n">
        <v>-1588.86016700482</v>
      </c>
      <c r="Q57" s="9" t="n">
        <v>-2442.57446195231</v>
      </c>
      <c r="R57" s="9" t="n">
        <v>-656.884058614857</v>
      </c>
      <c r="S57" s="9" t="n">
        <v>398.9459463982</v>
      </c>
      <c r="T57" s="9" t="n">
        <v>18.8390004522502</v>
      </c>
      <c r="U57" s="9" t="n">
        <v>-1634.54123937629</v>
      </c>
      <c r="V57" s="9" t="n">
        <v>-2653.80148270199</v>
      </c>
      <c r="W57" s="9" t="n">
        <v>299.596457564755</v>
      </c>
      <c r="X57" s="9" t="n">
        <v>0</v>
      </c>
      <c r="Y57" s="9" t="n">
        <v>2376.55220400157</v>
      </c>
      <c r="Z57" s="9" t="n">
        <v>576.845736265182</v>
      </c>
      <c r="AA57" s="9" t="n">
        <v>2252.96231289322</v>
      </c>
      <c r="AB57" s="9" t="n">
        <v>111.024679748918</v>
      </c>
      <c r="AC57" s="9" t="n">
        <v>1229.11255488612</v>
      </c>
      <c r="AD57" s="9" t="n">
        <v>-187.033564604514</v>
      </c>
      <c r="AE57" s="9" t="n">
        <v>-725.79151365367</v>
      </c>
      <c r="AF57" s="9" t="n">
        <v>-31.5713596266062</v>
      </c>
      <c r="AG57" s="9" t="n">
        <v>-17871.7678347519</v>
      </c>
      <c r="AH57" s="9" t="n">
        <v>3964.52147462542</v>
      </c>
      <c r="AI57" s="9" t="n">
        <v>-21836.2893093773</v>
      </c>
      <c r="AJ57" s="9" t="n">
        <v>16669.637124811</v>
      </c>
      <c r="AK57" s="9" t="n">
        <v>240.717304089239</v>
      </c>
      <c r="AL57" s="10" t="n">
        <f aca="false">IF($C57&lt;2017,AI57,-AI57)</f>
        <v>21836.2893093773</v>
      </c>
      <c r="AM57" s="11" t="n">
        <f aca="false">E57+T57-U57+AK57</f>
        <v>-9.66338120633736E-013</v>
      </c>
      <c r="AN57" s="11" t="n">
        <f aca="false">V57+AA57+AF57+AG57+AJ57-U57</f>
        <v>0</v>
      </c>
      <c r="AO57" s="10" t="n">
        <f aca="false">O57-P57-Q57-R57</f>
        <v>98.5592594318331</v>
      </c>
      <c r="AP57" s="9" t="n">
        <v>113332.597378243</v>
      </c>
      <c r="AQ57" s="10" t="n">
        <f aca="false">SUM(AP54:AP57)</f>
        <v>544293.679422175</v>
      </c>
    </row>
    <row r="58" customFormat="false" ht="15" hidden="false" customHeight="false" outlineLevel="0" collapsed="false">
      <c r="B58" s="7" t="s">
        <v>133</v>
      </c>
      <c r="C58" s="8" t="n">
        <v>2019</v>
      </c>
      <c r="D58" s="8" t="n">
        <v>1</v>
      </c>
      <c r="E58" s="9" t="n">
        <v>-3433.67590471964</v>
      </c>
      <c r="F58" s="9" t="n">
        <v>839.742861313776</v>
      </c>
      <c r="G58" s="9" t="n">
        <v>2549.7567436201</v>
      </c>
      <c r="H58" s="9" t="n">
        <v>14170.70271429</v>
      </c>
      <c r="I58" s="9" t="n">
        <v>11620.9459706699</v>
      </c>
      <c r="J58" s="9" t="n">
        <v>-1710.01388230632</v>
      </c>
      <c r="K58" s="9" t="n">
        <v>3941.5912142825</v>
      </c>
      <c r="L58" s="9" t="n">
        <v>5651.60509658883</v>
      </c>
      <c r="M58" s="9" t="n">
        <v>-4557.98294043967</v>
      </c>
      <c r="N58" s="9" t="n">
        <v>-21.9943480319994</v>
      </c>
      <c r="O58" s="9" t="n">
        <v>-4535.98859240767</v>
      </c>
      <c r="P58" s="9" t="n">
        <v>-1476.54038326401</v>
      </c>
      <c r="Q58" s="9" t="n">
        <v>-2306.10949525069</v>
      </c>
      <c r="R58" s="9" t="n">
        <v>-847.210845394883</v>
      </c>
      <c r="S58" s="9" t="n">
        <v>284.564174406245</v>
      </c>
      <c r="T58" s="9" t="n">
        <v>37.3503225511039</v>
      </c>
      <c r="U58" s="9" t="n">
        <v>-3639.07674709064</v>
      </c>
      <c r="V58" s="9" t="n">
        <v>-1968.56102855577</v>
      </c>
      <c r="W58" s="9" t="n">
        <v>407.486226145831</v>
      </c>
      <c r="X58" s="9" t="n">
        <v>0</v>
      </c>
      <c r="Y58" s="9" t="n">
        <v>2091.91639612706</v>
      </c>
      <c r="Z58" s="9" t="n">
        <v>284.130858574543</v>
      </c>
      <c r="AA58" s="9" t="n">
        <v>362.190142130131</v>
      </c>
      <c r="AB58" s="9" t="n">
        <v>142.235282722098</v>
      </c>
      <c r="AC58" s="9" t="n">
        <v>1084.05880104576</v>
      </c>
      <c r="AD58" s="9" t="n">
        <v>194.292725775609</v>
      </c>
      <c r="AE58" s="9" t="n">
        <v>669.811215862121</v>
      </c>
      <c r="AF58" s="9" t="n">
        <v>-23.8018783345206</v>
      </c>
      <c r="AG58" s="9" t="n">
        <v>-1963.79290654107</v>
      </c>
      <c r="AH58" s="9" t="n">
        <v>-3.88323342716336</v>
      </c>
      <c r="AI58" s="9" t="n">
        <v>-1959.90967311391</v>
      </c>
      <c r="AJ58" s="9" t="n">
        <v>-45.1110757894112</v>
      </c>
      <c r="AK58" s="9" t="n">
        <v>-242.751164922101</v>
      </c>
      <c r="AL58" s="10" t="n">
        <f aca="false">IF($C58&lt;2017,AI58,-AI58)</f>
        <v>1959.90967311391</v>
      </c>
      <c r="AM58" s="11" t="n">
        <f aca="false">E58+T58-U58+AK58</f>
        <v>2.33058017329313E-012</v>
      </c>
      <c r="AN58" s="11" t="n">
        <f aca="false">V58+AA58+AF58+AG58+AJ58-U58</f>
        <v>0</v>
      </c>
      <c r="AO58" s="10" t="n">
        <f aca="false">O58-P58-Q58-R58</f>
        <v>93.8721315019095</v>
      </c>
      <c r="AP58" s="9" t="n">
        <v>112149.062070118</v>
      </c>
      <c r="AQ58" s="10" t="n">
        <f aca="false">SUM(AP55:AP58)</f>
        <v>498358.375621834</v>
      </c>
    </row>
    <row r="59" customFormat="false" ht="15" hidden="false" customHeight="false" outlineLevel="0" collapsed="false">
      <c r="B59" s="7" t="s">
        <v>134</v>
      </c>
      <c r="C59" s="8" t="n">
        <v>2019</v>
      </c>
      <c r="D59" s="8" t="n">
        <v>2</v>
      </c>
      <c r="E59" s="9" t="n">
        <v>-1811.89495343671</v>
      </c>
      <c r="F59" s="9" t="n">
        <v>2931.72261827017</v>
      </c>
      <c r="G59" s="9" t="n">
        <v>4222.88573371</v>
      </c>
      <c r="H59" s="9" t="n">
        <v>16630.1505026501</v>
      </c>
      <c r="I59" s="9" t="n">
        <v>12407.2647689401</v>
      </c>
      <c r="J59" s="9" t="n">
        <v>-1291.16311543983</v>
      </c>
      <c r="K59" s="9" t="n">
        <v>3374.51907473218</v>
      </c>
      <c r="L59" s="9" t="n">
        <v>4665.68219017201</v>
      </c>
      <c r="M59" s="9" t="n">
        <v>-4839.90333946329</v>
      </c>
      <c r="N59" s="9" t="n">
        <v>-19.9758186685553</v>
      </c>
      <c r="O59" s="9" t="n">
        <v>-4819.92752079474</v>
      </c>
      <c r="P59" s="9" t="n">
        <v>-1343.16840820351</v>
      </c>
      <c r="Q59" s="9" t="n">
        <v>-2731.75123887458</v>
      </c>
      <c r="R59" s="9" t="n">
        <v>-847.094412242956</v>
      </c>
      <c r="S59" s="9" t="n">
        <v>96.2857677564103</v>
      </c>
      <c r="T59" s="9" t="n">
        <v>139.175550717766</v>
      </c>
      <c r="U59" s="9" t="n">
        <v>-2372.77135987174</v>
      </c>
      <c r="V59" s="9" t="n">
        <v>-380.712246064654</v>
      </c>
      <c r="W59" s="9" t="n">
        <v>334.56879247131</v>
      </c>
      <c r="X59" s="9" t="n">
        <v>0</v>
      </c>
      <c r="Y59" s="9" t="n">
        <v>741.182146530019</v>
      </c>
      <c r="Z59" s="9" t="n">
        <v>-25.9011079940539</v>
      </c>
      <c r="AA59" s="9" t="n">
        <v>6026.48192396303</v>
      </c>
      <c r="AB59" s="9" t="n">
        <v>180.060183159239</v>
      </c>
      <c r="AC59" s="9" t="n">
        <v>1130.47055153645</v>
      </c>
      <c r="AD59" s="9" t="n">
        <v>39.4201681206155</v>
      </c>
      <c r="AE59" s="9" t="n">
        <v>-4755.37135738796</v>
      </c>
      <c r="AF59" s="9" t="n">
        <v>-44.8981211763338</v>
      </c>
      <c r="AG59" s="9" t="n">
        <v>-6200.257435116</v>
      </c>
      <c r="AH59" s="9" t="n">
        <v>5393.65159345425</v>
      </c>
      <c r="AI59" s="9" t="n">
        <v>-11593.9090285703</v>
      </c>
      <c r="AJ59" s="9" t="n">
        <v>-1773.38548147778</v>
      </c>
      <c r="AK59" s="9" t="n">
        <v>-700.051957152791</v>
      </c>
      <c r="AL59" s="10" t="n">
        <f aca="false">IF($C59&lt;2017,AI59,-AI59)</f>
        <v>11593.9090285703</v>
      </c>
      <c r="AM59" s="11" t="n">
        <f aca="false">E59+T59-U59+AK59</f>
        <v>2.50111042987555E-012</v>
      </c>
      <c r="AN59" s="11" t="n">
        <f aca="false">V59+AA59+AF59+AG59+AJ59-U59</f>
        <v>0</v>
      </c>
      <c r="AO59" s="10" t="n">
        <f aca="false">O59-P59-Q59-R59</f>
        <v>102.086538526309</v>
      </c>
      <c r="AP59" s="9" t="n">
        <v>120854.951420561</v>
      </c>
      <c r="AQ59" s="10" t="n">
        <f aca="false">SUM(AP56:AP59)</f>
        <v>465559.693670219</v>
      </c>
    </row>
    <row r="60" customFormat="false" ht="15" hidden="false" customHeight="false" outlineLevel="0" collapsed="false">
      <c r="B60" s="7" t="s">
        <v>135</v>
      </c>
      <c r="C60" s="8" t="n">
        <v>2019</v>
      </c>
      <c r="D60" s="8" t="n">
        <v>3</v>
      </c>
      <c r="E60" s="9" t="n">
        <v>-808.397649410337</v>
      </c>
      <c r="F60" s="9" t="n">
        <v>3186.1221618227</v>
      </c>
      <c r="G60" s="9" t="n">
        <v>4471.3585540001</v>
      </c>
      <c r="H60" s="9" t="n">
        <v>17178.57620613</v>
      </c>
      <c r="I60" s="9" t="n">
        <v>12707.2176521299</v>
      </c>
      <c r="J60" s="9" t="n">
        <v>-1285.23639217741</v>
      </c>
      <c r="K60" s="9" t="n">
        <v>3469.76766476378</v>
      </c>
      <c r="L60" s="9" t="n">
        <v>4755.00405694119</v>
      </c>
      <c r="M60" s="9" t="n">
        <v>-4218.85963387005</v>
      </c>
      <c r="N60" s="9" t="n">
        <v>-24.7316550477166</v>
      </c>
      <c r="O60" s="9" t="n">
        <v>-4194.12797882233</v>
      </c>
      <c r="P60" s="9" t="n">
        <v>-1228.05113115196</v>
      </c>
      <c r="Q60" s="9" t="n">
        <v>-2048.42852397483</v>
      </c>
      <c r="R60" s="9" t="n">
        <v>-988.442713695547</v>
      </c>
      <c r="S60" s="9" t="n">
        <v>224.339822637017</v>
      </c>
      <c r="T60" s="9" t="n">
        <v>79.9501510477663</v>
      </c>
      <c r="U60" s="9" t="n">
        <v>-1538.16157092787</v>
      </c>
      <c r="V60" s="9" t="n">
        <v>-1231.37446967855</v>
      </c>
      <c r="W60" s="9" t="n">
        <v>370.888368404539</v>
      </c>
      <c r="X60" s="9" t="n">
        <v>0</v>
      </c>
      <c r="Y60" s="9" t="n">
        <v>1595.2476785438</v>
      </c>
      <c r="Z60" s="9" t="n">
        <v>7.01515953928933</v>
      </c>
      <c r="AA60" s="9" t="n">
        <v>-110.599153138699</v>
      </c>
      <c r="AB60" s="9" t="n">
        <v>-41.8981243641673</v>
      </c>
      <c r="AC60" s="9" t="n">
        <v>-741.85085292159</v>
      </c>
      <c r="AD60" s="9" t="n">
        <v>-75.9375350786972</v>
      </c>
      <c r="AE60" s="9" t="n">
        <v>-597.212289068361</v>
      </c>
      <c r="AF60" s="9" t="n">
        <v>33.3530325249098</v>
      </c>
      <c r="AG60" s="9" t="n">
        <v>14593.5231534535</v>
      </c>
      <c r="AH60" s="9" t="n">
        <v>17318.3470433934</v>
      </c>
      <c r="AI60" s="9" t="n">
        <v>-2724.82388993996</v>
      </c>
      <c r="AJ60" s="9" t="n">
        <v>-14823.064134089</v>
      </c>
      <c r="AK60" s="9" t="n">
        <v>-809.714072565294</v>
      </c>
      <c r="AL60" s="10" t="n">
        <f aca="false">IF($C60&lt;2017,AI60,-AI60)</f>
        <v>2724.82388993996</v>
      </c>
      <c r="AM60" s="11" t="n">
        <f aca="false">E60+T60-U60+AK60</f>
        <v>0</v>
      </c>
      <c r="AN60" s="11" t="n">
        <f aca="false">V60+AA60+AF60+AG60+AJ60-U60</f>
        <v>0</v>
      </c>
      <c r="AO60" s="10" t="n">
        <f aca="false">O60-P60-Q60-R60</f>
        <v>70.7943900000005</v>
      </c>
      <c r="AP60" s="9" t="n">
        <v>110413.870886872</v>
      </c>
      <c r="AQ60" s="10" t="n">
        <f aca="false">SUM(AP57:AP60)</f>
        <v>456750.481755793</v>
      </c>
    </row>
    <row r="61" customFormat="false" ht="15" hidden="false" customHeight="false" outlineLevel="0" collapsed="false">
      <c r="B61" s="7" t="s">
        <v>136</v>
      </c>
      <c r="C61" s="8" t="n">
        <v>2019</v>
      </c>
      <c r="D61" s="8" t="n">
        <v>4</v>
      </c>
      <c r="E61" s="9" t="n">
        <v>2561.48892648249</v>
      </c>
      <c r="F61" s="9" t="n">
        <v>6432.96239947574</v>
      </c>
      <c r="G61" s="9" t="n">
        <v>6989.7224269701</v>
      </c>
      <c r="H61" s="9" t="n">
        <v>17182.63230174</v>
      </c>
      <c r="I61" s="9" t="n">
        <v>10192.9098747699</v>
      </c>
      <c r="J61" s="9" t="n">
        <v>-556.760027494369</v>
      </c>
      <c r="K61" s="9" t="n">
        <v>4016.542850834</v>
      </c>
      <c r="L61" s="9" t="n">
        <v>4573.30287832837</v>
      </c>
      <c r="M61" s="9" t="n">
        <v>-4115.41864814554</v>
      </c>
      <c r="N61" s="9" t="n">
        <v>-26.1867604598002</v>
      </c>
      <c r="O61" s="9" t="n">
        <v>-4089.23188768574</v>
      </c>
      <c r="P61" s="9" t="n">
        <v>-1561.82140353927</v>
      </c>
      <c r="Q61" s="9" t="n">
        <v>-1621.45634460147</v>
      </c>
      <c r="R61" s="9" t="n">
        <v>-967.451516428316</v>
      </c>
      <c r="S61" s="9" t="n">
        <v>243.945175152292</v>
      </c>
      <c r="T61" s="9" t="n">
        <v>27.4712760812374</v>
      </c>
      <c r="U61" s="9" t="n">
        <v>2430.7441206668</v>
      </c>
      <c r="V61" s="9" t="n">
        <v>-1545.81194189176</v>
      </c>
      <c r="W61" s="9" t="n">
        <v>409.784764773643</v>
      </c>
      <c r="X61" s="9" t="n">
        <v>0</v>
      </c>
      <c r="Y61" s="9" t="n">
        <v>2053.47635226528</v>
      </c>
      <c r="Z61" s="9" t="n">
        <v>-97.8796455998697</v>
      </c>
      <c r="AA61" s="9" t="n">
        <v>830.508812361013</v>
      </c>
      <c r="AB61" s="9" t="n">
        <v>111</v>
      </c>
      <c r="AC61" s="9" t="n">
        <v>240.296830352355</v>
      </c>
      <c r="AD61" s="9" t="n">
        <v>-72.1759664304456</v>
      </c>
      <c r="AE61" s="9" t="n">
        <v>-407.036015578213</v>
      </c>
      <c r="AF61" s="9" t="n">
        <v>11.0466371329628</v>
      </c>
      <c r="AG61" s="9" t="n">
        <v>7867.99718944675</v>
      </c>
      <c r="AH61" s="9" t="n">
        <v>8545.09067334955</v>
      </c>
      <c r="AI61" s="9" t="n">
        <v>-677.093483902804</v>
      </c>
      <c r="AJ61" s="9" t="n">
        <v>-4732.99657638217</v>
      </c>
      <c r="AK61" s="9" t="n">
        <v>-158.216081896931</v>
      </c>
      <c r="AL61" s="10" t="n">
        <f aca="false">IF($C61&lt;2017,AI61,-AI61)</f>
        <v>677.093483902804</v>
      </c>
      <c r="AM61" s="11" t="n">
        <f aca="false">E61+T61-U61+AK61</f>
        <v>-8.81072992342524E-013</v>
      </c>
      <c r="AN61" s="11" t="n">
        <f aca="false">V61+AA61+AF61+AG61+AJ61-U61</f>
        <v>0</v>
      </c>
      <c r="AO61" s="10" t="n">
        <f aca="false">O61-P61-Q61-R61</f>
        <v>61.4973768833127</v>
      </c>
      <c r="AP61" s="9" t="n">
        <v>106159.557116956</v>
      </c>
      <c r="AQ61" s="10" t="n">
        <f aca="false">SUM(AP58:AP61)</f>
        <v>449577.441494506</v>
      </c>
    </row>
    <row r="62" customFormat="false" ht="15" hidden="false" customHeight="false" outlineLevel="0" collapsed="false">
      <c r="B62" s="7" t="s">
        <v>137</v>
      </c>
      <c r="C62" s="8" t="n">
        <v>2020</v>
      </c>
      <c r="D62" s="8" t="n">
        <v>1</v>
      </c>
      <c r="E62" s="9" t="n">
        <v>117.123969538584</v>
      </c>
      <c r="F62" s="9" t="n">
        <v>2939.9371104224</v>
      </c>
      <c r="G62" s="9" t="n">
        <v>3925.77466793009</v>
      </c>
      <c r="H62" s="9" t="n">
        <v>13360.22306329</v>
      </c>
      <c r="I62" s="9" t="n">
        <v>9434.44839535991</v>
      </c>
      <c r="J62" s="9" t="n">
        <v>-985.837557507691</v>
      </c>
      <c r="K62" s="9" t="n">
        <v>3685.04709961106</v>
      </c>
      <c r="L62" s="9" t="n">
        <v>4670.88465711875</v>
      </c>
      <c r="M62" s="9" t="n">
        <v>-3087.6357226146</v>
      </c>
      <c r="N62" s="9" t="n">
        <v>-26.311693825531</v>
      </c>
      <c r="O62" s="9" t="n">
        <v>-3061.32402878907</v>
      </c>
      <c r="P62" s="9" t="n">
        <v>-619.044896695694</v>
      </c>
      <c r="Q62" s="9" t="n">
        <v>-1533.77198069897</v>
      </c>
      <c r="R62" s="9" t="n">
        <v>-946.79114070844</v>
      </c>
      <c r="S62" s="9" t="n">
        <v>264.822581730785</v>
      </c>
      <c r="T62" s="9" t="n">
        <v>42.4261130601901</v>
      </c>
      <c r="U62" s="9" t="n">
        <v>-511.546529692778</v>
      </c>
      <c r="V62" s="9" t="n">
        <v>-1593.99689369942</v>
      </c>
      <c r="W62" s="9" t="n">
        <v>245.865836536033</v>
      </c>
      <c r="X62" s="9" t="n">
        <v>0</v>
      </c>
      <c r="Y62" s="9" t="n">
        <v>1226.37599823546</v>
      </c>
      <c r="Z62" s="9" t="n">
        <v>613.486732</v>
      </c>
      <c r="AA62" s="9" t="n">
        <v>-675.639325425643</v>
      </c>
      <c r="AB62" s="9" t="n">
        <v>-254.091830866693</v>
      </c>
      <c r="AC62" s="9" t="n">
        <v>-1541.99774332071</v>
      </c>
      <c r="AD62" s="9" t="n">
        <v>330.870782601501</v>
      </c>
      <c r="AE62" s="9" t="n">
        <v>-1451.32103136327</v>
      </c>
      <c r="AF62" s="9" t="n">
        <v>0.453197252497891</v>
      </c>
      <c r="AG62" s="9" t="n">
        <v>2846.66878739478</v>
      </c>
      <c r="AH62" s="9" t="n">
        <v>700.548454006799</v>
      </c>
      <c r="AI62" s="9" t="n">
        <v>2146.12033338798</v>
      </c>
      <c r="AJ62" s="9" t="n">
        <v>-1089.03229521499</v>
      </c>
      <c r="AK62" s="9" t="n">
        <v>-671.096612291553</v>
      </c>
      <c r="AL62" s="10" t="n">
        <f aca="false">IF($C62&lt;2017,AI62,-AI62)</f>
        <v>-2146.12033338798</v>
      </c>
      <c r="AM62" s="11" t="n">
        <f aca="false">E62+T62-U62+AK62</f>
        <v>0</v>
      </c>
      <c r="AN62" s="11" t="n">
        <f aca="false">V62+AA62+AF62+AG62+AJ62-U62</f>
        <v>0</v>
      </c>
      <c r="AO62" s="10" t="n">
        <f aca="false">O62-P62-Q62-R62</f>
        <v>38.2839893140338</v>
      </c>
      <c r="AP62" s="9" t="n">
        <v>101582.576112782</v>
      </c>
      <c r="AQ62" s="10" t="n">
        <f aca="false">SUM(AP59:AP62)</f>
        <v>439010.95553717</v>
      </c>
    </row>
    <row r="63" customFormat="false" ht="15" hidden="false" customHeight="false" outlineLevel="0" collapsed="false">
      <c r="B63" s="7" t="s">
        <v>138</v>
      </c>
      <c r="C63" s="8" t="n">
        <v>2020</v>
      </c>
      <c r="D63" s="8" t="n">
        <v>2</v>
      </c>
      <c r="E63" s="9" t="n">
        <v>2863.32416850974</v>
      </c>
      <c r="F63" s="9" t="n">
        <v>5045.56847282924</v>
      </c>
      <c r="G63" s="9" t="n">
        <v>5340.76137818994</v>
      </c>
      <c r="H63" s="9" t="n">
        <v>14235.1252797099</v>
      </c>
      <c r="I63" s="9" t="n">
        <v>8894.36390151996</v>
      </c>
      <c r="J63" s="9" t="n">
        <v>-295.192905360697</v>
      </c>
      <c r="K63" s="9" t="n">
        <v>1880.07334156122</v>
      </c>
      <c r="L63" s="9" t="n">
        <v>2175.26624692192</v>
      </c>
      <c r="M63" s="9" t="n">
        <v>-2574.38893748594</v>
      </c>
      <c r="N63" s="9" t="n">
        <v>-17.5948849611826</v>
      </c>
      <c r="O63" s="9" t="n">
        <v>-2556.79405252475</v>
      </c>
      <c r="P63" s="9" t="n">
        <v>-410.077214099899</v>
      </c>
      <c r="Q63" s="9" t="n">
        <v>-1183.7472978238</v>
      </c>
      <c r="R63" s="9" t="n">
        <v>-965.71683051704</v>
      </c>
      <c r="S63" s="9" t="n">
        <v>392.14463316643</v>
      </c>
      <c r="T63" s="9" t="n">
        <v>31.6239681174348</v>
      </c>
      <c r="U63" s="9" t="n">
        <v>3825.15198658468</v>
      </c>
      <c r="V63" s="9" t="n">
        <v>387.386819103626</v>
      </c>
      <c r="W63" s="9" t="n">
        <v>267.674455471812</v>
      </c>
      <c r="X63" s="9" t="n">
        <v>0</v>
      </c>
      <c r="Y63" s="9" t="n">
        <v>737.233300368187</v>
      </c>
      <c r="Z63" s="9" t="n">
        <v>-856.945664</v>
      </c>
      <c r="AA63" s="9" t="n">
        <v>1259.2767866839</v>
      </c>
      <c r="AB63" s="9" t="n">
        <v>403.527399124713</v>
      </c>
      <c r="AC63" s="9" t="n">
        <v>-1106.73895622431</v>
      </c>
      <c r="AD63" s="9" t="n">
        <v>-247.553614009794</v>
      </c>
      <c r="AE63" s="9" t="n">
        <v>-1714.9347297737</v>
      </c>
      <c r="AF63" s="9" t="n">
        <v>3.49636311945675</v>
      </c>
      <c r="AG63" s="9" t="n">
        <v>2967.70549324801</v>
      </c>
      <c r="AH63" s="9" t="n">
        <v>2310.02618286365</v>
      </c>
      <c r="AI63" s="9" t="n">
        <v>657.679310384358</v>
      </c>
      <c r="AJ63" s="9" t="n">
        <v>-792.713475570322</v>
      </c>
      <c r="AK63" s="9" t="n">
        <v>930.203849957502</v>
      </c>
      <c r="AL63" s="10" t="n">
        <f aca="false">IF($C63&lt;2017,AI63,-AI63)</f>
        <v>-657.679310384358</v>
      </c>
      <c r="AM63" s="11" t="n">
        <f aca="false">E63+T63-U63+AK63</f>
        <v>0</v>
      </c>
      <c r="AN63" s="11" t="n">
        <f aca="false">V63+AA63+AF63+AG63+AJ63-U63</f>
        <v>0</v>
      </c>
      <c r="AO63" s="10" t="n">
        <f aca="false">O63-P63-Q63-R63</f>
        <v>2.74728991598863</v>
      </c>
      <c r="AP63" s="9" t="n">
        <v>88794.1467526</v>
      </c>
      <c r="AQ63" s="10" t="n">
        <f aca="false">SUM(AP60:AP63)</f>
        <v>406950.150869209</v>
      </c>
    </row>
    <row r="64" customFormat="false" ht="15" hidden="false" customHeight="false" outlineLevel="0" collapsed="false">
      <c r="B64" s="7" t="s">
        <v>139</v>
      </c>
      <c r="C64" s="8" t="n">
        <v>2020</v>
      </c>
      <c r="D64" s="8" t="n">
        <v>3</v>
      </c>
      <c r="E64" s="9" t="n">
        <v>1150.40505409342</v>
      </c>
      <c r="F64" s="9" t="n">
        <v>3467.22831601762</v>
      </c>
      <c r="G64" s="9" t="n">
        <v>4068.9463281299</v>
      </c>
      <c r="H64" s="9" t="n">
        <v>14620.2669888499</v>
      </c>
      <c r="I64" s="9" t="n">
        <v>10551.32066072</v>
      </c>
      <c r="J64" s="9" t="n">
        <v>-601.718012112282</v>
      </c>
      <c r="K64" s="9" t="n">
        <v>1803.44547006555</v>
      </c>
      <c r="L64" s="9" t="n">
        <v>2405.16348217784</v>
      </c>
      <c r="M64" s="9" t="n">
        <v>-2592.11784298799</v>
      </c>
      <c r="N64" s="9" t="n">
        <v>-16.5666324640048</v>
      </c>
      <c r="O64" s="9" t="n">
        <v>-2575.55121052399</v>
      </c>
      <c r="P64" s="9" t="n">
        <v>-685.982990934558</v>
      </c>
      <c r="Q64" s="9" t="n">
        <v>-982.614577600045</v>
      </c>
      <c r="R64" s="9" t="n">
        <v>-910.858641989386</v>
      </c>
      <c r="S64" s="9" t="n">
        <v>275.294581063788</v>
      </c>
      <c r="T64" s="9" t="n">
        <v>40.3515239240323</v>
      </c>
      <c r="U64" s="9" t="n">
        <v>-375.648522642659</v>
      </c>
      <c r="V64" s="9" t="n">
        <v>-1249.86488872772</v>
      </c>
      <c r="W64" s="9" t="n">
        <v>324.088101519215</v>
      </c>
      <c r="X64" s="9" t="n">
        <v>0</v>
      </c>
      <c r="Y64" s="9" t="n">
        <v>942.738964246935</v>
      </c>
      <c r="Z64" s="9" t="n">
        <v>631.214026</v>
      </c>
      <c r="AA64" s="9" t="n">
        <v>2268.45479182862</v>
      </c>
      <c r="AB64" s="9" t="n">
        <v>675.518523884594</v>
      </c>
      <c r="AC64" s="9" t="n">
        <v>-654.763485761337</v>
      </c>
      <c r="AD64" s="9" t="n">
        <v>-219.082432526344</v>
      </c>
      <c r="AE64" s="9" t="n">
        <v>-2028.61732117902</v>
      </c>
      <c r="AF64" s="9" t="n">
        <v>-0.61779038559861</v>
      </c>
      <c r="AG64" s="9" t="n">
        <v>1642.51747061654</v>
      </c>
      <c r="AH64" s="9" t="n">
        <v>350.300001661821</v>
      </c>
      <c r="AI64" s="9" t="n">
        <v>1292.21746895472</v>
      </c>
      <c r="AJ64" s="9" t="n">
        <v>-3036.1381059745</v>
      </c>
      <c r="AK64" s="9" t="n">
        <v>-1566.40510066011</v>
      </c>
      <c r="AL64" s="10" t="n">
        <f aca="false">IF($C64&lt;2017,AI64,-AI64)</f>
        <v>-1292.21746895472</v>
      </c>
      <c r="AM64" s="11" t="n">
        <f aca="false">E64+T64-U64+AK64</f>
        <v>0</v>
      </c>
      <c r="AN64" s="11" t="n">
        <f aca="false">V64+AA64+AF64+AG64+AJ64-U64</f>
        <v>0</v>
      </c>
      <c r="AO64" s="10" t="n">
        <f aca="false">O64-P64-Q64-R64</f>
        <v>3.90499999999963</v>
      </c>
      <c r="AP64" s="9" t="n">
        <v>93956.3871777704</v>
      </c>
      <c r="AQ64" s="10" t="n">
        <f aca="false">SUM(AP61:AP64)</f>
        <v>390492.667160108</v>
      </c>
    </row>
    <row r="65" customFormat="false" ht="15" hidden="false" customHeight="false" outlineLevel="0" collapsed="false">
      <c r="B65" s="7" t="s">
        <v>140</v>
      </c>
      <c r="C65" s="8" t="n">
        <v>2020</v>
      </c>
      <c r="D65" s="8" t="n">
        <v>4</v>
      </c>
      <c r="E65" s="9" t="n">
        <v>-1442.49118661862</v>
      </c>
      <c r="F65" s="9" t="n">
        <v>641.681511356199</v>
      </c>
      <c r="G65" s="9" t="n">
        <v>1295.2158028399</v>
      </c>
      <c r="H65" s="9" t="n">
        <v>12729.8943669299</v>
      </c>
      <c r="I65" s="9" t="n">
        <v>11434.67856409</v>
      </c>
      <c r="J65" s="9" t="n">
        <v>-653.534291483702</v>
      </c>
      <c r="K65" s="9" t="n">
        <v>2123.17169555587</v>
      </c>
      <c r="L65" s="9" t="n">
        <v>2776.70598703957</v>
      </c>
      <c r="M65" s="9" t="n">
        <v>-2251.43524604071</v>
      </c>
      <c r="N65" s="9" t="n">
        <v>-21.719930706572</v>
      </c>
      <c r="O65" s="9" t="n">
        <v>-2229.71531533414</v>
      </c>
      <c r="P65" s="9" t="n">
        <v>-894.54377024867</v>
      </c>
      <c r="Q65" s="9" t="n">
        <v>-404.083472042299</v>
      </c>
      <c r="R65" s="9" t="n">
        <v>-933.293573043173</v>
      </c>
      <c r="S65" s="9" t="n">
        <v>167.262548065892</v>
      </c>
      <c r="T65" s="9" t="n">
        <v>50.3608684516685</v>
      </c>
      <c r="U65" s="9" t="n">
        <v>-1575.83692752025</v>
      </c>
      <c r="V65" s="9" t="n">
        <v>-1250.47580402809</v>
      </c>
      <c r="W65" s="9" t="n">
        <v>339.548515078398</v>
      </c>
      <c r="X65" s="9" t="n">
        <v>0</v>
      </c>
      <c r="Y65" s="9" t="n">
        <v>1138.42787210649</v>
      </c>
      <c r="Z65" s="9" t="n">
        <v>451.596447</v>
      </c>
      <c r="AA65" s="9" t="n">
        <v>-1281.39047602471</v>
      </c>
      <c r="AB65" s="9" t="n">
        <v>266.703798658817</v>
      </c>
      <c r="AC65" s="9" t="n">
        <v>-768.054359461056</v>
      </c>
      <c r="AD65" s="9" t="n">
        <v>17.6565178866622</v>
      </c>
      <c r="AE65" s="9" t="n">
        <v>762.383397335807</v>
      </c>
      <c r="AF65" s="9" t="n">
        <v>7.08159952110955</v>
      </c>
      <c r="AG65" s="9" t="n">
        <v>3758.23473198083</v>
      </c>
      <c r="AH65" s="9" t="n">
        <v>4177.9143894376</v>
      </c>
      <c r="AI65" s="9" t="n">
        <v>-419.679657456771</v>
      </c>
      <c r="AJ65" s="9" t="n">
        <v>-2809.28697896939</v>
      </c>
      <c r="AK65" s="9" t="n">
        <v>-183.706609353297</v>
      </c>
      <c r="AL65" s="10" t="n">
        <f aca="false">IF($C65&lt;2017,AI65,-AI65)</f>
        <v>419.679657456771</v>
      </c>
      <c r="AM65" s="11" t="n">
        <f aca="false">E65+T65-U65+AK65</f>
        <v>-3.69482222595252E-012</v>
      </c>
      <c r="AN65" s="11" t="n">
        <f aca="false">V65+AA65+AF65+AG65+AJ65-U65</f>
        <v>0</v>
      </c>
      <c r="AO65" s="10" t="n">
        <f aca="false">O65-P65-Q65-R65</f>
        <v>2.20550000000014</v>
      </c>
      <c r="AP65" s="9" t="n">
        <v>100835.318336551</v>
      </c>
      <c r="AQ65" s="10" t="n">
        <f aca="false">SUM(AP62:AP65)</f>
        <v>385168.428379703</v>
      </c>
    </row>
    <row r="66" customFormat="false" ht="15" hidden="false" customHeight="false" outlineLevel="0" collapsed="false">
      <c r="B66" s="7" t="s">
        <v>141</v>
      </c>
      <c r="C66" s="8" t="n">
        <v>2021</v>
      </c>
      <c r="D66" s="8" t="n">
        <v>1</v>
      </c>
      <c r="E66" s="9" t="n">
        <v>395.421926772179</v>
      </c>
      <c r="F66" s="9" t="n">
        <v>2582.56265887933</v>
      </c>
      <c r="G66" s="9" t="n">
        <v>3241.08896199</v>
      </c>
      <c r="H66" s="9" t="n">
        <v>15415.7820692501</v>
      </c>
      <c r="I66" s="9" t="n">
        <v>12174.6931072601</v>
      </c>
      <c r="J66" s="9" t="n">
        <v>-658.526303110674</v>
      </c>
      <c r="K66" s="9" t="n">
        <v>1981.82749195669</v>
      </c>
      <c r="L66" s="9" t="n">
        <v>2640.35379506736</v>
      </c>
      <c r="M66" s="9" t="n">
        <v>-2503.19715395723</v>
      </c>
      <c r="N66" s="9" t="n">
        <v>-28.4483607972071</v>
      </c>
      <c r="O66" s="9" t="n">
        <v>-2474.74879316003</v>
      </c>
      <c r="P66" s="9" t="n">
        <v>-1228.50539996093</v>
      </c>
      <c r="Q66" s="9" t="n">
        <v>-376.436064373656</v>
      </c>
      <c r="R66" s="9" t="n">
        <v>-871.814266990658</v>
      </c>
      <c r="S66" s="9" t="n">
        <v>316.056421850085</v>
      </c>
      <c r="T66" s="9" t="n">
        <v>45.7775052519486</v>
      </c>
      <c r="U66" s="9" t="n">
        <v>1409.6082485043</v>
      </c>
      <c r="V66" s="9" t="n">
        <v>-2213.89521442746</v>
      </c>
      <c r="W66" s="9" t="n">
        <v>336.269204878981</v>
      </c>
      <c r="X66" s="9" t="n">
        <v>0</v>
      </c>
      <c r="Y66" s="9" t="n">
        <v>1434.14841930644</v>
      </c>
      <c r="Z66" s="9" t="n">
        <v>1116.016</v>
      </c>
      <c r="AA66" s="9" t="n">
        <v>1891.5611353144</v>
      </c>
      <c r="AB66" s="9" t="n">
        <v>939.96090556627</v>
      </c>
      <c r="AC66" s="9" t="n">
        <v>-270.957075207599</v>
      </c>
      <c r="AD66" s="9" t="n">
        <v>-8.32984892342864</v>
      </c>
      <c r="AE66" s="9" t="n">
        <v>-1214.2274560323</v>
      </c>
      <c r="AF66" s="9" t="n">
        <v>-3.15155229257537</v>
      </c>
      <c r="AG66" s="9" t="n">
        <v>1055.43727284597</v>
      </c>
      <c r="AH66" s="9" t="n">
        <v>834.925167618541</v>
      </c>
      <c r="AI66" s="9" t="n">
        <v>220.512105227428</v>
      </c>
      <c r="AJ66" s="9" t="n">
        <v>679.656607063962</v>
      </c>
      <c r="AK66" s="9" t="n">
        <v>968.408816480171</v>
      </c>
      <c r="AL66" s="10" t="n">
        <f aca="false">IF($C66&lt;2017,AI66,-AI66)</f>
        <v>-220.512105227428</v>
      </c>
      <c r="AM66" s="11" t="n">
        <f aca="false">E66+T66-U66+AK66</f>
        <v>0</v>
      </c>
      <c r="AN66" s="11" t="n">
        <f aca="false">V66+AA66+AF66+AG66+AJ66-U66</f>
        <v>0</v>
      </c>
      <c r="AO66" s="10" t="n">
        <f aca="false">O66-P66-Q66-R66</f>
        <v>2.00693816521527</v>
      </c>
      <c r="AP66" s="9" t="n">
        <v>103848.263337875</v>
      </c>
      <c r="AQ66" s="10" t="n">
        <f aca="false">SUM(AP63:AP66)</f>
        <v>387434.115604797</v>
      </c>
    </row>
    <row r="67" customFormat="false" ht="15" hidden="false" customHeight="false" outlineLevel="0" collapsed="false">
      <c r="B67" s="7" t="s">
        <v>142</v>
      </c>
      <c r="C67" s="8" t="n">
        <v>2021</v>
      </c>
      <c r="D67" s="8" t="n">
        <v>2</v>
      </c>
      <c r="E67" s="9" t="n">
        <v>2546.7007984391</v>
      </c>
      <c r="F67" s="9" t="n">
        <v>4527.47838710261</v>
      </c>
      <c r="G67" s="9" t="n">
        <v>5168.1414511901</v>
      </c>
      <c r="H67" s="9" t="n">
        <v>19980.48857943</v>
      </c>
      <c r="I67" s="9" t="n">
        <v>14812.3471282399</v>
      </c>
      <c r="J67" s="9" t="n">
        <v>-640.663064087491</v>
      </c>
      <c r="K67" s="9" t="n">
        <v>2244.76524089118</v>
      </c>
      <c r="L67" s="9" t="n">
        <v>2885.42830497867</v>
      </c>
      <c r="M67" s="9" t="n">
        <v>-2414.16415198499</v>
      </c>
      <c r="N67" s="9" t="n">
        <v>-32.7301488424515</v>
      </c>
      <c r="O67" s="9" t="n">
        <v>-2381.43400314254</v>
      </c>
      <c r="P67" s="9" t="n">
        <v>-1172.73144280335</v>
      </c>
      <c r="Q67" s="9" t="n">
        <v>-349.156884210162</v>
      </c>
      <c r="R67" s="9" t="n">
        <v>-861.259585663445</v>
      </c>
      <c r="S67" s="9" t="n">
        <v>433.386563321478</v>
      </c>
      <c r="T67" s="9" t="n">
        <v>93.9022893967029</v>
      </c>
      <c r="U67" s="9" t="n">
        <v>1304.92242189026</v>
      </c>
      <c r="V67" s="9" t="n">
        <v>-1583.0381450697</v>
      </c>
      <c r="W67" s="9" t="n">
        <v>381.125828025692</v>
      </c>
      <c r="X67" s="9" t="n">
        <v>0</v>
      </c>
      <c r="Y67" s="9" t="n">
        <v>1323.41697309539</v>
      </c>
      <c r="Z67" s="9" t="n">
        <v>640.747</v>
      </c>
      <c r="AA67" s="9" t="n">
        <v>1245.6458959761</v>
      </c>
      <c r="AB67" s="9" t="n">
        <v>528.323686161562</v>
      </c>
      <c r="AC67" s="9" t="n">
        <v>-137.82326015</v>
      </c>
      <c r="AD67" s="9" t="n">
        <v>122.707370233657</v>
      </c>
      <c r="AE67" s="9" t="n">
        <v>-977.852840198194</v>
      </c>
      <c r="AF67" s="9" t="n">
        <v>-0.0066810909034202</v>
      </c>
      <c r="AG67" s="9" t="n">
        <v>-760.436799186793</v>
      </c>
      <c r="AH67" s="9" t="n">
        <v>840.409704545032</v>
      </c>
      <c r="AI67" s="9" t="n">
        <v>-1600.84650373183</v>
      </c>
      <c r="AJ67" s="9" t="n">
        <v>2402.75815126156</v>
      </c>
      <c r="AK67" s="9" t="n">
        <v>-1335.68066594554</v>
      </c>
      <c r="AL67" s="10" t="n">
        <f aca="false">IF($C67&lt;2017,AI67,-AI67)</f>
        <v>1600.84650373183</v>
      </c>
      <c r="AM67" s="11" t="n">
        <f aca="false">E67+T67-U67+AK67</f>
        <v>0</v>
      </c>
      <c r="AN67" s="11" t="n">
        <f aca="false">V67+AA67+AF67+AG67+AJ67-U67</f>
        <v>0</v>
      </c>
      <c r="AO67" s="10" t="n">
        <f aca="false">O67-P67-Q67-R67</f>
        <v>1.71390953442108</v>
      </c>
      <c r="AP67" s="9" t="n">
        <v>123208.378857079</v>
      </c>
      <c r="AQ67" s="10" t="n">
        <f aca="false">SUM(AP64:AP67)</f>
        <v>421848.347709276</v>
      </c>
    </row>
    <row r="68" customFormat="false" ht="15" hidden="false" customHeight="false" outlineLevel="0" collapsed="false">
      <c r="B68" s="7" t="s">
        <v>143</v>
      </c>
      <c r="C68" s="8" t="n">
        <v>2021</v>
      </c>
      <c r="D68" s="8" t="n">
        <v>3</v>
      </c>
      <c r="E68" s="9" t="n">
        <v>3348.56834364748</v>
      </c>
      <c r="F68" s="9" t="n">
        <v>5630.98268976331</v>
      </c>
      <c r="G68" s="9" t="n">
        <v>6659.1888374001</v>
      </c>
      <c r="H68" s="9" t="n">
        <v>22935.78949584</v>
      </c>
      <c r="I68" s="9" t="n">
        <v>16276.6006584399</v>
      </c>
      <c r="J68" s="9" t="n">
        <v>-1028.20614763679</v>
      </c>
      <c r="K68" s="9" t="n">
        <v>2416.28398981369</v>
      </c>
      <c r="L68" s="9" t="n">
        <v>3444.49013745048</v>
      </c>
      <c r="M68" s="9" t="n">
        <v>-2606.57350760899</v>
      </c>
      <c r="N68" s="9" t="n">
        <v>-27.6335672895504</v>
      </c>
      <c r="O68" s="9" t="n">
        <v>-2578.93994031944</v>
      </c>
      <c r="P68" s="9" t="n">
        <v>-1471.22011699712</v>
      </c>
      <c r="Q68" s="9" t="n">
        <v>-272.638587232709</v>
      </c>
      <c r="R68" s="9" t="n">
        <v>-836.125902852421</v>
      </c>
      <c r="S68" s="9" t="n">
        <v>324.159161493158</v>
      </c>
      <c r="T68" s="9" t="n">
        <v>70.2672417424284</v>
      </c>
      <c r="U68" s="9" t="n">
        <v>1215.19337335936</v>
      </c>
      <c r="V68" s="9" t="n">
        <v>-338.682081916765</v>
      </c>
      <c r="W68" s="9" t="n">
        <v>402.281948314904</v>
      </c>
      <c r="X68" s="9" t="n">
        <v>0</v>
      </c>
      <c r="Y68" s="9" t="n">
        <v>1683.83103023167</v>
      </c>
      <c r="Z68" s="9" t="n">
        <v>-942.867</v>
      </c>
      <c r="AA68" s="9" t="n">
        <v>985.550739323458</v>
      </c>
      <c r="AB68" s="9" t="n">
        <v>282.869534084494</v>
      </c>
      <c r="AC68" s="9" t="n">
        <v>-53.817404835131</v>
      </c>
      <c r="AD68" s="9" t="n">
        <v>34.8824335572754</v>
      </c>
      <c r="AE68" s="9" t="n">
        <v>-791.38104363137</v>
      </c>
      <c r="AF68" s="9" t="n">
        <v>0.218187633420215</v>
      </c>
      <c r="AG68" s="9" t="n">
        <v>116.251401984752</v>
      </c>
      <c r="AH68" s="9" t="n">
        <v>1584.25142376516</v>
      </c>
      <c r="AI68" s="9" t="n">
        <v>-1468.00002178041</v>
      </c>
      <c r="AJ68" s="9" t="n">
        <v>451.855126334499</v>
      </c>
      <c r="AK68" s="9" t="n">
        <v>-2203.64221203054</v>
      </c>
      <c r="AL68" s="10" t="n">
        <f aca="false">IF($C68&lt;2017,AI68,-AI68)</f>
        <v>1468.00002178041</v>
      </c>
      <c r="AM68" s="11" t="n">
        <f aca="false">E68+T68-U68+AK68</f>
        <v>0</v>
      </c>
      <c r="AN68" s="11" t="n">
        <f aca="false">V68+AA68+AF68+AG68+AJ68-U68</f>
        <v>0</v>
      </c>
      <c r="AO68" s="10" t="n">
        <f aca="false">O68-P68-Q68-R68</f>
        <v>1.04466676280572</v>
      </c>
      <c r="AP68" s="9" t="n">
        <v>122044.08630447</v>
      </c>
      <c r="AQ68" s="10" t="n">
        <f aca="false">SUM(AP65:AP68)</f>
        <v>449936.046835975</v>
      </c>
    </row>
    <row r="69" customFormat="false" ht="15" hidden="false" customHeight="false" outlineLevel="0" collapsed="false">
      <c r="B69" s="7" t="s">
        <v>144</v>
      </c>
      <c r="C69" s="8" t="n">
        <v>2021</v>
      </c>
      <c r="D69" s="8" t="n">
        <v>4</v>
      </c>
      <c r="E69" s="9" t="n">
        <v>334.09412348924</v>
      </c>
      <c r="F69" s="9" t="n">
        <v>2254.35038112695</v>
      </c>
      <c r="G69" s="9" t="n">
        <v>3627.0463644501</v>
      </c>
      <c r="H69" s="9" t="n">
        <v>19654.51602093</v>
      </c>
      <c r="I69" s="9" t="n">
        <v>16027.4696564799</v>
      </c>
      <c r="J69" s="9" t="n">
        <v>-1372.69598332315</v>
      </c>
      <c r="K69" s="9" t="n">
        <v>2945.85895499109</v>
      </c>
      <c r="L69" s="9" t="n">
        <v>4318.55493831423</v>
      </c>
      <c r="M69" s="9" t="n">
        <v>-2248.69955806914</v>
      </c>
      <c r="N69" s="9" t="n">
        <v>-31.1282562370069</v>
      </c>
      <c r="O69" s="9" t="n">
        <v>-2217.57130183213</v>
      </c>
      <c r="P69" s="9" t="n">
        <v>-1103.85551669585</v>
      </c>
      <c r="Q69" s="9" t="n">
        <v>-393.280267077514</v>
      </c>
      <c r="R69" s="9" t="n">
        <v>-721.902629304304</v>
      </c>
      <c r="S69" s="9" t="n">
        <v>328.44330043143</v>
      </c>
      <c r="T69" s="9" t="n">
        <v>43.0409838167454</v>
      </c>
      <c r="U69" s="9" t="n">
        <v>571.984058638881</v>
      </c>
      <c r="V69" s="9" t="n">
        <v>-978.572500104496</v>
      </c>
      <c r="W69" s="9" t="n">
        <v>424.184756539289</v>
      </c>
      <c r="X69" s="9" t="n">
        <v>0</v>
      </c>
      <c r="Y69" s="9" t="n">
        <v>1243.06425664379</v>
      </c>
      <c r="Z69" s="9" t="n">
        <v>159.693</v>
      </c>
      <c r="AA69" s="9" t="n">
        <v>817.680347020978</v>
      </c>
      <c r="AB69" s="9" t="n">
        <v>260.84155533978</v>
      </c>
      <c r="AC69" s="9" t="n">
        <v>-54.5239915988625</v>
      </c>
      <c r="AD69" s="9" t="n">
        <v>-153.333180650288</v>
      </c>
      <c r="AE69" s="9" t="n">
        <v>-458.029602629773</v>
      </c>
      <c r="AF69" s="9" t="n">
        <v>-12.6336820155202</v>
      </c>
      <c r="AG69" s="9" t="n">
        <v>4385.59260392792</v>
      </c>
      <c r="AH69" s="9" t="n">
        <v>2702.28210033114</v>
      </c>
      <c r="AI69" s="9" t="n">
        <v>1683.31050359678</v>
      </c>
      <c r="AJ69" s="9" t="n">
        <v>-3640.08271019</v>
      </c>
      <c r="AK69" s="9" t="n">
        <v>194.848951332894</v>
      </c>
      <c r="AL69" s="10" t="n">
        <f aca="false">IF($C69&lt;2017,AI69,-AI69)</f>
        <v>-1683.31050359678</v>
      </c>
      <c r="AM69" s="11" t="n">
        <f aca="false">E69+T69-U69+AK69</f>
        <v>-1.50635059981141E-012</v>
      </c>
      <c r="AN69" s="11" t="n">
        <f aca="false">V69+AA69+AF69+AG69+AJ69-U69</f>
        <v>0</v>
      </c>
      <c r="AO69" s="10" t="n">
        <f aca="false">O69-P69-Q69-R69</f>
        <v>1.46711124554054</v>
      </c>
      <c r="AP69" s="9" t="n">
        <v>135081.058697234</v>
      </c>
      <c r="AQ69" s="10" t="n">
        <f aca="false">SUM(AP66:AP69)</f>
        <v>484181.787196657</v>
      </c>
    </row>
    <row r="70" customFormat="false" ht="15" hidden="false" customHeight="false" outlineLevel="0" collapsed="false">
      <c r="B70" s="7" t="s">
        <v>145</v>
      </c>
      <c r="C70" s="8" t="n">
        <v>2022</v>
      </c>
      <c r="D70" s="8" t="n">
        <v>1</v>
      </c>
      <c r="E70" s="9" t="n">
        <v>-1242.60477755264</v>
      </c>
      <c r="F70" s="9" t="n">
        <v>880.05873481183</v>
      </c>
      <c r="G70" s="9" t="n">
        <v>2777.6725023499</v>
      </c>
      <c r="H70" s="9" t="n">
        <v>19532.7809121899</v>
      </c>
      <c r="I70" s="9" t="n">
        <v>16755.10840984</v>
      </c>
      <c r="J70" s="9" t="n">
        <v>-1897.61376753807</v>
      </c>
      <c r="K70" s="9" t="n">
        <v>3141.23369626134</v>
      </c>
      <c r="L70" s="9" t="n">
        <v>5038.84746379941</v>
      </c>
      <c r="M70" s="9" t="n">
        <v>-2570.661301406</v>
      </c>
      <c r="N70" s="9" t="n">
        <v>-23.0373388918199</v>
      </c>
      <c r="O70" s="9" t="n">
        <v>-2547.62396251418</v>
      </c>
      <c r="P70" s="9" t="n">
        <v>-1373.96050294002</v>
      </c>
      <c r="Q70" s="9" t="n">
        <v>-382.406023117031</v>
      </c>
      <c r="R70" s="9" t="n">
        <v>-793.704436457131</v>
      </c>
      <c r="S70" s="9" t="n">
        <v>447.997789041527</v>
      </c>
      <c r="T70" s="9" t="n">
        <v>34.2446063857351</v>
      </c>
      <c r="U70" s="9" t="n">
        <v>-1739.15553078291</v>
      </c>
      <c r="V70" s="9" t="n">
        <v>-3055.48223307047</v>
      </c>
      <c r="W70" s="9" t="n">
        <v>436.023411712954</v>
      </c>
      <c r="X70" s="9" t="n">
        <v>0</v>
      </c>
      <c r="Y70" s="9" t="n">
        <v>1562.98164478343</v>
      </c>
      <c r="Z70" s="9" t="n">
        <v>1928.524</v>
      </c>
      <c r="AA70" s="9" t="n">
        <v>2332.96317337898</v>
      </c>
      <c r="AB70" s="9" t="n">
        <v>164.687644948596</v>
      </c>
      <c r="AC70" s="9" t="n">
        <v>703.901439353931</v>
      </c>
      <c r="AD70" s="9" t="n">
        <v>96.6890773092027</v>
      </c>
      <c r="AE70" s="9" t="n">
        <v>-1561.06316638566</v>
      </c>
      <c r="AF70" s="9" t="n">
        <v>1.16851433590152</v>
      </c>
      <c r="AG70" s="9" t="n">
        <v>-4210.20285610732</v>
      </c>
      <c r="AH70" s="9" t="n">
        <v>3243.44606404784</v>
      </c>
      <c r="AI70" s="9" t="n">
        <v>-7453.64892015516</v>
      </c>
      <c r="AJ70" s="9" t="n">
        <v>3192.39787068</v>
      </c>
      <c r="AK70" s="9" t="n">
        <v>-530.795359616002</v>
      </c>
      <c r="AL70" s="10" t="n">
        <f aca="false">IF($C70&lt;2017,AI70,-AI70)</f>
        <v>7453.64892015516</v>
      </c>
      <c r="AM70" s="11" t="n">
        <f aca="false">E70+T70-U70+AK70</f>
        <v>4.32009983342141E-012</v>
      </c>
      <c r="AN70" s="11" t="n">
        <f aca="false">V70+AA70+AF70+AG70+AJ70-U70</f>
        <v>0</v>
      </c>
      <c r="AO70" s="10" t="n">
        <f aca="false">O70-P70-Q70-R70</f>
        <v>2.44699999999989</v>
      </c>
      <c r="AP70" s="9" t="n">
        <v>141575.031058794</v>
      </c>
      <c r="AQ70" s="10" t="n">
        <f aca="false">SUM(AP67:AP70)</f>
        <v>521908.554917577</v>
      </c>
    </row>
    <row r="71" customFormat="false" ht="15" hidden="false" customHeight="false" outlineLevel="0" collapsed="false">
      <c r="B71" s="7" t="s">
        <v>146</v>
      </c>
      <c r="C71" s="8" t="n">
        <v>2022</v>
      </c>
      <c r="D71" s="8" t="n">
        <v>2</v>
      </c>
      <c r="E71" s="9" t="n">
        <v>-952.683766963778</v>
      </c>
      <c r="F71" s="9" t="n">
        <v>1432.90430631443</v>
      </c>
      <c r="G71" s="9" t="n">
        <v>3213.9874063101</v>
      </c>
      <c r="H71" s="9" t="n">
        <v>25201.1817741101</v>
      </c>
      <c r="I71" s="9" t="n">
        <v>21987.1943678</v>
      </c>
      <c r="J71" s="9" t="n">
        <v>-1781.08309999568</v>
      </c>
      <c r="K71" s="9" t="n">
        <v>3374.61116034377</v>
      </c>
      <c r="L71" s="9" t="n">
        <v>5155.69426033945</v>
      </c>
      <c r="M71" s="9" t="n">
        <v>-2972.28178095411</v>
      </c>
      <c r="N71" s="9" t="n">
        <v>-21.8936361541849</v>
      </c>
      <c r="O71" s="9" t="n">
        <v>-2950.38814479993</v>
      </c>
      <c r="P71" s="9" t="n">
        <v>-1582.5188484833</v>
      </c>
      <c r="Q71" s="9" t="n">
        <v>-635.576709943846</v>
      </c>
      <c r="R71" s="9" t="n">
        <v>-753.018134458373</v>
      </c>
      <c r="S71" s="9" t="n">
        <v>586.693707675911</v>
      </c>
      <c r="T71" s="9" t="n">
        <v>26.9094900999956</v>
      </c>
      <c r="U71" s="9" t="n">
        <v>-3118.29993647629</v>
      </c>
      <c r="V71" s="9" t="n">
        <v>-4289.98058913877</v>
      </c>
      <c r="W71" s="9" t="n">
        <v>514.949832313923</v>
      </c>
      <c r="X71" s="9" t="n">
        <v>0</v>
      </c>
      <c r="Y71" s="9" t="n">
        <v>1405.4104214527</v>
      </c>
      <c r="Z71" s="9" t="n">
        <v>3399.52</v>
      </c>
      <c r="AA71" s="9" t="n">
        <v>1853.65338985308</v>
      </c>
      <c r="AB71" s="9" t="n">
        <v>96.3680723376205</v>
      </c>
      <c r="AC71" s="9" t="n">
        <v>656.994995476099</v>
      </c>
      <c r="AD71" s="9" t="n">
        <v>-205.593544743555</v>
      </c>
      <c r="AE71" s="9" t="n">
        <v>-894.696777295802</v>
      </c>
      <c r="AF71" s="9" t="n">
        <v>2.0719972863771</v>
      </c>
      <c r="AG71" s="9" t="n">
        <v>-1967.44473447697</v>
      </c>
      <c r="AH71" s="9" t="n">
        <v>163.254737602579</v>
      </c>
      <c r="AI71" s="9" t="n">
        <v>-2130.69947207955</v>
      </c>
      <c r="AJ71" s="9" t="n">
        <v>1283.4</v>
      </c>
      <c r="AK71" s="9" t="n">
        <v>-2192.5256596125</v>
      </c>
      <c r="AL71" s="10" t="n">
        <f aca="false">IF($C71&lt;2017,AI71,-AI71)</f>
        <v>2130.69947207955</v>
      </c>
      <c r="AM71" s="11" t="n">
        <f aca="false">E71+T71-U71+AK71</f>
        <v>0</v>
      </c>
      <c r="AN71" s="11" t="n">
        <f aca="false">V71+AA71+AF71+AG71+AJ71-U71</f>
        <v>0</v>
      </c>
      <c r="AO71" s="10" t="n">
        <f aca="false">O71-P71-Q71-R71</f>
        <v>20.7255480855897</v>
      </c>
      <c r="AP71" s="9" t="n">
        <v>166866.957862638</v>
      </c>
      <c r="AQ71" s="10" t="n">
        <f aca="false">SUM(AP68:AP71)</f>
        <v>565567.133923136</v>
      </c>
    </row>
    <row r="72" customFormat="false" ht="15" hidden="false" customHeight="false" outlineLevel="0" collapsed="false">
      <c r="B72" s="7" t="s">
        <v>147</v>
      </c>
      <c r="C72" s="8" t="n">
        <v>2022</v>
      </c>
      <c r="D72" s="8" t="n">
        <v>3</v>
      </c>
      <c r="E72" s="9" t="n">
        <v>-3605.72341891311</v>
      </c>
      <c r="F72" s="9" t="n">
        <v>-1062.7262419413</v>
      </c>
      <c r="G72" s="9" t="n">
        <v>925.040538990001</v>
      </c>
      <c r="H72" s="9" t="n">
        <v>22748.96328165</v>
      </c>
      <c r="I72" s="9" t="n">
        <v>21823.92274266</v>
      </c>
      <c r="J72" s="9" t="n">
        <v>-1987.7667809313</v>
      </c>
      <c r="K72" s="9" t="n">
        <v>3733.26985008941</v>
      </c>
      <c r="L72" s="9" t="n">
        <v>5721.03663102072</v>
      </c>
      <c r="M72" s="9" t="n">
        <v>-2969.10987110898</v>
      </c>
      <c r="N72" s="9" t="n">
        <v>-27.2513507737929</v>
      </c>
      <c r="O72" s="9" t="n">
        <v>-2941.85852033519</v>
      </c>
      <c r="P72" s="9" t="n">
        <v>-1386.71330308643</v>
      </c>
      <c r="Q72" s="9" t="n">
        <v>-640.091586851123</v>
      </c>
      <c r="R72" s="9" t="n">
        <v>-965.299312257876</v>
      </c>
      <c r="S72" s="9" t="n">
        <v>426.112694137169</v>
      </c>
      <c r="T72" s="9" t="n">
        <v>81.2759223095407</v>
      </c>
      <c r="U72" s="9" t="n">
        <v>-3456.16023367971</v>
      </c>
      <c r="V72" s="9" t="n">
        <v>-5421.45293087142</v>
      </c>
      <c r="W72" s="9" t="n">
        <v>554.433004062686</v>
      </c>
      <c r="X72" s="9" t="n">
        <v>0</v>
      </c>
      <c r="Y72" s="9" t="n">
        <v>1410.3719349341</v>
      </c>
      <c r="Z72" s="9" t="n">
        <v>4565.514</v>
      </c>
      <c r="AA72" s="9" t="n">
        <v>2057.48189157809</v>
      </c>
      <c r="AB72" s="9" t="n">
        <v>-329.25770914307</v>
      </c>
      <c r="AC72" s="9" t="n">
        <v>1107.23963577978</v>
      </c>
      <c r="AD72" s="9" t="n">
        <v>-83.0972783639817</v>
      </c>
      <c r="AE72" s="9" t="n">
        <v>-1196.4026865774</v>
      </c>
      <c r="AF72" s="9" t="n">
        <v>-4.89428209786956</v>
      </c>
      <c r="AG72" s="9" t="n">
        <v>3438.02716804149</v>
      </c>
      <c r="AH72" s="9" t="n">
        <v>3508.95393656926</v>
      </c>
      <c r="AI72" s="9" t="n">
        <v>-70.9267685277722</v>
      </c>
      <c r="AJ72" s="9" t="n">
        <v>-3525.32208033</v>
      </c>
      <c r="AK72" s="9" t="n">
        <v>68.28726292387</v>
      </c>
      <c r="AL72" s="10" t="n">
        <f aca="false">IF($C72&lt;2017,AI72,-AI72)</f>
        <v>70.9267685277722</v>
      </c>
      <c r="AM72" s="11" t="n">
        <f aca="false">E72+T72-U72+AK72</f>
        <v>2.72848410531878E-012</v>
      </c>
      <c r="AN72" s="11" t="n">
        <f aca="false">V72+AA72+AF72+AG72+AJ72-U72</f>
        <v>0</v>
      </c>
      <c r="AO72" s="10" t="n">
        <f aca="false">O72-P72-Q72-R72</f>
        <v>50.2456818602454</v>
      </c>
      <c r="AP72" s="9" t="n">
        <v>161997.172376578</v>
      </c>
      <c r="AQ72" s="10" t="n">
        <f aca="false">SUM(AP69:AP72)</f>
        <v>605520.219995244</v>
      </c>
    </row>
    <row r="73" customFormat="false" ht="15" hidden="false" customHeight="false" outlineLevel="0" collapsed="false">
      <c r="B73" s="7" t="s">
        <v>148</v>
      </c>
      <c r="C73" s="8" t="n">
        <v>2022</v>
      </c>
      <c r="D73" s="8" t="n">
        <v>4</v>
      </c>
      <c r="E73" s="9" t="n">
        <v>1836.9370481486</v>
      </c>
      <c r="F73" s="9" t="n">
        <v>4391.45952272646</v>
      </c>
      <c r="G73" s="9" t="n">
        <v>5499.8539686399</v>
      </c>
      <c r="H73" s="9" t="n">
        <v>21288.25257454</v>
      </c>
      <c r="I73" s="9" t="n">
        <v>15788.3986059001</v>
      </c>
      <c r="J73" s="9" t="n">
        <v>-1108.39444591344</v>
      </c>
      <c r="K73" s="9" t="n">
        <v>4166.74891556592</v>
      </c>
      <c r="L73" s="9" t="n">
        <v>5275.14336147936</v>
      </c>
      <c r="M73" s="9" t="n">
        <v>-3064.50028405988</v>
      </c>
      <c r="N73" s="9" t="n">
        <v>-22.3764636350781</v>
      </c>
      <c r="O73" s="9" t="n">
        <v>-3042.12382042481</v>
      </c>
      <c r="P73" s="9" t="n">
        <v>-1775.26523627919</v>
      </c>
      <c r="Q73" s="9" t="n">
        <v>-405.645666400026</v>
      </c>
      <c r="R73" s="9" t="n">
        <v>-953.409485098512</v>
      </c>
      <c r="S73" s="9" t="n">
        <v>509.97780948202</v>
      </c>
      <c r="T73" s="9" t="n">
        <v>49.0845123734765</v>
      </c>
      <c r="U73" s="9" t="n">
        <v>876.454202997451</v>
      </c>
      <c r="V73" s="9" t="n">
        <v>-349.335061162941</v>
      </c>
      <c r="W73" s="9" t="n">
        <v>584.430334967131</v>
      </c>
      <c r="X73" s="9" t="n">
        <v>0</v>
      </c>
      <c r="Y73" s="9" t="n">
        <v>2026.99839613007</v>
      </c>
      <c r="Z73" s="9" t="n">
        <v>-1093.233</v>
      </c>
      <c r="AA73" s="9" t="n">
        <v>1218.52487291525</v>
      </c>
      <c r="AB73" s="9" t="n">
        <v>-69.0244249595905</v>
      </c>
      <c r="AC73" s="9" t="n">
        <v>-264.193625201822</v>
      </c>
      <c r="AD73" s="9" t="n">
        <v>-86.843790994837</v>
      </c>
      <c r="AE73" s="9" t="n">
        <v>-1464.89913208183</v>
      </c>
      <c r="AF73" s="9" t="n">
        <v>6.10357000291067</v>
      </c>
      <c r="AG73" s="9" t="n">
        <v>-5968.13268104778</v>
      </c>
      <c r="AH73" s="9" t="n">
        <v>-63.3737455730255</v>
      </c>
      <c r="AI73" s="9" t="n">
        <v>-5904.75893547475</v>
      </c>
      <c r="AJ73" s="9" t="n">
        <v>5969.29350229</v>
      </c>
      <c r="AK73" s="9" t="n">
        <v>-1009.56735752463</v>
      </c>
      <c r="AL73" s="10" t="n">
        <f aca="false">IF($C73&lt;2017,AI73,-AI73)</f>
        <v>5904.75893547475</v>
      </c>
      <c r="AM73" s="11" t="n">
        <f aca="false">E73+T73-U73+AK73</f>
        <v>-3.75166564481333E-012</v>
      </c>
      <c r="AN73" s="11" t="n">
        <f aca="false">V73+AA73+AF73+AG73+AJ73-U73</f>
        <v>0</v>
      </c>
      <c r="AO73" s="10" t="n">
        <f aca="false">O73-P73-Q73-R73</f>
        <v>92.196567352923</v>
      </c>
      <c r="AP73" s="9" t="n">
        <v>160840.667415277</v>
      </c>
      <c r="AQ73" s="10" t="n">
        <f aca="false">SUM(AP70:AP73)</f>
        <v>631279.828713288</v>
      </c>
    </row>
    <row r="74" customFormat="false" ht="15" hidden="false" customHeight="false" outlineLevel="0" collapsed="false">
      <c r="B74" s="7" t="s">
        <v>149</v>
      </c>
      <c r="C74" s="8" t="n">
        <v>2023</v>
      </c>
      <c r="D74" s="8" t="n">
        <v>1</v>
      </c>
      <c r="E74" s="9" t="n">
        <v>-5874.43980067068</v>
      </c>
      <c r="F74" s="9" t="n">
        <v>-2628.82894428208</v>
      </c>
      <c r="G74" s="9" t="n">
        <v>-311.805934439999</v>
      </c>
      <c r="H74" s="9" t="n">
        <v>15947.5593254001</v>
      </c>
      <c r="I74" s="9" t="n">
        <v>16259.3652598401</v>
      </c>
      <c r="J74" s="9" t="n">
        <v>-2317.02300984208</v>
      </c>
      <c r="K74" s="9" t="n">
        <v>4176.79388293553</v>
      </c>
      <c r="L74" s="9" t="n">
        <v>6493.81689277761</v>
      </c>
      <c r="M74" s="9" t="n">
        <v>-3718.6080750023</v>
      </c>
      <c r="N74" s="9" t="n">
        <v>-32.3758389661379</v>
      </c>
      <c r="O74" s="9" t="n">
        <v>-3686.23223603616</v>
      </c>
      <c r="P74" s="9" t="n">
        <v>-2384.22754642012</v>
      </c>
      <c r="Q74" s="9" t="n">
        <v>-441.629960165416</v>
      </c>
      <c r="R74" s="9" t="n">
        <v>-977.056764873973</v>
      </c>
      <c r="S74" s="9" t="n">
        <v>472.99721861369</v>
      </c>
      <c r="T74" s="9" t="n">
        <v>26.6863210659455</v>
      </c>
      <c r="U74" s="9" t="n">
        <v>-7537.72417555565</v>
      </c>
      <c r="V74" s="9" t="n">
        <v>-4006.04921733918</v>
      </c>
      <c r="W74" s="9" t="n">
        <v>753.349367616297</v>
      </c>
      <c r="X74" s="9" t="n">
        <v>0</v>
      </c>
      <c r="Y74" s="9" t="n">
        <v>2557.20458495548</v>
      </c>
      <c r="Z74" s="9" t="n">
        <v>2202.194</v>
      </c>
      <c r="AA74" s="9" t="n">
        <v>3001.1796986785</v>
      </c>
      <c r="AB74" s="9" t="n">
        <v>-64.0793953481213</v>
      </c>
      <c r="AC74" s="9" t="n">
        <v>1354.7224605727</v>
      </c>
      <c r="AD74" s="9" t="n">
        <v>277.112685096541</v>
      </c>
      <c r="AE74" s="9" t="n">
        <v>-1987.64931855047</v>
      </c>
      <c r="AF74" s="9" t="n">
        <v>3.08813293105217</v>
      </c>
      <c r="AG74" s="9" t="n">
        <v>-532.434081626021</v>
      </c>
      <c r="AH74" s="9" t="n">
        <v>-271.287777404052</v>
      </c>
      <c r="AI74" s="9" t="n">
        <v>-261.146304221969</v>
      </c>
      <c r="AJ74" s="9" t="n">
        <v>-6003.5087082</v>
      </c>
      <c r="AK74" s="9" t="n">
        <v>-1689.97069595091</v>
      </c>
      <c r="AL74" s="10" t="n">
        <f aca="false">IF($C74&lt;2017,AI74,-AI74)</f>
        <v>261.146304221969</v>
      </c>
      <c r="AM74" s="11" t="n">
        <f aca="false">E74+T74-U74+AK74</f>
        <v>0</v>
      </c>
      <c r="AN74" s="11" t="n">
        <f aca="false">V74+AA74+AF74+AG74+AJ74-U74</f>
        <v>0</v>
      </c>
      <c r="AO74" s="10" t="n">
        <f aca="false">O74-P74-Q74-R74</f>
        <v>116.682035423347</v>
      </c>
      <c r="AP74" s="9" t="n">
        <v>158916.046068355</v>
      </c>
      <c r="AQ74" s="10" t="n">
        <f aca="false">SUM(AP71:AP74)</f>
        <v>648620.843722849</v>
      </c>
    </row>
    <row r="75" customFormat="false" ht="15" hidden="false" customHeight="false" outlineLevel="0" collapsed="false">
      <c r="B75" s="7" t="s">
        <v>150</v>
      </c>
      <c r="C75" s="8" t="n">
        <v>2023</v>
      </c>
      <c r="D75" s="8" t="n">
        <v>2</v>
      </c>
      <c r="E75" s="9" t="n">
        <v>-6820.2465632087</v>
      </c>
      <c r="F75" s="9" t="n">
        <v>-3645.27787507645</v>
      </c>
      <c r="G75" s="9" t="n">
        <v>-2099.1910022898</v>
      </c>
      <c r="H75" s="9" t="n">
        <v>17546.87040072</v>
      </c>
      <c r="I75" s="9" t="n">
        <v>19646.0614030098</v>
      </c>
      <c r="J75" s="9" t="n">
        <v>-1546.08687278664</v>
      </c>
      <c r="K75" s="9" t="n">
        <v>3855.30333176018</v>
      </c>
      <c r="L75" s="9" t="n">
        <v>5401.39020454683</v>
      </c>
      <c r="M75" s="9" t="n">
        <v>-3807.93431796369</v>
      </c>
      <c r="N75" s="9" t="n">
        <v>-35.5938974004626</v>
      </c>
      <c r="O75" s="9" t="n">
        <v>-3772.34042056322</v>
      </c>
      <c r="P75" s="9" t="n">
        <v>-1975.62392873949</v>
      </c>
      <c r="Q75" s="9" t="n">
        <v>-743.400377783464</v>
      </c>
      <c r="R75" s="9" t="n">
        <v>-1160.49982073144</v>
      </c>
      <c r="S75" s="9" t="n">
        <v>632.965629831431</v>
      </c>
      <c r="T75" s="9" t="n">
        <v>48.7875958534147</v>
      </c>
      <c r="U75" s="9" t="n">
        <v>-7003.48540338832</v>
      </c>
      <c r="V75" s="9" t="n">
        <v>-5630.59818344812</v>
      </c>
      <c r="W75" s="9" t="n">
        <v>728.943351418491</v>
      </c>
      <c r="X75" s="9" t="n">
        <v>0</v>
      </c>
      <c r="Y75" s="9" t="n">
        <v>2141.82553486662</v>
      </c>
      <c r="Z75" s="9" t="n">
        <v>4217.716</v>
      </c>
      <c r="AA75" s="9" t="n">
        <v>966.367043432848</v>
      </c>
      <c r="AB75" s="9" t="n">
        <v>90.9006537542282</v>
      </c>
      <c r="AC75" s="9" t="n">
        <v>752.910836596272</v>
      </c>
      <c r="AD75" s="9" t="n">
        <v>288.998551794062</v>
      </c>
      <c r="AE75" s="9" t="n">
        <v>-411.55410487641</v>
      </c>
      <c r="AF75" s="9" t="n">
        <v>-1.83816207419655</v>
      </c>
      <c r="AG75" s="9" t="n">
        <v>7721.03734518391</v>
      </c>
      <c r="AH75" s="9" t="n">
        <v>5613.28923250973</v>
      </c>
      <c r="AI75" s="9" t="n">
        <v>2107.74811267418</v>
      </c>
      <c r="AJ75" s="9" t="n">
        <v>-10058.4534464828</v>
      </c>
      <c r="AK75" s="9" t="n">
        <v>-232.026436033032</v>
      </c>
      <c r="AL75" s="10" t="n">
        <f aca="false">IF($C75&lt;2017,AI75,-AI75)</f>
        <v>-2107.74811267418</v>
      </c>
      <c r="AM75" s="11" t="n">
        <f aca="false">E75+T75-U75+AK75</f>
        <v>0</v>
      </c>
      <c r="AN75" s="11" t="n">
        <f aca="false">V75+AA75+AF75+AG75+AJ75-U75</f>
        <v>0</v>
      </c>
      <c r="AO75" s="10" t="n">
        <f aca="false">O75-P75-Q75-R75</f>
        <v>107.183706691172</v>
      </c>
      <c r="AP75" s="9" t="n">
        <v>172753.337303113</v>
      </c>
      <c r="AQ75" s="10" t="n">
        <f aca="false">SUM(AP72:AP75)</f>
        <v>654507.223163323</v>
      </c>
    </row>
    <row r="76" customFormat="false" ht="15" hidden="false" customHeight="false" outlineLevel="0" collapsed="false">
      <c r="B76" s="7" t="s">
        <v>151</v>
      </c>
      <c r="C76" s="8" t="n">
        <v>2023</v>
      </c>
      <c r="D76" s="8" t="n">
        <v>3</v>
      </c>
      <c r="E76" s="9" t="n">
        <v>-6401.05851717174</v>
      </c>
      <c r="F76" s="9" t="n">
        <v>-2922.05687913354</v>
      </c>
      <c r="G76" s="9" t="n">
        <v>-1283.6592058199</v>
      </c>
      <c r="H76" s="9" t="n">
        <v>17822.2644442801</v>
      </c>
      <c r="I76" s="9" t="n">
        <v>19105.9236501</v>
      </c>
      <c r="J76" s="9" t="n">
        <v>-1638.39767331364</v>
      </c>
      <c r="K76" s="9" t="n">
        <v>3912.69231011997</v>
      </c>
      <c r="L76" s="9" t="n">
        <v>5551.08998343361</v>
      </c>
      <c r="M76" s="9" t="n">
        <v>-3967.12909059605</v>
      </c>
      <c r="N76" s="9" t="n">
        <v>-28.4796674073821</v>
      </c>
      <c r="O76" s="9" t="n">
        <v>-3938.64942318867</v>
      </c>
      <c r="P76" s="9" t="n">
        <v>-2599.03518259267</v>
      </c>
      <c r="Q76" s="9" t="n">
        <v>-354.577570022506</v>
      </c>
      <c r="R76" s="9" t="n">
        <v>-1058.48848553156</v>
      </c>
      <c r="S76" s="9" t="n">
        <v>488.127452557857</v>
      </c>
      <c r="T76" s="9" t="n">
        <v>37.6885299974262</v>
      </c>
      <c r="U76" s="9" t="n">
        <v>-7306.87020392253</v>
      </c>
      <c r="V76" s="9" t="n">
        <v>-6797.91040328353</v>
      </c>
      <c r="W76" s="9" t="n">
        <v>529.631836953541</v>
      </c>
      <c r="X76" s="9" t="n">
        <v>0</v>
      </c>
      <c r="Y76" s="9" t="n">
        <v>3060.60824023707</v>
      </c>
      <c r="Z76" s="9" t="n">
        <v>4266.934</v>
      </c>
      <c r="AA76" s="9" t="n">
        <v>2422.45608780143</v>
      </c>
      <c r="AB76" s="9" t="n">
        <v>175.417242785914</v>
      </c>
      <c r="AC76" s="9" t="n">
        <v>376.860707789346</v>
      </c>
      <c r="AD76" s="9" t="n">
        <v>-339.699510648022</v>
      </c>
      <c r="AE76" s="9" t="n">
        <v>-1530.47862657815</v>
      </c>
      <c r="AF76" s="9" t="n">
        <v>-2.03547836770781</v>
      </c>
      <c r="AG76" s="9" t="n">
        <v>-2040.55703114985</v>
      </c>
      <c r="AH76" s="9" t="n">
        <v>4921.0851791374</v>
      </c>
      <c r="AI76" s="9" t="n">
        <v>-6961.64221028725</v>
      </c>
      <c r="AJ76" s="9" t="n">
        <v>-888.823378922871</v>
      </c>
      <c r="AK76" s="9" t="n">
        <v>-943.500216748228</v>
      </c>
      <c r="AL76" s="10" t="n">
        <f aca="false">IF($C76&lt;2017,AI76,-AI76)</f>
        <v>6961.64221028725</v>
      </c>
      <c r="AM76" s="11" t="n">
        <f aca="false">E76+T76-U76+AK76</f>
        <v>-4.54747350886464E-012</v>
      </c>
      <c r="AN76" s="11" t="n">
        <f aca="false">V76+AA76+AF76+AG76+AJ76-U76</f>
        <v>0</v>
      </c>
      <c r="AO76" s="10" t="n">
        <f aca="false">O76-P76-Q76-R76</f>
        <v>73.4518149580596</v>
      </c>
      <c r="AP76" s="9" t="n">
        <v>166776.399126279</v>
      </c>
      <c r="AQ76" s="10" t="n">
        <f aca="false">SUM(AP73:AP76)</f>
        <v>659286.449913024</v>
      </c>
    </row>
    <row r="77" customFormat="false" ht="15" hidden="false" customHeight="false" outlineLevel="0" collapsed="false">
      <c r="B77" s="7" t="s">
        <v>152</v>
      </c>
      <c r="C77" s="8" t="n">
        <v>2023</v>
      </c>
      <c r="D77" s="8" t="n">
        <v>4</v>
      </c>
      <c r="E77" s="9" t="n">
        <v>-3258.94240850965</v>
      </c>
      <c r="F77" s="9" t="n">
        <v>62.4929144703619</v>
      </c>
      <c r="G77" s="9" t="n">
        <v>937.165291164374</v>
      </c>
      <c r="H77" s="9" t="n">
        <v>15774.9365244444</v>
      </c>
      <c r="I77" s="9" t="n">
        <v>14837.77123328</v>
      </c>
      <c r="J77" s="9" t="n">
        <v>-874.672376694012</v>
      </c>
      <c r="K77" s="9" t="n">
        <v>4375.68794227454</v>
      </c>
      <c r="L77" s="9" t="n">
        <v>5250.36031896855</v>
      </c>
      <c r="M77" s="9" t="n">
        <v>-3807.69680083017</v>
      </c>
      <c r="N77" s="9" t="n">
        <v>-38.3609020839759</v>
      </c>
      <c r="O77" s="9" t="n">
        <v>-3769.33589874619</v>
      </c>
      <c r="P77" s="9" t="n">
        <v>-2279.59119075755</v>
      </c>
      <c r="Q77" s="9" t="n">
        <v>-446.666746769643</v>
      </c>
      <c r="R77" s="9" t="n">
        <v>-1099.52041231135</v>
      </c>
      <c r="S77" s="9" t="n">
        <v>486.261477850156</v>
      </c>
      <c r="T77" s="9" t="n">
        <v>77.2261043852144</v>
      </c>
      <c r="U77" s="9" t="n">
        <v>-4066.22933370759</v>
      </c>
      <c r="V77" s="9" t="n">
        <v>-6809.49303148497</v>
      </c>
      <c r="W77" s="9" t="n">
        <v>1011.40477818256</v>
      </c>
      <c r="X77" s="9" t="n">
        <v>0</v>
      </c>
      <c r="Y77" s="9" t="n">
        <v>3159.60880966753</v>
      </c>
      <c r="Z77" s="9" t="n">
        <v>4661.289</v>
      </c>
      <c r="AA77" s="9" t="n">
        <v>520.093196986563</v>
      </c>
      <c r="AB77" s="9" t="n">
        <v>-686.746580619423</v>
      </c>
      <c r="AC77" s="9" t="n">
        <v>1069.08648655574</v>
      </c>
      <c r="AD77" s="9" t="n">
        <v>-253.399822919784</v>
      </c>
      <c r="AE77" s="9" t="n">
        <v>115.646531869534</v>
      </c>
      <c r="AF77" s="9" t="n">
        <v>10.3709854780822</v>
      </c>
      <c r="AG77" s="9" t="n">
        <v>6936.98566623273</v>
      </c>
      <c r="AH77" s="9" t="n">
        <v>6332.76442167241</v>
      </c>
      <c r="AI77" s="9" t="n">
        <v>604.22124456032</v>
      </c>
      <c r="AJ77" s="9" t="n">
        <v>-4724.18615092</v>
      </c>
      <c r="AK77" s="9" t="n">
        <v>-884.513029583156</v>
      </c>
      <c r="AL77" s="10" t="n">
        <f aca="false">IF($C77&lt;2017,AI77,-AI77)</f>
        <v>-604.22124456032</v>
      </c>
      <c r="AM77" s="11" t="n">
        <f aca="false">E77+T77-U77+AK77</f>
        <v>0</v>
      </c>
      <c r="AN77" s="11" t="n">
        <f aca="false">V77+AA77+AF77+AG77+AJ77-U77</f>
        <v>0</v>
      </c>
      <c r="AO77" s="10" t="n">
        <f aca="false">O77-P77-Q77-R77</f>
        <v>56.4424510923466</v>
      </c>
      <c r="AP77" s="9" t="n">
        <v>159775.715777019</v>
      </c>
      <c r="AQ77" s="10" t="n">
        <f aca="false">SUM(AP74:AP77)</f>
        <v>658221.498274766</v>
      </c>
    </row>
    <row r="78" customFormat="false" ht="15" hidden="false" customHeight="false" outlineLevel="0" collapsed="false">
      <c r="B78" s="7" t="s">
        <v>153</v>
      </c>
      <c r="C78" s="8" t="n">
        <v>2024</v>
      </c>
      <c r="D78" s="8" t="n">
        <v>1</v>
      </c>
      <c r="E78" s="9" t="n">
        <v>57.7768118642192</v>
      </c>
      <c r="F78" s="9" t="n">
        <v>3701.5070028184</v>
      </c>
      <c r="G78" s="9" t="n">
        <v>5069.55471437</v>
      </c>
      <c r="H78" s="9" t="n">
        <v>17467.9852748</v>
      </c>
      <c r="I78" s="9" t="n">
        <v>12398.43056043</v>
      </c>
      <c r="J78" s="9" t="n">
        <v>-1368.0477115516</v>
      </c>
      <c r="K78" s="9" t="n">
        <v>4139.45294223971</v>
      </c>
      <c r="L78" s="9" t="n">
        <v>5507.50065379131</v>
      </c>
      <c r="M78" s="9" t="n">
        <v>-4139.96002843053</v>
      </c>
      <c r="N78" s="9" t="n">
        <v>-23.5223919411353</v>
      </c>
      <c r="O78" s="9" t="n">
        <v>-4116.43763648939</v>
      </c>
      <c r="P78" s="9" t="n">
        <v>-2717.22401535065</v>
      </c>
      <c r="Q78" s="9" t="n">
        <v>-417.779653718414</v>
      </c>
      <c r="R78" s="9" t="n">
        <v>-1055.79197755447</v>
      </c>
      <c r="S78" s="9" t="n">
        <v>496.229837476345</v>
      </c>
      <c r="T78" s="9" t="n">
        <v>94.5294554536347</v>
      </c>
      <c r="U78" s="9" t="n">
        <v>-833.390601370159</v>
      </c>
      <c r="V78" s="9" t="n">
        <v>-5022.10385455252</v>
      </c>
      <c r="W78" s="9" t="n">
        <v>572.140729330309</v>
      </c>
      <c r="X78" s="9" t="n">
        <v>0</v>
      </c>
      <c r="Y78" s="9" t="n">
        <v>3471.53658388283</v>
      </c>
      <c r="Z78" s="9" t="n">
        <v>2122.708</v>
      </c>
      <c r="AA78" s="9" t="n">
        <v>-2754.52937051958</v>
      </c>
      <c r="AB78" s="9" t="n">
        <v>84.5602808187461</v>
      </c>
      <c r="AC78" s="9" t="n">
        <v>-2452.68146421472</v>
      </c>
      <c r="AD78" s="9" t="n">
        <v>567.336316009076</v>
      </c>
      <c r="AE78" s="9" t="n">
        <v>-180.928128885465</v>
      </c>
      <c r="AF78" s="9" t="n">
        <v>0.71384943171415</v>
      </c>
      <c r="AG78" s="9" t="n">
        <v>2864.40409380177</v>
      </c>
      <c r="AH78" s="9" t="n">
        <v>1236.23351859125</v>
      </c>
      <c r="AI78" s="9" t="n">
        <v>1628.17057521053</v>
      </c>
      <c r="AJ78" s="9" t="n">
        <v>4078.12468046846</v>
      </c>
      <c r="AK78" s="9" t="n">
        <v>-985.696868688009</v>
      </c>
      <c r="AL78" s="10" t="n">
        <f aca="false">IF($C78&lt;2017,AI78,-AI78)</f>
        <v>-1628.17057521053</v>
      </c>
      <c r="AM78" s="11" t="n">
        <f aca="false">E78+T78-U78+AK78</f>
        <v>0</v>
      </c>
      <c r="AN78" s="11" t="n">
        <f aca="false">V78+AA78+AF78+AG78+AJ78-U78</f>
        <v>0</v>
      </c>
      <c r="AO78" s="10" t="n">
        <f aca="false">O78-P78-Q78-R78</f>
        <v>74.3580101341345</v>
      </c>
      <c r="AP78" s="9" t="n">
        <v>129400.714311122</v>
      </c>
      <c r="AQ78" s="10" t="n">
        <f aca="false">SUM(AP75:AP78)</f>
        <v>628706.166517533</v>
      </c>
    </row>
    <row r="79" customFormat="false" ht="15" hidden="false" customHeight="false" outlineLevel="0" collapsed="false">
      <c r="B79" s="7" t="s">
        <v>154</v>
      </c>
      <c r="C79" s="8" t="n">
        <v>2024</v>
      </c>
      <c r="D79" s="8" t="n">
        <v>2</v>
      </c>
      <c r="E79" s="9" t="n">
        <v>3502.71070026583</v>
      </c>
      <c r="F79" s="9" t="n">
        <v>6055.25123764923</v>
      </c>
      <c r="G79" s="9" t="n">
        <v>7109.43478208</v>
      </c>
      <c r="H79" s="9" t="n">
        <v>20756.2295664301</v>
      </c>
      <c r="I79" s="9" t="n">
        <v>13646.7947843501</v>
      </c>
      <c r="J79" s="9" t="n">
        <v>-1054.18354443077</v>
      </c>
      <c r="K79" s="9" t="n">
        <v>3860.80585126077</v>
      </c>
      <c r="L79" s="9" t="n">
        <v>4914.98939569154</v>
      </c>
      <c r="M79" s="9" t="n">
        <v>-3328.86025286631</v>
      </c>
      <c r="N79" s="9" t="n">
        <v>-24.6872311742742</v>
      </c>
      <c r="O79" s="9" t="n">
        <v>-3304.17302169204</v>
      </c>
      <c r="P79" s="9" t="n">
        <v>-1894.4215346399</v>
      </c>
      <c r="Q79" s="9" t="n">
        <v>-467.887121508195</v>
      </c>
      <c r="R79" s="9" t="n">
        <v>-1024.19754254182</v>
      </c>
      <c r="S79" s="9" t="n">
        <v>776.31971548291</v>
      </c>
      <c r="T79" s="9" t="n">
        <v>57.0542646880457</v>
      </c>
      <c r="U79" s="9" t="n">
        <v>2578.34291432265</v>
      </c>
      <c r="V79" s="9" t="n">
        <v>-1669.88424078385</v>
      </c>
      <c r="W79" s="9" t="n">
        <v>762.583747266342</v>
      </c>
      <c r="X79" s="9" t="n">
        <v>0</v>
      </c>
      <c r="Y79" s="9" t="n">
        <v>1618.59998805019</v>
      </c>
      <c r="Z79" s="9" t="n">
        <v>813.868</v>
      </c>
      <c r="AA79" s="9" t="n">
        <v>-582.857939594429</v>
      </c>
      <c r="AB79" s="9" t="n">
        <v>79.1877562370925</v>
      </c>
      <c r="AC79" s="9" t="n">
        <v>399.991458659475</v>
      </c>
      <c r="AD79" s="9" t="n">
        <v>80.8599691250911</v>
      </c>
      <c r="AE79" s="9" t="n">
        <v>981.177185365905</v>
      </c>
      <c r="AF79" s="9" t="n">
        <v>-6.01942688898946</v>
      </c>
      <c r="AG79" s="9" t="n">
        <v>3143.04590959232</v>
      </c>
      <c r="AH79" s="9" t="n">
        <v>-518.732363889411</v>
      </c>
      <c r="AI79" s="9" t="n">
        <v>3661.77827348173</v>
      </c>
      <c r="AJ79" s="9" t="n">
        <v>1694.05861199759</v>
      </c>
      <c r="AK79" s="9" t="n">
        <v>-981.422050631234</v>
      </c>
      <c r="AL79" s="10" t="n">
        <f aca="false">IF($C79&lt;2017,AI79,-AI79)</f>
        <v>-3661.77827348173</v>
      </c>
      <c r="AM79" s="11" t="n">
        <f aca="false">E79+T79-U79+AK79</f>
        <v>0</v>
      </c>
      <c r="AN79" s="11" t="n">
        <f aca="false">V79+AA79+AF79+AG79+AJ79-U79</f>
        <v>0</v>
      </c>
      <c r="AO79" s="10" t="n">
        <f aca="false">O79-P79-Q79-R79</f>
        <v>82.333176997874</v>
      </c>
      <c r="AP79" s="9" t="n">
        <v>157898.088850065</v>
      </c>
      <c r="AQ79" s="10" t="n">
        <f aca="false">SUM(AP76:AP79)</f>
        <v>613850.918064485</v>
      </c>
    </row>
    <row r="80" customFormat="false" ht="15" hidden="false" customHeight="false" outlineLevel="0" collapsed="false">
      <c r="B80" s="7" t="s">
        <v>155</v>
      </c>
      <c r="C80" s="8" t="n">
        <v>2024</v>
      </c>
      <c r="D80" s="8" t="n">
        <v>3</v>
      </c>
      <c r="E80" s="9" t="n">
        <v>625.446430156252</v>
      </c>
      <c r="F80" s="9" t="n">
        <v>3761.31710058079</v>
      </c>
      <c r="G80" s="9" t="n">
        <v>5306.03344509001</v>
      </c>
      <c r="H80" s="9" t="n">
        <v>20912.55301898</v>
      </c>
      <c r="I80" s="9" t="n">
        <v>15606.51957389</v>
      </c>
      <c r="J80" s="9" t="n">
        <v>-1544.71634450922</v>
      </c>
      <c r="K80" s="9" t="n">
        <v>4384.27601900522</v>
      </c>
      <c r="L80" s="9" t="n">
        <v>5928.99236351443</v>
      </c>
      <c r="M80" s="9" t="n">
        <v>-3502.71476668278</v>
      </c>
      <c r="N80" s="9" t="n">
        <v>-22.4937032681298</v>
      </c>
      <c r="O80" s="9" t="n">
        <v>-3480.22106341465</v>
      </c>
      <c r="P80" s="9" t="n">
        <v>-2174.39419291488</v>
      </c>
      <c r="Q80" s="9" t="n">
        <v>-388.667293293116</v>
      </c>
      <c r="R80" s="9" t="n">
        <v>-966.358721938419</v>
      </c>
      <c r="S80" s="9" t="n">
        <v>366.844096258247</v>
      </c>
      <c r="T80" s="9" t="n">
        <v>45.1227066251138</v>
      </c>
      <c r="U80" s="9" t="n">
        <v>-814.221132165346</v>
      </c>
      <c r="V80" s="9" t="n">
        <v>-3116.61276473052</v>
      </c>
      <c r="W80" s="9" t="n">
        <v>574.079595506519</v>
      </c>
      <c r="X80" s="9" t="n">
        <v>0</v>
      </c>
      <c r="Y80" s="9" t="n">
        <v>2543.97936023704</v>
      </c>
      <c r="Z80" s="9" t="n">
        <v>1146.713</v>
      </c>
      <c r="AA80" s="9" t="n">
        <v>4135.60839955417</v>
      </c>
      <c r="AB80" s="9" t="n">
        <v>96.1523325201341</v>
      </c>
      <c r="AC80" s="9" t="n">
        <v>1576.72293203117</v>
      </c>
      <c r="AD80" s="9" t="n">
        <v>-8.17368342105207</v>
      </c>
      <c r="AE80" s="9" t="n">
        <v>-2454.55945158181</v>
      </c>
      <c r="AF80" s="9" t="n">
        <v>18.2296322257523</v>
      </c>
      <c r="AG80" s="9" t="n">
        <v>1119.10221138895</v>
      </c>
      <c r="AH80" s="9" t="n">
        <v>-288.547320419076</v>
      </c>
      <c r="AI80" s="9" t="n">
        <v>1407.64953180802</v>
      </c>
      <c r="AJ80" s="9" t="n">
        <v>-2970.54861060369</v>
      </c>
      <c r="AK80" s="9" t="n">
        <v>-1484.79026894671</v>
      </c>
      <c r="AL80" s="10" t="n">
        <f aca="false">IF($C80&lt;2017,AI80,-AI80)</f>
        <v>-1407.64953180802</v>
      </c>
      <c r="AM80" s="11" t="n">
        <f aca="false">E80+T80-U80+AK80</f>
        <v>0</v>
      </c>
      <c r="AN80" s="11" t="n">
        <f aca="false">V80+AA80+AF80+AG80+AJ80-U80</f>
        <v>0</v>
      </c>
      <c r="AO80" s="10" t="n">
        <f aca="false">O80-P80-Q80-R80</f>
        <v>49.1991447317605</v>
      </c>
      <c r="AP80" s="9" t="n">
        <v>169057.036046341</v>
      </c>
      <c r="AQ80" s="10" t="n">
        <f aca="false">SUM(AP77:AP80)</f>
        <v>616131.554984548</v>
      </c>
    </row>
    <row r="81" customFormat="false" ht="15" hidden="false" customHeight="false" outlineLevel="0" collapsed="false">
      <c r="B81" s="7" t="s">
        <v>156</v>
      </c>
      <c r="C81" s="8" t="n">
        <v>2024</v>
      </c>
      <c r="D81" s="8" t="n">
        <v>4</v>
      </c>
      <c r="E81" s="9" t="n">
        <v>1705.4708393923</v>
      </c>
      <c r="F81" s="9" t="n">
        <v>3947.61858632523</v>
      </c>
      <c r="G81" s="9" t="n">
        <v>4918.8230512398</v>
      </c>
      <c r="H81" s="9" t="n">
        <v>20622.7834652599</v>
      </c>
      <c r="I81" s="9" t="n">
        <v>15703.9604140201</v>
      </c>
      <c r="J81" s="9" t="n">
        <v>-971.204464914569</v>
      </c>
      <c r="K81" s="9" t="n">
        <v>4731.06809231028</v>
      </c>
      <c r="L81" s="9" t="n">
        <v>5702.27255722485</v>
      </c>
      <c r="M81" s="9" t="n">
        <v>-2848.41665592901</v>
      </c>
      <c r="N81" s="9" t="n">
        <v>-25.7385100079158</v>
      </c>
      <c r="O81" s="9" t="n">
        <v>-2822.67814592109</v>
      </c>
      <c r="P81" s="9" t="n">
        <v>-1412.64209256644</v>
      </c>
      <c r="Q81" s="9" t="n">
        <v>-493.322965208586</v>
      </c>
      <c r="R81" s="9" t="n">
        <v>-970.553637685085</v>
      </c>
      <c r="S81" s="9" t="n">
        <v>606.26890899607</v>
      </c>
      <c r="T81" s="9" t="n">
        <v>80.8719214880705</v>
      </c>
      <c r="U81" s="9" t="n">
        <v>1388.30644627965</v>
      </c>
      <c r="V81" s="9" t="n">
        <v>218.33649861323</v>
      </c>
      <c r="W81" s="9" t="n">
        <v>865.436705892815</v>
      </c>
      <c r="X81" s="9" t="n">
        <v>0</v>
      </c>
      <c r="Y81" s="9" t="n">
        <v>2786.38920727958</v>
      </c>
      <c r="Z81" s="9" t="n">
        <v>-2139.289</v>
      </c>
      <c r="AA81" s="9" t="n">
        <v>3331.481539291</v>
      </c>
      <c r="AB81" s="9" t="n">
        <v>761.418856641557</v>
      </c>
      <c r="AC81" s="9" t="n">
        <v>3005.88558200391</v>
      </c>
      <c r="AD81" s="9" t="n">
        <v>487.569596334711</v>
      </c>
      <c r="AE81" s="9" t="n">
        <v>-51.7466969802433</v>
      </c>
      <c r="AF81" s="9" t="n">
        <v>6.3217823801641</v>
      </c>
      <c r="AG81" s="9" t="n">
        <v>-5459.46200054404</v>
      </c>
      <c r="AH81" s="9" t="n">
        <v>-3337.67520053582</v>
      </c>
      <c r="AI81" s="9" t="n">
        <v>-2121.78680000822</v>
      </c>
      <c r="AJ81" s="9" t="n">
        <v>3291.62862653929</v>
      </c>
      <c r="AK81" s="9" t="n">
        <v>-398.036314600719</v>
      </c>
      <c r="AL81" s="10" t="n">
        <f aca="false">IF($C81&lt;2017,AI81,-AI81)</f>
        <v>2121.78680000822</v>
      </c>
      <c r="AM81" s="11" t="n">
        <f aca="false">E81+T81-U81+AK81</f>
        <v>0</v>
      </c>
      <c r="AN81" s="11" t="n">
        <f aca="false">V81+AA81+AF81+AG81+AJ81-U81</f>
        <v>0</v>
      </c>
      <c r="AO81" s="10" t="n">
        <f aca="false">O81-P81-Q81-R81</f>
        <v>53.8405495390186</v>
      </c>
      <c r="AP81" s="9" t="n">
        <v>176838.81095855</v>
      </c>
      <c r="AQ81" s="10" t="n">
        <f aca="false">SUM(AP78:AP81)</f>
        <v>633194.650166078</v>
      </c>
    </row>
    <row r="82" customFormat="false" ht="15" hidden="false" customHeight="false" outlineLevel="0" collapsed="false">
      <c r="B82" s="7" t="s">
        <v>157</v>
      </c>
      <c r="C82" s="8" t="n">
        <v>2025</v>
      </c>
      <c r="D82" s="8" t="n">
        <v>1</v>
      </c>
      <c r="E82" s="9" t="n">
        <v>-5157.55266003543</v>
      </c>
      <c r="F82" s="9" t="n">
        <v>-2499.96823959799</v>
      </c>
      <c r="G82" s="9" t="n">
        <v>2059.8412937001</v>
      </c>
      <c r="H82" s="9" t="n">
        <v>18702.1153562601</v>
      </c>
      <c r="I82" s="9" t="n">
        <v>16642.27406256</v>
      </c>
      <c r="J82" s="9" t="n">
        <v>-4559.80953329809</v>
      </c>
      <c r="K82" s="9" t="n">
        <v>4651.23302563202</v>
      </c>
      <c r="L82" s="9" t="n">
        <v>9211.04255893011</v>
      </c>
      <c r="M82" s="9" t="n">
        <v>-3017.50871695542</v>
      </c>
      <c r="N82" s="9" t="n">
        <v>-23.3380265753143</v>
      </c>
      <c r="O82" s="9" t="n">
        <v>-2994.17069038011</v>
      </c>
      <c r="P82" s="9" t="n">
        <v>-1470.94182531221</v>
      </c>
      <c r="Q82" s="9" t="n">
        <v>-599.450744295949</v>
      </c>
      <c r="R82" s="9" t="n">
        <v>-971.59821250482</v>
      </c>
      <c r="S82" s="9" t="n">
        <v>359.924296517986</v>
      </c>
      <c r="T82" s="9" t="n">
        <v>59.11926957618</v>
      </c>
      <c r="U82" s="9" t="n">
        <v>-7189.11467496706</v>
      </c>
      <c r="V82" s="9" t="n">
        <v>-312.971067141362</v>
      </c>
      <c r="W82" s="9" t="n">
        <v>551.904793091485</v>
      </c>
      <c r="X82" s="9" t="n">
        <v>0</v>
      </c>
      <c r="Y82" s="9" t="n">
        <v>505.376860232846</v>
      </c>
      <c r="Z82" s="9" t="n">
        <v>359.499</v>
      </c>
      <c r="AA82" s="9" t="n">
        <v>3250.84884528374</v>
      </c>
      <c r="AB82" s="9" t="n">
        <v>745.825149939055</v>
      </c>
      <c r="AC82" s="9" t="n">
        <v>1875.33341940072</v>
      </c>
      <c r="AD82" s="9" t="n">
        <v>-264.927875501932</v>
      </c>
      <c r="AE82" s="9" t="n">
        <v>-364.762400442031</v>
      </c>
      <c r="AF82" s="9" t="n">
        <v>-9.1243831799434</v>
      </c>
      <c r="AG82" s="9" t="n">
        <v>-4490.36683149997</v>
      </c>
      <c r="AH82" s="9" t="n">
        <v>-3101.92095359686</v>
      </c>
      <c r="AI82" s="9" t="n">
        <v>-1388.4458779031</v>
      </c>
      <c r="AJ82" s="9" t="n">
        <v>-5627.50123842953</v>
      </c>
      <c r="AK82" s="9" t="n">
        <v>-2090.68128450781</v>
      </c>
      <c r="AL82" s="10" t="n">
        <f aca="false">IF($C82&lt;2017,AI82,-AI82)</f>
        <v>1388.4458779031</v>
      </c>
      <c r="AM82" s="11" t="n">
        <f aca="false">E82+T82-U82+AK82</f>
        <v>0</v>
      </c>
      <c r="AN82" s="11" t="n">
        <f aca="false">V82+AA82+AF82+AG82+AJ82-U82</f>
        <v>0</v>
      </c>
      <c r="AO82" s="10" t="n">
        <f aca="false">O82-P82-Q82-R82</f>
        <v>47.8200917328669</v>
      </c>
      <c r="AP82" s="9" t="n">
        <v>172660.399309021</v>
      </c>
      <c r="AQ82" s="10" t="n">
        <f aca="false">SUM(AP79:AP82)</f>
        <v>676454.335163977</v>
      </c>
    </row>
    <row r="83" customFormat="false" ht="15" hidden="false" customHeight="false" outlineLevel="0" collapsed="false">
      <c r="B83" s="7" t="s">
        <v>158</v>
      </c>
      <c r="C83" s="8" t="n">
        <v>2025</v>
      </c>
      <c r="D83" s="8" t="n">
        <v>2</v>
      </c>
      <c r="E83" s="9" t="n">
        <v>-2452.20297835986</v>
      </c>
      <c r="F83" s="9" t="n">
        <v>235.540270493176</v>
      </c>
      <c r="G83" s="9" t="n">
        <v>2668.0487860001</v>
      </c>
      <c r="H83" s="9" t="n">
        <v>21057.16024321</v>
      </c>
      <c r="I83" s="9" t="n">
        <v>18389.1114572099</v>
      </c>
      <c r="J83" s="9" t="n">
        <v>-2432.50851550693</v>
      </c>
      <c r="K83" s="9" t="n">
        <v>4291.63474282149</v>
      </c>
      <c r="L83" s="9" t="n">
        <v>6724.14325832842</v>
      </c>
      <c r="M83" s="9" t="n">
        <v>-3565.71989170359</v>
      </c>
      <c r="N83" s="9" t="n">
        <v>-22.9400765892904</v>
      </c>
      <c r="O83" s="9" t="n">
        <v>-3542.7798151143</v>
      </c>
      <c r="P83" s="9" t="n">
        <v>-1832.57335434704</v>
      </c>
      <c r="Q83" s="9" t="n">
        <v>-727.233994478984</v>
      </c>
      <c r="R83" s="9" t="n">
        <v>-1057.9429680172</v>
      </c>
      <c r="S83" s="9" t="n">
        <v>877.976642850551</v>
      </c>
      <c r="T83" s="9" t="n">
        <v>171.976732440733</v>
      </c>
      <c r="U83" s="9" t="n">
        <v>-3348.42725049803</v>
      </c>
      <c r="V83" s="9" t="n">
        <v>-1983.81623281032</v>
      </c>
      <c r="W83" s="9" t="n">
        <v>692.732999347833</v>
      </c>
      <c r="X83" s="9" t="n">
        <v>0</v>
      </c>
      <c r="Y83" s="9" t="n">
        <v>495.181232158149</v>
      </c>
      <c r="Z83" s="9" t="n">
        <v>2181.368</v>
      </c>
      <c r="AA83" s="9" t="n">
        <v>-1975.56541640258</v>
      </c>
      <c r="AB83" s="9" t="n">
        <v>-244.73975178146</v>
      </c>
      <c r="AC83" s="9" t="n">
        <v>325.207928138457</v>
      </c>
      <c r="AD83" s="9" t="n">
        <v>-440.198090121903</v>
      </c>
      <c r="AE83" s="9" t="n">
        <v>2496.23168288148</v>
      </c>
      <c r="AF83" s="9" t="n">
        <v>-5.81914351604415</v>
      </c>
      <c r="AG83" s="9" t="n">
        <v>-13654.6401465179</v>
      </c>
      <c r="AH83" s="9" t="n">
        <v>3793.32184212949</v>
      </c>
      <c r="AI83" s="9" t="n">
        <v>-17447.9619886474</v>
      </c>
      <c r="AJ83" s="9" t="n">
        <v>14271.4136887488</v>
      </c>
      <c r="AK83" s="9" t="n">
        <v>-1068.20100457889</v>
      </c>
      <c r="AL83" s="10" t="n">
        <f aca="false">IF($C83&lt;2017,AI83,-AI83)</f>
        <v>17447.9619886474</v>
      </c>
      <c r="AM83" s="11" t="n">
        <f aca="false">E83+T83-U83+AK83</f>
        <v>6.3664629124105E-012</v>
      </c>
      <c r="AN83" s="11" t="n">
        <f aca="false">V83+AA83+AF83+AG83+AJ83-U83</f>
        <v>0</v>
      </c>
      <c r="AO83" s="10" t="n">
        <f aca="false">O83-P83-Q83-R83</f>
        <v>74.9705017289188</v>
      </c>
      <c r="AP83" s="9" t="n">
        <v>181368.704541637</v>
      </c>
      <c r="AQ83" s="10" t="n">
        <f aca="false">SUM(AP80:AP83)</f>
        <v>699924.950855549</v>
      </c>
    </row>
    <row r="84" customFormat="false" ht="15" hidden="false" customHeight="false" outlineLevel="0" collapsed="false">
      <c r="B84" s="7" t="s">
        <v>159</v>
      </c>
      <c r="C84" s="8" t="n">
        <v>2025</v>
      </c>
      <c r="D84" s="8" t="n">
        <v>3</v>
      </c>
      <c r="E84" s="9" t="n">
        <v>-2100.48150605513</v>
      </c>
      <c r="F84" s="9" t="n">
        <v>1669.58652578947</v>
      </c>
      <c r="G84" s="9" t="n">
        <v>4348.4481594501</v>
      </c>
      <c r="H84" s="9" t="n">
        <v>23797.6205434501</v>
      </c>
      <c r="I84" s="9" t="n">
        <v>19449.172384</v>
      </c>
      <c r="J84" s="9" t="n">
        <v>-2678.86163366063</v>
      </c>
      <c r="K84" s="9" t="n">
        <v>4496.73564215719</v>
      </c>
      <c r="L84" s="9" t="n">
        <v>7175.59727581782</v>
      </c>
      <c r="M84" s="9" t="n">
        <v>-4276.30074129595</v>
      </c>
      <c r="N84" s="9" t="n">
        <v>-23.8284365276306</v>
      </c>
      <c r="O84" s="9" t="n">
        <v>-4252.47230476832</v>
      </c>
      <c r="P84" s="9" t="n">
        <v>-2506.01079077683</v>
      </c>
      <c r="Q84" s="9" t="n">
        <v>-680.044447446905</v>
      </c>
      <c r="R84" s="9" t="n">
        <v>-1179.57635989003</v>
      </c>
      <c r="S84" s="9" t="n">
        <v>506.232709451346</v>
      </c>
      <c r="T84" s="9" t="n">
        <v>136.834505756119</v>
      </c>
      <c r="U84" s="9" t="n">
        <v>-3658.13842164947</v>
      </c>
      <c r="V84" s="9" t="n">
        <v>-4302.34189901477</v>
      </c>
      <c r="W84" s="9" t="n">
        <v>622.254911856028</v>
      </c>
      <c r="X84" s="9" t="n">
        <v>0</v>
      </c>
      <c r="Y84" s="9" t="n">
        <v>1709.59581087079</v>
      </c>
      <c r="Z84" s="9" t="n">
        <v>3215.001</v>
      </c>
      <c r="AA84" s="9" t="n">
        <v>3470.81131682544</v>
      </c>
      <c r="AB84" s="9" t="n">
        <v>733.501873391223</v>
      </c>
      <c r="AC84" s="9" t="n">
        <v>594.24773013815</v>
      </c>
      <c r="AD84" s="9" t="n">
        <v>-468.724586683486</v>
      </c>
      <c r="AE84" s="9" t="n">
        <v>-1674.33712661259</v>
      </c>
      <c r="AF84" s="9" t="n">
        <v>-21.1528687358401</v>
      </c>
      <c r="AG84" s="9" t="n">
        <v>-2351.00286024007</v>
      </c>
      <c r="AH84" s="9" t="n">
        <v>6142.28746579856</v>
      </c>
      <c r="AI84" s="9" t="n">
        <v>-8493.29032603863</v>
      </c>
      <c r="AJ84" s="9" t="n">
        <v>-454.452110484241</v>
      </c>
      <c r="AK84" s="9" t="n">
        <v>-1694.49142135046</v>
      </c>
      <c r="AL84" s="10" t="n">
        <f aca="false">IF($C84&lt;2017,AI84,-AI84)</f>
        <v>8493.29032603863</v>
      </c>
      <c r="AM84" s="11" t="n">
        <f aca="false">E84+T84-U84+AK84</f>
        <v>0</v>
      </c>
      <c r="AN84" s="11" t="n">
        <f aca="false">V84+AA84+AF84+AG84+AJ84-U84</f>
        <v>0</v>
      </c>
      <c r="AO84" s="10" t="n">
        <f aca="false">O84-P84-Q84-R84</f>
        <v>113.159293345447</v>
      </c>
      <c r="AP84" s="9" t="n">
        <v>166655.787874573</v>
      </c>
      <c r="AQ84" s="10" t="n">
        <f aca="false">SUM(AP81:AP84)</f>
        <v>697523.702683781</v>
      </c>
    </row>
    <row r="85" customFormat="false" ht="15" hidden="false" customHeight="false" outlineLevel="0" collapsed="false">
      <c r="B85" s="7" t="s">
        <v>160</v>
      </c>
      <c r="C85" s="8" t="n">
        <v>2025</v>
      </c>
      <c r="D85" s="8" t="n">
        <v>4</v>
      </c>
      <c r="E85" s="9" t="n">
        <v>1922.11158549593</v>
      </c>
      <c r="F85" s="9" t="n">
        <v>4352.93889706182</v>
      </c>
      <c r="G85" s="9" t="n">
        <v>6282.69716487</v>
      </c>
      <c r="H85" s="9" t="n">
        <v>23594.78706166</v>
      </c>
      <c r="I85" s="9" t="n">
        <v>17312.08989679</v>
      </c>
      <c r="J85" s="9" t="n">
        <v>-1929.75826780817</v>
      </c>
      <c r="K85" s="9" t="n">
        <v>4901.25392352843</v>
      </c>
      <c r="L85" s="9" t="n">
        <v>6831.01219133661</v>
      </c>
      <c r="M85" s="9" t="n">
        <v>-3219.15351297487</v>
      </c>
      <c r="N85" s="9" t="n">
        <v>-27.54862064672</v>
      </c>
      <c r="O85" s="9" t="n">
        <v>-3191.60489232815</v>
      </c>
      <c r="P85" s="9" t="n">
        <v>-1435.00499701984</v>
      </c>
      <c r="Q85" s="9" t="n">
        <v>-661.845775650053</v>
      </c>
      <c r="R85" s="9" t="n">
        <v>-1190.80766598794</v>
      </c>
      <c r="S85" s="9" t="n">
        <v>788.326201408987</v>
      </c>
      <c r="T85" s="9" t="n">
        <v>86.209633574024</v>
      </c>
      <c r="U85" s="9" t="n">
        <v>2192.57668285132</v>
      </c>
      <c r="V85" s="9" t="n">
        <v>4980.73191290717</v>
      </c>
      <c r="W85" s="9" t="n">
        <v>876.438636533935</v>
      </c>
      <c r="X85" s="9" t="n">
        <v>0</v>
      </c>
      <c r="Y85" s="9" t="n">
        <v>919.395723626766</v>
      </c>
      <c r="Z85" s="9" t="n">
        <v>-5023.689</v>
      </c>
      <c r="AA85" s="9" t="n">
        <v>-4467.93240555789</v>
      </c>
      <c r="AB85" s="9" t="n">
        <v>1121.66886373547</v>
      </c>
      <c r="AC85" s="9" t="n">
        <v>847.851770385672</v>
      </c>
      <c r="AD85" s="9" t="n">
        <v>-244.158613207783</v>
      </c>
      <c r="AE85" s="9" t="n">
        <v>6681.61165288681</v>
      </c>
      <c r="AF85" s="9" t="n">
        <v>38.8167318947498</v>
      </c>
      <c r="AG85" s="9" t="n">
        <v>2609.3467756752</v>
      </c>
      <c r="AH85" s="9" t="n">
        <v>3241.56207717136</v>
      </c>
      <c r="AI85" s="9" t="n">
        <v>-632.215301496166</v>
      </c>
      <c r="AJ85" s="9" t="n">
        <v>-968.386332067905</v>
      </c>
      <c r="AK85" s="9" t="n">
        <v>184.255463781361</v>
      </c>
      <c r="AL85" s="10" t="n">
        <f aca="false">IF($C85&lt;2017,AI85,-AI85)</f>
        <v>632.215301496166</v>
      </c>
      <c r="AM85" s="11" t="n">
        <f aca="false">E85+T85-U85+AK85</f>
        <v>-1.81898940354586E-012</v>
      </c>
      <c r="AN85" s="11" t="n">
        <f aca="false">V85+AA85+AF85+AG85+AJ85-U85</f>
        <v>0</v>
      </c>
      <c r="AO85" s="10" t="n">
        <f aca="false">O85-P85-Q85-R85</f>
        <v>96.0535463296728</v>
      </c>
      <c r="AP85" s="9" t="n">
        <v>164795.227568455</v>
      </c>
      <c r="AQ85" s="10" t="n">
        <f aca="false">SUM(AP82:AP85)</f>
        <v>685480.119293686</v>
      </c>
    </row>
    <row r="86" customFormat="false" ht="15" hidden="false" customHeight="false" outlineLevel="0" collapsed="false">
      <c r="B86" s="7" t="s">
        <v>161</v>
      </c>
      <c r="C86" s="8" t="n">
        <v>2026</v>
      </c>
      <c r="D86" s="8" t="n">
        <v>1</v>
      </c>
      <c r="E86" s="9" t="n">
        <v>-1650.52584743437</v>
      </c>
      <c r="F86" s="9" t="n">
        <v>2311.38665358804</v>
      </c>
      <c r="G86" s="9" t="n">
        <v>6339.4596024201</v>
      </c>
      <c r="H86" s="9" t="n">
        <v>21916.0489203701</v>
      </c>
      <c r="I86" s="9" t="n">
        <v>15576.58931795</v>
      </c>
      <c r="J86" s="9" t="n">
        <v>-4028.07294883206</v>
      </c>
      <c r="K86" s="9" t="n">
        <v>5208.86949768429</v>
      </c>
      <c r="L86" s="9" t="n">
        <v>9236.94244651635</v>
      </c>
      <c r="M86" s="9" t="n">
        <v>-4675.83316750227</v>
      </c>
      <c r="N86" s="9" t="n">
        <v>-25.1400436915416</v>
      </c>
      <c r="O86" s="9" t="n">
        <v>-4650.69312381072</v>
      </c>
      <c r="P86" s="9" t="n">
        <v>-2781.29491584291</v>
      </c>
      <c r="Q86" s="9" t="n">
        <v>-799.528495002608</v>
      </c>
      <c r="R86" s="9" t="n">
        <v>-1202.89769373282</v>
      </c>
      <c r="S86" s="9" t="n">
        <v>713.920666479853</v>
      </c>
      <c r="T86" s="9" t="n">
        <v>63.37563069</v>
      </c>
      <c r="U86" s="9" t="n">
        <v>-2398.25405213447</v>
      </c>
      <c r="V86" s="9" t="n">
        <v>-1290.67681652684</v>
      </c>
      <c r="W86" s="9" t="n">
        <v>503.062098638609</v>
      </c>
      <c r="X86" s="9" t="n">
        <v>0</v>
      </c>
      <c r="Y86" s="9" t="n">
        <v>1913.98391516545</v>
      </c>
      <c r="Z86" s="9" t="n">
        <v>-120.245</v>
      </c>
      <c r="AA86" s="9" t="n">
        <v>656.59172172735</v>
      </c>
      <c r="AB86" s="9" t="n">
        <v>397.439088933838</v>
      </c>
      <c r="AC86" s="9" t="n">
        <v>1046.39738939345</v>
      </c>
      <c r="AD86" s="9" t="n">
        <v>-352.592374026528</v>
      </c>
      <c r="AE86" s="9" t="n">
        <v>1139.83713062647</v>
      </c>
      <c r="AF86" s="9" t="n">
        <v>-10.3504716029054</v>
      </c>
      <c r="AG86" s="9" t="n">
        <v>-1764.40269192813</v>
      </c>
      <c r="AH86" s="9" t="n">
        <v>-575.692091548189</v>
      </c>
      <c r="AI86" s="9" t="n">
        <v>-1188.71060037994</v>
      </c>
      <c r="AJ86" s="9" t="n">
        <v>10.5842061960615</v>
      </c>
      <c r="AK86" s="9" t="n">
        <v>-811.103835390097</v>
      </c>
      <c r="AL86" s="10" t="n">
        <f aca="false">IF($C86&lt;2017,AI86,-AI86)</f>
        <v>1188.71060037994</v>
      </c>
      <c r="AM86" s="11" t="n">
        <f aca="false">E86+T86-U86+AK86</f>
        <v>0</v>
      </c>
      <c r="AN86" s="11" t="n">
        <f aca="false">V86+AA86+AF86+AG86+AJ86-U86</f>
        <v>0</v>
      </c>
      <c r="AO86" s="10" t="n">
        <f aca="false">O86-P86-Q86-R86</f>
        <v>133.027980767618</v>
      </c>
      <c r="AP86" s="9" t="n">
        <v>171682.276928555</v>
      </c>
      <c r="AQ86" s="10" t="n">
        <f aca="false">SUM(AP83:AP86)</f>
        <v>684501.996913219</v>
      </c>
    </row>
    <row r="88" customFormat="false" ht="15" hidden="false" customHeight="false" outlineLevel="0" collapsed="false">
      <c r="B88" s="12" t="s">
        <v>162</v>
      </c>
    </row>
    <row r="89" customFormat="false" ht="15" hidden="false" customHeight="false" outlineLevel="0" collapsed="false">
      <c r="B89" s="12" t="s">
        <v>163</v>
      </c>
    </row>
    <row r="90" customFormat="false" ht="15" hidden="false" customHeight="false" outlineLevel="0" collapsed="false">
      <c r="B90" s="12" t="s">
        <v>164</v>
      </c>
    </row>
    <row r="91" customFormat="false" ht="15" hidden="false" customHeight="false" outlineLevel="0" collapsed="false">
      <c r="B91" s="12"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J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18" min="3" style="0" width="13"/>
    <col collapsed="false" customWidth="true" hidden="false" outlineLevel="0" max="20" min="20" style="0" width="10"/>
    <col collapsed="false" customWidth="true" hidden="false" outlineLevel="0" max="36" min="21" style="0" width="13"/>
  </cols>
  <sheetData>
    <row r="2" customFormat="false" ht="25.5" hidden="false" customHeight="true" outlineLevel="0" collapsed="false">
      <c r="B2" s="1" t="s">
        <v>166</v>
      </c>
    </row>
    <row r="3" customFormat="false" ht="15" hidden="false" customHeight="false" outlineLevel="0" collapsed="false">
      <c r="B3" s="2" t="s">
        <v>167</v>
      </c>
    </row>
    <row r="4" customFormat="false" ht="15" hidden="false" customHeight="false" outlineLevel="0" collapsed="false">
      <c r="B4" s="3" t="s">
        <v>168</v>
      </c>
      <c r="T4" s="3" t="s">
        <v>169</v>
      </c>
    </row>
    <row r="5" customFormat="false" ht="39.75" hidden="false" customHeight="true" outlineLevel="0" collapsed="false">
      <c r="B5" s="13" t="s">
        <v>39</v>
      </c>
      <c r="C5" s="6" t="s">
        <v>170</v>
      </c>
      <c r="D5" s="6" t="s">
        <v>171</v>
      </c>
      <c r="E5" s="6" t="s">
        <v>172</v>
      </c>
      <c r="F5" s="6" t="s">
        <v>173</v>
      </c>
      <c r="G5" s="6" t="s">
        <v>174</v>
      </c>
      <c r="H5" s="6" t="s">
        <v>175</v>
      </c>
      <c r="I5" s="6" t="s">
        <v>176</v>
      </c>
      <c r="J5" s="6" t="s">
        <v>177</v>
      </c>
      <c r="K5" s="6" t="s">
        <v>178</v>
      </c>
      <c r="L5" s="6" t="s">
        <v>179</v>
      </c>
      <c r="M5" s="6" t="s">
        <v>180</v>
      </c>
      <c r="N5" s="6" t="s">
        <v>181</v>
      </c>
      <c r="O5" s="6" t="s">
        <v>182</v>
      </c>
      <c r="P5" s="6" t="s">
        <v>183</v>
      </c>
      <c r="Q5" s="6" t="s">
        <v>184</v>
      </c>
      <c r="R5" s="6" t="s">
        <v>185</v>
      </c>
      <c r="T5" s="13" t="s">
        <v>39</v>
      </c>
      <c r="U5" s="6" t="s">
        <v>170</v>
      </c>
      <c r="V5" s="6" t="s">
        <v>171</v>
      </c>
      <c r="W5" s="6" t="s">
        <v>172</v>
      </c>
      <c r="X5" s="6" t="s">
        <v>173</v>
      </c>
      <c r="Y5" s="6" t="s">
        <v>174</v>
      </c>
      <c r="Z5" s="6" t="s">
        <v>175</v>
      </c>
      <c r="AA5" s="6" t="s">
        <v>176</v>
      </c>
      <c r="AB5" s="6" t="s">
        <v>177</v>
      </c>
      <c r="AC5" s="6" t="s">
        <v>178</v>
      </c>
      <c r="AD5" s="6" t="s">
        <v>179</v>
      </c>
      <c r="AE5" s="6" t="s">
        <v>180</v>
      </c>
      <c r="AF5" s="6" t="s">
        <v>181</v>
      </c>
      <c r="AG5" s="6" t="s">
        <v>182</v>
      </c>
      <c r="AH5" s="6" t="s">
        <v>183</v>
      </c>
      <c r="AI5" s="6" t="s">
        <v>184</v>
      </c>
      <c r="AJ5" s="6" t="s">
        <v>185</v>
      </c>
    </row>
    <row r="6" customFormat="false" ht="15" hidden="false" customHeight="false" outlineLevel="0" collapsed="false">
      <c r="B6" s="14" t="str">
        <f aca="false">'Data BoP'!B6</f>
        <v>2006-Q1</v>
      </c>
      <c r="C6" s="15" t="n">
        <f aca="false">'Data BoP'!E6</f>
        <v>703.266873532502</v>
      </c>
      <c r="D6" s="10" t="n">
        <f aca="false">'Data BoP'!G6</f>
        <v>2906.3</v>
      </c>
      <c r="E6" s="10" t="n">
        <f aca="false">'Data BoP'!H6</f>
        <v>9945.6</v>
      </c>
      <c r="F6" s="10" t="n">
        <f aca="false">'Data BoP'!I6</f>
        <v>7039.3</v>
      </c>
      <c r="G6" s="10" t="n">
        <f aca="false">'Data BoP'!J6</f>
        <v>-215.224057727681</v>
      </c>
      <c r="H6" s="10" t="n">
        <f aca="false">'Data BoP'!K6</f>
        <v>1945.13754028478</v>
      </c>
      <c r="I6" s="10" t="n">
        <f aca="false">'Data BoP'!L6</f>
        <v>2160.36159801246</v>
      </c>
      <c r="J6" s="10" t="n">
        <f aca="false">'Data BoP'!M6</f>
        <v>-2177.7488594003</v>
      </c>
      <c r="K6" s="10" t="n">
        <f aca="false">'Data BoP'!N6</f>
        <v>-13.4847359989448</v>
      </c>
      <c r="L6" s="10" t="n">
        <f aca="false">'Data BoP'!O6</f>
        <v>-2164.26412340135</v>
      </c>
      <c r="M6" s="10" t="n">
        <f aca="false">'Data BoP'!P6</f>
        <v>-1542.47223264978</v>
      </c>
      <c r="N6" s="10" t="n">
        <f aca="false">'Data BoP'!Q6</f>
        <v>-715.42769996881</v>
      </c>
      <c r="O6" s="10" t="n">
        <f aca="false">'Data BoP'!R6</f>
        <v>-85.4753018938778</v>
      </c>
      <c r="P6" s="10" t="n">
        <f aca="false">'Data BoP'!AO6</f>
        <v>179.111111111111</v>
      </c>
      <c r="Q6" s="10" t="n">
        <f aca="false">'Data BoP'!S6</f>
        <v>189.939790660481</v>
      </c>
      <c r="R6" s="10" t="n">
        <f aca="false">'Data BoP'!T6</f>
        <v>10.4</v>
      </c>
      <c r="T6" s="14" t="str">
        <f aca="false">'Data BoP'!B6</f>
        <v>2006-Q1</v>
      </c>
    </row>
    <row r="7" customFormat="false" ht="15" hidden="false" customHeight="false" outlineLevel="0" collapsed="false">
      <c r="B7" s="14" t="str">
        <f aca="false">'Data BoP'!B7</f>
        <v>2006-Q2</v>
      </c>
      <c r="C7" s="15" t="n">
        <f aca="false">'Data BoP'!E7</f>
        <v>1916.59445117935</v>
      </c>
      <c r="D7" s="10" t="n">
        <f aca="false">'Data BoP'!G7</f>
        <v>4123.5</v>
      </c>
      <c r="E7" s="10" t="n">
        <f aca="false">'Data BoP'!H7</f>
        <v>11980.3</v>
      </c>
      <c r="F7" s="10" t="n">
        <f aca="false">'Data BoP'!I7</f>
        <v>7856.8</v>
      </c>
      <c r="G7" s="10" t="n">
        <f aca="false">'Data BoP'!J7</f>
        <v>-320.291967439859</v>
      </c>
      <c r="H7" s="10" t="n">
        <f aca="false">'Data BoP'!K7</f>
        <v>1712.91881357271</v>
      </c>
      <c r="I7" s="10" t="n">
        <f aca="false">'Data BoP'!L7</f>
        <v>2033.21078101257</v>
      </c>
      <c r="J7" s="10" t="n">
        <f aca="false">'Data BoP'!M7</f>
        <v>-2159.04006717335</v>
      </c>
      <c r="K7" s="10" t="n">
        <f aca="false">'Data BoP'!N7</f>
        <v>-18.3737529946978</v>
      </c>
      <c r="L7" s="10" t="n">
        <f aca="false">'Data BoP'!O7</f>
        <v>-2140.66631417865</v>
      </c>
      <c r="M7" s="10" t="n">
        <f aca="false">'Data BoP'!P7</f>
        <v>-1514.78497811816</v>
      </c>
      <c r="N7" s="10" t="n">
        <f aca="false">'Data BoP'!Q7</f>
        <v>-803.742973069549</v>
      </c>
      <c r="O7" s="10" t="n">
        <f aca="false">'Data BoP'!R7</f>
        <v>-51.6745193427325</v>
      </c>
      <c r="P7" s="10" t="n">
        <f aca="false">'Data BoP'!AO7</f>
        <v>229.536156351791</v>
      </c>
      <c r="Q7" s="10" t="n">
        <f aca="false">'Data BoP'!S7</f>
        <v>272.426485792557</v>
      </c>
      <c r="R7" s="10" t="n">
        <f aca="false">'Data BoP'!T7</f>
        <v>39.9</v>
      </c>
      <c r="T7" s="14" t="str">
        <f aca="false">'Data BoP'!B7</f>
        <v>2006-Q2</v>
      </c>
    </row>
    <row r="8" customFormat="false" ht="15" hidden="false" customHeight="false" outlineLevel="0" collapsed="false">
      <c r="B8" s="14" t="str">
        <f aca="false">'Data BoP'!B8</f>
        <v>2006-Q3</v>
      </c>
      <c r="C8" s="15" t="n">
        <f aca="false">'Data BoP'!E8</f>
        <v>1516.86647919467</v>
      </c>
      <c r="D8" s="10" t="n">
        <f aca="false">'Data BoP'!G8</f>
        <v>3255.5</v>
      </c>
      <c r="E8" s="10" t="n">
        <f aca="false">'Data BoP'!H8</f>
        <v>12126.8</v>
      </c>
      <c r="F8" s="10" t="n">
        <f aca="false">'Data BoP'!I8</f>
        <v>8871.3</v>
      </c>
      <c r="G8" s="10" t="n">
        <f aca="false">'Data BoP'!J8</f>
        <v>-268.624010135983</v>
      </c>
      <c r="H8" s="10" t="n">
        <f aca="false">'Data BoP'!K8</f>
        <v>1898.85436922996</v>
      </c>
      <c r="I8" s="10" t="n">
        <f aca="false">'Data BoP'!L8</f>
        <v>2167.47837936594</v>
      </c>
      <c r="J8" s="10" t="n">
        <f aca="false">'Data BoP'!M8</f>
        <v>-1690.74355227089</v>
      </c>
      <c r="K8" s="10" t="n">
        <f aca="false">'Data BoP'!N8</f>
        <v>-15.6094848618233</v>
      </c>
      <c r="L8" s="10" t="n">
        <f aca="false">'Data BoP'!O8</f>
        <v>-1675.13406740906</v>
      </c>
      <c r="M8" s="10" t="n">
        <f aca="false">'Data BoP'!P8</f>
        <v>-1220.37507719442</v>
      </c>
      <c r="N8" s="10" t="n">
        <f aca="false">'Data BoP'!Q8</f>
        <v>-700.768730671175</v>
      </c>
      <c r="O8" s="10" t="n">
        <f aca="false">'Data BoP'!R8</f>
        <v>-27.196084786189</v>
      </c>
      <c r="P8" s="10" t="n">
        <f aca="false">'Data BoP'!AO8</f>
        <v>273.205825242718</v>
      </c>
      <c r="Q8" s="10" t="n">
        <f aca="false">'Data BoP'!S8</f>
        <v>220.73404160154</v>
      </c>
      <c r="R8" s="10" t="n">
        <f aca="false">'Data BoP'!T8</f>
        <v>45.4304121022431</v>
      </c>
      <c r="T8" s="14" t="str">
        <f aca="false">'Data BoP'!B8</f>
        <v>2006-Q3</v>
      </c>
    </row>
    <row r="9" customFormat="false" ht="15" hidden="false" customHeight="false" outlineLevel="0" collapsed="false">
      <c r="B9" s="14" t="str">
        <f aca="false">'Data BoP'!B9</f>
        <v>2006-Q4</v>
      </c>
      <c r="C9" s="15" t="n">
        <f aca="false">'Data BoP'!E9</f>
        <v>2362.07471629801</v>
      </c>
      <c r="D9" s="10" t="n">
        <f aca="false">'Data BoP'!G9</f>
        <v>3744.3</v>
      </c>
      <c r="E9" s="10" t="n">
        <f aca="false">'Data BoP'!H9</f>
        <v>12564.8</v>
      </c>
      <c r="F9" s="10" t="n">
        <f aca="false">'Data BoP'!I9</f>
        <v>8820.5</v>
      </c>
      <c r="G9" s="10" t="n">
        <f aca="false">'Data BoP'!J9</f>
        <v>41.1826084628115</v>
      </c>
      <c r="H9" s="10" t="n">
        <f aca="false">'Data BoP'!K9</f>
        <v>2354.10436983294</v>
      </c>
      <c r="I9" s="10" t="n">
        <f aca="false">'Data BoP'!L9</f>
        <v>2312.92176137013</v>
      </c>
      <c r="J9" s="10" t="n">
        <f aca="false">'Data BoP'!M9</f>
        <v>-1695.07750405698</v>
      </c>
      <c r="K9" s="10" t="n">
        <f aca="false">'Data BoP'!N9</f>
        <v>-13.6310646305608</v>
      </c>
      <c r="L9" s="10" t="n">
        <f aca="false">'Data BoP'!O9</f>
        <v>-1681.44643942642</v>
      </c>
      <c r="M9" s="10" t="n">
        <f aca="false">'Data BoP'!P9</f>
        <v>-1199.18669250506</v>
      </c>
      <c r="N9" s="10" t="n">
        <f aca="false">'Data BoP'!Q9</f>
        <v>-772.494420349605</v>
      </c>
      <c r="O9" s="10" t="n">
        <f aca="false">'Data BoP'!R9</f>
        <v>-17.5588330652585</v>
      </c>
      <c r="P9" s="10" t="n">
        <f aca="false">'Data BoP'!AO9</f>
        <v>307.793506493507</v>
      </c>
      <c r="Q9" s="10" t="n">
        <f aca="false">'Data BoP'!S9</f>
        <v>271.66961189218</v>
      </c>
      <c r="R9" s="10" t="n">
        <f aca="false">'Data BoP'!T9</f>
        <v>1.89391570255773</v>
      </c>
      <c r="T9" s="14" t="str">
        <f aca="false">'Data BoP'!B9</f>
        <v>2006-Q4</v>
      </c>
      <c r="U9" s="15" t="n">
        <f aca="false">('Data BoP'!E6)+('Data BoP'!E7)+('Data BoP'!E8)+('Data BoP'!E9)</f>
        <v>6498.80252020454</v>
      </c>
      <c r="V9" s="10" t="n">
        <f aca="false">('Data BoP'!G6)+('Data BoP'!G7)+('Data BoP'!G8)+('Data BoP'!G9)</f>
        <v>14029.6</v>
      </c>
      <c r="W9" s="10" t="n">
        <f aca="false">('Data BoP'!H6)+('Data BoP'!H7)+('Data BoP'!H8)+('Data BoP'!H9)</f>
        <v>46617.5</v>
      </c>
      <c r="X9" s="10" t="n">
        <f aca="false">('Data BoP'!I6)+('Data BoP'!I7)+('Data BoP'!I8)+('Data BoP'!I9)</f>
        <v>32587.9</v>
      </c>
      <c r="Y9" s="10" t="n">
        <f aca="false">('Data BoP'!J6)+('Data BoP'!J7)+('Data BoP'!J8)+('Data BoP'!J9)</f>
        <v>-762.957426840711</v>
      </c>
      <c r="Z9" s="10" t="n">
        <f aca="false">('Data BoP'!K6)+('Data BoP'!K7)+('Data BoP'!K8)+('Data BoP'!K9)</f>
        <v>7911.01509292038</v>
      </c>
      <c r="AA9" s="10" t="n">
        <f aca="false">('Data BoP'!L6)+('Data BoP'!L7)+('Data BoP'!L8)+('Data BoP'!L9)</f>
        <v>8673.97251976109</v>
      </c>
      <c r="AB9" s="10" t="n">
        <f aca="false">('Data BoP'!M6)+('Data BoP'!M7)+('Data BoP'!M8)+('Data BoP'!M9)</f>
        <v>-7722.60998290152</v>
      </c>
      <c r="AC9" s="10" t="n">
        <f aca="false">('Data BoP'!N6)+('Data BoP'!N7)+('Data BoP'!N8)+('Data BoP'!N9)</f>
        <v>-61.0990384860267</v>
      </c>
      <c r="AD9" s="10" t="n">
        <f aca="false">('Data BoP'!O6)+('Data BoP'!O7)+('Data BoP'!O8)+('Data BoP'!O9)</f>
        <v>-7661.51094441549</v>
      </c>
      <c r="AE9" s="10" t="n">
        <f aca="false">('Data BoP'!P6)+('Data BoP'!P7)+('Data BoP'!P8)+('Data BoP'!P9)</f>
        <v>-5476.81898046742</v>
      </c>
      <c r="AF9" s="10" t="n">
        <f aca="false">('Data BoP'!Q6)+('Data BoP'!Q7)+('Data BoP'!Q8)+('Data BoP'!Q9)</f>
        <v>-2992.43382405914</v>
      </c>
      <c r="AG9" s="10" t="n">
        <f aca="false">('Data BoP'!R6)+('Data BoP'!R7)+('Data BoP'!R8)+('Data BoP'!R9)</f>
        <v>-181.904739088058</v>
      </c>
      <c r="AH9" s="10" t="n">
        <f aca="false">('Data BoP'!AO6)+('Data BoP'!AO7)+('Data BoP'!AO8)+('Data BoP'!AO9)</f>
        <v>989.646599199127</v>
      </c>
      <c r="AI9" s="10" t="n">
        <f aca="false">('Data BoP'!S6)+('Data BoP'!S7)+('Data BoP'!S8)+('Data BoP'!S9)</f>
        <v>954.769929946759</v>
      </c>
      <c r="AJ9" s="10" t="n">
        <f aca="false">('Data BoP'!T6)+('Data BoP'!T7)+('Data BoP'!T8)+('Data BoP'!T9)</f>
        <v>97.6243278048008</v>
      </c>
    </row>
    <row r="10" customFormat="false" ht="15" hidden="false" customHeight="false" outlineLevel="0" collapsed="false">
      <c r="B10" s="14" t="str">
        <f aca="false">'Data BoP'!B10</f>
        <v>2007-Q1</v>
      </c>
      <c r="C10" s="15" t="n">
        <f aca="false">'Data BoP'!E10</f>
        <v>601.802087421871</v>
      </c>
      <c r="D10" s="10" t="n">
        <f aca="false">'Data BoP'!G10</f>
        <v>2424.5</v>
      </c>
      <c r="E10" s="10" t="n">
        <f aca="false">'Data BoP'!H10</f>
        <v>11178.1</v>
      </c>
      <c r="F10" s="10" t="n">
        <f aca="false">'Data BoP'!I10</f>
        <v>8753.6</v>
      </c>
      <c r="G10" s="10" t="n">
        <f aca="false">'Data BoP'!J10</f>
        <v>-96.7307768281007</v>
      </c>
      <c r="H10" s="10" t="n">
        <f aca="false">'Data BoP'!K10</f>
        <v>2600.12971883191</v>
      </c>
      <c r="I10" s="10" t="n">
        <f aca="false">'Data BoP'!L10</f>
        <v>2696.86049566001</v>
      </c>
      <c r="J10" s="10" t="n">
        <f aca="false">'Data BoP'!M10</f>
        <v>-1957.66188985221</v>
      </c>
      <c r="K10" s="10" t="n">
        <f aca="false">'Data BoP'!N10</f>
        <v>-17.7183264737642</v>
      </c>
      <c r="L10" s="10" t="n">
        <f aca="false">'Data BoP'!O10</f>
        <v>-1939.94356337844</v>
      </c>
      <c r="M10" s="10" t="n">
        <f aca="false">'Data BoP'!P10</f>
        <v>-1443.21631892541</v>
      </c>
      <c r="N10" s="10" t="n">
        <f aca="false">'Data BoP'!Q10</f>
        <v>-829.191259648879</v>
      </c>
      <c r="O10" s="10" t="n">
        <f aca="false">'Data BoP'!R10</f>
        <v>-29.505300049627</v>
      </c>
      <c r="P10" s="10" t="n">
        <f aca="false">'Data BoP'!AO10</f>
        <v>361.969315245478</v>
      </c>
      <c r="Q10" s="10" t="n">
        <f aca="false">'Data BoP'!S10</f>
        <v>231.694754102176</v>
      </c>
      <c r="R10" s="10" t="n">
        <f aca="false">'Data BoP'!T10</f>
        <v>11.5</v>
      </c>
      <c r="T10" s="14" t="str">
        <f aca="false">'Data BoP'!B10</f>
        <v>2007-Q1</v>
      </c>
      <c r="U10" s="15" t="n">
        <f aca="false">('Data BoP'!E7)+('Data BoP'!E8)+('Data BoP'!E9)+('Data BoP'!E10)</f>
        <v>6397.33773409391</v>
      </c>
      <c r="V10" s="10" t="n">
        <f aca="false">('Data BoP'!G7)+('Data BoP'!G8)+('Data BoP'!G9)+('Data BoP'!G10)</f>
        <v>13547.8</v>
      </c>
      <c r="W10" s="10" t="n">
        <f aca="false">('Data BoP'!H7)+('Data BoP'!H8)+('Data BoP'!H9)+('Data BoP'!H10)</f>
        <v>47850</v>
      </c>
      <c r="X10" s="10" t="n">
        <f aca="false">('Data BoP'!I7)+('Data BoP'!I8)+('Data BoP'!I9)+('Data BoP'!I10)</f>
        <v>34302.2</v>
      </c>
      <c r="Y10" s="10" t="n">
        <f aca="false">('Data BoP'!J7)+('Data BoP'!J8)+('Data BoP'!J9)+('Data BoP'!J10)</f>
        <v>-644.464145941131</v>
      </c>
      <c r="Z10" s="10" t="n">
        <f aca="false">('Data BoP'!K7)+('Data BoP'!K8)+('Data BoP'!K9)+('Data BoP'!K10)</f>
        <v>8566.00727146751</v>
      </c>
      <c r="AA10" s="10" t="n">
        <f aca="false">('Data BoP'!L7)+('Data BoP'!L8)+('Data BoP'!L9)+('Data BoP'!L10)</f>
        <v>9210.47141740864</v>
      </c>
      <c r="AB10" s="10" t="n">
        <f aca="false">('Data BoP'!M7)+('Data BoP'!M8)+('Data BoP'!M9)+('Data BoP'!M10)</f>
        <v>-7502.52301335343</v>
      </c>
      <c r="AC10" s="10" t="n">
        <f aca="false">('Data BoP'!N7)+('Data BoP'!N8)+('Data BoP'!N9)+('Data BoP'!N10)</f>
        <v>-65.3326289608461</v>
      </c>
      <c r="AD10" s="10" t="n">
        <f aca="false">('Data BoP'!O7)+('Data BoP'!O8)+('Data BoP'!O9)+('Data BoP'!O10)</f>
        <v>-7437.19038439258</v>
      </c>
      <c r="AE10" s="10" t="n">
        <f aca="false">('Data BoP'!P7)+('Data BoP'!P8)+('Data BoP'!P9)+('Data BoP'!P10)</f>
        <v>-5377.56306674306</v>
      </c>
      <c r="AF10" s="10" t="n">
        <f aca="false">('Data BoP'!Q7)+('Data BoP'!Q8)+('Data BoP'!Q9)+('Data BoP'!Q10)</f>
        <v>-3106.19738373921</v>
      </c>
      <c r="AG10" s="10" t="n">
        <f aca="false">('Data BoP'!R7)+('Data BoP'!R8)+('Data BoP'!R9)+('Data BoP'!R10)</f>
        <v>-125.934737243807</v>
      </c>
      <c r="AH10" s="10" t="n">
        <f aca="false">('Data BoP'!AO7)+('Data BoP'!AO8)+('Data BoP'!AO9)+('Data BoP'!AO10)</f>
        <v>1172.5048033335</v>
      </c>
      <c r="AI10" s="10" t="n">
        <f aca="false">('Data BoP'!S7)+('Data BoP'!S8)+('Data BoP'!S9)+('Data BoP'!S10)</f>
        <v>996.524893388454</v>
      </c>
      <c r="AJ10" s="10" t="n">
        <f aca="false">('Data BoP'!T7)+('Data BoP'!T8)+('Data BoP'!T9)+('Data BoP'!T10)</f>
        <v>98.7243278048008</v>
      </c>
    </row>
    <row r="11" customFormat="false" ht="15" hidden="false" customHeight="false" outlineLevel="0" collapsed="false">
      <c r="B11" s="14" t="str">
        <f aca="false">'Data BoP'!B11</f>
        <v>2007-Q2</v>
      </c>
      <c r="C11" s="15" t="n">
        <f aca="false">'Data BoP'!E11</f>
        <v>2026.19055518011</v>
      </c>
      <c r="D11" s="10" t="n">
        <f aca="false">'Data BoP'!G11</f>
        <v>3984.2</v>
      </c>
      <c r="E11" s="10" t="n">
        <f aca="false">'Data BoP'!H11</f>
        <v>13693.2</v>
      </c>
      <c r="F11" s="10" t="n">
        <f aca="false">'Data BoP'!I11</f>
        <v>9709</v>
      </c>
      <c r="G11" s="10" t="n">
        <f aca="false">'Data BoP'!J11</f>
        <v>-361.949674149022</v>
      </c>
      <c r="H11" s="10" t="n">
        <f aca="false">'Data BoP'!K11</f>
        <v>2154.1851770688</v>
      </c>
      <c r="I11" s="10" t="n">
        <f aca="false">'Data BoP'!L11</f>
        <v>2516.13485121782</v>
      </c>
      <c r="J11" s="10" t="n">
        <f aca="false">'Data BoP'!M11</f>
        <v>-1881.32894824595</v>
      </c>
      <c r="K11" s="10" t="n">
        <f aca="false">'Data BoP'!N11</f>
        <v>-15.892115460911</v>
      </c>
      <c r="L11" s="10" t="n">
        <f aca="false">'Data BoP'!O11</f>
        <v>-1865.43683278504</v>
      </c>
      <c r="M11" s="10" t="n">
        <f aca="false">'Data BoP'!P11</f>
        <v>-1416.40474664762</v>
      </c>
      <c r="N11" s="10" t="n">
        <f aca="false">'Data BoP'!Q11</f>
        <v>-857.363522845087</v>
      </c>
      <c r="O11" s="10" t="n">
        <f aca="false">'Data BoP'!R11</f>
        <v>-42.1552516040194</v>
      </c>
      <c r="P11" s="10" t="n">
        <f aca="false">'Data BoP'!AO11</f>
        <v>450.486688311688</v>
      </c>
      <c r="Q11" s="10" t="n">
        <f aca="false">'Data BoP'!S11</f>
        <v>285.26917757508</v>
      </c>
      <c r="R11" s="10" t="n">
        <f aca="false">'Data BoP'!T11</f>
        <v>6.68319644540191</v>
      </c>
      <c r="T11" s="14" t="str">
        <f aca="false">'Data BoP'!B11</f>
        <v>2007-Q2</v>
      </c>
      <c r="U11" s="15" t="n">
        <f aca="false">('Data BoP'!E8)+('Data BoP'!E9)+('Data BoP'!E10)+('Data BoP'!E11)</f>
        <v>6506.93383809467</v>
      </c>
      <c r="V11" s="10" t="n">
        <f aca="false">('Data BoP'!G8)+('Data BoP'!G9)+('Data BoP'!G10)+('Data BoP'!G11)</f>
        <v>13408.5</v>
      </c>
      <c r="W11" s="10" t="n">
        <f aca="false">('Data BoP'!H8)+('Data BoP'!H9)+('Data BoP'!H10)+('Data BoP'!H11)</f>
        <v>49562.9</v>
      </c>
      <c r="X11" s="10" t="n">
        <f aca="false">('Data BoP'!I8)+('Data BoP'!I9)+('Data BoP'!I10)+('Data BoP'!I11)</f>
        <v>36154.4</v>
      </c>
      <c r="Y11" s="10" t="n">
        <f aca="false">('Data BoP'!J8)+('Data BoP'!J9)+('Data BoP'!J10)+('Data BoP'!J11)</f>
        <v>-686.121852650294</v>
      </c>
      <c r="Z11" s="10" t="n">
        <f aca="false">('Data BoP'!K8)+('Data BoP'!K9)+('Data BoP'!K10)+('Data BoP'!K11)</f>
        <v>9007.2736349636</v>
      </c>
      <c r="AA11" s="10" t="n">
        <f aca="false">('Data BoP'!L8)+('Data BoP'!L9)+('Data BoP'!L10)+('Data BoP'!L11)</f>
        <v>9693.3954876139</v>
      </c>
      <c r="AB11" s="10" t="n">
        <f aca="false">('Data BoP'!M8)+('Data BoP'!M9)+('Data BoP'!M10)+('Data BoP'!M11)</f>
        <v>-7224.81189442602</v>
      </c>
      <c r="AC11" s="10" t="n">
        <f aca="false">('Data BoP'!N8)+('Data BoP'!N9)+('Data BoP'!N10)+('Data BoP'!N11)</f>
        <v>-62.8509914270593</v>
      </c>
      <c r="AD11" s="10" t="n">
        <f aca="false">('Data BoP'!O8)+('Data BoP'!O9)+('Data BoP'!O10)+('Data BoP'!O11)</f>
        <v>-7161.96090299896</v>
      </c>
      <c r="AE11" s="10" t="n">
        <f aca="false">('Data BoP'!P8)+('Data BoP'!P9)+('Data BoP'!P10)+('Data BoP'!P11)</f>
        <v>-5279.18283527252</v>
      </c>
      <c r="AF11" s="10" t="n">
        <f aca="false">('Data BoP'!Q8)+('Data BoP'!Q9)+('Data BoP'!Q10)+('Data BoP'!Q11)</f>
        <v>-3159.81793351475</v>
      </c>
      <c r="AG11" s="10" t="n">
        <f aca="false">('Data BoP'!R8)+('Data BoP'!R9)+('Data BoP'!R10)+('Data BoP'!R11)</f>
        <v>-116.415469505094</v>
      </c>
      <c r="AH11" s="10" t="n">
        <f aca="false">('Data BoP'!AO8)+('Data BoP'!AO9)+('Data BoP'!AO10)+('Data BoP'!AO11)</f>
        <v>1393.45533529339</v>
      </c>
      <c r="AI11" s="10" t="n">
        <f aca="false">('Data BoP'!S8)+('Data BoP'!S9)+('Data BoP'!S10)+('Data BoP'!S11)</f>
        <v>1009.36758517098</v>
      </c>
      <c r="AJ11" s="10" t="n">
        <f aca="false">('Data BoP'!T8)+('Data BoP'!T9)+('Data BoP'!T10)+('Data BoP'!T11)</f>
        <v>65.5075242502027</v>
      </c>
    </row>
    <row r="12" customFormat="false" ht="15" hidden="false" customHeight="false" outlineLevel="0" collapsed="false">
      <c r="B12" s="14" t="str">
        <f aca="false">'Data BoP'!B12</f>
        <v>2007-Q3</v>
      </c>
      <c r="C12" s="15" t="n">
        <f aca="false">'Data BoP'!E12</f>
        <v>449.264826671577</v>
      </c>
      <c r="D12" s="10" t="n">
        <f aca="false">'Data BoP'!G12</f>
        <v>2346.262</v>
      </c>
      <c r="E12" s="10" t="n">
        <f aca="false">'Data BoP'!H12</f>
        <v>14388.562</v>
      </c>
      <c r="F12" s="10" t="n">
        <f aca="false">'Data BoP'!I12</f>
        <v>12042.3</v>
      </c>
      <c r="G12" s="10" t="n">
        <f aca="false">'Data BoP'!J12</f>
        <v>-482.472257949415</v>
      </c>
      <c r="H12" s="10" t="n">
        <f aca="false">'Data BoP'!K12</f>
        <v>2321.41186175029</v>
      </c>
      <c r="I12" s="10" t="n">
        <f aca="false">'Data BoP'!L12</f>
        <v>2803.88411969971</v>
      </c>
      <c r="J12" s="10" t="n">
        <f aca="false">'Data BoP'!M12</f>
        <v>-1665.61993150223</v>
      </c>
      <c r="K12" s="10" t="n">
        <f aca="false">'Data BoP'!N12</f>
        <v>-19.4733355995358</v>
      </c>
      <c r="L12" s="10" t="n">
        <f aca="false">'Data BoP'!O12</f>
        <v>-1646.1465959027</v>
      </c>
      <c r="M12" s="10" t="n">
        <f aca="false">'Data BoP'!P12</f>
        <v>-1294.30579733474</v>
      </c>
      <c r="N12" s="10" t="n">
        <f aca="false">'Data BoP'!Q12</f>
        <v>-823.465904785086</v>
      </c>
      <c r="O12" s="10" t="n">
        <f aca="false">'Data BoP'!R12</f>
        <v>-25.8054670312789</v>
      </c>
      <c r="P12" s="10" t="n">
        <f aca="false">'Data BoP'!AO12</f>
        <v>497.430573248407</v>
      </c>
      <c r="Q12" s="10" t="n">
        <f aca="false">'Data BoP'!S12</f>
        <v>251.095016123226</v>
      </c>
      <c r="R12" s="10" t="n">
        <f aca="false">'Data BoP'!T12</f>
        <v>102.210715522771</v>
      </c>
      <c r="T12" s="14" t="str">
        <f aca="false">'Data BoP'!B12</f>
        <v>2007-Q3</v>
      </c>
      <c r="U12" s="15" t="n">
        <f aca="false">('Data BoP'!E9)+('Data BoP'!E10)+('Data BoP'!E11)+('Data BoP'!E12)</f>
        <v>5439.33218557157</v>
      </c>
      <c r="V12" s="10" t="n">
        <f aca="false">('Data BoP'!G9)+('Data BoP'!G10)+('Data BoP'!G11)+('Data BoP'!G12)</f>
        <v>12499.262</v>
      </c>
      <c r="W12" s="10" t="n">
        <f aca="false">('Data BoP'!H9)+('Data BoP'!H10)+('Data BoP'!H11)+('Data BoP'!H12)</f>
        <v>51824.662</v>
      </c>
      <c r="X12" s="10" t="n">
        <f aca="false">('Data BoP'!I9)+('Data BoP'!I10)+('Data BoP'!I11)+('Data BoP'!I12)</f>
        <v>39325.4</v>
      </c>
      <c r="Y12" s="10" t="n">
        <f aca="false">('Data BoP'!J9)+('Data BoP'!J10)+('Data BoP'!J11)+('Data BoP'!J12)</f>
        <v>-899.970100463726</v>
      </c>
      <c r="Z12" s="10" t="n">
        <f aca="false">('Data BoP'!K9)+('Data BoP'!K10)+('Data BoP'!K11)+('Data BoP'!K12)</f>
        <v>9429.83112748394</v>
      </c>
      <c r="AA12" s="10" t="n">
        <f aca="false">('Data BoP'!L9)+('Data BoP'!L10)+('Data BoP'!L11)+('Data BoP'!L12)</f>
        <v>10329.8012279477</v>
      </c>
      <c r="AB12" s="10" t="n">
        <f aca="false">('Data BoP'!M9)+('Data BoP'!M10)+('Data BoP'!M11)+('Data BoP'!M12)</f>
        <v>-7199.68827365737</v>
      </c>
      <c r="AC12" s="10" t="n">
        <f aca="false">('Data BoP'!N9)+('Data BoP'!N10)+('Data BoP'!N11)+('Data BoP'!N12)</f>
        <v>-66.7148421647718</v>
      </c>
      <c r="AD12" s="10" t="n">
        <f aca="false">('Data BoP'!O9)+('Data BoP'!O10)+('Data BoP'!O11)+('Data BoP'!O12)</f>
        <v>-7132.9734314926</v>
      </c>
      <c r="AE12" s="10" t="n">
        <f aca="false">('Data BoP'!P9)+('Data BoP'!P10)+('Data BoP'!P11)+('Data BoP'!P12)</f>
        <v>-5353.11355541283</v>
      </c>
      <c r="AF12" s="10" t="n">
        <f aca="false">('Data BoP'!Q9)+('Data BoP'!Q10)+('Data BoP'!Q11)+('Data BoP'!Q12)</f>
        <v>-3282.51510762866</v>
      </c>
      <c r="AG12" s="10" t="n">
        <f aca="false">('Data BoP'!R9)+('Data BoP'!R10)+('Data BoP'!R11)+('Data BoP'!R12)</f>
        <v>-115.024851750184</v>
      </c>
      <c r="AH12" s="10" t="n">
        <f aca="false">('Data BoP'!AO9)+('Data BoP'!AO10)+('Data BoP'!AO11)+('Data BoP'!AO12)</f>
        <v>1617.68008329908</v>
      </c>
      <c r="AI12" s="10" t="n">
        <f aca="false">('Data BoP'!S9)+('Data BoP'!S10)+('Data BoP'!S11)+('Data BoP'!S12)</f>
        <v>1039.72855969266</v>
      </c>
      <c r="AJ12" s="10" t="n">
        <f aca="false">('Data BoP'!T9)+('Data BoP'!T10)+('Data BoP'!T11)+('Data BoP'!T12)</f>
        <v>122.287827670731</v>
      </c>
    </row>
    <row r="13" customFormat="false" ht="15" hidden="false" customHeight="false" outlineLevel="0" collapsed="false">
      <c r="B13" s="14" t="str">
        <f aca="false">'Data BoP'!B13</f>
        <v>2007-Q4</v>
      </c>
      <c r="C13" s="15" t="n">
        <f aca="false">'Data BoP'!E13</f>
        <v>2971.28042361313</v>
      </c>
      <c r="D13" s="10" t="n">
        <f aca="false">'Data BoP'!G13</f>
        <v>4797.1</v>
      </c>
      <c r="E13" s="10" t="n">
        <f aca="false">'Data BoP'!H13</f>
        <v>16816.7</v>
      </c>
      <c r="F13" s="10" t="n">
        <f aca="false">'Data BoP'!I13</f>
        <v>12019.6</v>
      </c>
      <c r="G13" s="10" t="n">
        <f aca="false">'Data BoP'!J13</f>
        <v>-40.3293147847394</v>
      </c>
      <c r="H13" s="10" t="n">
        <f aca="false">'Data BoP'!K13</f>
        <v>2970.00973852471</v>
      </c>
      <c r="I13" s="10" t="n">
        <f aca="false">'Data BoP'!L13</f>
        <v>3010.33905330945</v>
      </c>
      <c r="J13" s="10" t="n">
        <f aca="false">'Data BoP'!M13</f>
        <v>-2090.0449938475</v>
      </c>
      <c r="K13" s="10" t="n">
        <f aca="false">'Data BoP'!N13</f>
        <v>-19.3831394088229</v>
      </c>
      <c r="L13" s="10" t="n">
        <f aca="false">'Data BoP'!O13</f>
        <v>-2070.66185443867</v>
      </c>
      <c r="M13" s="10" t="n">
        <f aca="false">'Data BoP'!P13</f>
        <v>-1643.93814558522</v>
      </c>
      <c r="N13" s="10" t="n">
        <f aca="false">'Data BoP'!Q13</f>
        <v>-768.973759943459</v>
      </c>
      <c r="O13" s="10" t="n">
        <f aca="false">'Data BoP'!R13</f>
        <v>-147.081459765394</v>
      </c>
      <c r="P13" s="10" t="n">
        <f aca="false">'Data BoP'!AO13</f>
        <v>489.3315108554</v>
      </c>
      <c r="Q13" s="10" t="n">
        <f aca="false">'Data BoP'!S13</f>
        <v>304.55473224537</v>
      </c>
      <c r="R13" s="10" t="n">
        <f aca="false">'Data BoP'!T13</f>
        <v>0.751977000000001</v>
      </c>
      <c r="T13" s="14" t="str">
        <f aca="false">'Data BoP'!B13</f>
        <v>2007-Q4</v>
      </c>
      <c r="U13" s="15" t="n">
        <f aca="false">('Data BoP'!E10)+('Data BoP'!E11)+('Data BoP'!E12)+('Data BoP'!E13)</f>
        <v>6048.53789288669</v>
      </c>
      <c r="V13" s="10" t="n">
        <f aca="false">('Data BoP'!G10)+('Data BoP'!G11)+('Data BoP'!G12)+('Data BoP'!G13)</f>
        <v>13552.062</v>
      </c>
      <c r="W13" s="10" t="n">
        <f aca="false">('Data BoP'!H10)+('Data BoP'!H11)+('Data BoP'!H12)+('Data BoP'!H13)</f>
        <v>56076.562</v>
      </c>
      <c r="X13" s="10" t="n">
        <f aca="false">('Data BoP'!I10)+('Data BoP'!I11)+('Data BoP'!I12)+('Data BoP'!I13)</f>
        <v>42524.5</v>
      </c>
      <c r="Y13" s="10" t="n">
        <f aca="false">('Data BoP'!J10)+('Data BoP'!J11)+('Data BoP'!J12)+('Data BoP'!J13)</f>
        <v>-981.482023711277</v>
      </c>
      <c r="Z13" s="10" t="n">
        <f aca="false">('Data BoP'!K10)+('Data BoP'!K11)+('Data BoP'!K12)+('Data BoP'!K13)</f>
        <v>10045.7364961757</v>
      </c>
      <c r="AA13" s="10" t="n">
        <f aca="false">('Data BoP'!L10)+('Data BoP'!L11)+('Data BoP'!L12)+('Data BoP'!L13)</f>
        <v>11027.218519887</v>
      </c>
      <c r="AB13" s="10" t="n">
        <f aca="false">('Data BoP'!M10)+('Data BoP'!M11)+('Data BoP'!M12)+('Data BoP'!M13)</f>
        <v>-7594.65576344788</v>
      </c>
      <c r="AC13" s="10" t="n">
        <f aca="false">('Data BoP'!N10)+('Data BoP'!N11)+('Data BoP'!N12)+('Data BoP'!N13)</f>
        <v>-72.4669169430338</v>
      </c>
      <c r="AD13" s="10" t="n">
        <f aca="false">('Data BoP'!O10)+('Data BoP'!O11)+('Data BoP'!O12)+('Data BoP'!O13)</f>
        <v>-7522.18884650485</v>
      </c>
      <c r="AE13" s="10" t="n">
        <f aca="false">('Data BoP'!P10)+('Data BoP'!P11)+('Data BoP'!P12)+('Data BoP'!P13)</f>
        <v>-5797.86500849299</v>
      </c>
      <c r="AF13" s="10" t="n">
        <f aca="false">('Data BoP'!Q10)+('Data BoP'!Q11)+('Data BoP'!Q12)+('Data BoP'!Q13)</f>
        <v>-3278.99444722251</v>
      </c>
      <c r="AG13" s="10" t="n">
        <f aca="false">('Data BoP'!R10)+('Data BoP'!R11)+('Data BoP'!R12)+('Data BoP'!R13)</f>
        <v>-244.547478450319</v>
      </c>
      <c r="AH13" s="10" t="n">
        <f aca="false">('Data BoP'!AO10)+('Data BoP'!AO11)+('Data BoP'!AO12)+('Data BoP'!AO13)</f>
        <v>1799.21808766097</v>
      </c>
      <c r="AI13" s="10" t="n">
        <f aca="false">('Data BoP'!S10)+('Data BoP'!S11)+('Data BoP'!S12)+('Data BoP'!S13)</f>
        <v>1072.61368004585</v>
      </c>
      <c r="AJ13" s="10" t="n">
        <f aca="false">('Data BoP'!T10)+('Data BoP'!T11)+('Data BoP'!T12)+('Data BoP'!T13)</f>
        <v>121.145888968173</v>
      </c>
    </row>
    <row r="14" customFormat="false" ht="15" hidden="false" customHeight="false" outlineLevel="0" collapsed="false">
      <c r="B14" s="14" t="str">
        <f aca="false">'Data BoP'!B14</f>
        <v>2008-Q1</v>
      </c>
      <c r="C14" s="15" t="n">
        <f aca="false">'Data BoP'!E14</f>
        <v>1323.2145641691</v>
      </c>
      <c r="D14" s="10" t="n">
        <f aca="false">'Data BoP'!G14</f>
        <v>3860.4</v>
      </c>
      <c r="E14" s="10" t="n">
        <f aca="false">'Data BoP'!H14</f>
        <v>16067.5</v>
      </c>
      <c r="F14" s="10" t="n">
        <f aca="false">'Data BoP'!I14</f>
        <v>12207.1</v>
      </c>
      <c r="G14" s="10" t="n">
        <f aca="false">'Data BoP'!J14</f>
        <v>-556.7722602209</v>
      </c>
      <c r="H14" s="10" t="n">
        <f aca="false">'Data BoP'!K14</f>
        <v>2943.99757674031</v>
      </c>
      <c r="I14" s="10" t="n">
        <f aca="false">'Data BoP'!L14</f>
        <v>3500.76983696121</v>
      </c>
      <c r="J14" s="10" t="n">
        <f aca="false">'Data BoP'!M14</f>
        <v>-2254.53847392727</v>
      </c>
      <c r="K14" s="10" t="n">
        <f aca="false">'Data BoP'!N14</f>
        <v>-12.7695771519373</v>
      </c>
      <c r="L14" s="10" t="n">
        <f aca="false">'Data BoP'!O14</f>
        <v>-2241.76889677534</v>
      </c>
      <c r="M14" s="10" t="n">
        <f aca="false">'Data BoP'!P14</f>
        <v>-1770.13249739243</v>
      </c>
      <c r="N14" s="10" t="n">
        <f aca="false">'Data BoP'!Q14</f>
        <v>-797.869133863475</v>
      </c>
      <c r="O14" s="10" t="n">
        <f aca="false">'Data BoP'!R14</f>
        <v>-121.013971992747</v>
      </c>
      <c r="P14" s="10" t="n">
        <f aca="false">'Data BoP'!AO14</f>
        <v>447.24670647332</v>
      </c>
      <c r="Q14" s="10" t="n">
        <f aca="false">'Data BoP'!S14</f>
        <v>274.125298317276</v>
      </c>
      <c r="R14" s="10" t="n">
        <f aca="false">'Data BoP'!T14</f>
        <v>43.631</v>
      </c>
      <c r="T14" s="14" t="str">
        <f aca="false">'Data BoP'!B14</f>
        <v>2008-Q1</v>
      </c>
      <c r="U14" s="15" t="n">
        <f aca="false">('Data BoP'!E11)+('Data BoP'!E12)+('Data BoP'!E13)+('Data BoP'!E14)</f>
        <v>6769.95036963392</v>
      </c>
      <c r="V14" s="10" t="n">
        <f aca="false">('Data BoP'!G11)+('Data BoP'!G12)+('Data BoP'!G13)+('Data BoP'!G14)</f>
        <v>14987.962</v>
      </c>
      <c r="W14" s="10" t="n">
        <f aca="false">('Data BoP'!H11)+('Data BoP'!H12)+('Data BoP'!H13)+('Data BoP'!H14)</f>
        <v>60965.962</v>
      </c>
      <c r="X14" s="10" t="n">
        <f aca="false">('Data BoP'!I11)+('Data BoP'!I12)+('Data BoP'!I13)+('Data BoP'!I14)</f>
        <v>45978</v>
      </c>
      <c r="Y14" s="10" t="n">
        <f aca="false">('Data BoP'!J11)+('Data BoP'!J12)+('Data BoP'!J13)+('Data BoP'!J14)</f>
        <v>-1441.52350710408</v>
      </c>
      <c r="Z14" s="10" t="n">
        <f aca="false">('Data BoP'!K11)+('Data BoP'!K12)+('Data BoP'!K13)+('Data BoP'!K14)</f>
        <v>10389.6043540841</v>
      </c>
      <c r="AA14" s="10" t="n">
        <f aca="false">('Data BoP'!L11)+('Data BoP'!L12)+('Data BoP'!L13)+('Data BoP'!L14)</f>
        <v>11831.1278611882</v>
      </c>
      <c r="AB14" s="10" t="n">
        <f aca="false">('Data BoP'!M11)+('Data BoP'!M12)+('Data BoP'!M13)+('Data BoP'!M14)</f>
        <v>-7891.53234752295</v>
      </c>
      <c r="AC14" s="10" t="n">
        <f aca="false">('Data BoP'!N11)+('Data BoP'!N12)+('Data BoP'!N13)+('Data BoP'!N14)</f>
        <v>-67.5181676212069</v>
      </c>
      <c r="AD14" s="10" t="n">
        <f aca="false">('Data BoP'!O11)+('Data BoP'!O12)+('Data BoP'!O13)+('Data BoP'!O14)</f>
        <v>-7824.01417990174</v>
      </c>
      <c r="AE14" s="10" t="n">
        <f aca="false">('Data BoP'!P11)+('Data BoP'!P12)+('Data BoP'!P13)+('Data BoP'!P14)</f>
        <v>-6124.78118696001</v>
      </c>
      <c r="AF14" s="10" t="n">
        <f aca="false">('Data BoP'!Q11)+('Data BoP'!Q12)+('Data BoP'!Q13)+('Data BoP'!Q14)</f>
        <v>-3247.67232143711</v>
      </c>
      <c r="AG14" s="10" t="n">
        <f aca="false">('Data BoP'!R11)+('Data BoP'!R12)+('Data BoP'!R13)+('Data BoP'!R14)</f>
        <v>-336.056150393438</v>
      </c>
      <c r="AH14" s="10" t="n">
        <f aca="false">('Data BoP'!AO11)+('Data BoP'!AO12)+('Data BoP'!AO13)+('Data BoP'!AO14)</f>
        <v>1884.49547888882</v>
      </c>
      <c r="AI14" s="10" t="n">
        <f aca="false">('Data BoP'!S11)+('Data BoP'!S12)+('Data BoP'!S13)+('Data BoP'!S14)</f>
        <v>1115.04422426095</v>
      </c>
      <c r="AJ14" s="10" t="n">
        <f aca="false">('Data BoP'!T11)+('Data BoP'!T12)+('Data BoP'!T13)+('Data BoP'!T14)</f>
        <v>153.276888968173</v>
      </c>
    </row>
    <row r="15" customFormat="false" ht="15" hidden="false" customHeight="false" outlineLevel="0" collapsed="false">
      <c r="B15" s="14" t="str">
        <f aca="false">'Data BoP'!B15</f>
        <v>2008-Q2</v>
      </c>
      <c r="C15" s="15" t="n">
        <f aca="false">'Data BoP'!E15</f>
        <v>319.259793938225</v>
      </c>
      <c r="D15" s="10" t="n">
        <f aca="false">'Data BoP'!G15</f>
        <v>2942.3</v>
      </c>
      <c r="E15" s="10" t="n">
        <f aca="false">'Data BoP'!H15</f>
        <v>17526.3</v>
      </c>
      <c r="F15" s="10" t="n">
        <f aca="false">'Data BoP'!I15</f>
        <v>14584</v>
      </c>
      <c r="G15" s="10" t="n">
        <f aca="false">'Data BoP'!J15</f>
        <v>-706.837441177241</v>
      </c>
      <c r="H15" s="10" t="n">
        <f aca="false">'Data BoP'!K15</f>
        <v>2579.42813442157</v>
      </c>
      <c r="I15" s="10" t="n">
        <f aca="false">'Data BoP'!L15</f>
        <v>3286.26557559881</v>
      </c>
      <c r="J15" s="10" t="n">
        <f aca="false">'Data BoP'!M15</f>
        <v>-2229.82942429935</v>
      </c>
      <c r="K15" s="10" t="n">
        <f aca="false">'Data BoP'!N15</f>
        <v>-15.4034538016475</v>
      </c>
      <c r="L15" s="10" t="n">
        <f aca="false">'Data BoP'!O15</f>
        <v>-2214.4259704977</v>
      </c>
      <c r="M15" s="10" t="n">
        <f aca="false">'Data BoP'!P15</f>
        <v>-1575.9096449144</v>
      </c>
      <c r="N15" s="10" t="n">
        <f aca="false">'Data BoP'!Q15</f>
        <v>-866.319091273272</v>
      </c>
      <c r="O15" s="10" t="n">
        <f aca="false">'Data BoP'!R15</f>
        <v>-160.938058329606</v>
      </c>
      <c r="P15" s="10" t="n">
        <f aca="false">'Data BoP'!AO15</f>
        <v>388.740824019576</v>
      </c>
      <c r="Q15" s="10" t="n">
        <f aca="false">'Data BoP'!S15</f>
        <v>313.626659414817</v>
      </c>
      <c r="R15" s="10" t="n">
        <f aca="false">'Data BoP'!T15</f>
        <v>14.7511447920026</v>
      </c>
      <c r="T15" s="14" t="str">
        <f aca="false">'Data BoP'!B15</f>
        <v>2008-Q2</v>
      </c>
      <c r="U15" s="15" t="n">
        <f aca="false">('Data BoP'!E12)+('Data BoP'!E13)+('Data BoP'!E14)+('Data BoP'!E15)</f>
        <v>5063.01960839204</v>
      </c>
      <c r="V15" s="10" t="n">
        <f aca="false">('Data BoP'!G12)+('Data BoP'!G13)+('Data BoP'!G14)+('Data BoP'!G15)</f>
        <v>13946.062</v>
      </c>
      <c r="W15" s="10" t="n">
        <f aca="false">('Data BoP'!H12)+('Data BoP'!H13)+('Data BoP'!H14)+('Data BoP'!H15)</f>
        <v>64799.062</v>
      </c>
      <c r="X15" s="10" t="n">
        <f aca="false">('Data BoP'!I12)+('Data BoP'!I13)+('Data BoP'!I14)+('Data BoP'!I15)</f>
        <v>50853</v>
      </c>
      <c r="Y15" s="10" t="n">
        <f aca="false">('Data BoP'!J12)+('Data BoP'!J13)+('Data BoP'!J14)+('Data BoP'!J15)</f>
        <v>-1786.4112741323</v>
      </c>
      <c r="Z15" s="10" t="n">
        <f aca="false">('Data BoP'!K12)+('Data BoP'!K13)+('Data BoP'!K14)+('Data BoP'!K15)</f>
        <v>10814.8473114369</v>
      </c>
      <c r="AA15" s="10" t="n">
        <f aca="false">('Data BoP'!L12)+('Data BoP'!L13)+('Data BoP'!L14)+('Data BoP'!L15)</f>
        <v>12601.2585855692</v>
      </c>
      <c r="AB15" s="10" t="n">
        <f aca="false">('Data BoP'!M12)+('Data BoP'!M13)+('Data BoP'!M14)+('Data BoP'!M15)</f>
        <v>-8240.03282357635</v>
      </c>
      <c r="AC15" s="10" t="n">
        <f aca="false">('Data BoP'!N12)+('Data BoP'!N13)+('Data BoP'!N14)+('Data BoP'!N15)</f>
        <v>-67.0295059619435</v>
      </c>
      <c r="AD15" s="10" t="n">
        <f aca="false">('Data BoP'!O12)+('Data BoP'!O13)+('Data BoP'!O14)+('Data BoP'!O15)</f>
        <v>-8173.00331761441</v>
      </c>
      <c r="AE15" s="10" t="n">
        <f aca="false">('Data BoP'!P12)+('Data BoP'!P13)+('Data BoP'!P14)+('Data BoP'!P15)</f>
        <v>-6284.2860852268</v>
      </c>
      <c r="AF15" s="10" t="n">
        <f aca="false">('Data BoP'!Q12)+('Data BoP'!Q13)+('Data BoP'!Q14)+('Data BoP'!Q15)</f>
        <v>-3256.62788986529</v>
      </c>
      <c r="AG15" s="10" t="n">
        <f aca="false">('Data BoP'!R12)+('Data BoP'!R13)+('Data BoP'!R14)+('Data BoP'!R15)</f>
        <v>-454.838957119025</v>
      </c>
      <c r="AH15" s="10" t="n">
        <f aca="false">('Data BoP'!AO12)+('Data BoP'!AO13)+('Data BoP'!AO14)+('Data BoP'!AO15)</f>
        <v>1822.7496145967</v>
      </c>
      <c r="AI15" s="10" t="n">
        <f aca="false">('Data BoP'!S12)+('Data BoP'!S13)+('Data BoP'!S14)+('Data BoP'!S15)</f>
        <v>1143.40170610069</v>
      </c>
      <c r="AJ15" s="10" t="n">
        <f aca="false">('Data BoP'!T12)+('Data BoP'!T13)+('Data BoP'!T14)+('Data BoP'!T15)</f>
        <v>161.344837314774</v>
      </c>
    </row>
    <row r="16" customFormat="false" ht="15" hidden="false" customHeight="false" outlineLevel="0" collapsed="false">
      <c r="B16" s="14" t="str">
        <f aca="false">'Data BoP'!B16</f>
        <v>2008-Q3</v>
      </c>
      <c r="C16" s="15" t="n">
        <f aca="false">'Data BoP'!E16</f>
        <v>2991.91882026738</v>
      </c>
      <c r="D16" s="10" t="n">
        <f aca="false">'Data BoP'!G16</f>
        <v>5658.472</v>
      </c>
      <c r="E16" s="10" t="n">
        <f aca="false">'Data BoP'!H16</f>
        <v>21338.372</v>
      </c>
      <c r="F16" s="10" t="n">
        <f aca="false">'Data BoP'!I16</f>
        <v>15679.9</v>
      </c>
      <c r="G16" s="10" t="n">
        <f aca="false">'Data BoP'!J16</f>
        <v>-699.55743265897</v>
      </c>
      <c r="H16" s="10" t="n">
        <f aca="false">'Data BoP'!K16</f>
        <v>2838.16101860859</v>
      </c>
      <c r="I16" s="10" t="n">
        <f aca="false">'Data BoP'!L16</f>
        <v>3537.71845126756</v>
      </c>
      <c r="J16" s="10" t="n">
        <f aca="false">'Data BoP'!M16</f>
        <v>-2226.49065358187</v>
      </c>
      <c r="K16" s="10" t="n">
        <f aca="false">'Data BoP'!N16</f>
        <v>-17.4486576955325</v>
      </c>
      <c r="L16" s="10" t="n">
        <f aca="false">'Data BoP'!O16</f>
        <v>-2209.04199588634</v>
      </c>
      <c r="M16" s="10" t="n">
        <f aca="false">'Data BoP'!P16</f>
        <v>-1641.98652415695</v>
      </c>
      <c r="N16" s="10" t="n">
        <f aca="false">'Data BoP'!Q16</f>
        <v>-740.699016189923</v>
      </c>
      <c r="O16" s="10" t="n">
        <f aca="false">'Data BoP'!R16</f>
        <v>-132.02733918907</v>
      </c>
      <c r="P16" s="10" t="n">
        <f aca="false">'Data BoP'!AO16</f>
        <v>305.670883649607</v>
      </c>
      <c r="Q16" s="10" t="n">
        <f aca="false">'Data BoP'!S16</f>
        <v>259.494906508216</v>
      </c>
      <c r="R16" s="10" t="n">
        <f aca="false">'Data BoP'!T16</f>
        <v>123.8</v>
      </c>
      <c r="T16" s="14" t="str">
        <f aca="false">'Data BoP'!B16</f>
        <v>2008-Q3</v>
      </c>
      <c r="U16" s="15" t="n">
        <f aca="false">('Data BoP'!E13)+('Data BoP'!E14)+('Data BoP'!E15)+('Data BoP'!E16)</f>
        <v>7605.67360198784</v>
      </c>
      <c r="V16" s="10" t="n">
        <f aca="false">('Data BoP'!G13)+('Data BoP'!G14)+('Data BoP'!G15)+('Data BoP'!G16)</f>
        <v>17258.272</v>
      </c>
      <c r="W16" s="10" t="n">
        <f aca="false">('Data BoP'!H13)+('Data BoP'!H14)+('Data BoP'!H15)+('Data BoP'!H16)</f>
        <v>71748.872</v>
      </c>
      <c r="X16" s="10" t="n">
        <f aca="false">('Data BoP'!I13)+('Data BoP'!I14)+('Data BoP'!I15)+('Data BoP'!I16)</f>
        <v>54490.6</v>
      </c>
      <c r="Y16" s="10" t="n">
        <f aca="false">('Data BoP'!J13)+('Data BoP'!J14)+('Data BoP'!J15)+('Data BoP'!J16)</f>
        <v>-2003.49644884185</v>
      </c>
      <c r="Z16" s="10" t="n">
        <f aca="false">('Data BoP'!K13)+('Data BoP'!K14)+('Data BoP'!K15)+('Data BoP'!K16)</f>
        <v>11331.5964682952</v>
      </c>
      <c r="AA16" s="10" t="n">
        <f aca="false">('Data BoP'!L13)+('Data BoP'!L14)+('Data BoP'!L15)+('Data BoP'!L16)</f>
        <v>13335.092917137</v>
      </c>
      <c r="AB16" s="10" t="n">
        <f aca="false">('Data BoP'!M13)+('Data BoP'!M14)+('Data BoP'!M15)+('Data BoP'!M16)</f>
        <v>-8800.90354565599</v>
      </c>
      <c r="AC16" s="10" t="n">
        <f aca="false">('Data BoP'!N13)+('Data BoP'!N14)+('Data BoP'!N15)+('Data BoP'!N16)</f>
        <v>-65.0048280579402</v>
      </c>
      <c r="AD16" s="10" t="n">
        <f aca="false">('Data BoP'!O13)+('Data BoP'!O14)+('Data BoP'!O15)+('Data BoP'!O16)</f>
        <v>-8735.89871759805</v>
      </c>
      <c r="AE16" s="10" t="n">
        <f aca="false">('Data BoP'!P13)+('Data BoP'!P14)+('Data BoP'!P15)+('Data BoP'!P16)</f>
        <v>-6631.96681204901</v>
      </c>
      <c r="AF16" s="10" t="n">
        <f aca="false">('Data BoP'!Q13)+('Data BoP'!Q14)+('Data BoP'!Q15)+('Data BoP'!Q16)</f>
        <v>-3173.86100127013</v>
      </c>
      <c r="AG16" s="10" t="n">
        <f aca="false">('Data BoP'!R13)+('Data BoP'!R14)+('Data BoP'!R15)+('Data BoP'!R16)</f>
        <v>-561.060829276816</v>
      </c>
      <c r="AH16" s="10" t="n">
        <f aca="false">('Data BoP'!AO13)+('Data BoP'!AO14)+('Data BoP'!AO15)+('Data BoP'!AO16)</f>
        <v>1630.9899249979</v>
      </c>
      <c r="AI16" s="10" t="n">
        <f aca="false">('Data BoP'!S13)+('Data BoP'!S14)+('Data BoP'!S15)+('Data BoP'!S16)</f>
        <v>1151.80159648568</v>
      </c>
      <c r="AJ16" s="10" t="n">
        <f aca="false">('Data BoP'!T13)+('Data BoP'!T14)+('Data BoP'!T15)+('Data BoP'!T16)</f>
        <v>182.934121792003</v>
      </c>
    </row>
    <row r="17" customFormat="false" ht="15" hidden="false" customHeight="false" outlineLevel="0" collapsed="false">
      <c r="B17" s="14" t="str">
        <f aca="false">'Data BoP'!B17</f>
        <v>2008-Q4</v>
      </c>
      <c r="C17" s="15" t="n">
        <f aca="false">'Data BoP'!E17</f>
        <v>786.813150235379</v>
      </c>
      <c r="D17" s="10" t="n">
        <f aca="false">'Data BoP'!G17</f>
        <v>3102.1</v>
      </c>
      <c r="E17" s="10" t="n">
        <f aca="false">'Data BoP'!H17</f>
        <v>15227.3</v>
      </c>
      <c r="F17" s="10" t="n">
        <f aca="false">'Data BoP'!I17</f>
        <v>12125.2</v>
      </c>
      <c r="G17" s="10" t="n">
        <f aca="false">'Data BoP'!J17</f>
        <v>-259.167892646136</v>
      </c>
      <c r="H17" s="10" t="n">
        <f aca="false">'Data BoP'!K17</f>
        <v>3062.56234200586</v>
      </c>
      <c r="I17" s="10" t="n">
        <f aca="false">'Data BoP'!L17</f>
        <v>3321.73023465199</v>
      </c>
      <c r="J17" s="10" t="n">
        <f aca="false">'Data BoP'!M17</f>
        <v>-2323.3321482299</v>
      </c>
      <c r="K17" s="10" t="n">
        <f aca="false">'Data BoP'!N17</f>
        <v>-6.01997710556925</v>
      </c>
      <c r="L17" s="10" t="n">
        <f aca="false">'Data BoP'!O17</f>
        <v>-2317.31217112434</v>
      </c>
      <c r="M17" s="10" t="n">
        <f aca="false">'Data BoP'!P17</f>
        <v>-1591.50954522342</v>
      </c>
      <c r="N17" s="10" t="n">
        <f aca="false">'Data BoP'!Q17</f>
        <v>-678.935220911981</v>
      </c>
      <c r="O17" s="10" t="n">
        <f aca="false">'Data BoP'!R17</f>
        <v>-276.47159759397</v>
      </c>
      <c r="P17" s="10" t="n">
        <f aca="false">'Data BoP'!AO17</f>
        <v>229.604192605032</v>
      </c>
      <c r="Q17" s="10" t="n">
        <f aca="false">'Data BoP'!S17</f>
        <v>267.213191111418</v>
      </c>
      <c r="R17" s="10" t="n">
        <f aca="false">'Data BoP'!T17</f>
        <v>2.87787193487515</v>
      </c>
      <c r="T17" s="14" t="str">
        <f aca="false">'Data BoP'!B17</f>
        <v>2008-Q4</v>
      </c>
      <c r="U17" s="15" t="n">
        <f aca="false">('Data BoP'!E14)+('Data BoP'!E15)+('Data BoP'!E16)+('Data BoP'!E17)</f>
        <v>5421.20632861009</v>
      </c>
      <c r="V17" s="10" t="n">
        <f aca="false">('Data BoP'!G14)+('Data BoP'!G15)+('Data BoP'!G16)+('Data BoP'!G17)</f>
        <v>15563.272</v>
      </c>
      <c r="W17" s="10" t="n">
        <f aca="false">('Data BoP'!H14)+('Data BoP'!H15)+('Data BoP'!H16)+('Data BoP'!H17)</f>
        <v>70159.472</v>
      </c>
      <c r="X17" s="10" t="n">
        <f aca="false">('Data BoP'!I14)+('Data BoP'!I15)+('Data BoP'!I16)+('Data BoP'!I17)</f>
        <v>54596.2</v>
      </c>
      <c r="Y17" s="10" t="n">
        <f aca="false">('Data BoP'!J14)+('Data BoP'!J15)+('Data BoP'!J16)+('Data BoP'!J17)</f>
        <v>-2222.33502670325</v>
      </c>
      <c r="Z17" s="10" t="n">
        <f aca="false">('Data BoP'!K14)+('Data BoP'!K15)+('Data BoP'!K16)+('Data BoP'!K17)</f>
        <v>11424.1490717763</v>
      </c>
      <c r="AA17" s="10" t="n">
        <f aca="false">('Data BoP'!L14)+('Data BoP'!L15)+('Data BoP'!L16)+('Data BoP'!L17)</f>
        <v>13646.4840984796</v>
      </c>
      <c r="AB17" s="10" t="n">
        <f aca="false">('Data BoP'!M14)+('Data BoP'!M15)+('Data BoP'!M16)+('Data BoP'!M17)</f>
        <v>-9034.1907000384</v>
      </c>
      <c r="AC17" s="10" t="n">
        <f aca="false">('Data BoP'!N14)+('Data BoP'!N15)+('Data BoP'!N16)+('Data BoP'!N17)</f>
        <v>-51.6416657546866</v>
      </c>
      <c r="AD17" s="10" t="n">
        <f aca="false">('Data BoP'!O14)+('Data BoP'!O15)+('Data BoP'!O16)+('Data BoP'!O17)</f>
        <v>-8982.54903428371</v>
      </c>
      <c r="AE17" s="10" t="n">
        <f aca="false">('Data BoP'!P14)+('Data BoP'!P15)+('Data BoP'!P16)+('Data BoP'!P17)</f>
        <v>-6579.5382116872</v>
      </c>
      <c r="AF17" s="10" t="n">
        <f aca="false">('Data BoP'!Q14)+('Data BoP'!Q15)+('Data BoP'!Q16)+('Data BoP'!Q17)</f>
        <v>-3083.82246223865</v>
      </c>
      <c r="AG17" s="10" t="n">
        <f aca="false">('Data BoP'!R14)+('Data BoP'!R15)+('Data BoP'!R16)+('Data BoP'!R17)</f>
        <v>-690.450967105392</v>
      </c>
      <c r="AH17" s="10" t="n">
        <f aca="false">('Data BoP'!AO14)+('Data BoP'!AO15)+('Data BoP'!AO16)+('Data BoP'!AO17)</f>
        <v>1371.26260674753</v>
      </c>
      <c r="AI17" s="10" t="n">
        <f aca="false">('Data BoP'!S14)+('Data BoP'!S15)+('Data BoP'!S16)+('Data BoP'!S17)</f>
        <v>1114.46005535173</v>
      </c>
      <c r="AJ17" s="10" t="n">
        <f aca="false">('Data BoP'!T14)+('Data BoP'!T15)+('Data BoP'!T16)+('Data BoP'!T17)</f>
        <v>185.060016726878</v>
      </c>
    </row>
    <row r="18" customFormat="false" ht="15" hidden="false" customHeight="false" outlineLevel="0" collapsed="false">
      <c r="B18" s="14" t="str">
        <f aca="false">'Data BoP'!B18</f>
        <v>2009-Q1</v>
      </c>
      <c r="C18" s="15" t="n">
        <f aca="false">'Data BoP'!E18</f>
        <v>1190.69155436822</v>
      </c>
      <c r="D18" s="10" t="n">
        <f aca="false">'Data BoP'!G18</f>
        <v>3998.7</v>
      </c>
      <c r="E18" s="10" t="n">
        <f aca="false">'Data BoP'!H18</f>
        <v>11954.2</v>
      </c>
      <c r="F18" s="10" t="n">
        <f aca="false">'Data BoP'!I18</f>
        <v>7955.5</v>
      </c>
      <c r="G18" s="10" t="n">
        <f aca="false">'Data BoP'!J18</f>
        <v>-630.80834364038</v>
      </c>
      <c r="H18" s="10" t="n">
        <f aca="false">'Data BoP'!K18</f>
        <v>2755.1961460775</v>
      </c>
      <c r="I18" s="10" t="n">
        <f aca="false">'Data BoP'!L18</f>
        <v>3386.00448971788</v>
      </c>
      <c r="J18" s="10" t="n">
        <f aca="false">'Data BoP'!M18</f>
        <v>-2372.68264403296</v>
      </c>
      <c r="K18" s="10" t="n">
        <f aca="false">'Data BoP'!N18</f>
        <v>-9.95658286175428</v>
      </c>
      <c r="L18" s="10" t="n">
        <f aca="false">'Data BoP'!O18</f>
        <v>-2362.7260611712</v>
      </c>
      <c r="M18" s="10" t="n">
        <f aca="false">'Data BoP'!P18</f>
        <v>-1760.21537281162</v>
      </c>
      <c r="N18" s="10" t="n">
        <f aca="false">'Data BoP'!Q18</f>
        <v>-478.925679731796</v>
      </c>
      <c r="O18" s="10" t="n">
        <f aca="false">'Data BoP'!R18</f>
        <v>-239.123179401991</v>
      </c>
      <c r="P18" s="10" t="n">
        <f aca="false">'Data BoP'!AO18</f>
        <v>115.538170774203</v>
      </c>
      <c r="Q18" s="10" t="n">
        <f aca="false">'Data BoP'!S18</f>
        <v>195.482542041553</v>
      </c>
      <c r="R18" s="10" t="n">
        <f aca="false">'Data BoP'!T18</f>
        <v>22.0682967734612</v>
      </c>
      <c r="T18" s="14" t="str">
        <f aca="false">'Data BoP'!B18</f>
        <v>2009-Q1</v>
      </c>
      <c r="U18" s="15" t="n">
        <f aca="false">('Data BoP'!E15)+('Data BoP'!E16)+('Data BoP'!E17)+('Data BoP'!E18)</f>
        <v>5288.6833188092</v>
      </c>
      <c r="V18" s="10" t="n">
        <f aca="false">('Data BoP'!G15)+('Data BoP'!G16)+('Data BoP'!G17)+('Data BoP'!G18)</f>
        <v>15701.572</v>
      </c>
      <c r="W18" s="10" t="n">
        <f aca="false">('Data BoP'!H15)+('Data BoP'!H16)+('Data BoP'!H17)+('Data BoP'!H18)</f>
        <v>66046.172</v>
      </c>
      <c r="X18" s="10" t="n">
        <f aca="false">('Data BoP'!I15)+('Data BoP'!I16)+('Data BoP'!I17)+('Data BoP'!I18)</f>
        <v>50344.6</v>
      </c>
      <c r="Y18" s="10" t="n">
        <f aca="false">('Data BoP'!J15)+('Data BoP'!J16)+('Data BoP'!J17)+('Data BoP'!J18)</f>
        <v>-2296.37111012273</v>
      </c>
      <c r="Z18" s="10" t="n">
        <f aca="false">('Data BoP'!K15)+('Data BoP'!K16)+('Data BoP'!K17)+('Data BoP'!K18)</f>
        <v>11235.3476411135</v>
      </c>
      <c r="AA18" s="10" t="n">
        <f aca="false">('Data BoP'!L15)+('Data BoP'!L16)+('Data BoP'!L17)+('Data BoP'!L18)</f>
        <v>13531.7187512362</v>
      </c>
      <c r="AB18" s="10" t="n">
        <f aca="false">('Data BoP'!M15)+('Data BoP'!M16)+('Data BoP'!M17)+('Data BoP'!M18)</f>
        <v>-9152.33487014408</v>
      </c>
      <c r="AC18" s="10" t="n">
        <f aca="false">('Data BoP'!N15)+('Data BoP'!N16)+('Data BoP'!N17)+('Data BoP'!N18)</f>
        <v>-48.8286714645036</v>
      </c>
      <c r="AD18" s="10" t="n">
        <f aca="false">('Data BoP'!O15)+('Data BoP'!O16)+('Data BoP'!O17)+('Data BoP'!O18)</f>
        <v>-9103.50619867958</v>
      </c>
      <c r="AE18" s="10" t="n">
        <f aca="false">('Data BoP'!P15)+('Data BoP'!P16)+('Data BoP'!P17)+('Data BoP'!P18)</f>
        <v>-6569.62108710639</v>
      </c>
      <c r="AF18" s="10" t="n">
        <f aca="false">('Data BoP'!Q15)+('Data BoP'!Q16)+('Data BoP'!Q17)+('Data BoP'!Q18)</f>
        <v>-2764.87900810697</v>
      </c>
      <c r="AG18" s="10" t="n">
        <f aca="false">('Data BoP'!R15)+('Data BoP'!R16)+('Data BoP'!R17)+('Data BoP'!R18)</f>
        <v>-808.560174514636</v>
      </c>
      <c r="AH18" s="10" t="n">
        <f aca="false">('Data BoP'!AO15)+('Data BoP'!AO16)+('Data BoP'!AO17)+('Data BoP'!AO18)</f>
        <v>1039.55407104842</v>
      </c>
      <c r="AI18" s="10" t="n">
        <f aca="false">('Data BoP'!S15)+('Data BoP'!S16)+('Data BoP'!S17)+('Data BoP'!S18)</f>
        <v>1035.817299076</v>
      </c>
      <c r="AJ18" s="10" t="n">
        <f aca="false">('Data BoP'!T15)+('Data BoP'!T16)+('Data BoP'!T17)+('Data BoP'!T18)</f>
        <v>163.497313500339</v>
      </c>
    </row>
    <row r="19" customFormat="false" ht="15" hidden="false" customHeight="false" outlineLevel="0" collapsed="false">
      <c r="B19" s="14" t="str">
        <f aca="false">'Data BoP'!B19</f>
        <v>2009-Q2</v>
      </c>
      <c r="C19" s="15" t="n">
        <f aca="false">'Data BoP'!E19</f>
        <v>4297.82508829355</v>
      </c>
      <c r="D19" s="10" t="n">
        <f aca="false">'Data BoP'!G19</f>
        <v>6799.439</v>
      </c>
      <c r="E19" s="10" t="n">
        <f aca="false">'Data BoP'!H19</f>
        <v>15499.383</v>
      </c>
      <c r="F19" s="10" t="n">
        <f aca="false">'Data BoP'!I19</f>
        <v>8699.944</v>
      </c>
      <c r="G19" s="10" t="n">
        <f aca="false">'Data BoP'!J19</f>
        <v>-350.034319718339</v>
      </c>
      <c r="H19" s="10" t="n">
        <f aca="false">'Data BoP'!K19</f>
        <v>2346.01620451565</v>
      </c>
      <c r="I19" s="10" t="n">
        <f aca="false">'Data BoP'!L19</f>
        <v>2696.05052423399</v>
      </c>
      <c r="J19" s="10" t="n">
        <f aca="false">'Data BoP'!M19</f>
        <v>-2419.55557299339</v>
      </c>
      <c r="K19" s="10" t="n">
        <f aca="false">'Data BoP'!N19</f>
        <v>-15.1973039910758</v>
      </c>
      <c r="L19" s="10" t="n">
        <f aca="false">'Data BoP'!O19</f>
        <v>-2404.35826900231</v>
      </c>
      <c r="M19" s="10" t="n">
        <f aca="false">'Data BoP'!P19</f>
        <v>-1590.0894854035</v>
      </c>
      <c r="N19" s="10" t="n">
        <f aca="false">'Data BoP'!Q19</f>
        <v>-667.815098156631</v>
      </c>
      <c r="O19" s="10" t="n">
        <f aca="false">'Data BoP'!R19</f>
        <v>-248.423210460852</v>
      </c>
      <c r="P19" s="10" t="n">
        <f aca="false">'Data BoP'!AO19</f>
        <v>101.969525018667</v>
      </c>
      <c r="Q19" s="10" t="n">
        <f aca="false">'Data BoP'!S19</f>
        <v>267.975981005273</v>
      </c>
      <c r="R19" s="10" t="n">
        <f aca="false">'Data BoP'!T19</f>
        <v>0.6</v>
      </c>
      <c r="T19" s="14" t="str">
        <f aca="false">'Data BoP'!B19</f>
        <v>2009-Q2</v>
      </c>
      <c r="U19" s="15" t="n">
        <f aca="false">('Data BoP'!E16)+('Data BoP'!E17)+('Data BoP'!E18)+('Data BoP'!E19)</f>
        <v>9267.24861316452</v>
      </c>
      <c r="V19" s="10" t="n">
        <f aca="false">('Data BoP'!G16)+('Data BoP'!G17)+('Data BoP'!G18)+('Data BoP'!G19)</f>
        <v>19558.711</v>
      </c>
      <c r="W19" s="10" t="n">
        <f aca="false">('Data BoP'!H16)+('Data BoP'!H17)+('Data BoP'!H18)+('Data BoP'!H19)</f>
        <v>64019.255</v>
      </c>
      <c r="X19" s="10" t="n">
        <f aca="false">('Data BoP'!I16)+('Data BoP'!I17)+('Data BoP'!I18)+('Data BoP'!I19)</f>
        <v>44460.544</v>
      </c>
      <c r="Y19" s="10" t="n">
        <f aca="false">('Data BoP'!J16)+('Data BoP'!J17)+('Data BoP'!J18)+('Data BoP'!J19)</f>
        <v>-1939.56798866383</v>
      </c>
      <c r="Z19" s="10" t="n">
        <f aca="false">('Data BoP'!K16)+('Data BoP'!K17)+('Data BoP'!K18)+('Data BoP'!K19)</f>
        <v>11001.9357112076</v>
      </c>
      <c r="AA19" s="10" t="n">
        <f aca="false">('Data BoP'!L16)+('Data BoP'!L17)+('Data BoP'!L18)+('Data BoP'!L19)</f>
        <v>12941.5036998714</v>
      </c>
      <c r="AB19" s="10" t="n">
        <f aca="false">('Data BoP'!M16)+('Data BoP'!M17)+('Data BoP'!M18)+('Data BoP'!M19)</f>
        <v>-9342.06101883812</v>
      </c>
      <c r="AC19" s="10" t="n">
        <f aca="false">('Data BoP'!N16)+('Data BoP'!N17)+('Data BoP'!N18)+('Data BoP'!N19)</f>
        <v>-48.6225216539318</v>
      </c>
      <c r="AD19" s="10" t="n">
        <f aca="false">('Data BoP'!O16)+('Data BoP'!O17)+('Data BoP'!O18)+('Data BoP'!O19)</f>
        <v>-9293.43849718419</v>
      </c>
      <c r="AE19" s="10" t="n">
        <f aca="false">('Data BoP'!P16)+('Data BoP'!P17)+('Data BoP'!P18)+('Data BoP'!P19)</f>
        <v>-6583.80092759548</v>
      </c>
      <c r="AF19" s="10" t="n">
        <f aca="false">('Data BoP'!Q16)+('Data BoP'!Q17)+('Data BoP'!Q18)+('Data BoP'!Q19)</f>
        <v>-2566.37501499033</v>
      </c>
      <c r="AG19" s="10" t="n">
        <f aca="false">('Data BoP'!R16)+('Data BoP'!R17)+('Data BoP'!R18)+('Data BoP'!R19)</f>
        <v>-896.045326645882</v>
      </c>
      <c r="AH19" s="10" t="n">
        <f aca="false">('Data BoP'!AO16)+('Data BoP'!AO17)+('Data BoP'!AO18)+('Data BoP'!AO19)</f>
        <v>752.782772047509</v>
      </c>
      <c r="AI19" s="10" t="n">
        <f aca="false">('Data BoP'!S16)+('Data BoP'!S17)+('Data BoP'!S18)+('Data BoP'!S19)</f>
        <v>990.16662066646</v>
      </c>
      <c r="AJ19" s="10" t="n">
        <f aca="false">('Data BoP'!T16)+('Data BoP'!T17)+('Data BoP'!T18)+('Data BoP'!T19)</f>
        <v>149.346168708336</v>
      </c>
    </row>
    <row r="20" customFormat="false" ht="15" hidden="false" customHeight="false" outlineLevel="0" collapsed="false">
      <c r="B20" s="14" t="str">
        <f aca="false">'Data BoP'!B20</f>
        <v>2009-Q3</v>
      </c>
      <c r="C20" s="15" t="n">
        <f aca="false">'Data BoP'!E20</f>
        <v>704.721896897103</v>
      </c>
      <c r="D20" s="10" t="n">
        <f aca="false">'Data BoP'!G20</f>
        <v>3764.488</v>
      </c>
      <c r="E20" s="10" t="n">
        <f aca="false">'Data BoP'!H20</f>
        <v>13837.668</v>
      </c>
      <c r="F20" s="10" t="n">
        <f aca="false">'Data BoP'!I20</f>
        <v>10073.18</v>
      </c>
      <c r="G20" s="10" t="n">
        <f aca="false">'Data BoP'!J20</f>
        <v>-722.801637866831</v>
      </c>
      <c r="H20" s="10" t="n">
        <f aca="false">'Data BoP'!K20</f>
        <v>2313.68685692728</v>
      </c>
      <c r="I20" s="10" t="n">
        <f aca="false">'Data BoP'!L20</f>
        <v>3036.48849479411</v>
      </c>
      <c r="J20" s="10" t="n">
        <f aca="false">'Data BoP'!M20</f>
        <v>-2528.81222180185</v>
      </c>
      <c r="K20" s="10" t="n">
        <f aca="false">'Data BoP'!N20</f>
        <v>-21.4137745299396</v>
      </c>
      <c r="L20" s="10" t="n">
        <f aca="false">'Data BoP'!O20</f>
        <v>-2507.39844727192</v>
      </c>
      <c r="M20" s="10" t="n">
        <f aca="false">'Data BoP'!P20</f>
        <v>-1663.93764703705</v>
      </c>
      <c r="N20" s="10" t="n">
        <f aca="false">'Data BoP'!Q20</f>
        <v>-668.775884615168</v>
      </c>
      <c r="O20" s="10" t="n">
        <f aca="false">'Data BoP'!R20</f>
        <v>-255.423970829359</v>
      </c>
      <c r="P20" s="10" t="n">
        <f aca="false">'Data BoP'!AO20</f>
        <v>80.7390552096619</v>
      </c>
      <c r="Q20" s="10" t="n">
        <f aca="false">'Data BoP'!S20</f>
        <v>191.847756565787</v>
      </c>
      <c r="R20" s="10" t="n">
        <f aca="false">'Data BoP'!T20</f>
        <v>54.7167318916649</v>
      </c>
      <c r="T20" s="14" t="str">
        <f aca="false">'Data BoP'!B20</f>
        <v>2009-Q3</v>
      </c>
      <c r="U20" s="15" t="n">
        <f aca="false">('Data BoP'!E17)+('Data BoP'!E18)+('Data BoP'!E19)+('Data BoP'!E20)</f>
        <v>6980.05168979425</v>
      </c>
      <c r="V20" s="10" t="n">
        <f aca="false">('Data BoP'!G17)+('Data BoP'!G18)+('Data BoP'!G19)+('Data BoP'!G20)</f>
        <v>17664.727</v>
      </c>
      <c r="W20" s="10" t="n">
        <f aca="false">('Data BoP'!H17)+('Data BoP'!H18)+('Data BoP'!H19)+('Data BoP'!H20)</f>
        <v>56518.551</v>
      </c>
      <c r="X20" s="10" t="n">
        <f aca="false">('Data BoP'!I17)+('Data BoP'!I18)+('Data BoP'!I19)+('Data BoP'!I20)</f>
        <v>38853.824</v>
      </c>
      <c r="Y20" s="10" t="n">
        <f aca="false">('Data BoP'!J17)+('Data BoP'!J18)+('Data BoP'!J19)+('Data BoP'!J20)</f>
        <v>-1962.81219387169</v>
      </c>
      <c r="Z20" s="10" t="n">
        <f aca="false">('Data BoP'!K17)+('Data BoP'!K18)+('Data BoP'!K19)+('Data BoP'!K20)</f>
        <v>10477.4615495263</v>
      </c>
      <c r="AA20" s="10" t="n">
        <f aca="false">('Data BoP'!L17)+('Data BoP'!L18)+('Data BoP'!L19)+('Data BoP'!L20)</f>
        <v>12440.273743398</v>
      </c>
      <c r="AB20" s="10" t="n">
        <f aca="false">('Data BoP'!M17)+('Data BoP'!M18)+('Data BoP'!M19)+('Data BoP'!M20)</f>
        <v>-9644.3825870581</v>
      </c>
      <c r="AC20" s="10" t="n">
        <f aca="false">('Data BoP'!N17)+('Data BoP'!N18)+('Data BoP'!N19)+('Data BoP'!N20)</f>
        <v>-52.5876384883389</v>
      </c>
      <c r="AD20" s="10" t="n">
        <f aca="false">('Data BoP'!O17)+('Data BoP'!O18)+('Data BoP'!O19)+('Data BoP'!O20)</f>
        <v>-9591.79494856976</v>
      </c>
      <c r="AE20" s="10" t="n">
        <f aca="false">('Data BoP'!P17)+('Data BoP'!P18)+('Data BoP'!P19)+('Data BoP'!P20)</f>
        <v>-6605.75205047558</v>
      </c>
      <c r="AF20" s="10" t="n">
        <f aca="false">('Data BoP'!Q17)+('Data BoP'!Q18)+('Data BoP'!Q19)+('Data BoP'!Q20)</f>
        <v>-2494.45188341558</v>
      </c>
      <c r="AG20" s="10" t="n">
        <f aca="false">('Data BoP'!R17)+('Data BoP'!R18)+('Data BoP'!R19)+('Data BoP'!R20)</f>
        <v>-1019.44195828617</v>
      </c>
      <c r="AH20" s="10" t="n">
        <f aca="false">('Data BoP'!AO17)+('Data BoP'!AO18)+('Data BoP'!AO19)+('Data BoP'!AO20)</f>
        <v>527.850943607564</v>
      </c>
      <c r="AI20" s="10" t="n">
        <f aca="false">('Data BoP'!S17)+('Data BoP'!S18)+('Data BoP'!S19)+('Data BoP'!S20)</f>
        <v>922.519470724031</v>
      </c>
      <c r="AJ20" s="10" t="n">
        <f aca="false">('Data BoP'!T17)+('Data BoP'!T18)+('Data BoP'!T19)+('Data BoP'!T20)</f>
        <v>80.2629006000013</v>
      </c>
    </row>
    <row r="21" customFormat="false" ht="15" hidden="false" customHeight="false" outlineLevel="0" collapsed="false">
      <c r="B21" s="14" t="str">
        <f aca="false">'Data BoP'!B21</f>
        <v>2009-Q4</v>
      </c>
      <c r="C21" s="15" t="n">
        <f aca="false">'Data BoP'!E21</f>
        <v>1060.87714437816</v>
      </c>
      <c r="D21" s="10" t="n">
        <f aca="false">'Data BoP'!G21</f>
        <v>4082.223</v>
      </c>
      <c r="E21" s="10" t="n">
        <f aca="false">'Data BoP'!H21</f>
        <v>14499.733</v>
      </c>
      <c r="F21" s="10" t="n">
        <f aca="false">'Data BoP'!I21</f>
        <v>10417.51</v>
      </c>
      <c r="G21" s="10" t="n">
        <f aca="false">'Data BoP'!J21</f>
        <v>-288.387188378718</v>
      </c>
      <c r="H21" s="10" t="n">
        <f aca="false">'Data BoP'!K21</f>
        <v>3129.72211611434</v>
      </c>
      <c r="I21" s="10" t="n">
        <f aca="false">'Data BoP'!L21</f>
        <v>3418.10930449306</v>
      </c>
      <c r="J21" s="10" t="n">
        <f aca="false">'Data BoP'!M21</f>
        <v>-2997.82456274477</v>
      </c>
      <c r="K21" s="10" t="n">
        <f aca="false">'Data BoP'!N21</f>
        <v>-12.7901257277265</v>
      </c>
      <c r="L21" s="10" t="n">
        <f aca="false">'Data BoP'!O21</f>
        <v>-2985.03443701705</v>
      </c>
      <c r="M21" s="10" t="n">
        <f aca="false">'Data BoP'!P21</f>
        <v>-2055.54998339286</v>
      </c>
      <c r="N21" s="10" t="n">
        <f aca="false">'Data BoP'!Q21</f>
        <v>-733.187032864019</v>
      </c>
      <c r="O21" s="10" t="n">
        <f aca="false">'Data BoP'!R21</f>
        <v>-255.457420760166</v>
      </c>
      <c r="P21" s="10" t="n">
        <f aca="false">'Data BoP'!AO21</f>
        <v>59.1600000000006</v>
      </c>
      <c r="Q21" s="10" t="n">
        <f aca="false">'Data BoP'!S21</f>
        <v>264.865895501645</v>
      </c>
      <c r="R21" s="10" t="n">
        <f aca="false">'Data BoP'!T21</f>
        <v>2.5991993196065</v>
      </c>
      <c r="T21" s="14" t="str">
        <f aca="false">'Data BoP'!B21</f>
        <v>2009-Q4</v>
      </c>
      <c r="U21" s="15" t="n">
        <f aca="false">('Data BoP'!E18)+('Data BoP'!E19)+('Data BoP'!E20)+('Data BoP'!E21)</f>
        <v>7254.11568393702</v>
      </c>
      <c r="V21" s="10" t="n">
        <f aca="false">('Data BoP'!G18)+('Data BoP'!G19)+('Data BoP'!G20)+('Data BoP'!G21)</f>
        <v>18644.85</v>
      </c>
      <c r="W21" s="10" t="n">
        <f aca="false">('Data BoP'!H18)+('Data BoP'!H19)+('Data BoP'!H20)+('Data BoP'!H21)</f>
        <v>55790.984</v>
      </c>
      <c r="X21" s="10" t="n">
        <f aca="false">('Data BoP'!I18)+('Data BoP'!I19)+('Data BoP'!I20)+('Data BoP'!I21)</f>
        <v>37146.134</v>
      </c>
      <c r="Y21" s="10" t="n">
        <f aca="false">('Data BoP'!J18)+('Data BoP'!J19)+('Data BoP'!J20)+('Data BoP'!J21)</f>
        <v>-1992.03148960427</v>
      </c>
      <c r="Z21" s="10" t="n">
        <f aca="false">('Data BoP'!K18)+('Data BoP'!K19)+('Data BoP'!K20)+('Data BoP'!K21)</f>
        <v>10544.6213236348</v>
      </c>
      <c r="AA21" s="10" t="n">
        <f aca="false">('Data BoP'!L18)+('Data BoP'!L19)+('Data BoP'!L20)+('Data BoP'!L21)</f>
        <v>12536.652813239</v>
      </c>
      <c r="AB21" s="10" t="n">
        <f aca="false">('Data BoP'!M18)+('Data BoP'!M19)+('Data BoP'!M20)+('Data BoP'!M21)</f>
        <v>-10318.875001573</v>
      </c>
      <c r="AC21" s="10" t="n">
        <f aca="false">('Data BoP'!N18)+('Data BoP'!N19)+('Data BoP'!N20)+('Data BoP'!N21)</f>
        <v>-59.3577871104961</v>
      </c>
      <c r="AD21" s="10" t="n">
        <f aca="false">('Data BoP'!O18)+('Data BoP'!O19)+('Data BoP'!O20)+('Data BoP'!O21)</f>
        <v>-10259.5172144625</v>
      </c>
      <c r="AE21" s="10" t="n">
        <f aca="false">('Data BoP'!P18)+('Data BoP'!P19)+('Data BoP'!P20)+('Data BoP'!P21)</f>
        <v>-7069.79248864503</v>
      </c>
      <c r="AF21" s="10" t="n">
        <f aca="false">('Data BoP'!Q18)+('Data BoP'!Q19)+('Data BoP'!Q20)+('Data BoP'!Q21)</f>
        <v>-2548.70369536761</v>
      </c>
      <c r="AG21" s="10" t="n">
        <f aca="false">('Data BoP'!R18)+('Data BoP'!R19)+('Data BoP'!R20)+('Data BoP'!R21)</f>
        <v>-998.427781452367</v>
      </c>
      <c r="AH21" s="10" t="n">
        <f aca="false">('Data BoP'!AO18)+('Data BoP'!AO19)+('Data BoP'!AO20)+('Data BoP'!AO21)</f>
        <v>357.406751002533</v>
      </c>
      <c r="AI21" s="10" t="n">
        <f aca="false">('Data BoP'!S18)+('Data BoP'!S19)+('Data BoP'!S20)+('Data BoP'!S21)</f>
        <v>920.172175114258</v>
      </c>
      <c r="AJ21" s="10" t="n">
        <f aca="false">('Data BoP'!T18)+('Data BoP'!T19)+('Data BoP'!T20)+('Data BoP'!T21)</f>
        <v>79.9842279847326</v>
      </c>
    </row>
    <row r="22" customFormat="false" ht="15" hidden="false" customHeight="false" outlineLevel="0" collapsed="false">
      <c r="B22" s="14" t="str">
        <f aca="false">'Data BoP'!B22</f>
        <v>2010-Q1</v>
      </c>
      <c r="C22" s="15" t="n">
        <f aca="false">'Data BoP'!E22</f>
        <v>-1632.51983707698</v>
      </c>
      <c r="D22" s="10" t="n">
        <f aca="false">'Data BoP'!G22</f>
        <v>2520.98035765</v>
      </c>
      <c r="E22" s="10" t="n">
        <f aca="false">'Data BoP'!H22</f>
        <v>13082.378</v>
      </c>
      <c r="F22" s="10" t="n">
        <f aca="false">'Data BoP'!I22</f>
        <v>10561.39764235</v>
      </c>
      <c r="G22" s="10" t="n">
        <f aca="false">'Data BoP'!J22</f>
        <v>-570.607920341858</v>
      </c>
      <c r="H22" s="10" t="n">
        <f aca="false">'Data BoP'!K22</f>
        <v>3164.98577161261</v>
      </c>
      <c r="I22" s="10" t="n">
        <f aca="false">'Data BoP'!L22</f>
        <v>3735.59369195447</v>
      </c>
      <c r="J22" s="10" t="n">
        <f aca="false">'Data BoP'!M22</f>
        <v>-3722.87549982267</v>
      </c>
      <c r="K22" s="10" t="n">
        <f aca="false">'Data BoP'!N22</f>
        <v>-13.7733835000875</v>
      </c>
      <c r="L22" s="10" t="n">
        <f aca="false">'Data BoP'!O22</f>
        <v>-3709.10211632258</v>
      </c>
      <c r="M22" s="10" t="n">
        <f aca="false">'Data BoP'!P22</f>
        <v>-2847.68511405442</v>
      </c>
      <c r="N22" s="10" t="n">
        <f aca="false">'Data BoP'!Q22</f>
        <v>-667.399208900151</v>
      </c>
      <c r="O22" s="10" t="n">
        <f aca="false">'Data BoP'!R22</f>
        <v>-227.569235717678</v>
      </c>
      <c r="P22" s="10" t="n">
        <f aca="false">'Data BoP'!AO22</f>
        <v>33.551442349663</v>
      </c>
      <c r="Q22" s="10" t="n">
        <f aca="false">'Data BoP'!S22</f>
        <v>139.983225437539</v>
      </c>
      <c r="R22" s="10" t="n">
        <f aca="false">'Data BoP'!T22</f>
        <v>17.275787489199</v>
      </c>
      <c r="T22" s="14" t="str">
        <f aca="false">'Data BoP'!B22</f>
        <v>2010-Q1</v>
      </c>
      <c r="U22" s="15" t="n">
        <f aca="false">('Data BoP'!E19)+('Data BoP'!E20)+('Data BoP'!E21)+('Data BoP'!E22)</f>
        <v>4430.90429249182</v>
      </c>
      <c r="V22" s="10" t="n">
        <f aca="false">('Data BoP'!G19)+('Data BoP'!G20)+('Data BoP'!G21)+('Data BoP'!G22)</f>
        <v>17167.13035765</v>
      </c>
      <c r="W22" s="10" t="n">
        <f aca="false">('Data BoP'!H19)+('Data BoP'!H20)+('Data BoP'!H21)+('Data BoP'!H22)</f>
        <v>56919.162</v>
      </c>
      <c r="X22" s="10" t="n">
        <f aca="false">('Data BoP'!I19)+('Data BoP'!I20)+('Data BoP'!I21)+('Data BoP'!I22)</f>
        <v>39752.03164235</v>
      </c>
      <c r="Y22" s="10" t="n">
        <f aca="false">('Data BoP'!J19)+('Data BoP'!J20)+('Data BoP'!J21)+('Data BoP'!J22)</f>
        <v>-1931.83106630575</v>
      </c>
      <c r="Z22" s="10" t="n">
        <f aca="false">('Data BoP'!K19)+('Data BoP'!K20)+('Data BoP'!K21)+('Data BoP'!K22)</f>
        <v>10954.4109491699</v>
      </c>
      <c r="AA22" s="10" t="n">
        <f aca="false">('Data BoP'!L19)+('Data BoP'!L20)+('Data BoP'!L21)+('Data BoP'!L22)</f>
        <v>12886.2420154756</v>
      </c>
      <c r="AB22" s="10" t="n">
        <f aca="false">('Data BoP'!M19)+('Data BoP'!M20)+('Data BoP'!M21)+('Data BoP'!M22)</f>
        <v>-11669.0678573627</v>
      </c>
      <c r="AC22" s="10" t="n">
        <f aca="false">('Data BoP'!N19)+('Data BoP'!N20)+('Data BoP'!N21)+('Data BoP'!N22)</f>
        <v>-63.1745877488294</v>
      </c>
      <c r="AD22" s="10" t="n">
        <f aca="false">('Data BoP'!O19)+('Data BoP'!O20)+('Data BoP'!O21)+('Data BoP'!O22)</f>
        <v>-11605.8932696139</v>
      </c>
      <c r="AE22" s="10" t="n">
        <f aca="false">('Data BoP'!P19)+('Data BoP'!P20)+('Data BoP'!P21)+('Data BoP'!P22)</f>
        <v>-8157.26222988782</v>
      </c>
      <c r="AF22" s="10" t="n">
        <f aca="false">('Data BoP'!Q19)+('Data BoP'!Q20)+('Data BoP'!Q21)+('Data BoP'!Q22)</f>
        <v>-2737.17722453597</v>
      </c>
      <c r="AG22" s="10" t="n">
        <f aca="false">('Data BoP'!R19)+('Data BoP'!R20)+('Data BoP'!R21)+('Data BoP'!R22)</f>
        <v>-986.873837768055</v>
      </c>
      <c r="AH22" s="10" t="n">
        <f aca="false">('Data BoP'!AO19)+('Data BoP'!AO20)+('Data BoP'!AO21)+('Data BoP'!AO22)</f>
        <v>275.420022577993</v>
      </c>
      <c r="AI22" s="10" t="n">
        <f aca="false">('Data BoP'!S19)+('Data BoP'!S20)+('Data BoP'!S21)+('Data BoP'!S22)</f>
        <v>864.672858510244</v>
      </c>
      <c r="AJ22" s="10" t="n">
        <f aca="false">('Data BoP'!T19)+('Data BoP'!T20)+('Data BoP'!T21)+('Data BoP'!T22)</f>
        <v>75.1917187004704</v>
      </c>
    </row>
    <row r="23" customFormat="false" ht="15" hidden="false" customHeight="false" outlineLevel="0" collapsed="false">
      <c r="B23" s="14" t="str">
        <f aca="false">'Data BoP'!B23</f>
        <v>2010-Q2</v>
      </c>
      <c r="C23" s="15" t="n">
        <f aca="false">'Data BoP'!E23</f>
        <v>2101.38347119383</v>
      </c>
      <c r="D23" s="10" t="n">
        <f aca="false">'Data BoP'!G23</f>
        <v>5936.73909555</v>
      </c>
      <c r="E23" s="10" t="n">
        <f aca="false">'Data BoP'!H23</f>
        <v>19117.864</v>
      </c>
      <c r="F23" s="10" t="n">
        <f aca="false">'Data BoP'!I23</f>
        <v>13181.12490445</v>
      </c>
      <c r="G23" s="10" t="n">
        <f aca="false">'Data BoP'!J23</f>
        <v>-564.182635874759</v>
      </c>
      <c r="H23" s="10" t="n">
        <f aca="false">'Data BoP'!K23</f>
        <v>2987.75245463425</v>
      </c>
      <c r="I23" s="10" t="n">
        <f aca="false">'Data BoP'!L23</f>
        <v>3551.93509050901</v>
      </c>
      <c r="J23" s="10" t="n">
        <f aca="false">'Data BoP'!M23</f>
        <v>-3486.39476710186</v>
      </c>
      <c r="K23" s="10" t="n">
        <f aca="false">'Data BoP'!N23</f>
        <v>-11.665439274438</v>
      </c>
      <c r="L23" s="10" t="n">
        <f aca="false">'Data BoP'!O23</f>
        <v>-3474.72932782742</v>
      </c>
      <c r="M23" s="10" t="n">
        <f aca="false">'Data BoP'!P23</f>
        <v>-2657.32123852588</v>
      </c>
      <c r="N23" s="10" t="n">
        <f aca="false">'Data BoP'!Q23</f>
        <v>-563.286046727933</v>
      </c>
      <c r="O23" s="10" t="n">
        <f aca="false">'Data BoP'!R23</f>
        <v>-293.06928233148</v>
      </c>
      <c r="P23" s="10" t="n">
        <f aca="false">'Data BoP'!AO23</f>
        <v>38.9472397578721</v>
      </c>
      <c r="Q23" s="10" t="n">
        <f aca="false">'Data BoP'!S23</f>
        <v>215.221778620453</v>
      </c>
      <c r="R23" s="10" t="n">
        <f aca="false">'Data BoP'!T23</f>
        <v>3.9</v>
      </c>
      <c r="T23" s="14" t="str">
        <f aca="false">'Data BoP'!B23</f>
        <v>2010-Q2</v>
      </c>
      <c r="U23" s="15" t="n">
        <f aca="false">('Data BoP'!E20)+('Data BoP'!E21)+('Data BoP'!E22)+('Data BoP'!E23)</f>
        <v>2234.46267539211</v>
      </c>
      <c r="V23" s="10" t="n">
        <f aca="false">('Data BoP'!G20)+('Data BoP'!G21)+('Data BoP'!G22)+('Data BoP'!G23)</f>
        <v>16304.4304532</v>
      </c>
      <c r="W23" s="10" t="n">
        <f aca="false">('Data BoP'!H20)+('Data BoP'!H21)+('Data BoP'!H22)+('Data BoP'!H23)</f>
        <v>60537.643</v>
      </c>
      <c r="X23" s="10" t="n">
        <f aca="false">('Data BoP'!I20)+('Data BoP'!I21)+('Data BoP'!I22)+('Data BoP'!I23)</f>
        <v>44233.2125468</v>
      </c>
      <c r="Y23" s="10" t="n">
        <f aca="false">('Data BoP'!J20)+('Data BoP'!J21)+('Data BoP'!J22)+('Data BoP'!J23)</f>
        <v>-2145.97938246216</v>
      </c>
      <c r="Z23" s="10" t="n">
        <f aca="false">('Data BoP'!K20)+('Data BoP'!K21)+('Data BoP'!K22)+('Data BoP'!K23)</f>
        <v>11596.1471992885</v>
      </c>
      <c r="AA23" s="10" t="n">
        <f aca="false">('Data BoP'!L20)+('Data BoP'!L21)+('Data BoP'!L22)+('Data BoP'!L23)</f>
        <v>13742.1265817506</v>
      </c>
      <c r="AB23" s="10" t="n">
        <f aca="false">('Data BoP'!M20)+('Data BoP'!M21)+('Data BoP'!M22)+('Data BoP'!M23)</f>
        <v>-12735.9070514712</v>
      </c>
      <c r="AC23" s="10" t="n">
        <f aca="false">('Data BoP'!N20)+('Data BoP'!N21)+('Data BoP'!N22)+('Data BoP'!N23)</f>
        <v>-59.6427230321916</v>
      </c>
      <c r="AD23" s="10" t="n">
        <f aca="false">('Data BoP'!O20)+('Data BoP'!O21)+('Data BoP'!O22)+('Data BoP'!O23)</f>
        <v>-12676.264328439</v>
      </c>
      <c r="AE23" s="10" t="n">
        <f aca="false">('Data BoP'!P20)+('Data BoP'!P21)+('Data BoP'!P22)+('Data BoP'!P23)</f>
        <v>-9224.4939830102</v>
      </c>
      <c r="AF23" s="10" t="n">
        <f aca="false">('Data BoP'!Q20)+('Data BoP'!Q21)+('Data BoP'!Q22)+('Data BoP'!Q23)</f>
        <v>-2632.64817310727</v>
      </c>
      <c r="AG23" s="10" t="n">
        <f aca="false">('Data BoP'!R20)+('Data BoP'!R21)+('Data BoP'!R22)+('Data BoP'!R23)</f>
        <v>-1031.51990963868</v>
      </c>
      <c r="AH23" s="10" t="n">
        <f aca="false">('Data BoP'!AO20)+('Data BoP'!AO21)+('Data BoP'!AO22)+('Data BoP'!AO23)</f>
        <v>212.397737317198</v>
      </c>
      <c r="AI23" s="10" t="n">
        <f aca="false">('Data BoP'!S20)+('Data BoP'!S21)+('Data BoP'!S22)+('Data BoP'!S23)</f>
        <v>811.918656125424</v>
      </c>
      <c r="AJ23" s="10" t="n">
        <f aca="false">('Data BoP'!T20)+('Data BoP'!T21)+('Data BoP'!T22)+('Data BoP'!T23)</f>
        <v>78.4917187004704</v>
      </c>
    </row>
    <row r="24" customFormat="false" ht="15" hidden="false" customHeight="false" outlineLevel="0" collapsed="false">
      <c r="B24" s="14" t="str">
        <f aca="false">'Data BoP'!B24</f>
        <v>2010-Q3</v>
      </c>
      <c r="C24" s="15" t="n">
        <f aca="false">'Data BoP'!E24</f>
        <v>-529.235555366864</v>
      </c>
      <c r="D24" s="10" t="n">
        <f aca="false">'Data BoP'!G24</f>
        <v>3532.1404606</v>
      </c>
      <c r="E24" s="10" t="n">
        <f aca="false">'Data BoP'!H24</f>
        <v>18767.533</v>
      </c>
      <c r="F24" s="10" t="n">
        <f aca="false">'Data BoP'!I24</f>
        <v>15235.3925394</v>
      </c>
      <c r="G24" s="10" t="n">
        <f aca="false">'Data BoP'!J24</f>
        <v>-533.911338392294</v>
      </c>
      <c r="H24" s="10" t="n">
        <f aca="false">'Data BoP'!K24</f>
        <v>2968.07680589468</v>
      </c>
      <c r="I24" s="10" t="n">
        <f aca="false">'Data BoP'!L24</f>
        <v>3501.98814428698</v>
      </c>
      <c r="J24" s="10" t="n">
        <f aca="false">'Data BoP'!M24</f>
        <v>-3649.64685277466</v>
      </c>
      <c r="K24" s="10" t="n">
        <f aca="false">'Data BoP'!N24</f>
        <v>-15.6406838340557</v>
      </c>
      <c r="L24" s="10" t="n">
        <f aca="false">'Data BoP'!O24</f>
        <v>-3634.0061689406</v>
      </c>
      <c r="M24" s="10" t="n">
        <f aca="false">'Data BoP'!P24</f>
        <v>-2829.2641936483</v>
      </c>
      <c r="N24" s="10" t="n">
        <f aca="false">'Data BoP'!Q24</f>
        <v>-540.177486804782</v>
      </c>
      <c r="O24" s="10" t="n">
        <f aca="false">'Data BoP'!R24</f>
        <v>-306.789920232464</v>
      </c>
      <c r="P24" s="10" t="n">
        <f aca="false">'Data BoP'!AO24</f>
        <v>42.2254317449492</v>
      </c>
      <c r="Q24" s="10" t="n">
        <f aca="false">'Data BoP'!S24</f>
        <v>122.182175200082</v>
      </c>
      <c r="R24" s="10" t="n">
        <f aca="false">'Data BoP'!T24</f>
        <v>54.735</v>
      </c>
      <c r="T24" s="14" t="str">
        <f aca="false">'Data BoP'!B24</f>
        <v>2010-Q3</v>
      </c>
      <c r="U24" s="15" t="n">
        <f aca="false">('Data BoP'!E21)+('Data BoP'!E22)+('Data BoP'!E23)+('Data BoP'!E24)</f>
        <v>1000.50522312814</v>
      </c>
      <c r="V24" s="10" t="n">
        <f aca="false">('Data BoP'!G21)+('Data BoP'!G22)+('Data BoP'!G23)+('Data BoP'!G24)</f>
        <v>16072.0829138</v>
      </c>
      <c r="W24" s="10" t="n">
        <f aca="false">('Data BoP'!H21)+('Data BoP'!H22)+('Data BoP'!H23)+('Data BoP'!H24)</f>
        <v>65467.508</v>
      </c>
      <c r="X24" s="10" t="n">
        <f aca="false">('Data BoP'!I21)+('Data BoP'!I22)+('Data BoP'!I23)+('Data BoP'!I24)</f>
        <v>49395.4250862</v>
      </c>
      <c r="Y24" s="10" t="n">
        <f aca="false">('Data BoP'!J21)+('Data BoP'!J22)+('Data BoP'!J23)+('Data BoP'!J24)</f>
        <v>-1957.08908298763</v>
      </c>
      <c r="Z24" s="10" t="n">
        <f aca="false">('Data BoP'!K21)+('Data BoP'!K22)+('Data BoP'!K23)+('Data BoP'!K24)</f>
        <v>12250.5371482559</v>
      </c>
      <c r="AA24" s="10" t="n">
        <f aca="false">('Data BoP'!L21)+('Data BoP'!L22)+('Data BoP'!L23)+('Data BoP'!L24)</f>
        <v>14207.6262312435</v>
      </c>
      <c r="AB24" s="10" t="n">
        <f aca="false">('Data BoP'!M21)+('Data BoP'!M22)+('Data BoP'!M23)+('Data BoP'!M24)</f>
        <v>-13856.741682444</v>
      </c>
      <c r="AC24" s="10" t="n">
        <f aca="false">('Data BoP'!N21)+('Data BoP'!N22)+('Data BoP'!N23)+('Data BoP'!N24)</f>
        <v>-53.8696323363078</v>
      </c>
      <c r="AD24" s="10" t="n">
        <f aca="false">('Data BoP'!O21)+('Data BoP'!O22)+('Data BoP'!O23)+('Data BoP'!O24)</f>
        <v>-13802.8720501076</v>
      </c>
      <c r="AE24" s="10" t="n">
        <f aca="false">('Data BoP'!P21)+('Data BoP'!P22)+('Data BoP'!P23)+('Data BoP'!P24)</f>
        <v>-10389.8205296215</v>
      </c>
      <c r="AF24" s="10" t="n">
        <f aca="false">('Data BoP'!Q21)+('Data BoP'!Q22)+('Data BoP'!Q23)+('Data BoP'!Q24)</f>
        <v>-2504.04977529689</v>
      </c>
      <c r="AG24" s="10" t="n">
        <f aca="false">('Data BoP'!R21)+('Data BoP'!R22)+('Data BoP'!R23)+('Data BoP'!R24)</f>
        <v>-1082.88585904179</v>
      </c>
      <c r="AH24" s="10" t="n">
        <f aca="false">('Data BoP'!AO21)+('Data BoP'!AO22)+('Data BoP'!AO23)+('Data BoP'!AO24)</f>
        <v>173.884113852485</v>
      </c>
      <c r="AI24" s="10" t="n">
        <f aca="false">('Data BoP'!S21)+('Data BoP'!S22)+('Data BoP'!S23)+('Data BoP'!S24)</f>
        <v>742.25307475972</v>
      </c>
      <c r="AJ24" s="10" t="n">
        <f aca="false">('Data BoP'!T21)+('Data BoP'!T22)+('Data BoP'!T23)+('Data BoP'!T24)</f>
        <v>78.5099868088055</v>
      </c>
    </row>
    <row r="25" customFormat="false" ht="15" hidden="false" customHeight="false" outlineLevel="0" collapsed="false">
      <c r="B25" s="14" t="str">
        <f aca="false">'Data BoP'!B25</f>
        <v>2010-Q4</v>
      </c>
      <c r="C25" s="15" t="n">
        <f aca="false">'Data BoP'!E25</f>
        <v>-1562.62395000067</v>
      </c>
      <c r="D25" s="10" t="n">
        <f aca="false">'Data BoP'!G25</f>
        <v>2157.24938469</v>
      </c>
      <c r="E25" s="10" t="n">
        <f aca="false">'Data BoP'!H25</f>
        <v>17338.098</v>
      </c>
      <c r="F25" s="10" t="n">
        <f aca="false">'Data BoP'!I25</f>
        <v>15180.84861531</v>
      </c>
      <c r="G25" s="10" t="n">
        <f aca="false">'Data BoP'!J25</f>
        <v>-134.886755302784</v>
      </c>
      <c r="H25" s="10" t="n">
        <f aca="false">'Data BoP'!K25</f>
        <v>3696.32832846722</v>
      </c>
      <c r="I25" s="10" t="n">
        <f aca="false">'Data BoP'!L25</f>
        <v>3831.21508377001</v>
      </c>
      <c r="J25" s="10" t="n">
        <f aca="false">'Data BoP'!M25</f>
        <v>-3688.61608423777</v>
      </c>
      <c r="K25" s="10" t="n">
        <f aca="false">'Data BoP'!N25</f>
        <v>-13.6438394636376</v>
      </c>
      <c r="L25" s="10" t="n">
        <f aca="false">'Data BoP'!O25</f>
        <v>-3674.97224477414</v>
      </c>
      <c r="M25" s="10" t="n">
        <f aca="false">'Data BoP'!P25</f>
        <v>-2827.43398562239</v>
      </c>
      <c r="N25" s="10" t="n">
        <f aca="false">'Data BoP'!Q25</f>
        <v>-642.278926556974</v>
      </c>
      <c r="O25" s="10" t="n">
        <f aca="false">'Data BoP'!R25</f>
        <v>-239.473572174753</v>
      </c>
      <c r="P25" s="10" t="n">
        <f aca="false">'Data BoP'!AO25</f>
        <v>34.214239579979</v>
      </c>
      <c r="Q25" s="10" t="n">
        <f aca="false">'Data BoP'!S25</f>
        <v>103.629504849887</v>
      </c>
      <c r="R25" s="10" t="n">
        <f aca="false">'Data BoP'!T25</f>
        <v>2.56709724756904</v>
      </c>
      <c r="T25" s="14" t="str">
        <f aca="false">'Data BoP'!B25</f>
        <v>2010-Q4</v>
      </c>
      <c r="U25" s="15" t="n">
        <f aca="false">('Data BoP'!E22)+('Data BoP'!E23)+('Data BoP'!E24)+('Data BoP'!E25)</f>
        <v>-1622.99587125069</v>
      </c>
      <c r="V25" s="10" t="n">
        <f aca="false">('Data BoP'!G22)+('Data BoP'!G23)+('Data BoP'!G24)+('Data BoP'!G25)</f>
        <v>14147.10929849</v>
      </c>
      <c r="W25" s="10" t="n">
        <f aca="false">('Data BoP'!H22)+('Data BoP'!H23)+('Data BoP'!H24)+('Data BoP'!H25)</f>
        <v>68305.873</v>
      </c>
      <c r="X25" s="10" t="n">
        <f aca="false">('Data BoP'!I22)+('Data BoP'!I23)+('Data BoP'!I24)+('Data BoP'!I25)</f>
        <v>54158.76370151</v>
      </c>
      <c r="Y25" s="10" t="n">
        <f aca="false">('Data BoP'!J22)+('Data BoP'!J23)+('Data BoP'!J24)+('Data BoP'!J25)</f>
        <v>-1803.58864991169</v>
      </c>
      <c r="Z25" s="10" t="n">
        <f aca="false">('Data BoP'!K22)+('Data BoP'!K23)+('Data BoP'!K24)+('Data BoP'!K25)</f>
        <v>12817.1433606088</v>
      </c>
      <c r="AA25" s="10" t="n">
        <f aca="false">('Data BoP'!L22)+('Data BoP'!L23)+('Data BoP'!L24)+('Data BoP'!L25)</f>
        <v>14620.7320105205</v>
      </c>
      <c r="AB25" s="10" t="n">
        <f aca="false">('Data BoP'!M22)+('Data BoP'!M23)+('Data BoP'!M24)+('Data BoP'!M25)</f>
        <v>-14547.533203937</v>
      </c>
      <c r="AC25" s="10" t="n">
        <f aca="false">('Data BoP'!N22)+('Data BoP'!N23)+('Data BoP'!N24)+('Data BoP'!N25)</f>
        <v>-54.7233460722188</v>
      </c>
      <c r="AD25" s="10" t="n">
        <f aca="false">('Data BoP'!O22)+('Data BoP'!O23)+('Data BoP'!O24)+('Data BoP'!O25)</f>
        <v>-14492.8098578647</v>
      </c>
      <c r="AE25" s="10" t="n">
        <f aca="false">('Data BoP'!P22)+('Data BoP'!P23)+('Data BoP'!P24)+('Data BoP'!P25)</f>
        <v>-11161.704531851</v>
      </c>
      <c r="AF25" s="10" t="n">
        <f aca="false">('Data BoP'!Q22)+('Data BoP'!Q23)+('Data BoP'!Q24)+('Data BoP'!Q25)</f>
        <v>-2413.14166898984</v>
      </c>
      <c r="AG25" s="10" t="n">
        <f aca="false">('Data BoP'!R22)+('Data BoP'!R23)+('Data BoP'!R24)+('Data BoP'!R25)</f>
        <v>-1066.90201045637</v>
      </c>
      <c r="AH25" s="10" t="n">
        <f aca="false">('Data BoP'!AO22)+('Data BoP'!AO23)+('Data BoP'!AO24)+('Data BoP'!AO25)</f>
        <v>148.938353432463</v>
      </c>
      <c r="AI25" s="10" t="n">
        <f aca="false">('Data BoP'!S22)+('Data BoP'!S23)+('Data BoP'!S24)+('Data BoP'!S25)</f>
        <v>581.016684107961</v>
      </c>
      <c r="AJ25" s="10" t="n">
        <f aca="false">('Data BoP'!T22)+('Data BoP'!T23)+('Data BoP'!T24)+('Data BoP'!T25)</f>
        <v>78.4778847367681</v>
      </c>
    </row>
    <row r="26" customFormat="false" ht="15" hidden="false" customHeight="false" outlineLevel="0" collapsed="false">
      <c r="B26" s="14" t="str">
        <f aca="false">'Data BoP'!B26</f>
        <v>2011-Q1</v>
      </c>
      <c r="C26" s="15" t="n">
        <f aca="false">'Data BoP'!E26</f>
        <v>-2242.12776277108</v>
      </c>
      <c r="D26" s="10" t="n">
        <f aca="false">'Data BoP'!G26</f>
        <v>2082.90228318</v>
      </c>
      <c r="E26" s="10" t="n">
        <f aca="false">'Data BoP'!H26</f>
        <v>16706.599</v>
      </c>
      <c r="F26" s="10" t="n">
        <f aca="false">'Data BoP'!I26</f>
        <v>14623.69671682</v>
      </c>
      <c r="G26" s="10" t="n">
        <f aca="false">'Data BoP'!J26</f>
        <v>-851.719894852196</v>
      </c>
      <c r="H26" s="10" t="n">
        <f aca="false">'Data BoP'!K26</f>
        <v>3523.50222767909</v>
      </c>
      <c r="I26" s="10" t="n">
        <f aca="false">'Data BoP'!L26</f>
        <v>4375.22212253129</v>
      </c>
      <c r="J26" s="10" t="n">
        <f aca="false">'Data BoP'!M26</f>
        <v>-3497.99128291491</v>
      </c>
      <c r="K26" s="10" t="n">
        <f aca="false">'Data BoP'!N26</f>
        <v>-9.59020159998345</v>
      </c>
      <c r="L26" s="10" t="n">
        <f aca="false">'Data BoP'!O26</f>
        <v>-3488.40108131492</v>
      </c>
      <c r="M26" s="10" t="n">
        <f aca="false">'Data BoP'!P26</f>
        <v>-2620.42397764396</v>
      </c>
      <c r="N26" s="10" t="n">
        <f aca="false">'Data BoP'!Q26</f>
        <v>-673.157039398303</v>
      </c>
      <c r="O26" s="10" t="n">
        <f aca="false">'Data BoP'!R26</f>
        <v>-225.624313922214</v>
      </c>
      <c r="P26" s="10" t="n">
        <f aca="false">'Data BoP'!AO26</f>
        <v>30.8042496495559</v>
      </c>
      <c r="Q26" s="10" t="n">
        <f aca="false">'Data BoP'!S26</f>
        <v>24.6811318160188</v>
      </c>
      <c r="R26" s="10" t="n">
        <f aca="false">'Data BoP'!T26</f>
        <v>16.4506</v>
      </c>
      <c r="T26" s="14" t="str">
        <f aca="false">'Data BoP'!B26</f>
        <v>2011-Q1</v>
      </c>
      <c r="U26" s="15" t="n">
        <f aca="false">('Data BoP'!E23)+('Data BoP'!E24)+('Data BoP'!E25)+('Data BoP'!E26)</f>
        <v>-2232.60379694478</v>
      </c>
      <c r="V26" s="10" t="n">
        <f aca="false">('Data BoP'!G23)+('Data BoP'!G24)+('Data BoP'!G25)+('Data BoP'!G26)</f>
        <v>13709.03122402</v>
      </c>
      <c r="W26" s="10" t="n">
        <f aca="false">('Data BoP'!H23)+('Data BoP'!H24)+('Data BoP'!H25)+('Data BoP'!H26)</f>
        <v>71930.094</v>
      </c>
      <c r="X26" s="10" t="n">
        <f aca="false">('Data BoP'!I23)+('Data BoP'!I24)+('Data BoP'!I25)+('Data BoP'!I26)</f>
        <v>58221.06277598</v>
      </c>
      <c r="Y26" s="10" t="n">
        <f aca="false">('Data BoP'!J23)+('Data BoP'!J24)+('Data BoP'!J25)+('Data BoP'!J26)</f>
        <v>-2084.70062442203</v>
      </c>
      <c r="Z26" s="10" t="n">
        <f aca="false">('Data BoP'!K23)+('Data BoP'!K24)+('Data BoP'!K25)+('Data BoP'!K26)</f>
        <v>13175.6598166752</v>
      </c>
      <c r="AA26" s="10" t="n">
        <f aca="false">('Data BoP'!L23)+('Data BoP'!L24)+('Data BoP'!L25)+('Data BoP'!L26)</f>
        <v>15260.3604410973</v>
      </c>
      <c r="AB26" s="10" t="n">
        <f aca="false">('Data BoP'!M23)+('Data BoP'!M24)+('Data BoP'!M25)+('Data BoP'!M26)</f>
        <v>-14322.6489870292</v>
      </c>
      <c r="AC26" s="10" t="n">
        <f aca="false">('Data BoP'!N23)+('Data BoP'!N24)+('Data BoP'!N25)+('Data BoP'!N26)</f>
        <v>-50.5401641721147</v>
      </c>
      <c r="AD26" s="10" t="n">
        <f aca="false">('Data BoP'!O23)+('Data BoP'!O24)+('Data BoP'!O25)+('Data BoP'!O26)</f>
        <v>-14272.1088228571</v>
      </c>
      <c r="AE26" s="10" t="n">
        <f aca="false">('Data BoP'!P23)+('Data BoP'!P24)+('Data BoP'!P25)+('Data BoP'!P26)</f>
        <v>-10934.4433954405</v>
      </c>
      <c r="AF26" s="10" t="n">
        <f aca="false">('Data BoP'!Q23)+('Data BoP'!Q24)+('Data BoP'!Q25)+('Data BoP'!Q26)</f>
        <v>-2418.89949948799</v>
      </c>
      <c r="AG26" s="10" t="n">
        <f aca="false">('Data BoP'!R23)+('Data BoP'!R24)+('Data BoP'!R25)+('Data BoP'!R26)</f>
        <v>-1064.95708866091</v>
      </c>
      <c r="AH26" s="10" t="n">
        <f aca="false">('Data BoP'!AO23)+('Data BoP'!AO24)+('Data BoP'!AO25)+('Data BoP'!AO26)</f>
        <v>146.191160732356</v>
      </c>
      <c r="AI26" s="10" t="n">
        <f aca="false">('Data BoP'!S23)+('Data BoP'!S24)+('Data BoP'!S25)+('Data BoP'!S26)</f>
        <v>465.714590486441</v>
      </c>
      <c r="AJ26" s="10" t="n">
        <f aca="false">('Data BoP'!T23)+('Data BoP'!T24)+('Data BoP'!T25)+('Data BoP'!T26)</f>
        <v>77.652697247569</v>
      </c>
    </row>
    <row r="27" customFormat="false" ht="15" hidden="false" customHeight="false" outlineLevel="0" collapsed="false">
      <c r="B27" s="14" t="str">
        <f aca="false">'Data BoP'!B27</f>
        <v>2011-Q2</v>
      </c>
      <c r="C27" s="15" t="n">
        <f aca="false">'Data BoP'!E27</f>
        <v>508.988218682458</v>
      </c>
      <c r="D27" s="10" t="n">
        <f aca="false">'Data BoP'!G27</f>
        <v>4899.55232564</v>
      </c>
      <c r="E27" s="10" t="n">
        <f aca="false">'Data BoP'!H27</f>
        <v>22833.188</v>
      </c>
      <c r="F27" s="10" t="n">
        <f aca="false">'Data BoP'!I27</f>
        <v>17933.63567436</v>
      </c>
      <c r="G27" s="10" t="n">
        <f aca="false">'Data BoP'!J27</f>
        <v>-781.815399596358</v>
      </c>
      <c r="H27" s="10" t="n">
        <f aca="false">'Data BoP'!K27</f>
        <v>3347.59534135146</v>
      </c>
      <c r="I27" s="10" t="n">
        <f aca="false">'Data BoP'!L27</f>
        <v>4129.41074094782</v>
      </c>
      <c r="J27" s="10" t="n">
        <f aca="false">'Data BoP'!M27</f>
        <v>-3766.26911820559</v>
      </c>
      <c r="K27" s="10" t="n">
        <f aca="false">'Data BoP'!N27</f>
        <v>-10.8431102204947</v>
      </c>
      <c r="L27" s="10" t="n">
        <f aca="false">'Data BoP'!O27</f>
        <v>-3755.42600798509</v>
      </c>
      <c r="M27" s="10" t="n">
        <f aca="false">'Data BoP'!P27</f>
        <v>-2751.08588069621</v>
      </c>
      <c r="N27" s="10" t="n">
        <f aca="false">'Data BoP'!Q27</f>
        <v>-726.382973340865</v>
      </c>
      <c r="O27" s="10" t="n">
        <f aca="false">'Data BoP'!R27</f>
        <v>-298.844007867728</v>
      </c>
      <c r="P27" s="10" t="n">
        <f aca="false">'Data BoP'!AO27</f>
        <v>20.8868539197088</v>
      </c>
      <c r="Q27" s="10" t="n">
        <f aca="false">'Data BoP'!S27</f>
        <v>157.520410844401</v>
      </c>
      <c r="R27" s="10" t="n">
        <f aca="false">'Data BoP'!T27</f>
        <v>1.15</v>
      </c>
      <c r="T27" s="14" t="str">
        <f aca="false">'Data BoP'!B27</f>
        <v>2011-Q2</v>
      </c>
      <c r="U27" s="15" t="n">
        <f aca="false">('Data BoP'!E24)+('Data BoP'!E25)+('Data BoP'!E26)+('Data BoP'!E27)</f>
        <v>-3824.99904945616</v>
      </c>
      <c r="V27" s="10" t="n">
        <f aca="false">('Data BoP'!G24)+('Data BoP'!G25)+('Data BoP'!G26)+('Data BoP'!G27)</f>
        <v>12671.84445411</v>
      </c>
      <c r="W27" s="10" t="n">
        <f aca="false">('Data BoP'!H24)+('Data BoP'!H25)+('Data BoP'!H26)+('Data BoP'!H27)</f>
        <v>75645.418</v>
      </c>
      <c r="X27" s="10" t="n">
        <f aca="false">('Data BoP'!I24)+('Data BoP'!I25)+('Data BoP'!I26)+('Data BoP'!I27)</f>
        <v>62973.57354589</v>
      </c>
      <c r="Y27" s="10" t="n">
        <f aca="false">('Data BoP'!J24)+('Data BoP'!J25)+('Data BoP'!J26)+('Data BoP'!J27)</f>
        <v>-2302.33338814363</v>
      </c>
      <c r="Z27" s="10" t="n">
        <f aca="false">('Data BoP'!K24)+('Data BoP'!K25)+('Data BoP'!K26)+('Data BoP'!K27)</f>
        <v>13535.5027033925</v>
      </c>
      <c r="AA27" s="10" t="n">
        <f aca="false">('Data BoP'!L24)+('Data BoP'!L25)+('Data BoP'!L26)+('Data BoP'!L27)</f>
        <v>15837.8360915361</v>
      </c>
      <c r="AB27" s="10" t="n">
        <f aca="false">('Data BoP'!M24)+('Data BoP'!M25)+('Data BoP'!M26)+('Data BoP'!M27)</f>
        <v>-14602.5233381329</v>
      </c>
      <c r="AC27" s="10" t="n">
        <f aca="false">('Data BoP'!N24)+('Data BoP'!N25)+('Data BoP'!N26)+('Data BoP'!N27)</f>
        <v>-49.7178351181714</v>
      </c>
      <c r="AD27" s="10" t="n">
        <f aca="false">('Data BoP'!O24)+('Data BoP'!O25)+('Data BoP'!O26)+('Data BoP'!O27)</f>
        <v>-14552.8055030148</v>
      </c>
      <c r="AE27" s="10" t="n">
        <f aca="false">('Data BoP'!P24)+('Data BoP'!P25)+('Data BoP'!P26)+('Data BoP'!P27)</f>
        <v>-11028.2080376109</v>
      </c>
      <c r="AF27" s="10" t="n">
        <f aca="false">('Data BoP'!Q24)+('Data BoP'!Q25)+('Data BoP'!Q26)+('Data BoP'!Q27)</f>
        <v>-2581.99642610092</v>
      </c>
      <c r="AG27" s="10" t="n">
        <f aca="false">('Data BoP'!R24)+('Data BoP'!R25)+('Data BoP'!R26)+('Data BoP'!R27)</f>
        <v>-1070.73181419716</v>
      </c>
      <c r="AH27" s="10" t="n">
        <f aca="false">('Data BoP'!AO24)+('Data BoP'!AO25)+('Data BoP'!AO26)+('Data BoP'!AO27)</f>
        <v>128.130774894193</v>
      </c>
      <c r="AI27" s="10" t="n">
        <f aca="false">('Data BoP'!S24)+('Data BoP'!S25)+('Data BoP'!S26)+('Data BoP'!S27)</f>
        <v>408.013222710389</v>
      </c>
      <c r="AJ27" s="10" t="n">
        <f aca="false">('Data BoP'!T24)+('Data BoP'!T25)+('Data BoP'!T26)+('Data BoP'!T27)</f>
        <v>74.9026972475691</v>
      </c>
    </row>
    <row r="28" customFormat="false" ht="15" hidden="false" customHeight="false" outlineLevel="0" collapsed="false">
      <c r="B28" s="14" t="str">
        <f aca="false">'Data BoP'!B28</f>
        <v>2011-Q3</v>
      </c>
      <c r="C28" s="15" t="n">
        <f aca="false">'Data BoP'!E28</f>
        <v>-1516.10986045585</v>
      </c>
      <c r="D28" s="10" t="n">
        <f aca="false">'Data BoP'!G28</f>
        <v>2809.74301034</v>
      </c>
      <c r="E28" s="10" t="n">
        <f aca="false">'Data BoP'!H28</f>
        <v>23303.707</v>
      </c>
      <c r="F28" s="10" t="n">
        <f aca="false">'Data BoP'!I28</f>
        <v>20493.96398966</v>
      </c>
      <c r="G28" s="10" t="n">
        <f aca="false">'Data BoP'!J28</f>
        <v>-882.780148191648</v>
      </c>
      <c r="H28" s="10" t="n">
        <f aca="false">'Data BoP'!K28</f>
        <v>3450.41139520334</v>
      </c>
      <c r="I28" s="10" t="n">
        <f aca="false">'Data BoP'!L28</f>
        <v>4333.19154339499</v>
      </c>
      <c r="J28" s="10" t="n">
        <f aca="false">'Data BoP'!M28</f>
        <v>-3654.53858075814</v>
      </c>
      <c r="K28" s="10" t="n">
        <f aca="false">'Data BoP'!N28</f>
        <v>-15.8374744330858</v>
      </c>
      <c r="L28" s="10" t="n">
        <f aca="false">'Data BoP'!O28</f>
        <v>-3638.70110632506</v>
      </c>
      <c r="M28" s="10" t="n">
        <f aca="false">'Data BoP'!P28</f>
        <v>-2703.66494339349</v>
      </c>
      <c r="N28" s="10" t="n">
        <f aca="false">'Data BoP'!Q28</f>
        <v>-652.551880315066</v>
      </c>
      <c r="O28" s="10" t="n">
        <f aca="false">'Data BoP'!R28</f>
        <v>-300.531475076963</v>
      </c>
      <c r="P28" s="10" t="n">
        <f aca="false">'Data BoP'!AO28</f>
        <v>18.0471924604611</v>
      </c>
      <c r="Q28" s="10" t="n">
        <f aca="false">'Data BoP'!S28</f>
        <v>211.465858153944</v>
      </c>
      <c r="R28" s="10" t="n">
        <f aca="false">'Data BoP'!T28</f>
        <v>44.622</v>
      </c>
      <c r="T28" s="14" t="str">
        <f aca="false">'Data BoP'!B28</f>
        <v>2011-Q3</v>
      </c>
      <c r="U28" s="15" t="n">
        <f aca="false">('Data BoP'!E25)+('Data BoP'!E26)+('Data BoP'!E27)+('Data BoP'!E28)</f>
        <v>-4811.87335454515</v>
      </c>
      <c r="V28" s="10" t="n">
        <f aca="false">('Data BoP'!G25)+('Data BoP'!G26)+('Data BoP'!G27)+('Data BoP'!G28)</f>
        <v>11949.44700385</v>
      </c>
      <c r="W28" s="10" t="n">
        <f aca="false">('Data BoP'!H25)+('Data BoP'!H26)+('Data BoP'!H27)+('Data BoP'!H28)</f>
        <v>80181.592</v>
      </c>
      <c r="X28" s="10" t="n">
        <f aca="false">('Data BoP'!I25)+('Data BoP'!I26)+('Data BoP'!I27)+('Data BoP'!I28)</f>
        <v>68232.14499615</v>
      </c>
      <c r="Y28" s="10" t="n">
        <f aca="false">('Data BoP'!J25)+('Data BoP'!J26)+('Data BoP'!J27)+('Data BoP'!J28)</f>
        <v>-2651.20219794298</v>
      </c>
      <c r="Z28" s="10" t="n">
        <f aca="false">('Data BoP'!K25)+('Data BoP'!K26)+('Data BoP'!K27)+('Data BoP'!K28)</f>
        <v>14017.8372927011</v>
      </c>
      <c r="AA28" s="10" t="n">
        <f aca="false">('Data BoP'!L25)+('Data BoP'!L26)+('Data BoP'!L27)+('Data BoP'!L28)</f>
        <v>16669.0394906441</v>
      </c>
      <c r="AB28" s="10" t="n">
        <f aca="false">('Data BoP'!M25)+('Data BoP'!M26)+('Data BoP'!M27)+('Data BoP'!M28)</f>
        <v>-14607.4150661164</v>
      </c>
      <c r="AC28" s="10" t="n">
        <f aca="false">('Data BoP'!N25)+('Data BoP'!N26)+('Data BoP'!N27)+('Data BoP'!N28)</f>
        <v>-49.9146257172015</v>
      </c>
      <c r="AD28" s="10" t="n">
        <f aca="false">('Data BoP'!O25)+('Data BoP'!O26)+('Data BoP'!O27)+('Data BoP'!O28)</f>
        <v>-14557.5004403992</v>
      </c>
      <c r="AE28" s="10" t="n">
        <f aca="false">('Data BoP'!P25)+('Data BoP'!P26)+('Data BoP'!P27)+('Data BoP'!P28)</f>
        <v>-10902.608787356</v>
      </c>
      <c r="AF28" s="10" t="n">
        <f aca="false">('Data BoP'!Q25)+('Data BoP'!Q26)+('Data BoP'!Q27)+('Data BoP'!Q28)</f>
        <v>-2694.37081961121</v>
      </c>
      <c r="AG28" s="10" t="n">
        <f aca="false">('Data BoP'!R25)+('Data BoP'!R26)+('Data BoP'!R27)+('Data BoP'!R28)</f>
        <v>-1064.47336904166</v>
      </c>
      <c r="AH28" s="10" t="n">
        <f aca="false">('Data BoP'!AO25)+('Data BoP'!AO26)+('Data BoP'!AO27)+('Data BoP'!AO28)</f>
        <v>103.952535609705</v>
      </c>
      <c r="AI28" s="10" t="n">
        <f aca="false">('Data BoP'!S25)+('Data BoP'!S26)+('Data BoP'!S27)+('Data BoP'!S28)</f>
        <v>497.29690566425</v>
      </c>
      <c r="AJ28" s="10" t="n">
        <f aca="false">('Data BoP'!T25)+('Data BoP'!T26)+('Data BoP'!T27)+('Data BoP'!T28)</f>
        <v>64.789697247569</v>
      </c>
    </row>
    <row r="29" customFormat="false" ht="15" hidden="false" customHeight="false" outlineLevel="0" collapsed="false">
      <c r="B29" s="14" t="str">
        <f aca="false">'Data BoP'!B29</f>
        <v>2011-Q4</v>
      </c>
      <c r="C29" s="15" t="n">
        <f aca="false">'Data BoP'!E29</f>
        <v>-2090.93178785073</v>
      </c>
      <c r="D29" s="10" t="n">
        <f aca="false">'Data BoP'!G29</f>
        <v>2558.73346763</v>
      </c>
      <c r="E29" s="10" t="n">
        <f aca="false">'Data BoP'!H29</f>
        <v>20276.215</v>
      </c>
      <c r="F29" s="10" t="n">
        <f aca="false">'Data BoP'!I29</f>
        <v>17717.48153237</v>
      </c>
      <c r="G29" s="10" t="n">
        <f aca="false">'Data BoP'!J29</f>
        <v>-636.172594436263</v>
      </c>
      <c r="H29" s="10" t="n">
        <f aca="false">'Data BoP'!K29</f>
        <v>4175.47231114959</v>
      </c>
      <c r="I29" s="10" t="n">
        <f aca="false">'Data BoP'!L29</f>
        <v>4811.64490558586</v>
      </c>
      <c r="J29" s="10" t="n">
        <f aca="false">'Data BoP'!M29</f>
        <v>-4154.26811797249</v>
      </c>
      <c r="K29" s="10" t="n">
        <f aca="false">'Data BoP'!N29</f>
        <v>-9.62709149375674</v>
      </c>
      <c r="L29" s="10" t="n">
        <f aca="false">'Data BoP'!O29</f>
        <v>-4144.64102647874</v>
      </c>
      <c r="M29" s="10" t="n">
        <f aca="false">'Data BoP'!P29</f>
        <v>-3061.1804400372</v>
      </c>
      <c r="N29" s="10" t="n">
        <f aca="false">'Data BoP'!Q29</f>
        <v>-692.599972022326</v>
      </c>
      <c r="O29" s="10" t="n">
        <f aca="false">'Data BoP'!R29</f>
        <v>-402.853876491696</v>
      </c>
      <c r="P29" s="10" t="n">
        <f aca="false">'Data BoP'!AO29</f>
        <v>11.993262072489</v>
      </c>
      <c r="Q29" s="10" t="n">
        <f aca="false">'Data BoP'!S29</f>
        <v>140.775456928025</v>
      </c>
      <c r="R29" s="10" t="n">
        <f aca="false">'Data BoP'!T29</f>
        <v>0.501246223564955</v>
      </c>
      <c r="T29" s="14" t="str">
        <f aca="false">'Data BoP'!B29</f>
        <v>2011-Q4</v>
      </c>
      <c r="U29" s="15" t="n">
        <f aca="false">('Data BoP'!E26)+('Data BoP'!E27)+('Data BoP'!E28)+('Data BoP'!E29)</f>
        <v>-5340.1811923952</v>
      </c>
      <c r="V29" s="10" t="n">
        <f aca="false">('Data BoP'!G26)+('Data BoP'!G27)+('Data BoP'!G28)+('Data BoP'!G29)</f>
        <v>12350.93108679</v>
      </c>
      <c r="W29" s="10" t="n">
        <f aca="false">('Data BoP'!H26)+('Data BoP'!H27)+('Data BoP'!H28)+('Data BoP'!H29)</f>
        <v>83119.709</v>
      </c>
      <c r="X29" s="10" t="n">
        <f aca="false">('Data BoP'!I26)+('Data BoP'!I27)+('Data BoP'!I28)+('Data BoP'!I29)</f>
        <v>70768.77791321</v>
      </c>
      <c r="Y29" s="10" t="n">
        <f aca="false">('Data BoP'!J26)+('Data BoP'!J27)+('Data BoP'!J28)+('Data BoP'!J29)</f>
        <v>-3152.48803707646</v>
      </c>
      <c r="Z29" s="10" t="n">
        <f aca="false">('Data BoP'!K26)+('Data BoP'!K27)+('Data BoP'!K28)+('Data BoP'!K29)</f>
        <v>14496.9812753835</v>
      </c>
      <c r="AA29" s="10" t="n">
        <f aca="false">('Data BoP'!L26)+('Data BoP'!L27)+('Data BoP'!L28)+('Data BoP'!L29)</f>
        <v>17649.4693124599</v>
      </c>
      <c r="AB29" s="10" t="n">
        <f aca="false">('Data BoP'!M26)+('Data BoP'!M27)+('Data BoP'!M28)+('Data BoP'!M29)</f>
        <v>-15073.0670998511</v>
      </c>
      <c r="AC29" s="10" t="n">
        <f aca="false">('Data BoP'!N26)+('Data BoP'!N27)+('Data BoP'!N28)+('Data BoP'!N29)</f>
        <v>-45.8978777473206</v>
      </c>
      <c r="AD29" s="10" t="n">
        <f aca="false">('Data BoP'!O26)+('Data BoP'!O27)+('Data BoP'!O28)+('Data BoP'!O29)</f>
        <v>-15027.1692221038</v>
      </c>
      <c r="AE29" s="10" t="n">
        <f aca="false">('Data BoP'!P26)+('Data BoP'!P27)+('Data BoP'!P28)+('Data BoP'!P29)</f>
        <v>-11136.3552417709</v>
      </c>
      <c r="AF29" s="10" t="n">
        <f aca="false">('Data BoP'!Q26)+('Data BoP'!Q27)+('Data BoP'!Q28)+('Data BoP'!Q29)</f>
        <v>-2744.69186507656</v>
      </c>
      <c r="AG29" s="10" t="n">
        <f aca="false">('Data BoP'!R26)+('Data BoP'!R27)+('Data BoP'!R28)+('Data BoP'!R29)</f>
        <v>-1227.8536733586</v>
      </c>
      <c r="AH29" s="10" t="n">
        <f aca="false">('Data BoP'!AO26)+('Data BoP'!AO27)+('Data BoP'!AO28)+('Data BoP'!AO29)</f>
        <v>81.7315581022147</v>
      </c>
      <c r="AI29" s="10" t="n">
        <f aca="false">('Data BoP'!S26)+('Data BoP'!S27)+('Data BoP'!S28)+('Data BoP'!S29)</f>
        <v>534.442857742389</v>
      </c>
      <c r="AJ29" s="10" t="n">
        <f aca="false">('Data BoP'!T26)+('Data BoP'!T27)+('Data BoP'!T28)+('Data BoP'!T29)</f>
        <v>62.723846223565</v>
      </c>
    </row>
    <row r="30" customFormat="false" ht="15" hidden="false" customHeight="false" outlineLevel="0" collapsed="false">
      <c r="B30" s="14" t="str">
        <f aca="false">'Data BoP'!B30</f>
        <v>2012-Q1</v>
      </c>
      <c r="C30" s="15" t="n">
        <f aca="false">'Data BoP'!E30</f>
        <v>-1782.46938272684</v>
      </c>
      <c r="D30" s="10" t="n">
        <f aca="false">'Data BoP'!G30</f>
        <v>3047.27200551</v>
      </c>
      <c r="E30" s="10" t="n">
        <f aca="false">'Data BoP'!H30</f>
        <v>17652.115</v>
      </c>
      <c r="F30" s="10" t="n">
        <f aca="false">'Data BoP'!I30</f>
        <v>14604.84299449</v>
      </c>
      <c r="G30" s="10" t="n">
        <f aca="false">'Data BoP'!J30</f>
        <v>-1223.25851960607</v>
      </c>
      <c r="H30" s="10" t="n">
        <f aca="false">'Data BoP'!K30</f>
        <v>3842.8691195722</v>
      </c>
      <c r="I30" s="10" t="n">
        <f aca="false">'Data BoP'!L30</f>
        <v>5066.12763917827</v>
      </c>
      <c r="J30" s="10" t="n">
        <f aca="false">'Data BoP'!M30</f>
        <v>-3756.49834392929</v>
      </c>
      <c r="K30" s="10" t="n">
        <f aca="false">'Data BoP'!N30</f>
        <v>-12.405693889</v>
      </c>
      <c r="L30" s="10" t="n">
        <f aca="false">'Data BoP'!O30</f>
        <v>-3744.09265004029</v>
      </c>
      <c r="M30" s="10" t="n">
        <f aca="false">'Data BoP'!P30</f>
        <v>-2677.1006536569</v>
      </c>
      <c r="N30" s="10" t="n">
        <f aca="false">'Data BoP'!Q30</f>
        <v>-655.759146933993</v>
      </c>
      <c r="O30" s="10" t="n">
        <f aca="false">'Data BoP'!R30</f>
        <v>-421.622967743331</v>
      </c>
      <c r="P30" s="10" t="n">
        <f aca="false">'Data BoP'!AO30</f>
        <v>10.3901182939359</v>
      </c>
      <c r="Q30" s="10" t="n">
        <f aca="false">'Data BoP'!S30</f>
        <v>150.015475298524</v>
      </c>
      <c r="R30" s="10" t="n">
        <f aca="false">'Data BoP'!T30</f>
        <v>0.850000000000001</v>
      </c>
      <c r="T30" s="14" t="str">
        <f aca="false">'Data BoP'!B30</f>
        <v>2012-Q1</v>
      </c>
      <c r="U30" s="15" t="n">
        <f aca="false">('Data BoP'!E27)+('Data BoP'!E28)+('Data BoP'!E29)+('Data BoP'!E30)</f>
        <v>-4880.52281235096</v>
      </c>
      <c r="V30" s="10" t="n">
        <f aca="false">('Data BoP'!G27)+('Data BoP'!G28)+('Data BoP'!G29)+('Data BoP'!G30)</f>
        <v>13315.30080912</v>
      </c>
      <c r="W30" s="10" t="n">
        <f aca="false">('Data BoP'!H27)+('Data BoP'!H28)+('Data BoP'!H29)+('Data BoP'!H30)</f>
        <v>84065.225</v>
      </c>
      <c r="X30" s="10" t="n">
        <f aca="false">('Data BoP'!I27)+('Data BoP'!I28)+('Data BoP'!I29)+('Data BoP'!I30)</f>
        <v>70749.92419088</v>
      </c>
      <c r="Y30" s="10" t="n">
        <f aca="false">('Data BoP'!J27)+('Data BoP'!J28)+('Data BoP'!J29)+('Data BoP'!J30)</f>
        <v>-3524.02666183034</v>
      </c>
      <c r="Z30" s="10" t="n">
        <f aca="false">('Data BoP'!K27)+('Data BoP'!K28)+('Data BoP'!K29)+('Data BoP'!K30)</f>
        <v>14816.3481672766</v>
      </c>
      <c r="AA30" s="10" t="n">
        <f aca="false">('Data BoP'!L27)+('Data BoP'!L28)+('Data BoP'!L29)+('Data BoP'!L30)</f>
        <v>18340.3748291069</v>
      </c>
      <c r="AB30" s="10" t="n">
        <f aca="false">('Data BoP'!M27)+('Data BoP'!M28)+('Data BoP'!M29)+('Data BoP'!M30)</f>
        <v>-15331.5741608655</v>
      </c>
      <c r="AC30" s="10" t="n">
        <f aca="false">('Data BoP'!N27)+('Data BoP'!N28)+('Data BoP'!N29)+('Data BoP'!N30)</f>
        <v>-48.7133700363372</v>
      </c>
      <c r="AD30" s="10" t="n">
        <f aca="false">('Data BoP'!O27)+('Data BoP'!O28)+('Data BoP'!O29)+('Data BoP'!O30)</f>
        <v>-15282.8607908292</v>
      </c>
      <c r="AE30" s="10" t="n">
        <f aca="false">('Data BoP'!P27)+('Data BoP'!P28)+('Data BoP'!P29)+('Data BoP'!P30)</f>
        <v>-11193.0319177838</v>
      </c>
      <c r="AF30" s="10" t="n">
        <f aca="false">('Data BoP'!Q27)+('Data BoP'!Q28)+('Data BoP'!Q29)+('Data BoP'!Q30)</f>
        <v>-2727.29397261225</v>
      </c>
      <c r="AG30" s="10" t="n">
        <f aca="false">('Data BoP'!R27)+('Data BoP'!R28)+('Data BoP'!R29)+('Data BoP'!R30)</f>
        <v>-1423.85232717972</v>
      </c>
      <c r="AH30" s="10" t="n">
        <f aca="false">('Data BoP'!AO27)+('Data BoP'!AO28)+('Data BoP'!AO29)+('Data BoP'!AO30)</f>
        <v>61.3174267465947</v>
      </c>
      <c r="AI30" s="10" t="n">
        <f aca="false">('Data BoP'!S27)+('Data BoP'!S28)+('Data BoP'!S29)+('Data BoP'!S30)</f>
        <v>659.777201224894</v>
      </c>
      <c r="AJ30" s="10" t="n">
        <f aca="false">('Data BoP'!T27)+('Data BoP'!T28)+('Data BoP'!T29)+('Data BoP'!T30)</f>
        <v>47.123246223565</v>
      </c>
    </row>
    <row r="31" customFormat="false" ht="15" hidden="false" customHeight="false" outlineLevel="0" collapsed="false">
      <c r="B31" s="14" t="str">
        <f aca="false">'Data BoP'!B31</f>
        <v>2012-Q2</v>
      </c>
      <c r="C31" s="15" t="n">
        <f aca="false">'Data BoP'!E31</f>
        <v>498.908373135819</v>
      </c>
      <c r="D31" s="10" t="n">
        <f aca="false">'Data BoP'!G31</f>
        <v>4601.25109001001</v>
      </c>
      <c r="E31" s="10" t="n">
        <f aca="false">'Data BoP'!H31</f>
        <v>20646.265</v>
      </c>
      <c r="F31" s="10" t="n">
        <f aca="false">'Data BoP'!I31</f>
        <v>16045.01390999</v>
      </c>
      <c r="G31" s="10" t="n">
        <f aca="false">'Data BoP'!J31</f>
        <v>-1028.77341972023</v>
      </c>
      <c r="H31" s="10" t="n">
        <f aca="false">'Data BoP'!K31</f>
        <v>3354.26213069839</v>
      </c>
      <c r="I31" s="10" t="n">
        <f aca="false">'Data BoP'!L31</f>
        <v>4383.03555041862</v>
      </c>
      <c r="J31" s="10" t="n">
        <f aca="false">'Data BoP'!M31</f>
        <v>-3271.46285802489</v>
      </c>
      <c r="K31" s="10" t="n">
        <f aca="false">'Data BoP'!N31</f>
        <v>-10.4714568590235</v>
      </c>
      <c r="L31" s="10" t="n">
        <f aca="false">'Data BoP'!O31</f>
        <v>-3260.99140116587</v>
      </c>
      <c r="M31" s="10" t="n">
        <f aca="false">'Data BoP'!P31</f>
        <v>-2303.1263428595</v>
      </c>
      <c r="N31" s="10" t="n">
        <f aca="false">'Data BoP'!Q31</f>
        <v>-683.713390840485</v>
      </c>
      <c r="O31" s="10" t="n">
        <f aca="false">'Data BoP'!R31</f>
        <v>-287.497766133374</v>
      </c>
      <c r="P31" s="10" t="n">
        <f aca="false">'Data BoP'!AO31</f>
        <v>13.3460986674924</v>
      </c>
      <c r="Q31" s="10" t="n">
        <f aca="false">'Data BoP'!S31</f>
        <v>197.893560870929</v>
      </c>
      <c r="R31" s="10" t="n">
        <f aca="false">'Data BoP'!T31</f>
        <v>22.1902995688196</v>
      </c>
      <c r="T31" s="14" t="str">
        <f aca="false">'Data BoP'!B31</f>
        <v>2012-Q2</v>
      </c>
      <c r="U31" s="15" t="n">
        <f aca="false">('Data BoP'!E28)+('Data BoP'!E29)+('Data BoP'!E30)+('Data BoP'!E31)</f>
        <v>-4890.6026578976</v>
      </c>
      <c r="V31" s="10" t="n">
        <f aca="false">('Data BoP'!G28)+('Data BoP'!G29)+('Data BoP'!G30)+('Data BoP'!G31)</f>
        <v>13016.99957349</v>
      </c>
      <c r="W31" s="10" t="n">
        <f aca="false">('Data BoP'!H28)+('Data BoP'!H29)+('Data BoP'!H30)+('Data BoP'!H31)</f>
        <v>81878.302</v>
      </c>
      <c r="X31" s="10" t="n">
        <f aca="false">('Data BoP'!I28)+('Data BoP'!I29)+('Data BoP'!I30)+('Data BoP'!I31)</f>
        <v>68861.30242651</v>
      </c>
      <c r="Y31" s="10" t="n">
        <f aca="false">('Data BoP'!J28)+('Data BoP'!J29)+('Data BoP'!J30)+('Data BoP'!J31)</f>
        <v>-3770.98468195421</v>
      </c>
      <c r="Z31" s="10" t="n">
        <f aca="false">('Data BoP'!K28)+('Data BoP'!K29)+('Data BoP'!K30)+('Data BoP'!K31)</f>
        <v>14823.0149566235</v>
      </c>
      <c r="AA31" s="10" t="n">
        <f aca="false">('Data BoP'!L28)+('Data BoP'!L29)+('Data BoP'!L30)+('Data BoP'!L31)</f>
        <v>18593.9996385777</v>
      </c>
      <c r="AB31" s="10" t="n">
        <f aca="false">('Data BoP'!M28)+('Data BoP'!M29)+('Data BoP'!M30)+('Data BoP'!M31)</f>
        <v>-14836.7679006848</v>
      </c>
      <c r="AC31" s="10" t="n">
        <f aca="false">('Data BoP'!N28)+('Data BoP'!N29)+('Data BoP'!N30)+('Data BoP'!N31)</f>
        <v>-48.3417166748661</v>
      </c>
      <c r="AD31" s="10" t="n">
        <f aca="false">('Data BoP'!O28)+('Data BoP'!O29)+('Data BoP'!O30)+('Data BoP'!O31)</f>
        <v>-14788.4261840099</v>
      </c>
      <c r="AE31" s="10" t="n">
        <f aca="false">('Data BoP'!P28)+('Data BoP'!P29)+('Data BoP'!P30)+('Data BoP'!P31)</f>
        <v>-10745.0723799471</v>
      </c>
      <c r="AF31" s="10" t="n">
        <f aca="false">('Data BoP'!Q28)+('Data BoP'!Q29)+('Data BoP'!Q30)+('Data BoP'!Q31)</f>
        <v>-2684.62439011187</v>
      </c>
      <c r="AG31" s="10" t="n">
        <f aca="false">('Data BoP'!R28)+('Data BoP'!R29)+('Data BoP'!R30)+('Data BoP'!R31)</f>
        <v>-1412.50608544536</v>
      </c>
      <c r="AH31" s="10" t="n">
        <f aca="false">('Data BoP'!AO28)+('Data BoP'!AO29)+('Data BoP'!AO30)+('Data BoP'!AO31)</f>
        <v>53.7766714943783</v>
      </c>
      <c r="AI31" s="10" t="n">
        <f aca="false">('Data BoP'!S28)+('Data BoP'!S29)+('Data BoP'!S30)+('Data BoP'!S31)</f>
        <v>700.150351251423</v>
      </c>
      <c r="AJ31" s="10" t="n">
        <f aca="false">('Data BoP'!T28)+('Data BoP'!T29)+('Data BoP'!T30)+('Data BoP'!T31)</f>
        <v>68.1635457923845</v>
      </c>
    </row>
    <row r="32" customFormat="false" ht="15" hidden="false" customHeight="false" outlineLevel="0" collapsed="false">
      <c r="B32" s="14" t="str">
        <f aca="false">'Data BoP'!B32</f>
        <v>2012-Q3</v>
      </c>
      <c r="C32" s="15" t="n">
        <f aca="false">'Data BoP'!E32</f>
        <v>66.3574167130282</v>
      </c>
      <c r="D32" s="10" t="n">
        <f aca="false">'Data BoP'!G32</f>
        <v>4244.94298829001</v>
      </c>
      <c r="E32" s="10" t="n">
        <f aca="false">'Data BoP'!H32</f>
        <v>21920.104</v>
      </c>
      <c r="F32" s="10" t="n">
        <f aca="false">'Data BoP'!I32</f>
        <v>17675.16101171</v>
      </c>
      <c r="G32" s="10" t="n">
        <f aca="false">'Data BoP'!J32</f>
        <v>-1016.30230748321</v>
      </c>
      <c r="H32" s="10" t="n">
        <f aca="false">'Data BoP'!K32</f>
        <v>3413.57383659744</v>
      </c>
      <c r="I32" s="10" t="n">
        <f aca="false">'Data BoP'!L32</f>
        <v>4429.87614408066</v>
      </c>
      <c r="J32" s="10" t="n">
        <f aca="false">'Data BoP'!M32</f>
        <v>-3329.34441346649</v>
      </c>
      <c r="K32" s="10" t="n">
        <f aca="false">'Data BoP'!N32</f>
        <v>-23.251576894253</v>
      </c>
      <c r="L32" s="10" t="n">
        <f aca="false">'Data BoP'!O32</f>
        <v>-3306.09283657224</v>
      </c>
      <c r="M32" s="10" t="n">
        <f aca="false">'Data BoP'!P32</f>
        <v>-2250.39710584596</v>
      </c>
      <c r="N32" s="10" t="n">
        <f aca="false">'Data BoP'!Q32</f>
        <v>-644.023834475331</v>
      </c>
      <c r="O32" s="10" t="n">
        <f aca="false">'Data BoP'!R32</f>
        <v>-425.549390007075</v>
      </c>
      <c r="P32" s="10" t="n">
        <f aca="false">'Data BoP'!AO32</f>
        <v>13.877493756124</v>
      </c>
      <c r="Q32" s="10" t="n">
        <f aca="false">'Data BoP'!S32</f>
        <v>167.061149372726</v>
      </c>
      <c r="R32" s="10" t="n">
        <f aca="false">'Data BoP'!T32</f>
        <v>28.495</v>
      </c>
      <c r="T32" s="14" t="str">
        <f aca="false">'Data BoP'!B32</f>
        <v>2012-Q3</v>
      </c>
      <c r="U32" s="15" t="n">
        <f aca="false">('Data BoP'!E29)+('Data BoP'!E30)+('Data BoP'!E31)+('Data BoP'!E32)</f>
        <v>-3308.13538072872</v>
      </c>
      <c r="V32" s="10" t="n">
        <f aca="false">('Data BoP'!G29)+('Data BoP'!G30)+('Data BoP'!G31)+('Data BoP'!G32)</f>
        <v>14452.19955144</v>
      </c>
      <c r="W32" s="10" t="n">
        <f aca="false">('Data BoP'!H29)+('Data BoP'!H30)+('Data BoP'!H31)+('Data BoP'!H32)</f>
        <v>80494.699</v>
      </c>
      <c r="X32" s="10" t="n">
        <f aca="false">('Data BoP'!I29)+('Data BoP'!I30)+('Data BoP'!I31)+('Data BoP'!I32)</f>
        <v>66042.49944856</v>
      </c>
      <c r="Y32" s="10" t="n">
        <f aca="false">('Data BoP'!J29)+('Data BoP'!J30)+('Data BoP'!J31)+('Data BoP'!J32)</f>
        <v>-3904.50684124578</v>
      </c>
      <c r="Z32" s="10" t="n">
        <f aca="false">('Data BoP'!K29)+('Data BoP'!K30)+('Data BoP'!K31)+('Data BoP'!K32)</f>
        <v>14786.1773980176</v>
      </c>
      <c r="AA32" s="10" t="n">
        <f aca="false">('Data BoP'!L29)+('Data BoP'!L30)+('Data BoP'!L31)+('Data BoP'!L32)</f>
        <v>18690.6842392634</v>
      </c>
      <c r="AB32" s="10" t="n">
        <f aca="false">('Data BoP'!M29)+('Data BoP'!M30)+('Data BoP'!M31)+('Data BoP'!M32)</f>
        <v>-14511.5737333932</v>
      </c>
      <c r="AC32" s="10" t="n">
        <f aca="false">('Data BoP'!N29)+('Data BoP'!N30)+('Data BoP'!N31)+('Data BoP'!N32)</f>
        <v>-55.7558191360333</v>
      </c>
      <c r="AD32" s="10" t="n">
        <f aca="false">('Data BoP'!O29)+('Data BoP'!O30)+('Data BoP'!O31)+('Data BoP'!O32)</f>
        <v>-14455.8179142571</v>
      </c>
      <c r="AE32" s="10" t="n">
        <f aca="false">('Data BoP'!P29)+('Data BoP'!P30)+('Data BoP'!P31)+('Data BoP'!P32)</f>
        <v>-10291.8045423996</v>
      </c>
      <c r="AF32" s="10" t="n">
        <f aca="false">('Data BoP'!Q29)+('Data BoP'!Q30)+('Data BoP'!Q31)+('Data BoP'!Q32)</f>
        <v>-2676.09634427214</v>
      </c>
      <c r="AG32" s="10" t="n">
        <f aca="false">('Data BoP'!R29)+('Data BoP'!R30)+('Data BoP'!R31)+('Data BoP'!R32)</f>
        <v>-1537.52400037548</v>
      </c>
      <c r="AH32" s="10" t="n">
        <f aca="false">('Data BoP'!AO29)+('Data BoP'!AO30)+('Data BoP'!AO31)+('Data BoP'!AO32)</f>
        <v>49.6069727900412</v>
      </c>
      <c r="AI32" s="10" t="n">
        <f aca="false">('Data BoP'!S29)+('Data BoP'!S30)+('Data BoP'!S31)+('Data BoP'!S32)</f>
        <v>655.745642470205</v>
      </c>
      <c r="AJ32" s="10" t="n">
        <f aca="false">('Data BoP'!T29)+('Data BoP'!T30)+('Data BoP'!T31)+('Data BoP'!T32)</f>
        <v>52.0365457923845</v>
      </c>
    </row>
    <row r="33" customFormat="false" ht="15" hidden="false" customHeight="false" outlineLevel="0" collapsed="false">
      <c r="B33" s="14" t="str">
        <f aca="false">'Data BoP'!B33</f>
        <v>2012-Q4</v>
      </c>
      <c r="C33" s="15" t="n">
        <f aca="false">'Data BoP'!E33</f>
        <v>-920.836767554967</v>
      </c>
      <c r="D33" s="10" t="n">
        <f aca="false">'Data BoP'!G33</f>
        <v>3147.44670273</v>
      </c>
      <c r="E33" s="10" t="n">
        <f aca="false">'Data BoP'!H33</f>
        <v>19865.171</v>
      </c>
      <c r="F33" s="10" t="n">
        <f aca="false">'Data BoP'!I33</f>
        <v>16717.72429727</v>
      </c>
      <c r="G33" s="10" t="n">
        <f aca="false">'Data BoP'!J33</f>
        <v>-828.890477162337</v>
      </c>
      <c r="H33" s="10" t="n">
        <f aca="false">'Data BoP'!K33</f>
        <v>3636.39564268968</v>
      </c>
      <c r="I33" s="10" t="n">
        <f aca="false">'Data BoP'!L33</f>
        <v>4465.28611985202</v>
      </c>
      <c r="J33" s="10" t="n">
        <f aca="false">'Data BoP'!M33</f>
        <v>-3396.53501163234</v>
      </c>
      <c r="K33" s="10" t="n">
        <f aca="false">'Data BoP'!N33</f>
        <v>-16.6431992204254</v>
      </c>
      <c r="L33" s="10" t="n">
        <f aca="false">'Data BoP'!O33</f>
        <v>-3379.89181241191</v>
      </c>
      <c r="M33" s="10" t="n">
        <f aca="false">'Data BoP'!P33</f>
        <v>-2385.62470220159</v>
      </c>
      <c r="N33" s="10" t="n">
        <f aca="false">'Data BoP'!Q33</f>
        <v>-675.003933605329</v>
      </c>
      <c r="O33" s="10" t="n">
        <f aca="false">'Data BoP'!R33</f>
        <v>-335.503405795686</v>
      </c>
      <c r="P33" s="10" t="n">
        <f aca="false">'Data BoP'!AO33</f>
        <v>16.2402291906885</v>
      </c>
      <c r="Q33" s="10" t="n">
        <f aca="false">'Data BoP'!S33</f>
        <v>157.142018509711</v>
      </c>
      <c r="R33" s="10" t="n">
        <f aca="false">'Data BoP'!T33</f>
        <v>-3.651255</v>
      </c>
      <c r="T33" s="14" t="str">
        <f aca="false">'Data BoP'!B33</f>
        <v>2012-Q4</v>
      </c>
      <c r="U33" s="15" t="n">
        <f aca="false">('Data BoP'!E30)+('Data BoP'!E31)+('Data BoP'!E32)+('Data BoP'!E33)</f>
        <v>-2138.04036043296</v>
      </c>
      <c r="V33" s="10" t="n">
        <f aca="false">('Data BoP'!G30)+('Data BoP'!G31)+('Data BoP'!G32)+('Data BoP'!G33)</f>
        <v>15040.91278654</v>
      </c>
      <c r="W33" s="10" t="n">
        <f aca="false">('Data BoP'!H30)+('Data BoP'!H31)+('Data BoP'!H32)+('Data BoP'!H33)</f>
        <v>80083.655</v>
      </c>
      <c r="X33" s="10" t="n">
        <f aca="false">('Data BoP'!I30)+('Data BoP'!I31)+('Data BoP'!I32)+('Data BoP'!I33)</f>
        <v>65042.74221346</v>
      </c>
      <c r="Y33" s="10" t="n">
        <f aca="false">('Data BoP'!J30)+('Data BoP'!J31)+('Data BoP'!J32)+('Data BoP'!J33)</f>
        <v>-4097.22472397185</v>
      </c>
      <c r="Z33" s="10" t="n">
        <f aca="false">('Data BoP'!K30)+('Data BoP'!K31)+('Data BoP'!K32)+('Data BoP'!K33)</f>
        <v>14247.1007295577</v>
      </c>
      <c r="AA33" s="10" t="n">
        <f aca="false">('Data BoP'!L30)+('Data BoP'!L31)+('Data BoP'!L32)+('Data BoP'!L33)</f>
        <v>18344.3254535296</v>
      </c>
      <c r="AB33" s="10" t="n">
        <f aca="false">('Data BoP'!M30)+('Data BoP'!M31)+('Data BoP'!M32)+('Data BoP'!M33)</f>
        <v>-13753.840627053</v>
      </c>
      <c r="AC33" s="10" t="n">
        <f aca="false">('Data BoP'!N30)+('Data BoP'!N31)+('Data BoP'!N32)+('Data BoP'!N33)</f>
        <v>-62.7719268627019</v>
      </c>
      <c r="AD33" s="10" t="n">
        <f aca="false">('Data BoP'!O30)+('Data BoP'!O31)+('Data BoP'!O32)+('Data BoP'!O33)</f>
        <v>-13691.0687001903</v>
      </c>
      <c r="AE33" s="10" t="n">
        <f aca="false">('Data BoP'!P30)+('Data BoP'!P31)+('Data BoP'!P32)+('Data BoP'!P33)</f>
        <v>-9616.24880456394</v>
      </c>
      <c r="AF33" s="10" t="n">
        <f aca="false">('Data BoP'!Q30)+('Data BoP'!Q31)+('Data BoP'!Q32)+('Data BoP'!Q33)</f>
        <v>-2658.50030585514</v>
      </c>
      <c r="AG33" s="10" t="n">
        <f aca="false">('Data BoP'!R30)+('Data BoP'!R31)+('Data BoP'!R32)+('Data BoP'!R33)</f>
        <v>-1470.17352967947</v>
      </c>
      <c r="AH33" s="10" t="n">
        <f aca="false">('Data BoP'!AO30)+('Data BoP'!AO31)+('Data BoP'!AO32)+('Data BoP'!AO33)</f>
        <v>53.8539399082407</v>
      </c>
      <c r="AI33" s="10" t="n">
        <f aca="false">('Data BoP'!S30)+('Data BoP'!S31)+('Data BoP'!S32)+('Data BoP'!S33)</f>
        <v>672.112204051891</v>
      </c>
      <c r="AJ33" s="10" t="n">
        <f aca="false">('Data BoP'!T30)+('Data BoP'!T31)+('Data BoP'!T32)+('Data BoP'!T33)</f>
        <v>47.8840445688196</v>
      </c>
    </row>
    <row r="34" customFormat="false" ht="15" hidden="false" customHeight="false" outlineLevel="0" collapsed="false">
      <c r="B34" s="14" t="str">
        <f aca="false">'Data BoP'!B34</f>
        <v>2013-Q1</v>
      </c>
      <c r="C34" s="15" t="n">
        <f aca="false">'Data BoP'!E34</f>
        <v>-3885.82618545931</v>
      </c>
      <c r="D34" s="10" t="n">
        <f aca="false">'Data BoP'!G34</f>
        <v>1011.61183509001</v>
      </c>
      <c r="E34" s="10" t="n">
        <f aca="false">'Data BoP'!H34</f>
        <v>16467.46885315</v>
      </c>
      <c r="F34" s="10" t="n">
        <f aca="false">'Data BoP'!I34</f>
        <v>15455.85701806</v>
      </c>
      <c r="G34" s="10" t="n">
        <f aca="false">'Data BoP'!J34</f>
        <v>-1730.27634765586</v>
      </c>
      <c r="H34" s="10" t="n">
        <f aca="false">'Data BoP'!K34</f>
        <v>3401.60556878379</v>
      </c>
      <c r="I34" s="10" t="n">
        <f aca="false">'Data BoP'!L34</f>
        <v>5131.88191643965</v>
      </c>
      <c r="J34" s="10" t="n">
        <f aca="false">'Data BoP'!M34</f>
        <v>-3342.83109247128</v>
      </c>
      <c r="K34" s="10" t="n">
        <f aca="false">'Data BoP'!N34</f>
        <v>-13.6848796959377</v>
      </c>
      <c r="L34" s="10" t="n">
        <f aca="false">'Data BoP'!O34</f>
        <v>-3329.14621277534</v>
      </c>
      <c r="M34" s="10" t="n">
        <f aca="false">'Data BoP'!P34</f>
        <v>-2341.01706138722</v>
      </c>
      <c r="N34" s="10" t="n">
        <f aca="false">'Data BoP'!Q34</f>
        <v>-659.714477340595</v>
      </c>
      <c r="O34" s="10" t="n">
        <f aca="false">'Data BoP'!R34</f>
        <v>-342.250043401141</v>
      </c>
      <c r="P34" s="10" t="n">
        <f aca="false">'Data BoP'!AO34</f>
        <v>13.8353693536098</v>
      </c>
      <c r="Q34" s="10" t="n">
        <f aca="false">'Data BoP'!S34</f>
        <v>175.669419577825</v>
      </c>
      <c r="R34" s="10" t="n">
        <f aca="false">'Data BoP'!T34</f>
        <v>1.01575621843786</v>
      </c>
      <c r="T34" s="14" t="str">
        <f aca="false">'Data BoP'!B34</f>
        <v>2013-Q1</v>
      </c>
      <c r="U34" s="15" t="n">
        <f aca="false">('Data BoP'!E31)+('Data BoP'!E32)+('Data BoP'!E33)+('Data BoP'!E34)</f>
        <v>-4241.39716316543</v>
      </c>
      <c r="V34" s="10" t="n">
        <f aca="false">('Data BoP'!G31)+('Data BoP'!G32)+('Data BoP'!G33)+('Data BoP'!G34)</f>
        <v>13005.25261612</v>
      </c>
      <c r="W34" s="10" t="n">
        <f aca="false">('Data BoP'!H31)+('Data BoP'!H32)+('Data BoP'!H33)+('Data BoP'!H34)</f>
        <v>78899.00885315</v>
      </c>
      <c r="X34" s="10" t="n">
        <f aca="false">('Data BoP'!I31)+('Data BoP'!I32)+('Data BoP'!I33)+('Data BoP'!I34)</f>
        <v>65893.75623703</v>
      </c>
      <c r="Y34" s="10" t="n">
        <f aca="false">('Data BoP'!J31)+('Data BoP'!J32)+('Data BoP'!J33)+('Data BoP'!J34)</f>
        <v>-4604.24255202164</v>
      </c>
      <c r="Z34" s="10" t="n">
        <f aca="false">('Data BoP'!K31)+('Data BoP'!K32)+('Data BoP'!K33)+('Data BoP'!K34)</f>
        <v>13805.8371787693</v>
      </c>
      <c r="AA34" s="10" t="n">
        <f aca="false">('Data BoP'!L31)+('Data BoP'!L32)+('Data BoP'!L33)+('Data BoP'!L34)</f>
        <v>18410.0797307909</v>
      </c>
      <c r="AB34" s="10" t="n">
        <f aca="false">('Data BoP'!M31)+('Data BoP'!M32)+('Data BoP'!M33)+('Data BoP'!M34)</f>
        <v>-13340.173375595</v>
      </c>
      <c r="AC34" s="10" t="n">
        <f aca="false">('Data BoP'!N31)+('Data BoP'!N32)+('Data BoP'!N33)+('Data BoP'!N34)</f>
        <v>-64.0511126696396</v>
      </c>
      <c r="AD34" s="10" t="n">
        <f aca="false">('Data BoP'!O31)+('Data BoP'!O32)+('Data BoP'!O33)+('Data BoP'!O34)</f>
        <v>-13276.1222629254</v>
      </c>
      <c r="AE34" s="10" t="n">
        <f aca="false">('Data BoP'!P31)+('Data BoP'!P32)+('Data BoP'!P33)+('Data BoP'!P34)</f>
        <v>-9280.16521229426</v>
      </c>
      <c r="AF34" s="10" t="n">
        <f aca="false">('Data BoP'!Q31)+('Data BoP'!Q32)+('Data BoP'!Q33)+('Data BoP'!Q34)</f>
        <v>-2662.45563626174</v>
      </c>
      <c r="AG34" s="10" t="n">
        <f aca="false">('Data BoP'!R31)+('Data BoP'!R32)+('Data BoP'!R33)+('Data BoP'!R34)</f>
        <v>-1390.80060533728</v>
      </c>
      <c r="AH34" s="10" t="n">
        <f aca="false">('Data BoP'!AO31)+('Data BoP'!AO32)+('Data BoP'!AO33)+('Data BoP'!AO34)</f>
        <v>57.2991909679146</v>
      </c>
      <c r="AI34" s="10" t="n">
        <f aca="false">('Data BoP'!S31)+('Data BoP'!S32)+('Data BoP'!S33)+('Data BoP'!S34)</f>
        <v>697.766148331191</v>
      </c>
      <c r="AJ34" s="10" t="n">
        <f aca="false">('Data BoP'!T31)+('Data BoP'!T32)+('Data BoP'!T33)+('Data BoP'!T34)</f>
        <v>48.0498007872574</v>
      </c>
    </row>
    <row r="35" customFormat="false" ht="15" hidden="false" customHeight="false" outlineLevel="0" collapsed="false">
      <c r="B35" s="14" t="str">
        <f aca="false">'Data BoP'!B35</f>
        <v>2013-Q2</v>
      </c>
      <c r="C35" s="15" t="n">
        <f aca="false">'Data BoP'!E35</f>
        <v>-325.745678229941</v>
      </c>
      <c r="D35" s="10" t="n">
        <f aca="false">'Data BoP'!G35</f>
        <v>3779.55849298993</v>
      </c>
      <c r="E35" s="10" t="n">
        <f aca="false">'Data BoP'!H35</f>
        <v>22803.2089764699</v>
      </c>
      <c r="F35" s="10" t="n">
        <f aca="false">'Data BoP'!I35</f>
        <v>19023.65048348</v>
      </c>
      <c r="G35" s="10" t="n">
        <f aca="false">'Data BoP'!J35</f>
        <v>-1276.94532892786</v>
      </c>
      <c r="H35" s="10" t="n">
        <f aca="false">'Data BoP'!K35</f>
        <v>3222.50375079942</v>
      </c>
      <c r="I35" s="10" t="n">
        <f aca="false">'Data BoP'!L35</f>
        <v>4499.44907972728</v>
      </c>
      <c r="J35" s="10" t="n">
        <f aca="false">'Data BoP'!M35</f>
        <v>-3280.78099706065</v>
      </c>
      <c r="K35" s="10" t="n">
        <f aca="false">'Data BoP'!N35</f>
        <v>-16.0796410807878</v>
      </c>
      <c r="L35" s="10" t="n">
        <f aca="false">'Data BoP'!O35</f>
        <v>-3264.70135597987</v>
      </c>
      <c r="M35" s="10" t="n">
        <f aca="false">'Data BoP'!P35</f>
        <v>-2271.88784212242</v>
      </c>
      <c r="N35" s="10" t="n">
        <f aca="false">'Data BoP'!Q35</f>
        <v>-675.019761345183</v>
      </c>
      <c r="O35" s="10" t="n">
        <f aca="false">'Data BoP'!R35</f>
        <v>-328.396707797123</v>
      </c>
      <c r="P35" s="10" t="n">
        <f aca="false">'Data BoP'!AO35</f>
        <v>10.6029552848545</v>
      </c>
      <c r="Q35" s="10" t="n">
        <f aca="false">'Data BoP'!S35</f>
        <v>452.422154768643</v>
      </c>
      <c r="R35" s="10" t="n">
        <f aca="false">'Data BoP'!T35</f>
        <v>0.2678375</v>
      </c>
      <c r="T35" s="14" t="str">
        <f aca="false">'Data BoP'!B35</f>
        <v>2013-Q2</v>
      </c>
      <c r="U35" s="15" t="n">
        <f aca="false">('Data BoP'!E32)+('Data BoP'!E33)+('Data BoP'!E34)+('Data BoP'!E35)</f>
        <v>-5066.05121453119</v>
      </c>
      <c r="V35" s="10" t="n">
        <f aca="false">('Data BoP'!G32)+('Data BoP'!G33)+('Data BoP'!G34)+('Data BoP'!G35)</f>
        <v>12183.5600190999</v>
      </c>
      <c r="W35" s="10" t="n">
        <f aca="false">('Data BoP'!H32)+('Data BoP'!H33)+('Data BoP'!H34)+('Data BoP'!H35)</f>
        <v>81055.9528296199</v>
      </c>
      <c r="X35" s="10" t="n">
        <f aca="false">('Data BoP'!I32)+('Data BoP'!I33)+('Data BoP'!I34)+('Data BoP'!I35)</f>
        <v>68872.39281052</v>
      </c>
      <c r="Y35" s="10" t="n">
        <f aca="false">('Data BoP'!J32)+('Data BoP'!J33)+('Data BoP'!J34)+('Data BoP'!J35)</f>
        <v>-4852.41446122928</v>
      </c>
      <c r="Z35" s="10" t="n">
        <f aca="false">('Data BoP'!K32)+('Data BoP'!K33)+('Data BoP'!K34)+('Data BoP'!K35)</f>
        <v>13674.0787988703</v>
      </c>
      <c r="AA35" s="10" t="n">
        <f aca="false">('Data BoP'!L32)+('Data BoP'!L33)+('Data BoP'!L34)+('Data BoP'!L35)</f>
        <v>18526.4932600996</v>
      </c>
      <c r="AB35" s="10" t="n">
        <f aca="false">('Data BoP'!M32)+('Data BoP'!M33)+('Data BoP'!M34)+('Data BoP'!M35)</f>
        <v>-13349.4915146308</v>
      </c>
      <c r="AC35" s="10" t="n">
        <f aca="false">('Data BoP'!N32)+('Data BoP'!N33)+('Data BoP'!N34)+('Data BoP'!N35)</f>
        <v>-69.6592968914039</v>
      </c>
      <c r="AD35" s="10" t="n">
        <f aca="false">('Data BoP'!O32)+('Data BoP'!O33)+('Data BoP'!O34)+('Data BoP'!O35)</f>
        <v>-13279.8322177394</v>
      </c>
      <c r="AE35" s="10" t="n">
        <f aca="false">('Data BoP'!P32)+('Data BoP'!P33)+('Data BoP'!P34)+('Data BoP'!P35)</f>
        <v>-9248.92671155717</v>
      </c>
      <c r="AF35" s="10" t="n">
        <f aca="false">('Data BoP'!Q32)+('Data BoP'!Q33)+('Data BoP'!Q34)+('Data BoP'!Q35)</f>
        <v>-2653.76200676644</v>
      </c>
      <c r="AG35" s="10" t="n">
        <f aca="false">('Data BoP'!R32)+('Data BoP'!R33)+('Data BoP'!R34)+('Data BoP'!R35)</f>
        <v>-1431.69954700102</v>
      </c>
      <c r="AH35" s="10" t="n">
        <f aca="false">('Data BoP'!AO32)+('Data BoP'!AO33)+('Data BoP'!AO34)+('Data BoP'!AO35)</f>
        <v>54.5560475852768</v>
      </c>
      <c r="AI35" s="10" t="n">
        <f aca="false">('Data BoP'!S32)+('Data BoP'!S33)+('Data BoP'!S34)+('Data BoP'!S35)</f>
        <v>952.294742228905</v>
      </c>
      <c r="AJ35" s="10" t="n">
        <f aca="false">('Data BoP'!T32)+('Data BoP'!T33)+('Data BoP'!T34)+('Data BoP'!T35)</f>
        <v>26.1273387184379</v>
      </c>
    </row>
    <row r="36" customFormat="false" ht="15" hidden="false" customHeight="false" outlineLevel="0" collapsed="false">
      <c r="B36" s="14" t="str">
        <f aca="false">'Data BoP'!B36</f>
        <v>2013-Q3</v>
      </c>
      <c r="C36" s="15" t="n">
        <f aca="false">'Data BoP'!E36</f>
        <v>-3022.10459690751</v>
      </c>
      <c r="D36" s="10" t="n">
        <f aca="false">'Data BoP'!G36</f>
        <v>1363.03014046998</v>
      </c>
      <c r="E36" s="10" t="n">
        <f aca="false">'Data BoP'!H36</f>
        <v>20605.21595938</v>
      </c>
      <c r="F36" s="10" t="n">
        <f aca="false">'Data BoP'!I36</f>
        <v>19242.18581891</v>
      </c>
      <c r="G36" s="10" t="n">
        <f aca="false">'Data BoP'!J36</f>
        <v>-1353.91551537186</v>
      </c>
      <c r="H36" s="10" t="n">
        <f aca="false">'Data BoP'!K36</f>
        <v>3185.85231014052</v>
      </c>
      <c r="I36" s="10" t="n">
        <f aca="false">'Data BoP'!L36</f>
        <v>4539.76782551238</v>
      </c>
      <c r="J36" s="10" t="n">
        <f aca="false">'Data BoP'!M36</f>
        <v>-3262.52187486657</v>
      </c>
      <c r="K36" s="10" t="n">
        <f aca="false">'Data BoP'!N36</f>
        <v>-19.4897327495606</v>
      </c>
      <c r="L36" s="10" t="n">
        <f aca="false">'Data BoP'!O36</f>
        <v>-3243.03214211701</v>
      </c>
      <c r="M36" s="10" t="n">
        <f aca="false">'Data BoP'!P36</f>
        <v>-2227.60735402081</v>
      </c>
      <c r="N36" s="10" t="n">
        <f aca="false">'Data BoP'!Q36</f>
        <v>-666.633433476575</v>
      </c>
      <c r="O36" s="10" t="n">
        <f aca="false">'Data BoP'!R36</f>
        <v>-356.458020535192</v>
      </c>
      <c r="P36" s="10" t="n">
        <f aca="false">'Data BoP'!AO36</f>
        <v>7.66666591556589</v>
      </c>
      <c r="Q36" s="10" t="n">
        <f aca="false">'Data BoP'!S36</f>
        <v>231.30265286095</v>
      </c>
      <c r="R36" s="10" t="n">
        <f aca="false">'Data BoP'!T36</f>
        <v>32.6452675</v>
      </c>
      <c r="T36" s="14" t="str">
        <f aca="false">'Data BoP'!B36</f>
        <v>2013-Q3</v>
      </c>
      <c r="U36" s="15" t="n">
        <f aca="false">('Data BoP'!E33)+('Data BoP'!E34)+('Data BoP'!E35)+('Data BoP'!E36)</f>
        <v>-8154.51322815173</v>
      </c>
      <c r="V36" s="10" t="n">
        <f aca="false">('Data BoP'!G33)+('Data BoP'!G34)+('Data BoP'!G35)+('Data BoP'!G36)</f>
        <v>9301.64717127991</v>
      </c>
      <c r="W36" s="10" t="n">
        <f aca="false">('Data BoP'!H33)+('Data BoP'!H34)+('Data BoP'!H35)+('Data BoP'!H36)</f>
        <v>79741.0647889999</v>
      </c>
      <c r="X36" s="10" t="n">
        <f aca="false">('Data BoP'!I33)+('Data BoP'!I34)+('Data BoP'!I35)+('Data BoP'!I36)</f>
        <v>70439.41761772</v>
      </c>
      <c r="Y36" s="10" t="n">
        <f aca="false">('Data BoP'!J33)+('Data BoP'!J34)+('Data BoP'!J35)+('Data BoP'!J36)</f>
        <v>-5190.02766911792</v>
      </c>
      <c r="Z36" s="10" t="n">
        <f aca="false">('Data BoP'!K33)+('Data BoP'!K34)+('Data BoP'!K35)+('Data BoP'!K36)</f>
        <v>13446.3572724134</v>
      </c>
      <c r="AA36" s="10" t="n">
        <f aca="false">('Data BoP'!L33)+('Data BoP'!L34)+('Data BoP'!L35)+('Data BoP'!L36)</f>
        <v>18636.3849415313</v>
      </c>
      <c r="AB36" s="10" t="n">
        <f aca="false">('Data BoP'!M33)+('Data BoP'!M34)+('Data BoP'!M35)+('Data BoP'!M36)</f>
        <v>-13282.6689760308</v>
      </c>
      <c r="AC36" s="10" t="n">
        <f aca="false">('Data BoP'!N33)+('Data BoP'!N34)+('Data BoP'!N35)+('Data BoP'!N36)</f>
        <v>-65.8974527467115</v>
      </c>
      <c r="AD36" s="10" t="n">
        <f aca="false">('Data BoP'!O33)+('Data BoP'!O34)+('Data BoP'!O35)+('Data BoP'!O36)</f>
        <v>-13216.7715232841</v>
      </c>
      <c r="AE36" s="10" t="n">
        <f aca="false">('Data BoP'!P33)+('Data BoP'!P34)+('Data BoP'!P35)+('Data BoP'!P36)</f>
        <v>-9226.13695973203</v>
      </c>
      <c r="AF36" s="10" t="n">
        <f aca="false">('Data BoP'!Q33)+('Data BoP'!Q34)+('Data BoP'!Q35)+('Data BoP'!Q36)</f>
        <v>-2676.37160576768</v>
      </c>
      <c r="AG36" s="10" t="n">
        <f aca="false">('Data BoP'!R33)+('Data BoP'!R34)+('Data BoP'!R35)+('Data BoP'!R36)</f>
        <v>-1362.60817752914</v>
      </c>
      <c r="AH36" s="10" t="n">
        <f aca="false">('Data BoP'!AO33)+('Data BoP'!AO34)+('Data BoP'!AO35)+('Data BoP'!AO36)</f>
        <v>48.3452197447187</v>
      </c>
      <c r="AI36" s="10" t="n">
        <f aca="false">('Data BoP'!S33)+('Data BoP'!S34)+('Data BoP'!S35)+('Data BoP'!S36)</f>
        <v>1016.53624571713</v>
      </c>
      <c r="AJ36" s="10" t="n">
        <f aca="false">('Data BoP'!T33)+('Data BoP'!T34)+('Data BoP'!T35)+('Data BoP'!T36)</f>
        <v>30.2776062184379</v>
      </c>
    </row>
    <row r="37" customFormat="false" ht="15" hidden="false" customHeight="false" outlineLevel="0" collapsed="false">
      <c r="B37" s="14" t="str">
        <f aca="false">'Data BoP'!B37</f>
        <v>2013-Q4</v>
      </c>
      <c r="C37" s="15" t="n">
        <f aca="false">'Data BoP'!E37</f>
        <v>-5890.69732526653</v>
      </c>
      <c r="D37" s="10" t="n">
        <f aca="false">'Data BoP'!G37</f>
        <v>-1518.96522763998</v>
      </c>
      <c r="E37" s="10" t="n">
        <f aca="false">'Data BoP'!H37</f>
        <v>16052.33457207</v>
      </c>
      <c r="F37" s="10" t="n">
        <f aca="false">'Data BoP'!I37</f>
        <v>17571.29979971</v>
      </c>
      <c r="G37" s="10" t="n">
        <f aca="false">'Data BoP'!J37</f>
        <v>-967.778923383182</v>
      </c>
      <c r="H37" s="10" t="n">
        <f aca="false">'Data BoP'!K37</f>
        <v>3869.93013865163</v>
      </c>
      <c r="I37" s="10" t="n">
        <f aca="false">'Data BoP'!L37</f>
        <v>4837.70906203481</v>
      </c>
      <c r="J37" s="10" t="n">
        <f aca="false">'Data BoP'!M37</f>
        <v>-3278.69361044534</v>
      </c>
      <c r="K37" s="10" t="n">
        <f aca="false">'Data BoP'!N37</f>
        <v>-16.1551674928628</v>
      </c>
      <c r="L37" s="10" t="n">
        <f aca="false">'Data BoP'!O37</f>
        <v>-3262.53844295248</v>
      </c>
      <c r="M37" s="10" t="n">
        <f aca="false">'Data BoP'!P37</f>
        <v>-2138.05457645788</v>
      </c>
      <c r="N37" s="10" t="n">
        <f aca="false">'Data BoP'!Q37</f>
        <v>-771.931487739929</v>
      </c>
      <c r="O37" s="10" t="n">
        <f aca="false">'Data BoP'!R37</f>
        <v>-357.758930638677</v>
      </c>
      <c r="P37" s="10" t="n">
        <f aca="false">'Data BoP'!AO37</f>
        <v>5.20655188401327</v>
      </c>
      <c r="Q37" s="10" t="n">
        <f aca="false">'Data BoP'!S37</f>
        <v>-125.259563798033</v>
      </c>
      <c r="R37" s="10" t="n">
        <f aca="false">'Data BoP'!T37</f>
        <v>-0.5159875</v>
      </c>
      <c r="T37" s="14" t="str">
        <f aca="false">'Data BoP'!B37</f>
        <v>2013-Q4</v>
      </c>
      <c r="U37" s="15" t="n">
        <f aca="false">('Data BoP'!E34)+('Data BoP'!E35)+('Data BoP'!E36)+('Data BoP'!E37)</f>
        <v>-13124.3737858633</v>
      </c>
      <c r="V37" s="10" t="n">
        <f aca="false">('Data BoP'!G34)+('Data BoP'!G35)+('Data BoP'!G36)+('Data BoP'!G37)</f>
        <v>4635.23524090994</v>
      </c>
      <c r="W37" s="10" t="n">
        <f aca="false">('Data BoP'!H34)+('Data BoP'!H35)+('Data BoP'!H36)+('Data BoP'!H37)</f>
        <v>75928.2283610699</v>
      </c>
      <c r="X37" s="10" t="n">
        <f aca="false">('Data BoP'!I34)+('Data BoP'!I35)+('Data BoP'!I36)+('Data BoP'!I37)</f>
        <v>71292.99312016</v>
      </c>
      <c r="Y37" s="10" t="n">
        <f aca="false">('Data BoP'!J34)+('Data BoP'!J35)+('Data BoP'!J36)+('Data BoP'!J37)</f>
        <v>-5328.91611533877</v>
      </c>
      <c r="Z37" s="10" t="n">
        <f aca="false">('Data BoP'!K34)+('Data BoP'!K35)+('Data BoP'!K36)+('Data BoP'!K37)</f>
        <v>13679.8917683754</v>
      </c>
      <c r="AA37" s="10" t="n">
        <f aca="false">('Data BoP'!L34)+('Data BoP'!L35)+('Data BoP'!L36)+('Data BoP'!L37)</f>
        <v>19008.8078837141</v>
      </c>
      <c r="AB37" s="10" t="n">
        <f aca="false">('Data BoP'!M34)+('Data BoP'!M35)+('Data BoP'!M36)+('Data BoP'!M37)</f>
        <v>-13164.8275748438</v>
      </c>
      <c r="AC37" s="10" t="n">
        <f aca="false">('Data BoP'!N34)+('Data BoP'!N35)+('Data BoP'!N36)+('Data BoP'!N37)</f>
        <v>-65.4094210191489</v>
      </c>
      <c r="AD37" s="10" t="n">
        <f aca="false">('Data BoP'!O34)+('Data BoP'!O35)+('Data BoP'!O36)+('Data BoP'!O37)</f>
        <v>-13099.4181538247</v>
      </c>
      <c r="AE37" s="10" t="n">
        <f aca="false">('Data BoP'!P34)+('Data BoP'!P35)+('Data BoP'!P36)+('Data BoP'!P37)</f>
        <v>-8978.56683398833</v>
      </c>
      <c r="AF37" s="10" t="n">
        <f aca="false">('Data BoP'!Q34)+('Data BoP'!Q35)+('Data BoP'!Q36)+('Data BoP'!Q37)</f>
        <v>-2773.29915990228</v>
      </c>
      <c r="AG37" s="10" t="n">
        <f aca="false">('Data BoP'!R34)+('Data BoP'!R35)+('Data BoP'!R36)+('Data BoP'!R37)</f>
        <v>-1384.86370237213</v>
      </c>
      <c r="AH37" s="10" t="n">
        <f aca="false">('Data BoP'!AO34)+('Data BoP'!AO35)+('Data BoP'!AO36)+('Data BoP'!AO37)</f>
        <v>37.3115424380435</v>
      </c>
      <c r="AI37" s="10" t="n">
        <f aca="false">('Data BoP'!S34)+('Data BoP'!S35)+('Data BoP'!S36)+('Data BoP'!S37)</f>
        <v>734.134663409385</v>
      </c>
      <c r="AJ37" s="10" t="n">
        <f aca="false">('Data BoP'!T34)+('Data BoP'!T35)+('Data BoP'!T36)+('Data BoP'!T37)</f>
        <v>33.4128737184379</v>
      </c>
    </row>
    <row r="38" customFormat="false" ht="15" hidden="false" customHeight="false" outlineLevel="0" collapsed="false">
      <c r="B38" s="14" t="str">
        <f aca="false">'Data BoP'!B38</f>
        <v>2014-Q1</v>
      </c>
      <c r="C38" s="15" t="n">
        <f aca="false">'Data BoP'!E38</f>
        <v>-6047.55465471733</v>
      </c>
      <c r="D38" s="10" t="n">
        <f aca="false">'Data BoP'!G38</f>
        <v>-2016.89269814</v>
      </c>
      <c r="E38" s="10" t="n">
        <f aca="false">'Data BoP'!H38</f>
        <v>13846.469446</v>
      </c>
      <c r="F38" s="10" t="n">
        <f aca="false">'Data BoP'!I38</f>
        <v>15863.36214414</v>
      </c>
      <c r="G38" s="10" t="n">
        <f aca="false">'Data BoP'!J38</f>
        <v>-1550.79007797739</v>
      </c>
      <c r="H38" s="10" t="n">
        <f aca="false">'Data BoP'!K38</f>
        <v>3413.56946580067</v>
      </c>
      <c r="I38" s="10" t="n">
        <f aca="false">'Data BoP'!L38</f>
        <v>4964.35954377805</v>
      </c>
      <c r="J38" s="10" t="n">
        <f aca="false">'Data BoP'!M38</f>
        <v>-2782.57018302287</v>
      </c>
      <c r="K38" s="10" t="n">
        <f aca="false">'Data BoP'!N38</f>
        <v>-12.1216535753582</v>
      </c>
      <c r="L38" s="10" t="n">
        <f aca="false">'Data BoP'!O38</f>
        <v>-2770.44852944751</v>
      </c>
      <c r="M38" s="10" t="n">
        <f aca="false">'Data BoP'!P38</f>
        <v>-1836.25769265025</v>
      </c>
      <c r="N38" s="10" t="n">
        <f aca="false">'Data BoP'!Q38</f>
        <v>-676.006722548944</v>
      </c>
      <c r="O38" s="10" t="n">
        <f aca="false">'Data BoP'!R38</f>
        <v>-262.758144790901</v>
      </c>
      <c r="P38" s="10" t="n">
        <f aca="false">'Data BoP'!AO38</f>
        <v>4.57403054258504</v>
      </c>
      <c r="Q38" s="10" t="n">
        <f aca="false">'Data BoP'!S38</f>
        <v>302.698304422928</v>
      </c>
      <c r="R38" s="10" t="n">
        <f aca="false">'Data BoP'!T38</f>
        <v>1.728013</v>
      </c>
      <c r="T38" s="14" t="str">
        <f aca="false">'Data BoP'!B38</f>
        <v>2014-Q1</v>
      </c>
      <c r="U38" s="15" t="n">
        <f aca="false">('Data BoP'!E35)+('Data BoP'!E36)+('Data BoP'!E37)+('Data BoP'!E38)</f>
        <v>-15286.1022551213</v>
      </c>
      <c r="V38" s="10" t="n">
        <f aca="false">('Data BoP'!G35)+('Data BoP'!G36)+('Data BoP'!G37)+('Data BoP'!G38)</f>
        <v>1606.73070767993</v>
      </c>
      <c r="W38" s="10" t="n">
        <f aca="false">('Data BoP'!H35)+('Data BoP'!H36)+('Data BoP'!H37)+('Data BoP'!H38)</f>
        <v>73307.2289539199</v>
      </c>
      <c r="X38" s="10" t="n">
        <f aca="false">('Data BoP'!I35)+('Data BoP'!I36)+('Data BoP'!I37)+('Data BoP'!I38)</f>
        <v>71700.49824624</v>
      </c>
      <c r="Y38" s="10" t="n">
        <f aca="false">('Data BoP'!J35)+('Data BoP'!J36)+('Data BoP'!J37)+('Data BoP'!J38)</f>
        <v>-5149.42984566029</v>
      </c>
      <c r="Z38" s="10" t="n">
        <f aca="false">('Data BoP'!K35)+('Data BoP'!K36)+('Data BoP'!K37)+('Data BoP'!K38)</f>
        <v>13691.8556653922</v>
      </c>
      <c r="AA38" s="10" t="n">
        <f aca="false">('Data BoP'!L35)+('Data BoP'!L36)+('Data BoP'!L37)+('Data BoP'!L38)</f>
        <v>18841.2855110525</v>
      </c>
      <c r="AB38" s="10" t="n">
        <f aca="false">('Data BoP'!M35)+('Data BoP'!M36)+('Data BoP'!M37)+('Data BoP'!M38)</f>
        <v>-12604.5666653954</v>
      </c>
      <c r="AC38" s="10" t="n">
        <f aca="false">('Data BoP'!N35)+('Data BoP'!N36)+('Data BoP'!N37)+('Data BoP'!N38)</f>
        <v>-63.8461948985694</v>
      </c>
      <c r="AD38" s="10" t="n">
        <f aca="false">('Data BoP'!O35)+('Data BoP'!O36)+('Data BoP'!O37)+('Data BoP'!O38)</f>
        <v>-12540.7204704969</v>
      </c>
      <c r="AE38" s="10" t="n">
        <f aca="false">('Data BoP'!P35)+('Data BoP'!P36)+('Data BoP'!P37)+('Data BoP'!P38)</f>
        <v>-8473.80746525136</v>
      </c>
      <c r="AF38" s="10" t="n">
        <f aca="false">('Data BoP'!Q35)+('Data BoP'!Q36)+('Data BoP'!Q37)+('Data BoP'!Q38)</f>
        <v>-2789.59140511063</v>
      </c>
      <c r="AG38" s="10" t="n">
        <f aca="false">('Data BoP'!R35)+('Data BoP'!R36)+('Data BoP'!R37)+('Data BoP'!R38)</f>
        <v>-1305.37180376189</v>
      </c>
      <c r="AH38" s="10" t="n">
        <f aca="false">('Data BoP'!AO35)+('Data BoP'!AO36)+('Data BoP'!AO37)+('Data BoP'!AO38)</f>
        <v>28.0502036270187</v>
      </c>
      <c r="AI38" s="10" t="n">
        <f aca="false">('Data BoP'!S35)+('Data BoP'!S36)+('Data BoP'!S37)+('Data BoP'!S38)</f>
        <v>861.163548254489</v>
      </c>
      <c r="AJ38" s="10" t="n">
        <f aca="false">('Data BoP'!T35)+('Data BoP'!T36)+('Data BoP'!T37)+('Data BoP'!T38)</f>
        <v>34.1251305</v>
      </c>
    </row>
    <row r="39" customFormat="false" ht="15" hidden="false" customHeight="false" outlineLevel="0" collapsed="false">
      <c r="B39" s="14" t="str">
        <f aca="false">'Data BoP'!B39</f>
        <v>2014-Q2</v>
      </c>
      <c r="C39" s="15" t="n">
        <f aca="false">'Data BoP'!E39</f>
        <v>646.335826557937</v>
      </c>
      <c r="D39" s="10" t="n">
        <f aca="false">'Data BoP'!G39</f>
        <v>4303.17650188</v>
      </c>
      <c r="E39" s="10" t="n">
        <f aca="false">'Data BoP'!H39</f>
        <v>20864.058567</v>
      </c>
      <c r="F39" s="10" t="n">
        <f aca="false">'Data BoP'!I39</f>
        <v>16560.88206512</v>
      </c>
      <c r="G39" s="10" t="n">
        <f aca="false">'Data BoP'!J39</f>
        <v>-1195.2917750873</v>
      </c>
      <c r="H39" s="10" t="n">
        <f aca="false">'Data BoP'!K39</f>
        <v>3098.85650879477</v>
      </c>
      <c r="I39" s="10" t="n">
        <f aca="false">'Data BoP'!L39</f>
        <v>4294.14828388207</v>
      </c>
      <c r="J39" s="10" t="n">
        <f aca="false">'Data BoP'!M39</f>
        <v>-2984.59774162332</v>
      </c>
      <c r="K39" s="10" t="n">
        <f aca="false">'Data BoP'!N39</f>
        <v>-5.69977309330524</v>
      </c>
      <c r="L39" s="10" t="n">
        <f aca="false">'Data BoP'!O39</f>
        <v>-2978.89796853001</v>
      </c>
      <c r="M39" s="10" t="n">
        <f aca="false">'Data BoP'!P39</f>
        <v>-1787.94737684703</v>
      </c>
      <c r="N39" s="10" t="n">
        <f aca="false">'Data BoP'!Q39</f>
        <v>-818.246010398435</v>
      </c>
      <c r="O39" s="10" t="n">
        <f aca="false">'Data BoP'!R39</f>
        <v>-377.090328843164</v>
      </c>
      <c r="P39" s="10" t="n">
        <f aca="false">'Data BoP'!AO39</f>
        <v>4.38574755862152</v>
      </c>
      <c r="Q39" s="10" t="n">
        <f aca="false">'Data BoP'!S39</f>
        <v>523.04884138855</v>
      </c>
      <c r="R39" s="10" t="n">
        <f aca="false">'Data BoP'!T39</f>
        <v>16.0170065923132</v>
      </c>
      <c r="T39" s="14" t="str">
        <f aca="false">'Data BoP'!B39</f>
        <v>2014-Q2</v>
      </c>
      <c r="U39" s="15" t="n">
        <f aca="false">('Data BoP'!E36)+('Data BoP'!E37)+('Data BoP'!E38)+('Data BoP'!E39)</f>
        <v>-14314.0207503334</v>
      </c>
      <c r="V39" s="10" t="n">
        <f aca="false">('Data BoP'!G36)+('Data BoP'!G37)+('Data BoP'!G38)+('Data BoP'!G39)</f>
        <v>2130.34871657</v>
      </c>
      <c r="W39" s="10" t="n">
        <f aca="false">('Data BoP'!H36)+('Data BoP'!H37)+('Data BoP'!H38)+('Data BoP'!H39)</f>
        <v>71368.07854445</v>
      </c>
      <c r="X39" s="10" t="n">
        <f aca="false">('Data BoP'!I36)+('Data BoP'!I37)+('Data BoP'!I38)+('Data BoP'!I39)</f>
        <v>69237.72982788</v>
      </c>
      <c r="Y39" s="10" t="n">
        <f aca="false">('Data BoP'!J36)+('Data BoP'!J37)+('Data BoP'!J38)+('Data BoP'!J39)</f>
        <v>-5067.77629181973</v>
      </c>
      <c r="Z39" s="10" t="n">
        <f aca="false">('Data BoP'!K36)+('Data BoP'!K37)+('Data BoP'!K38)+('Data BoP'!K39)</f>
        <v>13568.2084233876</v>
      </c>
      <c r="AA39" s="10" t="n">
        <f aca="false">('Data BoP'!L36)+('Data BoP'!L37)+('Data BoP'!L38)+('Data BoP'!L39)</f>
        <v>18635.9847152073</v>
      </c>
      <c r="AB39" s="10" t="n">
        <f aca="false">('Data BoP'!M36)+('Data BoP'!M37)+('Data BoP'!M38)+('Data BoP'!M39)</f>
        <v>-12308.3834099581</v>
      </c>
      <c r="AC39" s="10" t="n">
        <f aca="false">('Data BoP'!N36)+('Data BoP'!N37)+('Data BoP'!N38)+('Data BoP'!N39)</f>
        <v>-53.4663269110868</v>
      </c>
      <c r="AD39" s="10" t="n">
        <f aca="false">('Data BoP'!O36)+('Data BoP'!O37)+('Data BoP'!O38)+('Data BoP'!O39)</f>
        <v>-12254.917083047</v>
      </c>
      <c r="AE39" s="10" t="n">
        <f aca="false">('Data BoP'!P36)+('Data BoP'!P37)+('Data BoP'!P38)+('Data BoP'!P39)</f>
        <v>-7989.86699997598</v>
      </c>
      <c r="AF39" s="10" t="n">
        <f aca="false">('Data BoP'!Q36)+('Data BoP'!Q37)+('Data BoP'!Q38)+('Data BoP'!Q39)</f>
        <v>-2932.81765416388</v>
      </c>
      <c r="AG39" s="10" t="n">
        <f aca="false">('Data BoP'!R36)+('Data BoP'!R37)+('Data BoP'!R38)+('Data BoP'!R39)</f>
        <v>-1354.06542480793</v>
      </c>
      <c r="AH39" s="10" t="n">
        <f aca="false">('Data BoP'!AO36)+('Data BoP'!AO37)+('Data BoP'!AO38)+('Data BoP'!AO39)</f>
        <v>21.8329959007857</v>
      </c>
      <c r="AI39" s="10" t="n">
        <f aca="false">('Data BoP'!S36)+('Data BoP'!S37)+('Data BoP'!S38)+('Data BoP'!S39)</f>
        <v>931.790234874395</v>
      </c>
      <c r="AJ39" s="10" t="n">
        <f aca="false">('Data BoP'!T36)+('Data BoP'!T37)+('Data BoP'!T38)+('Data BoP'!T39)</f>
        <v>49.8742995923132</v>
      </c>
    </row>
    <row r="40" customFormat="false" ht="15" hidden="false" customHeight="false" outlineLevel="0" collapsed="false">
      <c r="B40" s="14" t="str">
        <f aca="false">'Data BoP'!B40</f>
        <v>2014-Q3</v>
      </c>
      <c r="C40" s="15" t="n">
        <f aca="false">'Data BoP'!E40</f>
        <v>-1839.82602058489</v>
      </c>
      <c r="D40" s="10" t="n">
        <f aca="false">'Data BoP'!G40</f>
        <v>1849.57759449</v>
      </c>
      <c r="E40" s="10" t="n">
        <f aca="false">'Data BoP'!H40</f>
        <v>18534.448505</v>
      </c>
      <c r="F40" s="10" t="n">
        <f aca="false">'Data BoP'!I40</f>
        <v>16684.87091051</v>
      </c>
      <c r="G40" s="10" t="n">
        <f aca="false">'Data BoP'!J40</f>
        <v>-1120.54936035933</v>
      </c>
      <c r="H40" s="10" t="n">
        <f aca="false">'Data BoP'!K40</f>
        <v>3199.75362495821</v>
      </c>
      <c r="I40" s="10" t="n">
        <f aca="false">'Data BoP'!L40</f>
        <v>4320.30298531754</v>
      </c>
      <c r="J40" s="10" t="n">
        <f aca="false">'Data BoP'!M40</f>
        <v>-2992.04038124909</v>
      </c>
      <c r="K40" s="10" t="n">
        <f aca="false">'Data BoP'!N40</f>
        <v>-10.0921083155693</v>
      </c>
      <c r="L40" s="10" t="n">
        <f aca="false">'Data BoP'!O40</f>
        <v>-2981.94827293352</v>
      </c>
      <c r="M40" s="10" t="n">
        <f aca="false">'Data BoP'!P40</f>
        <v>-1878.68779221942</v>
      </c>
      <c r="N40" s="10" t="n">
        <f aca="false">'Data BoP'!Q40</f>
        <v>-745.79215292445</v>
      </c>
      <c r="O40" s="10" t="n">
        <f aca="false">'Data BoP'!R40</f>
        <v>-361.854075348275</v>
      </c>
      <c r="P40" s="10" t="n">
        <f aca="false">'Data BoP'!AO40</f>
        <v>4.38574755862175</v>
      </c>
      <c r="Q40" s="10" t="n">
        <f aca="false">'Data BoP'!S40</f>
        <v>423.18612653354</v>
      </c>
      <c r="R40" s="10" t="n">
        <f aca="false">'Data BoP'!T40</f>
        <v>39.6978083297256</v>
      </c>
      <c r="T40" s="14" t="str">
        <f aca="false">'Data BoP'!B40</f>
        <v>2014-Q3</v>
      </c>
      <c r="U40" s="15" t="n">
        <f aca="false">('Data BoP'!E37)+('Data BoP'!E38)+('Data BoP'!E39)+('Data BoP'!E40)</f>
        <v>-13131.7421740108</v>
      </c>
      <c r="V40" s="10" t="n">
        <f aca="false">('Data BoP'!G37)+('Data BoP'!G38)+('Data BoP'!G39)+('Data BoP'!G40)</f>
        <v>2616.89617059002</v>
      </c>
      <c r="W40" s="10" t="n">
        <f aca="false">('Data BoP'!H37)+('Data BoP'!H38)+('Data BoP'!H39)+('Data BoP'!H40)</f>
        <v>69297.31109007</v>
      </c>
      <c r="X40" s="10" t="n">
        <f aca="false">('Data BoP'!I37)+('Data BoP'!I38)+('Data BoP'!I39)+('Data BoP'!I40)</f>
        <v>66680.41491948</v>
      </c>
      <c r="Y40" s="10" t="n">
        <f aca="false">('Data BoP'!J37)+('Data BoP'!J38)+('Data BoP'!J39)+('Data BoP'!J40)</f>
        <v>-4834.4101368072</v>
      </c>
      <c r="Z40" s="10" t="n">
        <f aca="false">('Data BoP'!K37)+('Data BoP'!K38)+('Data BoP'!K39)+('Data BoP'!K40)</f>
        <v>13582.1097382053</v>
      </c>
      <c r="AA40" s="10" t="n">
        <f aca="false">('Data BoP'!L37)+('Data BoP'!L38)+('Data BoP'!L39)+('Data BoP'!L40)</f>
        <v>18416.5198750125</v>
      </c>
      <c r="AB40" s="10" t="n">
        <f aca="false">('Data BoP'!M37)+('Data BoP'!M38)+('Data BoP'!M39)+('Data BoP'!M40)</f>
        <v>-12037.9019163406</v>
      </c>
      <c r="AC40" s="10" t="n">
        <f aca="false">('Data BoP'!N37)+('Data BoP'!N38)+('Data BoP'!N39)+('Data BoP'!N40)</f>
        <v>-44.0687024770955</v>
      </c>
      <c r="AD40" s="10" t="n">
        <f aca="false">('Data BoP'!O37)+('Data BoP'!O38)+('Data BoP'!O39)+('Data BoP'!O40)</f>
        <v>-11993.8332138635</v>
      </c>
      <c r="AE40" s="10" t="n">
        <f aca="false">('Data BoP'!P37)+('Data BoP'!P38)+('Data BoP'!P39)+('Data BoP'!P40)</f>
        <v>-7640.94743817459</v>
      </c>
      <c r="AF40" s="10" t="n">
        <f aca="false">('Data BoP'!Q37)+('Data BoP'!Q38)+('Data BoP'!Q39)+('Data BoP'!Q40)</f>
        <v>-3011.97637361176</v>
      </c>
      <c r="AG40" s="10" t="n">
        <f aca="false">('Data BoP'!R37)+('Data BoP'!R38)+('Data BoP'!R39)+('Data BoP'!R40)</f>
        <v>-1359.46147962102</v>
      </c>
      <c r="AH40" s="10" t="n">
        <f aca="false">('Data BoP'!AO37)+('Data BoP'!AO38)+('Data BoP'!AO39)+('Data BoP'!AO40)</f>
        <v>18.5520775438416</v>
      </c>
      <c r="AI40" s="10" t="n">
        <f aca="false">('Data BoP'!S37)+('Data BoP'!S38)+('Data BoP'!S39)+('Data BoP'!S40)</f>
        <v>1123.67370854699</v>
      </c>
      <c r="AJ40" s="10" t="n">
        <f aca="false">('Data BoP'!T37)+('Data BoP'!T38)+('Data BoP'!T39)+('Data BoP'!T40)</f>
        <v>56.9268404220388</v>
      </c>
    </row>
    <row r="41" customFormat="false" ht="15" hidden="false" customHeight="false" outlineLevel="0" collapsed="false">
      <c r="B41" s="14" t="str">
        <f aca="false">'Data BoP'!B41</f>
        <v>2014-Q4</v>
      </c>
      <c r="C41" s="15" t="n">
        <f aca="false">'Data BoP'!E41</f>
        <v>-1937.98141813124</v>
      </c>
      <c r="D41" s="10" t="n">
        <f aca="false">'Data BoP'!G41</f>
        <v>1405.60841467</v>
      </c>
      <c r="E41" s="10" t="n">
        <f aca="false">'Data BoP'!H41</f>
        <v>15195.459389</v>
      </c>
      <c r="F41" s="10" t="n">
        <f aca="false">'Data BoP'!I41</f>
        <v>13789.85097433</v>
      </c>
      <c r="G41" s="10" t="n">
        <f aca="false">'Data BoP'!J41</f>
        <v>-774.660939977224</v>
      </c>
      <c r="H41" s="10" t="n">
        <f aca="false">'Data BoP'!K41</f>
        <v>3684.19222817274</v>
      </c>
      <c r="I41" s="10" t="n">
        <f aca="false">'Data BoP'!L41</f>
        <v>4458.85316814996</v>
      </c>
      <c r="J41" s="10" t="n">
        <f aca="false">'Data BoP'!M41</f>
        <v>-2854.63917531193</v>
      </c>
      <c r="K41" s="10" t="n">
        <f aca="false">'Data BoP'!N41</f>
        <v>-6.2777380462107</v>
      </c>
      <c r="L41" s="10" t="n">
        <f aca="false">'Data BoP'!O41</f>
        <v>-2848.36143726572</v>
      </c>
      <c r="M41" s="10" t="n">
        <f aca="false">'Data BoP'!P41</f>
        <v>-1796.6806634509</v>
      </c>
      <c r="N41" s="10" t="n">
        <f aca="false">'Data BoP'!Q41</f>
        <v>-698.643571609316</v>
      </c>
      <c r="O41" s="10" t="n">
        <f aca="false">'Data BoP'!R41</f>
        <v>-357.144921611496</v>
      </c>
      <c r="P41" s="10" t="n">
        <f aca="false">'Data BoP'!AO41</f>
        <v>4.10771940598625</v>
      </c>
      <c r="Q41" s="10" t="n">
        <f aca="false">'Data BoP'!S41</f>
        <v>285.710282487921</v>
      </c>
      <c r="R41" s="10" t="n">
        <f aca="false">'Data BoP'!T41</f>
        <v>-0.645722788303721</v>
      </c>
      <c r="T41" s="14" t="str">
        <f aca="false">'Data BoP'!B41</f>
        <v>2014-Q4</v>
      </c>
      <c r="U41" s="15" t="n">
        <f aca="false">('Data BoP'!E38)+('Data BoP'!E39)+('Data BoP'!E40)+('Data BoP'!E41)</f>
        <v>-9179.02626687552</v>
      </c>
      <c r="V41" s="10" t="n">
        <f aca="false">('Data BoP'!G38)+('Data BoP'!G39)+('Data BoP'!G40)+('Data BoP'!G41)</f>
        <v>5541.4698129</v>
      </c>
      <c r="W41" s="10" t="n">
        <f aca="false">('Data BoP'!H38)+('Data BoP'!H39)+('Data BoP'!H40)+('Data BoP'!H41)</f>
        <v>68440.435907</v>
      </c>
      <c r="X41" s="10" t="n">
        <f aca="false">('Data BoP'!I38)+('Data BoP'!I39)+('Data BoP'!I40)+('Data BoP'!I41)</f>
        <v>62898.9660941</v>
      </c>
      <c r="Y41" s="10" t="n">
        <f aca="false">('Data BoP'!J38)+('Data BoP'!J39)+('Data BoP'!J40)+('Data BoP'!J41)</f>
        <v>-4641.29215340124</v>
      </c>
      <c r="Z41" s="10" t="n">
        <f aca="false">('Data BoP'!K38)+('Data BoP'!K39)+('Data BoP'!K40)+('Data BoP'!K41)</f>
        <v>13396.3718277264</v>
      </c>
      <c r="AA41" s="10" t="n">
        <f aca="false">('Data BoP'!L38)+('Data BoP'!L39)+('Data BoP'!L40)+('Data BoP'!L41)</f>
        <v>18037.6639811276</v>
      </c>
      <c r="AB41" s="10" t="n">
        <f aca="false">('Data BoP'!M38)+('Data BoP'!M39)+('Data BoP'!M40)+('Data BoP'!M41)</f>
        <v>-11613.8474812072</v>
      </c>
      <c r="AC41" s="10" t="n">
        <f aca="false">('Data BoP'!N38)+('Data BoP'!N39)+('Data BoP'!N40)+('Data BoP'!N41)</f>
        <v>-34.1912730304434</v>
      </c>
      <c r="AD41" s="10" t="n">
        <f aca="false">('Data BoP'!O38)+('Data BoP'!O39)+('Data BoP'!O40)+('Data BoP'!O41)</f>
        <v>-11579.6562081768</v>
      </c>
      <c r="AE41" s="10" t="n">
        <f aca="false">('Data BoP'!P38)+('Data BoP'!P39)+('Data BoP'!P40)+('Data BoP'!P41)</f>
        <v>-7299.5735251676</v>
      </c>
      <c r="AF41" s="10" t="n">
        <f aca="false">('Data BoP'!Q38)+('Data BoP'!Q39)+('Data BoP'!Q40)+('Data BoP'!Q41)</f>
        <v>-2938.68845748115</v>
      </c>
      <c r="AG41" s="10" t="n">
        <f aca="false">('Data BoP'!R38)+('Data BoP'!R39)+('Data BoP'!R40)+('Data BoP'!R41)</f>
        <v>-1358.84747059384</v>
      </c>
      <c r="AH41" s="10" t="n">
        <f aca="false">('Data BoP'!AO38)+('Data BoP'!AO39)+('Data BoP'!AO40)+('Data BoP'!AO41)</f>
        <v>17.4532450658145</v>
      </c>
      <c r="AI41" s="10" t="n">
        <f aca="false">('Data BoP'!S38)+('Data BoP'!S39)+('Data BoP'!S40)+('Data BoP'!S41)</f>
        <v>1534.64355483294</v>
      </c>
      <c r="AJ41" s="10" t="n">
        <f aca="false">('Data BoP'!T38)+('Data BoP'!T39)+('Data BoP'!T40)+('Data BoP'!T41)</f>
        <v>56.7971051337351</v>
      </c>
    </row>
    <row r="42" customFormat="false" ht="15" hidden="false" customHeight="false" outlineLevel="0" collapsed="false">
      <c r="B42" s="14" t="str">
        <f aca="false">'Data BoP'!B42</f>
        <v>2015-Q1</v>
      </c>
      <c r="C42" s="15" t="n">
        <f aca="false">'Data BoP'!E42</f>
        <v>-5543.86173185784</v>
      </c>
      <c r="D42" s="10" t="n">
        <f aca="false">'Data BoP'!G42</f>
        <v>-865.750966080001</v>
      </c>
      <c r="E42" s="10" t="n">
        <f aca="false">'Data BoP'!H42</f>
        <v>12061.478493</v>
      </c>
      <c r="F42" s="10" t="n">
        <f aca="false">'Data BoP'!I42</f>
        <v>12927.22945908</v>
      </c>
      <c r="G42" s="10" t="n">
        <f aca="false">'Data BoP'!J42</f>
        <v>-1535.79066348573</v>
      </c>
      <c r="H42" s="10" t="n">
        <f aca="false">'Data BoP'!K42</f>
        <v>3473.96328435329</v>
      </c>
      <c r="I42" s="10" t="n">
        <f aca="false">'Data BoP'!L42</f>
        <v>5009.75394783902</v>
      </c>
      <c r="J42" s="10" t="n">
        <f aca="false">'Data BoP'!M42</f>
        <v>-3223.06142489592</v>
      </c>
      <c r="K42" s="10" t="n">
        <f aca="false">'Data BoP'!N42</f>
        <v>1.86945118060899</v>
      </c>
      <c r="L42" s="10" t="n">
        <f aca="false">'Data BoP'!O42</f>
        <v>-3224.93087607653</v>
      </c>
      <c r="M42" s="10" t="n">
        <f aca="false">'Data BoP'!P42</f>
        <v>-2271.32424010332</v>
      </c>
      <c r="N42" s="10" t="n">
        <f aca="false">'Data BoP'!Q42</f>
        <v>-615.787580230829</v>
      </c>
      <c r="O42" s="10" t="n">
        <f aca="false">'Data BoP'!R42</f>
        <v>-343.77000188794</v>
      </c>
      <c r="P42" s="10" t="n">
        <f aca="false">'Data BoP'!AO42</f>
        <v>5.95094614556115</v>
      </c>
      <c r="Q42" s="10" t="n">
        <f aca="false">'Data BoP'!S42</f>
        <v>80.7413226038053</v>
      </c>
      <c r="R42" s="10" t="n">
        <f aca="false">'Data BoP'!T42</f>
        <v>9.55277</v>
      </c>
      <c r="T42" s="14" t="str">
        <f aca="false">'Data BoP'!B42</f>
        <v>2015-Q1</v>
      </c>
      <c r="U42" s="15" t="n">
        <f aca="false">('Data BoP'!E39)+('Data BoP'!E40)+('Data BoP'!E41)+('Data BoP'!E42)</f>
        <v>-8675.33334401603</v>
      </c>
      <c r="V42" s="10" t="n">
        <f aca="false">('Data BoP'!G39)+('Data BoP'!G40)+('Data BoP'!G41)+('Data BoP'!G42)</f>
        <v>6692.61154496</v>
      </c>
      <c r="W42" s="10" t="n">
        <f aca="false">('Data BoP'!H39)+('Data BoP'!H40)+('Data BoP'!H41)+('Data BoP'!H42)</f>
        <v>66655.444954</v>
      </c>
      <c r="X42" s="10" t="n">
        <f aca="false">('Data BoP'!I39)+('Data BoP'!I40)+('Data BoP'!I41)+('Data BoP'!I42)</f>
        <v>59962.83340904</v>
      </c>
      <c r="Y42" s="10" t="n">
        <f aca="false">('Data BoP'!J39)+('Data BoP'!J40)+('Data BoP'!J41)+('Data BoP'!J42)</f>
        <v>-4626.29273890958</v>
      </c>
      <c r="Z42" s="10" t="n">
        <f aca="false">('Data BoP'!K39)+('Data BoP'!K40)+('Data BoP'!K41)+('Data BoP'!K42)</f>
        <v>13456.765646279</v>
      </c>
      <c r="AA42" s="10" t="n">
        <f aca="false">('Data BoP'!L39)+('Data BoP'!L40)+('Data BoP'!L41)+('Data BoP'!L42)</f>
        <v>18083.0583851886</v>
      </c>
      <c r="AB42" s="10" t="n">
        <f aca="false">('Data BoP'!M39)+('Data BoP'!M40)+('Data BoP'!M41)+('Data BoP'!M42)</f>
        <v>-12054.3387230803</v>
      </c>
      <c r="AC42" s="10" t="n">
        <f aca="false">('Data BoP'!N39)+('Data BoP'!N40)+('Data BoP'!N41)+('Data BoP'!N42)</f>
        <v>-20.2001682744762</v>
      </c>
      <c r="AD42" s="10" t="n">
        <f aca="false">('Data BoP'!O39)+('Data BoP'!O40)+('Data BoP'!O41)+('Data BoP'!O42)</f>
        <v>-12034.1385548058</v>
      </c>
      <c r="AE42" s="10" t="n">
        <f aca="false">('Data BoP'!P39)+('Data BoP'!P40)+('Data BoP'!P41)+('Data BoP'!P42)</f>
        <v>-7734.64007262067</v>
      </c>
      <c r="AF42" s="10" t="n">
        <f aca="false">('Data BoP'!Q39)+('Data BoP'!Q40)+('Data BoP'!Q41)+('Data BoP'!Q42)</f>
        <v>-2878.46931516303</v>
      </c>
      <c r="AG42" s="10" t="n">
        <f aca="false">('Data BoP'!R39)+('Data BoP'!R40)+('Data BoP'!R41)+('Data BoP'!R42)</f>
        <v>-1439.85932769088</v>
      </c>
      <c r="AH42" s="10" t="n">
        <f aca="false">('Data BoP'!AO39)+('Data BoP'!AO40)+('Data BoP'!AO41)+('Data BoP'!AO42)</f>
        <v>18.8301606687907</v>
      </c>
      <c r="AI42" s="10" t="n">
        <f aca="false">('Data BoP'!S39)+('Data BoP'!S40)+('Data BoP'!S41)+('Data BoP'!S42)</f>
        <v>1312.68657301382</v>
      </c>
      <c r="AJ42" s="10" t="n">
        <f aca="false">('Data BoP'!T39)+('Data BoP'!T40)+('Data BoP'!T41)+('Data BoP'!T42)</f>
        <v>64.6218621337351</v>
      </c>
    </row>
    <row r="43" customFormat="false" ht="15" hidden="false" customHeight="false" outlineLevel="0" collapsed="false">
      <c r="B43" s="14" t="str">
        <f aca="false">'Data BoP'!B43</f>
        <v>2015-Q2</v>
      </c>
      <c r="C43" s="15" t="n">
        <f aca="false">'Data BoP'!E43</f>
        <v>-2469.06151046702</v>
      </c>
      <c r="D43" s="10" t="n">
        <f aca="false">'Data BoP'!G43</f>
        <v>1462.57415184</v>
      </c>
      <c r="E43" s="10" t="n">
        <f aca="false">'Data BoP'!H43</f>
        <v>16411.409</v>
      </c>
      <c r="F43" s="10" t="n">
        <f aca="false">'Data BoP'!I43</f>
        <v>14948.83484816</v>
      </c>
      <c r="G43" s="10" t="n">
        <f aca="false">'Data BoP'!J43</f>
        <v>-1246.74501431644</v>
      </c>
      <c r="H43" s="10" t="n">
        <f aca="false">'Data BoP'!K43</f>
        <v>3047.37400305265</v>
      </c>
      <c r="I43" s="10" t="n">
        <f aca="false">'Data BoP'!L43</f>
        <v>4294.11901736909</v>
      </c>
      <c r="J43" s="10" t="n">
        <f aca="false">'Data BoP'!M43</f>
        <v>-3088.22180539291</v>
      </c>
      <c r="K43" s="10" t="n">
        <f aca="false">'Data BoP'!N43</f>
        <v>5.55228718607091</v>
      </c>
      <c r="L43" s="10" t="n">
        <f aca="false">'Data BoP'!O43</f>
        <v>-3093.77409257898</v>
      </c>
      <c r="M43" s="10" t="n">
        <f aca="false">'Data BoP'!P43</f>
        <v>-2089.73486361583</v>
      </c>
      <c r="N43" s="10" t="n">
        <f aca="false">'Data BoP'!Q43</f>
        <v>-663.01567109887</v>
      </c>
      <c r="O43" s="10" t="n">
        <f aca="false">'Data BoP'!R43</f>
        <v>-348.017506344992</v>
      </c>
      <c r="P43" s="10" t="n">
        <f aca="false">'Data BoP'!AO43</f>
        <v>6.99394848071307</v>
      </c>
      <c r="Q43" s="10" t="n">
        <f aca="false">'Data BoP'!S43</f>
        <v>403.331157402339</v>
      </c>
      <c r="R43" s="10" t="n">
        <f aca="false">'Data BoP'!T43</f>
        <v>2.71041818889612</v>
      </c>
      <c r="T43" s="14" t="str">
        <f aca="false">'Data BoP'!B43</f>
        <v>2015-Q2</v>
      </c>
      <c r="U43" s="15" t="n">
        <f aca="false">('Data BoP'!E40)+('Data BoP'!E41)+('Data BoP'!E42)+('Data BoP'!E43)</f>
        <v>-11790.730681041</v>
      </c>
      <c r="V43" s="10" t="n">
        <f aca="false">('Data BoP'!G40)+('Data BoP'!G41)+('Data BoP'!G42)+('Data BoP'!G43)</f>
        <v>3852.00919491999</v>
      </c>
      <c r="W43" s="10" t="n">
        <f aca="false">('Data BoP'!H40)+('Data BoP'!H41)+('Data BoP'!H42)+('Data BoP'!H43)</f>
        <v>62202.795387</v>
      </c>
      <c r="X43" s="10" t="n">
        <f aca="false">('Data BoP'!I40)+('Data BoP'!I41)+('Data BoP'!I42)+('Data BoP'!I43)</f>
        <v>58350.78619208</v>
      </c>
      <c r="Y43" s="10" t="n">
        <f aca="false">('Data BoP'!J40)+('Data BoP'!J41)+('Data BoP'!J42)+('Data BoP'!J43)</f>
        <v>-4677.74597813872</v>
      </c>
      <c r="Z43" s="10" t="n">
        <f aca="false">('Data BoP'!K40)+('Data BoP'!K41)+('Data BoP'!K42)+('Data BoP'!K43)</f>
        <v>13405.2831405369</v>
      </c>
      <c r="AA43" s="10" t="n">
        <f aca="false">('Data BoP'!L40)+('Data BoP'!L41)+('Data BoP'!L42)+('Data BoP'!L43)</f>
        <v>18083.0291186756</v>
      </c>
      <c r="AB43" s="10" t="n">
        <f aca="false">('Data BoP'!M40)+('Data BoP'!M41)+('Data BoP'!M42)+('Data BoP'!M43)</f>
        <v>-12157.9627868499</v>
      </c>
      <c r="AC43" s="10" t="n">
        <f aca="false">('Data BoP'!N40)+('Data BoP'!N41)+('Data BoP'!N42)+('Data BoP'!N43)</f>
        <v>-8.94810799510006</v>
      </c>
      <c r="AD43" s="10" t="n">
        <f aca="false">('Data BoP'!O40)+('Data BoP'!O41)+('Data BoP'!O42)+('Data BoP'!O43)</f>
        <v>-12149.0146788548</v>
      </c>
      <c r="AE43" s="10" t="n">
        <f aca="false">('Data BoP'!P40)+('Data BoP'!P41)+('Data BoP'!P42)+('Data BoP'!P43)</f>
        <v>-8036.42755938947</v>
      </c>
      <c r="AF43" s="10" t="n">
        <f aca="false">('Data BoP'!Q40)+('Data BoP'!Q41)+('Data BoP'!Q42)+('Data BoP'!Q43)</f>
        <v>-2723.23897586347</v>
      </c>
      <c r="AG43" s="10" t="n">
        <f aca="false">('Data BoP'!R40)+('Data BoP'!R41)+('Data BoP'!R42)+('Data BoP'!R43)</f>
        <v>-1410.7865051927</v>
      </c>
      <c r="AH43" s="10" t="n">
        <f aca="false">('Data BoP'!AO40)+('Data BoP'!AO41)+('Data BoP'!AO42)+('Data BoP'!AO43)</f>
        <v>21.4383615908822</v>
      </c>
      <c r="AI43" s="10" t="n">
        <f aca="false">('Data BoP'!S40)+('Data BoP'!S41)+('Data BoP'!S42)+('Data BoP'!S43)</f>
        <v>1192.96888902761</v>
      </c>
      <c r="AJ43" s="10" t="n">
        <f aca="false">('Data BoP'!T40)+('Data BoP'!T41)+('Data BoP'!T42)+('Data BoP'!T43)</f>
        <v>51.315273730318</v>
      </c>
    </row>
    <row r="44" customFormat="false" ht="15" hidden="false" customHeight="false" outlineLevel="0" collapsed="false">
      <c r="B44" s="14" t="str">
        <f aca="false">'Data BoP'!B44</f>
        <v>2015-Q3</v>
      </c>
      <c r="C44" s="15" t="n">
        <f aca="false">'Data BoP'!E44</f>
        <v>-4507.92752461182</v>
      </c>
      <c r="D44" s="10" t="n">
        <f aca="false">'Data BoP'!G44</f>
        <v>-280.831808609999</v>
      </c>
      <c r="E44" s="10" t="n">
        <f aca="false">'Data BoP'!H44</f>
        <v>15872.122</v>
      </c>
      <c r="F44" s="10" t="n">
        <f aca="false">'Data BoP'!I44</f>
        <v>16152.95380861</v>
      </c>
      <c r="G44" s="10" t="n">
        <f aca="false">'Data BoP'!J44</f>
        <v>-1543.56484700969</v>
      </c>
      <c r="H44" s="10" t="n">
        <f aca="false">'Data BoP'!K44</f>
        <v>3228.33181776595</v>
      </c>
      <c r="I44" s="10" t="n">
        <f aca="false">'Data BoP'!L44</f>
        <v>4771.89666477564</v>
      </c>
      <c r="J44" s="10" t="n">
        <f aca="false">'Data BoP'!M44</f>
        <v>-2886.26320072738</v>
      </c>
      <c r="K44" s="10" t="n">
        <f aca="false">'Data BoP'!N44</f>
        <v>8.9435560206481</v>
      </c>
      <c r="L44" s="10" t="n">
        <f aca="false">'Data BoP'!O44</f>
        <v>-2895.20675674803</v>
      </c>
      <c r="M44" s="10" t="n">
        <f aca="false">'Data BoP'!P44</f>
        <v>-1966.54594759305</v>
      </c>
      <c r="N44" s="10" t="n">
        <f aca="false">'Data BoP'!Q44</f>
        <v>-673.231096598727</v>
      </c>
      <c r="O44" s="10" t="n">
        <f aca="false">'Data BoP'!R44</f>
        <v>-263.295576004315</v>
      </c>
      <c r="P44" s="10" t="n">
        <f aca="false">'Data BoP'!AO44</f>
        <v>7.86586344806466</v>
      </c>
      <c r="Q44" s="10" t="n">
        <f aca="false">'Data BoP'!S44</f>
        <v>202.73233173525</v>
      </c>
      <c r="R44" s="10" t="n">
        <f aca="false">'Data BoP'!T44</f>
        <v>38.5246928349827</v>
      </c>
      <c r="T44" s="14" t="str">
        <f aca="false">'Data BoP'!B44</f>
        <v>2015-Q3</v>
      </c>
      <c r="U44" s="15" t="n">
        <f aca="false">('Data BoP'!E41)+('Data BoP'!E42)+('Data BoP'!E43)+('Data BoP'!E44)</f>
        <v>-14458.8321850679</v>
      </c>
      <c r="V44" s="10" t="n">
        <f aca="false">('Data BoP'!G41)+('Data BoP'!G42)+('Data BoP'!G43)+('Data BoP'!G44)</f>
        <v>1721.59979181999</v>
      </c>
      <c r="W44" s="10" t="n">
        <f aca="false">('Data BoP'!H41)+('Data BoP'!H42)+('Data BoP'!H43)+('Data BoP'!H44)</f>
        <v>59540.468882</v>
      </c>
      <c r="X44" s="10" t="n">
        <f aca="false">('Data BoP'!I41)+('Data BoP'!I42)+('Data BoP'!I43)+('Data BoP'!I44)</f>
        <v>57818.86909018</v>
      </c>
      <c r="Y44" s="10" t="n">
        <f aca="false">('Data BoP'!J41)+('Data BoP'!J42)+('Data BoP'!J43)+('Data BoP'!J44)</f>
        <v>-5100.76146478908</v>
      </c>
      <c r="Z44" s="10" t="n">
        <f aca="false">('Data BoP'!K41)+('Data BoP'!K42)+('Data BoP'!K43)+('Data BoP'!K44)</f>
        <v>13433.8613333446</v>
      </c>
      <c r="AA44" s="10" t="n">
        <f aca="false">('Data BoP'!L41)+('Data BoP'!L42)+('Data BoP'!L43)+('Data BoP'!L44)</f>
        <v>18534.6227981337</v>
      </c>
      <c r="AB44" s="10" t="n">
        <f aca="false">('Data BoP'!M41)+('Data BoP'!M42)+('Data BoP'!M43)+('Data BoP'!M44)</f>
        <v>-12052.1856063281</v>
      </c>
      <c r="AC44" s="10" t="n">
        <f aca="false">('Data BoP'!N41)+('Data BoP'!N42)+('Data BoP'!N43)+('Data BoP'!N44)</f>
        <v>10.0875563411173</v>
      </c>
      <c r="AD44" s="10" t="n">
        <f aca="false">('Data BoP'!O41)+('Data BoP'!O42)+('Data BoP'!O43)+('Data BoP'!O44)</f>
        <v>-12062.2731626693</v>
      </c>
      <c r="AE44" s="10" t="n">
        <f aca="false">('Data BoP'!P41)+('Data BoP'!P42)+('Data BoP'!P43)+('Data BoP'!P44)</f>
        <v>-8124.2857147631</v>
      </c>
      <c r="AF44" s="10" t="n">
        <f aca="false">('Data BoP'!Q41)+('Data BoP'!Q42)+('Data BoP'!Q43)+('Data BoP'!Q44)</f>
        <v>-2650.67791953774</v>
      </c>
      <c r="AG44" s="10" t="n">
        <f aca="false">('Data BoP'!R41)+('Data BoP'!R42)+('Data BoP'!R43)+('Data BoP'!R44)</f>
        <v>-1312.22800584874</v>
      </c>
      <c r="AH44" s="10" t="n">
        <f aca="false">('Data BoP'!AO41)+('Data BoP'!AO42)+('Data BoP'!AO43)+('Data BoP'!AO44)</f>
        <v>24.9184774803251</v>
      </c>
      <c r="AI44" s="10" t="n">
        <f aca="false">('Data BoP'!S41)+('Data BoP'!S42)+('Data BoP'!S43)+('Data BoP'!S44)</f>
        <v>972.515094229315</v>
      </c>
      <c r="AJ44" s="10" t="n">
        <f aca="false">('Data BoP'!T41)+('Data BoP'!T42)+('Data BoP'!T43)+('Data BoP'!T44)</f>
        <v>50.1421582355751</v>
      </c>
    </row>
    <row r="45" customFormat="false" ht="15" hidden="false" customHeight="false" outlineLevel="0" collapsed="false">
      <c r="B45" s="14" t="str">
        <f aca="false">'Data BoP'!B45</f>
        <v>2015-Q4</v>
      </c>
      <c r="C45" s="15" t="n">
        <f aca="false">'Data BoP'!E45</f>
        <v>-5101.13440127329</v>
      </c>
      <c r="D45" s="10" t="n">
        <f aca="false">'Data BoP'!G45</f>
        <v>-1101.16776977</v>
      </c>
      <c r="E45" s="10" t="n">
        <f aca="false">'Data BoP'!H45</f>
        <v>12464.044</v>
      </c>
      <c r="F45" s="10" t="n">
        <f aca="false">'Data BoP'!I45</f>
        <v>13565.21176977</v>
      </c>
      <c r="G45" s="10" t="n">
        <f aca="false">'Data BoP'!J45</f>
        <v>-1488.94416843242</v>
      </c>
      <c r="H45" s="10" t="n">
        <f aca="false">'Data BoP'!K45</f>
        <v>3463.84324480454</v>
      </c>
      <c r="I45" s="10" t="n">
        <f aca="false">'Data BoP'!L45</f>
        <v>4952.78741323696</v>
      </c>
      <c r="J45" s="10" t="n">
        <f aca="false">'Data BoP'!M45</f>
        <v>-2907.0521475882</v>
      </c>
      <c r="K45" s="10" t="n">
        <f aca="false">'Data BoP'!N45</f>
        <v>9.44753364133259</v>
      </c>
      <c r="L45" s="10" t="n">
        <f aca="false">'Data BoP'!O45</f>
        <v>-2916.49968122953</v>
      </c>
      <c r="M45" s="10" t="n">
        <f aca="false">'Data BoP'!P45</f>
        <v>-1817.54008508779</v>
      </c>
      <c r="N45" s="10" t="n">
        <f aca="false">'Data BoP'!Q45</f>
        <v>-735.210088270212</v>
      </c>
      <c r="O45" s="10" t="n">
        <f aca="false">'Data BoP'!R45</f>
        <v>-367.415279097212</v>
      </c>
      <c r="P45" s="10" t="n">
        <f aca="false">'Data BoP'!AO45</f>
        <v>3.66577122568265</v>
      </c>
      <c r="Q45" s="10" t="n">
        <f aca="false">'Data BoP'!S45</f>
        <v>396.02968451733</v>
      </c>
      <c r="R45" s="10" t="n">
        <f aca="false">'Data BoP'!T45</f>
        <v>1.14131874458687</v>
      </c>
      <c r="T45" s="14" t="str">
        <f aca="false">'Data BoP'!B45</f>
        <v>2015-Q4</v>
      </c>
      <c r="U45" s="15" t="n">
        <f aca="false">('Data BoP'!E42)+('Data BoP'!E43)+('Data BoP'!E44)+('Data BoP'!E45)</f>
        <v>-17621.98516821</v>
      </c>
      <c r="V45" s="10" t="n">
        <f aca="false">('Data BoP'!G42)+('Data BoP'!G43)+('Data BoP'!G44)+('Data BoP'!G45)</f>
        <v>-785.176392620004</v>
      </c>
      <c r="W45" s="10" t="n">
        <f aca="false">('Data BoP'!H42)+('Data BoP'!H43)+('Data BoP'!H44)+('Data BoP'!H45)</f>
        <v>56809.053493</v>
      </c>
      <c r="X45" s="10" t="n">
        <f aca="false">('Data BoP'!I42)+('Data BoP'!I43)+('Data BoP'!I44)+('Data BoP'!I45)</f>
        <v>57594.22988562</v>
      </c>
      <c r="Y45" s="10" t="n">
        <f aca="false">('Data BoP'!J42)+('Data BoP'!J43)+('Data BoP'!J44)+('Data BoP'!J45)</f>
        <v>-5815.04469324428</v>
      </c>
      <c r="Z45" s="10" t="n">
        <f aca="false">('Data BoP'!K42)+('Data BoP'!K43)+('Data BoP'!K44)+('Data BoP'!K45)</f>
        <v>13213.5123499764</v>
      </c>
      <c r="AA45" s="10" t="n">
        <f aca="false">('Data BoP'!L42)+('Data BoP'!L43)+('Data BoP'!L44)+('Data BoP'!L45)</f>
        <v>19028.5570432207</v>
      </c>
      <c r="AB45" s="10" t="n">
        <f aca="false">('Data BoP'!M42)+('Data BoP'!M43)+('Data BoP'!M44)+('Data BoP'!M45)</f>
        <v>-12104.5985786044</v>
      </c>
      <c r="AC45" s="10" t="n">
        <f aca="false">('Data BoP'!N42)+('Data BoP'!N43)+('Data BoP'!N44)+('Data BoP'!N45)</f>
        <v>25.8128280286606</v>
      </c>
      <c r="AD45" s="10" t="n">
        <f aca="false">('Data BoP'!O42)+('Data BoP'!O43)+('Data BoP'!O44)+('Data BoP'!O45)</f>
        <v>-12130.4114066331</v>
      </c>
      <c r="AE45" s="10" t="n">
        <f aca="false">('Data BoP'!P42)+('Data BoP'!P43)+('Data BoP'!P44)+('Data BoP'!P45)</f>
        <v>-8145.14513639999</v>
      </c>
      <c r="AF45" s="10" t="n">
        <f aca="false">('Data BoP'!Q42)+('Data BoP'!Q43)+('Data BoP'!Q44)+('Data BoP'!Q45)</f>
        <v>-2687.24443619864</v>
      </c>
      <c r="AG45" s="10" t="n">
        <f aca="false">('Data BoP'!R42)+('Data BoP'!R43)+('Data BoP'!R44)+('Data BoP'!R45)</f>
        <v>-1322.49836333446</v>
      </c>
      <c r="AH45" s="10" t="n">
        <f aca="false">('Data BoP'!AO42)+('Data BoP'!AO43)+('Data BoP'!AO44)+('Data BoP'!AO45)</f>
        <v>24.4765293000215</v>
      </c>
      <c r="AI45" s="10" t="n">
        <f aca="false">('Data BoP'!S42)+('Data BoP'!S43)+('Data BoP'!S44)+('Data BoP'!S45)</f>
        <v>1082.83449625872</v>
      </c>
      <c r="AJ45" s="10" t="n">
        <f aca="false">('Data BoP'!T42)+('Data BoP'!T43)+('Data BoP'!T44)+('Data BoP'!T45)</f>
        <v>51.9291997684657</v>
      </c>
    </row>
    <row r="46" customFormat="false" ht="15" hidden="false" customHeight="false" outlineLevel="0" collapsed="false">
      <c r="B46" s="14" t="str">
        <f aca="false">'Data BoP'!B46</f>
        <v>2016-Q1</v>
      </c>
      <c r="C46" s="15" t="n">
        <f aca="false">'Data BoP'!E46</f>
        <v>-4896.5106324927</v>
      </c>
      <c r="D46" s="10" t="n">
        <f aca="false">'Data BoP'!G46</f>
        <v>176.146031199998</v>
      </c>
      <c r="E46" s="10" t="n">
        <f aca="false">'Data BoP'!H46</f>
        <v>12454.08528896</v>
      </c>
      <c r="F46" s="10" t="n">
        <f aca="false">'Data BoP'!I46</f>
        <v>12277.93925776</v>
      </c>
      <c r="G46" s="10" t="n">
        <f aca="false">'Data BoP'!J46</f>
        <v>-2498.46491989724</v>
      </c>
      <c r="H46" s="10" t="n">
        <f aca="false">'Data BoP'!K46</f>
        <v>3610.11150456841</v>
      </c>
      <c r="I46" s="10" t="n">
        <f aca="false">'Data BoP'!L46</f>
        <v>6108.57642446564</v>
      </c>
      <c r="J46" s="10" t="n">
        <f aca="false">'Data BoP'!M46</f>
        <v>-2894.77577480493</v>
      </c>
      <c r="K46" s="10" t="n">
        <f aca="false">'Data BoP'!N46</f>
        <v>-23.7306561720634</v>
      </c>
      <c r="L46" s="10" t="n">
        <f aca="false">'Data BoP'!O46</f>
        <v>-2871.04511863286</v>
      </c>
      <c r="M46" s="10" t="n">
        <f aca="false">'Data BoP'!P46</f>
        <v>-1832.31354340266</v>
      </c>
      <c r="N46" s="10" t="n">
        <f aca="false">'Data BoP'!Q46</f>
        <v>-704.239641676672</v>
      </c>
      <c r="O46" s="10" t="n">
        <f aca="false">'Data BoP'!R46</f>
        <v>-348.797457135831</v>
      </c>
      <c r="P46" s="10" t="n">
        <f aca="false">'Data BoP'!AO46</f>
        <v>14.3055235822972</v>
      </c>
      <c r="Q46" s="10" t="n">
        <f aca="false">'Data BoP'!S46</f>
        <v>320.58403100946</v>
      </c>
      <c r="R46" s="10" t="n">
        <f aca="false">'Data BoP'!T46</f>
        <v>84.347354682844</v>
      </c>
      <c r="T46" s="14" t="str">
        <f aca="false">'Data BoP'!B46</f>
        <v>2016-Q1</v>
      </c>
      <c r="U46" s="15" t="n">
        <f aca="false">('Data BoP'!E43)+('Data BoP'!E44)+('Data BoP'!E45)+('Data BoP'!E46)</f>
        <v>-16974.6340688448</v>
      </c>
      <c r="V46" s="10" t="n">
        <f aca="false">('Data BoP'!G43)+('Data BoP'!G44)+('Data BoP'!G45)+('Data BoP'!G46)</f>
        <v>256.720604659994</v>
      </c>
      <c r="W46" s="10" t="n">
        <f aca="false">('Data BoP'!H43)+('Data BoP'!H44)+('Data BoP'!H45)+('Data BoP'!H46)</f>
        <v>57201.66028896</v>
      </c>
      <c r="X46" s="10" t="n">
        <f aca="false">('Data BoP'!I43)+('Data BoP'!I44)+('Data BoP'!I45)+('Data BoP'!I46)</f>
        <v>56944.9396843</v>
      </c>
      <c r="Y46" s="10" t="n">
        <f aca="false">('Data BoP'!J43)+('Data BoP'!J44)+('Data BoP'!J45)+('Data BoP'!J46)</f>
        <v>-6777.71894965579</v>
      </c>
      <c r="Z46" s="10" t="n">
        <f aca="false">('Data BoP'!K43)+('Data BoP'!K44)+('Data BoP'!K45)+('Data BoP'!K46)</f>
        <v>13349.6605701915</v>
      </c>
      <c r="AA46" s="10" t="n">
        <f aca="false">('Data BoP'!L43)+('Data BoP'!L44)+('Data BoP'!L45)+('Data BoP'!L46)</f>
        <v>20127.3795198473</v>
      </c>
      <c r="AB46" s="10" t="n">
        <f aca="false">('Data BoP'!M43)+('Data BoP'!M44)+('Data BoP'!M45)+('Data BoP'!M46)</f>
        <v>-11776.3129285134</v>
      </c>
      <c r="AC46" s="10" t="n">
        <f aca="false">('Data BoP'!N43)+('Data BoP'!N44)+('Data BoP'!N45)+('Data BoP'!N46)</f>
        <v>0.212720675988212</v>
      </c>
      <c r="AD46" s="10" t="n">
        <f aca="false">('Data BoP'!O43)+('Data BoP'!O44)+('Data BoP'!O45)+('Data BoP'!O46)</f>
        <v>-11776.5256491894</v>
      </c>
      <c r="AE46" s="10" t="n">
        <f aca="false">('Data BoP'!P43)+('Data BoP'!P44)+('Data BoP'!P45)+('Data BoP'!P46)</f>
        <v>-7706.13443969933</v>
      </c>
      <c r="AF46" s="10" t="n">
        <f aca="false">('Data BoP'!Q43)+('Data BoP'!Q44)+('Data BoP'!Q45)+('Data BoP'!Q46)</f>
        <v>-2775.69649764448</v>
      </c>
      <c r="AG46" s="10" t="n">
        <f aca="false">('Data BoP'!R43)+('Data BoP'!R44)+('Data BoP'!R45)+('Data BoP'!R46)</f>
        <v>-1327.52581858235</v>
      </c>
      <c r="AH46" s="10" t="n">
        <f aca="false">('Data BoP'!AO43)+('Data BoP'!AO44)+('Data BoP'!AO45)+('Data BoP'!AO46)</f>
        <v>32.8311067367575</v>
      </c>
      <c r="AI46" s="10" t="n">
        <f aca="false">('Data BoP'!S43)+('Data BoP'!S44)+('Data BoP'!S45)+('Data BoP'!S46)</f>
        <v>1322.67720466438</v>
      </c>
      <c r="AJ46" s="10" t="n">
        <f aca="false">('Data BoP'!T43)+('Data BoP'!T44)+('Data BoP'!T45)+('Data BoP'!T46)</f>
        <v>126.72378445131</v>
      </c>
    </row>
    <row r="47" customFormat="false" ht="15" hidden="false" customHeight="false" outlineLevel="0" collapsed="false">
      <c r="B47" s="14" t="str">
        <f aca="false">'Data BoP'!B47</f>
        <v>2016-Q2</v>
      </c>
      <c r="C47" s="15" t="n">
        <f aca="false">'Data BoP'!E47</f>
        <v>-2930.59128274145</v>
      </c>
      <c r="D47" s="10" t="n">
        <f aca="false">'Data BoP'!G47</f>
        <v>1677.39627686</v>
      </c>
      <c r="E47" s="10" t="n">
        <f aca="false">'Data BoP'!H47</f>
        <v>15437.820769</v>
      </c>
      <c r="F47" s="10" t="n">
        <f aca="false">'Data BoP'!I47</f>
        <v>13760.42449214</v>
      </c>
      <c r="G47" s="10" t="n">
        <f aca="false">'Data BoP'!J47</f>
        <v>-1926.68333691332</v>
      </c>
      <c r="H47" s="10" t="n">
        <f aca="false">'Data BoP'!K47</f>
        <v>2954.63346329572</v>
      </c>
      <c r="I47" s="10" t="n">
        <f aca="false">'Data BoP'!L47</f>
        <v>4881.31680020904</v>
      </c>
      <c r="J47" s="10" t="n">
        <f aca="false">'Data BoP'!M47</f>
        <v>-2986.86884107621</v>
      </c>
      <c r="K47" s="10" t="n">
        <f aca="false">'Data BoP'!N47</f>
        <v>-23.0917647307765</v>
      </c>
      <c r="L47" s="10" t="n">
        <f aca="false">'Data BoP'!O47</f>
        <v>-2963.77707634544</v>
      </c>
      <c r="M47" s="10" t="n">
        <f aca="false">'Data BoP'!P47</f>
        <v>-1770.41599731938</v>
      </c>
      <c r="N47" s="10" t="n">
        <f aca="false">'Data BoP'!Q47</f>
        <v>-827.636486783903</v>
      </c>
      <c r="O47" s="10" t="n">
        <f aca="false">'Data BoP'!R47</f>
        <v>-380.283987349398</v>
      </c>
      <c r="P47" s="10" t="n">
        <f aca="false">'Data BoP'!AO47</f>
        <v>14.5593951072385</v>
      </c>
      <c r="Q47" s="10" t="n">
        <f aca="false">'Data BoP'!S47</f>
        <v>305.56461838809</v>
      </c>
      <c r="R47" s="10" t="n">
        <f aca="false">'Data BoP'!T47</f>
        <v>33.304358311503</v>
      </c>
      <c r="T47" s="14" t="str">
        <f aca="false">'Data BoP'!B47</f>
        <v>2016-Q2</v>
      </c>
      <c r="U47" s="15" t="n">
        <f aca="false">('Data BoP'!E44)+('Data BoP'!E45)+('Data BoP'!E46)+('Data BoP'!E47)</f>
        <v>-17436.1638411193</v>
      </c>
      <c r="V47" s="10" t="n">
        <f aca="false">('Data BoP'!G44)+('Data BoP'!G45)+('Data BoP'!G46)+('Data BoP'!G47)</f>
        <v>471.542729679996</v>
      </c>
      <c r="W47" s="10" t="n">
        <f aca="false">('Data BoP'!H44)+('Data BoP'!H45)+('Data BoP'!H46)+('Data BoP'!H47)</f>
        <v>56228.07205796</v>
      </c>
      <c r="X47" s="10" t="n">
        <f aca="false">('Data BoP'!I44)+('Data BoP'!I45)+('Data BoP'!I46)+('Data BoP'!I47)</f>
        <v>55756.52932828</v>
      </c>
      <c r="Y47" s="10" t="n">
        <f aca="false">('Data BoP'!J44)+('Data BoP'!J45)+('Data BoP'!J46)+('Data BoP'!J47)</f>
        <v>-7457.65727225267</v>
      </c>
      <c r="Z47" s="10" t="n">
        <f aca="false">('Data BoP'!K44)+('Data BoP'!K45)+('Data BoP'!K46)+('Data BoP'!K47)</f>
        <v>13256.9200304346</v>
      </c>
      <c r="AA47" s="10" t="n">
        <f aca="false">('Data BoP'!L44)+('Data BoP'!L45)+('Data BoP'!L46)+('Data BoP'!L47)</f>
        <v>20714.5773026873</v>
      </c>
      <c r="AB47" s="10" t="n">
        <f aca="false">('Data BoP'!M44)+('Data BoP'!M45)+('Data BoP'!M46)+('Data BoP'!M47)</f>
        <v>-11674.9599641967</v>
      </c>
      <c r="AC47" s="10" t="n">
        <f aca="false">('Data BoP'!N44)+('Data BoP'!N45)+('Data BoP'!N46)+('Data BoP'!N47)</f>
        <v>-28.4313312408592</v>
      </c>
      <c r="AD47" s="10" t="n">
        <f aca="false">('Data BoP'!O44)+('Data BoP'!O45)+('Data BoP'!O46)+('Data BoP'!O47)</f>
        <v>-11646.5286329559</v>
      </c>
      <c r="AE47" s="10" t="n">
        <f aca="false">('Data BoP'!P44)+('Data BoP'!P45)+('Data BoP'!P46)+('Data BoP'!P47)</f>
        <v>-7386.81557340287</v>
      </c>
      <c r="AF47" s="10" t="n">
        <f aca="false">('Data BoP'!Q44)+('Data BoP'!Q45)+('Data BoP'!Q46)+('Data BoP'!Q47)</f>
        <v>-2940.31731332951</v>
      </c>
      <c r="AG47" s="10" t="n">
        <f aca="false">('Data BoP'!R44)+('Data BoP'!R45)+('Data BoP'!R46)+('Data BoP'!R47)</f>
        <v>-1359.79229958676</v>
      </c>
      <c r="AH47" s="10" t="n">
        <f aca="false">('Data BoP'!AO44)+('Data BoP'!AO45)+('Data BoP'!AO46)+('Data BoP'!AO47)</f>
        <v>40.396553363283</v>
      </c>
      <c r="AI47" s="10" t="n">
        <f aca="false">('Data BoP'!S44)+('Data BoP'!S45)+('Data BoP'!S46)+('Data BoP'!S47)</f>
        <v>1224.91066565013</v>
      </c>
      <c r="AJ47" s="10" t="n">
        <f aca="false">('Data BoP'!T44)+('Data BoP'!T45)+('Data BoP'!T46)+('Data BoP'!T47)</f>
        <v>157.317724573917</v>
      </c>
    </row>
    <row r="48" customFormat="false" ht="15" hidden="false" customHeight="false" outlineLevel="0" collapsed="false">
      <c r="B48" s="14" t="str">
        <f aca="false">'Data BoP'!B48</f>
        <v>2016-Q3</v>
      </c>
      <c r="C48" s="15" t="n">
        <f aca="false">'Data BoP'!E48</f>
        <v>-2967.12032221582</v>
      </c>
      <c r="D48" s="10" t="n">
        <f aca="false">'Data BoP'!G48</f>
        <v>1826.47574168</v>
      </c>
      <c r="E48" s="10" t="n">
        <f aca="false">'Data BoP'!H48</f>
        <v>15828.63788207</v>
      </c>
      <c r="F48" s="10" t="n">
        <f aca="false">'Data BoP'!I48</f>
        <v>14002.16214039</v>
      </c>
      <c r="G48" s="10" t="n">
        <f aca="false">'Data BoP'!J48</f>
        <v>-2225.0634244791</v>
      </c>
      <c r="H48" s="10" t="n">
        <f aca="false">'Data BoP'!K48</f>
        <v>3221.79961592558</v>
      </c>
      <c r="I48" s="10" t="n">
        <f aca="false">'Data BoP'!L48</f>
        <v>5446.86304040468</v>
      </c>
      <c r="J48" s="10" t="n">
        <f aca="false">'Data BoP'!M48</f>
        <v>-2862.6026596624</v>
      </c>
      <c r="K48" s="10" t="n">
        <f aca="false">'Data BoP'!N48</f>
        <v>-25.8840686936954</v>
      </c>
      <c r="L48" s="10" t="n">
        <f aca="false">'Data BoP'!O48</f>
        <v>-2836.71859096871</v>
      </c>
      <c r="M48" s="10" t="n">
        <f aca="false">'Data BoP'!P48</f>
        <v>-1664.26293390256</v>
      </c>
      <c r="N48" s="10" t="n">
        <f aca="false">'Data BoP'!Q48</f>
        <v>-856.384614380346</v>
      </c>
      <c r="O48" s="10" t="n">
        <f aca="false">'Data BoP'!R48</f>
        <v>-331.177846468729</v>
      </c>
      <c r="P48" s="10" t="n">
        <f aca="false">'Data BoP'!AO48</f>
        <v>15.1068037829294</v>
      </c>
      <c r="Q48" s="10" t="n">
        <f aca="false">'Data BoP'!S48</f>
        <v>294.070020245685</v>
      </c>
      <c r="R48" s="10" t="n">
        <f aca="false">'Data BoP'!T48</f>
        <v>110.357906302194</v>
      </c>
      <c r="T48" s="14" t="str">
        <f aca="false">'Data BoP'!B48</f>
        <v>2016-Q3</v>
      </c>
      <c r="U48" s="15" t="n">
        <f aca="false">('Data BoP'!E45)+('Data BoP'!E46)+('Data BoP'!E47)+('Data BoP'!E48)</f>
        <v>-15895.3566387233</v>
      </c>
      <c r="V48" s="10" t="n">
        <f aca="false">('Data BoP'!G45)+('Data BoP'!G46)+('Data BoP'!G47)+('Data BoP'!G48)</f>
        <v>2578.85027996999</v>
      </c>
      <c r="W48" s="10" t="n">
        <f aca="false">('Data BoP'!H45)+('Data BoP'!H46)+('Data BoP'!H47)+('Data BoP'!H48)</f>
        <v>56184.58794003</v>
      </c>
      <c r="X48" s="10" t="n">
        <f aca="false">('Data BoP'!I45)+('Data BoP'!I46)+('Data BoP'!I47)+('Data BoP'!I48)</f>
        <v>53605.73766006</v>
      </c>
      <c r="Y48" s="10" t="n">
        <f aca="false">('Data BoP'!J45)+('Data BoP'!J46)+('Data BoP'!J47)+('Data BoP'!J48)</f>
        <v>-8139.15584972209</v>
      </c>
      <c r="Z48" s="10" t="n">
        <f aca="false">('Data BoP'!K45)+('Data BoP'!K46)+('Data BoP'!K47)+('Data BoP'!K48)</f>
        <v>13250.3878285942</v>
      </c>
      <c r="AA48" s="10" t="n">
        <f aca="false">('Data BoP'!L45)+('Data BoP'!L46)+('Data BoP'!L47)+('Data BoP'!L48)</f>
        <v>21389.5436783163</v>
      </c>
      <c r="AB48" s="10" t="n">
        <f aca="false">('Data BoP'!M45)+('Data BoP'!M46)+('Data BoP'!M47)+('Data BoP'!M48)</f>
        <v>-11651.2994231317</v>
      </c>
      <c r="AC48" s="10" t="n">
        <f aca="false">('Data BoP'!N45)+('Data BoP'!N46)+('Data BoP'!N47)+('Data BoP'!N48)</f>
        <v>-63.2589559552026</v>
      </c>
      <c r="AD48" s="10" t="n">
        <f aca="false">('Data BoP'!O45)+('Data BoP'!O46)+('Data BoP'!O47)+('Data BoP'!O48)</f>
        <v>-11588.0404671765</v>
      </c>
      <c r="AE48" s="10" t="n">
        <f aca="false">('Data BoP'!P45)+('Data BoP'!P46)+('Data BoP'!P47)+('Data BoP'!P48)</f>
        <v>-7084.53255971239</v>
      </c>
      <c r="AF48" s="10" t="n">
        <f aca="false">('Data BoP'!Q45)+('Data BoP'!Q46)+('Data BoP'!Q47)+('Data BoP'!Q48)</f>
        <v>-3123.47083111113</v>
      </c>
      <c r="AG48" s="10" t="n">
        <f aca="false">('Data BoP'!R45)+('Data BoP'!R46)+('Data BoP'!R47)+('Data BoP'!R48)</f>
        <v>-1427.67457005117</v>
      </c>
      <c r="AH48" s="10" t="n">
        <f aca="false">('Data BoP'!AO45)+('Data BoP'!AO46)+('Data BoP'!AO47)+('Data BoP'!AO48)</f>
        <v>47.6374936981477</v>
      </c>
      <c r="AI48" s="10" t="n">
        <f aca="false">('Data BoP'!S45)+('Data BoP'!S46)+('Data BoP'!S47)+('Data BoP'!S48)</f>
        <v>1316.24835416057</v>
      </c>
      <c r="AJ48" s="10" t="n">
        <f aca="false">('Data BoP'!T45)+('Data BoP'!T46)+('Data BoP'!T47)+('Data BoP'!T48)</f>
        <v>229.150938041127</v>
      </c>
    </row>
    <row r="49" customFormat="false" ht="15" hidden="false" customHeight="false" outlineLevel="0" collapsed="false">
      <c r="B49" s="14" t="str">
        <f aca="false">'Data BoP'!B49</f>
        <v>2016-Q4</v>
      </c>
      <c r="C49" s="15" t="n">
        <f aca="false">'Data BoP'!E49</f>
        <v>-4310.56428711015</v>
      </c>
      <c r="D49" s="10" t="n">
        <f aca="false">'Data BoP'!G49</f>
        <v>736.138891860004</v>
      </c>
      <c r="E49" s="10" t="n">
        <f aca="false">'Data BoP'!H49</f>
        <v>14239.3897505</v>
      </c>
      <c r="F49" s="10" t="n">
        <f aca="false">'Data BoP'!I49</f>
        <v>13503.25085864</v>
      </c>
      <c r="G49" s="10" t="n">
        <f aca="false">'Data BoP'!J49</f>
        <v>-1801.44350424614</v>
      </c>
      <c r="H49" s="10" t="n">
        <f aca="false">'Data BoP'!K49</f>
        <v>3638.1623004355</v>
      </c>
      <c r="I49" s="10" t="n">
        <f aca="false">'Data BoP'!L49</f>
        <v>5439.60580468164</v>
      </c>
      <c r="J49" s="10" t="n">
        <f aca="false">'Data BoP'!M49</f>
        <v>-3447.96346524445</v>
      </c>
      <c r="K49" s="10" t="n">
        <f aca="false">'Data BoP'!N49</f>
        <v>-21.2313410339151</v>
      </c>
      <c r="L49" s="10" t="n">
        <f aca="false">'Data BoP'!O49</f>
        <v>-3426.73212421054</v>
      </c>
      <c r="M49" s="10" t="n">
        <f aca="false">'Data BoP'!P49</f>
        <v>-1899.26297058827</v>
      </c>
      <c r="N49" s="10" t="n">
        <f aca="false">'Data BoP'!Q49</f>
        <v>-1117.1685661781</v>
      </c>
      <c r="O49" s="10" t="n">
        <f aca="false">'Data BoP'!R49</f>
        <v>-426.881243238417</v>
      </c>
      <c r="P49" s="10" t="n">
        <f aca="false">'Data BoP'!AO49</f>
        <v>16.5806557942491</v>
      </c>
      <c r="Q49" s="10" t="n">
        <f aca="false">'Data BoP'!S49</f>
        <v>202.703790520443</v>
      </c>
      <c r="R49" s="10" t="n">
        <f aca="false">'Data BoP'!T49</f>
        <v>142.794926960483</v>
      </c>
      <c r="T49" s="14" t="str">
        <f aca="false">'Data BoP'!B49</f>
        <v>2016-Q4</v>
      </c>
      <c r="U49" s="15" t="n">
        <f aca="false">('Data BoP'!E46)+('Data BoP'!E47)+('Data BoP'!E48)+('Data BoP'!E49)</f>
        <v>-15104.7865245601</v>
      </c>
      <c r="V49" s="10" t="n">
        <f aca="false">('Data BoP'!G46)+('Data BoP'!G47)+('Data BoP'!G48)+('Data BoP'!G49)</f>
        <v>4416.1569416</v>
      </c>
      <c r="W49" s="10" t="n">
        <f aca="false">('Data BoP'!H46)+('Data BoP'!H47)+('Data BoP'!H48)+('Data BoP'!H49)</f>
        <v>57959.93369053</v>
      </c>
      <c r="X49" s="10" t="n">
        <f aca="false">('Data BoP'!I46)+('Data BoP'!I47)+('Data BoP'!I48)+('Data BoP'!I49)</f>
        <v>53543.77674893</v>
      </c>
      <c r="Y49" s="10" t="n">
        <f aca="false">('Data BoP'!J46)+('Data BoP'!J47)+('Data BoP'!J48)+('Data BoP'!J49)</f>
        <v>-8451.65518553581</v>
      </c>
      <c r="Z49" s="10" t="n">
        <f aca="false">('Data BoP'!K46)+('Data BoP'!K47)+('Data BoP'!K48)+('Data BoP'!K49)</f>
        <v>13424.7068842252</v>
      </c>
      <c r="AA49" s="10" t="n">
        <f aca="false">('Data BoP'!L46)+('Data BoP'!L47)+('Data BoP'!L48)+('Data BoP'!L49)</f>
        <v>21876.362069761</v>
      </c>
      <c r="AB49" s="10" t="n">
        <f aca="false">('Data BoP'!M46)+('Data BoP'!M47)+('Data BoP'!M48)+('Data BoP'!M49)</f>
        <v>-12192.210740788</v>
      </c>
      <c r="AC49" s="10" t="n">
        <f aca="false">('Data BoP'!N46)+('Data BoP'!N47)+('Data BoP'!N48)+('Data BoP'!N49)</f>
        <v>-93.9378306304503</v>
      </c>
      <c r="AD49" s="10" t="n">
        <f aca="false">('Data BoP'!O46)+('Data BoP'!O47)+('Data BoP'!O48)+('Data BoP'!O49)</f>
        <v>-12098.2729101575</v>
      </c>
      <c r="AE49" s="10" t="n">
        <f aca="false">('Data BoP'!P46)+('Data BoP'!P47)+('Data BoP'!P48)+('Data BoP'!P49)</f>
        <v>-7166.25544521286</v>
      </c>
      <c r="AF49" s="10" t="n">
        <f aca="false">('Data BoP'!Q46)+('Data BoP'!Q47)+('Data BoP'!Q48)+('Data BoP'!Q49)</f>
        <v>-3505.42930901902</v>
      </c>
      <c r="AG49" s="10" t="n">
        <f aca="false">('Data BoP'!R46)+('Data BoP'!R47)+('Data BoP'!R48)+('Data BoP'!R49)</f>
        <v>-1487.14053419237</v>
      </c>
      <c r="AH49" s="10" t="n">
        <f aca="false">('Data BoP'!AO46)+('Data BoP'!AO47)+('Data BoP'!AO48)+('Data BoP'!AO49)</f>
        <v>60.5523782667141</v>
      </c>
      <c r="AI49" s="10" t="n">
        <f aca="false">('Data BoP'!S46)+('Data BoP'!S47)+('Data BoP'!S48)+('Data BoP'!S49)</f>
        <v>1122.92246016368</v>
      </c>
      <c r="AJ49" s="10" t="n">
        <f aca="false">('Data BoP'!T46)+('Data BoP'!T47)+('Data BoP'!T48)+('Data BoP'!T49)</f>
        <v>370.804546257024</v>
      </c>
    </row>
    <row r="50" customFormat="false" ht="15" hidden="false" customHeight="false" outlineLevel="0" collapsed="false">
      <c r="B50" s="14" t="str">
        <f aca="false">'Data BoP'!B50</f>
        <v>2017-Q1</v>
      </c>
      <c r="C50" s="15" t="n">
        <f aca="false">'Data BoP'!E50</f>
        <v>-7234.66883897359</v>
      </c>
      <c r="D50" s="10" t="n">
        <f aca="false">'Data BoP'!G50</f>
        <v>-620.283226139902</v>
      </c>
      <c r="E50" s="10" t="n">
        <f aca="false">'Data BoP'!H50</f>
        <v>12764.82563288</v>
      </c>
      <c r="F50" s="10" t="n">
        <f aca="false">'Data BoP'!I50</f>
        <v>13385.1088590199</v>
      </c>
      <c r="G50" s="10" t="n">
        <f aca="false">'Data BoP'!J50</f>
        <v>-3060.84150275438</v>
      </c>
      <c r="H50" s="10" t="n">
        <f aca="false">'Data BoP'!K50</f>
        <v>4037.4781476365</v>
      </c>
      <c r="I50" s="10" t="n">
        <f aca="false">'Data BoP'!L50</f>
        <v>7098.31965039088</v>
      </c>
      <c r="J50" s="10" t="n">
        <f aca="false">'Data BoP'!M50</f>
        <v>-3777.92928623007</v>
      </c>
      <c r="K50" s="10" t="n">
        <f aca="false">'Data BoP'!N50</f>
        <v>-24.917890204641</v>
      </c>
      <c r="L50" s="10" t="n">
        <f aca="false">'Data BoP'!O50</f>
        <v>-3753.01139602543</v>
      </c>
      <c r="M50" s="10" t="n">
        <f aca="false">'Data BoP'!P50</f>
        <v>-2032.94940813363</v>
      </c>
      <c r="N50" s="10" t="n">
        <f aca="false">'Data BoP'!Q50</f>
        <v>-1348.91084403559</v>
      </c>
      <c r="O50" s="10" t="n">
        <f aca="false">'Data BoP'!R50</f>
        <v>-398.434375377866</v>
      </c>
      <c r="P50" s="10" t="n">
        <f aca="false">'Data BoP'!AO50</f>
        <v>27.2832315216681</v>
      </c>
      <c r="Q50" s="10" t="n">
        <f aca="false">'Data BoP'!S50</f>
        <v>224.385176150762</v>
      </c>
      <c r="R50" s="10" t="n">
        <f aca="false">'Data BoP'!T50</f>
        <v>45.3037348507495</v>
      </c>
      <c r="T50" s="14" t="str">
        <f aca="false">'Data BoP'!B50</f>
        <v>2017-Q1</v>
      </c>
      <c r="U50" s="15" t="n">
        <f aca="false">('Data BoP'!E47)+('Data BoP'!E48)+('Data BoP'!E49)+('Data BoP'!E50)</f>
        <v>-17442.944731041</v>
      </c>
      <c r="V50" s="10" t="n">
        <f aca="false">('Data BoP'!G47)+('Data BoP'!G48)+('Data BoP'!G49)+('Data BoP'!G50)</f>
        <v>3619.7276842601</v>
      </c>
      <c r="W50" s="10" t="n">
        <f aca="false">('Data BoP'!H47)+('Data BoP'!H48)+('Data BoP'!H49)+('Data BoP'!H50)</f>
        <v>58270.67403445</v>
      </c>
      <c r="X50" s="10" t="n">
        <f aca="false">('Data BoP'!I47)+('Data BoP'!I48)+('Data BoP'!I49)+('Data BoP'!I50)</f>
        <v>54650.9463501899</v>
      </c>
      <c r="Y50" s="10" t="n">
        <f aca="false">('Data BoP'!J47)+('Data BoP'!J48)+('Data BoP'!J49)+('Data BoP'!J50)</f>
        <v>-9014.03176839295</v>
      </c>
      <c r="Z50" s="10" t="n">
        <f aca="false">('Data BoP'!K47)+('Data BoP'!K48)+('Data BoP'!K49)+('Data BoP'!K50)</f>
        <v>13852.0735272933</v>
      </c>
      <c r="AA50" s="10" t="n">
        <f aca="false">('Data BoP'!L47)+('Data BoP'!L48)+('Data BoP'!L49)+('Data BoP'!L50)</f>
        <v>22866.1052956863</v>
      </c>
      <c r="AB50" s="10" t="n">
        <f aca="false">('Data BoP'!M47)+('Data BoP'!M48)+('Data BoP'!M49)+('Data BoP'!M50)</f>
        <v>-13075.3642522131</v>
      </c>
      <c r="AC50" s="10" t="n">
        <f aca="false">('Data BoP'!N47)+('Data BoP'!N48)+('Data BoP'!N49)+('Data BoP'!N50)</f>
        <v>-95.1250646630279</v>
      </c>
      <c r="AD50" s="10" t="n">
        <f aca="false">('Data BoP'!O47)+('Data BoP'!O48)+('Data BoP'!O49)+('Data BoP'!O50)</f>
        <v>-12980.2391875501</v>
      </c>
      <c r="AE50" s="10" t="n">
        <f aca="false">('Data BoP'!P47)+('Data BoP'!P48)+('Data BoP'!P49)+('Data BoP'!P50)</f>
        <v>-7366.89130994384</v>
      </c>
      <c r="AF50" s="10" t="n">
        <f aca="false">('Data BoP'!Q47)+('Data BoP'!Q48)+('Data BoP'!Q49)+('Data BoP'!Q50)</f>
        <v>-4150.10051137794</v>
      </c>
      <c r="AG50" s="10" t="n">
        <f aca="false">('Data BoP'!R47)+('Data BoP'!R48)+('Data BoP'!R49)+('Data BoP'!R50)</f>
        <v>-1536.77745243441</v>
      </c>
      <c r="AH50" s="10" t="n">
        <f aca="false">('Data BoP'!AO47)+('Data BoP'!AO48)+('Data BoP'!AO49)+('Data BoP'!AO50)</f>
        <v>73.5300862060851</v>
      </c>
      <c r="AI50" s="10" t="n">
        <f aca="false">('Data BoP'!S47)+('Data BoP'!S48)+('Data BoP'!S49)+('Data BoP'!S50)</f>
        <v>1026.72360530498</v>
      </c>
      <c r="AJ50" s="10" t="n">
        <f aca="false">('Data BoP'!T47)+('Data BoP'!T48)+('Data BoP'!T49)+('Data BoP'!T50)</f>
        <v>331.760926424929</v>
      </c>
    </row>
    <row r="51" customFormat="false" ht="15" hidden="false" customHeight="false" outlineLevel="0" collapsed="false">
      <c r="B51" s="14" t="str">
        <f aca="false">'Data BoP'!B51</f>
        <v>2017-Q2</v>
      </c>
      <c r="C51" s="15" t="n">
        <f aca="false">'Data BoP'!E51</f>
        <v>-6605.31059350088</v>
      </c>
      <c r="D51" s="10" t="n">
        <f aca="false">'Data BoP'!G51</f>
        <v>-712.2258264701</v>
      </c>
      <c r="E51" s="10" t="n">
        <f aca="false">'Data BoP'!H51</f>
        <v>15524.04101412</v>
      </c>
      <c r="F51" s="10" t="n">
        <f aca="false">'Data BoP'!I51</f>
        <v>16236.2668405901</v>
      </c>
      <c r="G51" s="10" t="n">
        <f aca="false">'Data BoP'!J51</f>
        <v>-2068.68485863363</v>
      </c>
      <c r="H51" s="10" t="n">
        <f aca="false">'Data BoP'!K51</f>
        <v>3625.34060687029</v>
      </c>
      <c r="I51" s="10" t="n">
        <f aca="false">'Data BoP'!L51</f>
        <v>5694.02546550393</v>
      </c>
      <c r="J51" s="10" t="n">
        <f aca="false">'Data BoP'!M51</f>
        <v>-4033.1355644407</v>
      </c>
      <c r="K51" s="10" t="n">
        <f aca="false">'Data BoP'!N51</f>
        <v>-12.5850517517141</v>
      </c>
      <c r="L51" s="10" t="n">
        <f aca="false">'Data BoP'!O51</f>
        <v>-4020.55051268899</v>
      </c>
      <c r="M51" s="10" t="n">
        <f aca="false">'Data BoP'!P51</f>
        <v>-2072.9253911912</v>
      </c>
      <c r="N51" s="10" t="n">
        <f aca="false">'Data BoP'!Q51</f>
        <v>-1471.86373481843</v>
      </c>
      <c r="O51" s="10" t="n">
        <f aca="false">'Data BoP'!R51</f>
        <v>-513.040653051618</v>
      </c>
      <c r="P51" s="10" t="n">
        <f aca="false">'Data BoP'!AO51</f>
        <v>37.2792663722623</v>
      </c>
      <c r="Q51" s="10" t="n">
        <f aca="false">'Data BoP'!S51</f>
        <v>208.735656043548</v>
      </c>
      <c r="R51" s="10" t="n">
        <f aca="false">'Data BoP'!T51</f>
        <v>43.5037170004316</v>
      </c>
      <c r="T51" s="14" t="str">
        <f aca="false">'Data BoP'!B51</f>
        <v>2017-Q2</v>
      </c>
      <c r="U51" s="15" t="n">
        <f aca="false">('Data BoP'!E48)+('Data BoP'!E49)+('Data BoP'!E50)+('Data BoP'!E51)</f>
        <v>-21117.6640418004</v>
      </c>
      <c r="V51" s="10" t="n">
        <f aca="false">('Data BoP'!G48)+('Data BoP'!G49)+('Data BoP'!G50)+('Data BoP'!G51)</f>
        <v>1230.10558093</v>
      </c>
      <c r="W51" s="10" t="n">
        <f aca="false">('Data BoP'!H48)+('Data BoP'!H49)+('Data BoP'!H50)+('Data BoP'!H51)</f>
        <v>58356.89427957</v>
      </c>
      <c r="X51" s="10" t="n">
        <f aca="false">('Data BoP'!I48)+('Data BoP'!I49)+('Data BoP'!I50)+('Data BoP'!I51)</f>
        <v>57126.78869864</v>
      </c>
      <c r="Y51" s="10" t="n">
        <f aca="false">('Data BoP'!J48)+('Data BoP'!J49)+('Data BoP'!J50)+('Data BoP'!J51)</f>
        <v>-9156.03329011326</v>
      </c>
      <c r="Z51" s="10" t="n">
        <f aca="false">('Data BoP'!K48)+('Data BoP'!K49)+('Data BoP'!K50)+('Data BoP'!K51)</f>
        <v>14522.7806708679</v>
      </c>
      <c r="AA51" s="10" t="n">
        <f aca="false">('Data BoP'!L48)+('Data BoP'!L49)+('Data BoP'!L50)+('Data BoP'!L51)</f>
        <v>23678.8139609811</v>
      </c>
      <c r="AB51" s="10" t="n">
        <f aca="false">('Data BoP'!M48)+('Data BoP'!M49)+('Data BoP'!M50)+('Data BoP'!M51)</f>
        <v>-14121.6309755776</v>
      </c>
      <c r="AC51" s="10" t="n">
        <f aca="false">('Data BoP'!N48)+('Data BoP'!N49)+('Data BoP'!N50)+('Data BoP'!N51)</f>
        <v>-84.6183516839656</v>
      </c>
      <c r="AD51" s="10" t="n">
        <f aca="false">('Data BoP'!O48)+('Data BoP'!O49)+('Data BoP'!O50)+('Data BoP'!O51)</f>
        <v>-14037.0126238937</v>
      </c>
      <c r="AE51" s="10" t="n">
        <f aca="false">('Data BoP'!P48)+('Data BoP'!P49)+('Data BoP'!P50)+('Data BoP'!P51)</f>
        <v>-7669.40070381567</v>
      </c>
      <c r="AF51" s="10" t="n">
        <f aca="false">('Data BoP'!Q48)+('Data BoP'!Q49)+('Data BoP'!Q50)+('Data BoP'!Q51)</f>
        <v>-4794.32775941247</v>
      </c>
      <c r="AG51" s="10" t="n">
        <f aca="false">('Data BoP'!R48)+('Data BoP'!R49)+('Data BoP'!R50)+('Data BoP'!R51)</f>
        <v>-1669.53411813663</v>
      </c>
      <c r="AH51" s="10" t="n">
        <f aca="false">('Data BoP'!AO48)+('Data BoP'!AO49)+('Data BoP'!AO50)+('Data BoP'!AO51)</f>
        <v>96.2499574711089</v>
      </c>
      <c r="AI51" s="10" t="n">
        <f aca="false">('Data BoP'!S48)+('Data BoP'!S49)+('Data BoP'!S50)+('Data BoP'!S51)</f>
        <v>929.894642960438</v>
      </c>
      <c r="AJ51" s="10" t="n">
        <f aca="false">('Data BoP'!T48)+('Data BoP'!T49)+('Data BoP'!T50)+('Data BoP'!T51)</f>
        <v>341.960285113858</v>
      </c>
    </row>
    <row r="52" customFormat="false" ht="15" hidden="false" customHeight="false" outlineLevel="0" collapsed="false">
      <c r="B52" s="14" t="str">
        <f aca="false">'Data BoP'!B52</f>
        <v>2017-Q3</v>
      </c>
      <c r="C52" s="15" t="n">
        <f aca="false">'Data BoP'!E52</f>
        <v>-8148.70485482926</v>
      </c>
      <c r="D52" s="10" t="n">
        <f aca="false">'Data BoP'!G52</f>
        <v>-1679.38193896</v>
      </c>
      <c r="E52" s="10" t="n">
        <f aca="false">'Data BoP'!H52</f>
        <v>15851.8840510599</v>
      </c>
      <c r="F52" s="10" t="n">
        <f aca="false">'Data BoP'!I52</f>
        <v>17531.2659900199</v>
      </c>
      <c r="G52" s="10" t="n">
        <f aca="false">'Data BoP'!J52</f>
        <v>-2549.23692898353</v>
      </c>
      <c r="H52" s="10" t="n">
        <f aca="false">'Data BoP'!K52</f>
        <v>3659.99110295258</v>
      </c>
      <c r="I52" s="10" t="n">
        <f aca="false">'Data BoP'!L52</f>
        <v>6209.22803193611</v>
      </c>
      <c r="J52" s="10" t="n">
        <f aca="false">'Data BoP'!M52</f>
        <v>-3843.01391356166</v>
      </c>
      <c r="K52" s="10" t="n">
        <f aca="false">'Data BoP'!N52</f>
        <v>-26.1907888040552</v>
      </c>
      <c r="L52" s="10" t="n">
        <f aca="false">'Data BoP'!O52</f>
        <v>-3816.8231247576</v>
      </c>
      <c r="M52" s="10" t="n">
        <f aca="false">'Data BoP'!P52</f>
        <v>-2114.94509940135</v>
      </c>
      <c r="N52" s="10" t="n">
        <f aca="false">'Data BoP'!Q52</f>
        <v>-1351.35209969916</v>
      </c>
      <c r="O52" s="10" t="n">
        <f aca="false">'Data BoP'!R52</f>
        <v>-391.053234751248</v>
      </c>
      <c r="P52" s="10" t="n">
        <f aca="false">'Data BoP'!AO52</f>
        <v>40.5273090941649</v>
      </c>
      <c r="Q52" s="10" t="n">
        <f aca="false">'Data BoP'!S52</f>
        <v>-77.0720733240714</v>
      </c>
      <c r="R52" s="10" t="n">
        <f aca="false">'Data BoP'!T52</f>
        <v>79.1783464237527</v>
      </c>
      <c r="T52" s="14" t="str">
        <f aca="false">'Data BoP'!B52</f>
        <v>2017-Q3</v>
      </c>
      <c r="U52" s="15" t="n">
        <f aca="false">('Data BoP'!E49)+('Data BoP'!E50)+('Data BoP'!E51)+('Data BoP'!E52)</f>
        <v>-26299.2485744139</v>
      </c>
      <c r="V52" s="10" t="n">
        <f aca="false">('Data BoP'!G49)+('Data BoP'!G50)+('Data BoP'!G51)+('Data BoP'!G52)</f>
        <v>-2275.75209971</v>
      </c>
      <c r="W52" s="10" t="n">
        <f aca="false">('Data BoP'!H49)+('Data BoP'!H50)+('Data BoP'!H51)+('Data BoP'!H52)</f>
        <v>58380.1404485599</v>
      </c>
      <c r="X52" s="10" t="n">
        <f aca="false">('Data BoP'!I49)+('Data BoP'!I50)+('Data BoP'!I51)+('Data BoP'!I52)</f>
        <v>60655.8925482699</v>
      </c>
      <c r="Y52" s="10" t="n">
        <f aca="false">('Data BoP'!J49)+('Data BoP'!J50)+('Data BoP'!J51)+('Data BoP'!J52)</f>
        <v>-9480.20679461768</v>
      </c>
      <c r="Z52" s="10" t="n">
        <f aca="false">('Data BoP'!K49)+('Data BoP'!K50)+('Data BoP'!K51)+('Data BoP'!K52)</f>
        <v>14960.9721578949</v>
      </c>
      <c r="AA52" s="10" t="n">
        <f aca="false">('Data BoP'!L49)+('Data BoP'!L50)+('Data BoP'!L51)+('Data BoP'!L52)</f>
        <v>24441.1789525126</v>
      </c>
      <c r="AB52" s="10" t="n">
        <f aca="false">('Data BoP'!M49)+('Data BoP'!M50)+('Data BoP'!M51)+('Data BoP'!M52)</f>
        <v>-15102.0422294769</v>
      </c>
      <c r="AC52" s="10" t="n">
        <f aca="false">('Data BoP'!N49)+('Data BoP'!N50)+('Data BoP'!N51)+('Data BoP'!N52)</f>
        <v>-84.9250717943254</v>
      </c>
      <c r="AD52" s="10" t="n">
        <f aca="false">('Data BoP'!O49)+('Data BoP'!O50)+('Data BoP'!O51)+('Data BoP'!O52)</f>
        <v>-15017.1171576825</v>
      </c>
      <c r="AE52" s="10" t="n">
        <f aca="false">('Data BoP'!P49)+('Data BoP'!P50)+('Data BoP'!P51)+('Data BoP'!P52)</f>
        <v>-8120.08286931446</v>
      </c>
      <c r="AF52" s="10" t="n">
        <f aca="false">('Data BoP'!Q49)+('Data BoP'!Q50)+('Data BoP'!Q51)+('Data BoP'!Q52)</f>
        <v>-5289.29524473129</v>
      </c>
      <c r="AG52" s="10" t="n">
        <f aca="false">('Data BoP'!R49)+('Data BoP'!R50)+('Data BoP'!R51)+('Data BoP'!R52)</f>
        <v>-1729.40950641915</v>
      </c>
      <c r="AH52" s="10" t="n">
        <f aca="false">('Data BoP'!AO49)+('Data BoP'!AO50)+('Data BoP'!AO51)+('Data BoP'!AO52)</f>
        <v>121.670462782344</v>
      </c>
      <c r="AI52" s="10" t="n">
        <f aca="false">('Data BoP'!S49)+('Data BoP'!S50)+('Data BoP'!S51)+('Data BoP'!S52)</f>
        <v>558.752549390681</v>
      </c>
      <c r="AJ52" s="10" t="n">
        <f aca="false">('Data BoP'!T49)+('Data BoP'!T50)+('Data BoP'!T51)+('Data BoP'!T52)</f>
        <v>310.780725235417</v>
      </c>
    </row>
    <row r="53" customFormat="false" ht="15" hidden="false" customHeight="false" outlineLevel="0" collapsed="false">
      <c r="B53" s="14" t="str">
        <f aca="false">'Data BoP'!B53</f>
        <v>2017-Q4</v>
      </c>
      <c r="C53" s="15" t="n">
        <f aca="false">'Data BoP'!E53</f>
        <v>-9162.66746345865</v>
      </c>
      <c r="D53" s="10" t="n">
        <f aca="false">'Data BoP'!G53</f>
        <v>-2435.1721159701</v>
      </c>
      <c r="E53" s="10" t="n">
        <f aca="false">'Data BoP'!H53</f>
        <v>14521.12285372</v>
      </c>
      <c r="F53" s="10" t="n">
        <f aca="false">'Data BoP'!I53</f>
        <v>16956.2949696901</v>
      </c>
      <c r="G53" s="10" t="n">
        <f aca="false">'Data BoP'!J53</f>
        <v>-2016.67530185282</v>
      </c>
      <c r="H53" s="10" t="n">
        <f aca="false">'Data BoP'!K53</f>
        <v>4183.39210452291</v>
      </c>
      <c r="I53" s="10" t="n">
        <f aca="false">'Data BoP'!L53</f>
        <v>6200.06740637572</v>
      </c>
      <c r="J53" s="10" t="n">
        <f aca="false">'Data BoP'!M53</f>
        <v>-4726.2049413032</v>
      </c>
      <c r="K53" s="10" t="n">
        <f aca="false">'Data BoP'!N53</f>
        <v>-17.1097911454638</v>
      </c>
      <c r="L53" s="10" t="n">
        <f aca="false">'Data BoP'!O53</f>
        <v>-4709.09515015773</v>
      </c>
      <c r="M53" s="10" t="n">
        <f aca="false">'Data BoP'!P53</f>
        <v>-2460.8253951186</v>
      </c>
      <c r="N53" s="10" t="n">
        <f aca="false">'Data BoP'!Q53</f>
        <v>-1808.71571836966</v>
      </c>
      <c r="O53" s="10" t="n">
        <f aca="false">'Data BoP'!R53</f>
        <v>-464.816507164618</v>
      </c>
      <c r="P53" s="10" t="n">
        <f aca="false">'Data BoP'!AO53</f>
        <v>25.2624704951475</v>
      </c>
      <c r="Q53" s="10" t="n">
        <f aca="false">'Data BoP'!S53</f>
        <v>15.3848956674592</v>
      </c>
      <c r="R53" s="10" t="n">
        <f aca="false">'Data BoP'!T53</f>
        <v>5.50966912901984</v>
      </c>
      <c r="T53" s="14" t="str">
        <f aca="false">'Data BoP'!B53</f>
        <v>2017-Q4</v>
      </c>
      <c r="U53" s="15" t="n">
        <f aca="false">('Data BoP'!E50)+('Data BoP'!E51)+('Data BoP'!E52)+('Data BoP'!E53)</f>
        <v>-31151.3517507624</v>
      </c>
      <c r="V53" s="10" t="n">
        <f aca="false">('Data BoP'!G50)+('Data BoP'!G51)+('Data BoP'!G52)+('Data BoP'!G53)</f>
        <v>-5447.0631075401</v>
      </c>
      <c r="W53" s="10" t="n">
        <f aca="false">('Data BoP'!H50)+('Data BoP'!H51)+('Data BoP'!H52)+('Data BoP'!H53)</f>
        <v>58661.8735517799</v>
      </c>
      <c r="X53" s="10" t="n">
        <f aca="false">('Data BoP'!I50)+('Data BoP'!I51)+('Data BoP'!I52)+('Data BoP'!I53)</f>
        <v>64108.93665932</v>
      </c>
      <c r="Y53" s="10" t="n">
        <f aca="false">('Data BoP'!J50)+('Data BoP'!J51)+('Data BoP'!J52)+('Data BoP'!J53)</f>
        <v>-9695.43859222436</v>
      </c>
      <c r="Z53" s="10" t="n">
        <f aca="false">('Data BoP'!K50)+('Data BoP'!K51)+('Data BoP'!K52)+('Data BoP'!K53)</f>
        <v>15506.2019619823</v>
      </c>
      <c r="AA53" s="10" t="n">
        <f aca="false">('Data BoP'!L50)+('Data BoP'!L51)+('Data BoP'!L52)+('Data BoP'!L53)</f>
        <v>25201.6405542066</v>
      </c>
      <c r="AB53" s="10" t="n">
        <f aca="false">('Data BoP'!M50)+('Data BoP'!M51)+('Data BoP'!M52)+('Data BoP'!M53)</f>
        <v>-16380.2837055356</v>
      </c>
      <c r="AC53" s="10" t="n">
        <f aca="false">('Data BoP'!N50)+('Data BoP'!N51)+('Data BoP'!N52)+('Data BoP'!N53)</f>
        <v>-80.8035219058741</v>
      </c>
      <c r="AD53" s="10" t="n">
        <f aca="false">('Data BoP'!O50)+('Data BoP'!O51)+('Data BoP'!O52)+('Data BoP'!O53)</f>
        <v>-16299.4801836297</v>
      </c>
      <c r="AE53" s="10" t="n">
        <f aca="false">('Data BoP'!P50)+('Data BoP'!P51)+('Data BoP'!P52)+('Data BoP'!P53)</f>
        <v>-8681.64529384479</v>
      </c>
      <c r="AF53" s="10" t="n">
        <f aca="false">('Data BoP'!Q50)+('Data BoP'!Q51)+('Data BoP'!Q52)+('Data BoP'!Q53)</f>
        <v>-5980.84239692284</v>
      </c>
      <c r="AG53" s="10" t="n">
        <f aca="false">('Data BoP'!R50)+('Data BoP'!R51)+('Data BoP'!R52)+('Data BoP'!R53)</f>
        <v>-1767.34477034535</v>
      </c>
      <c r="AH53" s="10" t="n">
        <f aca="false">('Data BoP'!AO50)+('Data BoP'!AO51)+('Data BoP'!AO52)+('Data BoP'!AO53)</f>
        <v>130.352277483243</v>
      </c>
      <c r="AI53" s="10" t="n">
        <f aca="false">('Data BoP'!S50)+('Data BoP'!S51)+('Data BoP'!S52)+('Data BoP'!S53)</f>
        <v>371.433654537697</v>
      </c>
      <c r="AJ53" s="10" t="n">
        <f aca="false">('Data BoP'!T50)+('Data BoP'!T51)+('Data BoP'!T52)+('Data BoP'!T53)</f>
        <v>173.495467403954</v>
      </c>
    </row>
    <row r="54" customFormat="false" ht="15" hidden="false" customHeight="false" outlineLevel="0" collapsed="false">
      <c r="B54" s="14" t="str">
        <f aca="false">'Data BoP'!B54</f>
        <v>2018-Q1</v>
      </c>
      <c r="C54" s="15" t="n">
        <f aca="false">'Data BoP'!E54</f>
        <v>-9396.40174706839</v>
      </c>
      <c r="D54" s="10" t="n">
        <f aca="false">'Data BoP'!G54</f>
        <v>-1665.25126064</v>
      </c>
      <c r="E54" s="10" t="n">
        <f aca="false">'Data BoP'!H54</f>
        <v>14535.24547182</v>
      </c>
      <c r="F54" s="10" t="n">
        <f aca="false">'Data BoP'!I54</f>
        <v>16200.49673246</v>
      </c>
      <c r="G54" s="10" t="n">
        <f aca="false">'Data BoP'!J54</f>
        <v>-3396.70245322462</v>
      </c>
      <c r="H54" s="10" t="n">
        <f aca="false">'Data BoP'!K54</f>
        <v>4473.66539441506</v>
      </c>
      <c r="I54" s="10" t="n">
        <f aca="false">'Data BoP'!L54</f>
        <v>7870.36784763967</v>
      </c>
      <c r="J54" s="10" t="n">
        <f aca="false">'Data BoP'!M54</f>
        <v>-4490.37197808308</v>
      </c>
      <c r="K54" s="10" t="n">
        <f aca="false">'Data BoP'!N54</f>
        <v>-22.9665420819388</v>
      </c>
      <c r="L54" s="10" t="n">
        <f aca="false">'Data BoP'!O54</f>
        <v>-4467.40543600114</v>
      </c>
      <c r="M54" s="10" t="n">
        <f aca="false">'Data BoP'!P54</f>
        <v>-1967.65902997634</v>
      </c>
      <c r="N54" s="10" t="n">
        <f aca="false">'Data BoP'!Q54</f>
        <v>-2116.05447816109</v>
      </c>
      <c r="O54" s="10" t="n">
        <f aca="false">'Data BoP'!R54</f>
        <v>-447.150350660864</v>
      </c>
      <c r="P54" s="10" t="n">
        <f aca="false">'Data BoP'!AO54</f>
        <v>63.4584227971583</v>
      </c>
      <c r="Q54" s="10" t="n">
        <f aca="false">'Data BoP'!S54</f>
        <v>155.923944879307</v>
      </c>
      <c r="R54" s="10" t="n">
        <f aca="false">'Data BoP'!T54</f>
        <v>23.9552895322502</v>
      </c>
      <c r="T54" s="14" t="str">
        <f aca="false">'Data BoP'!B54</f>
        <v>2018-Q1</v>
      </c>
      <c r="U54" s="15" t="n">
        <f aca="false">('Data BoP'!E51)+('Data BoP'!E52)+('Data BoP'!E53)+('Data BoP'!E54)</f>
        <v>-33313.0846588572</v>
      </c>
      <c r="V54" s="10" t="n">
        <f aca="false">('Data BoP'!G51)+('Data BoP'!G52)+('Data BoP'!G53)+('Data BoP'!G54)</f>
        <v>-6492.0311420402</v>
      </c>
      <c r="W54" s="10" t="n">
        <f aca="false">('Data BoP'!H51)+('Data BoP'!H52)+('Data BoP'!H53)+('Data BoP'!H54)</f>
        <v>60432.2933907199</v>
      </c>
      <c r="X54" s="10" t="n">
        <f aca="false">('Data BoP'!I51)+('Data BoP'!I52)+('Data BoP'!I53)+('Data BoP'!I54)</f>
        <v>66924.3245327601</v>
      </c>
      <c r="Y54" s="10" t="n">
        <f aca="false">('Data BoP'!J51)+('Data BoP'!J52)+('Data BoP'!J53)+('Data BoP'!J54)</f>
        <v>-10031.2995426946</v>
      </c>
      <c r="Z54" s="10" t="n">
        <f aca="false">('Data BoP'!K51)+('Data BoP'!K52)+('Data BoP'!K53)+('Data BoP'!K54)</f>
        <v>15942.3892087608</v>
      </c>
      <c r="AA54" s="10" t="n">
        <f aca="false">('Data BoP'!L51)+('Data BoP'!L52)+('Data BoP'!L53)+('Data BoP'!L54)</f>
        <v>25973.6887514554</v>
      </c>
      <c r="AB54" s="10" t="n">
        <f aca="false">('Data BoP'!M51)+('Data BoP'!M52)+('Data BoP'!M53)+('Data BoP'!M54)</f>
        <v>-17092.7263973886</v>
      </c>
      <c r="AC54" s="10" t="n">
        <f aca="false">('Data BoP'!N51)+('Data BoP'!N52)+('Data BoP'!N53)+('Data BoP'!N54)</f>
        <v>-78.8521737831719</v>
      </c>
      <c r="AD54" s="10" t="n">
        <f aca="false">('Data BoP'!O51)+('Data BoP'!O52)+('Data BoP'!O53)+('Data BoP'!O54)</f>
        <v>-17013.8742236055</v>
      </c>
      <c r="AE54" s="10" t="n">
        <f aca="false">('Data BoP'!P51)+('Data BoP'!P52)+('Data BoP'!P53)+('Data BoP'!P54)</f>
        <v>-8616.3549156875</v>
      </c>
      <c r="AF54" s="10" t="n">
        <f aca="false">('Data BoP'!Q51)+('Data BoP'!Q52)+('Data BoP'!Q53)+('Data BoP'!Q54)</f>
        <v>-6747.98603104834</v>
      </c>
      <c r="AG54" s="10" t="n">
        <f aca="false">('Data BoP'!R51)+('Data BoP'!R52)+('Data BoP'!R53)+('Data BoP'!R54)</f>
        <v>-1816.06074562835</v>
      </c>
      <c r="AH54" s="10" t="n">
        <f aca="false">('Data BoP'!AO51)+('Data BoP'!AO52)+('Data BoP'!AO53)+('Data BoP'!AO54)</f>
        <v>166.527468758733</v>
      </c>
      <c r="AI54" s="10" t="n">
        <f aca="false">('Data BoP'!S51)+('Data BoP'!S52)+('Data BoP'!S53)+('Data BoP'!S54)</f>
        <v>302.972423266242</v>
      </c>
      <c r="AJ54" s="10" t="n">
        <f aca="false">('Data BoP'!T51)+('Data BoP'!T52)+('Data BoP'!T53)+('Data BoP'!T54)</f>
        <v>152.147022085454</v>
      </c>
    </row>
    <row r="55" customFormat="false" ht="15" hidden="false" customHeight="false" outlineLevel="0" collapsed="false">
      <c r="B55" s="14" t="str">
        <f aca="false">'Data BoP'!B55</f>
        <v>2018-Q2</v>
      </c>
      <c r="C55" s="15" t="n">
        <f aca="false">'Data BoP'!E55</f>
        <v>-8434.38754897401</v>
      </c>
      <c r="D55" s="10" t="n">
        <f aca="false">'Data BoP'!G55</f>
        <v>-1696.42855688</v>
      </c>
      <c r="E55" s="10" t="n">
        <f aca="false">'Data BoP'!H55</f>
        <v>15518.4522272499</v>
      </c>
      <c r="F55" s="10" t="n">
        <f aca="false">'Data BoP'!I55</f>
        <v>17214.8807841299</v>
      </c>
      <c r="G55" s="10" t="n">
        <f aca="false">'Data BoP'!J55</f>
        <v>-2536.80278198906</v>
      </c>
      <c r="H55" s="10" t="n">
        <f aca="false">'Data BoP'!K55</f>
        <v>3517.77670169052</v>
      </c>
      <c r="I55" s="10" t="n">
        <f aca="false">'Data BoP'!L55</f>
        <v>6054.57948367958</v>
      </c>
      <c r="J55" s="10" t="n">
        <f aca="false">'Data BoP'!M55</f>
        <v>-4653.57143004043</v>
      </c>
      <c r="K55" s="10" t="n">
        <f aca="false">'Data BoP'!N55</f>
        <v>-17.8212878265972</v>
      </c>
      <c r="L55" s="10" t="n">
        <f aca="false">'Data BoP'!O55</f>
        <v>-4635.75014221383</v>
      </c>
      <c r="M55" s="10" t="n">
        <f aca="false">'Data BoP'!P55</f>
        <v>-1883.77494331223</v>
      </c>
      <c r="N55" s="10" t="n">
        <f aca="false">'Data BoP'!Q55</f>
        <v>-2418.06196680339</v>
      </c>
      <c r="O55" s="10" t="n">
        <f aca="false">'Data BoP'!R55</f>
        <v>-477.913232098212</v>
      </c>
      <c r="P55" s="10" t="n">
        <f aca="false">'Data BoP'!AO55</f>
        <v>143.999999999999</v>
      </c>
      <c r="Q55" s="10" t="n">
        <f aca="false">'Data BoP'!S55</f>
        <v>452.415219935483</v>
      </c>
      <c r="R55" s="10" t="n">
        <f aca="false">'Data BoP'!T55</f>
        <v>20.9950396322502</v>
      </c>
      <c r="T55" s="14" t="str">
        <f aca="false">'Data BoP'!B55</f>
        <v>2018-Q2</v>
      </c>
      <c r="U55" s="15" t="n">
        <f aca="false">('Data BoP'!E52)+('Data BoP'!E53)+('Data BoP'!E54)+('Data BoP'!E55)</f>
        <v>-35142.1616143303</v>
      </c>
      <c r="V55" s="10" t="n">
        <f aca="false">('Data BoP'!G52)+('Data BoP'!G53)+('Data BoP'!G54)+('Data BoP'!G55)</f>
        <v>-7476.2338724501</v>
      </c>
      <c r="W55" s="10" t="n">
        <f aca="false">('Data BoP'!H52)+('Data BoP'!H53)+('Data BoP'!H54)+('Data BoP'!H55)</f>
        <v>60426.7046038498</v>
      </c>
      <c r="X55" s="10" t="n">
        <f aca="false">('Data BoP'!I52)+('Data BoP'!I53)+('Data BoP'!I54)+('Data BoP'!I55)</f>
        <v>67902.9384762999</v>
      </c>
      <c r="Y55" s="10" t="n">
        <f aca="false">('Data BoP'!J52)+('Data BoP'!J53)+('Data BoP'!J54)+('Data BoP'!J55)</f>
        <v>-10499.41746605</v>
      </c>
      <c r="Z55" s="10" t="n">
        <f aca="false">('Data BoP'!K52)+('Data BoP'!K53)+('Data BoP'!K54)+('Data BoP'!K55)</f>
        <v>15834.8253035811</v>
      </c>
      <c r="AA55" s="10" t="n">
        <f aca="false">('Data BoP'!L52)+('Data BoP'!L53)+('Data BoP'!L54)+('Data BoP'!L55)</f>
        <v>26334.2427696311</v>
      </c>
      <c r="AB55" s="10" t="n">
        <f aca="false">('Data BoP'!M52)+('Data BoP'!M53)+('Data BoP'!M54)+('Data BoP'!M55)</f>
        <v>-17713.1622629884</v>
      </c>
      <c r="AC55" s="10" t="n">
        <f aca="false">('Data BoP'!N52)+('Data BoP'!N53)+('Data BoP'!N54)+('Data BoP'!N55)</f>
        <v>-84.088409858055</v>
      </c>
      <c r="AD55" s="10" t="n">
        <f aca="false">('Data BoP'!O52)+('Data BoP'!O53)+('Data BoP'!O54)+('Data BoP'!O55)</f>
        <v>-17629.0738531303</v>
      </c>
      <c r="AE55" s="10" t="n">
        <f aca="false">('Data BoP'!P52)+('Data BoP'!P53)+('Data BoP'!P54)+('Data BoP'!P55)</f>
        <v>-8427.20446780853</v>
      </c>
      <c r="AF55" s="10" t="n">
        <f aca="false">('Data BoP'!Q52)+('Data BoP'!Q53)+('Data BoP'!Q54)+('Data BoP'!Q55)</f>
        <v>-7694.18426303331</v>
      </c>
      <c r="AG55" s="10" t="n">
        <f aca="false">('Data BoP'!R52)+('Data BoP'!R53)+('Data BoP'!R54)+('Data BoP'!R55)</f>
        <v>-1780.93332467494</v>
      </c>
      <c r="AH55" s="10" t="n">
        <f aca="false">('Data BoP'!AO52)+('Data BoP'!AO53)+('Data BoP'!AO54)+('Data BoP'!AO55)</f>
        <v>273.24820238647</v>
      </c>
      <c r="AI55" s="10" t="n">
        <f aca="false">('Data BoP'!S52)+('Data BoP'!S53)+('Data BoP'!S54)+('Data BoP'!S55)</f>
        <v>546.651987158178</v>
      </c>
      <c r="AJ55" s="10" t="n">
        <f aca="false">('Data BoP'!T52)+('Data BoP'!T53)+('Data BoP'!T54)+('Data BoP'!T55)</f>
        <v>129.638344717273</v>
      </c>
    </row>
    <row r="56" customFormat="false" ht="15" hidden="false" customHeight="false" outlineLevel="0" collapsed="false">
      <c r="B56" s="14" t="str">
        <f aca="false">'Data BoP'!B56</f>
        <v>2018-Q3</v>
      </c>
      <c r="C56" s="15" t="n">
        <f aca="false">'Data BoP'!E56</f>
        <v>-7358.71961109684</v>
      </c>
      <c r="D56" s="10" t="n">
        <f aca="false">'Data BoP'!G56</f>
        <v>-745.755691700098</v>
      </c>
      <c r="E56" s="10" t="n">
        <f aca="false">'Data BoP'!H56</f>
        <v>15665.26091715</v>
      </c>
      <c r="F56" s="10" t="n">
        <f aca="false">'Data BoP'!I56</f>
        <v>16411.0166088501</v>
      </c>
      <c r="G56" s="10" t="n">
        <f aca="false">'Data BoP'!J56</f>
        <v>-1952.98564016682</v>
      </c>
      <c r="H56" s="10" t="n">
        <f aca="false">'Data BoP'!K56</f>
        <v>3357.72554729946</v>
      </c>
      <c r="I56" s="10" t="n">
        <f aca="false">'Data BoP'!L56</f>
        <v>5310.71118746629</v>
      </c>
      <c r="J56" s="10" t="n">
        <f aca="false">'Data BoP'!M56</f>
        <v>-4897.81250623349</v>
      </c>
      <c r="K56" s="10" t="n">
        <f aca="false">'Data BoP'!N56</f>
        <v>-19.9528822530578</v>
      </c>
      <c r="L56" s="10" t="n">
        <f aca="false">'Data BoP'!O56</f>
        <v>-4877.85962398043</v>
      </c>
      <c r="M56" s="10" t="n">
        <f aca="false">'Data BoP'!P56</f>
        <v>-1981.0955895502</v>
      </c>
      <c r="N56" s="10" t="n">
        <f aca="false">'Data BoP'!Q56</f>
        <v>-2369.37403136816</v>
      </c>
      <c r="O56" s="10" t="n">
        <f aca="false">'Data BoP'!R56</f>
        <v>-638.360994877815</v>
      </c>
      <c r="P56" s="10" t="n">
        <f aca="false">'Data BoP'!AO56</f>
        <v>110.970991815737</v>
      </c>
      <c r="Q56" s="10" t="n">
        <f aca="false">'Data BoP'!S56</f>
        <v>237.834227003565</v>
      </c>
      <c r="R56" s="10" t="n">
        <f aca="false">'Data BoP'!T56</f>
        <v>47.2861884222503</v>
      </c>
      <c r="T56" s="14" t="str">
        <f aca="false">'Data BoP'!B56</f>
        <v>2018-Q3</v>
      </c>
      <c r="U56" s="15" t="n">
        <f aca="false">('Data BoP'!E53)+('Data BoP'!E54)+('Data BoP'!E55)+('Data BoP'!E56)</f>
        <v>-34352.1763705979</v>
      </c>
      <c r="V56" s="10" t="n">
        <f aca="false">('Data BoP'!G53)+('Data BoP'!G54)+('Data BoP'!G55)+('Data BoP'!G56)</f>
        <v>-6542.6076251902</v>
      </c>
      <c r="W56" s="10" t="n">
        <f aca="false">('Data BoP'!H53)+('Data BoP'!H54)+('Data BoP'!H55)+('Data BoP'!H56)</f>
        <v>60240.0814699399</v>
      </c>
      <c r="X56" s="10" t="n">
        <f aca="false">('Data BoP'!I53)+('Data BoP'!I54)+('Data BoP'!I55)+('Data BoP'!I56)</f>
        <v>66782.6890951301</v>
      </c>
      <c r="Y56" s="10" t="n">
        <f aca="false">('Data BoP'!J53)+('Data BoP'!J54)+('Data BoP'!J55)+('Data BoP'!J56)</f>
        <v>-9903.16617723332</v>
      </c>
      <c r="Z56" s="10" t="n">
        <f aca="false">('Data BoP'!K53)+('Data BoP'!K54)+('Data BoP'!K55)+('Data BoP'!K56)</f>
        <v>15532.5597479279</v>
      </c>
      <c r="AA56" s="10" t="n">
        <f aca="false">('Data BoP'!L53)+('Data BoP'!L54)+('Data BoP'!L55)+('Data BoP'!L56)</f>
        <v>25435.7259251613</v>
      </c>
      <c r="AB56" s="10" t="n">
        <f aca="false">('Data BoP'!M53)+('Data BoP'!M54)+('Data BoP'!M55)+('Data BoP'!M56)</f>
        <v>-18767.9608556602</v>
      </c>
      <c r="AC56" s="10" t="n">
        <f aca="false">('Data BoP'!N53)+('Data BoP'!N54)+('Data BoP'!N55)+('Data BoP'!N56)</f>
        <v>-77.8505033070576</v>
      </c>
      <c r="AD56" s="10" t="n">
        <f aca="false">('Data BoP'!O53)+('Data BoP'!O54)+('Data BoP'!O55)+('Data BoP'!O56)</f>
        <v>-18690.1103523531</v>
      </c>
      <c r="AE56" s="10" t="n">
        <f aca="false">('Data BoP'!P53)+('Data BoP'!P54)+('Data BoP'!P55)+('Data BoP'!P56)</f>
        <v>-8293.35495795737</v>
      </c>
      <c r="AF56" s="10" t="n">
        <f aca="false">('Data BoP'!Q53)+('Data BoP'!Q54)+('Data BoP'!Q55)+('Data BoP'!Q56)</f>
        <v>-8712.2061947023</v>
      </c>
      <c r="AG56" s="10" t="n">
        <f aca="false">('Data BoP'!R53)+('Data BoP'!R54)+('Data BoP'!R55)+('Data BoP'!R56)</f>
        <v>-2028.24108480151</v>
      </c>
      <c r="AH56" s="10" t="n">
        <f aca="false">('Data BoP'!AO53)+('Data BoP'!AO54)+('Data BoP'!AO55)+('Data BoP'!AO56)</f>
        <v>343.691885108043</v>
      </c>
      <c r="AI56" s="10" t="n">
        <f aca="false">('Data BoP'!S53)+('Data BoP'!S54)+('Data BoP'!S55)+('Data BoP'!S56)</f>
        <v>861.558287485814</v>
      </c>
      <c r="AJ56" s="10" t="n">
        <f aca="false">('Data BoP'!T53)+('Data BoP'!T54)+('Data BoP'!T55)+('Data BoP'!T56)</f>
        <v>97.7461867157706</v>
      </c>
    </row>
    <row r="57" customFormat="false" ht="15" hidden="false" customHeight="false" outlineLevel="0" collapsed="false">
      <c r="B57" s="14" t="str">
        <f aca="false">'Data BoP'!B57</f>
        <v>2018-Q4</v>
      </c>
      <c r="C57" s="15" t="n">
        <f aca="false">'Data BoP'!E57</f>
        <v>-1894.09754391778</v>
      </c>
      <c r="D57" s="10" t="n">
        <f aca="false">'Data BoP'!G57</f>
        <v>3364.20783103</v>
      </c>
      <c r="E57" s="10" t="n">
        <f aca="false">'Data BoP'!H57</f>
        <v>16082.04402207</v>
      </c>
      <c r="F57" s="10" t="n">
        <f aca="false">'Data BoP'!I57</f>
        <v>12717.83619104</v>
      </c>
      <c r="G57" s="10" t="n">
        <f aca="false">'Data BoP'!J57</f>
        <v>-1048.7769106641</v>
      </c>
      <c r="H57" s="10" t="n">
        <f aca="false">'Data BoP'!K57</f>
        <v>3992.99553442729</v>
      </c>
      <c r="I57" s="10" t="n">
        <f aca="false">'Data BoP'!L57</f>
        <v>5041.77244509139</v>
      </c>
      <c r="J57" s="10" t="n">
        <f aca="false">'Data BoP'!M57</f>
        <v>-4608.47441068189</v>
      </c>
      <c r="K57" s="10" t="n">
        <f aca="false">'Data BoP'!N57</f>
        <v>-18.7149825417272</v>
      </c>
      <c r="L57" s="10" t="n">
        <f aca="false">'Data BoP'!O57</f>
        <v>-4589.75942814016</v>
      </c>
      <c r="M57" s="10" t="n">
        <f aca="false">'Data BoP'!P57</f>
        <v>-1588.86016700482</v>
      </c>
      <c r="N57" s="10" t="n">
        <f aca="false">'Data BoP'!Q57</f>
        <v>-2442.57446195231</v>
      </c>
      <c r="O57" s="10" t="n">
        <f aca="false">'Data BoP'!R57</f>
        <v>-656.884058614857</v>
      </c>
      <c r="P57" s="10" t="n">
        <f aca="false">'Data BoP'!AO57</f>
        <v>98.5592594318331</v>
      </c>
      <c r="Q57" s="10" t="n">
        <f aca="false">'Data BoP'!S57</f>
        <v>398.9459463982</v>
      </c>
      <c r="R57" s="10" t="n">
        <f aca="false">'Data BoP'!T57</f>
        <v>18.8390004522502</v>
      </c>
      <c r="T57" s="14" t="str">
        <f aca="false">'Data BoP'!B57</f>
        <v>2018-Q4</v>
      </c>
      <c r="U57" s="15" t="n">
        <f aca="false">('Data BoP'!E54)+('Data BoP'!E55)+('Data BoP'!E56)+('Data BoP'!E57)</f>
        <v>-27083.606451057</v>
      </c>
      <c r="V57" s="10" t="n">
        <f aca="false">('Data BoP'!G54)+('Data BoP'!G55)+('Data BoP'!G56)+('Data BoP'!G57)</f>
        <v>-743.227678190101</v>
      </c>
      <c r="W57" s="10" t="n">
        <f aca="false">('Data BoP'!H54)+('Data BoP'!H55)+('Data BoP'!H56)+('Data BoP'!H57)</f>
        <v>61801.0026382899</v>
      </c>
      <c r="X57" s="10" t="n">
        <f aca="false">('Data BoP'!I54)+('Data BoP'!I55)+('Data BoP'!I56)+('Data BoP'!I57)</f>
        <v>62544.23031648</v>
      </c>
      <c r="Y57" s="10" t="n">
        <f aca="false">('Data BoP'!J54)+('Data BoP'!J55)+('Data BoP'!J56)+('Data BoP'!J57)</f>
        <v>-8935.2677860446</v>
      </c>
      <c r="Z57" s="10" t="n">
        <f aca="false">('Data BoP'!K54)+('Data BoP'!K55)+('Data BoP'!K56)+('Data BoP'!K57)</f>
        <v>15342.1631778323</v>
      </c>
      <c r="AA57" s="10" t="n">
        <f aca="false">('Data BoP'!L54)+('Data BoP'!L55)+('Data BoP'!L56)+('Data BoP'!L57)</f>
        <v>24277.4309638769</v>
      </c>
      <c r="AB57" s="10" t="n">
        <f aca="false">('Data BoP'!M54)+('Data BoP'!M55)+('Data BoP'!M56)+('Data BoP'!M57)</f>
        <v>-18650.2303250389</v>
      </c>
      <c r="AC57" s="10" t="n">
        <f aca="false">('Data BoP'!N54)+('Data BoP'!N55)+('Data BoP'!N56)+('Data BoP'!N57)</f>
        <v>-79.455694703321</v>
      </c>
      <c r="AD57" s="10" t="n">
        <f aca="false">('Data BoP'!O54)+('Data BoP'!O55)+('Data BoP'!O56)+('Data BoP'!O57)</f>
        <v>-18570.7746303356</v>
      </c>
      <c r="AE57" s="10" t="n">
        <f aca="false">('Data BoP'!P54)+('Data BoP'!P55)+('Data BoP'!P56)+('Data BoP'!P57)</f>
        <v>-7421.38972984359</v>
      </c>
      <c r="AF57" s="10" t="n">
        <f aca="false">('Data BoP'!Q54)+('Data BoP'!Q55)+('Data BoP'!Q56)+('Data BoP'!Q57)</f>
        <v>-9346.06493828495</v>
      </c>
      <c r="AG57" s="10" t="n">
        <f aca="false">('Data BoP'!R54)+('Data BoP'!R55)+('Data BoP'!R56)+('Data BoP'!R57)</f>
        <v>-2220.30863625175</v>
      </c>
      <c r="AH57" s="10" t="n">
        <f aca="false">('Data BoP'!AO54)+('Data BoP'!AO55)+('Data BoP'!AO56)+('Data BoP'!AO57)</f>
        <v>416.988674044728</v>
      </c>
      <c r="AI57" s="10" t="n">
        <f aca="false">('Data BoP'!S54)+('Data BoP'!S55)+('Data BoP'!S56)+('Data BoP'!S57)</f>
        <v>1245.11933821656</v>
      </c>
      <c r="AJ57" s="10" t="n">
        <f aca="false">('Data BoP'!T54)+('Data BoP'!T55)+('Data BoP'!T56)+('Data BoP'!T57)</f>
        <v>111.075518039001</v>
      </c>
    </row>
    <row r="58" customFormat="false" ht="15" hidden="false" customHeight="false" outlineLevel="0" collapsed="false">
      <c r="B58" s="14" t="str">
        <f aca="false">'Data BoP'!B58</f>
        <v>2019-Q1</v>
      </c>
      <c r="C58" s="15" t="n">
        <f aca="false">'Data BoP'!E58</f>
        <v>-3433.67590471964</v>
      </c>
      <c r="D58" s="10" t="n">
        <f aca="false">'Data BoP'!G58</f>
        <v>2549.7567436201</v>
      </c>
      <c r="E58" s="10" t="n">
        <f aca="false">'Data BoP'!H58</f>
        <v>14170.70271429</v>
      </c>
      <c r="F58" s="10" t="n">
        <f aca="false">'Data BoP'!I58</f>
        <v>11620.9459706699</v>
      </c>
      <c r="G58" s="10" t="n">
        <f aca="false">'Data BoP'!J58</f>
        <v>-1710.01388230632</v>
      </c>
      <c r="H58" s="10" t="n">
        <f aca="false">'Data BoP'!K58</f>
        <v>3941.5912142825</v>
      </c>
      <c r="I58" s="10" t="n">
        <f aca="false">'Data BoP'!L58</f>
        <v>5651.60509658883</v>
      </c>
      <c r="J58" s="10" t="n">
        <f aca="false">'Data BoP'!M58</f>
        <v>-4557.98294043967</v>
      </c>
      <c r="K58" s="10" t="n">
        <f aca="false">'Data BoP'!N58</f>
        <v>-21.9943480319994</v>
      </c>
      <c r="L58" s="10" t="n">
        <f aca="false">'Data BoP'!O58</f>
        <v>-4535.98859240767</v>
      </c>
      <c r="M58" s="10" t="n">
        <f aca="false">'Data BoP'!P58</f>
        <v>-1476.54038326401</v>
      </c>
      <c r="N58" s="10" t="n">
        <f aca="false">'Data BoP'!Q58</f>
        <v>-2306.10949525069</v>
      </c>
      <c r="O58" s="10" t="n">
        <f aca="false">'Data BoP'!R58</f>
        <v>-847.210845394883</v>
      </c>
      <c r="P58" s="10" t="n">
        <f aca="false">'Data BoP'!AO58</f>
        <v>93.8721315019095</v>
      </c>
      <c r="Q58" s="10" t="n">
        <f aca="false">'Data BoP'!S58</f>
        <v>284.564174406245</v>
      </c>
      <c r="R58" s="10" t="n">
        <f aca="false">'Data BoP'!T58</f>
        <v>37.3503225511039</v>
      </c>
      <c r="T58" s="14" t="str">
        <f aca="false">'Data BoP'!B58</f>
        <v>2019-Q1</v>
      </c>
      <c r="U58" s="15" t="n">
        <f aca="false">('Data BoP'!E55)+('Data BoP'!E56)+('Data BoP'!E57)+('Data BoP'!E58)</f>
        <v>-21120.8806087083</v>
      </c>
      <c r="V58" s="10" t="n">
        <f aca="false">('Data BoP'!G55)+('Data BoP'!G56)+('Data BoP'!G57)+('Data BoP'!G58)</f>
        <v>3471.78032607</v>
      </c>
      <c r="W58" s="10" t="n">
        <f aca="false">('Data BoP'!H55)+('Data BoP'!H56)+('Data BoP'!H57)+('Data BoP'!H58)</f>
        <v>61436.4598807599</v>
      </c>
      <c r="X58" s="10" t="n">
        <f aca="false">('Data BoP'!I55)+('Data BoP'!I56)+('Data BoP'!I57)+('Data BoP'!I58)</f>
        <v>57964.6795546899</v>
      </c>
      <c r="Y58" s="10" t="n">
        <f aca="false">('Data BoP'!J55)+('Data BoP'!J56)+('Data BoP'!J57)+('Data BoP'!J58)</f>
        <v>-7248.57921512631</v>
      </c>
      <c r="Z58" s="10" t="n">
        <f aca="false">('Data BoP'!K55)+('Data BoP'!K56)+('Data BoP'!K57)+('Data BoP'!K58)</f>
        <v>14810.0889976998</v>
      </c>
      <c r="AA58" s="10" t="n">
        <f aca="false">('Data BoP'!L55)+('Data BoP'!L56)+('Data BoP'!L57)+('Data BoP'!L58)</f>
        <v>22058.6682128261</v>
      </c>
      <c r="AB58" s="10" t="n">
        <f aca="false">('Data BoP'!M55)+('Data BoP'!M56)+('Data BoP'!M57)+('Data BoP'!M58)</f>
        <v>-18717.8412873955</v>
      </c>
      <c r="AC58" s="10" t="n">
        <f aca="false">('Data BoP'!N55)+('Data BoP'!N56)+('Data BoP'!N57)+('Data BoP'!N58)</f>
        <v>-78.4835006533816</v>
      </c>
      <c r="AD58" s="10" t="n">
        <f aca="false">('Data BoP'!O55)+('Data BoP'!O56)+('Data BoP'!O57)+('Data BoP'!O58)</f>
        <v>-18639.3577867421</v>
      </c>
      <c r="AE58" s="10" t="n">
        <f aca="false">('Data BoP'!P55)+('Data BoP'!P56)+('Data BoP'!P57)+('Data BoP'!P58)</f>
        <v>-6930.27108313126</v>
      </c>
      <c r="AF58" s="10" t="n">
        <f aca="false">('Data BoP'!Q55)+('Data BoP'!Q56)+('Data BoP'!Q57)+('Data BoP'!Q58)</f>
        <v>-9536.11995537455</v>
      </c>
      <c r="AG58" s="10" t="n">
        <f aca="false">('Data BoP'!R55)+('Data BoP'!R56)+('Data BoP'!R57)+('Data BoP'!R58)</f>
        <v>-2620.36913098577</v>
      </c>
      <c r="AH58" s="10" t="n">
        <f aca="false">('Data BoP'!AO55)+('Data BoP'!AO56)+('Data BoP'!AO57)+('Data BoP'!AO58)</f>
        <v>447.402382749479</v>
      </c>
      <c r="AI58" s="10" t="n">
        <f aca="false">('Data BoP'!S55)+('Data BoP'!S56)+('Data BoP'!S57)+('Data BoP'!S58)</f>
        <v>1373.75956774349</v>
      </c>
      <c r="AJ58" s="10" t="n">
        <f aca="false">('Data BoP'!T55)+('Data BoP'!T56)+('Data BoP'!T57)+('Data BoP'!T58)</f>
        <v>124.470551057855</v>
      </c>
    </row>
    <row r="59" customFormat="false" ht="15" hidden="false" customHeight="false" outlineLevel="0" collapsed="false">
      <c r="B59" s="14" t="str">
        <f aca="false">'Data BoP'!B59</f>
        <v>2019-Q2</v>
      </c>
      <c r="C59" s="15" t="n">
        <f aca="false">'Data BoP'!E59</f>
        <v>-1811.89495343671</v>
      </c>
      <c r="D59" s="10" t="n">
        <f aca="false">'Data BoP'!G59</f>
        <v>4222.88573371</v>
      </c>
      <c r="E59" s="10" t="n">
        <f aca="false">'Data BoP'!H59</f>
        <v>16630.1505026501</v>
      </c>
      <c r="F59" s="10" t="n">
        <f aca="false">'Data BoP'!I59</f>
        <v>12407.2647689401</v>
      </c>
      <c r="G59" s="10" t="n">
        <f aca="false">'Data BoP'!J59</f>
        <v>-1291.16311543983</v>
      </c>
      <c r="H59" s="10" t="n">
        <f aca="false">'Data BoP'!K59</f>
        <v>3374.51907473218</v>
      </c>
      <c r="I59" s="10" t="n">
        <f aca="false">'Data BoP'!L59</f>
        <v>4665.68219017201</v>
      </c>
      <c r="J59" s="10" t="n">
        <f aca="false">'Data BoP'!M59</f>
        <v>-4839.90333946329</v>
      </c>
      <c r="K59" s="10" t="n">
        <f aca="false">'Data BoP'!N59</f>
        <v>-19.9758186685553</v>
      </c>
      <c r="L59" s="10" t="n">
        <f aca="false">'Data BoP'!O59</f>
        <v>-4819.92752079474</v>
      </c>
      <c r="M59" s="10" t="n">
        <f aca="false">'Data BoP'!P59</f>
        <v>-1343.16840820351</v>
      </c>
      <c r="N59" s="10" t="n">
        <f aca="false">'Data BoP'!Q59</f>
        <v>-2731.75123887458</v>
      </c>
      <c r="O59" s="10" t="n">
        <f aca="false">'Data BoP'!R59</f>
        <v>-847.094412242956</v>
      </c>
      <c r="P59" s="10" t="n">
        <f aca="false">'Data BoP'!AO59</f>
        <v>102.086538526309</v>
      </c>
      <c r="Q59" s="10" t="n">
        <f aca="false">'Data BoP'!S59</f>
        <v>96.2857677564103</v>
      </c>
      <c r="R59" s="10" t="n">
        <f aca="false">'Data BoP'!T59</f>
        <v>139.175550717766</v>
      </c>
      <c r="T59" s="14" t="str">
        <f aca="false">'Data BoP'!B59</f>
        <v>2019-Q2</v>
      </c>
      <c r="U59" s="15" t="n">
        <f aca="false">('Data BoP'!E56)+('Data BoP'!E57)+('Data BoP'!E58)+('Data BoP'!E59)</f>
        <v>-14498.388013171</v>
      </c>
      <c r="V59" s="10" t="n">
        <f aca="false">('Data BoP'!G56)+('Data BoP'!G57)+('Data BoP'!G58)+('Data BoP'!G59)</f>
        <v>9391.09461666</v>
      </c>
      <c r="W59" s="10" t="n">
        <f aca="false">('Data BoP'!H56)+('Data BoP'!H57)+('Data BoP'!H58)+('Data BoP'!H59)</f>
        <v>62548.1581561601</v>
      </c>
      <c r="X59" s="10" t="n">
        <f aca="false">('Data BoP'!I56)+('Data BoP'!I57)+('Data BoP'!I58)+('Data BoP'!I59)</f>
        <v>53157.0635395001</v>
      </c>
      <c r="Y59" s="10" t="n">
        <f aca="false">('Data BoP'!J56)+('Data BoP'!J57)+('Data BoP'!J58)+('Data BoP'!J59)</f>
        <v>-6002.93954857708</v>
      </c>
      <c r="Z59" s="10" t="n">
        <f aca="false">('Data BoP'!K56)+('Data BoP'!K57)+('Data BoP'!K58)+('Data BoP'!K59)</f>
        <v>14666.8313707414</v>
      </c>
      <c r="AA59" s="10" t="n">
        <f aca="false">('Data BoP'!L56)+('Data BoP'!L57)+('Data BoP'!L58)+('Data BoP'!L59)</f>
        <v>20669.7709193185</v>
      </c>
      <c r="AB59" s="10" t="n">
        <f aca="false">('Data BoP'!M56)+('Data BoP'!M57)+('Data BoP'!M58)+('Data BoP'!M59)</f>
        <v>-18904.1731968183</v>
      </c>
      <c r="AC59" s="10" t="n">
        <f aca="false">('Data BoP'!N56)+('Data BoP'!N57)+('Data BoP'!N58)+('Data BoP'!N59)</f>
        <v>-80.6380314953397</v>
      </c>
      <c r="AD59" s="10" t="n">
        <f aca="false">('Data BoP'!O56)+('Data BoP'!O57)+('Data BoP'!O58)+('Data BoP'!O59)</f>
        <v>-18823.535165323</v>
      </c>
      <c r="AE59" s="10" t="n">
        <f aca="false">('Data BoP'!P56)+('Data BoP'!P57)+('Data BoP'!P58)+('Data BoP'!P59)</f>
        <v>-6389.66454802253</v>
      </c>
      <c r="AF59" s="10" t="n">
        <f aca="false">('Data BoP'!Q56)+('Data BoP'!Q57)+('Data BoP'!Q58)+('Data BoP'!Q59)</f>
        <v>-9849.80922744574</v>
      </c>
      <c r="AG59" s="10" t="n">
        <f aca="false">('Data BoP'!R56)+('Data BoP'!R57)+('Data BoP'!R58)+('Data BoP'!R59)</f>
        <v>-2989.55031113051</v>
      </c>
      <c r="AH59" s="10" t="n">
        <f aca="false">('Data BoP'!AO56)+('Data BoP'!AO57)+('Data BoP'!AO58)+('Data BoP'!AO59)</f>
        <v>405.488921275789</v>
      </c>
      <c r="AI59" s="10" t="n">
        <f aca="false">('Data BoP'!S56)+('Data BoP'!S57)+('Data BoP'!S58)+('Data BoP'!S59)</f>
        <v>1017.63011556442</v>
      </c>
      <c r="AJ59" s="10" t="n">
        <f aca="false">('Data BoP'!T56)+('Data BoP'!T57)+('Data BoP'!T58)+('Data BoP'!T59)</f>
        <v>242.651062143371</v>
      </c>
    </row>
    <row r="60" customFormat="false" ht="15" hidden="false" customHeight="false" outlineLevel="0" collapsed="false">
      <c r="B60" s="14" t="str">
        <f aca="false">'Data BoP'!B60</f>
        <v>2019-Q3</v>
      </c>
      <c r="C60" s="15" t="n">
        <f aca="false">'Data BoP'!E60</f>
        <v>-808.397649410337</v>
      </c>
      <c r="D60" s="10" t="n">
        <f aca="false">'Data BoP'!G60</f>
        <v>4471.3585540001</v>
      </c>
      <c r="E60" s="10" t="n">
        <f aca="false">'Data BoP'!H60</f>
        <v>17178.57620613</v>
      </c>
      <c r="F60" s="10" t="n">
        <f aca="false">'Data BoP'!I60</f>
        <v>12707.2176521299</v>
      </c>
      <c r="G60" s="10" t="n">
        <f aca="false">'Data BoP'!J60</f>
        <v>-1285.23639217741</v>
      </c>
      <c r="H60" s="10" t="n">
        <f aca="false">'Data BoP'!K60</f>
        <v>3469.76766476378</v>
      </c>
      <c r="I60" s="10" t="n">
        <f aca="false">'Data BoP'!L60</f>
        <v>4755.00405694119</v>
      </c>
      <c r="J60" s="10" t="n">
        <f aca="false">'Data BoP'!M60</f>
        <v>-4218.85963387005</v>
      </c>
      <c r="K60" s="10" t="n">
        <f aca="false">'Data BoP'!N60</f>
        <v>-24.7316550477166</v>
      </c>
      <c r="L60" s="10" t="n">
        <f aca="false">'Data BoP'!O60</f>
        <v>-4194.12797882233</v>
      </c>
      <c r="M60" s="10" t="n">
        <f aca="false">'Data BoP'!P60</f>
        <v>-1228.05113115196</v>
      </c>
      <c r="N60" s="10" t="n">
        <f aca="false">'Data BoP'!Q60</f>
        <v>-2048.42852397483</v>
      </c>
      <c r="O60" s="10" t="n">
        <f aca="false">'Data BoP'!R60</f>
        <v>-988.442713695547</v>
      </c>
      <c r="P60" s="10" t="n">
        <f aca="false">'Data BoP'!AO60</f>
        <v>70.7943900000005</v>
      </c>
      <c r="Q60" s="10" t="n">
        <f aca="false">'Data BoP'!S60</f>
        <v>224.339822637017</v>
      </c>
      <c r="R60" s="10" t="n">
        <f aca="false">'Data BoP'!T60</f>
        <v>79.9501510477663</v>
      </c>
      <c r="T60" s="14" t="str">
        <f aca="false">'Data BoP'!B60</f>
        <v>2019-Q3</v>
      </c>
      <c r="U60" s="15" t="n">
        <f aca="false">('Data BoP'!E57)+('Data BoP'!E58)+('Data BoP'!E59)+('Data BoP'!E60)</f>
        <v>-7948.06605148448</v>
      </c>
      <c r="V60" s="10" t="n">
        <f aca="false">('Data BoP'!G57)+('Data BoP'!G58)+('Data BoP'!G59)+('Data BoP'!G60)</f>
        <v>14608.2088623602</v>
      </c>
      <c r="W60" s="10" t="n">
        <f aca="false">('Data BoP'!H57)+('Data BoP'!H58)+('Data BoP'!H59)+('Data BoP'!H60)</f>
        <v>64061.4734451401</v>
      </c>
      <c r="X60" s="10" t="n">
        <f aca="false">('Data BoP'!I57)+('Data BoP'!I58)+('Data BoP'!I59)+('Data BoP'!I60)</f>
        <v>49453.2645827799</v>
      </c>
      <c r="Y60" s="10" t="n">
        <f aca="false">('Data BoP'!J57)+('Data BoP'!J58)+('Data BoP'!J59)+('Data BoP'!J60)</f>
        <v>-5335.19030058766</v>
      </c>
      <c r="Z60" s="10" t="n">
        <f aca="false">('Data BoP'!K57)+('Data BoP'!K58)+('Data BoP'!K59)+('Data BoP'!K60)</f>
        <v>14778.8734882058</v>
      </c>
      <c r="AA60" s="10" t="n">
        <f aca="false">('Data BoP'!L57)+('Data BoP'!L58)+('Data BoP'!L59)+('Data BoP'!L60)</f>
        <v>20114.0637887934</v>
      </c>
      <c r="AB60" s="10" t="n">
        <f aca="false">('Data BoP'!M57)+('Data BoP'!M58)+('Data BoP'!M59)+('Data BoP'!M60)</f>
        <v>-18225.2203244549</v>
      </c>
      <c r="AC60" s="10" t="n">
        <f aca="false">('Data BoP'!N57)+('Data BoP'!N58)+('Data BoP'!N59)+('Data BoP'!N60)</f>
        <v>-85.4168042899985</v>
      </c>
      <c r="AD60" s="10" t="n">
        <f aca="false">('Data BoP'!O57)+('Data BoP'!O58)+('Data BoP'!O59)+('Data BoP'!O60)</f>
        <v>-18139.8035201649</v>
      </c>
      <c r="AE60" s="10" t="n">
        <f aca="false">('Data BoP'!P57)+('Data BoP'!P58)+('Data BoP'!P59)+('Data BoP'!P60)</f>
        <v>-5636.6200896243</v>
      </c>
      <c r="AF60" s="10" t="n">
        <f aca="false">('Data BoP'!Q57)+('Data BoP'!Q58)+('Data BoP'!Q59)+('Data BoP'!Q60)</f>
        <v>-9528.86372005241</v>
      </c>
      <c r="AG60" s="10" t="n">
        <f aca="false">('Data BoP'!R57)+('Data BoP'!R58)+('Data BoP'!R59)+('Data BoP'!R60)</f>
        <v>-3339.63202994824</v>
      </c>
      <c r="AH60" s="10" t="n">
        <f aca="false">('Data BoP'!AO57)+('Data BoP'!AO58)+('Data BoP'!AO59)+('Data BoP'!AO60)</f>
        <v>365.312319460052</v>
      </c>
      <c r="AI60" s="10" t="n">
        <f aca="false">('Data BoP'!S57)+('Data BoP'!S58)+('Data BoP'!S59)+('Data BoP'!S60)</f>
        <v>1004.13571119787</v>
      </c>
      <c r="AJ60" s="10" t="n">
        <f aca="false">('Data BoP'!T57)+('Data BoP'!T58)+('Data BoP'!T59)+('Data BoP'!T60)</f>
        <v>275.315024768887</v>
      </c>
    </row>
    <row r="61" customFormat="false" ht="15" hidden="false" customHeight="false" outlineLevel="0" collapsed="false">
      <c r="B61" s="14" t="str">
        <f aca="false">'Data BoP'!B61</f>
        <v>2019-Q4</v>
      </c>
      <c r="C61" s="15" t="n">
        <f aca="false">'Data BoP'!E61</f>
        <v>2561.48892648249</v>
      </c>
      <c r="D61" s="10" t="n">
        <f aca="false">'Data BoP'!G61</f>
        <v>6989.7224269701</v>
      </c>
      <c r="E61" s="10" t="n">
        <f aca="false">'Data BoP'!H61</f>
        <v>17182.63230174</v>
      </c>
      <c r="F61" s="10" t="n">
        <f aca="false">'Data BoP'!I61</f>
        <v>10192.9098747699</v>
      </c>
      <c r="G61" s="10" t="n">
        <f aca="false">'Data BoP'!J61</f>
        <v>-556.760027494369</v>
      </c>
      <c r="H61" s="10" t="n">
        <f aca="false">'Data BoP'!K61</f>
        <v>4016.542850834</v>
      </c>
      <c r="I61" s="10" t="n">
        <f aca="false">'Data BoP'!L61</f>
        <v>4573.30287832837</v>
      </c>
      <c r="J61" s="10" t="n">
        <f aca="false">'Data BoP'!M61</f>
        <v>-4115.41864814554</v>
      </c>
      <c r="K61" s="10" t="n">
        <f aca="false">'Data BoP'!N61</f>
        <v>-26.1867604598002</v>
      </c>
      <c r="L61" s="10" t="n">
        <f aca="false">'Data BoP'!O61</f>
        <v>-4089.23188768574</v>
      </c>
      <c r="M61" s="10" t="n">
        <f aca="false">'Data BoP'!P61</f>
        <v>-1561.82140353927</v>
      </c>
      <c r="N61" s="10" t="n">
        <f aca="false">'Data BoP'!Q61</f>
        <v>-1621.45634460147</v>
      </c>
      <c r="O61" s="10" t="n">
        <f aca="false">'Data BoP'!R61</f>
        <v>-967.451516428316</v>
      </c>
      <c r="P61" s="10" t="n">
        <f aca="false">'Data BoP'!AO61</f>
        <v>61.4973768833127</v>
      </c>
      <c r="Q61" s="10" t="n">
        <f aca="false">'Data BoP'!S61</f>
        <v>243.945175152292</v>
      </c>
      <c r="R61" s="10" t="n">
        <f aca="false">'Data BoP'!T61</f>
        <v>27.4712760812374</v>
      </c>
      <c r="T61" s="14" t="str">
        <f aca="false">'Data BoP'!B61</f>
        <v>2019-Q4</v>
      </c>
      <c r="U61" s="15" t="n">
        <f aca="false">('Data BoP'!E58)+('Data BoP'!E59)+('Data BoP'!E60)+('Data BoP'!E61)</f>
        <v>-3492.4795810842</v>
      </c>
      <c r="V61" s="10" t="n">
        <f aca="false">('Data BoP'!G58)+('Data BoP'!G59)+('Data BoP'!G60)+('Data BoP'!G61)</f>
        <v>18233.7234583003</v>
      </c>
      <c r="W61" s="10" t="n">
        <f aca="false">('Data BoP'!H58)+('Data BoP'!H59)+('Data BoP'!H60)+('Data BoP'!H61)</f>
        <v>65162.0617248101</v>
      </c>
      <c r="X61" s="10" t="n">
        <f aca="false">('Data BoP'!I58)+('Data BoP'!I59)+('Data BoP'!I60)+('Data BoP'!I61)</f>
        <v>46928.3382665098</v>
      </c>
      <c r="Y61" s="10" t="n">
        <f aca="false">('Data BoP'!J58)+('Data BoP'!J59)+('Data BoP'!J60)+('Data BoP'!J61)</f>
        <v>-4843.17341741793</v>
      </c>
      <c r="Z61" s="10" t="n">
        <f aca="false">('Data BoP'!K58)+('Data BoP'!K59)+('Data BoP'!K60)+('Data BoP'!K61)</f>
        <v>14802.4208046125</v>
      </c>
      <c r="AA61" s="10" t="n">
        <f aca="false">('Data BoP'!L58)+('Data BoP'!L59)+('Data BoP'!L60)+('Data BoP'!L61)</f>
        <v>19645.5942220304</v>
      </c>
      <c r="AB61" s="10" t="n">
        <f aca="false">('Data BoP'!M58)+('Data BoP'!M59)+('Data BoP'!M60)+('Data BoP'!M61)</f>
        <v>-17732.1645619185</v>
      </c>
      <c r="AC61" s="10" t="n">
        <f aca="false">('Data BoP'!N58)+('Data BoP'!N59)+('Data BoP'!N60)+('Data BoP'!N61)</f>
        <v>-92.8885822080715</v>
      </c>
      <c r="AD61" s="10" t="n">
        <f aca="false">('Data BoP'!O58)+('Data BoP'!O59)+('Data BoP'!O60)+('Data BoP'!O61)</f>
        <v>-17639.2759797105</v>
      </c>
      <c r="AE61" s="10" t="n">
        <f aca="false">('Data BoP'!P58)+('Data BoP'!P59)+('Data BoP'!P60)+('Data BoP'!P61)</f>
        <v>-5609.58132615874</v>
      </c>
      <c r="AF61" s="10" t="n">
        <f aca="false">('Data BoP'!Q58)+('Data BoP'!Q59)+('Data BoP'!Q60)+('Data BoP'!Q61)</f>
        <v>-8707.74560270157</v>
      </c>
      <c r="AG61" s="10" t="n">
        <f aca="false">('Data BoP'!R58)+('Data BoP'!R59)+('Data BoP'!R60)+('Data BoP'!R61)</f>
        <v>-3650.1994877617</v>
      </c>
      <c r="AH61" s="10" t="n">
        <f aca="false">('Data BoP'!AO58)+('Data BoP'!AO59)+('Data BoP'!AO60)+('Data BoP'!AO61)</f>
        <v>328.250436911532</v>
      </c>
      <c r="AI61" s="10" t="n">
        <f aca="false">('Data BoP'!S58)+('Data BoP'!S59)+('Data BoP'!S60)+('Data BoP'!S61)</f>
        <v>849.134939951966</v>
      </c>
      <c r="AJ61" s="10" t="n">
        <f aca="false">('Data BoP'!T58)+('Data BoP'!T59)+('Data BoP'!T60)+('Data BoP'!T61)</f>
        <v>283.947300397874</v>
      </c>
    </row>
    <row r="62" customFormat="false" ht="15" hidden="false" customHeight="false" outlineLevel="0" collapsed="false">
      <c r="B62" s="14" t="str">
        <f aca="false">'Data BoP'!B62</f>
        <v>2020-Q1</v>
      </c>
      <c r="C62" s="15" t="n">
        <f aca="false">'Data BoP'!E62</f>
        <v>117.123969538584</v>
      </c>
      <c r="D62" s="10" t="n">
        <f aca="false">'Data BoP'!G62</f>
        <v>3925.77466793009</v>
      </c>
      <c r="E62" s="10" t="n">
        <f aca="false">'Data BoP'!H62</f>
        <v>13360.22306329</v>
      </c>
      <c r="F62" s="10" t="n">
        <f aca="false">'Data BoP'!I62</f>
        <v>9434.44839535991</v>
      </c>
      <c r="G62" s="10" t="n">
        <f aca="false">'Data BoP'!J62</f>
        <v>-985.837557507691</v>
      </c>
      <c r="H62" s="10" t="n">
        <f aca="false">'Data BoP'!K62</f>
        <v>3685.04709961106</v>
      </c>
      <c r="I62" s="10" t="n">
        <f aca="false">'Data BoP'!L62</f>
        <v>4670.88465711875</v>
      </c>
      <c r="J62" s="10" t="n">
        <f aca="false">'Data BoP'!M62</f>
        <v>-3087.6357226146</v>
      </c>
      <c r="K62" s="10" t="n">
        <f aca="false">'Data BoP'!N62</f>
        <v>-26.311693825531</v>
      </c>
      <c r="L62" s="10" t="n">
        <f aca="false">'Data BoP'!O62</f>
        <v>-3061.32402878907</v>
      </c>
      <c r="M62" s="10" t="n">
        <f aca="false">'Data BoP'!P62</f>
        <v>-619.044896695694</v>
      </c>
      <c r="N62" s="10" t="n">
        <f aca="false">'Data BoP'!Q62</f>
        <v>-1533.77198069897</v>
      </c>
      <c r="O62" s="10" t="n">
        <f aca="false">'Data BoP'!R62</f>
        <v>-946.79114070844</v>
      </c>
      <c r="P62" s="10" t="n">
        <f aca="false">'Data BoP'!AO62</f>
        <v>38.2839893140338</v>
      </c>
      <c r="Q62" s="10" t="n">
        <f aca="false">'Data BoP'!S62</f>
        <v>264.822581730785</v>
      </c>
      <c r="R62" s="10" t="n">
        <f aca="false">'Data BoP'!T62</f>
        <v>42.4261130601901</v>
      </c>
      <c r="T62" s="14" t="str">
        <f aca="false">'Data BoP'!B62</f>
        <v>2020-Q1</v>
      </c>
      <c r="U62" s="15" t="n">
        <f aca="false">('Data BoP'!E59)+('Data BoP'!E60)+('Data BoP'!E61)+('Data BoP'!E62)</f>
        <v>58.3202931740239</v>
      </c>
      <c r="V62" s="10" t="n">
        <f aca="false">('Data BoP'!G59)+('Data BoP'!G60)+('Data BoP'!G61)+('Data BoP'!G62)</f>
        <v>19609.7413826103</v>
      </c>
      <c r="W62" s="10" t="n">
        <f aca="false">('Data BoP'!H59)+('Data BoP'!H60)+('Data BoP'!H61)+('Data BoP'!H62)</f>
        <v>64351.5820738101</v>
      </c>
      <c r="X62" s="10" t="n">
        <f aca="false">('Data BoP'!I59)+('Data BoP'!I60)+('Data BoP'!I61)+('Data BoP'!I62)</f>
        <v>44741.8406911998</v>
      </c>
      <c r="Y62" s="10" t="n">
        <f aca="false">('Data BoP'!J59)+('Data BoP'!J60)+('Data BoP'!J61)+('Data BoP'!J62)</f>
        <v>-4118.9970926193</v>
      </c>
      <c r="Z62" s="10" t="n">
        <f aca="false">('Data BoP'!K59)+('Data BoP'!K60)+('Data BoP'!K61)+('Data BoP'!K62)</f>
        <v>14545.876689941</v>
      </c>
      <c r="AA62" s="10" t="n">
        <f aca="false">('Data BoP'!L59)+('Data BoP'!L60)+('Data BoP'!L61)+('Data BoP'!L62)</f>
        <v>18664.8737825603</v>
      </c>
      <c r="AB62" s="10" t="n">
        <f aca="false">('Data BoP'!M59)+('Data BoP'!M60)+('Data BoP'!M61)+('Data BoP'!M62)</f>
        <v>-16261.8173440935</v>
      </c>
      <c r="AC62" s="10" t="n">
        <f aca="false">('Data BoP'!N59)+('Data BoP'!N60)+('Data BoP'!N61)+('Data BoP'!N62)</f>
        <v>-97.2059280016031</v>
      </c>
      <c r="AD62" s="10" t="n">
        <f aca="false">('Data BoP'!O59)+('Data BoP'!O60)+('Data BoP'!O61)+('Data BoP'!O62)</f>
        <v>-16164.6114160919</v>
      </c>
      <c r="AE62" s="10" t="n">
        <f aca="false">('Data BoP'!P59)+('Data BoP'!P60)+('Data BoP'!P61)+('Data BoP'!P62)</f>
        <v>-4752.08583959043</v>
      </c>
      <c r="AF62" s="10" t="n">
        <f aca="false">('Data BoP'!Q59)+('Data BoP'!Q60)+('Data BoP'!Q61)+('Data BoP'!Q62)</f>
        <v>-7935.40808814985</v>
      </c>
      <c r="AG62" s="10" t="n">
        <f aca="false">('Data BoP'!R59)+('Data BoP'!R60)+('Data BoP'!R61)+('Data BoP'!R62)</f>
        <v>-3749.77978307526</v>
      </c>
      <c r="AH62" s="10" t="n">
        <f aca="false">('Data BoP'!AO59)+('Data BoP'!AO60)+('Data BoP'!AO61)+('Data BoP'!AO62)</f>
        <v>272.662294723656</v>
      </c>
      <c r="AI62" s="10" t="n">
        <f aca="false">('Data BoP'!S59)+('Data BoP'!S60)+('Data BoP'!S61)+('Data BoP'!S62)</f>
        <v>829.393347276505</v>
      </c>
      <c r="AJ62" s="10" t="n">
        <f aca="false">('Data BoP'!T59)+('Data BoP'!T60)+('Data BoP'!T61)+('Data BoP'!T62)</f>
        <v>289.02309090696</v>
      </c>
    </row>
    <row r="63" customFormat="false" ht="15" hidden="false" customHeight="false" outlineLevel="0" collapsed="false">
      <c r="B63" s="14" t="str">
        <f aca="false">'Data BoP'!B63</f>
        <v>2020-Q2</v>
      </c>
      <c r="C63" s="15" t="n">
        <f aca="false">'Data BoP'!E63</f>
        <v>2863.32416850974</v>
      </c>
      <c r="D63" s="10" t="n">
        <f aca="false">'Data BoP'!G63</f>
        <v>5340.76137818994</v>
      </c>
      <c r="E63" s="10" t="n">
        <f aca="false">'Data BoP'!H63</f>
        <v>14235.1252797099</v>
      </c>
      <c r="F63" s="10" t="n">
        <f aca="false">'Data BoP'!I63</f>
        <v>8894.36390151996</v>
      </c>
      <c r="G63" s="10" t="n">
        <f aca="false">'Data BoP'!J63</f>
        <v>-295.192905360697</v>
      </c>
      <c r="H63" s="10" t="n">
        <f aca="false">'Data BoP'!K63</f>
        <v>1880.07334156122</v>
      </c>
      <c r="I63" s="10" t="n">
        <f aca="false">'Data BoP'!L63</f>
        <v>2175.26624692192</v>
      </c>
      <c r="J63" s="10" t="n">
        <f aca="false">'Data BoP'!M63</f>
        <v>-2574.38893748594</v>
      </c>
      <c r="K63" s="10" t="n">
        <f aca="false">'Data BoP'!N63</f>
        <v>-17.5948849611826</v>
      </c>
      <c r="L63" s="10" t="n">
        <f aca="false">'Data BoP'!O63</f>
        <v>-2556.79405252475</v>
      </c>
      <c r="M63" s="10" t="n">
        <f aca="false">'Data BoP'!P63</f>
        <v>-410.077214099899</v>
      </c>
      <c r="N63" s="10" t="n">
        <f aca="false">'Data BoP'!Q63</f>
        <v>-1183.7472978238</v>
      </c>
      <c r="O63" s="10" t="n">
        <f aca="false">'Data BoP'!R63</f>
        <v>-965.71683051704</v>
      </c>
      <c r="P63" s="10" t="n">
        <f aca="false">'Data BoP'!AO63</f>
        <v>2.74728991598863</v>
      </c>
      <c r="Q63" s="10" t="n">
        <f aca="false">'Data BoP'!S63</f>
        <v>392.14463316643</v>
      </c>
      <c r="R63" s="10" t="n">
        <f aca="false">'Data BoP'!T63</f>
        <v>31.6239681174348</v>
      </c>
      <c r="T63" s="14" t="str">
        <f aca="false">'Data BoP'!B63</f>
        <v>2020-Q2</v>
      </c>
      <c r="U63" s="15" t="n">
        <f aca="false">('Data BoP'!E60)+('Data BoP'!E61)+('Data BoP'!E62)+('Data BoP'!E63)</f>
        <v>4733.53941512048</v>
      </c>
      <c r="V63" s="10" t="n">
        <f aca="false">('Data BoP'!G60)+('Data BoP'!G61)+('Data BoP'!G62)+('Data BoP'!G63)</f>
        <v>20727.6170270902</v>
      </c>
      <c r="W63" s="10" t="n">
        <f aca="false">('Data BoP'!H60)+('Data BoP'!H61)+('Data BoP'!H62)+('Data BoP'!H63)</f>
        <v>61956.5568508699</v>
      </c>
      <c r="X63" s="10" t="n">
        <f aca="false">('Data BoP'!I60)+('Data BoP'!I61)+('Data BoP'!I62)+('Data BoP'!I63)</f>
        <v>41228.9398237797</v>
      </c>
      <c r="Y63" s="10" t="n">
        <f aca="false">('Data BoP'!J60)+('Data BoP'!J61)+('Data BoP'!J62)+('Data BoP'!J63)</f>
        <v>-3123.02688254016</v>
      </c>
      <c r="Z63" s="10" t="n">
        <f aca="false">('Data BoP'!K60)+('Data BoP'!K61)+('Data BoP'!K62)+('Data BoP'!K63)</f>
        <v>13051.4309567701</v>
      </c>
      <c r="AA63" s="10" t="n">
        <f aca="false">('Data BoP'!L60)+('Data BoP'!L61)+('Data BoP'!L62)+('Data BoP'!L63)</f>
        <v>16174.4578393102</v>
      </c>
      <c r="AB63" s="10" t="n">
        <f aca="false">('Data BoP'!M60)+('Data BoP'!M61)+('Data BoP'!M62)+('Data BoP'!M63)</f>
        <v>-13996.3029421161</v>
      </c>
      <c r="AC63" s="10" t="n">
        <f aca="false">('Data BoP'!N60)+('Data BoP'!N61)+('Data BoP'!N62)+('Data BoP'!N63)</f>
        <v>-94.8249942942304</v>
      </c>
      <c r="AD63" s="10" t="n">
        <f aca="false">('Data BoP'!O60)+('Data BoP'!O61)+('Data BoP'!O62)+('Data BoP'!O63)</f>
        <v>-13901.4779478219</v>
      </c>
      <c r="AE63" s="10" t="n">
        <f aca="false">('Data BoP'!P60)+('Data BoP'!P61)+('Data BoP'!P62)+('Data BoP'!P63)</f>
        <v>-3818.99464548682</v>
      </c>
      <c r="AF63" s="10" t="n">
        <f aca="false">('Data BoP'!Q60)+('Data BoP'!Q61)+('Data BoP'!Q62)+('Data BoP'!Q63)</f>
        <v>-6387.40414709907</v>
      </c>
      <c r="AG63" s="10" t="n">
        <f aca="false">('Data BoP'!R60)+('Data BoP'!R61)+('Data BoP'!R62)+('Data BoP'!R63)</f>
        <v>-3868.40220134934</v>
      </c>
      <c r="AH63" s="10" t="n">
        <f aca="false">('Data BoP'!AO60)+('Data BoP'!AO61)+('Data BoP'!AO62)+('Data BoP'!AO63)</f>
        <v>173.323046113336</v>
      </c>
      <c r="AI63" s="10" t="n">
        <f aca="false">('Data BoP'!S60)+('Data BoP'!S61)+('Data BoP'!S62)+('Data BoP'!S63)</f>
        <v>1125.25221268653</v>
      </c>
      <c r="AJ63" s="10" t="n">
        <f aca="false">('Data BoP'!T60)+('Data BoP'!T61)+('Data BoP'!T62)+('Data BoP'!T63)</f>
        <v>181.471508306629</v>
      </c>
    </row>
    <row r="64" customFormat="false" ht="15" hidden="false" customHeight="false" outlineLevel="0" collapsed="false">
      <c r="B64" s="14" t="str">
        <f aca="false">'Data BoP'!B64</f>
        <v>2020-Q3</v>
      </c>
      <c r="C64" s="15" t="n">
        <f aca="false">'Data BoP'!E64</f>
        <v>1150.40505409342</v>
      </c>
      <c r="D64" s="10" t="n">
        <f aca="false">'Data BoP'!G64</f>
        <v>4068.9463281299</v>
      </c>
      <c r="E64" s="10" t="n">
        <f aca="false">'Data BoP'!H64</f>
        <v>14620.2669888499</v>
      </c>
      <c r="F64" s="10" t="n">
        <f aca="false">'Data BoP'!I64</f>
        <v>10551.32066072</v>
      </c>
      <c r="G64" s="10" t="n">
        <f aca="false">'Data BoP'!J64</f>
        <v>-601.718012112282</v>
      </c>
      <c r="H64" s="10" t="n">
        <f aca="false">'Data BoP'!K64</f>
        <v>1803.44547006555</v>
      </c>
      <c r="I64" s="10" t="n">
        <f aca="false">'Data BoP'!L64</f>
        <v>2405.16348217784</v>
      </c>
      <c r="J64" s="10" t="n">
        <f aca="false">'Data BoP'!M64</f>
        <v>-2592.11784298799</v>
      </c>
      <c r="K64" s="10" t="n">
        <f aca="false">'Data BoP'!N64</f>
        <v>-16.5666324640048</v>
      </c>
      <c r="L64" s="10" t="n">
        <f aca="false">'Data BoP'!O64</f>
        <v>-2575.55121052399</v>
      </c>
      <c r="M64" s="10" t="n">
        <f aca="false">'Data BoP'!P64</f>
        <v>-685.982990934558</v>
      </c>
      <c r="N64" s="10" t="n">
        <f aca="false">'Data BoP'!Q64</f>
        <v>-982.614577600045</v>
      </c>
      <c r="O64" s="10" t="n">
        <f aca="false">'Data BoP'!R64</f>
        <v>-910.858641989386</v>
      </c>
      <c r="P64" s="10" t="n">
        <f aca="false">'Data BoP'!AO64</f>
        <v>3.90499999999963</v>
      </c>
      <c r="Q64" s="10" t="n">
        <f aca="false">'Data BoP'!S64</f>
        <v>275.294581063788</v>
      </c>
      <c r="R64" s="10" t="n">
        <f aca="false">'Data BoP'!T64</f>
        <v>40.3515239240323</v>
      </c>
      <c r="T64" s="14" t="str">
        <f aca="false">'Data BoP'!B64</f>
        <v>2020-Q3</v>
      </c>
      <c r="U64" s="15" t="n">
        <f aca="false">('Data BoP'!E61)+('Data BoP'!E62)+('Data BoP'!E63)+('Data BoP'!E64)</f>
        <v>6692.34211862423</v>
      </c>
      <c r="V64" s="10" t="n">
        <f aca="false">('Data BoP'!G61)+('Data BoP'!G62)+('Data BoP'!G63)+('Data BoP'!G64)</f>
        <v>20325.20480122</v>
      </c>
      <c r="W64" s="10" t="n">
        <f aca="false">('Data BoP'!H61)+('Data BoP'!H62)+('Data BoP'!H63)+('Data BoP'!H64)</f>
        <v>59398.2476335898</v>
      </c>
      <c r="X64" s="10" t="n">
        <f aca="false">('Data BoP'!I61)+('Data BoP'!I62)+('Data BoP'!I63)+('Data BoP'!I64)</f>
        <v>39073.0428323698</v>
      </c>
      <c r="Y64" s="10" t="n">
        <f aca="false">('Data BoP'!J61)+('Data BoP'!J62)+('Data BoP'!J63)+('Data BoP'!J64)</f>
        <v>-2439.50850247504</v>
      </c>
      <c r="Z64" s="10" t="n">
        <f aca="false">('Data BoP'!K61)+('Data BoP'!K62)+('Data BoP'!K63)+('Data BoP'!K64)</f>
        <v>11385.1087620718</v>
      </c>
      <c r="AA64" s="10" t="n">
        <f aca="false">('Data BoP'!L61)+('Data BoP'!L62)+('Data BoP'!L63)+('Data BoP'!L64)</f>
        <v>13824.6172645469</v>
      </c>
      <c r="AB64" s="10" t="n">
        <f aca="false">('Data BoP'!M61)+('Data BoP'!M62)+('Data BoP'!M63)+('Data BoP'!M64)</f>
        <v>-12369.5611512341</v>
      </c>
      <c r="AC64" s="10" t="n">
        <f aca="false">('Data BoP'!N61)+('Data BoP'!N62)+('Data BoP'!N63)+('Data BoP'!N64)</f>
        <v>-86.6599717105186</v>
      </c>
      <c r="AD64" s="10" t="n">
        <f aca="false">('Data BoP'!O61)+('Data BoP'!O62)+('Data BoP'!O63)+('Data BoP'!O64)</f>
        <v>-12282.9011795235</v>
      </c>
      <c r="AE64" s="10" t="n">
        <f aca="false">('Data BoP'!P61)+('Data BoP'!P62)+('Data BoP'!P63)+('Data BoP'!P64)</f>
        <v>-3276.92650526942</v>
      </c>
      <c r="AF64" s="10" t="n">
        <f aca="false">('Data BoP'!Q61)+('Data BoP'!Q62)+('Data BoP'!Q63)+('Data BoP'!Q64)</f>
        <v>-5321.59020072429</v>
      </c>
      <c r="AG64" s="10" t="n">
        <f aca="false">('Data BoP'!R61)+('Data BoP'!R62)+('Data BoP'!R63)+('Data BoP'!R64)</f>
        <v>-3790.81812964318</v>
      </c>
      <c r="AH64" s="10" t="n">
        <f aca="false">('Data BoP'!AO61)+('Data BoP'!AO62)+('Data BoP'!AO63)+('Data BoP'!AO64)</f>
        <v>106.433656113335</v>
      </c>
      <c r="AI64" s="10" t="n">
        <f aca="false">('Data BoP'!S61)+('Data BoP'!S62)+('Data BoP'!S63)+('Data BoP'!S64)</f>
        <v>1176.2069711133</v>
      </c>
      <c r="AJ64" s="10" t="n">
        <f aca="false">('Data BoP'!T61)+('Data BoP'!T62)+('Data BoP'!T63)+('Data BoP'!T64)</f>
        <v>141.872881182895</v>
      </c>
    </row>
    <row r="65" customFormat="false" ht="15" hidden="false" customHeight="false" outlineLevel="0" collapsed="false">
      <c r="B65" s="14" t="str">
        <f aca="false">'Data BoP'!B65</f>
        <v>2020-Q4</v>
      </c>
      <c r="C65" s="15" t="n">
        <f aca="false">'Data BoP'!E65</f>
        <v>-1442.49118661862</v>
      </c>
      <c r="D65" s="10" t="n">
        <f aca="false">'Data BoP'!G65</f>
        <v>1295.2158028399</v>
      </c>
      <c r="E65" s="10" t="n">
        <f aca="false">'Data BoP'!H65</f>
        <v>12729.8943669299</v>
      </c>
      <c r="F65" s="10" t="n">
        <f aca="false">'Data BoP'!I65</f>
        <v>11434.67856409</v>
      </c>
      <c r="G65" s="10" t="n">
        <f aca="false">'Data BoP'!J65</f>
        <v>-653.534291483702</v>
      </c>
      <c r="H65" s="10" t="n">
        <f aca="false">'Data BoP'!K65</f>
        <v>2123.17169555587</v>
      </c>
      <c r="I65" s="10" t="n">
        <f aca="false">'Data BoP'!L65</f>
        <v>2776.70598703957</v>
      </c>
      <c r="J65" s="10" t="n">
        <f aca="false">'Data BoP'!M65</f>
        <v>-2251.43524604071</v>
      </c>
      <c r="K65" s="10" t="n">
        <f aca="false">'Data BoP'!N65</f>
        <v>-21.719930706572</v>
      </c>
      <c r="L65" s="10" t="n">
        <f aca="false">'Data BoP'!O65</f>
        <v>-2229.71531533414</v>
      </c>
      <c r="M65" s="10" t="n">
        <f aca="false">'Data BoP'!P65</f>
        <v>-894.54377024867</v>
      </c>
      <c r="N65" s="10" t="n">
        <f aca="false">'Data BoP'!Q65</f>
        <v>-404.083472042299</v>
      </c>
      <c r="O65" s="10" t="n">
        <f aca="false">'Data BoP'!R65</f>
        <v>-933.293573043173</v>
      </c>
      <c r="P65" s="10" t="n">
        <f aca="false">'Data BoP'!AO65</f>
        <v>2.20550000000014</v>
      </c>
      <c r="Q65" s="10" t="n">
        <f aca="false">'Data BoP'!S65</f>
        <v>167.262548065892</v>
      </c>
      <c r="R65" s="10" t="n">
        <f aca="false">'Data BoP'!T65</f>
        <v>50.3608684516685</v>
      </c>
      <c r="T65" s="14" t="str">
        <f aca="false">'Data BoP'!B65</f>
        <v>2020-Q4</v>
      </c>
      <c r="U65" s="15" t="n">
        <f aca="false">('Data BoP'!E62)+('Data BoP'!E63)+('Data BoP'!E64)+('Data BoP'!E65)</f>
        <v>2688.36200552312</v>
      </c>
      <c r="V65" s="10" t="n">
        <f aca="false">('Data BoP'!G62)+('Data BoP'!G63)+('Data BoP'!G64)+('Data BoP'!G65)</f>
        <v>14630.6981770898</v>
      </c>
      <c r="W65" s="10" t="n">
        <f aca="false">('Data BoP'!H62)+('Data BoP'!H63)+('Data BoP'!H64)+('Data BoP'!H65)</f>
        <v>54945.5096987797</v>
      </c>
      <c r="X65" s="10" t="n">
        <f aca="false">('Data BoP'!I62)+('Data BoP'!I63)+('Data BoP'!I64)+('Data BoP'!I65)</f>
        <v>40314.8115216899</v>
      </c>
      <c r="Y65" s="10" t="n">
        <f aca="false">('Data BoP'!J62)+('Data BoP'!J63)+('Data BoP'!J64)+('Data BoP'!J65)</f>
        <v>-2536.28276646437</v>
      </c>
      <c r="Z65" s="10" t="n">
        <f aca="false">('Data BoP'!K62)+('Data BoP'!K63)+('Data BoP'!K64)+('Data BoP'!K65)</f>
        <v>9491.7376067937</v>
      </c>
      <c r="AA65" s="10" t="n">
        <f aca="false">('Data BoP'!L62)+('Data BoP'!L63)+('Data BoP'!L64)+('Data BoP'!L65)</f>
        <v>12028.0203732581</v>
      </c>
      <c r="AB65" s="10" t="n">
        <f aca="false">('Data BoP'!M62)+('Data BoP'!M63)+('Data BoP'!M64)+('Data BoP'!M65)</f>
        <v>-10505.5777491292</v>
      </c>
      <c r="AC65" s="10" t="n">
        <f aca="false">('Data BoP'!N62)+('Data BoP'!N63)+('Data BoP'!N64)+('Data BoP'!N65)</f>
        <v>-82.1931419572904</v>
      </c>
      <c r="AD65" s="10" t="n">
        <f aca="false">('Data BoP'!O62)+('Data BoP'!O63)+('Data BoP'!O64)+('Data BoP'!O65)</f>
        <v>-10423.384607172</v>
      </c>
      <c r="AE65" s="10" t="n">
        <f aca="false">('Data BoP'!P62)+('Data BoP'!P63)+('Data BoP'!P64)+('Data BoP'!P65)</f>
        <v>-2609.64887197882</v>
      </c>
      <c r="AF65" s="10" t="n">
        <f aca="false">('Data BoP'!Q62)+('Data BoP'!Q63)+('Data BoP'!Q64)+('Data BoP'!Q65)</f>
        <v>-4104.21732816512</v>
      </c>
      <c r="AG65" s="10" t="n">
        <f aca="false">('Data BoP'!R62)+('Data BoP'!R63)+('Data BoP'!R64)+('Data BoP'!R65)</f>
        <v>-3756.66018625804</v>
      </c>
      <c r="AH65" s="10" t="n">
        <f aca="false">('Data BoP'!AO62)+('Data BoP'!AO63)+('Data BoP'!AO64)+('Data BoP'!AO65)</f>
        <v>47.1417792300222</v>
      </c>
      <c r="AI65" s="10" t="n">
        <f aca="false">('Data BoP'!S62)+('Data BoP'!S63)+('Data BoP'!S64)+('Data BoP'!S65)</f>
        <v>1099.52434402689</v>
      </c>
      <c r="AJ65" s="10" t="n">
        <f aca="false">('Data BoP'!T62)+('Data BoP'!T63)+('Data BoP'!T64)+('Data BoP'!T65)</f>
        <v>164.762473553326</v>
      </c>
    </row>
    <row r="66" customFormat="false" ht="15" hidden="false" customHeight="false" outlineLevel="0" collapsed="false">
      <c r="B66" s="14" t="str">
        <f aca="false">'Data BoP'!B66</f>
        <v>2021-Q1</v>
      </c>
      <c r="C66" s="15" t="n">
        <f aca="false">'Data BoP'!E66</f>
        <v>395.421926772179</v>
      </c>
      <c r="D66" s="10" t="n">
        <f aca="false">'Data BoP'!G66</f>
        <v>3241.08896199</v>
      </c>
      <c r="E66" s="10" t="n">
        <f aca="false">'Data BoP'!H66</f>
        <v>15415.7820692501</v>
      </c>
      <c r="F66" s="10" t="n">
        <f aca="false">'Data BoP'!I66</f>
        <v>12174.6931072601</v>
      </c>
      <c r="G66" s="10" t="n">
        <f aca="false">'Data BoP'!J66</f>
        <v>-658.526303110674</v>
      </c>
      <c r="H66" s="10" t="n">
        <f aca="false">'Data BoP'!K66</f>
        <v>1981.82749195669</v>
      </c>
      <c r="I66" s="10" t="n">
        <f aca="false">'Data BoP'!L66</f>
        <v>2640.35379506736</v>
      </c>
      <c r="J66" s="10" t="n">
        <f aca="false">'Data BoP'!M66</f>
        <v>-2503.19715395723</v>
      </c>
      <c r="K66" s="10" t="n">
        <f aca="false">'Data BoP'!N66</f>
        <v>-28.4483607972071</v>
      </c>
      <c r="L66" s="10" t="n">
        <f aca="false">'Data BoP'!O66</f>
        <v>-2474.74879316003</v>
      </c>
      <c r="M66" s="10" t="n">
        <f aca="false">'Data BoP'!P66</f>
        <v>-1228.50539996093</v>
      </c>
      <c r="N66" s="10" t="n">
        <f aca="false">'Data BoP'!Q66</f>
        <v>-376.436064373656</v>
      </c>
      <c r="O66" s="10" t="n">
        <f aca="false">'Data BoP'!R66</f>
        <v>-871.814266990658</v>
      </c>
      <c r="P66" s="10" t="n">
        <f aca="false">'Data BoP'!AO66</f>
        <v>2.00693816521527</v>
      </c>
      <c r="Q66" s="10" t="n">
        <f aca="false">'Data BoP'!S66</f>
        <v>316.056421850085</v>
      </c>
      <c r="R66" s="10" t="n">
        <f aca="false">'Data BoP'!T66</f>
        <v>45.7775052519486</v>
      </c>
      <c r="T66" s="14" t="str">
        <f aca="false">'Data BoP'!B66</f>
        <v>2021-Q1</v>
      </c>
      <c r="U66" s="15" t="n">
        <f aca="false">('Data BoP'!E63)+('Data BoP'!E64)+('Data BoP'!E65)+('Data BoP'!E66)</f>
        <v>2966.65996275671</v>
      </c>
      <c r="V66" s="10" t="n">
        <f aca="false">('Data BoP'!G63)+('Data BoP'!G64)+('Data BoP'!G65)+('Data BoP'!G66)</f>
        <v>13946.0124711497</v>
      </c>
      <c r="W66" s="10" t="n">
        <f aca="false">('Data BoP'!H63)+('Data BoP'!H64)+('Data BoP'!H65)+('Data BoP'!H66)</f>
        <v>57001.0687047398</v>
      </c>
      <c r="X66" s="10" t="n">
        <f aca="false">('Data BoP'!I63)+('Data BoP'!I64)+('Data BoP'!I65)+('Data BoP'!I66)</f>
        <v>43055.0562335901</v>
      </c>
      <c r="Y66" s="10" t="n">
        <f aca="false">('Data BoP'!J63)+('Data BoP'!J64)+('Data BoP'!J65)+('Data BoP'!J66)</f>
        <v>-2208.97151206735</v>
      </c>
      <c r="Z66" s="10" t="n">
        <f aca="false">('Data BoP'!K63)+('Data BoP'!K64)+('Data BoP'!K65)+('Data BoP'!K66)</f>
        <v>7788.51799913933</v>
      </c>
      <c r="AA66" s="10" t="n">
        <f aca="false">('Data BoP'!L63)+('Data BoP'!L64)+('Data BoP'!L65)+('Data BoP'!L66)</f>
        <v>9997.48951120668</v>
      </c>
      <c r="AB66" s="10" t="n">
        <f aca="false">('Data BoP'!M63)+('Data BoP'!M64)+('Data BoP'!M65)+('Data BoP'!M66)</f>
        <v>-9921.13918047187</v>
      </c>
      <c r="AC66" s="10" t="n">
        <f aca="false">('Data BoP'!N63)+('Data BoP'!N64)+('Data BoP'!N65)+('Data BoP'!N66)</f>
        <v>-84.3298089289665</v>
      </c>
      <c r="AD66" s="10" t="n">
        <f aca="false">('Data BoP'!O63)+('Data BoP'!O64)+('Data BoP'!O65)+('Data BoP'!O66)</f>
        <v>-9836.80937154291</v>
      </c>
      <c r="AE66" s="10" t="n">
        <f aca="false">('Data BoP'!P63)+('Data BoP'!P64)+('Data BoP'!P65)+('Data BoP'!P66)</f>
        <v>-3219.10937524405</v>
      </c>
      <c r="AF66" s="10" t="n">
        <f aca="false">('Data BoP'!Q63)+('Data BoP'!Q64)+('Data BoP'!Q65)+('Data BoP'!Q66)</f>
        <v>-2946.8814118398</v>
      </c>
      <c r="AG66" s="10" t="n">
        <f aca="false">('Data BoP'!R63)+('Data BoP'!R64)+('Data BoP'!R65)+('Data BoP'!R66)</f>
        <v>-3681.68331254026</v>
      </c>
      <c r="AH66" s="10" t="n">
        <f aca="false">('Data BoP'!AO63)+('Data BoP'!AO64)+('Data BoP'!AO65)+('Data BoP'!AO66)</f>
        <v>10.8647280812037</v>
      </c>
      <c r="AI66" s="10" t="n">
        <f aca="false">('Data BoP'!S63)+('Data BoP'!S64)+('Data BoP'!S65)+('Data BoP'!S66)</f>
        <v>1150.75818414619</v>
      </c>
      <c r="AJ66" s="10" t="n">
        <f aca="false">('Data BoP'!T63)+('Data BoP'!T64)+('Data BoP'!T65)+('Data BoP'!T66)</f>
        <v>168.113865745084</v>
      </c>
    </row>
    <row r="67" customFormat="false" ht="15" hidden="false" customHeight="false" outlineLevel="0" collapsed="false">
      <c r="B67" s="14" t="str">
        <f aca="false">'Data BoP'!B67</f>
        <v>2021-Q2</v>
      </c>
      <c r="C67" s="15" t="n">
        <f aca="false">'Data BoP'!E67</f>
        <v>2546.7007984391</v>
      </c>
      <c r="D67" s="10" t="n">
        <f aca="false">'Data BoP'!G67</f>
        <v>5168.1414511901</v>
      </c>
      <c r="E67" s="10" t="n">
        <f aca="false">'Data BoP'!H67</f>
        <v>19980.48857943</v>
      </c>
      <c r="F67" s="10" t="n">
        <f aca="false">'Data BoP'!I67</f>
        <v>14812.3471282399</v>
      </c>
      <c r="G67" s="10" t="n">
        <f aca="false">'Data BoP'!J67</f>
        <v>-640.663064087491</v>
      </c>
      <c r="H67" s="10" t="n">
        <f aca="false">'Data BoP'!K67</f>
        <v>2244.76524089118</v>
      </c>
      <c r="I67" s="10" t="n">
        <f aca="false">'Data BoP'!L67</f>
        <v>2885.42830497867</v>
      </c>
      <c r="J67" s="10" t="n">
        <f aca="false">'Data BoP'!M67</f>
        <v>-2414.16415198499</v>
      </c>
      <c r="K67" s="10" t="n">
        <f aca="false">'Data BoP'!N67</f>
        <v>-32.7301488424515</v>
      </c>
      <c r="L67" s="10" t="n">
        <f aca="false">'Data BoP'!O67</f>
        <v>-2381.43400314254</v>
      </c>
      <c r="M67" s="10" t="n">
        <f aca="false">'Data BoP'!P67</f>
        <v>-1172.73144280335</v>
      </c>
      <c r="N67" s="10" t="n">
        <f aca="false">'Data BoP'!Q67</f>
        <v>-349.156884210162</v>
      </c>
      <c r="O67" s="10" t="n">
        <f aca="false">'Data BoP'!R67</f>
        <v>-861.259585663445</v>
      </c>
      <c r="P67" s="10" t="n">
        <f aca="false">'Data BoP'!AO67</f>
        <v>1.71390953442108</v>
      </c>
      <c r="Q67" s="10" t="n">
        <f aca="false">'Data BoP'!S67</f>
        <v>433.386563321478</v>
      </c>
      <c r="R67" s="10" t="n">
        <f aca="false">'Data BoP'!T67</f>
        <v>93.9022893967029</v>
      </c>
      <c r="T67" s="14" t="str">
        <f aca="false">'Data BoP'!B67</f>
        <v>2021-Q2</v>
      </c>
      <c r="U67" s="15" t="n">
        <f aca="false">('Data BoP'!E64)+('Data BoP'!E65)+('Data BoP'!E66)+('Data BoP'!E67)</f>
        <v>2650.03659268607</v>
      </c>
      <c r="V67" s="10" t="n">
        <f aca="false">('Data BoP'!G64)+('Data BoP'!G65)+('Data BoP'!G66)+('Data BoP'!G67)</f>
        <v>13773.3925441499</v>
      </c>
      <c r="W67" s="10" t="n">
        <f aca="false">('Data BoP'!H64)+('Data BoP'!H65)+('Data BoP'!H66)+('Data BoP'!H67)</f>
        <v>62746.4320044599</v>
      </c>
      <c r="X67" s="10" t="n">
        <f aca="false">('Data BoP'!I64)+('Data BoP'!I65)+('Data BoP'!I66)+('Data BoP'!I67)</f>
        <v>48973.03946031</v>
      </c>
      <c r="Y67" s="10" t="n">
        <f aca="false">('Data BoP'!J64)+('Data BoP'!J65)+('Data BoP'!J66)+('Data BoP'!J67)</f>
        <v>-2554.44167079415</v>
      </c>
      <c r="Z67" s="10" t="n">
        <f aca="false">('Data BoP'!K64)+('Data BoP'!K65)+('Data BoP'!K66)+('Data BoP'!K67)</f>
        <v>8153.20989846929</v>
      </c>
      <c r="AA67" s="10" t="n">
        <f aca="false">('Data BoP'!L64)+('Data BoP'!L65)+('Data BoP'!L66)+('Data BoP'!L67)</f>
        <v>10707.6515692634</v>
      </c>
      <c r="AB67" s="10" t="n">
        <f aca="false">('Data BoP'!M64)+('Data BoP'!M65)+('Data BoP'!M66)+('Data BoP'!M67)</f>
        <v>-9760.91439497093</v>
      </c>
      <c r="AC67" s="10" t="n">
        <f aca="false">('Data BoP'!N64)+('Data BoP'!N65)+('Data BoP'!N66)+('Data BoP'!N67)</f>
        <v>-99.4650728102354</v>
      </c>
      <c r="AD67" s="10" t="n">
        <f aca="false">('Data BoP'!O64)+('Data BoP'!O65)+('Data BoP'!O66)+('Data BoP'!O67)</f>
        <v>-9661.4493221607</v>
      </c>
      <c r="AE67" s="10" t="n">
        <f aca="false">('Data BoP'!P64)+('Data BoP'!P65)+('Data BoP'!P66)+('Data BoP'!P67)</f>
        <v>-3981.76360394751</v>
      </c>
      <c r="AF67" s="10" t="n">
        <f aca="false">('Data BoP'!Q64)+('Data BoP'!Q65)+('Data BoP'!Q66)+('Data BoP'!Q67)</f>
        <v>-2112.29099822616</v>
      </c>
      <c r="AG67" s="10" t="n">
        <f aca="false">('Data BoP'!R64)+('Data BoP'!R65)+('Data BoP'!R66)+('Data BoP'!R67)</f>
        <v>-3577.22606768666</v>
      </c>
      <c r="AH67" s="10" t="n">
        <f aca="false">('Data BoP'!AO64)+('Data BoP'!AO65)+('Data BoP'!AO66)+('Data BoP'!AO67)</f>
        <v>9.83134769963613</v>
      </c>
      <c r="AI67" s="10" t="n">
        <f aca="false">('Data BoP'!S64)+('Data BoP'!S65)+('Data BoP'!S66)+('Data BoP'!S67)</f>
        <v>1192.00011430124</v>
      </c>
      <c r="AJ67" s="10" t="n">
        <f aca="false">('Data BoP'!T64)+('Data BoP'!T65)+('Data BoP'!T66)+('Data BoP'!T67)</f>
        <v>230.392187024352</v>
      </c>
    </row>
    <row r="68" customFormat="false" ht="15" hidden="false" customHeight="false" outlineLevel="0" collapsed="false">
      <c r="B68" s="14" t="str">
        <f aca="false">'Data BoP'!B68</f>
        <v>2021-Q3</v>
      </c>
      <c r="C68" s="15" t="n">
        <f aca="false">'Data BoP'!E68</f>
        <v>3348.56834364748</v>
      </c>
      <c r="D68" s="10" t="n">
        <f aca="false">'Data BoP'!G68</f>
        <v>6659.1888374001</v>
      </c>
      <c r="E68" s="10" t="n">
        <f aca="false">'Data BoP'!H68</f>
        <v>22935.78949584</v>
      </c>
      <c r="F68" s="10" t="n">
        <f aca="false">'Data BoP'!I68</f>
        <v>16276.6006584399</v>
      </c>
      <c r="G68" s="10" t="n">
        <f aca="false">'Data BoP'!J68</f>
        <v>-1028.20614763679</v>
      </c>
      <c r="H68" s="10" t="n">
        <f aca="false">'Data BoP'!K68</f>
        <v>2416.28398981369</v>
      </c>
      <c r="I68" s="10" t="n">
        <f aca="false">'Data BoP'!L68</f>
        <v>3444.49013745048</v>
      </c>
      <c r="J68" s="10" t="n">
        <f aca="false">'Data BoP'!M68</f>
        <v>-2606.57350760899</v>
      </c>
      <c r="K68" s="10" t="n">
        <f aca="false">'Data BoP'!N68</f>
        <v>-27.6335672895504</v>
      </c>
      <c r="L68" s="10" t="n">
        <f aca="false">'Data BoP'!O68</f>
        <v>-2578.93994031944</v>
      </c>
      <c r="M68" s="10" t="n">
        <f aca="false">'Data BoP'!P68</f>
        <v>-1471.22011699712</v>
      </c>
      <c r="N68" s="10" t="n">
        <f aca="false">'Data BoP'!Q68</f>
        <v>-272.638587232709</v>
      </c>
      <c r="O68" s="10" t="n">
        <f aca="false">'Data BoP'!R68</f>
        <v>-836.125902852421</v>
      </c>
      <c r="P68" s="10" t="n">
        <f aca="false">'Data BoP'!AO68</f>
        <v>1.04466676280572</v>
      </c>
      <c r="Q68" s="10" t="n">
        <f aca="false">'Data BoP'!S68</f>
        <v>324.159161493158</v>
      </c>
      <c r="R68" s="10" t="n">
        <f aca="false">'Data BoP'!T68</f>
        <v>70.2672417424284</v>
      </c>
      <c r="T68" s="14" t="str">
        <f aca="false">'Data BoP'!B68</f>
        <v>2021-Q3</v>
      </c>
      <c r="U68" s="15" t="n">
        <f aca="false">('Data BoP'!E65)+('Data BoP'!E66)+('Data BoP'!E67)+('Data BoP'!E68)</f>
        <v>4848.19988224014</v>
      </c>
      <c r="V68" s="10" t="n">
        <f aca="false">('Data BoP'!G65)+('Data BoP'!G66)+('Data BoP'!G67)+('Data BoP'!G68)</f>
        <v>16363.6350534201</v>
      </c>
      <c r="W68" s="10" t="n">
        <f aca="false">('Data BoP'!H65)+('Data BoP'!H66)+('Data BoP'!H67)+('Data BoP'!H68)</f>
        <v>71061.95451145</v>
      </c>
      <c r="X68" s="10" t="n">
        <f aca="false">('Data BoP'!I65)+('Data BoP'!I66)+('Data BoP'!I67)+('Data BoP'!I68)</f>
        <v>54698.3194580299</v>
      </c>
      <c r="Y68" s="10" t="n">
        <f aca="false">('Data BoP'!J65)+('Data BoP'!J66)+('Data BoP'!J67)+('Data BoP'!J68)</f>
        <v>-2980.92980631865</v>
      </c>
      <c r="Z68" s="10" t="n">
        <f aca="false">('Data BoP'!K65)+('Data BoP'!K66)+('Data BoP'!K67)+('Data BoP'!K68)</f>
        <v>8766.04841821743</v>
      </c>
      <c r="AA68" s="10" t="n">
        <f aca="false">('Data BoP'!L65)+('Data BoP'!L66)+('Data BoP'!L67)+('Data BoP'!L68)</f>
        <v>11746.9782245361</v>
      </c>
      <c r="AB68" s="10" t="n">
        <f aca="false">('Data BoP'!M65)+('Data BoP'!M66)+('Data BoP'!M67)+('Data BoP'!M68)</f>
        <v>-9775.37005959193</v>
      </c>
      <c r="AC68" s="10" t="n">
        <f aca="false">('Data BoP'!N65)+('Data BoP'!N66)+('Data BoP'!N67)+('Data BoP'!N68)</f>
        <v>-110.532007635781</v>
      </c>
      <c r="AD68" s="10" t="n">
        <f aca="false">('Data BoP'!O65)+('Data BoP'!O66)+('Data BoP'!O67)+('Data BoP'!O68)</f>
        <v>-9664.83805195615</v>
      </c>
      <c r="AE68" s="10" t="n">
        <f aca="false">('Data BoP'!P65)+('Data BoP'!P66)+('Data BoP'!P67)+('Data BoP'!P68)</f>
        <v>-4767.00073001007</v>
      </c>
      <c r="AF68" s="10" t="n">
        <f aca="false">('Data BoP'!Q65)+('Data BoP'!Q66)+('Data BoP'!Q67)+('Data BoP'!Q68)</f>
        <v>-1402.31500785883</v>
      </c>
      <c r="AG68" s="10" t="n">
        <f aca="false">('Data BoP'!R65)+('Data BoP'!R66)+('Data BoP'!R67)+('Data BoP'!R68)</f>
        <v>-3502.4933285497</v>
      </c>
      <c r="AH68" s="10" t="n">
        <f aca="false">('Data BoP'!AO65)+('Data BoP'!AO66)+('Data BoP'!AO67)+('Data BoP'!AO68)</f>
        <v>6.97101446244221</v>
      </c>
      <c r="AI68" s="10" t="n">
        <f aca="false">('Data BoP'!S65)+('Data BoP'!S66)+('Data BoP'!S67)+('Data BoP'!S68)</f>
        <v>1240.86469473061</v>
      </c>
      <c r="AJ68" s="10" t="n">
        <f aca="false">('Data BoP'!T65)+('Data BoP'!T66)+('Data BoP'!T67)+('Data BoP'!T68)</f>
        <v>260.307904842748</v>
      </c>
    </row>
    <row r="69" customFormat="false" ht="15" hidden="false" customHeight="false" outlineLevel="0" collapsed="false">
      <c r="B69" s="14" t="str">
        <f aca="false">'Data BoP'!B69</f>
        <v>2021-Q4</v>
      </c>
      <c r="C69" s="15" t="n">
        <f aca="false">'Data BoP'!E69</f>
        <v>334.09412348924</v>
      </c>
      <c r="D69" s="10" t="n">
        <f aca="false">'Data BoP'!G69</f>
        <v>3627.0463644501</v>
      </c>
      <c r="E69" s="10" t="n">
        <f aca="false">'Data BoP'!H69</f>
        <v>19654.51602093</v>
      </c>
      <c r="F69" s="10" t="n">
        <f aca="false">'Data BoP'!I69</f>
        <v>16027.4696564799</v>
      </c>
      <c r="G69" s="10" t="n">
        <f aca="false">'Data BoP'!J69</f>
        <v>-1372.69598332315</v>
      </c>
      <c r="H69" s="10" t="n">
        <f aca="false">'Data BoP'!K69</f>
        <v>2945.85895499109</v>
      </c>
      <c r="I69" s="10" t="n">
        <f aca="false">'Data BoP'!L69</f>
        <v>4318.55493831423</v>
      </c>
      <c r="J69" s="10" t="n">
        <f aca="false">'Data BoP'!M69</f>
        <v>-2248.69955806914</v>
      </c>
      <c r="K69" s="10" t="n">
        <f aca="false">'Data BoP'!N69</f>
        <v>-31.1282562370069</v>
      </c>
      <c r="L69" s="10" t="n">
        <f aca="false">'Data BoP'!O69</f>
        <v>-2217.57130183213</v>
      </c>
      <c r="M69" s="10" t="n">
        <f aca="false">'Data BoP'!P69</f>
        <v>-1103.85551669585</v>
      </c>
      <c r="N69" s="10" t="n">
        <f aca="false">'Data BoP'!Q69</f>
        <v>-393.280267077514</v>
      </c>
      <c r="O69" s="10" t="n">
        <f aca="false">'Data BoP'!R69</f>
        <v>-721.902629304304</v>
      </c>
      <c r="P69" s="10" t="n">
        <f aca="false">'Data BoP'!AO69</f>
        <v>1.46711124554054</v>
      </c>
      <c r="Q69" s="10" t="n">
        <f aca="false">'Data BoP'!S69</f>
        <v>328.44330043143</v>
      </c>
      <c r="R69" s="10" t="n">
        <f aca="false">'Data BoP'!T69</f>
        <v>43.0409838167454</v>
      </c>
      <c r="T69" s="14" t="str">
        <f aca="false">'Data BoP'!B69</f>
        <v>2021-Q4</v>
      </c>
      <c r="U69" s="15" t="n">
        <f aca="false">('Data BoP'!E66)+('Data BoP'!E67)+('Data BoP'!E68)+('Data BoP'!E69)</f>
        <v>6624.785192348</v>
      </c>
      <c r="V69" s="10" t="n">
        <f aca="false">('Data BoP'!G66)+('Data BoP'!G67)+('Data BoP'!G68)+('Data BoP'!G69)</f>
        <v>18695.4656150303</v>
      </c>
      <c r="W69" s="10" t="n">
        <f aca="false">('Data BoP'!H66)+('Data BoP'!H67)+('Data BoP'!H68)+('Data BoP'!H69)</f>
        <v>77986.5761654501</v>
      </c>
      <c r="X69" s="10" t="n">
        <f aca="false">('Data BoP'!I66)+('Data BoP'!I67)+('Data BoP'!I68)+('Data BoP'!I69)</f>
        <v>59291.1105504198</v>
      </c>
      <c r="Y69" s="10" t="n">
        <f aca="false">('Data BoP'!J66)+('Data BoP'!J67)+('Data BoP'!J68)+('Data BoP'!J69)</f>
        <v>-3700.0914981581</v>
      </c>
      <c r="Z69" s="10" t="n">
        <f aca="false">('Data BoP'!K66)+('Data BoP'!K67)+('Data BoP'!K68)+('Data BoP'!K69)</f>
        <v>9588.73567765265</v>
      </c>
      <c r="AA69" s="10" t="n">
        <f aca="false">('Data BoP'!L66)+('Data BoP'!L67)+('Data BoP'!L68)+('Data BoP'!L69)</f>
        <v>13288.8271758107</v>
      </c>
      <c r="AB69" s="10" t="n">
        <f aca="false">('Data BoP'!M66)+('Data BoP'!M67)+('Data BoP'!M68)+('Data BoP'!M69)</f>
        <v>-9772.63437162035</v>
      </c>
      <c r="AC69" s="10" t="n">
        <f aca="false">('Data BoP'!N66)+('Data BoP'!N67)+('Data BoP'!N68)+('Data BoP'!N69)</f>
        <v>-119.940333166216</v>
      </c>
      <c r="AD69" s="10" t="n">
        <f aca="false">('Data BoP'!O66)+('Data BoP'!O67)+('Data BoP'!O68)+('Data BoP'!O69)</f>
        <v>-9652.69403845414</v>
      </c>
      <c r="AE69" s="10" t="n">
        <f aca="false">('Data BoP'!P66)+('Data BoP'!P67)+('Data BoP'!P68)+('Data BoP'!P69)</f>
        <v>-4976.31247645725</v>
      </c>
      <c r="AF69" s="10" t="n">
        <f aca="false">('Data BoP'!Q66)+('Data BoP'!Q67)+('Data BoP'!Q68)+('Data BoP'!Q69)</f>
        <v>-1391.51180289404</v>
      </c>
      <c r="AG69" s="10" t="n">
        <f aca="false">('Data BoP'!R66)+('Data BoP'!R67)+('Data BoP'!R68)+('Data BoP'!R69)</f>
        <v>-3291.10238481083</v>
      </c>
      <c r="AH69" s="10" t="n">
        <f aca="false">('Data BoP'!AO66)+('Data BoP'!AO67)+('Data BoP'!AO68)+('Data BoP'!AO69)</f>
        <v>6.23262570798261</v>
      </c>
      <c r="AI69" s="10" t="n">
        <f aca="false">('Data BoP'!S66)+('Data BoP'!S67)+('Data BoP'!S68)+('Data BoP'!S69)</f>
        <v>1402.04544709615</v>
      </c>
      <c r="AJ69" s="10" t="n">
        <f aca="false">('Data BoP'!T66)+('Data BoP'!T67)+('Data BoP'!T68)+('Data BoP'!T69)</f>
        <v>252.988020207825</v>
      </c>
    </row>
    <row r="70" customFormat="false" ht="15" hidden="false" customHeight="false" outlineLevel="0" collapsed="false">
      <c r="B70" s="14" t="str">
        <f aca="false">'Data BoP'!B70</f>
        <v>2022-Q1</v>
      </c>
      <c r="C70" s="15" t="n">
        <f aca="false">'Data BoP'!E70</f>
        <v>-1242.60477755264</v>
      </c>
      <c r="D70" s="10" t="n">
        <f aca="false">'Data BoP'!G70</f>
        <v>2777.6725023499</v>
      </c>
      <c r="E70" s="10" t="n">
        <f aca="false">'Data BoP'!H70</f>
        <v>19532.7809121899</v>
      </c>
      <c r="F70" s="10" t="n">
        <f aca="false">'Data BoP'!I70</f>
        <v>16755.10840984</v>
      </c>
      <c r="G70" s="10" t="n">
        <f aca="false">'Data BoP'!J70</f>
        <v>-1897.61376753807</v>
      </c>
      <c r="H70" s="10" t="n">
        <f aca="false">'Data BoP'!K70</f>
        <v>3141.23369626134</v>
      </c>
      <c r="I70" s="10" t="n">
        <f aca="false">'Data BoP'!L70</f>
        <v>5038.84746379941</v>
      </c>
      <c r="J70" s="10" t="n">
        <f aca="false">'Data BoP'!M70</f>
        <v>-2570.661301406</v>
      </c>
      <c r="K70" s="10" t="n">
        <f aca="false">'Data BoP'!N70</f>
        <v>-23.0373388918199</v>
      </c>
      <c r="L70" s="10" t="n">
        <f aca="false">'Data BoP'!O70</f>
        <v>-2547.62396251418</v>
      </c>
      <c r="M70" s="10" t="n">
        <f aca="false">'Data BoP'!P70</f>
        <v>-1373.96050294002</v>
      </c>
      <c r="N70" s="10" t="n">
        <f aca="false">'Data BoP'!Q70</f>
        <v>-382.406023117031</v>
      </c>
      <c r="O70" s="10" t="n">
        <f aca="false">'Data BoP'!R70</f>
        <v>-793.704436457131</v>
      </c>
      <c r="P70" s="10" t="n">
        <f aca="false">'Data BoP'!AO70</f>
        <v>2.44699999999989</v>
      </c>
      <c r="Q70" s="10" t="n">
        <f aca="false">'Data BoP'!S70</f>
        <v>447.997789041527</v>
      </c>
      <c r="R70" s="10" t="n">
        <f aca="false">'Data BoP'!T70</f>
        <v>34.2446063857351</v>
      </c>
      <c r="T70" s="14" t="str">
        <f aca="false">'Data BoP'!B70</f>
        <v>2022-Q1</v>
      </c>
      <c r="U70" s="15" t="n">
        <f aca="false">('Data BoP'!E67)+('Data BoP'!E68)+('Data BoP'!E69)+('Data BoP'!E70)</f>
        <v>4986.75848802318</v>
      </c>
      <c r="V70" s="10" t="n">
        <f aca="false">('Data BoP'!G67)+('Data BoP'!G68)+('Data BoP'!G69)+('Data BoP'!G70)</f>
        <v>18232.0491553902</v>
      </c>
      <c r="W70" s="10" t="n">
        <f aca="false">('Data BoP'!H67)+('Data BoP'!H68)+('Data BoP'!H69)+('Data BoP'!H70)</f>
        <v>82103.5750083899</v>
      </c>
      <c r="X70" s="10" t="n">
        <f aca="false">('Data BoP'!I67)+('Data BoP'!I68)+('Data BoP'!I69)+('Data BoP'!I70)</f>
        <v>63871.5258529997</v>
      </c>
      <c r="Y70" s="10" t="n">
        <f aca="false">('Data BoP'!J67)+('Data BoP'!J68)+('Data BoP'!J69)+('Data BoP'!J70)</f>
        <v>-4939.1789625855</v>
      </c>
      <c r="Z70" s="10" t="n">
        <f aca="false">('Data BoP'!K67)+('Data BoP'!K68)+('Data BoP'!K69)+('Data BoP'!K70)</f>
        <v>10748.1418819573</v>
      </c>
      <c r="AA70" s="10" t="n">
        <f aca="false">('Data BoP'!L67)+('Data BoP'!L68)+('Data BoP'!L69)+('Data BoP'!L70)</f>
        <v>15687.3208445428</v>
      </c>
      <c r="AB70" s="10" t="n">
        <f aca="false">('Data BoP'!M67)+('Data BoP'!M68)+('Data BoP'!M69)+('Data BoP'!M70)</f>
        <v>-9840.09851906912</v>
      </c>
      <c r="AC70" s="10" t="n">
        <f aca="false">('Data BoP'!N67)+('Data BoP'!N68)+('Data BoP'!N69)+('Data BoP'!N70)</f>
        <v>-114.529311260829</v>
      </c>
      <c r="AD70" s="10" t="n">
        <f aca="false">('Data BoP'!O67)+('Data BoP'!O68)+('Data BoP'!O69)+('Data BoP'!O70)</f>
        <v>-9725.56920780829</v>
      </c>
      <c r="AE70" s="10" t="n">
        <f aca="false">('Data BoP'!P67)+('Data BoP'!P68)+('Data BoP'!P69)+('Data BoP'!P70)</f>
        <v>-5121.76757943634</v>
      </c>
      <c r="AF70" s="10" t="n">
        <f aca="false">('Data BoP'!Q67)+('Data BoP'!Q68)+('Data BoP'!Q69)+('Data BoP'!Q70)</f>
        <v>-1397.48176163742</v>
      </c>
      <c r="AG70" s="10" t="n">
        <f aca="false">('Data BoP'!R67)+('Data BoP'!R68)+('Data BoP'!R69)+('Data BoP'!R70)</f>
        <v>-3212.9925542773</v>
      </c>
      <c r="AH70" s="10" t="n">
        <f aca="false">('Data BoP'!AO67)+('Data BoP'!AO68)+('Data BoP'!AO69)+('Data BoP'!AO70)</f>
        <v>6.67268754276722</v>
      </c>
      <c r="AI70" s="10" t="n">
        <f aca="false">('Data BoP'!S67)+('Data BoP'!S68)+('Data BoP'!S69)+('Data BoP'!S70)</f>
        <v>1533.98681428759</v>
      </c>
      <c r="AJ70" s="10" t="n">
        <f aca="false">('Data BoP'!T67)+('Data BoP'!T68)+('Data BoP'!T69)+('Data BoP'!T70)</f>
        <v>241.455121341612</v>
      </c>
    </row>
    <row r="71" customFormat="false" ht="15" hidden="false" customHeight="false" outlineLevel="0" collapsed="false">
      <c r="B71" s="14" t="str">
        <f aca="false">'Data BoP'!B71</f>
        <v>2022-Q2</v>
      </c>
      <c r="C71" s="15" t="n">
        <f aca="false">'Data BoP'!E71</f>
        <v>-952.683766963778</v>
      </c>
      <c r="D71" s="10" t="n">
        <f aca="false">'Data BoP'!G71</f>
        <v>3213.9874063101</v>
      </c>
      <c r="E71" s="10" t="n">
        <f aca="false">'Data BoP'!H71</f>
        <v>25201.1817741101</v>
      </c>
      <c r="F71" s="10" t="n">
        <f aca="false">'Data BoP'!I71</f>
        <v>21987.1943678</v>
      </c>
      <c r="G71" s="10" t="n">
        <f aca="false">'Data BoP'!J71</f>
        <v>-1781.08309999568</v>
      </c>
      <c r="H71" s="10" t="n">
        <f aca="false">'Data BoP'!K71</f>
        <v>3374.61116034377</v>
      </c>
      <c r="I71" s="10" t="n">
        <f aca="false">'Data BoP'!L71</f>
        <v>5155.69426033945</v>
      </c>
      <c r="J71" s="10" t="n">
        <f aca="false">'Data BoP'!M71</f>
        <v>-2972.28178095411</v>
      </c>
      <c r="K71" s="10" t="n">
        <f aca="false">'Data BoP'!N71</f>
        <v>-21.8936361541849</v>
      </c>
      <c r="L71" s="10" t="n">
        <f aca="false">'Data BoP'!O71</f>
        <v>-2950.38814479993</v>
      </c>
      <c r="M71" s="10" t="n">
        <f aca="false">'Data BoP'!P71</f>
        <v>-1582.5188484833</v>
      </c>
      <c r="N71" s="10" t="n">
        <f aca="false">'Data BoP'!Q71</f>
        <v>-635.576709943846</v>
      </c>
      <c r="O71" s="10" t="n">
        <f aca="false">'Data BoP'!R71</f>
        <v>-753.018134458373</v>
      </c>
      <c r="P71" s="10" t="n">
        <f aca="false">'Data BoP'!AO71</f>
        <v>20.7255480855897</v>
      </c>
      <c r="Q71" s="10" t="n">
        <f aca="false">'Data BoP'!S71</f>
        <v>586.693707675911</v>
      </c>
      <c r="R71" s="10" t="n">
        <f aca="false">'Data BoP'!T71</f>
        <v>26.9094900999956</v>
      </c>
      <c r="T71" s="14" t="str">
        <f aca="false">'Data BoP'!B71</f>
        <v>2022-Q2</v>
      </c>
      <c r="U71" s="15" t="n">
        <f aca="false">('Data BoP'!E68)+('Data BoP'!E69)+('Data BoP'!E70)+('Data BoP'!E71)</f>
        <v>1487.3739226203</v>
      </c>
      <c r="V71" s="10" t="n">
        <f aca="false">('Data BoP'!G68)+('Data BoP'!G69)+('Data BoP'!G70)+('Data BoP'!G71)</f>
        <v>16277.8951105102</v>
      </c>
      <c r="W71" s="10" t="n">
        <f aca="false">('Data BoP'!H68)+('Data BoP'!H69)+('Data BoP'!H70)+('Data BoP'!H71)</f>
        <v>87324.26820307</v>
      </c>
      <c r="X71" s="10" t="n">
        <f aca="false">('Data BoP'!I68)+('Data BoP'!I69)+('Data BoP'!I70)+('Data BoP'!I71)</f>
        <v>71046.3730925598</v>
      </c>
      <c r="Y71" s="10" t="n">
        <f aca="false">('Data BoP'!J68)+('Data BoP'!J69)+('Data BoP'!J70)+('Data BoP'!J71)</f>
        <v>-6079.59899849368</v>
      </c>
      <c r="Z71" s="10" t="n">
        <f aca="false">('Data BoP'!K68)+('Data BoP'!K69)+('Data BoP'!K70)+('Data BoP'!K71)</f>
        <v>11877.9878014099</v>
      </c>
      <c r="AA71" s="10" t="n">
        <f aca="false">('Data BoP'!L68)+('Data BoP'!L69)+('Data BoP'!L70)+('Data BoP'!L71)</f>
        <v>17957.5867999036</v>
      </c>
      <c r="AB71" s="10" t="n">
        <f aca="false">('Data BoP'!M68)+('Data BoP'!M69)+('Data BoP'!M70)+('Data BoP'!M71)</f>
        <v>-10398.2161480382</v>
      </c>
      <c r="AC71" s="10" t="n">
        <f aca="false">('Data BoP'!N68)+('Data BoP'!N69)+('Data BoP'!N70)+('Data BoP'!N71)</f>
        <v>-103.692798572562</v>
      </c>
      <c r="AD71" s="10" t="n">
        <f aca="false">('Data BoP'!O68)+('Data BoP'!O69)+('Data BoP'!O70)+('Data BoP'!O71)</f>
        <v>-10294.5233494657</v>
      </c>
      <c r="AE71" s="10" t="n">
        <f aca="false">('Data BoP'!P68)+('Data BoP'!P69)+('Data BoP'!P70)+('Data BoP'!P71)</f>
        <v>-5531.55498511629</v>
      </c>
      <c r="AF71" s="10" t="n">
        <f aca="false">('Data BoP'!Q68)+('Data BoP'!Q69)+('Data BoP'!Q70)+('Data BoP'!Q71)</f>
        <v>-1683.9015873711</v>
      </c>
      <c r="AG71" s="10" t="n">
        <f aca="false">('Data BoP'!R68)+('Data BoP'!R69)+('Data BoP'!R70)+('Data BoP'!R71)</f>
        <v>-3104.75110307223</v>
      </c>
      <c r="AH71" s="10" t="n">
        <f aca="false">('Data BoP'!AO68)+('Data BoP'!AO69)+('Data BoP'!AO70)+('Data BoP'!AO71)</f>
        <v>25.6843260939359</v>
      </c>
      <c r="AI71" s="10" t="n">
        <f aca="false">('Data BoP'!S68)+('Data BoP'!S69)+('Data BoP'!S70)+('Data BoP'!S71)</f>
        <v>1687.29395864203</v>
      </c>
      <c r="AJ71" s="10" t="n">
        <f aca="false">('Data BoP'!T68)+('Data BoP'!T69)+('Data BoP'!T70)+('Data BoP'!T71)</f>
        <v>174.462322044904</v>
      </c>
    </row>
    <row r="72" customFormat="false" ht="15" hidden="false" customHeight="false" outlineLevel="0" collapsed="false">
      <c r="B72" s="14" t="str">
        <f aca="false">'Data BoP'!B72</f>
        <v>2022-Q3</v>
      </c>
      <c r="C72" s="15" t="n">
        <f aca="false">'Data BoP'!E72</f>
        <v>-3605.72341891311</v>
      </c>
      <c r="D72" s="10" t="n">
        <f aca="false">'Data BoP'!G72</f>
        <v>925.040538990001</v>
      </c>
      <c r="E72" s="10" t="n">
        <f aca="false">'Data BoP'!H72</f>
        <v>22748.96328165</v>
      </c>
      <c r="F72" s="10" t="n">
        <f aca="false">'Data BoP'!I72</f>
        <v>21823.92274266</v>
      </c>
      <c r="G72" s="10" t="n">
        <f aca="false">'Data BoP'!J72</f>
        <v>-1987.7667809313</v>
      </c>
      <c r="H72" s="10" t="n">
        <f aca="false">'Data BoP'!K72</f>
        <v>3733.26985008941</v>
      </c>
      <c r="I72" s="10" t="n">
        <f aca="false">'Data BoP'!L72</f>
        <v>5721.03663102072</v>
      </c>
      <c r="J72" s="10" t="n">
        <f aca="false">'Data BoP'!M72</f>
        <v>-2969.10987110898</v>
      </c>
      <c r="K72" s="10" t="n">
        <f aca="false">'Data BoP'!N72</f>
        <v>-27.2513507737929</v>
      </c>
      <c r="L72" s="10" t="n">
        <f aca="false">'Data BoP'!O72</f>
        <v>-2941.85852033519</v>
      </c>
      <c r="M72" s="10" t="n">
        <f aca="false">'Data BoP'!P72</f>
        <v>-1386.71330308643</v>
      </c>
      <c r="N72" s="10" t="n">
        <f aca="false">'Data BoP'!Q72</f>
        <v>-640.091586851123</v>
      </c>
      <c r="O72" s="10" t="n">
        <f aca="false">'Data BoP'!R72</f>
        <v>-965.299312257876</v>
      </c>
      <c r="P72" s="10" t="n">
        <f aca="false">'Data BoP'!AO72</f>
        <v>50.2456818602454</v>
      </c>
      <c r="Q72" s="10" t="n">
        <f aca="false">'Data BoP'!S72</f>
        <v>426.112694137169</v>
      </c>
      <c r="R72" s="10" t="n">
        <f aca="false">'Data BoP'!T72</f>
        <v>81.2759223095407</v>
      </c>
      <c r="T72" s="14" t="str">
        <f aca="false">'Data BoP'!B72</f>
        <v>2022-Q3</v>
      </c>
      <c r="U72" s="15" t="n">
        <f aca="false">('Data BoP'!E69)+('Data BoP'!E70)+('Data BoP'!E71)+('Data BoP'!E72)</f>
        <v>-5466.91783994029</v>
      </c>
      <c r="V72" s="10" t="n">
        <f aca="false">('Data BoP'!G69)+('Data BoP'!G70)+('Data BoP'!G71)+('Data BoP'!G72)</f>
        <v>10543.7468121001</v>
      </c>
      <c r="W72" s="10" t="n">
        <f aca="false">('Data BoP'!H69)+('Data BoP'!H70)+('Data BoP'!H71)+('Data BoP'!H72)</f>
        <v>87137.44198888</v>
      </c>
      <c r="X72" s="10" t="n">
        <f aca="false">('Data BoP'!I69)+('Data BoP'!I70)+('Data BoP'!I71)+('Data BoP'!I72)</f>
        <v>76593.6951767799</v>
      </c>
      <c r="Y72" s="10" t="n">
        <f aca="false">('Data BoP'!J69)+('Data BoP'!J70)+('Data BoP'!J71)+('Data BoP'!J72)</f>
        <v>-7039.1596317882</v>
      </c>
      <c r="Z72" s="10" t="n">
        <f aca="false">('Data BoP'!K69)+('Data BoP'!K70)+('Data BoP'!K71)+('Data BoP'!K72)</f>
        <v>13194.9736616856</v>
      </c>
      <c r="AA72" s="10" t="n">
        <f aca="false">('Data BoP'!L69)+('Data BoP'!L70)+('Data BoP'!L71)+('Data BoP'!L72)</f>
        <v>20234.1332934738</v>
      </c>
      <c r="AB72" s="10" t="n">
        <f aca="false">('Data BoP'!M69)+('Data BoP'!M70)+('Data BoP'!M71)+('Data BoP'!M72)</f>
        <v>-10760.7525115382</v>
      </c>
      <c r="AC72" s="10" t="n">
        <f aca="false">('Data BoP'!N69)+('Data BoP'!N70)+('Data BoP'!N71)+('Data BoP'!N72)</f>
        <v>-103.310582056805</v>
      </c>
      <c r="AD72" s="10" t="n">
        <f aca="false">('Data BoP'!O69)+('Data BoP'!O70)+('Data BoP'!O71)+('Data BoP'!O72)</f>
        <v>-10657.4419294814</v>
      </c>
      <c r="AE72" s="10" t="n">
        <f aca="false">('Data BoP'!P69)+('Data BoP'!P70)+('Data BoP'!P71)+('Data BoP'!P72)</f>
        <v>-5447.0481712056</v>
      </c>
      <c r="AF72" s="10" t="n">
        <f aca="false">('Data BoP'!Q69)+('Data BoP'!Q70)+('Data BoP'!Q71)+('Data BoP'!Q72)</f>
        <v>-2051.35458698951</v>
      </c>
      <c r="AG72" s="10" t="n">
        <f aca="false">('Data BoP'!R69)+('Data BoP'!R70)+('Data BoP'!R71)+('Data BoP'!R72)</f>
        <v>-3233.92451247768</v>
      </c>
      <c r="AH72" s="10" t="n">
        <f aca="false">('Data BoP'!AO69)+('Data BoP'!AO70)+('Data BoP'!AO71)+('Data BoP'!AO72)</f>
        <v>74.8853411913756</v>
      </c>
      <c r="AI72" s="10" t="n">
        <f aca="false">('Data BoP'!S69)+('Data BoP'!S70)+('Data BoP'!S71)+('Data BoP'!S72)</f>
        <v>1789.24749128604</v>
      </c>
      <c r="AJ72" s="10" t="n">
        <f aca="false">('Data BoP'!T69)+('Data BoP'!T70)+('Data BoP'!T71)+('Data BoP'!T72)</f>
        <v>185.471002612017</v>
      </c>
    </row>
    <row r="73" customFormat="false" ht="15" hidden="false" customHeight="false" outlineLevel="0" collapsed="false">
      <c r="B73" s="14" t="str">
        <f aca="false">'Data BoP'!B73</f>
        <v>2022-Q4</v>
      </c>
      <c r="C73" s="15" t="n">
        <f aca="false">'Data BoP'!E73</f>
        <v>1836.9370481486</v>
      </c>
      <c r="D73" s="10" t="n">
        <f aca="false">'Data BoP'!G73</f>
        <v>5499.8539686399</v>
      </c>
      <c r="E73" s="10" t="n">
        <f aca="false">'Data BoP'!H73</f>
        <v>21288.25257454</v>
      </c>
      <c r="F73" s="10" t="n">
        <f aca="false">'Data BoP'!I73</f>
        <v>15788.3986059001</v>
      </c>
      <c r="G73" s="10" t="n">
        <f aca="false">'Data BoP'!J73</f>
        <v>-1108.39444591344</v>
      </c>
      <c r="H73" s="10" t="n">
        <f aca="false">'Data BoP'!K73</f>
        <v>4166.74891556592</v>
      </c>
      <c r="I73" s="10" t="n">
        <f aca="false">'Data BoP'!L73</f>
        <v>5275.14336147936</v>
      </c>
      <c r="J73" s="10" t="n">
        <f aca="false">'Data BoP'!M73</f>
        <v>-3064.50028405988</v>
      </c>
      <c r="K73" s="10" t="n">
        <f aca="false">'Data BoP'!N73</f>
        <v>-22.3764636350781</v>
      </c>
      <c r="L73" s="10" t="n">
        <f aca="false">'Data BoP'!O73</f>
        <v>-3042.12382042481</v>
      </c>
      <c r="M73" s="10" t="n">
        <f aca="false">'Data BoP'!P73</f>
        <v>-1775.26523627919</v>
      </c>
      <c r="N73" s="10" t="n">
        <f aca="false">'Data BoP'!Q73</f>
        <v>-405.645666400026</v>
      </c>
      <c r="O73" s="10" t="n">
        <f aca="false">'Data BoP'!R73</f>
        <v>-953.409485098512</v>
      </c>
      <c r="P73" s="10" t="n">
        <f aca="false">'Data BoP'!AO73</f>
        <v>92.196567352923</v>
      </c>
      <c r="Q73" s="10" t="n">
        <f aca="false">'Data BoP'!S73</f>
        <v>509.97780948202</v>
      </c>
      <c r="R73" s="10" t="n">
        <f aca="false">'Data BoP'!T73</f>
        <v>49.0845123734765</v>
      </c>
      <c r="T73" s="14" t="str">
        <f aca="false">'Data BoP'!B73</f>
        <v>2022-Q4</v>
      </c>
      <c r="U73" s="15" t="n">
        <f aca="false">('Data BoP'!E70)+('Data BoP'!E71)+('Data BoP'!E72)+('Data BoP'!E73)</f>
        <v>-3964.07491528094</v>
      </c>
      <c r="V73" s="10" t="n">
        <f aca="false">('Data BoP'!G70)+('Data BoP'!G71)+('Data BoP'!G72)+('Data BoP'!G73)</f>
        <v>12416.5544162899</v>
      </c>
      <c r="W73" s="10" t="n">
        <f aca="false">('Data BoP'!H70)+('Data BoP'!H71)+('Data BoP'!H72)+('Data BoP'!H73)</f>
        <v>88771.17854249</v>
      </c>
      <c r="X73" s="10" t="n">
        <f aca="false">('Data BoP'!I70)+('Data BoP'!I71)+('Data BoP'!I72)+('Data BoP'!I73)</f>
        <v>76354.6241262001</v>
      </c>
      <c r="Y73" s="10" t="n">
        <f aca="false">('Data BoP'!J70)+('Data BoP'!J71)+('Data BoP'!J72)+('Data BoP'!J73)</f>
        <v>-6774.85809437849</v>
      </c>
      <c r="Z73" s="10" t="n">
        <f aca="false">('Data BoP'!K70)+('Data BoP'!K71)+('Data BoP'!K72)+('Data BoP'!K73)</f>
        <v>14415.8636222604</v>
      </c>
      <c r="AA73" s="10" t="n">
        <f aca="false">('Data BoP'!L70)+('Data BoP'!L71)+('Data BoP'!L72)+('Data BoP'!L73)</f>
        <v>21190.7217166389</v>
      </c>
      <c r="AB73" s="10" t="n">
        <f aca="false">('Data BoP'!M70)+('Data BoP'!M71)+('Data BoP'!M72)+('Data BoP'!M73)</f>
        <v>-11576.553237529</v>
      </c>
      <c r="AC73" s="10" t="n">
        <f aca="false">('Data BoP'!N70)+('Data BoP'!N71)+('Data BoP'!N72)+('Data BoP'!N73)</f>
        <v>-94.5587894548758</v>
      </c>
      <c r="AD73" s="10" t="n">
        <f aca="false">('Data BoP'!O70)+('Data BoP'!O71)+('Data BoP'!O72)+('Data BoP'!O73)</f>
        <v>-11481.9944480741</v>
      </c>
      <c r="AE73" s="10" t="n">
        <f aca="false">('Data BoP'!P70)+('Data BoP'!P71)+('Data BoP'!P72)+('Data BoP'!P73)</f>
        <v>-6118.45789078894</v>
      </c>
      <c r="AF73" s="10" t="n">
        <f aca="false">('Data BoP'!Q70)+('Data BoP'!Q71)+('Data BoP'!Q72)+('Data BoP'!Q73)</f>
        <v>-2063.71998631203</v>
      </c>
      <c r="AG73" s="10" t="n">
        <f aca="false">('Data BoP'!R70)+('Data BoP'!R71)+('Data BoP'!R72)+('Data BoP'!R73)</f>
        <v>-3465.43136827189</v>
      </c>
      <c r="AH73" s="10" t="n">
        <f aca="false">('Data BoP'!AO70)+('Data BoP'!AO71)+('Data BoP'!AO72)+('Data BoP'!AO73)</f>
        <v>165.614797298758</v>
      </c>
      <c r="AI73" s="10" t="n">
        <f aca="false">('Data BoP'!S70)+('Data BoP'!S71)+('Data BoP'!S72)+('Data BoP'!S73)</f>
        <v>1970.78200033663</v>
      </c>
      <c r="AJ73" s="10" t="n">
        <f aca="false">('Data BoP'!T70)+('Data BoP'!T71)+('Data BoP'!T72)+('Data BoP'!T73)</f>
        <v>191.514531168748</v>
      </c>
    </row>
    <row r="74" customFormat="false" ht="15" hidden="false" customHeight="false" outlineLevel="0" collapsed="false">
      <c r="B74" s="14" t="str">
        <f aca="false">'Data BoP'!B74</f>
        <v>2023-Q1</v>
      </c>
      <c r="C74" s="15" t="n">
        <f aca="false">'Data BoP'!E74</f>
        <v>-5874.43980067068</v>
      </c>
      <c r="D74" s="10" t="n">
        <f aca="false">'Data BoP'!G74</f>
        <v>-311.805934439999</v>
      </c>
      <c r="E74" s="10" t="n">
        <f aca="false">'Data BoP'!H74</f>
        <v>15947.5593254001</v>
      </c>
      <c r="F74" s="10" t="n">
        <f aca="false">'Data BoP'!I74</f>
        <v>16259.3652598401</v>
      </c>
      <c r="G74" s="10" t="n">
        <f aca="false">'Data BoP'!J74</f>
        <v>-2317.02300984208</v>
      </c>
      <c r="H74" s="10" t="n">
        <f aca="false">'Data BoP'!K74</f>
        <v>4176.79388293553</v>
      </c>
      <c r="I74" s="10" t="n">
        <f aca="false">'Data BoP'!L74</f>
        <v>6493.81689277761</v>
      </c>
      <c r="J74" s="10" t="n">
        <f aca="false">'Data BoP'!M74</f>
        <v>-3718.6080750023</v>
      </c>
      <c r="K74" s="10" t="n">
        <f aca="false">'Data BoP'!N74</f>
        <v>-32.3758389661379</v>
      </c>
      <c r="L74" s="10" t="n">
        <f aca="false">'Data BoP'!O74</f>
        <v>-3686.23223603616</v>
      </c>
      <c r="M74" s="10" t="n">
        <f aca="false">'Data BoP'!P74</f>
        <v>-2384.22754642012</v>
      </c>
      <c r="N74" s="10" t="n">
        <f aca="false">'Data BoP'!Q74</f>
        <v>-441.629960165416</v>
      </c>
      <c r="O74" s="10" t="n">
        <f aca="false">'Data BoP'!R74</f>
        <v>-977.056764873973</v>
      </c>
      <c r="P74" s="10" t="n">
        <f aca="false">'Data BoP'!AO74</f>
        <v>116.682035423347</v>
      </c>
      <c r="Q74" s="10" t="n">
        <f aca="false">'Data BoP'!S74</f>
        <v>472.99721861369</v>
      </c>
      <c r="R74" s="10" t="n">
        <f aca="false">'Data BoP'!T74</f>
        <v>26.6863210659455</v>
      </c>
      <c r="T74" s="14" t="str">
        <f aca="false">'Data BoP'!B74</f>
        <v>2023-Q1</v>
      </c>
      <c r="U74" s="15" t="n">
        <f aca="false">('Data BoP'!E71)+('Data BoP'!E72)+('Data BoP'!E73)+('Data BoP'!E74)</f>
        <v>-8595.90993839898</v>
      </c>
      <c r="V74" s="10" t="n">
        <f aca="false">('Data BoP'!G71)+('Data BoP'!G72)+('Data BoP'!G73)+('Data BoP'!G74)</f>
        <v>9327.0759795</v>
      </c>
      <c r="W74" s="10" t="n">
        <f aca="false">('Data BoP'!H71)+('Data BoP'!H72)+('Data BoP'!H73)+('Data BoP'!H74)</f>
        <v>85185.9569557002</v>
      </c>
      <c r="X74" s="10" t="n">
        <f aca="false">('Data BoP'!I71)+('Data BoP'!I72)+('Data BoP'!I73)+('Data BoP'!I74)</f>
        <v>75858.8809762002</v>
      </c>
      <c r="Y74" s="10" t="n">
        <f aca="false">('Data BoP'!J71)+('Data BoP'!J72)+('Data BoP'!J73)+('Data BoP'!J74)</f>
        <v>-7194.26733668249</v>
      </c>
      <c r="Z74" s="10" t="n">
        <f aca="false">('Data BoP'!K71)+('Data BoP'!K72)+('Data BoP'!K73)+('Data BoP'!K74)</f>
        <v>15451.4238089346</v>
      </c>
      <c r="AA74" s="10" t="n">
        <f aca="false">('Data BoP'!L71)+('Data BoP'!L72)+('Data BoP'!L73)+('Data BoP'!L74)</f>
        <v>22645.6911456171</v>
      </c>
      <c r="AB74" s="10" t="n">
        <f aca="false">('Data BoP'!M71)+('Data BoP'!M72)+('Data BoP'!M73)+('Data BoP'!M74)</f>
        <v>-12724.5000111253</v>
      </c>
      <c r="AC74" s="10" t="n">
        <f aca="false">('Data BoP'!N71)+('Data BoP'!N72)+('Data BoP'!N73)+('Data BoP'!N74)</f>
        <v>-103.897289529194</v>
      </c>
      <c r="AD74" s="10" t="n">
        <f aca="false">('Data BoP'!O71)+('Data BoP'!O72)+('Data BoP'!O73)+('Data BoP'!O74)</f>
        <v>-12620.6027215961</v>
      </c>
      <c r="AE74" s="10" t="n">
        <f aca="false">('Data BoP'!P71)+('Data BoP'!P72)+('Data BoP'!P73)+('Data BoP'!P74)</f>
        <v>-7128.72493426905</v>
      </c>
      <c r="AF74" s="10" t="n">
        <f aca="false">('Data BoP'!Q71)+('Data BoP'!Q72)+('Data BoP'!Q73)+('Data BoP'!Q74)</f>
        <v>-2122.94392336041</v>
      </c>
      <c r="AG74" s="10" t="n">
        <f aca="false">('Data BoP'!R71)+('Data BoP'!R72)+('Data BoP'!R73)+('Data BoP'!R74)</f>
        <v>-3648.78369668873</v>
      </c>
      <c r="AH74" s="10" t="n">
        <f aca="false">('Data BoP'!AO71)+('Data BoP'!AO72)+('Data BoP'!AO73)+('Data BoP'!AO74)</f>
        <v>279.849832722105</v>
      </c>
      <c r="AI74" s="10" t="n">
        <f aca="false">('Data BoP'!S71)+('Data BoP'!S72)+('Data BoP'!S73)+('Data BoP'!S74)</f>
        <v>1995.78142990879</v>
      </c>
      <c r="AJ74" s="10" t="n">
        <f aca="false">('Data BoP'!T71)+('Data BoP'!T72)+('Data BoP'!T73)+('Data BoP'!T74)</f>
        <v>183.956245848958</v>
      </c>
    </row>
    <row r="75" customFormat="false" ht="15" hidden="false" customHeight="false" outlineLevel="0" collapsed="false">
      <c r="B75" s="14" t="str">
        <f aca="false">'Data BoP'!B75</f>
        <v>2023-Q2</v>
      </c>
      <c r="C75" s="15" t="n">
        <f aca="false">'Data BoP'!E75</f>
        <v>-6820.2465632087</v>
      </c>
      <c r="D75" s="10" t="n">
        <f aca="false">'Data BoP'!G75</f>
        <v>-2099.1910022898</v>
      </c>
      <c r="E75" s="10" t="n">
        <f aca="false">'Data BoP'!H75</f>
        <v>17546.87040072</v>
      </c>
      <c r="F75" s="10" t="n">
        <f aca="false">'Data BoP'!I75</f>
        <v>19646.0614030098</v>
      </c>
      <c r="G75" s="10" t="n">
        <f aca="false">'Data BoP'!J75</f>
        <v>-1546.08687278664</v>
      </c>
      <c r="H75" s="10" t="n">
        <f aca="false">'Data BoP'!K75</f>
        <v>3855.30333176018</v>
      </c>
      <c r="I75" s="10" t="n">
        <f aca="false">'Data BoP'!L75</f>
        <v>5401.39020454683</v>
      </c>
      <c r="J75" s="10" t="n">
        <f aca="false">'Data BoP'!M75</f>
        <v>-3807.93431796369</v>
      </c>
      <c r="K75" s="10" t="n">
        <f aca="false">'Data BoP'!N75</f>
        <v>-35.5938974004626</v>
      </c>
      <c r="L75" s="10" t="n">
        <f aca="false">'Data BoP'!O75</f>
        <v>-3772.34042056322</v>
      </c>
      <c r="M75" s="10" t="n">
        <f aca="false">'Data BoP'!P75</f>
        <v>-1975.62392873949</v>
      </c>
      <c r="N75" s="10" t="n">
        <f aca="false">'Data BoP'!Q75</f>
        <v>-743.400377783464</v>
      </c>
      <c r="O75" s="10" t="n">
        <f aca="false">'Data BoP'!R75</f>
        <v>-1160.49982073144</v>
      </c>
      <c r="P75" s="10" t="n">
        <f aca="false">'Data BoP'!AO75</f>
        <v>107.183706691172</v>
      </c>
      <c r="Q75" s="10" t="n">
        <f aca="false">'Data BoP'!S75</f>
        <v>632.965629831431</v>
      </c>
      <c r="R75" s="10" t="n">
        <f aca="false">'Data BoP'!T75</f>
        <v>48.7875958534147</v>
      </c>
      <c r="T75" s="14" t="str">
        <f aca="false">'Data BoP'!B75</f>
        <v>2023-Q2</v>
      </c>
      <c r="U75" s="15" t="n">
        <f aca="false">('Data BoP'!E72)+('Data BoP'!E73)+('Data BoP'!E74)+('Data BoP'!E75)</f>
        <v>-14463.4727346439</v>
      </c>
      <c r="V75" s="10" t="n">
        <f aca="false">('Data BoP'!G72)+('Data BoP'!G73)+('Data BoP'!G74)+('Data BoP'!G75)</f>
        <v>4013.8975709001</v>
      </c>
      <c r="W75" s="10" t="n">
        <f aca="false">('Data BoP'!H72)+('Data BoP'!H73)+('Data BoP'!H74)+('Data BoP'!H75)</f>
        <v>77531.6455823101</v>
      </c>
      <c r="X75" s="10" t="n">
        <f aca="false">('Data BoP'!I72)+('Data BoP'!I73)+('Data BoP'!I74)+('Data BoP'!I75)</f>
        <v>73517.74801141</v>
      </c>
      <c r="Y75" s="10" t="n">
        <f aca="false">('Data BoP'!J72)+('Data BoP'!J73)+('Data BoP'!J74)+('Data BoP'!J75)</f>
        <v>-6959.27110947346</v>
      </c>
      <c r="Z75" s="10" t="n">
        <f aca="false">('Data BoP'!K72)+('Data BoP'!K73)+('Data BoP'!K74)+('Data BoP'!K75)</f>
        <v>15932.115980351</v>
      </c>
      <c r="AA75" s="10" t="n">
        <f aca="false">('Data BoP'!L72)+('Data BoP'!L73)+('Data BoP'!L74)+('Data BoP'!L75)</f>
        <v>22891.3870898245</v>
      </c>
      <c r="AB75" s="10" t="n">
        <f aca="false">('Data BoP'!M72)+('Data BoP'!M73)+('Data BoP'!M74)+('Data BoP'!M75)</f>
        <v>-13560.1525481348</v>
      </c>
      <c r="AC75" s="10" t="n">
        <f aca="false">('Data BoP'!N72)+('Data BoP'!N73)+('Data BoP'!N74)+('Data BoP'!N75)</f>
        <v>-117.597550775472</v>
      </c>
      <c r="AD75" s="10" t="n">
        <f aca="false">('Data BoP'!O72)+('Data BoP'!O73)+('Data BoP'!O74)+('Data BoP'!O75)</f>
        <v>-13442.5549973594</v>
      </c>
      <c r="AE75" s="10" t="n">
        <f aca="false">('Data BoP'!P72)+('Data BoP'!P73)+('Data BoP'!P74)+('Data BoP'!P75)</f>
        <v>-7521.83001452524</v>
      </c>
      <c r="AF75" s="10" t="n">
        <f aca="false">('Data BoP'!Q72)+('Data BoP'!Q73)+('Data BoP'!Q74)+('Data BoP'!Q75)</f>
        <v>-2230.76759120003</v>
      </c>
      <c r="AG75" s="10" t="n">
        <f aca="false">('Data BoP'!R72)+('Data BoP'!R73)+('Data BoP'!R74)+('Data BoP'!R75)</f>
        <v>-4056.2653829618</v>
      </c>
      <c r="AH75" s="10" t="n">
        <f aca="false">('Data BoP'!AO72)+('Data BoP'!AO73)+('Data BoP'!AO74)+('Data BoP'!AO75)</f>
        <v>366.307991327687</v>
      </c>
      <c r="AI75" s="10" t="n">
        <f aca="false">('Data BoP'!S72)+('Data BoP'!S73)+('Data BoP'!S74)+('Data BoP'!S75)</f>
        <v>2042.05335206431</v>
      </c>
      <c r="AJ75" s="10" t="n">
        <f aca="false">('Data BoP'!T72)+('Data BoP'!T73)+('Data BoP'!T74)+('Data BoP'!T75)</f>
        <v>205.834351602377</v>
      </c>
    </row>
    <row r="76" customFormat="false" ht="15" hidden="false" customHeight="false" outlineLevel="0" collapsed="false">
      <c r="B76" s="14" t="str">
        <f aca="false">'Data BoP'!B76</f>
        <v>2023-Q3</v>
      </c>
      <c r="C76" s="15" t="n">
        <f aca="false">'Data BoP'!E76</f>
        <v>-6401.05851717174</v>
      </c>
      <c r="D76" s="10" t="n">
        <f aca="false">'Data BoP'!G76</f>
        <v>-1283.6592058199</v>
      </c>
      <c r="E76" s="10" t="n">
        <f aca="false">'Data BoP'!H76</f>
        <v>17822.2644442801</v>
      </c>
      <c r="F76" s="10" t="n">
        <f aca="false">'Data BoP'!I76</f>
        <v>19105.9236501</v>
      </c>
      <c r="G76" s="10" t="n">
        <f aca="false">'Data BoP'!J76</f>
        <v>-1638.39767331364</v>
      </c>
      <c r="H76" s="10" t="n">
        <f aca="false">'Data BoP'!K76</f>
        <v>3912.69231011997</v>
      </c>
      <c r="I76" s="10" t="n">
        <f aca="false">'Data BoP'!L76</f>
        <v>5551.08998343361</v>
      </c>
      <c r="J76" s="10" t="n">
        <f aca="false">'Data BoP'!M76</f>
        <v>-3967.12909059605</v>
      </c>
      <c r="K76" s="10" t="n">
        <f aca="false">'Data BoP'!N76</f>
        <v>-28.4796674073821</v>
      </c>
      <c r="L76" s="10" t="n">
        <f aca="false">'Data BoP'!O76</f>
        <v>-3938.64942318867</v>
      </c>
      <c r="M76" s="10" t="n">
        <f aca="false">'Data BoP'!P76</f>
        <v>-2599.03518259267</v>
      </c>
      <c r="N76" s="10" t="n">
        <f aca="false">'Data BoP'!Q76</f>
        <v>-354.577570022506</v>
      </c>
      <c r="O76" s="10" t="n">
        <f aca="false">'Data BoP'!R76</f>
        <v>-1058.48848553156</v>
      </c>
      <c r="P76" s="10" t="n">
        <f aca="false">'Data BoP'!AO76</f>
        <v>73.4518149580596</v>
      </c>
      <c r="Q76" s="10" t="n">
        <f aca="false">'Data BoP'!S76</f>
        <v>488.127452557857</v>
      </c>
      <c r="R76" s="10" t="n">
        <f aca="false">'Data BoP'!T76</f>
        <v>37.6885299974262</v>
      </c>
      <c r="T76" s="14" t="str">
        <f aca="false">'Data BoP'!B76</f>
        <v>2023-Q3</v>
      </c>
      <c r="U76" s="15" t="n">
        <f aca="false">('Data BoP'!E73)+('Data BoP'!E74)+('Data BoP'!E75)+('Data BoP'!E76)</f>
        <v>-17258.8078329025</v>
      </c>
      <c r="V76" s="10" t="n">
        <f aca="false">('Data BoP'!G73)+('Data BoP'!G74)+('Data BoP'!G75)+('Data BoP'!G76)</f>
        <v>1805.1978260902</v>
      </c>
      <c r="W76" s="10" t="n">
        <f aca="false">('Data BoP'!H73)+('Data BoP'!H74)+('Data BoP'!H75)+('Data BoP'!H76)</f>
        <v>72604.9467449402</v>
      </c>
      <c r="X76" s="10" t="n">
        <f aca="false">('Data BoP'!I73)+('Data BoP'!I74)+('Data BoP'!I75)+('Data BoP'!I76)</f>
        <v>70799.74891885</v>
      </c>
      <c r="Y76" s="10" t="n">
        <f aca="false">('Data BoP'!J73)+('Data BoP'!J74)+('Data BoP'!J75)+('Data BoP'!J76)</f>
        <v>-6609.9020018558</v>
      </c>
      <c r="Z76" s="10" t="n">
        <f aca="false">('Data BoP'!K73)+('Data BoP'!K74)+('Data BoP'!K75)+('Data BoP'!K76)</f>
        <v>16111.5384403816</v>
      </c>
      <c r="AA76" s="10" t="n">
        <f aca="false">('Data BoP'!L73)+('Data BoP'!L74)+('Data BoP'!L75)+('Data BoP'!L76)</f>
        <v>22721.4404422374</v>
      </c>
      <c r="AB76" s="10" t="n">
        <f aca="false">('Data BoP'!M73)+('Data BoP'!M74)+('Data BoP'!M75)+('Data BoP'!M76)</f>
        <v>-14558.1717676219</v>
      </c>
      <c r="AC76" s="10" t="n">
        <f aca="false">('Data BoP'!N73)+('Data BoP'!N74)+('Data BoP'!N75)+('Data BoP'!N76)</f>
        <v>-118.825867409061</v>
      </c>
      <c r="AD76" s="10" t="n">
        <f aca="false">('Data BoP'!O73)+('Data BoP'!O74)+('Data BoP'!O75)+('Data BoP'!O76)</f>
        <v>-14439.3459002129</v>
      </c>
      <c r="AE76" s="10" t="n">
        <f aca="false">('Data BoP'!P73)+('Data BoP'!P74)+('Data BoP'!P75)+('Data BoP'!P76)</f>
        <v>-8734.15189403147</v>
      </c>
      <c r="AF76" s="10" t="n">
        <f aca="false">('Data BoP'!Q73)+('Data BoP'!Q74)+('Data BoP'!Q75)+('Data BoP'!Q76)</f>
        <v>-1945.25357437141</v>
      </c>
      <c r="AG76" s="10" t="n">
        <f aca="false">('Data BoP'!R73)+('Data BoP'!R74)+('Data BoP'!R75)+('Data BoP'!R76)</f>
        <v>-4149.45455623548</v>
      </c>
      <c r="AH76" s="10" t="n">
        <f aca="false">('Data BoP'!AO73)+('Data BoP'!AO74)+('Data BoP'!AO75)+('Data BoP'!AO76)</f>
        <v>389.514124425501</v>
      </c>
      <c r="AI76" s="10" t="n">
        <f aca="false">('Data BoP'!S73)+('Data BoP'!S74)+('Data BoP'!S75)+('Data BoP'!S76)</f>
        <v>2104.068110485</v>
      </c>
      <c r="AJ76" s="10" t="n">
        <f aca="false">('Data BoP'!T73)+('Data BoP'!T74)+('Data BoP'!T75)+('Data BoP'!T76)</f>
        <v>162.246959290263</v>
      </c>
    </row>
    <row r="77" customFormat="false" ht="15" hidden="false" customHeight="false" outlineLevel="0" collapsed="false">
      <c r="B77" s="14" t="str">
        <f aca="false">'Data BoP'!B77</f>
        <v>2023-Q4</v>
      </c>
      <c r="C77" s="15" t="n">
        <f aca="false">'Data BoP'!E77</f>
        <v>-3258.94240850965</v>
      </c>
      <c r="D77" s="10" t="n">
        <f aca="false">'Data BoP'!G77</f>
        <v>937.165291164374</v>
      </c>
      <c r="E77" s="10" t="n">
        <f aca="false">'Data BoP'!H77</f>
        <v>15774.9365244444</v>
      </c>
      <c r="F77" s="10" t="n">
        <f aca="false">'Data BoP'!I77</f>
        <v>14837.77123328</v>
      </c>
      <c r="G77" s="10" t="n">
        <f aca="false">'Data BoP'!J77</f>
        <v>-874.672376694012</v>
      </c>
      <c r="H77" s="10" t="n">
        <f aca="false">'Data BoP'!K77</f>
        <v>4375.68794227454</v>
      </c>
      <c r="I77" s="10" t="n">
        <f aca="false">'Data BoP'!L77</f>
        <v>5250.36031896855</v>
      </c>
      <c r="J77" s="10" t="n">
        <f aca="false">'Data BoP'!M77</f>
        <v>-3807.69680083017</v>
      </c>
      <c r="K77" s="10" t="n">
        <f aca="false">'Data BoP'!N77</f>
        <v>-38.3609020839759</v>
      </c>
      <c r="L77" s="10" t="n">
        <f aca="false">'Data BoP'!O77</f>
        <v>-3769.33589874619</v>
      </c>
      <c r="M77" s="10" t="n">
        <f aca="false">'Data BoP'!P77</f>
        <v>-2279.59119075755</v>
      </c>
      <c r="N77" s="10" t="n">
        <f aca="false">'Data BoP'!Q77</f>
        <v>-446.666746769643</v>
      </c>
      <c r="O77" s="10" t="n">
        <f aca="false">'Data BoP'!R77</f>
        <v>-1099.52041231135</v>
      </c>
      <c r="P77" s="10" t="n">
        <f aca="false">'Data BoP'!AO77</f>
        <v>56.4424510923466</v>
      </c>
      <c r="Q77" s="10" t="n">
        <f aca="false">'Data BoP'!S77</f>
        <v>486.261477850156</v>
      </c>
      <c r="R77" s="10" t="n">
        <f aca="false">'Data BoP'!T77</f>
        <v>77.2261043852144</v>
      </c>
      <c r="T77" s="14" t="str">
        <f aca="false">'Data BoP'!B77</f>
        <v>2023-Q4</v>
      </c>
      <c r="U77" s="15" t="n">
        <f aca="false">('Data BoP'!E74)+('Data BoP'!E75)+('Data BoP'!E76)+('Data BoP'!E77)</f>
        <v>-22354.6872895608</v>
      </c>
      <c r="V77" s="10" t="n">
        <f aca="false">('Data BoP'!G74)+('Data BoP'!G75)+('Data BoP'!G76)+('Data BoP'!G77)</f>
        <v>-2757.49085138533</v>
      </c>
      <c r="W77" s="10" t="n">
        <f aca="false">('Data BoP'!H74)+('Data BoP'!H75)+('Data BoP'!H76)+('Data BoP'!H77)</f>
        <v>67091.6306948446</v>
      </c>
      <c r="X77" s="10" t="n">
        <f aca="false">('Data BoP'!I74)+('Data BoP'!I75)+('Data BoP'!I76)+('Data BoP'!I77)</f>
        <v>69849.1215462299</v>
      </c>
      <c r="Y77" s="10" t="n">
        <f aca="false">('Data BoP'!J74)+('Data BoP'!J75)+('Data BoP'!J76)+('Data BoP'!J77)</f>
        <v>-6376.17993263637</v>
      </c>
      <c r="Z77" s="10" t="n">
        <f aca="false">('Data BoP'!K74)+('Data BoP'!K75)+('Data BoP'!K76)+('Data BoP'!K77)</f>
        <v>16320.4774670902</v>
      </c>
      <c r="AA77" s="10" t="n">
        <f aca="false">('Data BoP'!L74)+('Data BoP'!L75)+('Data BoP'!L76)+('Data BoP'!L77)</f>
        <v>22696.6573997266</v>
      </c>
      <c r="AB77" s="10" t="n">
        <f aca="false">('Data BoP'!M74)+('Data BoP'!M75)+('Data BoP'!M76)+('Data BoP'!M77)</f>
        <v>-15301.3682843922</v>
      </c>
      <c r="AC77" s="10" t="n">
        <f aca="false">('Data BoP'!N74)+('Data BoP'!N75)+('Data BoP'!N76)+('Data BoP'!N77)</f>
        <v>-134.810305857959</v>
      </c>
      <c r="AD77" s="10" t="n">
        <f aca="false">('Data BoP'!O74)+('Data BoP'!O75)+('Data BoP'!O76)+('Data BoP'!O77)</f>
        <v>-15166.5579785342</v>
      </c>
      <c r="AE77" s="10" t="n">
        <f aca="false">('Data BoP'!P74)+('Data BoP'!P75)+('Data BoP'!P76)+('Data BoP'!P77)</f>
        <v>-9238.47784850983</v>
      </c>
      <c r="AF77" s="10" t="n">
        <f aca="false">('Data BoP'!Q74)+('Data BoP'!Q75)+('Data BoP'!Q76)+('Data BoP'!Q77)</f>
        <v>-1986.27465474103</v>
      </c>
      <c r="AG77" s="10" t="n">
        <f aca="false">('Data BoP'!R74)+('Data BoP'!R75)+('Data BoP'!R76)+('Data BoP'!R77)</f>
        <v>-4295.56548344832</v>
      </c>
      <c r="AH77" s="10" t="n">
        <f aca="false">('Data BoP'!AO74)+('Data BoP'!AO75)+('Data BoP'!AO76)+('Data BoP'!AO77)</f>
        <v>353.760008164925</v>
      </c>
      <c r="AI77" s="10" t="n">
        <f aca="false">('Data BoP'!S74)+('Data BoP'!S75)+('Data BoP'!S76)+('Data BoP'!S77)</f>
        <v>2080.35177885313</v>
      </c>
      <c r="AJ77" s="10" t="n">
        <f aca="false">('Data BoP'!T74)+('Data BoP'!T75)+('Data BoP'!T76)+('Data BoP'!T77)</f>
        <v>190.388551302001</v>
      </c>
    </row>
    <row r="78" customFormat="false" ht="15" hidden="false" customHeight="false" outlineLevel="0" collapsed="false">
      <c r="B78" s="14" t="str">
        <f aca="false">'Data BoP'!B78</f>
        <v>2024-Q1</v>
      </c>
      <c r="C78" s="15" t="n">
        <f aca="false">'Data BoP'!E78</f>
        <v>57.7768118642192</v>
      </c>
      <c r="D78" s="10" t="n">
        <f aca="false">'Data BoP'!G78</f>
        <v>5069.55471437</v>
      </c>
      <c r="E78" s="10" t="n">
        <f aca="false">'Data BoP'!H78</f>
        <v>17467.9852748</v>
      </c>
      <c r="F78" s="10" t="n">
        <f aca="false">'Data BoP'!I78</f>
        <v>12398.43056043</v>
      </c>
      <c r="G78" s="10" t="n">
        <f aca="false">'Data BoP'!J78</f>
        <v>-1368.0477115516</v>
      </c>
      <c r="H78" s="10" t="n">
        <f aca="false">'Data BoP'!K78</f>
        <v>4139.45294223971</v>
      </c>
      <c r="I78" s="10" t="n">
        <f aca="false">'Data BoP'!L78</f>
        <v>5507.50065379131</v>
      </c>
      <c r="J78" s="10" t="n">
        <f aca="false">'Data BoP'!M78</f>
        <v>-4139.96002843053</v>
      </c>
      <c r="K78" s="10" t="n">
        <f aca="false">'Data BoP'!N78</f>
        <v>-23.5223919411353</v>
      </c>
      <c r="L78" s="10" t="n">
        <f aca="false">'Data BoP'!O78</f>
        <v>-4116.43763648939</v>
      </c>
      <c r="M78" s="10" t="n">
        <f aca="false">'Data BoP'!P78</f>
        <v>-2717.22401535065</v>
      </c>
      <c r="N78" s="10" t="n">
        <f aca="false">'Data BoP'!Q78</f>
        <v>-417.779653718414</v>
      </c>
      <c r="O78" s="10" t="n">
        <f aca="false">'Data BoP'!R78</f>
        <v>-1055.79197755447</v>
      </c>
      <c r="P78" s="10" t="n">
        <f aca="false">'Data BoP'!AO78</f>
        <v>74.3580101341345</v>
      </c>
      <c r="Q78" s="10" t="n">
        <f aca="false">'Data BoP'!S78</f>
        <v>496.229837476345</v>
      </c>
      <c r="R78" s="10" t="n">
        <f aca="false">'Data BoP'!T78</f>
        <v>94.5294554536347</v>
      </c>
      <c r="T78" s="14" t="str">
        <f aca="false">'Data BoP'!B78</f>
        <v>2024-Q1</v>
      </c>
      <c r="U78" s="15" t="n">
        <f aca="false">('Data BoP'!E75)+('Data BoP'!E76)+('Data BoP'!E77)+('Data BoP'!E78)</f>
        <v>-16422.4706770259</v>
      </c>
      <c r="V78" s="10" t="n">
        <f aca="false">('Data BoP'!G75)+('Data BoP'!G76)+('Data BoP'!G77)+('Data BoP'!G78)</f>
        <v>2623.86979742467</v>
      </c>
      <c r="W78" s="10" t="n">
        <f aca="false">('Data BoP'!H75)+('Data BoP'!H76)+('Data BoP'!H77)+('Data BoP'!H78)</f>
        <v>68612.0566442445</v>
      </c>
      <c r="X78" s="10" t="n">
        <f aca="false">('Data BoP'!I75)+('Data BoP'!I76)+('Data BoP'!I77)+('Data BoP'!I78)</f>
        <v>65988.1868468198</v>
      </c>
      <c r="Y78" s="10" t="n">
        <f aca="false">('Data BoP'!J75)+('Data BoP'!J76)+('Data BoP'!J77)+('Data BoP'!J78)</f>
        <v>-5427.20463434589</v>
      </c>
      <c r="Z78" s="10" t="n">
        <f aca="false">('Data BoP'!K75)+('Data BoP'!K76)+('Data BoP'!K77)+('Data BoP'!K78)</f>
        <v>16283.1365263944</v>
      </c>
      <c r="AA78" s="10" t="n">
        <f aca="false">('Data BoP'!L75)+('Data BoP'!L76)+('Data BoP'!L77)+('Data BoP'!L78)</f>
        <v>21710.3411607403</v>
      </c>
      <c r="AB78" s="10" t="n">
        <f aca="false">('Data BoP'!M75)+('Data BoP'!M76)+('Data BoP'!M77)+('Data BoP'!M78)</f>
        <v>-15722.7202378204</v>
      </c>
      <c r="AC78" s="10" t="n">
        <f aca="false">('Data BoP'!N75)+('Data BoP'!N76)+('Data BoP'!N77)+('Data BoP'!N78)</f>
        <v>-125.956858832956</v>
      </c>
      <c r="AD78" s="10" t="n">
        <f aca="false">('Data BoP'!O75)+('Data BoP'!O76)+('Data BoP'!O77)+('Data BoP'!O78)</f>
        <v>-15596.7633789875</v>
      </c>
      <c r="AE78" s="10" t="n">
        <f aca="false">('Data BoP'!P75)+('Data BoP'!P76)+('Data BoP'!P77)+('Data BoP'!P78)</f>
        <v>-9571.47431744035</v>
      </c>
      <c r="AF78" s="10" t="n">
        <f aca="false">('Data BoP'!Q75)+('Data BoP'!Q76)+('Data BoP'!Q77)+('Data BoP'!Q78)</f>
        <v>-1962.42434829403</v>
      </c>
      <c r="AG78" s="10" t="n">
        <f aca="false">('Data BoP'!R75)+('Data BoP'!R76)+('Data BoP'!R77)+('Data BoP'!R78)</f>
        <v>-4374.30069612881</v>
      </c>
      <c r="AH78" s="10" t="n">
        <f aca="false">('Data BoP'!AO75)+('Data BoP'!AO76)+('Data BoP'!AO77)+('Data BoP'!AO78)</f>
        <v>311.435982875712</v>
      </c>
      <c r="AI78" s="10" t="n">
        <f aca="false">('Data BoP'!S75)+('Data BoP'!S76)+('Data BoP'!S77)+('Data BoP'!S78)</f>
        <v>2103.58439771579</v>
      </c>
      <c r="AJ78" s="10" t="n">
        <f aca="false">('Data BoP'!T75)+('Data BoP'!T76)+('Data BoP'!T77)+('Data BoP'!T78)</f>
        <v>258.23168568969</v>
      </c>
    </row>
    <row r="79" customFormat="false" ht="15" hidden="false" customHeight="false" outlineLevel="0" collapsed="false">
      <c r="B79" s="14" t="str">
        <f aca="false">'Data BoP'!B79</f>
        <v>2024-Q2</v>
      </c>
      <c r="C79" s="15" t="n">
        <f aca="false">'Data BoP'!E79</f>
        <v>3502.71070026583</v>
      </c>
      <c r="D79" s="10" t="n">
        <f aca="false">'Data BoP'!G79</f>
        <v>7109.43478208</v>
      </c>
      <c r="E79" s="10" t="n">
        <f aca="false">'Data BoP'!H79</f>
        <v>20756.2295664301</v>
      </c>
      <c r="F79" s="10" t="n">
        <f aca="false">'Data BoP'!I79</f>
        <v>13646.7947843501</v>
      </c>
      <c r="G79" s="10" t="n">
        <f aca="false">'Data BoP'!J79</f>
        <v>-1054.18354443077</v>
      </c>
      <c r="H79" s="10" t="n">
        <f aca="false">'Data BoP'!K79</f>
        <v>3860.80585126077</v>
      </c>
      <c r="I79" s="10" t="n">
        <f aca="false">'Data BoP'!L79</f>
        <v>4914.98939569154</v>
      </c>
      <c r="J79" s="10" t="n">
        <f aca="false">'Data BoP'!M79</f>
        <v>-3328.86025286631</v>
      </c>
      <c r="K79" s="10" t="n">
        <f aca="false">'Data BoP'!N79</f>
        <v>-24.6872311742742</v>
      </c>
      <c r="L79" s="10" t="n">
        <f aca="false">'Data BoP'!O79</f>
        <v>-3304.17302169204</v>
      </c>
      <c r="M79" s="10" t="n">
        <f aca="false">'Data BoP'!P79</f>
        <v>-1894.4215346399</v>
      </c>
      <c r="N79" s="10" t="n">
        <f aca="false">'Data BoP'!Q79</f>
        <v>-467.887121508195</v>
      </c>
      <c r="O79" s="10" t="n">
        <f aca="false">'Data BoP'!R79</f>
        <v>-1024.19754254182</v>
      </c>
      <c r="P79" s="10" t="n">
        <f aca="false">'Data BoP'!AO79</f>
        <v>82.333176997874</v>
      </c>
      <c r="Q79" s="10" t="n">
        <f aca="false">'Data BoP'!S79</f>
        <v>776.31971548291</v>
      </c>
      <c r="R79" s="10" t="n">
        <f aca="false">'Data BoP'!T79</f>
        <v>57.0542646880457</v>
      </c>
      <c r="T79" s="14" t="str">
        <f aca="false">'Data BoP'!B79</f>
        <v>2024-Q2</v>
      </c>
      <c r="U79" s="15" t="n">
        <f aca="false">('Data BoP'!E76)+('Data BoP'!E77)+('Data BoP'!E78)+('Data BoP'!E79)</f>
        <v>-6099.51341355133</v>
      </c>
      <c r="V79" s="10" t="n">
        <f aca="false">('Data BoP'!G76)+('Data BoP'!G77)+('Data BoP'!G78)+('Data BoP'!G79)</f>
        <v>11832.4955817945</v>
      </c>
      <c r="W79" s="10" t="n">
        <f aca="false">('Data BoP'!H76)+('Data BoP'!H77)+('Data BoP'!H78)+('Data BoP'!H79)</f>
        <v>71821.4158099546</v>
      </c>
      <c r="X79" s="10" t="n">
        <f aca="false">('Data BoP'!I76)+('Data BoP'!I77)+('Data BoP'!I78)+('Data BoP'!I79)</f>
        <v>59988.9202281601</v>
      </c>
      <c r="Y79" s="10" t="n">
        <f aca="false">('Data BoP'!J76)+('Data BoP'!J77)+('Data BoP'!J78)+('Data BoP'!J79)</f>
        <v>-4935.30130599002</v>
      </c>
      <c r="Z79" s="10" t="n">
        <f aca="false">('Data BoP'!K76)+('Data BoP'!K77)+('Data BoP'!K78)+('Data BoP'!K79)</f>
        <v>16288.639045895</v>
      </c>
      <c r="AA79" s="10" t="n">
        <f aca="false">('Data BoP'!L76)+('Data BoP'!L77)+('Data BoP'!L78)+('Data BoP'!L79)</f>
        <v>21223.940351885</v>
      </c>
      <c r="AB79" s="10" t="n">
        <f aca="false">('Data BoP'!M76)+('Data BoP'!M77)+('Data BoP'!M78)+('Data BoP'!M79)</f>
        <v>-15243.6461727231</v>
      </c>
      <c r="AC79" s="10" t="n">
        <f aca="false">('Data BoP'!N76)+('Data BoP'!N77)+('Data BoP'!N78)+('Data BoP'!N79)</f>
        <v>-115.050192606767</v>
      </c>
      <c r="AD79" s="10" t="n">
        <f aca="false">('Data BoP'!O76)+('Data BoP'!O77)+('Data BoP'!O78)+('Data BoP'!O79)</f>
        <v>-15128.5959801163</v>
      </c>
      <c r="AE79" s="10" t="n">
        <f aca="false">('Data BoP'!P76)+('Data BoP'!P77)+('Data BoP'!P78)+('Data BoP'!P79)</f>
        <v>-9490.27192334076</v>
      </c>
      <c r="AF79" s="10" t="n">
        <f aca="false">('Data BoP'!Q76)+('Data BoP'!Q77)+('Data BoP'!Q78)+('Data BoP'!Q79)</f>
        <v>-1686.91109201876</v>
      </c>
      <c r="AG79" s="10" t="n">
        <f aca="false">('Data BoP'!R76)+('Data BoP'!R77)+('Data BoP'!R78)+('Data BoP'!R79)</f>
        <v>-4237.99841793919</v>
      </c>
      <c r="AH79" s="10" t="n">
        <f aca="false">('Data BoP'!AO76)+('Data BoP'!AO77)+('Data BoP'!AO78)+('Data BoP'!AO79)</f>
        <v>286.585453182415</v>
      </c>
      <c r="AI79" s="10" t="n">
        <f aca="false">('Data BoP'!S76)+('Data BoP'!S77)+('Data BoP'!S78)+('Data BoP'!S79)</f>
        <v>2246.93848336727</v>
      </c>
      <c r="AJ79" s="10" t="n">
        <f aca="false">('Data BoP'!T76)+('Data BoP'!T77)+('Data BoP'!T78)+('Data BoP'!T79)</f>
        <v>266.498354524321</v>
      </c>
    </row>
    <row r="80" customFormat="false" ht="15" hidden="false" customHeight="false" outlineLevel="0" collapsed="false">
      <c r="B80" s="14" t="str">
        <f aca="false">'Data BoP'!B80</f>
        <v>2024-Q3</v>
      </c>
      <c r="C80" s="15" t="n">
        <f aca="false">'Data BoP'!E80</f>
        <v>625.446430156252</v>
      </c>
      <c r="D80" s="10" t="n">
        <f aca="false">'Data BoP'!G80</f>
        <v>5306.03344509001</v>
      </c>
      <c r="E80" s="10" t="n">
        <f aca="false">'Data BoP'!H80</f>
        <v>20912.55301898</v>
      </c>
      <c r="F80" s="10" t="n">
        <f aca="false">'Data BoP'!I80</f>
        <v>15606.51957389</v>
      </c>
      <c r="G80" s="10" t="n">
        <f aca="false">'Data BoP'!J80</f>
        <v>-1544.71634450922</v>
      </c>
      <c r="H80" s="10" t="n">
        <f aca="false">'Data BoP'!K80</f>
        <v>4384.27601900522</v>
      </c>
      <c r="I80" s="10" t="n">
        <f aca="false">'Data BoP'!L80</f>
        <v>5928.99236351443</v>
      </c>
      <c r="J80" s="10" t="n">
        <f aca="false">'Data BoP'!M80</f>
        <v>-3502.71476668278</v>
      </c>
      <c r="K80" s="10" t="n">
        <f aca="false">'Data BoP'!N80</f>
        <v>-22.4937032681298</v>
      </c>
      <c r="L80" s="10" t="n">
        <f aca="false">'Data BoP'!O80</f>
        <v>-3480.22106341465</v>
      </c>
      <c r="M80" s="10" t="n">
        <f aca="false">'Data BoP'!P80</f>
        <v>-2174.39419291488</v>
      </c>
      <c r="N80" s="10" t="n">
        <f aca="false">'Data BoP'!Q80</f>
        <v>-388.667293293116</v>
      </c>
      <c r="O80" s="10" t="n">
        <f aca="false">'Data BoP'!R80</f>
        <v>-966.358721938419</v>
      </c>
      <c r="P80" s="10" t="n">
        <f aca="false">'Data BoP'!AO80</f>
        <v>49.1991447317605</v>
      </c>
      <c r="Q80" s="10" t="n">
        <f aca="false">'Data BoP'!S80</f>
        <v>366.844096258247</v>
      </c>
      <c r="R80" s="10" t="n">
        <f aca="false">'Data BoP'!T80</f>
        <v>45.1227066251138</v>
      </c>
      <c r="T80" s="14" t="str">
        <f aca="false">'Data BoP'!B80</f>
        <v>2024-Q3</v>
      </c>
      <c r="U80" s="15" t="n">
        <f aca="false">('Data BoP'!E77)+('Data BoP'!E78)+('Data BoP'!E79)+('Data BoP'!E80)</f>
        <v>926.991533776657</v>
      </c>
      <c r="V80" s="10" t="n">
        <f aca="false">('Data BoP'!G77)+('Data BoP'!G78)+('Data BoP'!G79)+('Data BoP'!G80)</f>
        <v>18422.1882327044</v>
      </c>
      <c r="W80" s="10" t="n">
        <f aca="false">('Data BoP'!H77)+('Data BoP'!H78)+('Data BoP'!H79)+('Data BoP'!H80)</f>
        <v>74911.7043846545</v>
      </c>
      <c r="X80" s="10" t="n">
        <f aca="false">('Data BoP'!I77)+('Data BoP'!I78)+('Data BoP'!I79)+('Data BoP'!I80)</f>
        <v>56489.5161519501</v>
      </c>
      <c r="Y80" s="10" t="n">
        <f aca="false">('Data BoP'!J77)+('Data BoP'!J78)+('Data BoP'!J79)+('Data BoP'!J80)</f>
        <v>-4841.6199771856</v>
      </c>
      <c r="Z80" s="10" t="n">
        <f aca="false">('Data BoP'!K77)+('Data BoP'!K78)+('Data BoP'!K79)+('Data BoP'!K80)</f>
        <v>16760.2227547802</v>
      </c>
      <c r="AA80" s="10" t="n">
        <f aca="false">('Data BoP'!L77)+('Data BoP'!L78)+('Data BoP'!L79)+('Data BoP'!L80)</f>
        <v>21601.8427319658</v>
      </c>
      <c r="AB80" s="10" t="n">
        <f aca="false">('Data BoP'!M77)+('Data BoP'!M78)+('Data BoP'!M79)+('Data BoP'!M80)</f>
        <v>-14779.2318488098</v>
      </c>
      <c r="AC80" s="10" t="n">
        <f aca="false">('Data BoP'!N77)+('Data BoP'!N78)+('Data BoP'!N79)+('Data BoP'!N80)</f>
        <v>-109.064228467515</v>
      </c>
      <c r="AD80" s="10" t="n">
        <f aca="false">('Data BoP'!O77)+('Data BoP'!O78)+('Data BoP'!O79)+('Data BoP'!O80)</f>
        <v>-14670.1676203423</v>
      </c>
      <c r="AE80" s="10" t="n">
        <f aca="false">('Data BoP'!P77)+('Data BoP'!P78)+('Data BoP'!P79)+('Data BoP'!P80)</f>
        <v>-9065.63093366297</v>
      </c>
      <c r="AF80" s="10" t="n">
        <f aca="false">('Data BoP'!Q77)+('Data BoP'!Q78)+('Data BoP'!Q79)+('Data BoP'!Q80)</f>
        <v>-1721.00081528937</v>
      </c>
      <c r="AG80" s="10" t="n">
        <f aca="false">('Data BoP'!R77)+('Data BoP'!R78)+('Data BoP'!R79)+('Data BoP'!R80)</f>
        <v>-4145.86865434605</v>
      </c>
      <c r="AH80" s="10" t="n">
        <f aca="false">('Data BoP'!AO77)+('Data BoP'!AO78)+('Data BoP'!AO79)+('Data BoP'!AO80)</f>
        <v>262.332782956116</v>
      </c>
      <c r="AI80" s="10" t="n">
        <f aca="false">('Data BoP'!S77)+('Data BoP'!S78)+('Data BoP'!S79)+('Data BoP'!S80)</f>
        <v>2125.65512706766</v>
      </c>
      <c r="AJ80" s="10" t="n">
        <f aca="false">('Data BoP'!T77)+('Data BoP'!T78)+('Data BoP'!T79)+('Data BoP'!T80)</f>
        <v>273.932531152009</v>
      </c>
    </row>
    <row r="81" customFormat="false" ht="15" hidden="false" customHeight="false" outlineLevel="0" collapsed="false">
      <c r="B81" s="14" t="str">
        <f aca="false">'Data BoP'!B81</f>
        <v>2024-Q4</v>
      </c>
      <c r="C81" s="15" t="n">
        <f aca="false">'Data BoP'!E81</f>
        <v>1705.4708393923</v>
      </c>
      <c r="D81" s="10" t="n">
        <f aca="false">'Data BoP'!G81</f>
        <v>4918.8230512398</v>
      </c>
      <c r="E81" s="10" t="n">
        <f aca="false">'Data BoP'!H81</f>
        <v>20622.7834652599</v>
      </c>
      <c r="F81" s="10" t="n">
        <f aca="false">'Data BoP'!I81</f>
        <v>15703.9604140201</v>
      </c>
      <c r="G81" s="10" t="n">
        <f aca="false">'Data BoP'!J81</f>
        <v>-971.204464914569</v>
      </c>
      <c r="H81" s="10" t="n">
        <f aca="false">'Data BoP'!K81</f>
        <v>4731.06809231028</v>
      </c>
      <c r="I81" s="10" t="n">
        <f aca="false">'Data BoP'!L81</f>
        <v>5702.27255722485</v>
      </c>
      <c r="J81" s="10" t="n">
        <f aca="false">'Data BoP'!M81</f>
        <v>-2848.41665592901</v>
      </c>
      <c r="K81" s="10" t="n">
        <f aca="false">'Data BoP'!N81</f>
        <v>-25.7385100079158</v>
      </c>
      <c r="L81" s="10" t="n">
        <f aca="false">'Data BoP'!O81</f>
        <v>-2822.67814592109</v>
      </c>
      <c r="M81" s="10" t="n">
        <f aca="false">'Data BoP'!P81</f>
        <v>-1412.64209256644</v>
      </c>
      <c r="N81" s="10" t="n">
        <f aca="false">'Data BoP'!Q81</f>
        <v>-493.322965208586</v>
      </c>
      <c r="O81" s="10" t="n">
        <f aca="false">'Data BoP'!R81</f>
        <v>-970.553637685085</v>
      </c>
      <c r="P81" s="10" t="n">
        <f aca="false">'Data BoP'!AO81</f>
        <v>53.8405495390186</v>
      </c>
      <c r="Q81" s="10" t="n">
        <f aca="false">'Data BoP'!S81</f>
        <v>606.26890899607</v>
      </c>
      <c r="R81" s="10" t="n">
        <f aca="false">'Data BoP'!T81</f>
        <v>80.8719214880705</v>
      </c>
      <c r="T81" s="14" t="str">
        <f aca="false">'Data BoP'!B81</f>
        <v>2024-Q4</v>
      </c>
      <c r="U81" s="15" t="n">
        <f aca="false">('Data BoP'!E78)+('Data BoP'!E79)+('Data BoP'!E80)+('Data BoP'!E81)</f>
        <v>5891.4047816786</v>
      </c>
      <c r="V81" s="10" t="n">
        <f aca="false">('Data BoP'!G78)+('Data BoP'!G79)+('Data BoP'!G80)+('Data BoP'!G81)</f>
        <v>22403.8459927798</v>
      </c>
      <c r="W81" s="10" t="n">
        <f aca="false">('Data BoP'!H78)+('Data BoP'!H79)+('Data BoP'!H80)+('Data BoP'!H81)</f>
        <v>79759.55132547</v>
      </c>
      <c r="X81" s="10" t="n">
        <f aca="false">('Data BoP'!I78)+('Data BoP'!I79)+('Data BoP'!I80)+('Data BoP'!I81)</f>
        <v>57355.7053326902</v>
      </c>
      <c r="Y81" s="10" t="n">
        <f aca="false">('Data BoP'!J78)+('Data BoP'!J79)+('Data BoP'!J80)+('Data BoP'!J81)</f>
        <v>-4938.15206540616</v>
      </c>
      <c r="Z81" s="10" t="n">
        <f aca="false">('Data BoP'!K78)+('Data BoP'!K79)+('Data BoP'!K80)+('Data BoP'!K81)</f>
        <v>17115.602904816</v>
      </c>
      <c r="AA81" s="10" t="n">
        <f aca="false">('Data BoP'!L78)+('Data BoP'!L79)+('Data BoP'!L80)+('Data BoP'!L81)</f>
        <v>22053.7549702221</v>
      </c>
      <c r="AB81" s="10" t="n">
        <f aca="false">('Data BoP'!M78)+('Data BoP'!M79)+('Data BoP'!M80)+('Data BoP'!M81)</f>
        <v>-13819.9517039086</v>
      </c>
      <c r="AC81" s="10" t="n">
        <f aca="false">('Data BoP'!N78)+('Data BoP'!N79)+('Data BoP'!N80)+('Data BoP'!N81)</f>
        <v>-96.4418363914551</v>
      </c>
      <c r="AD81" s="10" t="n">
        <f aca="false">('Data BoP'!O78)+('Data BoP'!O79)+('Data BoP'!O80)+('Data BoP'!O81)</f>
        <v>-13723.5098675172</v>
      </c>
      <c r="AE81" s="10" t="n">
        <f aca="false">('Data BoP'!P78)+('Data BoP'!P79)+('Data BoP'!P80)+('Data BoP'!P81)</f>
        <v>-8198.68183547186</v>
      </c>
      <c r="AF81" s="10" t="n">
        <f aca="false">('Data BoP'!Q78)+('Data BoP'!Q79)+('Data BoP'!Q80)+('Data BoP'!Q81)</f>
        <v>-1767.65703372831</v>
      </c>
      <c r="AG81" s="10" t="n">
        <f aca="false">('Data BoP'!R78)+('Data BoP'!R79)+('Data BoP'!R80)+('Data BoP'!R81)</f>
        <v>-4016.90187971979</v>
      </c>
      <c r="AH81" s="10" t="n">
        <f aca="false">('Data BoP'!AO78)+('Data BoP'!AO79)+('Data BoP'!AO80)+('Data BoP'!AO81)</f>
        <v>259.730881402788</v>
      </c>
      <c r="AI81" s="10" t="n">
        <f aca="false">('Data BoP'!S78)+('Data BoP'!S79)+('Data BoP'!S80)+('Data BoP'!S81)</f>
        <v>2245.66255821357</v>
      </c>
      <c r="AJ81" s="10" t="n">
        <f aca="false">('Data BoP'!T78)+('Data BoP'!T79)+('Data BoP'!T80)+('Data BoP'!T81)</f>
        <v>277.578348254865</v>
      </c>
    </row>
    <row r="82" customFormat="false" ht="15" hidden="false" customHeight="false" outlineLevel="0" collapsed="false">
      <c r="B82" s="14" t="str">
        <f aca="false">'Data BoP'!B82</f>
        <v>2025-Q1</v>
      </c>
      <c r="C82" s="15" t="n">
        <f aca="false">'Data BoP'!E82</f>
        <v>-5157.55266003543</v>
      </c>
      <c r="D82" s="10" t="n">
        <f aca="false">'Data BoP'!G82</f>
        <v>2059.8412937001</v>
      </c>
      <c r="E82" s="10" t="n">
        <f aca="false">'Data BoP'!H82</f>
        <v>18702.1153562601</v>
      </c>
      <c r="F82" s="10" t="n">
        <f aca="false">'Data BoP'!I82</f>
        <v>16642.27406256</v>
      </c>
      <c r="G82" s="10" t="n">
        <f aca="false">'Data BoP'!J82</f>
        <v>-4559.80953329809</v>
      </c>
      <c r="H82" s="10" t="n">
        <f aca="false">'Data BoP'!K82</f>
        <v>4651.23302563202</v>
      </c>
      <c r="I82" s="10" t="n">
        <f aca="false">'Data BoP'!L82</f>
        <v>9211.04255893011</v>
      </c>
      <c r="J82" s="10" t="n">
        <f aca="false">'Data BoP'!M82</f>
        <v>-3017.50871695542</v>
      </c>
      <c r="K82" s="10" t="n">
        <f aca="false">'Data BoP'!N82</f>
        <v>-23.3380265753143</v>
      </c>
      <c r="L82" s="10" t="n">
        <f aca="false">'Data BoP'!O82</f>
        <v>-2994.17069038011</v>
      </c>
      <c r="M82" s="10" t="n">
        <f aca="false">'Data BoP'!P82</f>
        <v>-1470.94182531221</v>
      </c>
      <c r="N82" s="10" t="n">
        <f aca="false">'Data BoP'!Q82</f>
        <v>-599.450744295949</v>
      </c>
      <c r="O82" s="10" t="n">
        <f aca="false">'Data BoP'!R82</f>
        <v>-971.59821250482</v>
      </c>
      <c r="P82" s="10" t="n">
        <f aca="false">'Data BoP'!AO82</f>
        <v>47.8200917328669</v>
      </c>
      <c r="Q82" s="10" t="n">
        <f aca="false">'Data BoP'!S82</f>
        <v>359.924296517986</v>
      </c>
      <c r="R82" s="10" t="n">
        <f aca="false">'Data BoP'!T82</f>
        <v>59.11926957618</v>
      </c>
      <c r="T82" s="14" t="str">
        <f aca="false">'Data BoP'!B82</f>
        <v>2025-Q1</v>
      </c>
      <c r="U82" s="15" t="n">
        <f aca="false">('Data BoP'!E79)+('Data BoP'!E80)+('Data BoP'!E81)+('Data BoP'!E82)</f>
        <v>676.07530977895</v>
      </c>
      <c r="V82" s="10" t="n">
        <f aca="false">('Data BoP'!G79)+('Data BoP'!G80)+('Data BoP'!G81)+('Data BoP'!G82)</f>
        <v>19394.1325721099</v>
      </c>
      <c r="W82" s="10" t="n">
        <f aca="false">('Data BoP'!H79)+('Data BoP'!H80)+('Data BoP'!H81)+('Data BoP'!H82)</f>
        <v>80993.6814069301</v>
      </c>
      <c r="X82" s="10" t="n">
        <f aca="false">('Data BoP'!I79)+('Data BoP'!I80)+('Data BoP'!I81)+('Data BoP'!I82)</f>
        <v>61599.5488348202</v>
      </c>
      <c r="Y82" s="10" t="n">
        <f aca="false">('Data BoP'!J79)+('Data BoP'!J80)+('Data BoP'!J81)+('Data BoP'!J82)</f>
        <v>-8129.91388715265</v>
      </c>
      <c r="Z82" s="10" t="n">
        <f aca="false">('Data BoP'!K79)+('Data BoP'!K80)+('Data BoP'!K81)+('Data BoP'!K82)</f>
        <v>17627.3829882083</v>
      </c>
      <c r="AA82" s="10" t="n">
        <f aca="false">('Data BoP'!L79)+('Data BoP'!L80)+('Data BoP'!L81)+('Data BoP'!L82)</f>
        <v>25757.2968753609</v>
      </c>
      <c r="AB82" s="10" t="n">
        <f aca="false">('Data BoP'!M79)+('Data BoP'!M80)+('Data BoP'!M81)+('Data BoP'!M82)</f>
        <v>-12697.5003924335</v>
      </c>
      <c r="AC82" s="10" t="n">
        <f aca="false">('Data BoP'!N79)+('Data BoP'!N80)+('Data BoP'!N81)+('Data BoP'!N82)</f>
        <v>-96.2574710256341</v>
      </c>
      <c r="AD82" s="10" t="n">
        <f aca="false">('Data BoP'!O79)+('Data BoP'!O80)+('Data BoP'!O81)+('Data BoP'!O82)</f>
        <v>-12601.2429214079</v>
      </c>
      <c r="AE82" s="10" t="n">
        <f aca="false">('Data BoP'!P79)+('Data BoP'!P80)+('Data BoP'!P81)+('Data BoP'!P82)</f>
        <v>-6952.39964543342</v>
      </c>
      <c r="AF82" s="10" t="n">
        <f aca="false">('Data BoP'!Q79)+('Data BoP'!Q80)+('Data BoP'!Q81)+('Data BoP'!Q82)</f>
        <v>-1949.32812430585</v>
      </c>
      <c r="AG82" s="10" t="n">
        <f aca="false">('Data BoP'!R79)+('Data BoP'!R80)+('Data BoP'!R81)+('Data BoP'!R82)</f>
        <v>-3932.70811467014</v>
      </c>
      <c r="AH82" s="10" t="n">
        <f aca="false">('Data BoP'!AO79)+('Data BoP'!AO80)+('Data BoP'!AO81)+('Data BoP'!AO82)</f>
        <v>233.19296300152</v>
      </c>
      <c r="AI82" s="10" t="n">
        <f aca="false">('Data BoP'!S79)+('Data BoP'!S80)+('Data BoP'!S81)+('Data BoP'!S82)</f>
        <v>2109.35701725521</v>
      </c>
      <c r="AJ82" s="10" t="n">
        <f aca="false">('Data BoP'!T79)+('Data BoP'!T80)+('Data BoP'!T81)+('Data BoP'!T82)</f>
        <v>242.16816237741</v>
      </c>
    </row>
    <row r="83" customFormat="false" ht="15" hidden="false" customHeight="false" outlineLevel="0" collapsed="false">
      <c r="B83" s="14" t="str">
        <f aca="false">'Data BoP'!B83</f>
        <v>2025-Q2</v>
      </c>
      <c r="C83" s="15" t="n">
        <f aca="false">'Data BoP'!E83</f>
        <v>-2452.20297835986</v>
      </c>
      <c r="D83" s="10" t="n">
        <f aca="false">'Data BoP'!G83</f>
        <v>2668.0487860001</v>
      </c>
      <c r="E83" s="10" t="n">
        <f aca="false">'Data BoP'!H83</f>
        <v>21057.16024321</v>
      </c>
      <c r="F83" s="10" t="n">
        <f aca="false">'Data BoP'!I83</f>
        <v>18389.1114572099</v>
      </c>
      <c r="G83" s="10" t="n">
        <f aca="false">'Data BoP'!J83</f>
        <v>-2432.50851550693</v>
      </c>
      <c r="H83" s="10" t="n">
        <f aca="false">'Data BoP'!K83</f>
        <v>4291.63474282149</v>
      </c>
      <c r="I83" s="10" t="n">
        <f aca="false">'Data BoP'!L83</f>
        <v>6724.14325832842</v>
      </c>
      <c r="J83" s="10" t="n">
        <f aca="false">'Data BoP'!M83</f>
        <v>-3565.71989170359</v>
      </c>
      <c r="K83" s="10" t="n">
        <f aca="false">'Data BoP'!N83</f>
        <v>-22.9400765892904</v>
      </c>
      <c r="L83" s="10" t="n">
        <f aca="false">'Data BoP'!O83</f>
        <v>-3542.7798151143</v>
      </c>
      <c r="M83" s="10" t="n">
        <f aca="false">'Data BoP'!P83</f>
        <v>-1832.57335434704</v>
      </c>
      <c r="N83" s="10" t="n">
        <f aca="false">'Data BoP'!Q83</f>
        <v>-727.233994478984</v>
      </c>
      <c r="O83" s="10" t="n">
        <f aca="false">'Data BoP'!R83</f>
        <v>-1057.9429680172</v>
      </c>
      <c r="P83" s="10" t="n">
        <f aca="false">'Data BoP'!AO83</f>
        <v>74.9705017289188</v>
      </c>
      <c r="Q83" s="10" t="n">
        <f aca="false">'Data BoP'!S83</f>
        <v>877.976642850551</v>
      </c>
      <c r="R83" s="10" t="n">
        <f aca="false">'Data BoP'!T83</f>
        <v>171.976732440733</v>
      </c>
      <c r="T83" s="14" t="str">
        <f aca="false">'Data BoP'!B83</f>
        <v>2025-Q2</v>
      </c>
      <c r="U83" s="15" t="n">
        <f aca="false">('Data BoP'!E80)+('Data BoP'!E81)+('Data BoP'!E82)+('Data BoP'!E83)</f>
        <v>-5278.83836884675</v>
      </c>
      <c r="V83" s="10" t="n">
        <f aca="false">('Data BoP'!G80)+('Data BoP'!G81)+('Data BoP'!G82)+('Data BoP'!G83)</f>
        <v>14952.74657603</v>
      </c>
      <c r="W83" s="10" t="n">
        <f aca="false">('Data BoP'!H80)+('Data BoP'!H81)+('Data BoP'!H82)+('Data BoP'!H83)</f>
        <v>81294.61208371</v>
      </c>
      <c r="X83" s="10" t="n">
        <f aca="false">('Data BoP'!I80)+('Data BoP'!I81)+('Data BoP'!I82)+('Data BoP'!I83)</f>
        <v>66341.86550768</v>
      </c>
      <c r="Y83" s="10" t="n">
        <f aca="false">('Data BoP'!J80)+('Data BoP'!J81)+('Data BoP'!J82)+('Data BoP'!J83)</f>
        <v>-9508.23885822881</v>
      </c>
      <c r="Z83" s="10" t="n">
        <f aca="false">('Data BoP'!K80)+('Data BoP'!K81)+('Data BoP'!K82)+('Data BoP'!K83)</f>
        <v>18058.211879769</v>
      </c>
      <c r="AA83" s="10" t="n">
        <f aca="false">('Data BoP'!L80)+('Data BoP'!L81)+('Data BoP'!L82)+('Data BoP'!L83)</f>
        <v>27566.4507379978</v>
      </c>
      <c r="AB83" s="10" t="n">
        <f aca="false">('Data BoP'!M80)+('Data BoP'!M81)+('Data BoP'!M82)+('Data BoP'!M83)</f>
        <v>-12934.3600312708</v>
      </c>
      <c r="AC83" s="10" t="n">
        <f aca="false">('Data BoP'!N80)+('Data BoP'!N81)+('Data BoP'!N82)+('Data BoP'!N83)</f>
        <v>-94.5103164406503</v>
      </c>
      <c r="AD83" s="10" t="n">
        <f aca="false">('Data BoP'!O80)+('Data BoP'!O81)+('Data BoP'!O82)+('Data BoP'!O83)</f>
        <v>-12839.8497148302</v>
      </c>
      <c r="AE83" s="10" t="n">
        <f aca="false">('Data BoP'!P80)+('Data BoP'!P81)+('Data BoP'!P82)+('Data BoP'!P83)</f>
        <v>-6890.55146514056</v>
      </c>
      <c r="AF83" s="10" t="n">
        <f aca="false">('Data BoP'!Q80)+('Data BoP'!Q81)+('Data BoP'!Q82)+('Data BoP'!Q83)</f>
        <v>-2208.67499727663</v>
      </c>
      <c r="AG83" s="10" t="n">
        <f aca="false">('Data BoP'!R80)+('Data BoP'!R81)+('Data BoP'!R82)+('Data BoP'!R83)</f>
        <v>-3966.45354014552</v>
      </c>
      <c r="AH83" s="10" t="n">
        <f aca="false">('Data BoP'!AO80)+('Data BoP'!AO81)+('Data BoP'!AO82)+('Data BoP'!AO83)</f>
        <v>225.830287732565</v>
      </c>
      <c r="AI83" s="10" t="n">
        <f aca="false">('Data BoP'!S80)+('Data BoP'!S81)+('Data BoP'!S82)+('Data BoP'!S83)</f>
        <v>2211.01394462285</v>
      </c>
      <c r="AJ83" s="10" t="n">
        <f aca="false">('Data BoP'!T80)+('Data BoP'!T81)+('Data BoP'!T82)+('Data BoP'!T83)</f>
        <v>357.090630130097</v>
      </c>
    </row>
    <row r="84" customFormat="false" ht="15" hidden="false" customHeight="false" outlineLevel="0" collapsed="false">
      <c r="B84" s="14" t="str">
        <f aca="false">'Data BoP'!B84</f>
        <v>2025-Q3</v>
      </c>
      <c r="C84" s="15" t="n">
        <f aca="false">'Data BoP'!E84</f>
        <v>-2100.48150605513</v>
      </c>
      <c r="D84" s="10" t="n">
        <f aca="false">'Data BoP'!G84</f>
        <v>4348.4481594501</v>
      </c>
      <c r="E84" s="10" t="n">
        <f aca="false">'Data BoP'!H84</f>
        <v>23797.6205434501</v>
      </c>
      <c r="F84" s="10" t="n">
        <f aca="false">'Data BoP'!I84</f>
        <v>19449.172384</v>
      </c>
      <c r="G84" s="10" t="n">
        <f aca="false">'Data BoP'!J84</f>
        <v>-2678.86163366063</v>
      </c>
      <c r="H84" s="10" t="n">
        <f aca="false">'Data BoP'!K84</f>
        <v>4496.73564215719</v>
      </c>
      <c r="I84" s="10" t="n">
        <f aca="false">'Data BoP'!L84</f>
        <v>7175.59727581782</v>
      </c>
      <c r="J84" s="10" t="n">
        <f aca="false">'Data BoP'!M84</f>
        <v>-4276.30074129595</v>
      </c>
      <c r="K84" s="10" t="n">
        <f aca="false">'Data BoP'!N84</f>
        <v>-23.8284365276306</v>
      </c>
      <c r="L84" s="10" t="n">
        <f aca="false">'Data BoP'!O84</f>
        <v>-4252.47230476832</v>
      </c>
      <c r="M84" s="10" t="n">
        <f aca="false">'Data BoP'!P84</f>
        <v>-2506.01079077683</v>
      </c>
      <c r="N84" s="10" t="n">
        <f aca="false">'Data BoP'!Q84</f>
        <v>-680.044447446905</v>
      </c>
      <c r="O84" s="10" t="n">
        <f aca="false">'Data BoP'!R84</f>
        <v>-1179.57635989003</v>
      </c>
      <c r="P84" s="10" t="n">
        <f aca="false">'Data BoP'!AO84</f>
        <v>113.159293345447</v>
      </c>
      <c r="Q84" s="10" t="n">
        <f aca="false">'Data BoP'!S84</f>
        <v>506.232709451346</v>
      </c>
      <c r="R84" s="10" t="n">
        <f aca="false">'Data BoP'!T84</f>
        <v>136.834505756119</v>
      </c>
      <c r="T84" s="14" t="str">
        <f aca="false">'Data BoP'!B84</f>
        <v>2025-Q3</v>
      </c>
      <c r="U84" s="15" t="n">
        <f aca="false">('Data BoP'!E81)+('Data BoP'!E82)+('Data BoP'!E83)+('Data BoP'!E84)</f>
        <v>-8004.76630505813</v>
      </c>
      <c r="V84" s="10" t="n">
        <f aca="false">('Data BoP'!G81)+('Data BoP'!G82)+('Data BoP'!G83)+('Data BoP'!G84)</f>
        <v>13995.1612903901</v>
      </c>
      <c r="W84" s="10" t="n">
        <f aca="false">('Data BoP'!H81)+('Data BoP'!H82)+('Data BoP'!H83)+('Data BoP'!H84)</f>
        <v>84179.6796081801</v>
      </c>
      <c r="X84" s="10" t="n">
        <f aca="false">('Data BoP'!I81)+('Data BoP'!I82)+('Data BoP'!I83)+('Data BoP'!I84)</f>
        <v>70184.51831779</v>
      </c>
      <c r="Y84" s="10" t="n">
        <f aca="false">('Data BoP'!J81)+('Data BoP'!J82)+('Data BoP'!J83)+('Data BoP'!J84)</f>
        <v>-10642.3841473802</v>
      </c>
      <c r="Z84" s="10" t="n">
        <f aca="false">('Data BoP'!K81)+('Data BoP'!K82)+('Data BoP'!K83)+('Data BoP'!K84)</f>
        <v>18170.671502921</v>
      </c>
      <c r="AA84" s="10" t="n">
        <f aca="false">('Data BoP'!L81)+('Data BoP'!L82)+('Data BoP'!L83)+('Data BoP'!L84)</f>
        <v>28813.0556503012</v>
      </c>
      <c r="AB84" s="10" t="n">
        <f aca="false">('Data BoP'!M81)+('Data BoP'!M82)+('Data BoP'!M83)+('Data BoP'!M84)</f>
        <v>-13707.946005884</v>
      </c>
      <c r="AC84" s="10" t="n">
        <f aca="false">('Data BoP'!N81)+('Data BoP'!N82)+('Data BoP'!N83)+('Data BoP'!N84)</f>
        <v>-95.8450497001511</v>
      </c>
      <c r="AD84" s="10" t="n">
        <f aca="false">('Data BoP'!O81)+('Data BoP'!O82)+('Data BoP'!O83)+('Data BoP'!O84)</f>
        <v>-13612.1009561838</v>
      </c>
      <c r="AE84" s="10" t="n">
        <f aca="false">('Data BoP'!P81)+('Data BoP'!P82)+('Data BoP'!P83)+('Data BoP'!P84)</f>
        <v>-7222.16806300252</v>
      </c>
      <c r="AF84" s="10" t="n">
        <f aca="false">('Data BoP'!Q81)+('Data BoP'!Q82)+('Data BoP'!Q83)+('Data BoP'!Q84)</f>
        <v>-2500.05215143042</v>
      </c>
      <c r="AG84" s="10" t="n">
        <f aca="false">('Data BoP'!R81)+('Data BoP'!R82)+('Data BoP'!R83)+('Data BoP'!R84)</f>
        <v>-4179.67117809713</v>
      </c>
      <c r="AH84" s="10" t="n">
        <f aca="false">('Data BoP'!AO81)+('Data BoP'!AO82)+('Data BoP'!AO83)+('Data BoP'!AO84)</f>
        <v>289.790436346251</v>
      </c>
      <c r="AI84" s="10" t="n">
        <f aca="false">('Data BoP'!S81)+('Data BoP'!S82)+('Data BoP'!S83)+('Data BoP'!S84)</f>
        <v>2350.40255781595</v>
      </c>
      <c r="AJ84" s="10" t="n">
        <f aca="false">('Data BoP'!T81)+('Data BoP'!T82)+('Data BoP'!T83)+('Data BoP'!T84)</f>
        <v>448.802429261102</v>
      </c>
    </row>
    <row r="85" customFormat="false" ht="15" hidden="false" customHeight="false" outlineLevel="0" collapsed="false">
      <c r="B85" s="14" t="str">
        <f aca="false">'Data BoP'!B85</f>
        <v>2025-Q4</v>
      </c>
      <c r="C85" s="15" t="n">
        <f aca="false">'Data BoP'!E85</f>
        <v>1922.11158549593</v>
      </c>
      <c r="D85" s="10" t="n">
        <f aca="false">'Data BoP'!G85</f>
        <v>6282.69716487</v>
      </c>
      <c r="E85" s="10" t="n">
        <f aca="false">'Data BoP'!H85</f>
        <v>23594.78706166</v>
      </c>
      <c r="F85" s="10" t="n">
        <f aca="false">'Data BoP'!I85</f>
        <v>17312.08989679</v>
      </c>
      <c r="G85" s="10" t="n">
        <f aca="false">'Data BoP'!J85</f>
        <v>-1929.75826780817</v>
      </c>
      <c r="H85" s="10" t="n">
        <f aca="false">'Data BoP'!K85</f>
        <v>4901.25392352843</v>
      </c>
      <c r="I85" s="10" t="n">
        <f aca="false">'Data BoP'!L85</f>
        <v>6831.01219133661</v>
      </c>
      <c r="J85" s="10" t="n">
        <f aca="false">'Data BoP'!M85</f>
        <v>-3219.15351297487</v>
      </c>
      <c r="K85" s="10" t="n">
        <f aca="false">'Data BoP'!N85</f>
        <v>-27.54862064672</v>
      </c>
      <c r="L85" s="10" t="n">
        <f aca="false">'Data BoP'!O85</f>
        <v>-3191.60489232815</v>
      </c>
      <c r="M85" s="10" t="n">
        <f aca="false">'Data BoP'!P85</f>
        <v>-1435.00499701984</v>
      </c>
      <c r="N85" s="10" t="n">
        <f aca="false">'Data BoP'!Q85</f>
        <v>-661.845775650053</v>
      </c>
      <c r="O85" s="10" t="n">
        <f aca="false">'Data BoP'!R85</f>
        <v>-1190.80766598794</v>
      </c>
      <c r="P85" s="10" t="n">
        <f aca="false">'Data BoP'!AO85</f>
        <v>96.0535463296728</v>
      </c>
      <c r="Q85" s="10" t="n">
        <f aca="false">'Data BoP'!S85</f>
        <v>788.326201408987</v>
      </c>
      <c r="R85" s="10" t="n">
        <f aca="false">'Data BoP'!T85</f>
        <v>86.209633574024</v>
      </c>
      <c r="T85" s="14" t="str">
        <f aca="false">'Data BoP'!B85</f>
        <v>2025-Q4</v>
      </c>
      <c r="U85" s="15" t="n">
        <f aca="false">('Data BoP'!E82)+('Data BoP'!E83)+('Data BoP'!E84)+('Data BoP'!E85)</f>
        <v>-7788.12555895449</v>
      </c>
      <c r="V85" s="10" t="n">
        <f aca="false">('Data BoP'!G82)+('Data BoP'!G83)+('Data BoP'!G84)+('Data BoP'!G85)</f>
        <v>15359.0354040203</v>
      </c>
      <c r="W85" s="10" t="n">
        <f aca="false">('Data BoP'!H82)+('Data BoP'!H83)+('Data BoP'!H84)+('Data BoP'!H85)</f>
        <v>87151.6832045802</v>
      </c>
      <c r="X85" s="10" t="n">
        <f aca="false">('Data BoP'!I82)+('Data BoP'!I83)+('Data BoP'!I84)+('Data BoP'!I85)</f>
        <v>71792.6478005599</v>
      </c>
      <c r="Y85" s="10" t="n">
        <f aca="false">('Data BoP'!J82)+('Data BoP'!J83)+('Data BoP'!J84)+('Data BoP'!J85)</f>
        <v>-11600.9379502738</v>
      </c>
      <c r="Z85" s="10" t="n">
        <f aca="false">('Data BoP'!K82)+('Data BoP'!K83)+('Data BoP'!K84)+('Data BoP'!K85)</f>
        <v>18340.8573341391</v>
      </c>
      <c r="AA85" s="10" t="n">
        <f aca="false">('Data BoP'!L82)+('Data BoP'!L83)+('Data BoP'!L84)+('Data BoP'!L85)</f>
        <v>29941.795284413</v>
      </c>
      <c r="AB85" s="10" t="n">
        <f aca="false">('Data BoP'!M82)+('Data BoP'!M83)+('Data BoP'!M84)+('Data BoP'!M85)</f>
        <v>-14078.6828629298</v>
      </c>
      <c r="AC85" s="10" t="n">
        <f aca="false">('Data BoP'!N82)+('Data BoP'!N83)+('Data BoP'!N84)+('Data BoP'!N85)</f>
        <v>-97.6551603389553</v>
      </c>
      <c r="AD85" s="10" t="n">
        <f aca="false">('Data BoP'!O82)+('Data BoP'!O83)+('Data BoP'!O84)+('Data BoP'!O85)</f>
        <v>-13981.0277025909</v>
      </c>
      <c r="AE85" s="10" t="n">
        <f aca="false">('Data BoP'!P82)+('Data BoP'!P83)+('Data BoP'!P84)+('Data BoP'!P85)</f>
        <v>-7244.53096745591</v>
      </c>
      <c r="AF85" s="10" t="n">
        <f aca="false">('Data BoP'!Q82)+('Data BoP'!Q83)+('Data BoP'!Q84)+('Data BoP'!Q85)</f>
        <v>-2668.57496187189</v>
      </c>
      <c r="AG85" s="10" t="n">
        <f aca="false">('Data BoP'!R82)+('Data BoP'!R83)+('Data BoP'!R84)+('Data BoP'!R85)</f>
        <v>-4399.92520639999</v>
      </c>
      <c r="AH85" s="10" t="n">
        <f aca="false">('Data BoP'!AO82)+('Data BoP'!AO83)+('Data BoP'!AO84)+('Data BoP'!AO85)</f>
        <v>332.003433136906</v>
      </c>
      <c r="AI85" s="10" t="n">
        <f aca="false">('Data BoP'!S82)+('Data BoP'!S83)+('Data BoP'!S84)+('Data BoP'!S85)</f>
        <v>2532.45985022887</v>
      </c>
      <c r="AJ85" s="10" t="n">
        <f aca="false">('Data BoP'!T82)+('Data BoP'!T83)+('Data BoP'!T84)+('Data BoP'!T85)</f>
        <v>454.140141347056</v>
      </c>
    </row>
    <row r="86" customFormat="false" ht="15" hidden="false" customHeight="false" outlineLevel="0" collapsed="false">
      <c r="B86" s="14" t="str">
        <f aca="false">'Data BoP'!B86</f>
        <v>2026-Q1</v>
      </c>
      <c r="C86" s="15" t="n">
        <f aca="false">'Data BoP'!E86</f>
        <v>-1650.52584743437</v>
      </c>
      <c r="D86" s="10" t="n">
        <f aca="false">'Data BoP'!G86</f>
        <v>6339.4596024201</v>
      </c>
      <c r="E86" s="10" t="n">
        <f aca="false">'Data BoP'!H86</f>
        <v>21916.0489203701</v>
      </c>
      <c r="F86" s="10" t="n">
        <f aca="false">'Data BoP'!I86</f>
        <v>15576.58931795</v>
      </c>
      <c r="G86" s="10" t="n">
        <f aca="false">'Data BoP'!J86</f>
        <v>-4028.07294883206</v>
      </c>
      <c r="H86" s="10" t="n">
        <f aca="false">'Data BoP'!K86</f>
        <v>5208.86949768429</v>
      </c>
      <c r="I86" s="10" t="n">
        <f aca="false">'Data BoP'!L86</f>
        <v>9236.94244651635</v>
      </c>
      <c r="J86" s="10" t="n">
        <f aca="false">'Data BoP'!M86</f>
        <v>-4675.83316750227</v>
      </c>
      <c r="K86" s="10" t="n">
        <f aca="false">'Data BoP'!N86</f>
        <v>-25.1400436915416</v>
      </c>
      <c r="L86" s="10" t="n">
        <f aca="false">'Data BoP'!O86</f>
        <v>-4650.69312381072</v>
      </c>
      <c r="M86" s="10" t="n">
        <f aca="false">'Data BoP'!P86</f>
        <v>-2781.29491584291</v>
      </c>
      <c r="N86" s="10" t="n">
        <f aca="false">'Data BoP'!Q86</f>
        <v>-799.528495002608</v>
      </c>
      <c r="O86" s="10" t="n">
        <f aca="false">'Data BoP'!R86</f>
        <v>-1202.89769373282</v>
      </c>
      <c r="P86" s="10" t="n">
        <f aca="false">'Data BoP'!AO86</f>
        <v>133.027980767618</v>
      </c>
      <c r="Q86" s="10" t="n">
        <f aca="false">'Data BoP'!S86</f>
        <v>713.920666479853</v>
      </c>
      <c r="R86" s="10" t="n">
        <f aca="false">'Data BoP'!T86</f>
        <v>63.37563069</v>
      </c>
      <c r="T86" s="14" t="str">
        <f aca="false">'Data BoP'!B86</f>
        <v>2026-Q1</v>
      </c>
      <c r="U86" s="15" t="n">
        <f aca="false">('Data BoP'!E83)+('Data BoP'!E84)+('Data BoP'!E85)+('Data BoP'!E86)</f>
        <v>-4281.09874635343</v>
      </c>
      <c r="V86" s="10" t="n">
        <f aca="false">('Data BoP'!G83)+('Data BoP'!G84)+('Data BoP'!G85)+('Data BoP'!G86)</f>
        <v>19638.6537127403</v>
      </c>
      <c r="W86" s="10" t="n">
        <f aca="false">('Data BoP'!H83)+('Data BoP'!H84)+('Data BoP'!H85)+('Data BoP'!H86)</f>
        <v>90365.6167686902</v>
      </c>
      <c r="X86" s="10" t="n">
        <f aca="false">('Data BoP'!I83)+('Data BoP'!I84)+('Data BoP'!I85)+('Data BoP'!I86)</f>
        <v>70726.9630559499</v>
      </c>
      <c r="Y86" s="10" t="n">
        <f aca="false">('Data BoP'!J83)+('Data BoP'!J84)+('Data BoP'!J85)+('Data BoP'!J86)</f>
        <v>-11069.2013658078</v>
      </c>
      <c r="Z86" s="10" t="n">
        <f aca="false">('Data BoP'!K83)+('Data BoP'!K84)+('Data BoP'!K85)+('Data BoP'!K86)</f>
        <v>18898.4938061914</v>
      </c>
      <c r="AA86" s="10" t="n">
        <f aca="false">('Data BoP'!L83)+('Data BoP'!L84)+('Data BoP'!L85)+('Data BoP'!L86)</f>
        <v>29967.6951719992</v>
      </c>
      <c r="AB86" s="10" t="n">
        <f aca="false">('Data BoP'!M83)+('Data BoP'!M84)+('Data BoP'!M85)+('Data BoP'!M86)</f>
        <v>-15737.0073134767</v>
      </c>
      <c r="AC86" s="10" t="n">
        <f aca="false">('Data BoP'!N83)+('Data BoP'!N84)+('Data BoP'!N85)+('Data BoP'!N86)</f>
        <v>-99.4571774551826</v>
      </c>
      <c r="AD86" s="10" t="n">
        <f aca="false">('Data BoP'!O83)+('Data BoP'!O84)+('Data BoP'!O85)+('Data BoP'!O86)</f>
        <v>-15637.5501360215</v>
      </c>
      <c r="AE86" s="10" t="n">
        <f aca="false">('Data BoP'!P83)+('Data BoP'!P84)+('Data BoP'!P85)+('Data BoP'!P86)</f>
        <v>-8554.88405798662</v>
      </c>
      <c r="AF86" s="10" t="n">
        <f aca="false">('Data BoP'!Q83)+('Data BoP'!Q84)+('Data BoP'!Q85)+('Data BoP'!Q86)</f>
        <v>-2868.65271257855</v>
      </c>
      <c r="AG86" s="10" t="n">
        <f aca="false">('Data BoP'!R83)+('Data BoP'!R84)+('Data BoP'!R85)+('Data BoP'!R86)</f>
        <v>-4631.22468762799</v>
      </c>
      <c r="AH86" s="10" t="n">
        <f aca="false">('Data BoP'!AO83)+('Data BoP'!AO84)+('Data BoP'!AO85)+('Data BoP'!AO86)</f>
        <v>417.211322171657</v>
      </c>
      <c r="AI86" s="10" t="n">
        <f aca="false">('Data BoP'!S83)+('Data BoP'!S84)+('Data BoP'!S85)+('Data BoP'!S86)</f>
        <v>2886.45622019074</v>
      </c>
      <c r="AJ86" s="10" t="n">
        <f aca="false">('Data BoP'!T83)+('Data BoP'!T84)+('Data BoP'!T85)+('Data BoP'!T86)</f>
        <v>458.396502460876</v>
      </c>
    </row>
    <row r="89" customFormat="false" ht="15" hidden="false" customHeight="false" outlineLevel="0" collapsed="false">
      <c r="B89" s="3" t="s">
        <v>186</v>
      </c>
    </row>
    <row r="90" customFormat="false" ht="39.75" hidden="false" customHeight="true" outlineLevel="0" collapsed="false">
      <c r="B90" s="13" t="s">
        <v>40</v>
      </c>
      <c r="C90" s="6" t="s">
        <v>170</v>
      </c>
      <c r="D90" s="6" t="s">
        <v>171</v>
      </c>
      <c r="E90" s="6" t="s">
        <v>172</v>
      </c>
      <c r="F90" s="6" t="s">
        <v>173</v>
      </c>
      <c r="G90" s="6" t="s">
        <v>174</v>
      </c>
      <c r="H90" s="6" t="s">
        <v>175</v>
      </c>
      <c r="I90" s="6" t="s">
        <v>176</v>
      </c>
      <c r="J90" s="6" t="s">
        <v>177</v>
      </c>
      <c r="K90" s="6" t="s">
        <v>178</v>
      </c>
      <c r="L90" s="6" t="s">
        <v>179</v>
      </c>
      <c r="M90" s="6" t="s">
        <v>180</v>
      </c>
      <c r="N90" s="6" t="s">
        <v>181</v>
      </c>
      <c r="O90" s="6" t="s">
        <v>182</v>
      </c>
      <c r="P90" s="6" t="s">
        <v>183</v>
      </c>
      <c r="Q90" s="6" t="s">
        <v>184</v>
      </c>
      <c r="R90" s="6" t="s">
        <v>185</v>
      </c>
    </row>
    <row r="91" customFormat="false" ht="15" hidden="false" customHeight="false" outlineLevel="0" collapsed="false">
      <c r="B91" s="16" t="n">
        <v>2006</v>
      </c>
      <c r="C91" s="15" t="n">
        <f aca="false">SUMIFS('Data BoP'!$E$6:$E$86,'Data BoP'!$C$6:$C$86,$B91)</f>
        <v>6498.80252020454</v>
      </c>
      <c r="D91" s="10" t="n">
        <f aca="false">SUMIFS('Data BoP'!$G$6:$G$86,'Data BoP'!$C$6:$C$86,$B91)</f>
        <v>14029.6</v>
      </c>
      <c r="E91" s="10" t="n">
        <f aca="false">SUMIFS('Data BoP'!$H$6:$H$86,'Data BoP'!$C$6:$C$86,$B91)</f>
        <v>46617.5</v>
      </c>
      <c r="F91" s="10" t="n">
        <f aca="false">SUMIFS('Data BoP'!$I$6:$I$86,'Data BoP'!$C$6:$C$86,$B91)</f>
        <v>32587.9</v>
      </c>
      <c r="G91" s="10" t="n">
        <f aca="false">SUMIFS('Data BoP'!$J$6:$J$86,'Data BoP'!$C$6:$C$86,$B91)</f>
        <v>-762.957426840711</v>
      </c>
      <c r="H91" s="10" t="n">
        <f aca="false">SUMIFS('Data BoP'!$K$6:$K$86,'Data BoP'!$C$6:$C$86,$B91)</f>
        <v>7911.01509292038</v>
      </c>
      <c r="I91" s="10" t="n">
        <f aca="false">SUMIFS('Data BoP'!$L$6:$L$86,'Data BoP'!$C$6:$C$86,$B91)</f>
        <v>8673.97251976109</v>
      </c>
      <c r="J91" s="10" t="n">
        <f aca="false">SUMIFS('Data BoP'!$M$6:$M$86,'Data BoP'!$C$6:$C$86,$B91)</f>
        <v>-7722.60998290152</v>
      </c>
      <c r="K91" s="10" t="n">
        <f aca="false">SUMIFS('Data BoP'!$N$6:$N$86,'Data BoP'!$C$6:$C$86,$B91)</f>
        <v>-61.0990384860267</v>
      </c>
      <c r="L91" s="10" t="n">
        <f aca="false">SUMIFS('Data BoP'!$O$6:$O$86,'Data BoP'!$C$6:$C$86,$B91)</f>
        <v>-7661.51094441549</v>
      </c>
      <c r="M91" s="10" t="n">
        <f aca="false">SUMIFS('Data BoP'!$P$6:$P$86,'Data BoP'!$C$6:$C$86,$B91)</f>
        <v>-5476.81898046742</v>
      </c>
      <c r="N91" s="10" t="n">
        <f aca="false">SUMIFS('Data BoP'!$Q$6:$Q$86,'Data BoP'!$C$6:$C$86,$B91)</f>
        <v>-2992.43382405914</v>
      </c>
      <c r="O91" s="10" t="n">
        <f aca="false">SUMIFS('Data BoP'!$R$6:$R$86,'Data BoP'!$C$6:$C$86,$B91)</f>
        <v>-181.904739088058</v>
      </c>
      <c r="P91" s="10" t="n">
        <f aca="false">SUMIFS('Data BoP'!$AO$6:$AO$86,'Data BoP'!$C$6:$C$86,$B91)</f>
        <v>989.646599199127</v>
      </c>
      <c r="Q91" s="10" t="n">
        <f aca="false">SUMIFS('Data BoP'!$S$6:$S$86,'Data BoP'!$C$6:$C$86,$B91)</f>
        <v>954.769929946759</v>
      </c>
      <c r="R91" s="10" t="n">
        <f aca="false">SUMIFS('Data BoP'!$T$6:$T$86,'Data BoP'!$C$6:$C$86,$B91)</f>
        <v>97.6243278048008</v>
      </c>
    </row>
    <row r="92" customFormat="false" ht="15" hidden="false" customHeight="false" outlineLevel="0" collapsed="false">
      <c r="B92" s="16" t="n">
        <v>2007</v>
      </c>
      <c r="C92" s="15" t="n">
        <f aca="false">SUMIFS('Data BoP'!$E$6:$E$86,'Data BoP'!$C$6:$C$86,$B92)</f>
        <v>6048.53789288669</v>
      </c>
      <c r="D92" s="10" t="n">
        <f aca="false">SUMIFS('Data BoP'!$G$6:$G$86,'Data BoP'!$C$6:$C$86,$B92)</f>
        <v>13552.062</v>
      </c>
      <c r="E92" s="10" t="n">
        <f aca="false">SUMIFS('Data BoP'!$H$6:$H$86,'Data BoP'!$C$6:$C$86,$B92)</f>
        <v>56076.562</v>
      </c>
      <c r="F92" s="10" t="n">
        <f aca="false">SUMIFS('Data BoP'!$I$6:$I$86,'Data BoP'!$C$6:$C$86,$B92)</f>
        <v>42524.5</v>
      </c>
      <c r="G92" s="10" t="n">
        <f aca="false">SUMIFS('Data BoP'!$J$6:$J$86,'Data BoP'!$C$6:$C$86,$B92)</f>
        <v>-981.482023711277</v>
      </c>
      <c r="H92" s="10" t="n">
        <f aca="false">SUMIFS('Data BoP'!$K$6:$K$86,'Data BoP'!$C$6:$C$86,$B92)</f>
        <v>10045.7364961757</v>
      </c>
      <c r="I92" s="10" t="n">
        <f aca="false">SUMIFS('Data BoP'!$L$6:$L$86,'Data BoP'!$C$6:$C$86,$B92)</f>
        <v>11027.218519887</v>
      </c>
      <c r="J92" s="10" t="n">
        <f aca="false">SUMIFS('Data BoP'!$M$6:$M$86,'Data BoP'!$C$6:$C$86,$B92)</f>
        <v>-7594.65576344788</v>
      </c>
      <c r="K92" s="10" t="n">
        <f aca="false">SUMIFS('Data BoP'!$N$6:$N$86,'Data BoP'!$C$6:$C$86,$B92)</f>
        <v>-72.4669169430338</v>
      </c>
      <c r="L92" s="10" t="n">
        <f aca="false">SUMIFS('Data BoP'!$O$6:$O$86,'Data BoP'!$C$6:$C$86,$B92)</f>
        <v>-7522.18884650485</v>
      </c>
      <c r="M92" s="10" t="n">
        <f aca="false">SUMIFS('Data BoP'!$P$6:$P$86,'Data BoP'!$C$6:$C$86,$B92)</f>
        <v>-5797.86500849299</v>
      </c>
      <c r="N92" s="10" t="n">
        <f aca="false">SUMIFS('Data BoP'!$Q$6:$Q$86,'Data BoP'!$C$6:$C$86,$B92)</f>
        <v>-3278.99444722251</v>
      </c>
      <c r="O92" s="10" t="n">
        <f aca="false">SUMIFS('Data BoP'!$R$6:$R$86,'Data BoP'!$C$6:$C$86,$B92)</f>
        <v>-244.547478450319</v>
      </c>
      <c r="P92" s="10" t="n">
        <f aca="false">SUMIFS('Data BoP'!$AO$6:$AO$86,'Data BoP'!$C$6:$C$86,$B92)</f>
        <v>1799.21808766097</v>
      </c>
      <c r="Q92" s="10" t="n">
        <f aca="false">SUMIFS('Data BoP'!$S$6:$S$86,'Data BoP'!$C$6:$C$86,$B92)</f>
        <v>1072.61368004585</v>
      </c>
      <c r="R92" s="10" t="n">
        <f aca="false">SUMIFS('Data BoP'!$T$6:$T$86,'Data BoP'!$C$6:$C$86,$B92)</f>
        <v>121.145888968173</v>
      </c>
    </row>
    <row r="93" customFormat="false" ht="15" hidden="false" customHeight="false" outlineLevel="0" collapsed="false">
      <c r="B93" s="16" t="n">
        <v>2008</v>
      </c>
      <c r="C93" s="15" t="n">
        <f aca="false">SUMIFS('Data BoP'!$E$6:$E$86,'Data BoP'!$C$6:$C$86,$B93)</f>
        <v>5421.20632861009</v>
      </c>
      <c r="D93" s="10" t="n">
        <f aca="false">SUMIFS('Data BoP'!$G$6:$G$86,'Data BoP'!$C$6:$C$86,$B93)</f>
        <v>15563.272</v>
      </c>
      <c r="E93" s="10" t="n">
        <f aca="false">SUMIFS('Data BoP'!$H$6:$H$86,'Data BoP'!$C$6:$C$86,$B93)</f>
        <v>70159.472</v>
      </c>
      <c r="F93" s="10" t="n">
        <f aca="false">SUMIFS('Data BoP'!$I$6:$I$86,'Data BoP'!$C$6:$C$86,$B93)</f>
        <v>54596.2</v>
      </c>
      <c r="G93" s="10" t="n">
        <f aca="false">SUMIFS('Data BoP'!$J$6:$J$86,'Data BoP'!$C$6:$C$86,$B93)</f>
        <v>-2222.33502670325</v>
      </c>
      <c r="H93" s="10" t="n">
        <f aca="false">SUMIFS('Data BoP'!$K$6:$K$86,'Data BoP'!$C$6:$C$86,$B93)</f>
        <v>11424.1490717763</v>
      </c>
      <c r="I93" s="10" t="n">
        <f aca="false">SUMIFS('Data BoP'!$L$6:$L$86,'Data BoP'!$C$6:$C$86,$B93)</f>
        <v>13646.4840984796</v>
      </c>
      <c r="J93" s="10" t="n">
        <f aca="false">SUMIFS('Data BoP'!$M$6:$M$86,'Data BoP'!$C$6:$C$86,$B93)</f>
        <v>-9034.1907000384</v>
      </c>
      <c r="K93" s="10" t="n">
        <f aca="false">SUMIFS('Data BoP'!$N$6:$N$86,'Data BoP'!$C$6:$C$86,$B93)</f>
        <v>-51.6416657546866</v>
      </c>
      <c r="L93" s="10" t="n">
        <f aca="false">SUMIFS('Data BoP'!$O$6:$O$86,'Data BoP'!$C$6:$C$86,$B93)</f>
        <v>-8982.54903428371</v>
      </c>
      <c r="M93" s="10" t="n">
        <f aca="false">SUMIFS('Data BoP'!$P$6:$P$86,'Data BoP'!$C$6:$C$86,$B93)</f>
        <v>-6579.5382116872</v>
      </c>
      <c r="N93" s="10" t="n">
        <f aca="false">SUMIFS('Data BoP'!$Q$6:$Q$86,'Data BoP'!$C$6:$C$86,$B93)</f>
        <v>-3083.82246223865</v>
      </c>
      <c r="O93" s="10" t="n">
        <f aca="false">SUMIFS('Data BoP'!$R$6:$R$86,'Data BoP'!$C$6:$C$86,$B93)</f>
        <v>-690.450967105392</v>
      </c>
      <c r="P93" s="10" t="n">
        <f aca="false">SUMIFS('Data BoP'!$AO$6:$AO$86,'Data BoP'!$C$6:$C$86,$B93)</f>
        <v>1371.26260674753</v>
      </c>
      <c r="Q93" s="10" t="n">
        <f aca="false">SUMIFS('Data BoP'!$S$6:$S$86,'Data BoP'!$C$6:$C$86,$B93)</f>
        <v>1114.46005535173</v>
      </c>
      <c r="R93" s="10" t="n">
        <f aca="false">SUMIFS('Data BoP'!$T$6:$T$86,'Data BoP'!$C$6:$C$86,$B93)</f>
        <v>185.060016726878</v>
      </c>
    </row>
    <row r="94" customFormat="false" ht="15" hidden="false" customHeight="false" outlineLevel="0" collapsed="false">
      <c r="B94" s="16" t="n">
        <v>2009</v>
      </c>
      <c r="C94" s="15" t="n">
        <f aca="false">SUMIFS('Data BoP'!$E$6:$E$86,'Data BoP'!$C$6:$C$86,$B94)</f>
        <v>7254.11568393702</v>
      </c>
      <c r="D94" s="10" t="n">
        <f aca="false">SUMIFS('Data BoP'!$G$6:$G$86,'Data BoP'!$C$6:$C$86,$B94)</f>
        <v>18644.85</v>
      </c>
      <c r="E94" s="10" t="n">
        <f aca="false">SUMIFS('Data BoP'!$H$6:$H$86,'Data BoP'!$C$6:$C$86,$B94)</f>
        <v>55790.984</v>
      </c>
      <c r="F94" s="10" t="n">
        <f aca="false">SUMIFS('Data BoP'!$I$6:$I$86,'Data BoP'!$C$6:$C$86,$B94)</f>
        <v>37146.134</v>
      </c>
      <c r="G94" s="10" t="n">
        <f aca="false">SUMIFS('Data BoP'!$J$6:$J$86,'Data BoP'!$C$6:$C$86,$B94)</f>
        <v>-1992.03148960427</v>
      </c>
      <c r="H94" s="10" t="n">
        <f aca="false">SUMIFS('Data BoP'!$K$6:$K$86,'Data BoP'!$C$6:$C$86,$B94)</f>
        <v>10544.6213236348</v>
      </c>
      <c r="I94" s="10" t="n">
        <f aca="false">SUMIFS('Data BoP'!$L$6:$L$86,'Data BoP'!$C$6:$C$86,$B94)</f>
        <v>12536.652813239</v>
      </c>
      <c r="J94" s="10" t="n">
        <f aca="false">SUMIFS('Data BoP'!$M$6:$M$86,'Data BoP'!$C$6:$C$86,$B94)</f>
        <v>-10318.875001573</v>
      </c>
      <c r="K94" s="10" t="n">
        <f aca="false">SUMIFS('Data BoP'!$N$6:$N$86,'Data BoP'!$C$6:$C$86,$B94)</f>
        <v>-59.3577871104961</v>
      </c>
      <c r="L94" s="10" t="n">
        <f aca="false">SUMIFS('Data BoP'!$O$6:$O$86,'Data BoP'!$C$6:$C$86,$B94)</f>
        <v>-10259.5172144625</v>
      </c>
      <c r="M94" s="10" t="n">
        <f aca="false">SUMIFS('Data BoP'!$P$6:$P$86,'Data BoP'!$C$6:$C$86,$B94)</f>
        <v>-7069.79248864503</v>
      </c>
      <c r="N94" s="10" t="n">
        <f aca="false">SUMIFS('Data BoP'!$Q$6:$Q$86,'Data BoP'!$C$6:$C$86,$B94)</f>
        <v>-2548.70369536761</v>
      </c>
      <c r="O94" s="10" t="n">
        <f aca="false">SUMIFS('Data BoP'!$R$6:$R$86,'Data BoP'!$C$6:$C$86,$B94)</f>
        <v>-998.427781452367</v>
      </c>
      <c r="P94" s="10" t="n">
        <f aca="false">SUMIFS('Data BoP'!$AO$6:$AO$86,'Data BoP'!$C$6:$C$86,$B94)</f>
        <v>357.406751002533</v>
      </c>
      <c r="Q94" s="10" t="n">
        <f aca="false">SUMIFS('Data BoP'!$S$6:$S$86,'Data BoP'!$C$6:$C$86,$B94)</f>
        <v>920.172175114258</v>
      </c>
      <c r="R94" s="10" t="n">
        <f aca="false">SUMIFS('Data BoP'!$T$6:$T$86,'Data BoP'!$C$6:$C$86,$B94)</f>
        <v>79.9842279847326</v>
      </c>
    </row>
    <row r="95" customFormat="false" ht="15" hidden="false" customHeight="false" outlineLevel="0" collapsed="false">
      <c r="B95" s="16" t="n">
        <v>2010</v>
      </c>
      <c r="C95" s="15" t="n">
        <f aca="false">SUMIFS('Data BoP'!$E$6:$E$86,'Data BoP'!$C$6:$C$86,$B95)</f>
        <v>-1622.99587125069</v>
      </c>
      <c r="D95" s="10" t="n">
        <f aca="false">SUMIFS('Data BoP'!$G$6:$G$86,'Data BoP'!$C$6:$C$86,$B95)</f>
        <v>14147.10929849</v>
      </c>
      <c r="E95" s="10" t="n">
        <f aca="false">SUMIFS('Data BoP'!$H$6:$H$86,'Data BoP'!$C$6:$C$86,$B95)</f>
        <v>68305.873</v>
      </c>
      <c r="F95" s="10" t="n">
        <f aca="false">SUMIFS('Data BoP'!$I$6:$I$86,'Data BoP'!$C$6:$C$86,$B95)</f>
        <v>54158.76370151</v>
      </c>
      <c r="G95" s="10" t="n">
        <f aca="false">SUMIFS('Data BoP'!$J$6:$J$86,'Data BoP'!$C$6:$C$86,$B95)</f>
        <v>-1803.58864991169</v>
      </c>
      <c r="H95" s="10" t="n">
        <f aca="false">SUMIFS('Data BoP'!$K$6:$K$86,'Data BoP'!$C$6:$C$86,$B95)</f>
        <v>12817.1433606088</v>
      </c>
      <c r="I95" s="10" t="n">
        <f aca="false">SUMIFS('Data BoP'!$L$6:$L$86,'Data BoP'!$C$6:$C$86,$B95)</f>
        <v>14620.7320105205</v>
      </c>
      <c r="J95" s="10" t="n">
        <f aca="false">SUMIFS('Data BoP'!$M$6:$M$86,'Data BoP'!$C$6:$C$86,$B95)</f>
        <v>-14547.533203937</v>
      </c>
      <c r="K95" s="10" t="n">
        <f aca="false">SUMIFS('Data BoP'!$N$6:$N$86,'Data BoP'!$C$6:$C$86,$B95)</f>
        <v>-54.7233460722188</v>
      </c>
      <c r="L95" s="10" t="n">
        <f aca="false">SUMIFS('Data BoP'!$O$6:$O$86,'Data BoP'!$C$6:$C$86,$B95)</f>
        <v>-14492.8098578647</v>
      </c>
      <c r="M95" s="10" t="n">
        <f aca="false">SUMIFS('Data BoP'!$P$6:$P$86,'Data BoP'!$C$6:$C$86,$B95)</f>
        <v>-11161.704531851</v>
      </c>
      <c r="N95" s="10" t="n">
        <f aca="false">SUMIFS('Data BoP'!$Q$6:$Q$86,'Data BoP'!$C$6:$C$86,$B95)</f>
        <v>-2413.14166898984</v>
      </c>
      <c r="O95" s="10" t="n">
        <f aca="false">SUMIFS('Data BoP'!$R$6:$R$86,'Data BoP'!$C$6:$C$86,$B95)</f>
        <v>-1066.90201045637</v>
      </c>
      <c r="P95" s="10" t="n">
        <f aca="false">SUMIFS('Data BoP'!$AO$6:$AO$86,'Data BoP'!$C$6:$C$86,$B95)</f>
        <v>148.938353432463</v>
      </c>
      <c r="Q95" s="10" t="n">
        <f aca="false">SUMIFS('Data BoP'!$S$6:$S$86,'Data BoP'!$C$6:$C$86,$B95)</f>
        <v>581.016684107961</v>
      </c>
      <c r="R95" s="10" t="n">
        <f aca="false">SUMIFS('Data BoP'!$T$6:$T$86,'Data BoP'!$C$6:$C$86,$B95)</f>
        <v>78.4778847367681</v>
      </c>
    </row>
    <row r="96" customFormat="false" ht="15" hidden="false" customHeight="false" outlineLevel="0" collapsed="false">
      <c r="B96" s="16" t="n">
        <v>2011</v>
      </c>
      <c r="C96" s="15" t="n">
        <f aca="false">SUMIFS('Data BoP'!$E$6:$E$86,'Data BoP'!$C$6:$C$86,$B96)</f>
        <v>-5340.1811923952</v>
      </c>
      <c r="D96" s="10" t="n">
        <f aca="false">SUMIFS('Data BoP'!$G$6:$G$86,'Data BoP'!$C$6:$C$86,$B96)</f>
        <v>12350.93108679</v>
      </c>
      <c r="E96" s="10" t="n">
        <f aca="false">SUMIFS('Data BoP'!$H$6:$H$86,'Data BoP'!$C$6:$C$86,$B96)</f>
        <v>83119.709</v>
      </c>
      <c r="F96" s="10" t="n">
        <f aca="false">SUMIFS('Data BoP'!$I$6:$I$86,'Data BoP'!$C$6:$C$86,$B96)</f>
        <v>70768.77791321</v>
      </c>
      <c r="G96" s="10" t="n">
        <f aca="false">SUMIFS('Data BoP'!$J$6:$J$86,'Data BoP'!$C$6:$C$86,$B96)</f>
        <v>-3152.48803707646</v>
      </c>
      <c r="H96" s="10" t="n">
        <f aca="false">SUMIFS('Data BoP'!$K$6:$K$86,'Data BoP'!$C$6:$C$86,$B96)</f>
        <v>14496.9812753835</v>
      </c>
      <c r="I96" s="10" t="n">
        <f aca="false">SUMIFS('Data BoP'!$L$6:$L$86,'Data BoP'!$C$6:$C$86,$B96)</f>
        <v>17649.4693124599</v>
      </c>
      <c r="J96" s="10" t="n">
        <f aca="false">SUMIFS('Data BoP'!$M$6:$M$86,'Data BoP'!$C$6:$C$86,$B96)</f>
        <v>-15073.0670998511</v>
      </c>
      <c r="K96" s="10" t="n">
        <f aca="false">SUMIFS('Data BoP'!$N$6:$N$86,'Data BoP'!$C$6:$C$86,$B96)</f>
        <v>-45.8978777473206</v>
      </c>
      <c r="L96" s="10" t="n">
        <f aca="false">SUMIFS('Data BoP'!$O$6:$O$86,'Data BoP'!$C$6:$C$86,$B96)</f>
        <v>-15027.1692221038</v>
      </c>
      <c r="M96" s="10" t="n">
        <f aca="false">SUMIFS('Data BoP'!$P$6:$P$86,'Data BoP'!$C$6:$C$86,$B96)</f>
        <v>-11136.3552417709</v>
      </c>
      <c r="N96" s="10" t="n">
        <f aca="false">SUMIFS('Data BoP'!$Q$6:$Q$86,'Data BoP'!$C$6:$C$86,$B96)</f>
        <v>-2744.69186507656</v>
      </c>
      <c r="O96" s="10" t="n">
        <f aca="false">SUMIFS('Data BoP'!$R$6:$R$86,'Data BoP'!$C$6:$C$86,$B96)</f>
        <v>-1227.8536733586</v>
      </c>
      <c r="P96" s="10" t="n">
        <f aca="false">SUMIFS('Data BoP'!$AO$6:$AO$86,'Data BoP'!$C$6:$C$86,$B96)</f>
        <v>81.7315581022147</v>
      </c>
      <c r="Q96" s="10" t="n">
        <f aca="false">SUMIFS('Data BoP'!$S$6:$S$86,'Data BoP'!$C$6:$C$86,$B96)</f>
        <v>534.442857742389</v>
      </c>
      <c r="R96" s="10" t="n">
        <f aca="false">SUMIFS('Data BoP'!$T$6:$T$86,'Data BoP'!$C$6:$C$86,$B96)</f>
        <v>62.723846223565</v>
      </c>
    </row>
    <row r="97" customFormat="false" ht="15" hidden="false" customHeight="false" outlineLevel="0" collapsed="false">
      <c r="B97" s="16" t="n">
        <v>2012</v>
      </c>
      <c r="C97" s="15" t="n">
        <f aca="false">SUMIFS('Data BoP'!$E$6:$E$86,'Data BoP'!$C$6:$C$86,$B97)</f>
        <v>-2138.04036043296</v>
      </c>
      <c r="D97" s="10" t="n">
        <f aca="false">SUMIFS('Data BoP'!$G$6:$G$86,'Data BoP'!$C$6:$C$86,$B97)</f>
        <v>15040.91278654</v>
      </c>
      <c r="E97" s="10" t="n">
        <f aca="false">SUMIFS('Data BoP'!$H$6:$H$86,'Data BoP'!$C$6:$C$86,$B97)</f>
        <v>80083.655</v>
      </c>
      <c r="F97" s="10" t="n">
        <f aca="false">SUMIFS('Data BoP'!$I$6:$I$86,'Data BoP'!$C$6:$C$86,$B97)</f>
        <v>65042.74221346</v>
      </c>
      <c r="G97" s="10" t="n">
        <f aca="false">SUMIFS('Data BoP'!$J$6:$J$86,'Data BoP'!$C$6:$C$86,$B97)</f>
        <v>-4097.22472397185</v>
      </c>
      <c r="H97" s="10" t="n">
        <f aca="false">SUMIFS('Data BoP'!$K$6:$K$86,'Data BoP'!$C$6:$C$86,$B97)</f>
        <v>14247.1007295577</v>
      </c>
      <c r="I97" s="10" t="n">
        <f aca="false">SUMIFS('Data BoP'!$L$6:$L$86,'Data BoP'!$C$6:$C$86,$B97)</f>
        <v>18344.3254535296</v>
      </c>
      <c r="J97" s="10" t="n">
        <f aca="false">SUMIFS('Data BoP'!$M$6:$M$86,'Data BoP'!$C$6:$C$86,$B97)</f>
        <v>-13753.840627053</v>
      </c>
      <c r="K97" s="10" t="n">
        <f aca="false">SUMIFS('Data BoP'!$N$6:$N$86,'Data BoP'!$C$6:$C$86,$B97)</f>
        <v>-62.7719268627019</v>
      </c>
      <c r="L97" s="10" t="n">
        <f aca="false">SUMIFS('Data BoP'!$O$6:$O$86,'Data BoP'!$C$6:$C$86,$B97)</f>
        <v>-13691.0687001903</v>
      </c>
      <c r="M97" s="10" t="n">
        <f aca="false">SUMIFS('Data BoP'!$P$6:$P$86,'Data BoP'!$C$6:$C$86,$B97)</f>
        <v>-9616.24880456394</v>
      </c>
      <c r="N97" s="10" t="n">
        <f aca="false">SUMIFS('Data BoP'!$Q$6:$Q$86,'Data BoP'!$C$6:$C$86,$B97)</f>
        <v>-2658.50030585514</v>
      </c>
      <c r="O97" s="10" t="n">
        <f aca="false">SUMIFS('Data BoP'!$R$6:$R$86,'Data BoP'!$C$6:$C$86,$B97)</f>
        <v>-1470.17352967947</v>
      </c>
      <c r="P97" s="10" t="n">
        <f aca="false">SUMIFS('Data BoP'!$AO$6:$AO$86,'Data BoP'!$C$6:$C$86,$B97)</f>
        <v>53.8539399082407</v>
      </c>
      <c r="Q97" s="10" t="n">
        <f aca="false">SUMIFS('Data BoP'!$S$6:$S$86,'Data BoP'!$C$6:$C$86,$B97)</f>
        <v>672.112204051891</v>
      </c>
      <c r="R97" s="10" t="n">
        <f aca="false">SUMIFS('Data BoP'!$T$6:$T$86,'Data BoP'!$C$6:$C$86,$B97)</f>
        <v>47.8840445688196</v>
      </c>
    </row>
    <row r="98" customFormat="false" ht="15" hidden="false" customHeight="false" outlineLevel="0" collapsed="false">
      <c r="B98" s="16" t="n">
        <v>2013</v>
      </c>
      <c r="C98" s="15" t="n">
        <f aca="false">SUMIFS('Data BoP'!$E$6:$E$86,'Data BoP'!$C$6:$C$86,$B98)</f>
        <v>-13124.3737858633</v>
      </c>
      <c r="D98" s="10" t="n">
        <f aca="false">SUMIFS('Data BoP'!$G$6:$G$86,'Data BoP'!$C$6:$C$86,$B98)</f>
        <v>4635.23524090994</v>
      </c>
      <c r="E98" s="10" t="n">
        <f aca="false">SUMIFS('Data BoP'!$H$6:$H$86,'Data BoP'!$C$6:$C$86,$B98)</f>
        <v>75928.2283610699</v>
      </c>
      <c r="F98" s="10" t="n">
        <f aca="false">SUMIFS('Data BoP'!$I$6:$I$86,'Data BoP'!$C$6:$C$86,$B98)</f>
        <v>71292.99312016</v>
      </c>
      <c r="G98" s="10" t="n">
        <f aca="false">SUMIFS('Data BoP'!$J$6:$J$86,'Data BoP'!$C$6:$C$86,$B98)</f>
        <v>-5328.91611533877</v>
      </c>
      <c r="H98" s="10" t="n">
        <f aca="false">SUMIFS('Data BoP'!$K$6:$K$86,'Data BoP'!$C$6:$C$86,$B98)</f>
        <v>13679.8917683754</v>
      </c>
      <c r="I98" s="10" t="n">
        <f aca="false">SUMIFS('Data BoP'!$L$6:$L$86,'Data BoP'!$C$6:$C$86,$B98)</f>
        <v>19008.8078837141</v>
      </c>
      <c r="J98" s="10" t="n">
        <f aca="false">SUMIFS('Data BoP'!$M$6:$M$86,'Data BoP'!$C$6:$C$86,$B98)</f>
        <v>-13164.8275748438</v>
      </c>
      <c r="K98" s="10" t="n">
        <f aca="false">SUMIFS('Data BoP'!$N$6:$N$86,'Data BoP'!$C$6:$C$86,$B98)</f>
        <v>-65.4094210191489</v>
      </c>
      <c r="L98" s="10" t="n">
        <f aca="false">SUMIFS('Data BoP'!$O$6:$O$86,'Data BoP'!$C$6:$C$86,$B98)</f>
        <v>-13099.4181538247</v>
      </c>
      <c r="M98" s="10" t="n">
        <f aca="false">SUMIFS('Data BoP'!$P$6:$P$86,'Data BoP'!$C$6:$C$86,$B98)</f>
        <v>-8978.56683398833</v>
      </c>
      <c r="N98" s="10" t="n">
        <f aca="false">SUMIFS('Data BoP'!$Q$6:$Q$86,'Data BoP'!$C$6:$C$86,$B98)</f>
        <v>-2773.29915990228</v>
      </c>
      <c r="O98" s="10" t="n">
        <f aca="false">SUMIFS('Data BoP'!$R$6:$R$86,'Data BoP'!$C$6:$C$86,$B98)</f>
        <v>-1384.86370237213</v>
      </c>
      <c r="P98" s="10" t="n">
        <f aca="false">SUMIFS('Data BoP'!$AO$6:$AO$86,'Data BoP'!$C$6:$C$86,$B98)</f>
        <v>37.3115424380435</v>
      </c>
      <c r="Q98" s="10" t="n">
        <f aca="false">SUMIFS('Data BoP'!$S$6:$S$86,'Data BoP'!$C$6:$C$86,$B98)</f>
        <v>734.134663409385</v>
      </c>
      <c r="R98" s="10" t="n">
        <f aca="false">SUMIFS('Data BoP'!$T$6:$T$86,'Data BoP'!$C$6:$C$86,$B98)</f>
        <v>33.4128737184379</v>
      </c>
    </row>
    <row r="99" customFormat="false" ht="15" hidden="false" customHeight="false" outlineLevel="0" collapsed="false">
      <c r="B99" s="16" t="n">
        <v>2014</v>
      </c>
      <c r="C99" s="15" t="n">
        <f aca="false">SUMIFS('Data BoP'!$E$6:$E$86,'Data BoP'!$C$6:$C$86,$B99)</f>
        <v>-9179.02626687552</v>
      </c>
      <c r="D99" s="10" t="n">
        <f aca="false">SUMIFS('Data BoP'!$G$6:$G$86,'Data BoP'!$C$6:$C$86,$B99)</f>
        <v>5541.4698129</v>
      </c>
      <c r="E99" s="10" t="n">
        <f aca="false">SUMIFS('Data BoP'!$H$6:$H$86,'Data BoP'!$C$6:$C$86,$B99)</f>
        <v>68440.435907</v>
      </c>
      <c r="F99" s="10" t="n">
        <f aca="false">SUMIFS('Data BoP'!$I$6:$I$86,'Data BoP'!$C$6:$C$86,$B99)</f>
        <v>62898.9660941</v>
      </c>
      <c r="G99" s="10" t="n">
        <f aca="false">SUMIFS('Data BoP'!$J$6:$J$86,'Data BoP'!$C$6:$C$86,$B99)</f>
        <v>-4641.29215340124</v>
      </c>
      <c r="H99" s="10" t="n">
        <f aca="false">SUMIFS('Data BoP'!$K$6:$K$86,'Data BoP'!$C$6:$C$86,$B99)</f>
        <v>13396.3718277264</v>
      </c>
      <c r="I99" s="10" t="n">
        <f aca="false">SUMIFS('Data BoP'!$L$6:$L$86,'Data BoP'!$C$6:$C$86,$B99)</f>
        <v>18037.6639811276</v>
      </c>
      <c r="J99" s="10" t="n">
        <f aca="false">SUMIFS('Data BoP'!$M$6:$M$86,'Data BoP'!$C$6:$C$86,$B99)</f>
        <v>-11613.8474812072</v>
      </c>
      <c r="K99" s="10" t="n">
        <f aca="false">SUMIFS('Data BoP'!$N$6:$N$86,'Data BoP'!$C$6:$C$86,$B99)</f>
        <v>-34.1912730304434</v>
      </c>
      <c r="L99" s="10" t="n">
        <f aca="false">SUMIFS('Data BoP'!$O$6:$O$86,'Data BoP'!$C$6:$C$86,$B99)</f>
        <v>-11579.6562081768</v>
      </c>
      <c r="M99" s="10" t="n">
        <f aca="false">SUMIFS('Data BoP'!$P$6:$P$86,'Data BoP'!$C$6:$C$86,$B99)</f>
        <v>-7299.5735251676</v>
      </c>
      <c r="N99" s="10" t="n">
        <f aca="false">SUMIFS('Data BoP'!$Q$6:$Q$86,'Data BoP'!$C$6:$C$86,$B99)</f>
        <v>-2938.68845748115</v>
      </c>
      <c r="O99" s="10" t="n">
        <f aca="false">SUMIFS('Data BoP'!$R$6:$R$86,'Data BoP'!$C$6:$C$86,$B99)</f>
        <v>-1358.84747059384</v>
      </c>
      <c r="P99" s="10" t="n">
        <f aca="false">SUMIFS('Data BoP'!$AO$6:$AO$86,'Data BoP'!$C$6:$C$86,$B99)</f>
        <v>17.4532450658145</v>
      </c>
      <c r="Q99" s="10" t="n">
        <f aca="false">SUMIFS('Data BoP'!$S$6:$S$86,'Data BoP'!$C$6:$C$86,$B99)</f>
        <v>1534.64355483294</v>
      </c>
      <c r="R99" s="10" t="n">
        <f aca="false">SUMIFS('Data BoP'!$T$6:$T$86,'Data BoP'!$C$6:$C$86,$B99)</f>
        <v>56.7971051337351</v>
      </c>
    </row>
    <row r="100" customFormat="false" ht="15" hidden="false" customHeight="false" outlineLevel="0" collapsed="false">
      <c r="B100" s="16" t="n">
        <v>2015</v>
      </c>
      <c r="C100" s="15" t="n">
        <f aca="false">SUMIFS('Data BoP'!$E$6:$E$86,'Data BoP'!$C$6:$C$86,$B100)</f>
        <v>-17621.98516821</v>
      </c>
      <c r="D100" s="10" t="n">
        <f aca="false">SUMIFS('Data BoP'!$G$6:$G$86,'Data BoP'!$C$6:$C$86,$B100)</f>
        <v>-785.176392620004</v>
      </c>
      <c r="E100" s="10" t="n">
        <f aca="false">SUMIFS('Data BoP'!$H$6:$H$86,'Data BoP'!$C$6:$C$86,$B100)</f>
        <v>56809.053493</v>
      </c>
      <c r="F100" s="10" t="n">
        <f aca="false">SUMIFS('Data BoP'!$I$6:$I$86,'Data BoP'!$C$6:$C$86,$B100)</f>
        <v>57594.22988562</v>
      </c>
      <c r="G100" s="10" t="n">
        <f aca="false">SUMIFS('Data BoP'!$J$6:$J$86,'Data BoP'!$C$6:$C$86,$B100)</f>
        <v>-5815.04469324428</v>
      </c>
      <c r="H100" s="10" t="n">
        <f aca="false">SUMIFS('Data BoP'!$K$6:$K$86,'Data BoP'!$C$6:$C$86,$B100)</f>
        <v>13213.5123499764</v>
      </c>
      <c r="I100" s="10" t="n">
        <f aca="false">SUMIFS('Data BoP'!$L$6:$L$86,'Data BoP'!$C$6:$C$86,$B100)</f>
        <v>19028.5570432207</v>
      </c>
      <c r="J100" s="10" t="n">
        <f aca="false">SUMIFS('Data BoP'!$M$6:$M$86,'Data BoP'!$C$6:$C$86,$B100)</f>
        <v>-12104.5985786044</v>
      </c>
      <c r="K100" s="10" t="n">
        <f aca="false">SUMIFS('Data BoP'!$N$6:$N$86,'Data BoP'!$C$6:$C$86,$B100)</f>
        <v>25.8128280286606</v>
      </c>
      <c r="L100" s="10" t="n">
        <f aca="false">SUMIFS('Data BoP'!$O$6:$O$86,'Data BoP'!$C$6:$C$86,$B100)</f>
        <v>-12130.4114066331</v>
      </c>
      <c r="M100" s="10" t="n">
        <f aca="false">SUMIFS('Data BoP'!$P$6:$P$86,'Data BoP'!$C$6:$C$86,$B100)</f>
        <v>-8145.14513639999</v>
      </c>
      <c r="N100" s="10" t="n">
        <f aca="false">SUMIFS('Data BoP'!$Q$6:$Q$86,'Data BoP'!$C$6:$C$86,$B100)</f>
        <v>-2687.24443619864</v>
      </c>
      <c r="O100" s="10" t="n">
        <f aca="false">SUMIFS('Data BoP'!$R$6:$R$86,'Data BoP'!$C$6:$C$86,$B100)</f>
        <v>-1322.49836333446</v>
      </c>
      <c r="P100" s="10" t="n">
        <f aca="false">SUMIFS('Data BoP'!$AO$6:$AO$86,'Data BoP'!$C$6:$C$86,$B100)</f>
        <v>24.4765293000215</v>
      </c>
      <c r="Q100" s="10" t="n">
        <f aca="false">SUMIFS('Data BoP'!$S$6:$S$86,'Data BoP'!$C$6:$C$86,$B100)</f>
        <v>1082.83449625872</v>
      </c>
      <c r="R100" s="10" t="n">
        <f aca="false">SUMIFS('Data BoP'!$T$6:$T$86,'Data BoP'!$C$6:$C$86,$B100)</f>
        <v>51.9291997684657</v>
      </c>
    </row>
    <row r="101" customFormat="false" ht="15" hidden="false" customHeight="false" outlineLevel="0" collapsed="false">
      <c r="B101" s="16" t="n">
        <v>2016</v>
      </c>
      <c r="C101" s="15" t="n">
        <f aca="false">SUMIFS('Data BoP'!$E$6:$E$86,'Data BoP'!$C$6:$C$86,$B101)</f>
        <v>-15104.7865245601</v>
      </c>
      <c r="D101" s="10" t="n">
        <f aca="false">SUMIFS('Data BoP'!$G$6:$G$86,'Data BoP'!$C$6:$C$86,$B101)</f>
        <v>4416.1569416</v>
      </c>
      <c r="E101" s="10" t="n">
        <f aca="false">SUMIFS('Data BoP'!$H$6:$H$86,'Data BoP'!$C$6:$C$86,$B101)</f>
        <v>57959.93369053</v>
      </c>
      <c r="F101" s="10" t="n">
        <f aca="false">SUMIFS('Data BoP'!$I$6:$I$86,'Data BoP'!$C$6:$C$86,$B101)</f>
        <v>53543.77674893</v>
      </c>
      <c r="G101" s="10" t="n">
        <f aca="false">SUMIFS('Data BoP'!$J$6:$J$86,'Data BoP'!$C$6:$C$86,$B101)</f>
        <v>-8451.65518553581</v>
      </c>
      <c r="H101" s="10" t="n">
        <f aca="false">SUMIFS('Data BoP'!$K$6:$K$86,'Data BoP'!$C$6:$C$86,$B101)</f>
        <v>13424.7068842252</v>
      </c>
      <c r="I101" s="10" t="n">
        <f aca="false">SUMIFS('Data BoP'!$L$6:$L$86,'Data BoP'!$C$6:$C$86,$B101)</f>
        <v>21876.362069761</v>
      </c>
      <c r="J101" s="10" t="n">
        <f aca="false">SUMIFS('Data BoP'!$M$6:$M$86,'Data BoP'!$C$6:$C$86,$B101)</f>
        <v>-12192.210740788</v>
      </c>
      <c r="K101" s="10" t="n">
        <f aca="false">SUMIFS('Data BoP'!$N$6:$N$86,'Data BoP'!$C$6:$C$86,$B101)</f>
        <v>-93.9378306304503</v>
      </c>
      <c r="L101" s="10" t="n">
        <f aca="false">SUMIFS('Data BoP'!$O$6:$O$86,'Data BoP'!$C$6:$C$86,$B101)</f>
        <v>-12098.2729101575</v>
      </c>
      <c r="M101" s="10" t="n">
        <f aca="false">SUMIFS('Data BoP'!$P$6:$P$86,'Data BoP'!$C$6:$C$86,$B101)</f>
        <v>-7166.25544521286</v>
      </c>
      <c r="N101" s="10" t="n">
        <f aca="false">SUMIFS('Data BoP'!$Q$6:$Q$86,'Data BoP'!$C$6:$C$86,$B101)</f>
        <v>-3505.42930901902</v>
      </c>
      <c r="O101" s="10" t="n">
        <f aca="false">SUMIFS('Data BoP'!$R$6:$R$86,'Data BoP'!$C$6:$C$86,$B101)</f>
        <v>-1487.14053419237</v>
      </c>
      <c r="P101" s="10" t="n">
        <f aca="false">SUMIFS('Data BoP'!$AO$6:$AO$86,'Data BoP'!$C$6:$C$86,$B101)</f>
        <v>60.5523782667141</v>
      </c>
      <c r="Q101" s="10" t="n">
        <f aca="false">SUMIFS('Data BoP'!$S$6:$S$86,'Data BoP'!$C$6:$C$86,$B101)</f>
        <v>1122.92246016368</v>
      </c>
      <c r="R101" s="10" t="n">
        <f aca="false">SUMIFS('Data BoP'!$T$6:$T$86,'Data BoP'!$C$6:$C$86,$B101)</f>
        <v>370.804546257024</v>
      </c>
    </row>
    <row r="102" customFormat="false" ht="15" hidden="false" customHeight="false" outlineLevel="0" collapsed="false">
      <c r="B102" s="16" t="n">
        <v>2017</v>
      </c>
      <c r="C102" s="15" t="n">
        <f aca="false">SUMIFS('Data BoP'!$E$6:$E$86,'Data BoP'!$C$6:$C$86,$B102)</f>
        <v>-31151.3517507624</v>
      </c>
      <c r="D102" s="10" t="n">
        <f aca="false">SUMIFS('Data BoP'!$G$6:$G$86,'Data BoP'!$C$6:$C$86,$B102)</f>
        <v>-5447.0631075401</v>
      </c>
      <c r="E102" s="10" t="n">
        <f aca="false">SUMIFS('Data BoP'!$H$6:$H$86,'Data BoP'!$C$6:$C$86,$B102)</f>
        <v>58661.8735517799</v>
      </c>
      <c r="F102" s="10" t="n">
        <f aca="false">SUMIFS('Data BoP'!$I$6:$I$86,'Data BoP'!$C$6:$C$86,$B102)</f>
        <v>64108.93665932</v>
      </c>
      <c r="G102" s="10" t="n">
        <f aca="false">SUMIFS('Data BoP'!$J$6:$J$86,'Data BoP'!$C$6:$C$86,$B102)</f>
        <v>-9695.43859222436</v>
      </c>
      <c r="H102" s="10" t="n">
        <f aca="false">SUMIFS('Data BoP'!$K$6:$K$86,'Data BoP'!$C$6:$C$86,$B102)</f>
        <v>15506.2019619823</v>
      </c>
      <c r="I102" s="10" t="n">
        <f aca="false">SUMIFS('Data BoP'!$L$6:$L$86,'Data BoP'!$C$6:$C$86,$B102)</f>
        <v>25201.6405542066</v>
      </c>
      <c r="J102" s="10" t="n">
        <f aca="false">SUMIFS('Data BoP'!$M$6:$M$86,'Data BoP'!$C$6:$C$86,$B102)</f>
        <v>-16380.2837055356</v>
      </c>
      <c r="K102" s="10" t="n">
        <f aca="false">SUMIFS('Data BoP'!$N$6:$N$86,'Data BoP'!$C$6:$C$86,$B102)</f>
        <v>-80.8035219058741</v>
      </c>
      <c r="L102" s="10" t="n">
        <f aca="false">SUMIFS('Data BoP'!$O$6:$O$86,'Data BoP'!$C$6:$C$86,$B102)</f>
        <v>-16299.4801836297</v>
      </c>
      <c r="M102" s="10" t="n">
        <f aca="false">SUMIFS('Data BoP'!$P$6:$P$86,'Data BoP'!$C$6:$C$86,$B102)</f>
        <v>-8681.64529384479</v>
      </c>
      <c r="N102" s="10" t="n">
        <f aca="false">SUMIFS('Data BoP'!$Q$6:$Q$86,'Data BoP'!$C$6:$C$86,$B102)</f>
        <v>-5980.84239692284</v>
      </c>
      <c r="O102" s="10" t="n">
        <f aca="false">SUMIFS('Data BoP'!$R$6:$R$86,'Data BoP'!$C$6:$C$86,$B102)</f>
        <v>-1767.34477034535</v>
      </c>
      <c r="P102" s="10" t="n">
        <f aca="false">SUMIFS('Data BoP'!$AO$6:$AO$86,'Data BoP'!$C$6:$C$86,$B102)</f>
        <v>130.352277483243</v>
      </c>
      <c r="Q102" s="10" t="n">
        <f aca="false">SUMIFS('Data BoP'!$S$6:$S$86,'Data BoP'!$C$6:$C$86,$B102)</f>
        <v>371.433654537697</v>
      </c>
      <c r="R102" s="10" t="n">
        <f aca="false">SUMIFS('Data BoP'!$T$6:$T$86,'Data BoP'!$C$6:$C$86,$B102)</f>
        <v>173.495467403954</v>
      </c>
    </row>
    <row r="103" customFormat="false" ht="15" hidden="false" customHeight="false" outlineLevel="0" collapsed="false">
      <c r="B103" s="16" t="n">
        <v>2018</v>
      </c>
      <c r="C103" s="15" t="n">
        <f aca="false">SUMIFS('Data BoP'!$E$6:$E$86,'Data BoP'!$C$6:$C$86,$B103)</f>
        <v>-27083.606451057</v>
      </c>
      <c r="D103" s="10" t="n">
        <f aca="false">SUMIFS('Data BoP'!$G$6:$G$86,'Data BoP'!$C$6:$C$86,$B103)</f>
        <v>-743.227678190101</v>
      </c>
      <c r="E103" s="10" t="n">
        <f aca="false">SUMIFS('Data BoP'!$H$6:$H$86,'Data BoP'!$C$6:$C$86,$B103)</f>
        <v>61801.0026382899</v>
      </c>
      <c r="F103" s="10" t="n">
        <f aca="false">SUMIFS('Data BoP'!$I$6:$I$86,'Data BoP'!$C$6:$C$86,$B103)</f>
        <v>62544.23031648</v>
      </c>
      <c r="G103" s="10" t="n">
        <f aca="false">SUMIFS('Data BoP'!$J$6:$J$86,'Data BoP'!$C$6:$C$86,$B103)</f>
        <v>-8935.2677860446</v>
      </c>
      <c r="H103" s="10" t="n">
        <f aca="false">SUMIFS('Data BoP'!$K$6:$K$86,'Data BoP'!$C$6:$C$86,$B103)</f>
        <v>15342.1631778323</v>
      </c>
      <c r="I103" s="10" t="n">
        <f aca="false">SUMIFS('Data BoP'!$L$6:$L$86,'Data BoP'!$C$6:$C$86,$B103)</f>
        <v>24277.4309638769</v>
      </c>
      <c r="J103" s="10" t="n">
        <f aca="false">SUMIFS('Data BoP'!$M$6:$M$86,'Data BoP'!$C$6:$C$86,$B103)</f>
        <v>-18650.2303250389</v>
      </c>
      <c r="K103" s="10" t="n">
        <f aca="false">SUMIFS('Data BoP'!$N$6:$N$86,'Data BoP'!$C$6:$C$86,$B103)</f>
        <v>-79.455694703321</v>
      </c>
      <c r="L103" s="10" t="n">
        <f aca="false">SUMIFS('Data BoP'!$O$6:$O$86,'Data BoP'!$C$6:$C$86,$B103)</f>
        <v>-18570.7746303356</v>
      </c>
      <c r="M103" s="10" t="n">
        <f aca="false">SUMIFS('Data BoP'!$P$6:$P$86,'Data BoP'!$C$6:$C$86,$B103)</f>
        <v>-7421.38972984359</v>
      </c>
      <c r="N103" s="10" t="n">
        <f aca="false">SUMIFS('Data BoP'!$Q$6:$Q$86,'Data BoP'!$C$6:$C$86,$B103)</f>
        <v>-9346.06493828495</v>
      </c>
      <c r="O103" s="10" t="n">
        <f aca="false">SUMIFS('Data BoP'!$R$6:$R$86,'Data BoP'!$C$6:$C$86,$B103)</f>
        <v>-2220.30863625175</v>
      </c>
      <c r="P103" s="10" t="n">
        <f aca="false">SUMIFS('Data BoP'!$AO$6:$AO$86,'Data BoP'!$C$6:$C$86,$B103)</f>
        <v>416.988674044728</v>
      </c>
      <c r="Q103" s="10" t="n">
        <f aca="false">SUMIFS('Data BoP'!$S$6:$S$86,'Data BoP'!$C$6:$C$86,$B103)</f>
        <v>1245.11933821656</v>
      </c>
      <c r="R103" s="10" t="n">
        <f aca="false">SUMIFS('Data BoP'!$T$6:$T$86,'Data BoP'!$C$6:$C$86,$B103)</f>
        <v>111.075518039001</v>
      </c>
    </row>
    <row r="104" customFormat="false" ht="15" hidden="false" customHeight="false" outlineLevel="0" collapsed="false">
      <c r="B104" s="16" t="n">
        <v>2019</v>
      </c>
      <c r="C104" s="15" t="n">
        <f aca="false">SUMIFS('Data BoP'!$E$6:$E$86,'Data BoP'!$C$6:$C$86,$B104)</f>
        <v>-3492.4795810842</v>
      </c>
      <c r="D104" s="10" t="n">
        <f aca="false">SUMIFS('Data BoP'!$G$6:$G$86,'Data BoP'!$C$6:$C$86,$B104)</f>
        <v>18233.7234583003</v>
      </c>
      <c r="E104" s="10" t="n">
        <f aca="false">SUMIFS('Data BoP'!$H$6:$H$86,'Data BoP'!$C$6:$C$86,$B104)</f>
        <v>65162.0617248101</v>
      </c>
      <c r="F104" s="10" t="n">
        <f aca="false">SUMIFS('Data BoP'!$I$6:$I$86,'Data BoP'!$C$6:$C$86,$B104)</f>
        <v>46928.3382665098</v>
      </c>
      <c r="G104" s="10" t="n">
        <f aca="false">SUMIFS('Data BoP'!$J$6:$J$86,'Data BoP'!$C$6:$C$86,$B104)</f>
        <v>-4843.17341741793</v>
      </c>
      <c r="H104" s="10" t="n">
        <f aca="false">SUMIFS('Data BoP'!$K$6:$K$86,'Data BoP'!$C$6:$C$86,$B104)</f>
        <v>14802.4208046125</v>
      </c>
      <c r="I104" s="10" t="n">
        <f aca="false">SUMIFS('Data BoP'!$L$6:$L$86,'Data BoP'!$C$6:$C$86,$B104)</f>
        <v>19645.5942220304</v>
      </c>
      <c r="J104" s="10" t="n">
        <f aca="false">SUMIFS('Data BoP'!$M$6:$M$86,'Data BoP'!$C$6:$C$86,$B104)</f>
        <v>-17732.1645619185</v>
      </c>
      <c r="K104" s="10" t="n">
        <f aca="false">SUMIFS('Data BoP'!$N$6:$N$86,'Data BoP'!$C$6:$C$86,$B104)</f>
        <v>-92.8885822080715</v>
      </c>
      <c r="L104" s="10" t="n">
        <f aca="false">SUMIFS('Data BoP'!$O$6:$O$86,'Data BoP'!$C$6:$C$86,$B104)</f>
        <v>-17639.2759797105</v>
      </c>
      <c r="M104" s="10" t="n">
        <f aca="false">SUMIFS('Data BoP'!$P$6:$P$86,'Data BoP'!$C$6:$C$86,$B104)</f>
        <v>-5609.58132615874</v>
      </c>
      <c r="N104" s="10" t="n">
        <f aca="false">SUMIFS('Data BoP'!$Q$6:$Q$86,'Data BoP'!$C$6:$C$86,$B104)</f>
        <v>-8707.74560270157</v>
      </c>
      <c r="O104" s="10" t="n">
        <f aca="false">SUMIFS('Data BoP'!$R$6:$R$86,'Data BoP'!$C$6:$C$86,$B104)</f>
        <v>-3650.1994877617</v>
      </c>
      <c r="P104" s="10" t="n">
        <f aca="false">SUMIFS('Data BoP'!$AO$6:$AO$86,'Data BoP'!$C$6:$C$86,$B104)</f>
        <v>328.250436911532</v>
      </c>
      <c r="Q104" s="10" t="n">
        <f aca="false">SUMIFS('Data BoP'!$S$6:$S$86,'Data BoP'!$C$6:$C$86,$B104)</f>
        <v>849.134939951966</v>
      </c>
      <c r="R104" s="10" t="n">
        <f aca="false">SUMIFS('Data BoP'!$T$6:$T$86,'Data BoP'!$C$6:$C$86,$B104)</f>
        <v>283.947300397874</v>
      </c>
    </row>
    <row r="105" customFormat="false" ht="15" hidden="false" customHeight="false" outlineLevel="0" collapsed="false">
      <c r="B105" s="16" t="n">
        <v>2020</v>
      </c>
      <c r="C105" s="15" t="n">
        <f aca="false">SUMIFS('Data BoP'!$E$6:$E$86,'Data BoP'!$C$6:$C$86,$B105)</f>
        <v>2688.36200552312</v>
      </c>
      <c r="D105" s="10" t="n">
        <f aca="false">SUMIFS('Data BoP'!$G$6:$G$86,'Data BoP'!$C$6:$C$86,$B105)</f>
        <v>14630.6981770898</v>
      </c>
      <c r="E105" s="10" t="n">
        <f aca="false">SUMIFS('Data BoP'!$H$6:$H$86,'Data BoP'!$C$6:$C$86,$B105)</f>
        <v>54945.5096987797</v>
      </c>
      <c r="F105" s="10" t="n">
        <f aca="false">SUMIFS('Data BoP'!$I$6:$I$86,'Data BoP'!$C$6:$C$86,$B105)</f>
        <v>40314.8115216899</v>
      </c>
      <c r="G105" s="10" t="n">
        <f aca="false">SUMIFS('Data BoP'!$J$6:$J$86,'Data BoP'!$C$6:$C$86,$B105)</f>
        <v>-2536.28276646437</v>
      </c>
      <c r="H105" s="10" t="n">
        <f aca="false">SUMIFS('Data BoP'!$K$6:$K$86,'Data BoP'!$C$6:$C$86,$B105)</f>
        <v>9491.7376067937</v>
      </c>
      <c r="I105" s="10" t="n">
        <f aca="false">SUMIFS('Data BoP'!$L$6:$L$86,'Data BoP'!$C$6:$C$86,$B105)</f>
        <v>12028.0203732581</v>
      </c>
      <c r="J105" s="10" t="n">
        <f aca="false">SUMIFS('Data BoP'!$M$6:$M$86,'Data BoP'!$C$6:$C$86,$B105)</f>
        <v>-10505.5777491292</v>
      </c>
      <c r="K105" s="10" t="n">
        <f aca="false">SUMIFS('Data BoP'!$N$6:$N$86,'Data BoP'!$C$6:$C$86,$B105)</f>
        <v>-82.1931419572904</v>
      </c>
      <c r="L105" s="10" t="n">
        <f aca="false">SUMIFS('Data BoP'!$O$6:$O$86,'Data BoP'!$C$6:$C$86,$B105)</f>
        <v>-10423.384607172</v>
      </c>
      <c r="M105" s="10" t="n">
        <f aca="false">SUMIFS('Data BoP'!$P$6:$P$86,'Data BoP'!$C$6:$C$86,$B105)</f>
        <v>-2609.64887197882</v>
      </c>
      <c r="N105" s="10" t="n">
        <f aca="false">SUMIFS('Data BoP'!$Q$6:$Q$86,'Data BoP'!$C$6:$C$86,$B105)</f>
        <v>-4104.21732816512</v>
      </c>
      <c r="O105" s="10" t="n">
        <f aca="false">SUMIFS('Data BoP'!$R$6:$R$86,'Data BoP'!$C$6:$C$86,$B105)</f>
        <v>-3756.66018625804</v>
      </c>
      <c r="P105" s="10" t="n">
        <f aca="false">SUMIFS('Data BoP'!$AO$6:$AO$86,'Data BoP'!$C$6:$C$86,$B105)</f>
        <v>47.1417792300222</v>
      </c>
      <c r="Q105" s="10" t="n">
        <f aca="false">SUMIFS('Data BoP'!$S$6:$S$86,'Data BoP'!$C$6:$C$86,$B105)</f>
        <v>1099.52434402689</v>
      </c>
      <c r="R105" s="10" t="n">
        <f aca="false">SUMIFS('Data BoP'!$T$6:$T$86,'Data BoP'!$C$6:$C$86,$B105)</f>
        <v>164.762473553326</v>
      </c>
    </row>
    <row r="106" customFormat="false" ht="15" hidden="false" customHeight="false" outlineLevel="0" collapsed="false">
      <c r="B106" s="16" t="n">
        <v>2021</v>
      </c>
      <c r="C106" s="15" t="n">
        <f aca="false">SUMIFS('Data BoP'!$E$6:$E$86,'Data BoP'!$C$6:$C$86,$B106)</f>
        <v>6624.785192348</v>
      </c>
      <c r="D106" s="10" t="n">
        <f aca="false">SUMIFS('Data BoP'!$G$6:$G$86,'Data BoP'!$C$6:$C$86,$B106)</f>
        <v>18695.4656150303</v>
      </c>
      <c r="E106" s="10" t="n">
        <f aca="false">SUMIFS('Data BoP'!$H$6:$H$86,'Data BoP'!$C$6:$C$86,$B106)</f>
        <v>77986.5761654501</v>
      </c>
      <c r="F106" s="10" t="n">
        <f aca="false">SUMIFS('Data BoP'!$I$6:$I$86,'Data BoP'!$C$6:$C$86,$B106)</f>
        <v>59291.1105504198</v>
      </c>
      <c r="G106" s="10" t="n">
        <f aca="false">SUMIFS('Data BoP'!$J$6:$J$86,'Data BoP'!$C$6:$C$86,$B106)</f>
        <v>-3700.0914981581</v>
      </c>
      <c r="H106" s="10" t="n">
        <f aca="false">SUMIFS('Data BoP'!$K$6:$K$86,'Data BoP'!$C$6:$C$86,$B106)</f>
        <v>9588.73567765265</v>
      </c>
      <c r="I106" s="10" t="n">
        <f aca="false">SUMIFS('Data BoP'!$L$6:$L$86,'Data BoP'!$C$6:$C$86,$B106)</f>
        <v>13288.8271758107</v>
      </c>
      <c r="J106" s="10" t="n">
        <f aca="false">SUMIFS('Data BoP'!$M$6:$M$86,'Data BoP'!$C$6:$C$86,$B106)</f>
        <v>-9772.63437162035</v>
      </c>
      <c r="K106" s="10" t="n">
        <f aca="false">SUMIFS('Data BoP'!$N$6:$N$86,'Data BoP'!$C$6:$C$86,$B106)</f>
        <v>-119.940333166216</v>
      </c>
      <c r="L106" s="10" t="n">
        <f aca="false">SUMIFS('Data BoP'!$O$6:$O$86,'Data BoP'!$C$6:$C$86,$B106)</f>
        <v>-9652.69403845414</v>
      </c>
      <c r="M106" s="10" t="n">
        <f aca="false">SUMIFS('Data BoP'!$P$6:$P$86,'Data BoP'!$C$6:$C$86,$B106)</f>
        <v>-4976.31247645725</v>
      </c>
      <c r="N106" s="10" t="n">
        <f aca="false">SUMIFS('Data BoP'!$Q$6:$Q$86,'Data BoP'!$C$6:$C$86,$B106)</f>
        <v>-1391.51180289404</v>
      </c>
      <c r="O106" s="10" t="n">
        <f aca="false">SUMIFS('Data BoP'!$R$6:$R$86,'Data BoP'!$C$6:$C$86,$B106)</f>
        <v>-3291.10238481083</v>
      </c>
      <c r="P106" s="10" t="n">
        <f aca="false">SUMIFS('Data BoP'!$AO$6:$AO$86,'Data BoP'!$C$6:$C$86,$B106)</f>
        <v>6.23262570798261</v>
      </c>
      <c r="Q106" s="10" t="n">
        <f aca="false">SUMIFS('Data BoP'!$S$6:$S$86,'Data BoP'!$C$6:$C$86,$B106)</f>
        <v>1402.04544709615</v>
      </c>
      <c r="R106" s="10" t="n">
        <f aca="false">SUMIFS('Data BoP'!$T$6:$T$86,'Data BoP'!$C$6:$C$86,$B106)</f>
        <v>252.988020207825</v>
      </c>
    </row>
    <row r="107" customFormat="false" ht="15" hidden="false" customHeight="false" outlineLevel="0" collapsed="false">
      <c r="B107" s="16" t="n">
        <v>2022</v>
      </c>
      <c r="C107" s="15" t="n">
        <f aca="false">SUMIFS('Data BoP'!$E$6:$E$86,'Data BoP'!$C$6:$C$86,$B107)</f>
        <v>-3964.07491528094</v>
      </c>
      <c r="D107" s="10" t="n">
        <f aca="false">SUMIFS('Data BoP'!$G$6:$G$86,'Data BoP'!$C$6:$C$86,$B107)</f>
        <v>12416.5544162899</v>
      </c>
      <c r="E107" s="10" t="n">
        <f aca="false">SUMIFS('Data BoP'!$H$6:$H$86,'Data BoP'!$C$6:$C$86,$B107)</f>
        <v>88771.17854249</v>
      </c>
      <c r="F107" s="10" t="n">
        <f aca="false">SUMIFS('Data BoP'!$I$6:$I$86,'Data BoP'!$C$6:$C$86,$B107)</f>
        <v>76354.6241262001</v>
      </c>
      <c r="G107" s="10" t="n">
        <f aca="false">SUMIFS('Data BoP'!$J$6:$J$86,'Data BoP'!$C$6:$C$86,$B107)</f>
        <v>-6774.85809437849</v>
      </c>
      <c r="H107" s="10" t="n">
        <f aca="false">SUMIFS('Data BoP'!$K$6:$K$86,'Data BoP'!$C$6:$C$86,$B107)</f>
        <v>14415.8636222604</v>
      </c>
      <c r="I107" s="10" t="n">
        <f aca="false">SUMIFS('Data BoP'!$L$6:$L$86,'Data BoP'!$C$6:$C$86,$B107)</f>
        <v>21190.7217166389</v>
      </c>
      <c r="J107" s="10" t="n">
        <f aca="false">SUMIFS('Data BoP'!$M$6:$M$86,'Data BoP'!$C$6:$C$86,$B107)</f>
        <v>-11576.553237529</v>
      </c>
      <c r="K107" s="10" t="n">
        <f aca="false">SUMIFS('Data BoP'!$N$6:$N$86,'Data BoP'!$C$6:$C$86,$B107)</f>
        <v>-94.5587894548758</v>
      </c>
      <c r="L107" s="10" t="n">
        <f aca="false">SUMIFS('Data BoP'!$O$6:$O$86,'Data BoP'!$C$6:$C$86,$B107)</f>
        <v>-11481.9944480741</v>
      </c>
      <c r="M107" s="10" t="n">
        <f aca="false">SUMIFS('Data BoP'!$P$6:$P$86,'Data BoP'!$C$6:$C$86,$B107)</f>
        <v>-6118.45789078894</v>
      </c>
      <c r="N107" s="10" t="n">
        <f aca="false">SUMIFS('Data BoP'!$Q$6:$Q$86,'Data BoP'!$C$6:$C$86,$B107)</f>
        <v>-2063.71998631203</v>
      </c>
      <c r="O107" s="10" t="n">
        <f aca="false">SUMIFS('Data BoP'!$R$6:$R$86,'Data BoP'!$C$6:$C$86,$B107)</f>
        <v>-3465.43136827189</v>
      </c>
      <c r="P107" s="10" t="n">
        <f aca="false">SUMIFS('Data BoP'!$AO$6:$AO$86,'Data BoP'!$C$6:$C$86,$B107)</f>
        <v>165.614797298758</v>
      </c>
      <c r="Q107" s="10" t="n">
        <f aca="false">SUMIFS('Data BoP'!$S$6:$S$86,'Data BoP'!$C$6:$C$86,$B107)</f>
        <v>1970.78200033663</v>
      </c>
      <c r="R107" s="10" t="n">
        <f aca="false">SUMIFS('Data BoP'!$T$6:$T$86,'Data BoP'!$C$6:$C$86,$B107)</f>
        <v>191.514531168748</v>
      </c>
    </row>
    <row r="108" customFormat="false" ht="15" hidden="false" customHeight="false" outlineLevel="0" collapsed="false">
      <c r="B108" s="16" t="n">
        <v>2023</v>
      </c>
      <c r="C108" s="15" t="n">
        <f aca="false">SUMIFS('Data BoP'!$E$6:$E$86,'Data BoP'!$C$6:$C$86,$B108)</f>
        <v>-22354.6872895608</v>
      </c>
      <c r="D108" s="10" t="n">
        <f aca="false">SUMIFS('Data BoP'!$G$6:$G$86,'Data BoP'!$C$6:$C$86,$B108)</f>
        <v>-2757.49085138533</v>
      </c>
      <c r="E108" s="10" t="n">
        <f aca="false">SUMIFS('Data BoP'!$H$6:$H$86,'Data BoP'!$C$6:$C$86,$B108)</f>
        <v>67091.6306948446</v>
      </c>
      <c r="F108" s="10" t="n">
        <f aca="false">SUMIFS('Data BoP'!$I$6:$I$86,'Data BoP'!$C$6:$C$86,$B108)</f>
        <v>69849.1215462299</v>
      </c>
      <c r="G108" s="10" t="n">
        <f aca="false">SUMIFS('Data BoP'!$J$6:$J$86,'Data BoP'!$C$6:$C$86,$B108)</f>
        <v>-6376.17993263637</v>
      </c>
      <c r="H108" s="10" t="n">
        <f aca="false">SUMIFS('Data BoP'!$K$6:$K$86,'Data BoP'!$C$6:$C$86,$B108)</f>
        <v>16320.4774670902</v>
      </c>
      <c r="I108" s="10" t="n">
        <f aca="false">SUMIFS('Data BoP'!$L$6:$L$86,'Data BoP'!$C$6:$C$86,$B108)</f>
        <v>22696.6573997266</v>
      </c>
      <c r="J108" s="10" t="n">
        <f aca="false">SUMIFS('Data BoP'!$M$6:$M$86,'Data BoP'!$C$6:$C$86,$B108)</f>
        <v>-15301.3682843922</v>
      </c>
      <c r="K108" s="10" t="n">
        <f aca="false">SUMIFS('Data BoP'!$N$6:$N$86,'Data BoP'!$C$6:$C$86,$B108)</f>
        <v>-134.810305857959</v>
      </c>
      <c r="L108" s="10" t="n">
        <f aca="false">SUMIFS('Data BoP'!$O$6:$O$86,'Data BoP'!$C$6:$C$86,$B108)</f>
        <v>-15166.5579785342</v>
      </c>
      <c r="M108" s="10" t="n">
        <f aca="false">SUMIFS('Data BoP'!$P$6:$P$86,'Data BoP'!$C$6:$C$86,$B108)</f>
        <v>-9238.47784850983</v>
      </c>
      <c r="N108" s="10" t="n">
        <f aca="false">SUMIFS('Data BoP'!$Q$6:$Q$86,'Data BoP'!$C$6:$C$86,$B108)</f>
        <v>-1986.27465474103</v>
      </c>
      <c r="O108" s="10" t="n">
        <f aca="false">SUMIFS('Data BoP'!$R$6:$R$86,'Data BoP'!$C$6:$C$86,$B108)</f>
        <v>-4295.56548344832</v>
      </c>
      <c r="P108" s="10" t="n">
        <f aca="false">SUMIFS('Data BoP'!$AO$6:$AO$86,'Data BoP'!$C$6:$C$86,$B108)</f>
        <v>353.760008164925</v>
      </c>
      <c r="Q108" s="10" t="n">
        <f aca="false">SUMIFS('Data BoP'!$S$6:$S$86,'Data BoP'!$C$6:$C$86,$B108)</f>
        <v>2080.35177885313</v>
      </c>
      <c r="R108" s="10" t="n">
        <f aca="false">SUMIFS('Data BoP'!$T$6:$T$86,'Data BoP'!$C$6:$C$86,$B108)</f>
        <v>190.388551302001</v>
      </c>
    </row>
    <row r="109" customFormat="false" ht="15" hidden="false" customHeight="false" outlineLevel="0" collapsed="false">
      <c r="B109" s="16" t="n">
        <v>2024</v>
      </c>
      <c r="C109" s="15" t="n">
        <f aca="false">SUMIFS('Data BoP'!$E$6:$E$86,'Data BoP'!$C$6:$C$86,$B109)</f>
        <v>5891.4047816786</v>
      </c>
      <c r="D109" s="10" t="n">
        <f aca="false">SUMIFS('Data BoP'!$G$6:$G$86,'Data BoP'!$C$6:$C$86,$B109)</f>
        <v>22403.8459927798</v>
      </c>
      <c r="E109" s="10" t="n">
        <f aca="false">SUMIFS('Data BoP'!$H$6:$H$86,'Data BoP'!$C$6:$C$86,$B109)</f>
        <v>79759.55132547</v>
      </c>
      <c r="F109" s="10" t="n">
        <f aca="false">SUMIFS('Data BoP'!$I$6:$I$86,'Data BoP'!$C$6:$C$86,$B109)</f>
        <v>57355.7053326902</v>
      </c>
      <c r="G109" s="10" t="n">
        <f aca="false">SUMIFS('Data BoP'!$J$6:$J$86,'Data BoP'!$C$6:$C$86,$B109)</f>
        <v>-4938.15206540616</v>
      </c>
      <c r="H109" s="10" t="n">
        <f aca="false">SUMIFS('Data BoP'!$K$6:$K$86,'Data BoP'!$C$6:$C$86,$B109)</f>
        <v>17115.602904816</v>
      </c>
      <c r="I109" s="10" t="n">
        <f aca="false">SUMIFS('Data BoP'!$L$6:$L$86,'Data BoP'!$C$6:$C$86,$B109)</f>
        <v>22053.7549702221</v>
      </c>
      <c r="J109" s="10" t="n">
        <f aca="false">SUMIFS('Data BoP'!$M$6:$M$86,'Data BoP'!$C$6:$C$86,$B109)</f>
        <v>-13819.9517039086</v>
      </c>
      <c r="K109" s="10" t="n">
        <f aca="false">SUMIFS('Data BoP'!$N$6:$N$86,'Data BoP'!$C$6:$C$86,$B109)</f>
        <v>-96.4418363914551</v>
      </c>
      <c r="L109" s="10" t="n">
        <f aca="false">SUMIFS('Data BoP'!$O$6:$O$86,'Data BoP'!$C$6:$C$86,$B109)</f>
        <v>-13723.5098675172</v>
      </c>
      <c r="M109" s="10" t="n">
        <f aca="false">SUMIFS('Data BoP'!$P$6:$P$86,'Data BoP'!$C$6:$C$86,$B109)</f>
        <v>-8198.68183547186</v>
      </c>
      <c r="N109" s="10" t="n">
        <f aca="false">SUMIFS('Data BoP'!$Q$6:$Q$86,'Data BoP'!$C$6:$C$86,$B109)</f>
        <v>-1767.65703372831</v>
      </c>
      <c r="O109" s="10" t="n">
        <f aca="false">SUMIFS('Data BoP'!$R$6:$R$86,'Data BoP'!$C$6:$C$86,$B109)</f>
        <v>-4016.90187971979</v>
      </c>
      <c r="P109" s="10" t="n">
        <f aca="false">SUMIFS('Data BoP'!$AO$6:$AO$86,'Data BoP'!$C$6:$C$86,$B109)</f>
        <v>259.730881402788</v>
      </c>
      <c r="Q109" s="10" t="n">
        <f aca="false">SUMIFS('Data BoP'!$S$6:$S$86,'Data BoP'!$C$6:$C$86,$B109)</f>
        <v>2245.66255821357</v>
      </c>
      <c r="R109" s="10" t="n">
        <f aca="false">SUMIFS('Data BoP'!$T$6:$T$86,'Data BoP'!$C$6:$C$86,$B109)</f>
        <v>277.578348254865</v>
      </c>
    </row>
    <row r="110" customFormat="false" ht="15" hidden="false" customHeight="false" outlineLevel="0" collapsed="false">
      <c r="B110" s="16" t="n">
        <v>2025</v>
      </c>
      <c r="C110" s="15" t="n">
        <f aca="false">SUMIFS('Data BoP'!$E$6:$E$86,'Data BoP'!$C$6:$C$86,$B110)</f>
        <v>-7788.12555895449</v>
      </c>
      <c r="D110" s="10" t="n">
        <f aca="false">SUMIFS('Data BoP'!$G$6:$G$86,'Data BoP'!$C$6:$C$86,$B110)</f>
        <v>15359.0354040203</v>
      </c>
      <c r="E110" s="10" t="n">
        <f aca="false">SUMIFS('Data BoP'!$H$6:$H$86,'Data BoP'!$C$6:$C$86,$B110)</f>
        <v>87151.6832045802</v>
      </c>
      <c r="F110" s="10" t="n">
        <f aca="false">SUMIFS('Data BoP'!$I$6:$I$86,'Data BoP'!$C$6:$C$86,$B110)</f>
        <v>71792.6478005599</v>
      </c>
      <c r="G110" s="10" t="n">
        <f aca="false">SUMIFS('Data BoP'!$J$6:$J$86,'Data BoP'!$C$6:$C$86,$B110)</f>
        <v>-11600.9379502738</v>
      </c>
      <c r="H110" s="10" t="n">
        <f aca="false">SUMIFS('Data BoP'!$K$6:$K$86,'Data BoP'!$C$6:$C$86,$B110)</f>
        <v>18340.8573341391</v>
      </c>
      <c r="I110" s="10" t="n">
        <f aca="false">SUMIFS('Data BoP'!$L$6:$L$86,'Data BoP'!$C$6:$C$86,$B110)</f>
        <v>29941.795284413</v>
      </c>
      <c r="J110" s="10" t="n">
        <f aca="false">SUMIFS('Data BoP'!$M$6:$M$86,'Data BoP'!$C$6:$C$86,$B110)</f>
        <v>-14078.6828629298</v>
      </c>
      <c r="K110" s="10" t="n">
        <f aca="false">SUMIFS('Data BoP'!$N$6:$N$86,'Data BoP'!$C$6:$C$86,$B110)</f>
        <v>-97.6551603389553</v>
      </c>
      <c r="L110" s="10" t="n">
        <f aca="false">SUMIFS('Data BoP'!$O$6:$O$86,'Data BoP'!$C$6:$C$86,$B110)</f>
        <v>-13981.0277025909</v>
      </c>
      <c r="M110" s="10" t="n">
        <f aca="false">SUMIFS('Data BoP'!$P$6:$P$86,'Data BoP'!$C$6:$C$86,$B110)</f>
        <v>-7244.53096745591</v>
      </c>
      <c r="N110" s="10" t="n">
        <f aca="false">SUMIFS('Data BoP'!$Q$6:$Q$86,'Data BoP'!$C$6:$C$86,$B110)</f>
        <v>-2668.57496187189</v>
      </c>
      <c r="O110" s="10" t="n">
        <f aca="false">SUMIFS('Data BoP'!$R$6:$R$86,'Data BoP'!$C$6:$C$86,$B110)</f>
        <v>-4399.92520639999</v>
      </c>
      <c r="P110" s="10" t="n">
        <f aca="false">SUMIFS('Data BoP'!$AO$6:$AO$86,'Data BoP'!$C$6:$C$86,$B110)</f>
        <v>332.003433136906</v>
      </c>
      <c r="Q110" s="10" t="n">
        <f aca="false">SUMIFS('Data BoP'!$S$6:$S$86,'Data BoP'!$C$6:$C$86,$B110)</f>
        <v>2532.45985022887</v>
      </c>
      <c r="R110" s="10" t="n">
        <f aca="false">SUMIFS('Data BoP'!$T$6:$T$86,'Data BoP'!$C$6:$C$86,$B110)</f>
        <v>454.140141347056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19" min="3" style="0" width="13"/>
    <col collapsed="false" customWidth="true" hidden="false" outlineLevel="0" max="21" min="21" style="0" width="10"/>
    <col collapsed="false" customWidth="true" hidden="false" outlineLevel="0" max="38" min="22" style="0" width="13"/>
  </cols>
  <sheetData>
    <row r="2" customFormat="false" ht="25.5" hidden="false" customHeight="true" outlineLevel="0" collapsed="false">
      <c r="B2" s="1" t="s">
        <v>187</v>
      </c>
    </row>
    <row r="3" customFormat="false" ht="15" hidden="false" customHeight="false" outlineLevel="0" collapsed="false">
      <c r="B3" s="2" t="s">
        <v>188</v>
      </c>
    </row>
    <row r="4" customFormat="false" ht="15" hidden="false" customHeight="false" outlineLevel="0" collapsed="false">
      <c r="B4" s="3" t="s">
        <v>168</v>
      </c>
      <c r="U4" s="3" t="s">
        <v>169</v>
      </c>
    </row>
    <row r="5" customFormat="false" ht="39.75" hidden="false" customHeight="true" outlineLevel="0" collapsed="false">
      <c r="B5" s="13" t="s">
        <v>39</v>
      </c>
      <c r="C5" s="6" t="s">
        <v>189</v>
      </c>
      <c r="D5" s="6" t="s">
        <v>190</v>
      </c>
      <c r="E5" s="6" t="s">
        <v>191</v>
      </c>
      <c r="F5" s="6" t="s">
        <v>192</v>
      </c>
      <c r="G5" s="6" t="s">
        <v>193</v>
      </c>
      <c r="H5" s="6" t="s">
        <v>194</v>
      </c>
      <c r="I5" s="6" t="s">
        <v>195</v>
      </c>
      <c r="J5" s="6" t="s">
        <v>196</v>
      </c>
      <c r="K5" s="6" t="s">
        <v>197</v>
      </c>
      <c r="L5" s="6" t="s">
        <v>198</v>
      </c>
      <c r="M5" s="6" t="s">
        <v>199</v>
      </c>
      <c r="N5" s="6" t="s">
        <v>200</v>
      </c>
      <c r="O5" s="6" t="s">
        <v>201</v>
      </c>
      <c r="P5" s="6" t="s">
        <v>202</v>
      </c>
      <c r="Q5" s="6" t="s">
        <v>203</v>
      </c>
      <c r="R5" s="6" t="s">
        <v>204</v>
      </c>
      <c r="S5" s="6" t="s">
        <v>205</v>
      </c>
      <c r="U5" s="13" t="s">
        <v>39</v>
      </c>
      <c r="V5" s="6" t="s">
        <v>189</v>
      </c>
      <c r="W5" s="6" t="s">
        <v>190</v>
      </c>
      <c r="X5" s="6" t="s">
        <v>191</v>
      </c>
      <c r="Y5" s="6" t="s">
        <v>192</v>
      </c>
      <c r="Z5" s="6" t="s">
        <v>193</v>
      </c>
      <c r="AA5" s="6" t="s">
        <v>194</v>
      </c>
      <c r="AB5" s="6" t="s">
        <v>195</v>
      </c>
      <c r="AC5" s="6" t="s">
        <v>196</v>
      </c>
      <c r="AD5" s="6" t="s">
        <v>197</v>
      </c>
      <c r="AE5" s="6" t="s">
        <v>198</v>
      </c>
      <c r="AF5" s="6" t="s">
        <v>199</v>
      </c>
      <c r="AG5" s="6" t="s">
        <v>200</v>
      </c>
      <c r="AH5" s="6" t="s">
        <v>201</v>
      </c>
      <c r="AI5" s="6" t="s">
        <v>202</v>
      </c>
      <c r="AJ5" s="6" t="s">
        <v>203</v>
      </c>
      <c r="AK5" s="6" t="s">
        <v>204</v>
      </c>
      <c r="AL5" s="6" t="s">
        <v>205</v>
      </c>
    </row>
    <row r="6" customFormat="false" ht="15" hidden="false" customHeight="false" outlineLevel="0" collapsed="false">
      <c r="B6" s="14" t="str">
        <f aca="false">'Data BoP'!B6</f>
        <v>2006-Q1</v>
      </c>
      <c r="C6" s="15" t="n">
        <f aca="false">'Data BoP'!U6</f>
        <v>781.036609045184</v>
      </c>
      <c r="D6" s="10" t="n">
        <f aca="false">'Data BoP'!V6</f>
        <v>-1375.7522158134</v>
      </c>
      <c r="E6" s="10" t="n">
        <f aca="false">'Data BoP'!W6</f>
        <v>377.207559492677</v>
      </c>
      <c r="F6" s="10" t="n">
        <f aca="false">'Data BoP'!X6</f>
        <v>0</v>
      </c>
      <c r="G6" s="10" t="n">
        <f aca="false">'Data BoP'!Y6</f>
        <v>1469.95977530608</v>
      </c>
      <c r="H6" s="10" t="n">
        <f aca="false">'Data BoP'!Z6</f>
        <v>283</v>
      </c>
      <c r="I6" s="10" t="n">
        <f aca="false">'Data BoP'!AA6</f>
        <v>-2253.09621789303</v>
      </c>
      <c r="J6" s="10" t="n">
        <f aca="false">'Data BoP'!AB6</f>
        <v>205.538</v>
      </c>
      <c r="K6" s="10" t="n">
        <f aca="false">'Data BoP'!AC6</f>
        <v>541.692</v>
      </c>
      <c r="L6" s="10" t="n">
        <f aca="false">'Data BoP'!AD6</f>
        <v>247.065572305654</v>
      </c>
      <c r="M6" s="10" t="n">
        <f aca="false">'Data BoP'!AE6</f>
        <v>2753.26064558738</v>
      </c>
      <c r="N6" s="10" t="n">
        <f aca="false">'Data BoP'!AF6</f>
        <v>-15.9568186753769</v>
      </c>
      <c r="O6" s="10" t="n">
        <f aca="false">'Data BoP'!AG6</f>
        <v>11059.781861427</v>
      </c>
      <c r="P6" s="10" t="n">
        <f aca="false">'Data BoP'!AH6</f>
        <v>587.049222617343</v>
      </c>
      <c r="Q6" s="10" t="n">
        <f aca="false">'Data BoP'!AL6</f>
        <v>-10472.7326388097</v>
      </c>
      <c r="R6" s="15" t="n">
        <f aca="false">'Data BoP'!AJ6</f>
        <v>-6633.94</v>
      </c>
      <c r="S6" s="10" t="n">
        <f aca="false">'Data BoP'!AK6</f>
        <v>67.369735512682</v>
      </c>
      <c r="U6" s="14" t="str">
        <f aca="false">'Data BoP'!B6</f>
        <v>2006-Q1</v>
      </c>
    </row>
    <row r="7" customFormat="false" ht="15" hidden="false" customHeight="false" outlineLevel="0" collapsed="false">
      <c r="B7" s="14" t="str">
        <f aca="false">'Data BoP'!B7</f>
        <v>2006-Q2</v>
      </c>
      <c r="C7" s="15" t="n">
        <f aca="false">'Data BoP'!U7</f>
        <v>1980.88277755137</v>
      </c>
      <c r="D7" s="10" t="n">
        <f aca="false">'Data BoP'!V7</f>
        <v>-672.391114497571</v>
      </c>
      <c r="E7" s="10" t="n">
        <f aca="false">'Data BoP'!W7</f>
        <v>1090.94568120298</v>
      </c>
      <c r="F7" s="10" t="n">
        <f aca="false">'Data BoP'!X7</f>
        <v>0</v>
      </c>
      <c r="G7" s="10" t="n">
        <f aca="false">'Data BoP'!Y7</f>
        <v>612.336795700548</v>
      </c>
      <c r="H7" s="10" t="n">
        <f aca="false">'Data BoP'!Z7</f>
        <v>1151</v>
      </c>
      <c r="I7" s="10" t="n">
        <f aca="false">'Data BoP'!AA7</f>
        <v>-1970.56478315304</v>
      </c>
      <c r="J7" s="10" t="n">
        <f aca="false">'Data BoP'!AB7</f>
        <v>-54.226</v>
      </c>
      <c r="K7" s="10" t="n">
        <f aca="false">'Data BoP'!AC7</f>
        <v>104.85</v>
      </c>
      <c r="L7" s="10" t="n">
        <f aca="false">'Data BoP'!AD7</f>
        <v>110.723963408605</v>
      </c>
      <c r="M7" s="10" t="n">
        <f aca="false">'Data BoP'!AE7</f>
        <v>1910.46481974444</v>
      </c>
      <c r="N7" s="10" t="n">
        <f aca="false">'Data BoP'!AF7</f>
        <v>-32.3651851740977</v>
      </c>
      <c r="O7" s="10" t="n">
        <f aca="false">'Data BoP'!AG7</f>
        <v>813.193860376086</v>
      </c>
      <c r="P7" s="10" t="n">
        <f aca="false">'Data BoP'!AH7</f>
        <v>224.663080011352</v>
      </c>
      <c r="Q7" s="10" t="n">
        <f aca="false">'Data BoP'!AL7</f>
        <v>-588.530780364734</v>
      </c>
      <c r="R7" s="15" t="n">
        <f aca="false">'Data BoP'!AJ7</f>
        <v>3843.01</v>
      </c>
      <c r="S7" s="10" t="n">
        <f aca="false">'Data BoP'!AK7</f>
        <v>24.3883263720254</v>
      </c>
      <c r="U7" s="14" t="str">
        <f aca="false">'Data BoP'!B7</f>
        <v>2006-Q2</v>
      </c>
    </row>
    <row r="8" customFormat="false" ht="15" hidden="false" customHeight="false" outlineLevel="0" collapsed="false">
      <c r="B8" s="14" t="str">
        <f aca="false">'Data BoP'!B8</f>
        <v>2006-Q3</v>
      </c>
      <c r="C8" s="15" t="n">
        <f aca="false">'Data BoP'!U8</f>
        <v>1232.3860821007</v>
      </c>
      <c r="D8" s="10" t="n">
        <f aca="false">'Data BoP'!V8</f>
        <v>-1116.86682116257</v>
      </c>
      <c r="E8" s="10" t="n">
        <f aca="false">'Data BoP'!W8</f>
        <v>424.951865443019</v>
      </c>
      <c r="F8" s="10" t="n">
        <f aca="false">'Data BoP'!X8</f>
        <v>0</v>
      </c>
      <c r="G8" s="10" t="n">
        <f aca="false">'Data BoP'!Y8</f>
        <v>1653.81868660559</v>
      </c>
      <c r="H8" s="10" t="n">
        <f aca="false">'Data BoP'!Z8</f>
        <v>-112</v>
      </c>
      <c r="I8" s="10" t="n">
        <f aca="false">'Data BoP'!AA8</f>
        <v>-802.528171834329</v>
      </c>
      <c r="J8" s="10" t="n">
        <f aca="false">'Data BoP'!AB8</f>
        <v>122.74</v>
      </c>
      <c r="K8" s="10" t="n">
        <f aca="false">'Data BoP'!AC8</f>
        <v>59.778</v>
      </c>
      <c r="L8" s="10" t="n">
        <f aca="false">'Data BoP'!AD8</f>
        <v>132.149695892849</v>
      </c>
      <c r="M8" s="10" t="n">
        <f aca="false">'Data BoP'!AE8</f>
        <v>852.89647594148</v>
      </c>
      <c r="N8" s="10" t="n">
        <f aca="false">'Data BoP'!AF8</f>
        <v>-37.9954260251855</v>
      </c>
      <c r="O8" s="10" t="n">
        <f aca="false">'Data BoP'!AG8</f>
        <v>659.816501122787</v>
      </c>
      <c r="P8" s="10" t="n">
        <f aca="false">'Data BoP'!AH8</f>
        <v>421.678961679834</v>
      </c>
      <c r="Q8" s="10" t="n">
        <f aca="false">'Data BoP'!AL8</f>
        <v>-238.137539442953</v>
      </c>
      <c r="R8" s="15" t="n">
        <f aca="false">'Data BoP'!AJ8</f>
        <v>2529.96</v>
      </c>
      <c r="S8" s="10" t="n">
        <f aca="false">'Data BoP'!AK8</f>
        <v>-329.910809196213</v>
      </c>
      <c r="U8" s="14" t="str">
        <f aca="false">'Data BoP'!B8</f>
        <v>2006-Q3</v>
      </c>
    </row>
    <row r="9" customFormat="false" ht="15" hidden="false" customHeight="false" outlineLevel="0" collapsed="false">
      <c r="B9" s="14" t="str">
        <f aca="false">'Data BoP'!B9</f>
        <v>2006-Q4</v>
      </c>
      <c r="C9" s="15" t="n">
        <f aca="false">'Data BoP'!U9</f>
        <v>3486.12541927029</v>
      </c>
      <c r="D9" s="10" t="n">
        <f aca="false">'Data BoP'!V9</f>
        <v>66.3830858412053</v>
      </c>
      <c r="E9" s="10" t="n">
        <f aca="false">'Data BoP'!W9</f>
        <v>545.615614422297</v>
      </c>
      <c r="F9" s="10" t="n">
        <f aca="false">'Data BoP'!X9</f>
        <v>0</v>
      </c>
      <c r="G9" s="10" t="n">
        <f aca="false">'Data BoP'!Y9</f>
        <v>1538.23252858109</v>
      </c>
      <c r="H9" s="10" t="n">
        <f aca="false">'Data BoP'!Z9</f>
        <v>-1059</v>
      </c>
      <c r="I9" s="10" t="n">
        <f aca="false">'Data BoP'!AA9</f>
        <v>-2213.20761585812</v>
      </c>
      <c r="J9" s="10" t="n">
        <f aca="false">'Data BoP'!AB9</f>
        <v>127.706</v>
      </c>
      <c r="K9" s="10" t="n">
        <f aca="false">'Data BoP'!AC9</f>
        <v>152.9156</v>
      </c>
      <c r="L9" s="10" t="n">
        <f aca="false">'Data BoP'!AD9</f>
        <v>216.716497314817</v>
      </c>
      <c r="M9" s="10" t="n">
        <f aca="false">'Data BoP'!AE9</f>
        <v>2277.1127185433</v>
      </c>
      <c r="N9" s="10" t="n">
        <f aca="false">'Data BoP'!AF9</f>
        <v>212.961965181665</v>
      </c>
      <c r="O9" s="10" t="n">
        <f aca="false">'Data BoP'!AG9</f>
        <v>1629.18798410554</v>
      </c>
      <c r="P9" s="10" t="n">
        <f aca="false">'Data BoP'!AH9</f>
        <v>2007.1772665932</v>
      </c>
      <c r="Q9" s="10" t="n">
        <f aca="false">'Data BoP'!AL9</f>
        <v>377.989282487664</v>
      </c>
      <c r="R9" s="15" t="n">
        <f aca="false">'Data BoP'!AJ9</f>
        <v>3790.8</v>
      </c>
      <c r="S9" s="10" t="n">
        <f aca="false">'Data BoP'!AK9</f>
        <v>1122.15678726972</v>
      </c>
      <c r="U9" s="14" t="str">
        <f aca="false">'Data BoP'!B9</f>
        <v>2006-Q4</v>
      </c>
      <c r="V9" s="15" t="n">
        <f aca="false">('Data BoP'!U6)+('Data BoP'!U7)+('Data BoP'!U8)+('Data BoP'!U9)</f>
        <v>7480.43088796755</v>
      </c>
      <c r="W9" s="10" t="n">
        <f aca="false">('Data BoP'!V6)+('Data BoP'!V7)+('Data BoP'!V8)+('Data BoP'!V9)</f>
        <v>-3098.62706563233</v>
      </c>
      <c r="X9" s="10" t="n">
        <f aca="false">('Data BoP'!W6)+('Data BoP'!W7)+('Data BoP'!W8)+('Data BoP'!W9)</f>
        <v>2438.72072056097</v>
      </c>
      <c r="Y9" s="10" t="n">
        <f aca="false">('Data BoP'!X6)+('Data BoP'!X7)+('Data BoP'!X8)+('Data BoP'!X9)</f>
        <v>0</v>
      </c>
      <c r="Z9" s="10" t="n">
        <f aca="false">('Data BoP'!Y6)+('Data BoP'!Y7)+('Data BoP'!Y8)+('Data BoP'!Y9)</f>
        <v>5274.3477861933</v>
      </c>
      <c r="AA9" s="10" t="n">
        <f aca="false">('Data BoP'!Z6)+('Data BoP'!Z7)+('Data BoP'!Z8)+('Data BoP'!Z9)</f>
        <v>263</v>
      </c>
      <c r="AB9" s="10" t="n">
        <f aca="false">('Data BoP'!AA6)+('Data BoP'!AA7)+('Data BoP'!AA8)+('Data BoP'!AA9)</f>
        <v>-7239.39678873852</v>
      </c>
      <c r="AC9" s="10" t="n">
        <f aca="false">('Data BoP'!AB6)+('Data BoP'!AB7)+('Data BoP'!AB8)+('Data BoP'!AB9)</f>
        <v>401.758</v>
      </c>
      <c r="AD9" s="10" t="n">
        <f aca="false">('Data BoP'!AC6)+('Data BoP'!AC7)+('Data BoP'!AC8)+('Data BoP'!AC9)</f>
        <v>859.2356</v>
      </c>
      <c r="AE9" s="10" t="n">
        <f aca="false">('Data BoP'!AD6)+('Data BoP'!AD7)+('Data BoP'!AD8)+('Data BoP'!AD9)</f>
        <v>706.655728921924</v>
      </c>
      <c r="AF9" s="10" t="n">
        <f aca="false">('Data BoP'!AE6)+('Data BoP'!AE7)+('Data BoP'!AE8)+('Data BoP'!AE9)</f>
        <v>7793.7346598166</v>
      </c>
      <c r="AG9" s="10" t="n">
        <f aca="false">('Data BoP'!AF6)+('Data BoP'!AF7)+('Data BoP'!AF8)+('Data BoP'!AF9)</f>
        <v>126.644535307005</v>
      </c>
      <c r="AH9" s="10" t="n">
        <f aca="false">('Data BoP'!AG6)+('Data BoP'!AG7)+('Data BoP'!AG8)+('Data BoP'!AG9)</f>
        <v>14161.9802070314</v>
      </c>
      <c r="AI9" s="10" t="n">
        <f aca="false">('Data BoP'!AH6)+('Data BoP'!AH7)+('Data BoP'!AH8)+('Data BoP'!AH9)</f>
        <v>3240.56853090173</v>
      </c>
      <c r="AJ9" s="10" t="n">
        <f aca="false">('Data BoP'!AL6)+('Data BoP'!AL7)+('Data BoP'!AL8)+('Data BoP'!AL9)</f>
        <v>-10921.4116761297</v>
      </c>
      <c r="AK9" s="15" t="n">
        <f aca="false">('Data BoP'!AJ6)+('Data BoP'!AJ7)+('Data BoP'!AJ8)+('Data BoP'!AJ9)</f>
        <v>3529.83</v>
      </c>
      <c r="AL9" s="10" t="n">
        <f aca="false">('Data BoP'!AK6)+('Data BoP'!AK7)+('Data BoP'!AK8)+('Data BoP'!AK9)</f>
        <v>884.004039958215</v>
      </c>
    </row>
    <row r="10" customFormat="false" ht="15" hidden="false" customHeight="false" outlineLevel="0" collapsed="false">
      <c r="B10" s="14" t="str">
        <f aca="false">'Data BoP'!B10</f>
        <v>2007-Q1</v>
      </c>
      <c r="C10" s="15" t="n">
        <f aca="false">'Data BoP'!U10</f>
        <v>1476.29677954792</v>
      </c>
      <c r="D10" s="10" t="n">
        <f aca="false">'Data BoP'!V10</f>
        <v>-717.428792641087</v>
      </c>
      <c r="E10" s="10" t="n">
        <f aca="false">'Data BoP'!W10</f>
        <v>409.629048399815</v>
      </c>
      <c r="F10" s="10" t="n">
        <f aca="false">'Data BoP'!X10</f>
        <v>0</v>
      </c>
      <c r="G10" s="10" t="n">
        <f aca="false">'Data BoP'!Y10</f>
        <v>425.759463448342</v>
      </c>
      <c r="H10" s="10" t="n">
        <f aca="false">'Data BoP'!Z10</f>
        <v>701.29837759256</v>
      </c>
      <c r="I10" s="10" t="n">
        <f aca="false">'Data BoP'!AA10</f>
        <v>-2299.26154157734</v>
      </c>
      <c r="J10" s="10" t="n">
        <f aca="false">'Data BoP'!AB10</f>
        <v>257.825</v>
      </c>
      <c r="K10" s="10" t="n">
        <f aca="false">'Data BoP'!AC10</f>
        <v>14.9075001164999</v>
      </c>
      <c r="L10" s="10" t="n">
        <f aca="false">'Data BoP'!AD10</f>
        <v>549.906355874947</v>
      </c>
      <c r="M10" s="10" t="n">
        <f aca="false">'Data BoP'!AE10</f>
        <v>2022.08768581889</v>
      </c>
      <c r="N10" s="10" t="n">
        <f aca="false">'Data BoP'!AF10</f>
        <v>7.88817309237557</v>
      </c>
      <c r="O10" s="10" t="n">
        <f aca="false">'Data BoP'!AG10</f>
        <v>-174.591059326031</v>
      </c>
      <c r="P10" s="10" t="n">
        <f aca="false">'Data BoP'!AH10</f>
        <v>398.640547664285</v>
      </c>
      <c r="Q10" s="10" t="n">
        <f aca="false">'Data BoP'!AL10</f>
        <v>573.231606990315</v>
      </c>
      <c r="R10" s="15" t="n">
        <f aca="false">'Data BoP'!AJ10</f>
        <v>4659.69</v>
      </c>
      <c r="S10" s="10" t="n">
        <f aca="false">'Data BoP'!AK10</f>
        <v>862.994692126047</v>
      </c>
      <c r="U10" s="14" t="str">
        <f aca="false">'Data BoP'!B10</f>
        <v>2007-Q1</v>
      </c>
      <c r="V10" s="15" t="n">
        <f aca="false">('Data BoP'!U7)+('Data BoP'!U8)+('Data BoP'!U9)+('Data BoP'!U10)</f>
        <v>8175.69105847029</v>
      </c>
      <c r="W10" s="10" t="n">
        <f aca="false">('Data BoP'!V7)+('Data BoP'!V8)+('Data BoP'!V9)+('Data BoP'!V10)</f>
        <v>-2440.30364246002</v>
      </c>
      <c r="X10" s="10" t="n">
        <f aca="false">('Data BoP'!W7)+('Data BoP'!W8)+('Data BoP'!W9)+('Data BoP'!W10)</f>
        <v>2471.14220946811</v>
      </c>
      <c r="Y10" s="10" t="n">
        <f aca="false">('Data BoP'!X7)+('Data BoP'!X8)+('Data BoP'!X9)+('Data BoP'!X10)</f>
        <v>0</v>
      </c>
      <c r="Z10" s="10" t="n">
        <f aca="false">('Data BoP'!Y7)+('Data BoP'!Y8)+('Data BoP'!Y9)+('Data BoP'!Y10)</f>
        <v>4230.14747433557</v>
      </c>
      <c r="AA10" s="10" t="n">
        <f aca="false">('Data BoP'!Z7)+('Data BoP'!Z8)+('Data BoP'!Z9)+('Data BoP'!Z10)</f>
        <v>681.29837759256</v>
      </c>
      <c r="AB10" s="10" t="n">
        <f aca="false">('Data BoP'!AA7)+('Data BoP'!AA8)+('Data BoP'!AA9)+('Data BoP'!AA10)</f>
        <v>-7285.56211242283</v>
      </c>
      <c r="AC10" s="10" t="n">
        <f aca="false">('Data BoP'!AB7)+('Data BoP'!AB8)+('Data BoP'!AB9)+('Data BoP'!AB10)</f>
        <v>454.045</v>
      </c>
      <c r="AD10" s="10" t="n">
        <f aca="false">('Data BoP'!AC7)+('Data BoP'!AC8)+('Data BoP'!AC9)+('Data BoP'!AC10)</f>
        <v>332.4511001165</v>
      </c>
      <c r="AE10" s="10" t="n">
        <f aca="false">('Data BoP'!AD7)+('Data BoP'!AD8)+('Data BoP'!AD9)+('Data BoP'!AD10)</f>
        <v>1009.49651249122</v>
      </c>
      <c r="AF10" s="10" t="n">
        <f aca="false">('Data BoP'!AE7)+('Data BoP'!AE8)+('Data BoP'!AE9)+('Data BoP'!AE10)</f>
        <v>7062.56170004811</v>
      </c>
      <c r="AG10" s="10" t="n">
        <f aca="false">('Data BoP'!AF7)+('Data BoP'!AF8)+('Data BoP'!AF9)+('Data BoP'!AF10)</f>
        <v>150.489527074757</v>
      </c>
      <c r="AH10" s="10" t="n">
        <f aca="false">('Data BoP'!AG7)+('Data BoP'!AG8)+('Data BoP'!AG9)+('Data BoP'!AG10)</f>
        <v>2927.60728627838</v>
      </c>
      <c r="AI10" s="10" t="n">
        <f aca="false">('Data BoP'!AH7)+('Data BoP'!AH8)+('Data BoP'!AH9)+('Data BoP'!AH10)</f>
        <v>3052.15985594867</v>
      </c>
      <c r="AJ10" s="10" t="n">
        <f aca="false">('Data BoP'!AL7)+('Data BoP'!AL8)+('Data BoP'!AL9)+('Data BoP'!AL10)</f>
        <v>124.552569670293</v>
      </c>
      <c r="AK10" s="15" t="n">
        <f aca="false">('Data BoP'!AJ7)+('Data BoP'!AJ8)+('Data BoP'!AJ9)+('Data BoP'!AJ10)</f>
        <v>14823.46</v>
      </c>
      <c r="AL10" s="10" t="n">
        <f aca="false">('Data BoP'!AK7)+('Data BoP'!AK8)+('Data BoP'!AK9)+('Data BoP'!AK10)</f>
        <v>1679.62899657158</v>
      </c>
    </row>
    <row r="11" customFormat="false" ht="15" hidden="false" customHeight="false" outlineLevel="0" collapsed="false">
      <c r="B11" s="14" t="str">
        <f aca="false">'Data BoP'!B11</f>
        <v>2007-Q2</v>
      </c>
      <c r="C11" s="15" t="n">
        <f aca="false">'Data BoP'!U11</f>
        <v>961.592292651113</v>
      </c>
      <c r="D11" s="10" t="n">
        <f aca="false">'Data BoP'!V11</f>
        <v>-702.354074195666</v>
      </c>
      <c r="E11" s="10" t="n">
        <f aca="false">'Data BoP'!W11</f>
        <v>397.463117675333</v>
      </c>
      <c r="F11" s="10" t="n">
        <f aca="false">'Data BoP'!X11</f>
        <v>0</v>
      </c>
      <c r="G11" s="10" t="n">
        <f aca="false">'Data BoP'!Y11</f>
        <v>502.602556423598</v>
      </c>
      <c r="H11" s="10" t="n">
        <f aca="false">'Data BoP'!Z11</f>
        <v>597.214635447401</v>
      </c>
      <c r="I11" s="10" t="n">
        <f aca="false">'Data BoP'!AA11</f>
        <v>-5662.70370893534</v>
      </c>
      <c r="J11" s="10" t="n">
        <f aca="false">'Data BoP'!AB11</f>
        <v>398.552</v>
      </c>
      <c r="K11" s="10" t="n">
        <f aca="false">'Data BoP'!AC11</f>
        <v>-192.7557</v>
      </c>
      <c r="L11" s="10" t="n">
        <f aca="false">'Data BoP'!AD11</f>
        <v>594.931451444728</v>
      </c>
      <c r="M11" s="10" t="n">
        <f aca="false">'Data BoP'!AE11</f>
        <v>5273.56855749061</v>
      </c>
      <c r="N11" s="10" t="n">
        <f aca="false">'Data BoP'!AF11</f>
        <v>26.8528357607342</v>
      </c>
      <c r="O11" s="10" t="n">
        <f aca="false">'Data BoP'!AG11</f>
        <v>960.15724002138</v>
      </c>
      <c r="P11" s="10" t="n">
        <f aca="false">'Data BoP'!AH11</f>
        <v>1776.4562763159</v>
      </c>
      <c r="Q11" s="10" t="n">
        <f aca="false">'Data BoP'!AL11</f>
        <v>816.299036294521</v>
      </c>
      <c r="R11" s="15" t="n">
        <f aca="false">'Data BoP'!AJ11</f>
        <v>6339.64</v>
      </c>
      <c r="S11" s="10" t="n">
        <f aca="false">'Data BoP'!AK11</f>
        <v>-1071.2814589744</v>
      </c>
      <c r="U11" s="14" t="str">
        <f aca="false">'Data BoP'!B11</f>
        <v>2007-Q2</v>
      </c>
      <c r="V11" s="15" t="n">
        <f aca="false">('Data BoP'!U8)+('Data BoP'!U9)+('Data BoP'!U10)+('Data BoP'!U11)</f>
        <v>7156.40057357003</v>
      </c>
      <c r="W11" s="10" t="n">
        <f aca="false">('Data BoP'!V8)+('Data BoP'!V9)+('Data BoP'!V10)+('Data BoP'!V11)</f>
        <v>-2470.26660215812</v>
      </c>
      <c r="X11" s="10" t="n">
        <f aca="false">('Data BoP'!W8)+('Data BoP'!W9)+('Data BoP'!W10)+('Data BoP'!W11)</f>
        <v>1777.65964594046</v>
      </c>
      <c r="Y11" s="10" t="n">
        <f aca="false">('Data BoP'!X8)+('Data BoP'!X9)+('Data BoP'!X10)+('Data BoP'!X11)</f>
        <v>0</v>
      </c>
      <c r="Z11" s="10" t="n">
        <f aca="false">('Data BoP'!Y8)+('Data BoP'!Y9)+('Data BoP'!Y10)+('Data BoP'!Y11)</f>
        <v>4120.41323505862</v>
      </c>
      <c r="AA11" s="10" t="n">
        <f aca="false">('Data BoP'!Z8)+('Data BoP'!Z9)+('Data BoP'!Z10)+('Data BoP'!Z11)</f>
        <v>127.513013039961</v>
      </c>
      <c r="AB11" s="10" t="n">
        <f aca="false">('Data BoP'!AA8)+('Data BoP'!AA9)+('Data BoP'!AA10)+('Data BoP'!AA11)</f>
        <v>-10977.7010382051</v>
      </c>
      <c r="AC11" s="10" t="n">
        <f aca="false">('Data BoP'!AB8)+('Data BoP'!AB9)+('Data BoP'!AB10)+('Data BoP'!AB11)</f>
        <v>906.823</v>
      </c>
      <c r="AD11" s="10" t="n">
        <f aca="false">('Data BoP'!AC8)+('Data BoP'!AC9)+('Data BoP'!AC10)+('Data BoP'!AC11)</f>
        <v>34.8454001164999</v>
      </c>
      <c r="AE11" s="10" t="n">
        <f aca="false">('Data BoP'!AD8)+('Data BoP'!AD9)+('Data BoP'!AD10)+('Data BoP'!AD11)</f>
        <v>1493.70400052734</v>
      </c>
      <c r="AF11" s="10" t="n">
        <f aca="false">('Data BoP'!AE8)+('Data BoP'!AE9)+('Data BoP'!AE10)+('Data BoP'!AE11)</f>
        <v>10425.6654377943</v>
      </c>
      <c r="AG11" s="10" t="n">
        <f aca="false">('Data BoP'!AF8)+('Data BoP'!AF9)+('Data BoP'!AF10)+('Data BoP'!AF11)</f>
        <v>209.707548009589</v>
      </c>
      <c r="AH11" s="10" t="n">
        <f aca="false">('Data BoP'!AG8)+('Data BoP'!AG9)+('Data BoP'!AG10)+('Data BoP'!AG11)</f>
        <v>3074.57066592368</v>
      </c>
      <c r="AI11" s="10" t="n">
        <f aca="false">('Data BoP'!AH8)+('Data BoP'!AH9)+('Data BoP'!AH10)+('Data BoP'!AH11)</f>
        <v>4603.95305225322</v>
      </c>
      <c r="AJ11" s="10" t="n">
        <f aca="false">('Data BoP'!AL8)+('Data BoP'!AL9)+('Data BoP'!AL10)+('Data BoP'!AL11)</f>
        <v>1529.38238632955</v>
      </c>
      <c r="AK11" s="15" t="n">
        <f aca="false">('Data BoP'!AJ8)+('Data BoP'!AJ9)+('Data BoP'!AJ10)+('Data BoP'!AJ11)</f>
        <v>17320.09</v>
      </c>
      <c r="AL11" s="10" t="n">
        <f aca="false">('Data BoP'!AK8)+('Data BoP'!AK9)+('Data BoP'!AK10)+('Data BoP'!AK11)</f>
        <v>583.959211225151</v>
      </c>
    </row>
    <row r="12" customFormat="false" ht="15" hidden="false" customHeight="false" outlineLevel="0" collapsed="false">
      <c r="B12" s="14" t="str">
        <f aca="false">'Data BoP'!B12</f>
        <v>2007-Q3</v>
      </c>
      <c r="C12" s="15" t="n">
        <f aca="false">'Data BoP'!U12</f>
        <v>696.761923195183</v>
      </c>
      <c r="D12" s="10" t="n">
        <f aca="false">'Data BoP'!V12</f>
        <v>-1530.03204193125</v>
      </c>
      <c r="E12" s="10" t="n">
        <f aca="false">'Data BoP'!W12</f>
        <v>361.663162315754</v>
      </c>
      <c r="F12" s="10" t="n">
        <f aca="false">'Data BoP'!X12</f>
        <v>0</v>
      </c>
      <c r="G12" s="10" t="n">
        <f aca="false">'Data BoP'!Y12</f>
        <v>1460.49571592557</v>
      </c>
      <c r="H12" s="10" t="n">
        <f aca="false">'Data BoP'!Z12</f>
        <v>431.19948832144</v>
      </c>
      <c r="I12" s="10" t="n">
        <f aca="false">'Data BoP'!AA12</f>
        <v>1488.81716708212</v>
      </c>
      <c r="J12" s="10" t="n">
        <f aca="false">'Data BoP'!AB12</f>
        <v>245.997</v>
      </c>
      <c r="K12" s="10" t="n">
        <f aca="false">'Data BoP'!AC12</f>
        <v>-31.229</v>
      </c>
      <c r="L12" s="10" t="n">
        <f aca="false">'Data BoP'!AD12</f>
        <v>228.47212727772</v>
      </c>
      <c r="M12" s="10" t="n">
        <f aca="false">'Data BoP'!AE12</f>
        <v>-1502.52129435984</v>
      </c>
      <c r="N12" s="10" t="n">
        <f aca="false">'Data BoP'!AF12</f>
        <v>-17.9536004130181</v>
      </c>
      <c r="O12" s="10" t="n">
        <f aca="false">'Data BoP'!AG12</f>
        <v>1597.68039845733</v>
      </c>
      <c r="P12" s="10" t="n">
        <f aca="false">'Data BoP'!AH12</f>
        <v>4161.89461860046</v>
      </c>
      <c r="Q12" s="10" t="n">
        <f aca="false">'Data BoP'!AL12</f>
        <v>2564.21422014313</v>
      </c>
      <c r="R12" s="15" t="n">
        <f aca="false">'Data BoP'!AJ12</f>
        <v>-841.749999999997</v>
      </c>
      <c r="S12" s="10" t="n">
        <f aca="false">'Data BoP'!AK12</f>
        <v>145.286381000835</v>
      </c>
      <c r="U12" s="14" t="str">
        <f aca="false">'Data BoP'!B12</f>
        <v>2007-Q3</v>
      </c>
      <c r="V12" s="15" t="n">
        <f aca="false">('Data BoP'!U9)+('Data BoP'!U10)+('Data BoP'!U11)+('Data BoP'!U12)</f>
        <v>6620.77641466451</v>
      </c>
      <c r="W12" s="10" t="n">
        <f aca="false">('Data BoP'!V9)+('Data BoP'!V10)+('Data BoP'!V11)+('Data BoP'!V12)</f>
        <v>-2883.4318229268</v>
      </c>
      <c r="X12" s="10" t="n">
        <f aca="false">('Data BoP'!W9)+('Data BoP'!W10)+('Data BoP'!W11)+('Data BoP'!W12)</f>
        <v>1714.3709428132</v>
      </c>
      <c r="Y12" s="10" t="n">
        <f aca="false">('Data BoP'!X9)+('Data BoP'!X10)+('Data BoP'!X11)+('Data BoP'!X12)</f>
        <v>0</v>
      </c>
      <c r="Z12" s="10" t="n">
        <f aca="false">('Data BoP'!Y9)+('Data BoP'!Y10)+('Data BoP'!Y11)+('Data BoP'!Y12)</f>
        <v>3927.0902643786</v>
      </c>
      <c r="AA12" s="10" t="n">
        <f aca="false">('Data BoP'!Z9)+('Data BoP'!Z10)+('Data BoP'!Z11)+('Data BoP'!Z12)</f>
        <v>670.712501361401</v>
      </c>
      <c r="AB12" s="10" t="n">
        <f aca="false">('Data BoP'!AA9)+('Data BoP'!AA10)+('Data BoP'!AA11)+('Data BoP'!AA12)</f>
        <v>-8686.35569928867</v>
      </c>
      <c r="AC12" s="10" t="n">
        <f aca="false">('Data BoP'!AB9)+('Data BoP'!AB10)+('Data BoP'!AB11)+('Data BoP'!AB12)</f>
        <v>1030.08</v>
      </c>
      <c r="AD12" s="10" t="n">
        <f aca="false">('Data BoP'!AC9)+('Data BoP'!AC10)+('Data BoP'!AC11)+('Data BoP'!AC12)</f>
        <v>-56.1615998835</v>
      </c>
      <c r="AE12" s="10" t="n">
        <f aca="false">('Data BoP'!AD9)+('Data BoP'!AD10)+('Data BoP'!AD11)+('Data BoP'!AD12)</f>
        <v>1590.02643191221</v>
      </c>
      <c r="AF12" s="10" t="n">
        <f aca="false">('Data BoP'!AE9)+('Data BoP'!AE10)+('Data BoP'!AE11)+('Data BoP'!AE12)</f>
        <v>8070.24766749296</v>
      </c>
      <c r="AG12" s="10" t="n">
        <f aca="false">('Data BoP'!AF9)+('Data BoP'!AF10)+('Data BoP'!AF11)+('Data BoP'!AF12)</f>
        <v>229.749373621757</v>
      </c>
      <c r="AH12" s="10" t="n">
        <f aca="false">('Data BoP'!AG9)+('Data BoP'!AG10)+('Data BoP'!AG11)+('Data BoP'!AG12)</f>
        <v>4012.43456325822</v>
      </c>
      <c r="AI12" s="10" t="n">
        <f aca="false">('Data BoP'!AH9)+('Data BoP'!AH10)+('Data BoP'!AH11)+('Data BoP'!AH12)</f>
        <v>8344.16870917385</v>
      </c>
      <c r="AJ12" s="10" t="n">
        <f aca="false">('Data BoP'!AL9)+('Data BoP'!AL10)+('Data BoP'!AL11)+('Data BoP'!AL12)</f>
        <v>4331.73414591563</v>
      </c>
      <c r="AK12" s="15" t="n">
        <f aca="false">('Data BoP'!AJ9)+('Data BoP'!AJ10)+('Data BoP'!AJ11)+('Data BoP'!AJ12)</f>
        <v>13948.38</v>
      </c>
      <c r="AL12" s="10" t="n">
        <f aca="false">('Data BoP'!AK9)+('Data BoP'!AK10)+('Data BoP'!AK11)+('Data BoP'!AK12)</f>
        <v>1059.1564014222</v>
      </c>
    </row>
    <row r="13" customFormat="false" ht="15" hidden="false" customHeight="false" outlineLevel="0" collapsed="false">
      <c r="B13" s="14" t="str">
        <f aca="false">'Data BoP'!B13</f>
        <v>2007-Q4</v>
      </c>
      <c r="C13" s="15" t="n">
        <f aca="false">'Data BoP'!U13</f>
        <v>2764.795884273</v>
      </c>
      <c r="D13" s="10" t="n">
        <f aca="false">'Data BoP'!V13</f>
        <v>-2019.10989201657</v>
      </c>
      <c r="E13" s="10" t="n">
        <f aca="false">'Data BoP'!W13</f>
        <v>335.477632953672</v>
      </c>
      <c r="F13" s="10" t="n">
        <f aca="false">'Data BoP'!X13</f>
        <v>0</v>
      </c>
      <c r="G13" s="10" t="n">
        <f aca="false">'Data BoP'!Y13</f>
        <v>2238.66319106417</v>
      </c>
      <c r="H13" s="10" t="n">
        <f aca="false">'Data BoP'!Z13</f>
        <v>115.92433390607</v>
      </c>
      <c r="I13" s="10" t="n">
        <f aca="false">'Data BoP'!AA13</f>
        <v>-994.814814093143</v>
      </c>
      <c r="J13" s="10" t="n">
        <f aca="false">'Data BoP'!AB13</f>
        <v>486.984</v>
      </c>
      <c r="K13" s="10" t="n">
        <f aca="false">'Data BoP'!AC13</f>
        <v>-6.732</v>
      </c>
      <c r="L13" s="10" t="n">
        <f aca="false">'Data BoP'!AD13</f>
        <v>411.625076952925</v>
      </c>
      <c r="M13" s="10" t="n">
        <f aca="false">'Data BoP'!AE13</f>
        <v>1063.44173714022</v>
      </c>
      <c r="N13" s="10" t="n">
        <f aca="false">'Data BoP'!AF13</f>
        <v>547.8</v>
      </c>
      <c r="O13" s="10" t="n">
        <f aca="false">'Data BoP'!AG13</f>
        <v>2298.78059038272</v>
      </c>
      <c r="P13" s="10" t="n">
        <f aca="false">'Data BoP'!AH13</f>
        <v>4219.681997181</v>
      </c>
      <c r="Q13" s="10" t="n">
        <f aca="false">'Data BoP'!AL13</f>
        <v>1920.90140679827</v>
      </c>
      <c r="R13" s="15" t="n">
        <f aca="false">'Data BoP'!AJ13</f>
        <v>2932.13999999999</v>
      </c>
      <c r="S13" s="10" t="n">
        <f aca="false">'Data BoP'!AK13</f>
        <v>-207.23651634013</v>
      </c>
      <c r="U13" s="14" t="str">
        <f aca="false">'Data BoP'!B13</f>
        <v>2007-Q4</v>
      </c>
      <c r="V13" s="15" t="n">
        <f aca="false">('Data BoP'!U10)+('Data BoP'!U11)+('Data BoP'!U12)+('Data BoP'!U13)</f>
        <v>5899.44687966722</v>
      </c>
      <c r="W13" s="10" t="n">
        <f aca="false">('Data BoP'!V10)+('Data BoP'!V11)+('Data BoP'!V12)+('Data BoP'!V13)</f>
        <v>-4968.92480078457</v>
      </c>
      <c r="X13" s="10" t="n">
        <f aca="false">('Data BoP'!W10)+('Data BoP'!W11)+('Data BoP'!W12)+('Data BoP'!W13)</f>
        <v>1504.23296134457</v>
      </c>
      <c r="Y13" s="10" t="n">
        <f aca="false">('Data BoP'!X10)+('Data BoP'!X11)+('Data BoP'!X12)+('Data BoP'!X13)</f>
        <v>0</v>
      </c>
      <c r="Z13" s="10" t="n">
        <f aca="false">('Data BoP'!Y10)+('Data BoP'!Y11)+('Data BoP'!Y12)+('Data BoP'!Y13)</f>
        <v>4627.52092686168</v>
      </c>
      <c r="AA13" s="10" t="n">
        <f aca="false">('Data BoP'!Z10)+('Data BoP'!Z11)+('Data BoP'!Z12)+('Data BoP'!Z13)</f>
        <v>1845.63683526747</v>
      </c>
      <c r="AB13" s="10" t="n">
        <f aca="false">('Data BoP'!AA10)+('Data BoP'!AA11)+('Data BoP'!AA12)+('Data BoP'!AA13)</f>
        <v>-7467.9628975237</v>
      </c>
      <c r="AC13" s="10" t="n">
        <f aca="false">('Data BoP'!AB10)+('Data BoP'!AB11)+('Data BoP'!AB12)+('Data BoP'!AB13)</f>
        <v>1389.358</v>
      </c>
      <c r="AD13" s="10" t="n">
        <f aca="false">('Data BoP'!AC10)+('Data BoP'!AC11)+('Data BoP'!AC12)+('Data BoP'!AC13)</f>
        <v>-215.8091998835</v>
      </c>
      <c r="AE13" s="10" t="n">
        <f aca="false">('Data BoP'!AD10)+('Data BoP'!AD11)+('Data BoP'!AD12)+('Data BoP'!AD13)</f>
        <v>1784.93501155032</v>
      </c>
      <c r="AF13" s="10" t="n">
        <f aca="false">('Data BoP'!AE10)+('Data BoP'!AE11)+('Data BoP'!AE12)+('Data BoP'!AE13)</f>
        <v>6856.57668608988</v>
      </c>
      <c r="AG13" s="10" t="n">
        <f aca="false">('Data BoP'!AF10)+('Data BoP'!AF11)+('Data BoP'!AF12)+('Data BoP'!AF13)</f>
        <v>564.587408440092</v>
      </c>
      <c r="AH13" s="10" t="n">
        <f aca="false">('Data BoP'!AG10)+('Data BoP'!AG11)+('Data BoP'!AG12)+('Data BoP'!AG13)</f>
        <v>4682.0271695354</v>
      </c>
      <c r="AI13" s="10" t="n">
        <f aca="false">('Data BoP'!AH10)+('Data BoP'!AH11)+('Data BoP'!AH12)+('Data BoP'!AH13)</f>
        <v>10556.6734397616</v>
      </c>
      <c r="AJ13" s="10" t="n">
        <f aca="false">('Data BoP'!AL10)+('Data BoP'!AL11)+('Data BoP'!AL12)+('Data BoP'!AL13)</f>
        <v>5874.64627022624</v>
      </c>
      <c r="AK13" s="15" t="n">
        <f aca="false">('Data BoP'!AJ10)+('Data BoP'!AJ11)+('Data BoP'!AJ12)+('Data BoP'!AJ13)</f>
        <v>13089.72</v>
      </c>
      <c r="AL13" s="10" t="n">
        <f aca="false">('Data BoP'!AK10)+('Data BoP'!AK11)+('Data BoP'!AK12)+('Data BoP'!AK13)</f>
        <v>-270.236902187651</v>
      </c>
    </row>
    <row r="14" customFormat="false" ht="15" hidden="false" customHeight="false" outlineLevel="0" collapsed="false">
      <c r="B14" s="14" t="str">
        <f aca="false">'Data BoP'!B14</f>
        <v>2008-Q1</v>
      </c>
      <c r="C14" s="15" t="n">
        <f aca="false">'Data BoP'!U14</f>
        <v>2610.93583563028</v>
      </c>
      <c r="D14" s="10" t="n">
        <f aca="false">'Data BoP'!V14</f>
        <v>-3137.00136673117</v>
      </c>
      <c r="E14" s="10" t="n">
        <f aca="false">'Data BoP'!W14</f>
        <v>346.003277305985</v>
      </c>
      <c r="F14" s="10" t="n">
        <f aca="false">'Data BoP'!X14</f>
        <v>0</v>
      </c>
      <c r="G14" s="10" t="n">
        <f aca="false">'Data BoP'!Y14</f>
        <v>1537.49676347086</v>
      </c>
      <c r="H14" s="10" t="n">
        <f aca="false">'Data BoP'!Z14</f>
        <v>1945.5078805663</v>
      </c>
      <c r="I14" s="10" t="n">
        <f aca="false">'Data BoP'!AA14</f>
        <v>1033.61562451162</v>
      </c>
      <c r="J14" s="10" t="n">
        <f aca="false">'Data BoP'!AB14</f>
        <v>130.501</v>
      </c>
      <c r="K14" s="10" t="n">
        <f aca="false">'Data BoP'!AC14</f>
        <v>583.686</v>
      </c>
      <c r="L14" s="10" t="n">
        <f aca="false">'Data BoP'!AD14</f>
        <v>-92.9096731325036</v>
      </c>
      <c r="M14" s="10" t="n">
        <f aca="false">'Data BoP'!AE14</f>
        <v>-226.518951379119</v>
      </c>
      <c r="N14" s="10" t="n">
        <f aca="false">'Data BoP'!AF14</f>
        <v>-12.4</v>
      </c>
      <c r="O14" s="10" t="n">
        <f aca="false">'Data BoP'!AG14</f>
        <v>1192.51157784982</v>
      </c>
      <c r="P14" s="10" t="n">
        <f aca="false">'Data BoP'!AH14</f>
        <v>2617.83978939195</v>
      </c>
      <c r="Q14" s="10" t="n">
        <f aca="false">'Data BoP'!AL14</f>
        <v>1425.32821154213</v>
      </c>
      <c r="R14" s="15" t="n">
        <f aca="false">'Data BoP'!AJ14</f>
        <v>3534.21000000001</v>
      </c>
      <c r="S14" s="10" t="n">
        <f aca="false">'Data BoP'!AK14</f>
        <v>1244.09027146117</v>
      </c>
      <c r="U14" s="14" t="str">
        <f aca="false">'Data BoP'!B14</f>
        <v>2008-Q1</v>
      </c>
      <c r="V14" s="15" t="n">
        <f aca="false">('Data BoP'!U11)+('Data BoP'!U12)+('Data BoP'!U13)+('Data BoP'!U14)</f>
        <v>7034.08593574957</v>
      </c>
      <c r="W14" s="10" t="n">
        <f aca="false">('Data BoP'!V11)+('Data BoP'!V12)+('Data BoP'!V13)+('Data BoP'!V14)</f>
        <v>-7388.49737487466</v>
      </c>
      <c r="X14" s="10" t="n">
        <f aca="false">('Data BoP'!W11)+('Data BoP'!W12)+('Data BoP'!W13)+('Data BoP'!W14)</f>
        <v>1440.60719025074</v>
      </c>
      <c r="Y14" s="10" t="n">
        <f aca="false">('Data BoP'!X11)+('Data BoP'!X12)+('Data BoP'!X13)+('Data BoP'!X14)</f>
        <v>0</v>
      </c>
      <c r="Z14" s="10" t="n">
        <f aca="false">('Data BoP'!Y11)+('Data BoP'!Y12)+('Data BoP'!Y13)+('Data BoP'!Y14)</f>
        <v>5739.25822688419</v>
      </c>
      <c r="AA14" s="10" t="n">
        <f aca="false">('Data BoP'!Z11)+('Data BoP'!Z12)+('Data BoP'!Z13)+('Data BoP'!Z14)</f>
        <v>3089.84633824121</v>
      </c>
      <c r="AB14" s="10" t="n">
        <f aca="false">('Data BoP'!AA11)+('Data BoP'!AA12)+('Data BoP'!AA13)+('Data BoP'!AA14)</f>
        <v>-4135.08573143474</v>
      </c>
      <c r="AC14" s="10" t="n">
        <f aca="false">('Data BoP'!AB11)+('Data BoP'!AB12)+('Data BoP'!AB13)+('Data BoP'!AB14)</f>
        <v>1262.034</v>
      </c>
      <c r="AD14" s="10" t="n">
        <f aca="false">('Data BoP'!AC11)+('Data BoP'!AC12)+('Data BoP'!AC13)+('Data BoP'!AC14)</f>
        <v>352.9693</v>
      </c>
      <c r="AE14" s="10" t="n">
        <f aca="false">('Data BoP'!AD11)+('Data BoP'!AD12)+('Data BoP'!AD13)+('Data BoP'!AD14)</f>
        <v>1142.11898254287</v>
      </c>
      <c r="AF14" s="10" t="n">
        <f aca="false">('Data BoP'!AE11)+('Data BoP'!AE12)+('Data BoP'!AE13)+('Data BoP'!AE14)</f>
        <v>4607.97004889187</v>
      </c>
      <c r="AG14" s="10" t="n">
        <f aca="false">('Data BoP'!AF11)+('Data BoP'!AF12)+('Data BoP'!AF13)+('Data BoP'!AF14)</f>
        <v>544.299235347716</v>
      </c>
      <c r="AH14" s="10" t="n">
        <f aca="false">('Data BoP'!AG11)+('Data BoP'!AG12)+('Data BoP'!AG13)+('Data BoP'!AG14)</f>
        <v>6049.12980671125</v>
      </c>
      <c r="AI14" s="10" t="n">
        <f aca="false">('Data BoP'!AH11)+('Data BoP'!AH12)+('Data BoP'!AH13)+('Data BoP'!AH14)</f>
        <v>12775.8726814893</v>
      </c>
      <c r="AJ14" s="10" t="n">
        <f aca="false">('Data BoP'!AL11)+('Data BoP'!AL12)+('Data BoP'!AL13)+('Data BoP'!AL14)</f>
        <v>6726.74287477805</v>
      </c>
      <c r="AK14" s="15" t="n">
        <f aca="false">('Data BoP'!AJ11)+('Data BoP'!AJ12)+('Data BoP'!AJ13)+('Data BoP'!AJ14)</f>
        <v>11964.24</v>
      </c>
      <c r="AL14" s="10" t="n">
        <f aca="false">('Data BoP'!AK11)+('Data BoP'!AK12)+('Data BoP'!AK13)+('Data BoP'!AK14)</f>
        <v>110.858677147477</v>
      </c>
    </row>
    <row r="15" customFormat="false" ht="15" hidden="false" customHeight="false" outlineLevel="0" collapsed="false">
      <c r="B15" s="14" t="str">
        <f aca="false">'Data BoP'!B15</f>
        <v>2008-Q2</v>
      </c>
      <c r="C15" s="15" t="n">
        <f aca="false">'Data BoP'!U15</f>
        <v>-667.961763914693</v>
      </c>
      <c r="D15" s="10" t="n">
        <f aca="false">'Data BoP'!V15</f>
        <v>-1946.19189385618</v>
      </c>
      <c r="E15" s="10" t="n">
        <f aca="false">'Data BoP'!W15</f>
        <v>318.610908049611</v>
      </c>
      <c r="F15" s="10" t="n">
        <f aca="false">'Data BoP'!X15</f>
        <v>0</v>
      </c>
      <c r="G15" s="10" t="n">
        <f aca="false">'Data BoP'!Y15</f>
        <v>329.719421538463</v>
      </c>
      <c r="H15" s="10" t="n">
        <f aca="false">'Data BoP'!Z15</f>
        <v>1935.08338036733</v>
      </c>
      <c r="I15" s="10" t="n">
        <f aca="false">'Data BoP'!AA15</f>
        <v>2143.69337454994</v>
      </c>
      <c r="J15" s="10" t="n">
        <f aca="false">'Data BoP'!AB15</f>
        <v>669.137</v>
      </c>
      <c r="K15" s="10" t="n">
        <f aca="false">'Data BoP'!AC15</f>
        <v>18.489</v>
      </c>
      <c r="L15" s="10" t="n">
        <f aca="false">'Data BoP'!AD15</f>
        <v>-202.873018788848</v>
      </c>
      <c r="M15" s="10" t="n">
        <f aca="false">'Data BoP'!AE15</f>
        <v>-1253.19435576109</v>
      </c>
      <c r="N15" s="10" t="n">
        <f aca="false">'Data BoP'!AF15</f>
        <v>59.9</v>
      </c>
      <c r="O15" s="10" t="n">
        <f aca="false">'Data BoP'!AG15</f>
        <v>1695.57675539155</v>
      </c>
      <c r="P15" s="10" t="n">
        <f aca="false">'Data BoP'!AH15</f>
        <v>5196.44621364801</v>
      </c>
      <c r="Q15" s="10" t="n">
        <f aca="false">'Data BoP'!AL15</f>
        <v>3500.86945825646</v>
      </c>
      <c r="R15" s="15" t="n">
        <f aca="false">'Data BoP'!AJ15</f>
        <v>-2620.94</v>
      </c>
      <c r="S15" s="10" t="n">
        <f aca="false">'Data BoP'!AK15</f>
        <v>-1001.97270264492</v>
      </c>
      <c r="U15" s="14" t="str">
        <f aca="false">'Data BoP'!B15</f>
        <v>2008-Q2</v>
      </c>
      <c r="V15" s="15" t="n">
        <f aca="false">('Data BoP'!U12)+('Data BoP'!U13)+('Data BoP'!U14)+('Data BoP'!U15)</f>
        <v>5404.53187918377</v>
      </c>
      <c r="W15" s="10" t="n">
        <f aca="false">('Data BoP'!V12)+('Data BoP'!V13)+('Data BoP'!V14)+('Data BoP'!V15)</f>
        <v>-8632.33519453518</v>
      </c>
      <c r="X15" s="10" t="n">
        <f aca="false">('Data BoP'!W12)+('Data BoP'!W13)+('Data BoP'!W14)+('Data BoP'!W15)</f>
        <v>1361.75498062502</v>
      </c>
      <c r="Y15" s="10" t="n">
        <f aca="false">('Data BoP'!X12)+('Data BoP'!X13)+('Data BoP'!X14)+('Data BoP'!X15)</f>
        <v>0</v>
      </c>
      <c r="Z15" s="10" t="n">
        <f aca="false">('Data BoP'!Y12)+('Data BoP'!Y13)+('Data BoP'!Y14)+('Data BoP'!Y15)</f>
        <v>5566.37509199906</v>
      </c>
      <c r="AA15" s="10" t="n">
        <f aca="false">('Data BoP'!Z12)+('Data BoP'!Z13)+('Data BoP'!Z14)+('Data BoP'!Z15)</f>
        <v>4427.71508316114</v>
      </c>
      <c r="AB15" s="10" t="n">
        <f aca="false">('Data BoP'!AA12)+('Data BoP'!AA13)+('Data BoP'!AA14)+('Data BoP'!AA15)</f>
        <v>3671.31135205054</v>
      </c>
      <c r="AC15" s="10" t="n">
        <f aca="false">('Data BoP'!AB12)+('Data BoP'!AB13)+('Data BoP'!AB14)+('Data BoP'!AB15)</f>
        <v>1532.619</v>
      </c>
      <c r="AD15" s="10" t="n">
        <f aca="false">('Data BoP'!AC12)+('Data BoP'!AC13)+('Data BoP'!AC14)+('Data BoP'!AC15)</f>
        <v>564.214</v>
      </c>
      <c r="AE15" s="10" t="n">
        <f aca="false">('Data BoP'!AD12)+('Data BoP'!AD13)+('Data BoP'!AD14)+('Data BoP'!AD15)</f>
        <v>344.314512309294</v>
      </c>
      <c r="AF15" s="10" t="n">
        <f aca="false">('Data BoP'!AE12)+('Data BoP'!AE13)+('Data BoP'!AE14)+('Data BoP'!AE15)</f>
        <v>-1918.79286435983</v>
      </c>
      <c r="AG15" s="10" t="n">
        <f aca="false">('Data BoP'!AF12)+('Data BoP'!AF13)+('Data BoP'!AF14)+('Data BoP'!AF15)</f>
        <v>577.346399586982</v>
      </c>
      <c r="AH15" s="10" t="n">
        <f aca="false">('Data BoP'!AG12)+('Data BoP'!AG13)+('Data BoP'!AG14)+('Data BoP'!AG15)</f>
        <v>6784.54932208142</v>
      </c>
      <c r="AI15" s="10" t="n">
        <f aca="false">('Data BoP'!AH12)+('Data BoP'!AH13)+('Data BoP'!AH14)+('Data BoP'!AH15)</f>
        <v>16195.8626188214</v>
      </c>
      <c r="AJ15" s="10" t="n">
        <f aca="false">('Data BoP'!AL12)+('Data BoP'!AL13)+('Data BoP'!AL14)+('Data BoP'!AL15)</f>
        <v>9411.31329673999</v>
      </c>
      <c r="AK15" s="15" t="n">
        <f aca="false">('Data BoP'!AJ12)+('Data BoP'!AJ13)+('Data BoP'!AJ14)+('Data BoP'!AJ15)</f>
        <v>3003.66000000001</v>
      </c>
      <c r="AL15" s="10" t="n">
        <f aca="false">('Data BoP'!AK12)+('Data BoP'!AK13)+('Data BoP'!AK14)+('Data BoP'!AK15)</f>
        <v>180.16743347696</v>
      </c>
    </row>
    <row r="16" customFormat="false" ht="15" hidden="false" customHeight="false" outlineLevel="0" collapsed="false">
      <c r="B16" s="14" t="str">
        <f aca="false">'Data BoP'!B16</f>
        <v>2008-Q3</v>
      </c>
      <c r="C16" s="15" t="n">
        <f aca="false">'Data BoP'!U16</f>
        <v>4535.49959141653</v>
      </c>
      <c r="D16" s="10" t="n">
        <f aca="false">'Data BoP'!V16</f>
        <v>-1854.0751498344</v>
      </c>
      <c r="E16" s="10" t="n">
        <f aca="false">'Data BoP'!W16</f>
        <v>498.521320757855</v>
      </c>
      <c r="F16" s="10" t="n">
        <f aca="false">'Data BoP'!X16</f>
        <v>0</v>
      </c>
      <c r="G16" s="10" t="n">
        <f aca="false">'Data BoP'!Y16</f>
        <v>1906.24667020432</v>
      </c>
      <c r="H16" s="10" t="n">
        <f aca="false">'Data BoP'!Z16</f>
        <v>446.349800387941</v>
      </c>
      <c r="I16" s="10" t="n">
        <f aca="false">'Data BoP'!AA16</f>
        <v>4012.07822025137</v>
      </c>
      <c r="J16" s="10" t="n">
        <f aca="false">'Data BoP'!AB16</f>
        <v>97.261</v>
      </c>
      <c r="K16" s="10" t="n">
        <f aca="false">'Data BoP'!AC16</f>
        <v>1679.4657</v>
      </c>
      <c r="L16" s="10" t="n">
        <f aca="false">'Data BoP'!AD16</f>
        <v>-58.1797925150349</v>
      </c>
      <c r="M16" s="10" t="n">
        <f aca="false">'Data BoP'!AE16</f>
        <v>-2177.17172773634</v>
      </c>
      <c r="N16" s="10" t="n">
        <f aca="false">'Data BoP'!AF16</f>
        <v>11.8</v>
      </c>
      <c r="O16" s="10" t="n">
        <f aca="false">'Data BoP'!AG16</f>
        <v>2415.12652099956</v>
      </c>
      <c r="P16" s="10" t="n">
        <f aca="false">'Data BoP'!AH16</f>
        <v>4809.11734817188</v>
      </c>
      <c r="Q16" s="10" t="n">
        <f aca="false">'Data BoP'!AL16</f>
        <v>2393.99082717232</v>
      </c>
      <c r="R16" s="15" t="n">
        <f aca="false">'Data BoP'!AJ16</f>
        <v>-49.4300000000062</v>
      </c>
      <c r="S16" s="10" t="n">
        <f aca="false">'Data BoP'!AK16</f>
        <v>1419.78077114915</v>
      </c>
      <c r="U16" s="14" t="str">
        <f aca="false">'Data BoP'!B16</f>
        <v>2008-Q3</v>
      </c>
      <c r="V16" s="15" t="n">
        <f aca="false">('Data BoP'!U13)+('Data BoP'!U14)+('Data BoP'!U15)+('Data BoP'!U16)</f>
        <v>9243.26954740511</v>
      </c>
      <c r="W16" s="10" t="n">
        <f aca="false">('Data BoP'!V13)+('Data BoP'!V14)+('Data BoP'!V15)+('Data BoP'!V16)</f>
        <v>-8956.37830243833</v>
      </c>
      <c r="X16" s="10" t="n">
        <f aca="false">('Data BoP'!W13)+('Data BoP'!W14)+('Data BoP'!W15)+('Data BoP'!W16)</f>
        <v>1498.61313906712</v>
      </c>
      <c r="Y16" s="10" t="n">
        <f aca="false">('Data BoP'!X13)+('Data BoP'!X14)+('Data BoP'!X15)+('Data BoP'!X16)</f>
        <v>0</v>
      </c>
      <c r="Z16" s="10" t="n">
        <f aca="false">('Data BoP'!Y13)+('Data BoP'!Y14)+('Data BoP'!Y15)+('Data BoP'!Y16)</f>
        <v>6012.12604627781</v>
      </c>
      <c r="AA16" s="10" t="n">
        <f aca="false">('Data BoP'!Z13)+('Data BoP'!Z14)+('Data BoP'!Z15)+('Data BoP'!Z16)</f>
        <v>4442.86539522764</v>
      </c>
      <c r="AB16" s="10" t="n">
        <f aca="false">('Data BoP'!AA13)+('Data BoP'!AA14)+('Data BoP'!AA15)+('Data BoP'!AA16)</f>
        <v>6194.57240521979</v>
      </c>
      <c r="AC16" s="10" t="n">
        <f aca="false">('Data BoP'!AB13)+('Data BoP'!AB14)+('Data BoP'!AB15)+('Data BoP'!AB16)</f>
        <v>1383.883</v>
      </c>
      <c r="AD16" s="10" t="n">
        <f aca="false">('Data BoP'!AC13)+('Data BoP'!AC14)+('Data BoP'!AC15)+('Data BoP'!AC16)</f>
        <v>2274.9087</v>
      </c>
      <c r="AE16" s="10" t="n">
        <f aca="false">('Data BoP'!AD13)+('Data BoP'!AD14)+('Data BoP'!AD15)+('Data BoP'!AD16)</f>
        <v>57.6625925165386</v>
      </c>
      <c r="AF16" s="10" t="n">
        <f aca="false">('Data BoP'!AE13)+('Data BoP'!AE14)+('Data BoP'!AE15)+('Data BoP'!AE16)</f>
        <v>-2593.44329773633</v>
      </c>
      <c r="AG16" s="10" t="n">
        <f aca="false">('Data BoP'!AF13)+('Data BoP'!AF14)+('Data BoP'!AF15)+('Data BoP'!AF16)</f>
        <v>607.1</v>
      </c>
      <c r="AH16" s="10" t="n">
        <f aca="false">('Data BoP'!AG13)+('Data BoP'!AG14)+('Data BoP'!AG15)+('Data BoP'!AG16)</f>
        <v>7601.99544462365</v>
      </c>
      <c r="AI16" s="10" t="n">
        <f aca="false">('Data BoP'!AH13)+('Data BoP'!AH14)+('Data BoP'!AH15)+('Data BoP'!AH16)</f>
        <v>16843.0853483928</v>
      </c>
      <c r="AJ16" s="10" t="n">
        <f aca="false">('Data BoP'!AL13)+('Data BoP'!AL14)+('Data BoP'!AL15)+('Data BoP'!AL16)</f>
        <v>9241.08990376919</v>
      </c>
      <c r="AK16" s="15" t="n">
        <f aca="false">('Data BoP'!AJ13)+('Data BoP'!AJ14)+('Data BoP'!AJ15)+('Data BoP'!AJ16)</f>
        <v>3795.98</v>
      </c>
      <c r="AL16" s="10" t="n">
        <f aca="false">('Data BoP'!AK13)+('Data BoP'!AK14)+('Data BoP'!AK15)+('Data BoP'!AK16)</f>
        <v>1454.66182362527</v>
      </c>
    </row>
    <row r="17" customFormat="false" ht="15" hidden="false" customHeight="false" outlineLevel="0" collapsed="false">
      <c r="B17" s="14" t="str">
        <f aca="false">'Data BoP'!B17</f>
        <v>2008-Q4</v>
      </c>
      <c r="C17" s="15" t="n">
        <f aca="false">'Data BoP'!U17</f>
        <v>75.4805195860174</v>
      </c>
      <c r="D17" s="10" t="n">
        <f aca="false">'Data BoP'!V17</f>
        <v>-1397.35013022537</v>
      </c>
      <c r="E17" s="10" t="n">
        <f aca="false">'Data BoP'!W17</f>
        <v>227.799082764112</v>
      </c>
      <c r="F17" s="10" t="n">
        <f aca="false">'Data BoP'!X17</f>
        <v>0</v>
      </c>
      <c r="G17" s="10" t="n">
        <f aca="false">'Data BoP'!Y17</f>
        <v>1175.4658442465</v>
      </c>
      <c r="H17" s="10" t="n">
        <f aca="false">'Data BoP'!Z17</f>
        <v>449.68336874298</v>
      </c>
      <c r="I17" s="10" t="n">
        <f aca="false">'Data BoP'!AA17</f>
        <v>689.201843996941</v>
      </c>
      <c r="J17" s="10" t="n">
        <f aca="false">'Data BoP'!AB17</f>
        <v>-370.519</v>
      </c>
      <c r="K17" s="10" t="n">
        <f aca="false">'Data BoP'!AC17</f>
        <v>-652.456850770433</v>
      </c>
      <c r="L17" s="10" t="n">
        <f aca="false">'Data BoP'!AD17</f>
        <v>-176.659291195054</v>
      </c>
      <c r="M17" s="10" t="n">
        <f aca="false">'Data BoP'!AE17</f>
        <v>-1535.51840357232</v>
      </c>
      <c r="N17" s="10" t="n">
        <f aca="false">'Data BoP'!AF17</f>
        <v>875.4</v>
      </c>
      <c r="O17" s="10" t="n">
        <f aca="false">'Data BoP'!AG17</f>
        <v>754.688805814439</v>
      </c>
      <c r="P17" s="10" t="n">
        <f aca="false">'Data BoP'!AH17</f>
        <v>-382.888310070917</v>
      </c>
      <c r="Q17" s="10" t="n">
        <f aca="false">'Data BoP'!AL17</f>
        <v>-1137.57711588536</v>
      </c>
      <c r="R17" s="15" t="n">
        <f aca="false">'Data BoP'!AJ17</f>
        <v>-846.459999999994</v>
      </c>
      <c r="S17" s="10" t="n">
        <f aca="false">'Data BoP'!AK17</f>
        <v>-714.210502584237</v>
      </c>
      <c r="U17" s="14" t="str">
        <f aca="false">'Data BoP'!B17</f>
        <v>2008-Q4</v>
      </c>
      <c r="V17" s="15" t="n">
        <f aca="false">('Data BoP'!U14)+('Data BoP'!U15)+('Data BoP'!U16)+('Data BoP'!U17)</f>
        <v>6553.95418271813</v>
      </c>
      <c r="W17" s="10" t="n">
        <f aca="false">('Data BoP'!V14)+('Data BoP'!V15)+('Data BoP'!V16)+('Data BoP'!V17)</f>
        <v>-8334.61854064713</v>
      </c>
      <c r="X17" s="10" t="n">
        <f aca="false">('Data BoP'!W14)+('Data BoP'!W15)+('Data BoP'!W16)+('Data BoP'!W17)</f>
        <v>1390.93458887756</v>
      </c>
      <c r="Y17" s="10" t="n">
        <f aca="false">('Data BoP'!X14)+('Data BoP'!X15)+('Data BoP'!X16)+('Data BoP'!X17)</f>
        <v>0</v>
      </c>
      <c r="Z17" s="10" t="n">
        <f aca="false">('Data BoP'!Y14)+('Data BoP'!Y15)+('Data BoP'!Y16)+('Data BoP'!Y17)</f>
        <v>4948.92869946014</v>
      </c>
      <c r="AA17" s="10" t="n">
        <f aca="false">('Data BoP'!Z14)+('Data BoP'!Z15)+('Data BoP'!Z16)+('Data BoP'!Z17)</f>
        <v>4776.62443006455</v>
      </c>
      <c r="AB17" s="10" t="n">
        <f aca="false">('Data BoP'!AA14)+('Data BoP'!AA15)+('Data BoP'!AA16)+('Data BoP'!AA17)</f>
        <v>7878.58906330988</v>
      </c>
      <c r="AC17" s="10" t="n">
        <f aca="false">('Data BoP'!AB14)+('Data BoP'!AB15)+('Data BoP'!AB16)+('Data BoP'!AB17)</f>
        <v>526.38</v>
      </c>
      <c r="AD17" s="10" t="n">
        <f aca="false">('Data BoP'!AC14)+('Data BoP'!AC15)+('Data BoP'!AC16)+('Data BoP'!AC17)</f>
        <v>1629.18384922957</v>
      </c>
      <c r="AE17" s="10" t="n">
        <f aca="false">('Data BoP'!AD14)+('Data BoP'!AD15)+('Data BoP'!AD16)+('Data BoP'!AD17)</f>
        <v>-530.62177563144</v>
      </c>
      <c r="AF17" s="10" t="n">
        <f aca="false">('Data BoP'!AE14)+('Data BoP'!AE15)+('Data BoP'!AE16)+('Data BoP'!AE17)</f>
        <v>-5192.40343844887</v>
      </c>
      <c r="AG17" s="10" t="n">
        <f aca="false">('Data BoP'!AF14)+('Data BoP'!AF15)+('Data BoP'!AF16)+('Data BoP'!AF17)</f>
        <v>934.7</v>
      </c>
      <c r="AH17" s="10" t="n">
        <f aca="false">('Data BoP'!AG14)+('Data BoP'!AG15)+('Data BoP'!AG16)+('Data BoP'!AG17)</f>
        <v>6057.90366005537</v>
      </c>
      <c r="AI17" s="10" t="n">
        <f aca="false">('Data BoP'!AH14)+('Data BoP'!AH15)+('Data BoP'!AH16)+('Data BoP'!AH17)</f>
        <v>12240.5150411409</v>
      </c>
      <c r="AJ17" s="10" t="n">
        <f aca="false">('Data BoP'!AL14)+('Data BoP'!AL15)+('Data BoP'!AL16)+('Data BoP'!AL17)</f>
        <v>6182.61138108556</v>
      </c>
      <c r="AK17" s="15" t="n">
        <f aca="false">('Data BoP'!AJ14)+('Data BoP'!AJ15)+('Data BoP'!AJ16)+('Data BoP'!AJ17)</f>
        <v>17.3800000000086</v>
      </c>
      <c r="AL17" s="10" t="n">
        <f aca="false">('Data BoP'!AK14)+('Data BoP'!AK15)+('Data BoP'!AK16)+('Data BoP'!AK17)</f>
        <v>947.687837381164</v>
      </c>
    </row>
    <row r="18" customFormat="false" ht="15" hidden="false" customHeight="false" outlineLevel="0" collapsed="false">
      <c r="B18" s="14" t="str">
        <f aca="false">'Data BoP'!B18</f>
        <v>2009-Q1</v>
      </c>
      <c r="C18" s="15" t="n">
        <f aca="false">'Data BoP'!U18</f>
        <v>1063.58692470708</v>
      </c>
      <c r="D18" s="10" t="n">
        <f aca="false">'Data BoP'!V18</f>
        <v>-1329.37577451031</v>
      </c>
      <c r="E18" s="10" t="n">
        <f aca="false">'Data BoP'!W18</f>
        <v>341.104966423619</v>
      </c>
      <c r="F18" s="10" t="n">
        <f aca="false">'Data BoP'!X18</f>
        <v>0</v>
      </c>
      <c r="G18" s="10" t="n">
        <f aca="false">'Data BoP'!Y18</f>
        <v>1974</v>
      </c>
      <c r="H18" s="10" t="n">
        <f aca="false">'Data BoP'!Z18</f>
        <v>-303.51925906607</v>
      </c>
      <c r="I18" s="10" t="n">
        <f aca="false">'Data BoP'!AA18</f>
        <v>826.394806487892</v>
      </c>
      <c r="J18" s="10" t="n">
        <f aca="false">'Data BoP'!AB18</f>
        <v>109</v>
      </c>
      <c r="K18" s="10" t="n">
        <f aca="false">'Data BoP'!AC18</f>
        <v>740.441859879785</v>
      </c>
      <c r="L18" s="10" t="n">
        <f aca="false">'Data BoP'!AD18</f>
        <v>-73.1003882223938</v>
      </c>
      <c r="M18" s="10" t="n">
        <f aca="false">'Data BoP'!AE18</f>
        <v>96.1474416142862</v>
      </c>
      <c r="N18" s="10" t="n">
        <f aca="false">'Data BoP'!AF18</f>
        <v>-0.9</v>
      </c>
      <c r="O18" s="10" t="n">
        <f aca="false">'Data BoP'!AG18</f>
        <v>1300.3478927295</v>
      </c>
      <c r="P18" s="10" t="n">
        <f aca="false">'Data BoP'!AH18</f>
        <v>1731.63051115735</v>
      </c>
      <c r="Q18" s="10" t="n">
        <f aca="false">'Data BoP'!AL18</f>
        <v>431.282618427846</v>
      </c>
      <c r="R18" s="15" t="n">
        <f aca="false">'Data BoP'!AJ18</f>
        <v>267.119999999998</v>
      </c>
      <c r="S18" s="10" t="n">
        <f aca="false">'Data BoP'!AK18</f>
        <v>-149.172926434598</v>
      </c>
      <c r="U18" s="14" t="str">
        <f aca="false">'Data BoP'!B18</f>
        <v>2009-Q1</v>
      </c>
      <c r="V18" s="15" t="n">
        <f aca="false">('Data BoP'!U15)+('Data BoP'!U16)+('Data BoP'!U17)+('Data BoP'!U18)</f>
        <v>5006.60527179493</v>
      </c>
      <c r="W18" s="10" t="n">
        <f aca="false">('Data BoP'!V15)+('Data BoP'!V16)+('Data BoP'!V17)+('Data BoP'!V18)</f>
        <v>-6526.99294842626</v>
      </c>
      <c r="X18" s="10" t="n">
        <f aca="false">('Data BoP'!W15)+('Data BoP'!W16)+('Data BoP'!W17)+('Data BoP'!W18)</f>
        <v>1386.0362779952</v>
      </c>
      <c r="Y18" s="10" t="n">
        <f aca="false">('Data BoP'!X15)+('Data BoP'!X16)+('Data BoP'!X17)+('Data BoP'!X18)</f>
        <v>0</v>
      </c>
      <c r="Z18" s="10" t="n">
        <f aca="false">('Data BoP'!Y15)+('Data BoP'!Y16)+('Data BoP'!Y17)+('Data BoP'!Y18)</f>
        <v>5385.43193598928</v>
      </c>
      <c r="AA18" s="10" t="n">
        <f aca="false">('Data BoP'!Z15)+('Data BoP'!Z16)+('Data BoP'!Z17)+('Data BoP'!Z18)</f>
        <v>2527.59729043218</v>
      </c>
      <c r="AB18" s="10" t="n">
        <f aca="false">('Data BoP'!AA15)+('Data BoP'!AA16)+('Data BoP'!AA17)+('Data BoP'!AA18)</f>
        <v>7671.36824528615</v>
      </c>
      <c r="AC18" s="10" t="n">
        <f aca="false">('Data BoP'!AB15)+('Data BoP'!AB16)+('Data BoP'!AB17)+('Data BoP'!AB18)</f>
        <v>504.879</v>
      </c>
      <c r="AD18" s="10" t="n">
        <f aca="false">('Data BoP'!AC15)+('Data BoP'!AC16)+('Data BoP'!AC17)+('Data BoP'!AC18)</f>
        <v>1785.93970910935</v>
      </c>
      <c r="AE18" s="10" t="n">
        <f aca="false">('Data BoP'!AD15)+('Data BoP'!AD16)+('Data BoP'!AD17)+('Data BoP'!AD18)</f>
        <v>-510.81249072133</v>
      </c>
      <c r="AF18" s="10" t="n">
        <f aca="false">('Data BoP'!AE15)+('Data BoP'!AE16)+('Data BoP'!AE17)+('Data BoP'!AE18)</f>
        <v>-4869.73704545546</v>
      </c>
      <c r="AG18" s="10" t="n">
        <f aca="false">('Data BoP'!AF15)+('Data BoP'!AF16)+('Data BoP'!AF17)+('Data BoP'!AF18)</f>
        <v>946.2</v>
      </c>
      <c r="AH18" s="10" t="n">
        <f aca="false">('Data BoP'!AG15)+('Data BoP'!AG16)+('Data BoP'!AG17)+('Data BoP'!AG18)</f>
        <v>6165.73997493505</v>
      </c>
      <c r="AI18" s="10" t="n">
        <f aca="false">('Data BoP'!AH15)+('Data BoP'!AH16)+('Data BoP'!AH17)+('Data BoP'!AH18)</f>
        <v>11354.3057629063</v>
      </c>
      <c r="AJ18" s="10" t="n">
        <f aca="false">('Data BoP'!AL15)+('Data BoP'!AL16)+('Data BoP'!AL17)+('Data BoP'!AL18)</f>
        <v>5188.56578797127</v>
      </c>
      <c r="AK18" s="15" t="n">
        <f aca="false">('Data BoP'!AJ15)+('Data BoP'!AJ16)+('Data BoP'!AJ17)+('Data BoP'!AJ18)</f>
        <v>-3249.71</v>
      </c>
      <c r="AL18" s="10" t="n">
        <f aca="false">('Data BoP'!AK15)+('Data BoP'!AK16)+('Data BoP'!AK17)+('Data BoP'!AK18)</f>
        <v>-445.575360514608</v>
      </c>
    </row>
    <row r="19" customFormat="false" ht="15" hidden="false" customHeight="false" outlineLevel="0" collapsed="false">
      <c r="B19" s="14" t="str">
        <f aca="false">'Data BoP'!B19</f>
        <v>2009-Q2</v>
      </c>
      <c r="C19" s="15" t="n">
        <f aca="false">'Data BoP'!U19</f>
        <v>3073.7653591863</v>
      </c>
      <c r="D19" s="10" t="n">
        <f aca="false">'Data BoP'!V19</f>
        <v>-581.000710879901</v>
      </c>
      <c r="E19" s="10" t="n">
        <f aca="false">'Data BoP'!W19</f>
        <v>-235.177129782981</v>
      </c>
      <c r="F19" s="10" t="n">
        <f aca="false">'Data BoP'!X19</f>
        <v>0</v>
      </c>
      <c r="G19" s="10" t="n">
        <f aca="false">'Data BoP'!Y19</f>
        <v>533</v>
      </c>
      <c r="H19" s="10" t="n">
        <f aca="false">'Data BoP'!Z19</f>
        <v>-187.17641890308</v>
      </c>
      <c r="I19" s="10" t="n">
        <f aca="false">'Data BoP'!AA19</f>
        <v>-29.5965457104192</v>
      </c>
      <c r="J19" s="10" t="n">
        <f aca="false">'Data BoP'!AB19</f>
        <v>165</v>
      </c>
      <c r="K19" s="10" t="n">
        <f aca="false">'Data BoP'!AC19</f>
        <v>-480.541745573688</v>
      </c>
      <c r="L19" s="10" t="n">
        <f aca="false">'Data BoP'!AD19</f>
        <v>10.4041726882247</v>
      </c>
      <c r="M19" s="10" t="n">
        <f aca="false">'Data BoP'!AE19</f>
        <v>-296.349372551493</v>
      </c>
      <c r="N19" s="10" t="n">
        <f aca="false">'Data BoP'!AF19</f>
        <v>3.1</v>
      </c>
      <c r="O19" s="10" t="n">
        <f aca="false">'Data BoP'!AG19</f>
        <v>4379.98261577663</v>
      </c>
      <c r="P19" s="10" t="n">
        <f aca="false">'Data BoP'!AH19</f>
        <v>4536.05203058624</v>
      </c>
      <c r="Q19" s="10" t="n">
        <f aca="false">'Data BoP'!AL19</f>
        <v>156.069414809616</v>
      </c>
      <c r="R19" s="15" t="n">
        <f aca="false">'Data BoP'!AJ19</f>
        <v>-698.720000000003</v>
      </c>
      <c r="S19" s="10" t="n">
        <f aca="false">'Data BoP'!AK19</f>
        <v>-1224.65972910724</v>
      </c>
      <c r="U19" s="14" t="str">
        <f aca="false">'Data BoP'!B19</f>
        <v>2009-Q2</v>
      </c>
      <c r="V19" s="15" t="n">
        <f aca="false">('Data BoP'!U16)+('Data BoP'!U17)+('Data BoP'!U18)+('Data BoP'!U19)</f>
        <v>8748.33239489593</v>
      </c>
      <c r="W19" s="10" t="n">
        <f aca="false">('Data BoP'!V16)+('Data BoP'!V17)+('Data BoP'!V18)+('Data BoP'!V19)</f>
        <v>-5161.80176544998</v>
      </c>
      <c r="X19" s="10" t="n">
        <f aca="false">('Data BoP'!W16)+('Data BoP'!W17)+('Data BoP'!W18)+('Data BoP'!W19)</f>
        <v>832.248240162605</v>
      </c>
      <c r="Y19" s="10" t="n">
        <f aca="false">('Data BoP'!X16)+('Data BoP'!X17)+('Data BoP'!X18)+('Data BoP'!X19)</f>
        <v>0</v>
      </c>
      <c r="Z19" s="10" t="n">
        <f aca="false">('Data BoP'!Y16)+('Data BoP'!Y17)+('Data BoP'!Y18)+('Data BoP'!Y19)</f>
        <v>5588.71251445082</v>
      </c>
      <c r="AA19" s="10" t="n">
        <f aca="false">('Data BoP'!Z16)+('Data BoP'!Z17)+('Data BoP'!Z18)+('Data BoP'!Z19)</f>
        <v>405.337491161771</v>
      </c>
      <c r="AB19" s="10" t="n">
        <f aca="false">('Data BoP'!AA16)+('Data BoP'!AA17)+('Data BoP'!AA18)+('Data BoP'!AA19)</f>
        <v>5498.07832502579</v>
      </c>
      <c r="AC19" s="10" t="n">
        <f aca="false">('Data BoP'!AB16)+('Data BoP'!AB17)+('Data BoP'!AB18)+('Data BoP'!AB19)</f>
        <v>0.741999999999962</v>
      </c>
      <c r="AD19" s="10" t="n">
        <f aca="false">('Data BoP'!AC16)+('Data BoP'!AC17)+('Data BoP'!AC18)+('Data BoP'!AC19)</f>
        <v>1286.90896353566</v>
      </c>
      <c r="AE19" s="10" t="n">
        <f aca="false">('Data BoP'!AD16)+('Data BoP'!AD17)+('Data BoP'!AD18)+('Data BoP'!AD19)</f>
        <v>-297.535299244258</v>
      </c>
      <c r="AF19" s="10" t="n">
        <f aca="false">('Data BoP'!AE16)+('Data BoP'!AE17)+('Data BoP'!AE18)+('Data BoP'!AE19)</f>
        <v>-3912.89206224586</v>
      </c>
      <c r="AG19" s="10" t="n">
        <f aca="false">('Data BoP'!AF16)+('Data BoP'!AF17)+('Data BoP'!AF18)+('Data BoP'!AF19)</f>
        <v>889.4</v>
      </c>
      <c r="AH19" s="10" t="n">
        <f aca="false">('Data BoP'!AG16)+('Data BoP'!AG17)+('Data BoP'!AG18)+('Data BoP'!AG19)</f>
        <v>8850.14583532013</v>
      </c>
      <c r="AI19" s="10" t="n">
        <f aca="false">('Data BoP'!AH16)+('Data BoP'!AH17)+('Data BoP'!AH18)+('Data BoP'!AH19)</f>
        <v>10693.9115798446</v>
      </c>
      <c r="AJ19" s="10" t="n">
        <f aca="false">('Data BoP'!AL16)+('Data BoP'!AL17)+('Data BoP'!AL18)+('Data BoP'!AL19)</f>
        <v>1843.76574452442</v>
      </c>
      <c r="AK19" s="15" t="n">
        <f aca="false">('Data BoP'!AJ16)+('Data BoP'!AJ17)+('Data BoP'!AJ18)+('Data BoP'!AJ19)</f>
        <v>-1327.49000000001</v>
      </c>
      <c r="AL19" s="10" t="n">
        <f aca="false">('Data BoP'!AK16)+('Data BoP'!AK17)+('Data BoP'!AK18)+('Data BoP'!AK19)</f>
        <v>-668.262386976932</v>
      </c>
    </row>
    <row r="20" customFormat="false" ht="15" hidden="false" customHeight="false" outlineLevel="0" collapsed="false">
      <c r="B20" s="14" t="str">
        <f aca="false">'Data BoP'!B20</f>
        <v>2009-Q3</v>
      </c>
      <c r="C20" s="15" t="n">
        <f aca="false">'Data BoP'!U20</f>
        <v>556.713910243671</v>
      </c>
      <c r="D20" s="10" t="n">
        <f aca="false">'Data BoP'!V20</f>
        <v>-330.661602219941</v>
      </c>
      <c r="E20" s="10" t="n">
        <f aca="false">'Data BoP'!W20</f>
        <v>354.193000633289</v>
      </c>
      <c r="F20" s="10" t="n">
        <f aca="false">'Data BoP'!X20</f>
        <v>0</v>
      </c>
      <c r="G20" s="10" t="n">
        <f aca="false">'Data BoP'!Y20</f>
        <v>1381</v>
      </c>
      <c r="H20" s="10" t="n">
        <f aca="false">'Data BoP'!Z20</f>
        <v>-696.14539714677</v>
      </c>
      <c r="I20" s="10" t="n">
        <f aca="false">'Data BoP'!AA20</f>
        <v>817.147247557825</v>
      </c>
      <c r="J20" s="10" t="n">
        <f aca="false">'Data BoP'!AB20</f>
        <v>304</v>
      </c>
      <c r="K20" s="10" t="n">
        <f aca="false">'Data BoP'!AC20</f>
        <v>-168.6982</v>
      </c>
      <c r="L20" s="10" t="n">
        <f aca="false">'Data BoP'!AD20</f>
        <v>-54.2868034483821</v>
      </c>
      <c r="M20" s="10" t="n">
        <f aca="false">'Data BoP'!AE20</f>
        <v>-627.558644109443</v>
      </c>
      <c r="N20" s="10" t="n">
        <f aca="false">'Data BoP'!AF20</f>
        <v>20.4</v>
      </c>
      <c r="O20" s="10" t="n">
        <f aca="false">'Data BoP'!AG20</f>
        <v>-1761.26173509422</v>
      </c>
      <c r="P20" s="10" t="n">
        <f aca="false">'Data BoP'!AH20</f>
        <v>367.694475269158</v>
      </c>
      <c r="Q20" s="10" t="n">
        <f aca="false">'Data BoP'!AL20</f>
        <v>2128.95621036337</v>
      </c>
      <c r="R20" s="15" t="n">
        <f aca="false">'Data BoP'!AJ20</f>
        <v>1811.09</v>
      </c>
      <c r="S20" s="10" t="n">
        <f aca="false">'Data BoP'!AK20</f>
        <v>-202.724718545097</v>
      </c>
      <c r="U20" s="14" t="str">
        <f aca="false">'Data BoP'!B20</f>
        <v>2009-Q3</v>
      </c>
      <c r="V20" s="15" t="n">
        <f aca="false">('Data BoP'!U17)+('Data BoP'!U18)+('Data BoP'!U19)+('Data BoP'!U20)</f>
        <v>4769.54671372307</v>
      </c>
      <c r="W20" s="10" t="n">
        <f aca="false">('Data BoP'!V17)+('Data BoP'!V18)+('Data BoP'!V19)+('Data BoP'!V20)</f>
        <v>-3638.38821783552</v>
      </c>
      <c r="X20" s="10" t="n">
        <f aca="false">('Data BoP'!W17)+('Data BoP'!W18)+('Data BoP'!W19)+('Data BoP'!W20)</f>
        <v>687.919920038039</v>
      </c>
      <c r="Y20" s="10" t="n">
        <f aca="false">('Data BoP'!X17)+('Data BoP'!X18)+('Data BoP'!X19)+('Data BoP'!X20)</f>
        <v>0</v>
      </c>
      <c r="Z20" s="10" t="n">
        <f aca="false">('Data BoP'!Y17)+('Data BoP'!Y18)+('Data BoP'!Y19)+('Data BoP'!Y20)</f>
        <v>5063.4658442465</v>
      </c>
      <c r="AA20" s="10" t="n">
        <f aca="false">('Data BoP'!Z17)+('Data BoP'!Z18)+('Data BoP'!Z19)+('Data BoP'!Z20)</f>
        <v>-737.15770637294</v>
      </c>
      <c r="AB20" s="10" t="n">
        <f aca="false">('Data BoP'!AA17)+('Data BoP'!AA18)+('Data BoP'!AA19)+('Data BoP'!AA20)</f>
        <v>2303.14735233224</v>
      </c>
      <c r="AC20" s="10" t="n">
        <f aca="false">('Data BoP'!AB17)+('Data BoP'!AB18)+('Data BoP'!AB19)+('Data BoP'!AB20)</f>
        <v>207.481</v>
      </c>
      <c r="AD20" s="10" t="n">
        <f aca="false">('Data BoP'!AC17)+('Data BoP'!AC18)+('Data BoP'!AC19)+('Data BoP'!AC20)</f>
        <v>-561.254936464337</v>
      </c>
      <c r="AE20" s="10" t="n">
        <f aca="false">('Data BoP'!AD17)+('Data BoP'!AD18)+('Data BoP'!AD19)+('Data BoP'!AD20)</f>
        <v>-293.642310177605</v>
      </c>
      <c r="AF20" s="10" t="n">
        <f aca="false">('Data BoP'!AE17)+('Data BoP'!AE18)+('Data BoP'!AE19)+('Data BoP'!AE20)</f>
        <v>-2363.27897861897</v>
      </c>
      <c r="AG20" s="10" t="n">
        <f aca="false">('Data BoP'!AF17)+('Data BoP'!AF18)+('Data BoP'!AF19)+('Data BoP'!AF20)</f>
        <v>898</v>
      </c>
      <c r="AH20" s="10" t="n">
        <f aca="false">('Data BoP'!AG17)+('Data BoP'!AG18)+('Data BoP'!AG19)+('Data BoP'!AG20)</f>
        <v>4673.75757922635</v>
      </c>
      <c r="AI20" s="10" t="n">
        <f aca="false">('Data BoP'!AH17)+('Data BoP'!AH18)+('Data BoP'!AH19)+('Data BoP'!AH20)</f>
        <v>6252.48870694183</v>
      </c>
      <c r="AJ20" s="10" t="n">
        <f aca="false">('Data BoP'!AL17)+('Data BoP'!AL18)+('Data BoP'!AL19)+('Data BoP'!AL20)</f>
        <v>1578.73112771548</v>
      </c>
      <c r="AK20" s="15" t="n">
        <f aca="false">('Data BoP'!AJ17)+('Data BoP'!AJ18)+('Data BoP'!AJ19)+('Data BoP'!AJ20)</f>
        <v>533.030000000003</v>
      </c>
      <c r="AL20" s="10" t="n">
        <f aca="false">('Data BoP'!AK17)+('Data BoP'!AK18)+('Data BoP'!AK19)+('Data BoP'!AK20)</f>
        <v>-2290.76787667118</v>
      </c>
    </row>
    <row r="21" customFormat="false" ht="15" hidden="false" customHeight="false" outlineLevel="0" collapsed="false">
      <c r="B21" s="14" t="str">
        <f aca="false">'Data BoP'!B21</f>
        <v>2009-Q4</v>
      </c>
      <c r="C21" s="15" t="n">
        <f aca="false">'Data BoP'!U21</f>
        <v>2018.71642321667</v>
      </c>
      <c r="D21" s="10" t="n">
        <f aca="false">'Data BoP'!V21</f>
        <v>-1064.57443352826</v>
      </c>
      <c r="E21" s="10" t="n">
        <f aca="false">'Data BoP'!W21</f>
        <v>251.425566471743</v>
      </c>
      <c r="F21" s="10" t="n">
        <f aca="false">'Data BoP'!X21</f>
        <v>0</v>
      </c>
      <c r="G21" s="10" t="n">
        <f aca="false">'Data BoP'!Y21</f>
        <v>1139</v>
      </c>
      <c r="H21" s="10" t="n">
        <f aca="false">'Data BoP'!Z21</f>
        <v>177</v>
      </c>
      <c r="I21" s="10" t="n">
        <f aca="false">'Data BoP'!AA21</f>
        <v>539.1976282873</v>
      </c>
      <c r="J21" s="10" t="n">
        <f aca="false">'Data BoP'!AB21</f>
        <v>405</v>
      </c>
      <c r="K21" s="10" t="n">
        <f aca="false">'Data BoP'!AC21</f>
        <v>-428.668</v>
      </c>
      <c r="L21" s="10" t="n">
        <f aca="false">'Data BoP'!AD21</f>
        <v>-94.9348455623686</v>
      </c>
      <c r="M21" s="10" t="n">
        <f aca="false">'Data BoP'!AE21</f>
        <v>-467.930782724932</v>
      </c>
      <c r="N21" s="10" t="n">
        <f aca="false">'Data BoP'!AF21</f>
        <v>1225.7</v>
      </c>
      <c r="O21" s="10" t="n">
        <f aca="false">'Data BoP'!AG21</f>
        <v>1351.67322845762</v>
      </c>
      <c r="P21" s="10" t="n">
        <f aca="false">'Data BoP'!AH21</f>
        <v>-456.05594552361</v>
      </c>
      <c r="Q21" s="10" t="n">
        <f aca="false">'Data BoP'!AL21</f>
        <v>-1807.72917398123</v>
      </c>
      <c r="R21" s="15" t="n">
        <f aca="false">'Data BoP'!AJ21</f>
        <v>-33.2799999999979</v>
      </c>
      <c r="S21" s="10" t="n">
        <f aca="false">'Data BoP'!AK21</f>
        <v>955.240079518903</v>
      </c>
      <c r="U21" s="14" t="str">
        <f aca="false">'Data BoP'!B21</f>
        <v>2009-Q4</v>
      </c>
      <c r="V21" s="15" t="n">
        <f aca="false">('Data BoP'!U18)+('Data BoP'!U19)+('Data BoP'!U20)+('Data BoP'!U21)</f>
        <v>6712.78261735372</v>
      </c>
      <c r="W21" s="10" t="n">
        <f aca="false">('Data BoP'!V18)+('Data BoP'!V19)+('Data BoP'!V20)+('Data BoP'!V21)</f>
        <v>-3305.61252113841</v>
      </c>
      <c r="X21" s="10" t="n">
        <f aca="false">('Data BoP'!W18)+('Data BoP'!W19)+('Data BoP'!W20)+('Data BoP'!W21)</f>
        <v>711.54640374567</v>
      </c>
      <c r="Y21" s="10" t="n">
        <f aca="false">('Data BoP'!X18)+('Data BoP'!X19)+('Data BoP'!X20)+('Data BoP'!X21)</f>
        <v>0</v>
      </c>
      <c r="Z21" s="10" t="n">
        <f aca="false">('Data BoP'!Y18)+('Data BoP'!Y19)+('Data BoP'!Y20)+('Data BoP'!Y21)</f>
        <v>5027</v>
      </c>
      <c r="AA21" s="10" t="n">
        <f aca="false">('Data BoP'!Z18)+('Data BoP'!Z19)+('Data BoP'!Z20)+('Data BoP'!Z21)</f>
        <v>-1009.84107511592</v>
      </c>
      <c r="AB21" s="10" t="n">
        <f aca="false">('Data BoP'!AA18)+('Data BoP'!AA19)+('Data BoP'!AA20)+('Data BoP'!AA21)</f>
        <v>2153.1431366226</v>
      </c>
      <c r="AC21" s="10" t="n">
        <f aca="false">('Data BoP'!AB18)+('Data BoP'!AB19)+('Data BoP'!AB20)+('Data BoP'!AB21)</f>
        <v>983</v>
      </c>
      <c r="AD21" s="10" t="n">
        <f aca="false">('Data BoP'!AC18)+('Data BoP'!AC19)+('Data BoP'!AC20)+('Data BoP'!AC21)</f>
        <v>-337.466085693903</v>
      </c>
      <c r="AE21" s="10" t="n">
        <f aca="false">('Data BoP'!AD18)+('Data BoP'!AD19)+('Data BoP'!AD20)+('Data BoP'!AD21)</f>
        <v>-211.91786454492</v>
      </c>
      <c r="AF21" s="10" t="n">
        <f aca="false">('Data BoP'!AE18)+('Data BoP'!AE19)+('Data BoP'!AE20)+('Data BoP'!AE21)</f>
        <v>-1295.69135777158</v>
      </c>
      <c r="AG21" s="10" t="n">
        <f aca="false">('Data BoP'!AF18)+('Data BoP'!AF19)+('Data BoP'!AF20)+('Data BoP'!AF21)</f>
        <v>1248.3</v>
      </c>
      <c r="AH21" s="10" t="n">
        <f aca="false">('Data BoP'!AG18)+('Data BoP'!AG19)+('Data BoP'!AG20)+('Data BoP'!AG21)</f>
        <v>5270.74200186953</v>
      </c>
      <c r="AI21" s="10" t="n">
        <f aca="false">('Data BoP'!AH18)+('Data BoP'!AH19)+('Data BoP'!AH20)+('Data BoP'!AH21)</f>
        <v>6179.32107148914</v>
      </c>
      <c r="AJ21" s="10" t="n">
        <f aca="false">('Data BoP'!AL18)+('Data BoP'!AL19)+('Data BoP'!AL20)+('Data BoP'!AL21)</f>
        <v>908.579069619605</v>
      </c>
      <c r="AK21" s="15" t="n">
        <f aca="false">('Data BoP'!AJ18)+('Data BoP'!AJ19)+('Data BoP'!AJ20)+('Data BoP'!AJ21)</f>
        <v>1346.21</v>
      </c>
      <c r="AL21" s="10" t="n">
        <f aca="false">('Data BoP'!AK18)+('Data BoP'!AK19)+('Data BoP'!AK20)+('Data BoP'!AK21)</f>
        <v>-621.317294568036</v>
      </c>
    </row>
    <row r="22" customFormat="false" ht="15" hidden="false" customHeight="false" outlineLevel="0" collapsed="false">
      <c r="B22" s="14" t="str">
        <f aca="false">'Data BoP'!B22</f>
        <v>2010-Q1</v>
      </c>
      <c r="C22" s="15" t="n">
        <f aca="false">'Data BoP'!U22</f>
        <v>-1661.39445482803</v>
      </c>
      <c r="D22" s="10" t="n">
        <f aca="false">'Data BoP'!V22</f>
        <v>-3159.37029089772</v>
      </c>
      <c r="E22" s="10" t="n">
        <f aca="false">'Data BoP'!W22</f>
        <v>428.186928601817</v>
      </c>
      <c r="F22" s="10" t="n">
        <f aca="false">'Data BoP'!X22</f>
        <v>0</v>
      </c>
      <c r="G22" s="10" t="n">
        <f aca="false">'Data BoP'!Y22</f>
        <v>2838.27049156232</v>
      </c>
      <c r="H22" s="10" t="n">
        <f aca="false">'Data BoP'!Z22</f>
        <v>749.286727937215</v>
      </c>
      <c r="I22" s="10" t="n">
        <f aca="false">'Data BoP'!AA22</f>
        <v>-211.473092031758</v>
      </c>
      <c r="J22" s="10" t="n">
        <f aca="false">'Data BoP'!AB22</f>
        <v>-33</v>
      </c>
      <c r="K22" s="10" t="n">
        <f aca="false">'Data BoP'!AC22</f>
        <v>11.3424</v>
      </c>
      <c r="L22" s="10" t="n">
        <f aca="false">'Data BoP'!AD22</f>
        <v>-215.442207120147</v>
      </c>
      <c r="M22" s="10" t="n">
        <f aca="false">'Data BoP'!AE22</f>
        <v>405.257699151905</v>
      </c>
      <c r="N22" s="10" t="n">
        <f aca="false">'Data BoP'!AF22</f>
        <v>23.4</v>
      </c>
      <c r="O22" s="10" t="n">
        <f aca="false">'Data BoP'!AG22</f>
        <v>1989.64892810145</v>
      </c>
      <c r="P22" s="10" t="n">
        <f aca="false">'Data BoP'!AH22</f>
        <v>3095.52733974502</v>
      </c>
      <c r="Q22" s="10" t="n">
        <f aca="false">'Data BoP'!AL22</f>
        <v>1105.87841164357</v>
      </c>
      <c r="R22" s="15" t="n">
        <f aca="false">'Data BoP'!AJ22</f>
        <v>-303.600000000005</v>
      </c>
      <c r="S22" s="10" t="n">
        <f aca="false">'Data BoP'!AK22</f>
        <v>-46.1504052402456</v>
      </c>
      <c r="U22" s="14" t="str">
        <f aca="false">'Data BoP'!B22</f>
        <v>2010-Q1</v>
      </c>
      <c r="V22" s="15" t="n">
        <f aca="false">('Data BoP'!U19)+('Data BoP'!U20)+('Data BoP'!U21)+('Data BoP'!U22)</f>
        <v>3987.80123781861</v>
      </c>
      <c r="W22" s="10" t="n">
        <f aca="false">('Data BoP'!V19)+('Data BoP'!V20)+('Data BoP'!V21)+('Data BoP'!V22)</f>
        <v>-5135.60703752582</v>
      </c>
      <c r="X22" s="10" t="n">
        <f aca="false">('Data BoP'!W19)+('Data BoP'!W20)+('Data BoP'!W21)+('Data BoP'!W22)</f>
        <v>798.628365923868</v>
      </c>
      <c r="Y22" s="10" t="n">
        <f aca="false">('Data BoP'!X19)+('Data BoP'!X20)+('Data BoP'!X21)+('Data BoP'!X22)</f>
        <v>0</v>
      </c>
      <c r="Z22" s="10" t="n">
        <f aca="false">('Data BoP'!Y19)+('Data BoP'!Y20)+('Data BoP'!Y21)+('Data BoP'!Y22)</f>
        <v>5891.27049156232</v>
      </c>
      <c r="AA22" s="10" t="n">
        <f aca="false">('Data BoP'!Z19)+('Data BoP'!Z20)+('Data BoP'!Z21)+('Data BoP'!Z22)</f>
        <v>42.9649118873655</v>
      </c>
      <c r="AB22" s="10" t="n">
        <f aca="false">('Data BoP'!AA19)+('Data BoP'!AA20)+('Data BoP'!AA21)+('Data BoP'!AA22)</f>
        <v>1115.27523810295</v>
      </c>
      <c r="AC22" s="10" t="n">
        <f aca="false">('Data BoP'!AB19)+('Data BoP'!AB20)+('Data BoP'!AB21)+('Data BoP'!AB22)</f>
        <v>841</v>
      </c>
      <c r="AD22" s="10" t="n">
        <f aca="false">('Data BoP'!AC19)+('Data BoP'!AC20)+('Data BoP'!AC21)+('Data BoP'!AC22)</f>
        <v>-1066.56554557369</v>
      </c>
      <c r="AE22" s="10" t="n">
        <f aca="false">('Data BoP'!AD19)+('Data BoP'!AD20)+('Data BoP'!AD21)+('Data BoP'!AD22)</f>
        <v>-354.259683442673</v>
      </c>
      <c r="AF22" s="10" t="n">
        <f aca="false">('Data BoP'!AE19)+('Data BoP'!AE20)+('Data BoP'!AE21)+('Data BoP'!AE22)</f>
        <v>-986.581100233964</v>
      </c>
      <c r="AG22" s="10" t="n">
        <f aca="false">('Data BoP'!AF19)+('Data BoP'!AF20)+('Data BoP'!AF21)+('Data BoP'!AF22)</f>
        <v>1272.6</v>
      </c>
      <c r="AH22" s="10" t="n">
        <f aca="false">('Data BoP'!AG19)+('Data BoP'!AG20)+('Data BoP'!AG21)+('Data BoP'!AG22)</f>
        <v>5960.04303724148</v>
      </c>
      <c r="AI22" s="10" t="n">
        <f aca="false">('Data BoP'!AH19)+('Data BoP'!AH20)+('Data BoP'!AH21)+('Data BoP'!AH22)</f>
        <v>7543.21790007681</v>
      </c>
      <c r="AJ22" s="10" t="n">
        <f aca="false">('Data BoP'!AL19)+('Data BoP'!AL20)+('Data BoP'!AL21)+('Data BoP'!AL22)</f>
        <v>1583.17486283533</v>
      </c>
      <c r="AK22" s="15" t="n">
        <f aca="false">('Data BoP'!AJ19)+('Data BoP'!AJ20)+('Data BoP'!AJ21)+('Data BoP'!AJ22)</f>
        <v>775.489999999997</v>
      </c>
      <c r="AL22" s="10" t="n">
        <f aca="false">('Data BoP'!AK19)+('Data BoP'!AK20)+('Data BoP'!AK21)+('Data BoP'!AK22)</f>
        <v>-518.294773373684</v>
      </c>
    </row>
    <row r="23" customFormat="false" ht="15" hidden="false" customHeight="false" outlineLevel="0" collapsed="false">
      <c r="B23" s="14" t="str">
        <f aca="false">'Data BoP'!B23</f>
        <v>2010-Q2</v>
      </c>
      <c r="C23" s="15" t="n">
        <f aca="false">'Data BoP'!U23</f>
        <v>937.488352796391</v>
      </c>
      <c r="D23" s="10" t="n">
        <f aca="false">'Data BoP'!V23</f>
        <v>-1898.73739831721</v>
      </c>
      <c r="E23" s="10" t="n">
        <f aca="false">'Data BoP'!W23</f>
        <v>4.0516403674448</v>
      </c>
      <c r="F23" s="10" t="n">
        <f aca="false">'Data BoP'!X23</f>
        <v>0</v>
      </c>
      <c r="G23" s="10" t="n">
        <f aca="false">'Data BoP'!Y23</f>
        <v>602.956110971215</v>
      </c>
      <c r="H23" s="10" t="n">
        <f aca="false">'Data BoP'!Z23</f>
        <v>1299.83292771344</v>
      </c>
      <c r="I23" s="10" t="n">
        <f aca="false">'Data BoP'!AA23</f>
        <v>-1082.57856257289</v>
      </c>
      <c r="J23" s="10" t="n">
        <f aca="false">'Data BoP'!AB23</f>
        <v>-26</v>
      </c>
      <c r="K23" s="10" t="n">
        <f aca="false">'Data BoP'!AC23</f>
        <v>-994.45579786558</v>
      </c>
      <c r="L23" s="10" t="n">
        <f aca="false">'Data BoP'!AD23</f>
        <v>-82.5114072007655</v>
      </c>
      <c r="M23" s="10" t="n">
        <f aca="false">'Data BoP'!AE23</f>
        <v>144.634171908078</v>
      </c>
      <c r="N23" s="10" t="n">
        <f aca="false">'Data BoP'!AF23</f>
        <v>84.0250020335049</v>
      </c>
      <c r="O23" s="10" t="n">
        <f aca="false">'Data BoP'!AG23</f>
        <v>1730.36931165299</v>
      </c>
      <c r="P23" s="10" t="n">
        <f aca="false">'Data BoP'!AH23</f>
        <v>2516.93075831098</v>
      </c>
      <c r="Q23" s="10" t="n">
        <f aca="false">'Data BoP'!AL23</f>
        <v>786.561446657997</v>
      </c>
      <c r="R23" s="15" t="n">
        <f aca="false">'Data BoP'!AJ23</f>
        <v>2104.41</v>
      </c>
      <c r="S23" s="10" t="n">
        <f aca="false">'Data BoP'!AK23</f>
        <v>-1167.79511839744</v>
      </c>
      <c r="U23" s="14" t="str">
        <f aca="false">'Data BoP'!B23</f>
        <v>2010-Q2</v>
      </c>
      <c r="V23" s="15" t="n">
        <f aca="false">('Data BoP'!U20)+('Data BoP'!U21)+('Data BoP'!U22)+('Data BoP'!U23)</f>
        <v>1851.5242314287</v>
      </c>
      <c r="W23" s="10" t="n">
        <f aca="false">('Data BoP'!V20)+('Data BoP'!V21)+('Data BoP'!V22)+('Data BoP'!V23)</f>
        <v>-6453.34372496313</v>
      </c>
      <c r="X23" s="10" t="n">
        <f aca="false">('Data BoP'!W20)+('Data BoP'!W21)+('Data BoP'!W22)+('Data BoP'!W23)</f>
        <v>1037.85713607429</v>
      </c>
      <c r="Y23" s="10" t="n">
        <f aca="false">('Data BoP'!X20)+('Data BoP'!X21)+('Data BoP'!X22)+('Data BoP'!X23)</f>
        <v>0</v>
      </c>
      <c r="Z23" s="10" t="n">
        <f aca="false">('Data BoP'!Y20)+('Data BoP'!Y21)+('Data BoP'!Y22)+('Data BoP'!Y23)</f>
        <v>5961.22660253353</v>
      </c>
      <c r="AA23" s="10" t="n">
        <f aca="false">('Data BoP'!Z20)+('Data BoP'!Z21)+('Data BoP'!Z22)+('Data BoP'!Z23)</f>
        <v>1529.97425850389</v>
      </c>
      <c r="AB23" s="10" t="n">
        <f aca="false">('Data BoP'!AA20)+('Data BoP'!AA21)+('Data BoP'!AA22)+('Data BoP'!AA23)</f>
        <v>62.2932212404755</v>
      </c>
      <c r="AC23" s="10" t="n">
        <f aca="false">('Data BoP'!AB20)+('Data BoP'!AB21)+('Data BoP'!AB22)+('Data BoP'!AB23)</f>
        <v>650</v>
      </c>
      <c r="AD23" s="10" t="n">
        <f aca="false">('Data BoP'!AC20)+('Data BoP'!AC21)+('Data BoP'!AC22)+('Data BoP'!AC23)</f>
        <v>-1580.47959786558</v>
      </c>
      <c r="AE23" s="10" t="n">
        <f aca="false">('Data BoP'!AD20)+('Data BoP'!AD21)+('Data BoP'!AD22)+('Data BoP'!AD23)</f>
        <v>-447.175263331663</v>
      </c>
      <c r="AF23" s="10" t="n">
        <f aca="false">('Data BoP'!AE20)+('Data BoP'!AE21)+('Data BoP'!AE22)+('Data BoP'!AE23)</f>
        <v>-545.597555774392</v>
      </c>
      <c r="AG23" s="10" t="n">
        <f aca="false">('Data BoP'!AF20)+('Data BoP'!AF21)+('Data BoP'!AF22)+('Data BoP'!AF23)</f>
        <v>1353.52500203351</v>
      </c>
      <c r="AH23" s="10" t="n">
        <f aca="false">('Data BoP'!AG20)+('Data BoP'!AG21)+('Data BoP'!AG22)+('Data BoP'!AG23)</f>
        <v>3310.42973311784</v>
      </c>
      <c r="AI23" s="10" t="n">
        <f aca="false">('Data BoP'!AH20)+('Data BoP'!AH21)+('Data BoP'!AH22)+('Data BoP'!AH23)</f>
        <v>5524.09662780155</v>
      </c>
      <c r="AJ23" s="10" t="n">
        <f aca="false">('Data BoP'!AL20)+('Data BoP'!AL21)+('Data BoP'!AL22)+('Data BoP'!AL23)</f>
        <v>2213.66689468371</v>
      </c>
      <c r="AK23" s="15" t="n">
        <f aca="false">('Data BoP'!AJ20)+('Data BoP'!AJ21)+('Data BoP'!AJ22)+('Data BoP'!AJ23)</f>
        <v>3578.62</v>
      </c>
      <c r="AL23" s="10" t="n">
        <f aca="false">('Data BoP'!AK20)+('Data BoP'!AK21)+('Data BoP'!AK22)+('Data BoP'!AK23)</f>
        <v>-461.430162663881</v>
      </c>
    </row>
    <row r="24" customFormat="false" ht="15" hidden="false" customHeight="false" outlineLevel="0" collapsed="false">
      <c r="B24" s="14" t="str">
        <f aca="false">'Data BoP'!B24</f>
        <v>2010-Q3</v>
      </c>
      <c r="C24" s="15" t="n">
        <f aca="false">'Data BoP'!U24</f>
        <v>-816.583066149596</v>
      </c>
      <c r="D24" s="10" t="n">
        <f aca="false">'Data BoP'!V24</f>
        <v>-2906.16744392378</v>
      </c>
      <c r="E24" s="10" t="n">
        <f aca="false">'Data BoP'!W24</f>
        <v>254.141123942635</v>
      </c>
      <c r="F24" s="10" t="n">
        <f aca="false">'Data BoP'!X24</f>
        <v>0</v>
      </c>
      <c r="G24" s="10" t="n">
        <f aca="false">'Data BoP'!Y24</f>
        <v>2523.66714343017</v>
      </c>
      <c r="H24" s="10" t="n">
        <f aca="false">'Data BoP'!Z24</f>
        <v>636.641424436245</v>
      </c>
      <c r="I24" s="10" t="n">
        <f aca="false">'Data BoP'!AA24</f>
        <v>-309.074953912127</v>
      </c>
      <c r="J24" s="10" t="n">
        <f aca="false">'Data BoP'!AB24</f>
        <v>285</v>
      </c>
      <c r="K24" s="10" t="n">
        <f aca="false">'Data BoP'!AC24</f>
        <v>-160.763987940864</v>
      </c>
      <c r="L24" s="10" t="n">
        <f aca="false">'Data BoP'!AD24</f>
        <v>95.972418060002</v>
      </c>
      <c r="M24" s="10" t="n">
        <f aca="false">'Data BoP'!AE24</f>
        <v>337.338547911262</v>
      </c>
      <c r="N24" s="10" t="n">
        <f aca="false">'Data BoP'!AF24</f>
        <v>-798.7</v>
      </c>
      <c r="O24" s="10" t="n">
        <f aca="false">'Data BoP'!AG24</f>
        <v>1918.55933168632</v>
      </c>
      <c r="P24" s="10" t="n">
        <f aca="false">'Data BoP'!AH24</f>
        <v>2832.6957451549</v>
      </c>
      <c r="Q24" s="10" t="n">
        <f aca="false">'Data BoP'!AL24</f>
        <v>914.136413468586</v>
      </c>
      <c r="R24" s="15" t="n">
        <f aca="false">'Data BoP'!AJ24</f>
        <v>1278.8</v>
      </c>
      <c r="S24" s="10" t="n">
        <f aca="false">'Data BoP'!AK24</f>
        <v>-342.082510782732</v>
      </c>
      <c r="U24" s="14" t="str">
        <f aca="false">'Data BoP'!B24</f>
        <v>2010-Q3</v>
      </c>
      <c r="V24" s="15" t="n">
        <f aca="false">('Data BoP'!U21)+('Data BoP'!U22)+('Data BoP'!U23)+('Data BoP'!U24)</f>
        <v>478.22725503543</v>
      </c>
      <c r="W24" s="10" t="n">
        <f aca="false">('Data BoP'!V21)+('Data BoP'!V22)+('Data BoP'!V23)+('Data BoP'!V24)</f>
        <v>-9028.84956666696</v>
      </c>
      <c r="X24" s="10" t="n">
        <f aca="false">('Data BoP'!W21)+('Data BoP'!W22)+('Data BoP'!W23)+('Data BoP'!W24)</f>
        <v>937.805259383639</v>
      </c>
      <c r="Y24" s="10" t="n">
        <f aca="false">('Data BoP'!X21)+('Data BoP'!X22)+('Data BoP'!X23)+('Data BoP'!X24)</f>
        <v>0</v>
      </c>
      <c r="Z24" s="10" t="n">
        <f aca="false">('Data BoP'!Y21)+('Data BoP'!Y22)+('Data BoP'!Y23)+('Data BoP'!Y24)</f>
        <v>7103.8937459637</v>
      </c>
      <c r="AA24" s="10" t="n">
        <f aca="false">('Data BoP'!Z21)+('Data BoP'!Z22)+('Data BoP'!Z23)+('Data BoP'!Z24)</f>
        <v>2862.7610800869</v>
      </c>
      <c r="AB24" s="10" t="n">
        <f aca="false">('Data BoP'!AA21)+('Data BoP'!AA22)+('Data BoP'!AA23)+('Data BoP'!AA24)</f>
        <v>-1063.92898022948</v>
      </c>
      <c r="AC24" s="10" t="n">
        <f aca="false">('Data BoP'!AB21)+('Data BoP'!AB22)+('Data BoP'!AB23)+('Data BoP'!AB24)</f>
        <v>631</v>
      </c>
      <c r="AD24" s="10" t="n">
        <f aca="false">('Data BoP'!AC21)+('Data BoP'!AC22)+('Data BoP'!AC23)+('Data BoP'!AC24)</f>
        <v>-1572.54538580644</v>
      </c>
      <c r="AE24" s="10" t="n">
        <f aca="false">('Data BoP'!AD21)+('Data BoP'!AD22)+('Data BoP'!AD23)+('Data BoP'!AD24)</f>
        <v>-296.916041823279</v>
      </c>
      <c r="AF24" s="10" t="n">
        <f aca="false">('Data BoP'!AE21)+('Data BoP'!AE22)+('Data BoP'!AE23)+('Data BoP'!AE24)</f>
        <v>419.299636246313</v>
      </c>
      <c r="AG24" s="10" t="n">
        <f aca="false">('Data BoP'!AF21)+('Data BoP'!AF22)+('Data BoP'!AF23)+('Data BoP'!AF24)</f>
        <v>534.425002033505</v>
      </c>
      <c r="AH24" s="10" t="n">
        <f aca="false">('Data BoP'!AG21)+('Data BoP'!AG22)+('Data BoP'!AG23)+('Data BoP'!AG24)</f>
        <v>6990.25079989837</v>
      </c>
      <c r="AI24" s="10" t="n">
        <f aca="false">('Data BoP'!AH21)+('Data BoP'!AH22)+('Data BoP'!AH23)+('Data BoP'!AH24)</f>
        <v>7989.09789768729</v>
      </c>
      <c r="AJ24" s="10" t="n">
        <f aca="false">('Data BoP'!AL21)+('Data BoP'!AL22)+('Data BoP'!AL23)+('Data BoP'!AL24)</f>
        <v>998.847097788921</v>
      </c>
      <c r="AK24" s="15" t="n">
        <f aca="false">('Data BoP'!AJ21)+('Data BoP'!AJ22)+('Data BoP'!AJ23)+('Data BoP'!AJ24)</f>
        <v>3046.33</v>
      </c>
      <c r="AL24" s="10" t="n">
        <f aca="false">('Data BoP'!AK21)+('Data BoP'!AK22)+('Data BoP'!AK23)+('Data BoP'!AK24)</f>
        <v>-600.787954901516</v>
      </c>
    </row>
    <row r="25" customFormat="false" ht="15" hidden="false" customHeight="false" outlineLevel="0" collapsed="false">
      <c r="B25" s="14" t="str">
        <f aca="false">'Data BoP'!B25</f>
        <v>2010-Q4</v>
      </c>
      <c r="C25" s="15" t="n">
        <f aca="false">'Data BoP'!U25</f>
        <v>-2261.61411924361</v>
      </c>
      <c r="D25" s="10" t="n">
        <f aca="false">'Data BoP'!V25</f>
        <v>-2403.68281290395</v>
      </c>
      <c r="E25" s="10" t="n">
        <f aca="false">'Data BoP'!W25</f>
        <v>278.380987479911</v>
      </c>
      <c r="F25" s="10" t="n">
        <f aca="false">'Data BoP'!X25</f>
        <v>0</v>
      </c>
      <c r="G25" s="10" t="n">
        <f aca="false">'Data BoP'!Y25</f>
        <v>1861.14329603441</v>
      </c>
      <c r="H25" s="10" t="n">
        <f aca="false">'Data BoP'!Z25</f>
        <v>820.920504349447</v>
      </c>
      <c r="I25" s="10" t="n">
        <f aca="false">'Data BoP'!AA25</f>
        <v>-1659.06700790035</v>
      </c>
      <c r="J25" s="10" t="n">
        <f aca="false">'Data BoP'!AB25</f>
        <v>414</v>
      </c>
      <c r="K25" s="10" t="n">
        <f aca="false">'Data BoP'!AC25</f>
        <v>-82.5353275203409</v>
      </c>
      <c r="L25" s="10" t="n">
        <f aca="false">'Data BoP'!AD25</f>
        <v>130.964874692201</v>
      </c>
      <c r="M25" s="10" t="n">
        <f aca="false">'Data BoP'!AE25</f>
        <v>1859.56680568781</v>
      </c>
      <c r="N25" s="10" t="n">
        <f aca="false">'Data BoP'!AF25</f>
        <v>-20.9829688881965</v>
      </c>
      <c r="O25" s="10" t="n">
        <f aca="false">'Data BoP'!AG25</f>
        <v>744.37867044889</v>
      </c>
      <c r="P25" s="10" t="n">
        <f aca="false">'Data BoP'!AH25</f>
        <v>271.878987131375</v>
      </c>
      <c r="Q25" s="10" t="n">
        <f aca="false">'Data BoP'!AL25</f>
        <v>-472.499683317514</v>
      </c>
      <c r="R25" s="15" t="n">
        <f aca="false">'Data BoP'!AJ25</f>
        <v>1077.74</v>
      </c>
      <c r="S25" s="10" t="n">
        <f aca="false">'Data BoP'!AK25</f>
        <v>-701.557266490502</v>
      </c>
      <c r="U25" s="14" t="str">
        <f aca="false">'Data BoP'!B25</f>
        <v>2010-Q4</v>
      </c>
      <c r="V25" s="15" t="n">
        <f aca="false">('Data BoP'!U22)+('Data BoP'!U23)+('Data BoP'!U24)+('Data BoP'!U25)</f>
        <v>-3802.10328742484</v>
      </c>
      <c r="W25" s="10" t="n">
        <f aca="false">('Data BoP'!V22)+('Data BoP'!V23)+('Data BoP'!V24)+('Data BoP'!V25)</f>
        <v>-10367.9579460427</v>
      </c>
      <c r="X25" s="10" t="n">
        <f aca="false">('Data BoP'!W22)+('Data BoP'!W23)+('Data BoP'!W24)+('Data BoP'!W25)</f>
        <v>964.760680391808</v>
      </c>
      <c r="Y25" s="10" t="n">
        <f aca="false">('Data BoP'!X22)+('Data BoP'!X23)+('Data BoP'!X24)+('Data BoP'!X25)</f>
        <v>0</v>
      </c>
      <c r="Z25" s="10" t="n">
        <f aca="false">('Data BoP'!Y22)+('Data BoP'!Y23)+('Data BoP'!Y24)+('Data BoP'!Y25)</f>
        <v>7826.03704199812</v>
      </c>
      <c r="AA25" s="10" t="n">
        <f aca="false">('Data BoP'!Z22)+('Data BoP'!Z23)+('Data BoP'!Z24)+('Data BoP'!Z25)</f>
        <v>3506.68158443635</v>
      </c>
      <c r="AB25" s="10" t="n">
        <f aca="false">('Data BoP'!AA22)+('Data BoP'!AA23)+('Data BoP'!AA24)+('Data BoP'!AA25)</f>
        <v>-3262.19361641713</v>
      </c>
      <c r="AC25" s="10" t="n">
        <f aca="false">('Data BoP'!AB22)+('Data BoP'!AB23)+('Data BoP'!AB24)+('Data BoP'!AB25)</f>
        <v>640</v>
      </c>
      <c r="AD25" s="10" t="n">
        <f aca="false">('Data BoP'!AC22)+('Data BoP'!AC23)+('Data BoP'!AC24)+('Data BoP'!AC25)</f>
        <v>-1226.41271332678</v>
      </c>
      <c r="AE25" s="10" t="n">
        <f aca="false">('Data BoP'!AD22)+('Data BoP'!AD23)+('Data BoP'!AD24)+('Data BoP'!AD25)</f>
        <v>-71.0163215687094</v>
      </c>
      <c r="AF25" s="10" t="n">
        <f aca="false">('Data BoP'!AE22)+('Data BoP'!AE23)+('Data BoP'!AE24)+('Data BoP'!AE25)</f>
        <v>2746.79722465906</v>
      </c>
      <c r="AG25" s="10" t="n">
        <f aca="false">('Data BoP'!AF22)+('Data BoP'!AF23)+('Data BoP'!AF24)+('Data BoP'!AF25)</f>
        <v>-712.257966854692</v>
      </c>
      <c r="AH25" s="10" t="n">
        <f aca="false">('Data BoP'!AG22)+('Data BoP'!AG23)+('Data BoP'!AG24)+('Data BoP'!AG25)</f>
        <v>6382.95624188964</v>
      </c>
      <c r="AI25" s="10" t="n">
        <f aca="false">('Data BoP'!AH22)+('Data BoP'!AH23)+('Data BoP'!AH24)+('Data BoP'!AH25)</f>
        <v>8717.03283034228</v>
      </c>
      <c r="AJ25" s="10" t="n">
        <f aca="false">('Data BoP'!AL22)+('Data BoP'!AL23)+('Data BoP'!AL24)+('Data BoP'!AL25)</f>
        <v>2334.07658845264</v>
      </c>
      <c r="AK25" s="15" t="n">
        <f aca="false">('Data BoP'!AJ22)+('Data BoP'!AJ23)+('Data BoP'!AJ24)+('Data BoP'!AJ25)</f>
        <v>4157.35</v>
      </c>
      <c r="AL25" s="10" t="n">
        <f aca="false">('Data BoP'!AK22)+('Data BoP'!AK23)+('Data BoP'!AK24)+('Data BoP'!AK25)</f>
        <v>-2257.58530091092</v>
      </c>
    </row>
    <row r="26" customFormat="false" ht="15" hidden="false" customHeight="false" outlineLevel="0" collapsed="false">
      <c r="B26" s="14" t="str">
        <f aca="false">'Data BoP'!B26</f>
        <v>2011-Q1</v>
      </c>
      <c r="C26" s="15" t="n">
        <f aca="false">'Data BoP'!U26</f>
        <v>-1876.30976321864</v>
      </c>
      <c r="D26" s="10" t="n">
        <f aca="false">'Data BoP'!V26</f>
        <v>-3213.75456102471</v>
      </c>
      <c r="E26" s="10" t="n">
        <f aca="false">'Data BoP'!W26</f>
        <v>430</v>
      </c>
      <c r="F26" s="10" t="n">
        <f aca="false">'Data BoP'!X26</f>
        <v>0</v>
      </c>
      <c r="G26" s="10" t="n">
        <f aca="false">'Data BoP'!Y26</f>
        <v>2687.24921526333</v>
      </c>
      <c r="H26" s="10" t="n">
        <f aca="false">'Data BoP'!Z26</f>
        <v>956.505345761376</v>
      </c>
      <c r="I26" s="10" t="n">
        <f aca="false">'Data BoP'!AA26</f>
        <v>-695.364109016023</v>
      </c>
      <c r="J26" s="10" t="n">
        <f aca="false">'Data BoP'!AB26</f>
        <v>259</v>
      </c>
      <c r="K26" s="10" t="n">
        <f aca="false">'Data BoP'!AC26</f>
        <v>-208.446476873473</v>
      </c>
      <c r="L26" s="10" t="n">
        <f aca="false">'Data BoP'!AD26</f>
        <v>-51.0172659840873</v>
      </c>
      <c r="M26" s="10" t="n">
        <f aca="false">'Data BoP'!AE26</f>
        <v>796.934898126637</v>
      </c>
      <c r="N26" s="10" t="n">
        <f aca="false">'Data BoP'!AF26</f>
        <v>35.9009022059723</v>
      </c>
      <c r="O26" s="10" t="n">
        <f aca="false">'Data BoP'!AG26</f>
        <v>3156.39800461612</v>
      </c>
      <c r="P26" s="10" t="n">
        <f aca="false">'Data BoP'!AH26</f>
        <v>4629.26895563358</v>
      </c>
      <c r="Q26" s="10" t="n">
        <f aca="false">'Data BoP'!AL26</f>
        <v>1472.87095101746</v>
      </c>
      <c r="R26" s="15" t="n">
        <f aca="false">'Data BoP'!AJ26</f>
        <v>-1159.49</v>
      </c>
      <c r="S26" s="10" t="n">
        <f aca="false">'Data BoP'!AK26</f>
        <v>349.367399552442</v>
      </c>
      <c r="U26" s="14" t="str">
        <f aca="false">'Data BoP'!B26</f>
        <v>2011-Q1</v>
      </c>
      <c r="V26" s="15" t="n">
        <f aca="false">('Data BoP'!U23)+('Data BoP'!U24)+('Data BoP'!U25)+('Data BoP'!U26)</f>
        <v>-4017.01859581545</v>
      </c>
      <c r="W26" s="10" t="n">
        <f aca="false">('Data BoP'!V23)+('Data BoP'!V24)+('Data BoP'!V25)+('Data BoP'!V26)</f>
        <v>-10422.3422161696</v>
      </c>
      <c r="X26" s="10" t="n">
        <f aca="false">('Data BoP'!W23)+('Data BoP'!W24)+('Data BoP'!W25)+('Data BoP'!W26)</f>
        <v>966.573751789991</v>
      </c>
      <c r="Y26" s="10" t="n">
        <f aca="false">('Data BoP'!X23)+('Data BoP'!X24)+('Data BoP'!X25)+('Data BoP'!X26)</f>
        <v>0</v>
      </c>
      <c r="Z26" s="10" t="n">
        <f aca="false">('Data BoP'!Y23)+('Data BoP'!Y24)+('Data BoP'!Y25)+('Data BoP'!Y26)</f>
        <v>7675.01576569913</v>
      </c>
      <c r="AA26" s="10" t="n">
        <f aca="false">('Data BoP'!Z23)+('Data BoP'!Z24)+('Data BoP'!Z25)+('Data BoP'!Z26)</f>
        <v>3713.90020226051</v>
      </c>
      <c r="AB26" s="10" t="n">
        <f aca="false">('Data BoP'!AA23)+('Data BoP'!AA24)+('Data BoP'!AA25)+('Data BoP'!AA26)</f>
        <v>-3746.0846334014</v>
      </c>
      <c r="AC26" s="10" t="n">
        <f aca="false">('Data BoP'!AB23)+('Data BoP'!AB24)+('Data BoP'!AB25)+('Data BoP'!AB26)</f>
        <v>932</v>
      </c>
      <c r="AD26" s="10" t="n">
        <f aca="false">('Data BoP'!AC23)+('Data BoP'!AC24)+('Data BoP'!AC25)+('Data BoP'!AC26)</f>
        <v>-1446.20159020026</v>
      </c>
      <c r="AE26" s="10" t="n">
        <f aca="false">('Data BoP'!AD23)+('Data BoP'!AD24)+('Data BoP'!AD25)+('Data BoP'!AD26)</f>
        <v>93.4086195673501</v>
      </c>
      <c r="AF26" s="10" t="n">
        <f aca="false">('Data BoP'!AE23)+('Data BoP'!AE24)+('Data BoP'!AE25)+('Data BoP'!AE26)</f>
        <v>3138.47442363379</v>
      </c>
      <c r="AG26" s="10" t="n">
        <f aca="false">('Data BoP'!AF23)+('Data BoP'!AF24)+('Data BoP'!AF25)+('Data BoP'!AF26)</f>
        <v>-699.757064648719</v>
      </c>
      <c r="AH26" s="10" t="n">
        <f aca="false">('Data BoP'!AG23)+('Data BoP'!AG24)+('Data BoP'!AG25)+('Data BoP'!AG26)</f>
        <v>7549.70531840431</v>
      </c>
      <c r="AI26" s="10" t="n">
        <f aca="false">('Data BoP'!AH23)+('Data BoP'!AH24)+('Data BoP'!AH25)+('Data BoP'!AH26)</f>
        <v>10250.7744462308</v>
      </c>
      <c r="AJ26" s="10" t="n">
        <f aca="false">('Data BoP'!AL23)+('Data BoP'!AL24)+('Data BoP'!AL25)+('Data BoP'!AL26)</f>
        <v>2701.06912782653</v>
      </c>
      <c r="AK26" s="15" t="n">
        <f aca="false">('Data BoP'!AJ23)+('Data BoP'!AJ24)+('Data BoP'!AJ25)+('Data BoP'!AJ26)</f>
        <v>3301.46</v>
      </c>
      <c r="AL26" s="10" t="n">
        <f aca="false">('Data BoP'!AK23)+('Data BoP'!AK24)+('Data BoP'!AK25)+('Data BoP'!AK26)</f>
        <v>-1862.06749611823</v>
      </c>
    </row>
    <row r="27" customFormat="false" ht="15" hidden="false" customHeight="false" outlineLevel="0" collapsed="false">
      <c r="B27" s="14" t="str">
        <f aca="false">'Data BoP'!B27</f>
        <v>2011-Q2</v>
      </c>
      <c r="C27" s="15" t="n">
        <f aca="false">'Data BoP'!U27</f>
        <v>168.134831682473</v>
      </c>
      <c r="D27" s="10" t="n">
        <f aca="false">'Data BoP'!V27</f>
        <v>-631.506566316237</v>
      </c>
      <c r="E27" s="10" t="n">
        <f aca="false">'Data BoP'!W27</f>
        <v>404</v>
      </c>
      <c r="F27" s="10" t="n">
        <f aca="false">'Data BoP'!X27</f>
        <v>0</v>
      </c>
      <c r="G27" s="10" t="n">
        <f aca="false">'Data BoP'!Y27</f>
        <v>788.894282807048</v>
      </c>
      <c r="H27" s="10" t="n">
        <f aca="false">'Data BoP'!Z27</f>
        <v>246.612283509189</v>
      </c>
      <c r="I27" s="10" t="n">
        <f aca="false">'Data BoP'!AA27</f>
        <v>-84.9487582620553</v>
      </c>
      <c r="J27" s="10" t="n">
        <f aca="false">'Data BoP'!AB27</f>
        <v>301</v>
      </c>
      <c r="K27" s="10" t="n">
        <f aca="false">'Data BoP'!AC27</f>
        <v>-13.4010451051482</v>
      </c>
      <c r="L27" s="10" t="n">
        <f aca="false">'Data BoP'!AD27</f>
        <v>85.8399865801663</v>
      </c>
      <c r="M27" s="10" t="n">
        <f aca="false">'Data BoP'!AE27</f>
        <v>286.707726576741</v>
      </c>
      <c r="N27" s="10" t="n">
        <f aca="false">'Data BoP'!AF27</f>
        <v>161.256137739978</v>
      </c>
      <c r="O27" s="10" t="n">
        <f aca="false">'Data BoP'!AG27</f>
        <v>497.614018520785</v>
      </c>
      <c r="P27" s="10" t="n">
        <f aca="false">'Data BoP'!AH27</f>
        <v>4384.25608982045</v>
      </c>
      <c r="Q27" s="10" t="n">
        <f aca="false">'Data BoP'!AL27</f>
        <v>3886.64207129966</v>
      </c>
      <c r="R27" s="15" t="n">
        <f aca="false">'Data BoP'!AJ27</f>
        <v>225.720000000002</v>
      </c>
      <c r="S27" s="10" t="n">
        <f aca="false">'Data BoP'!AK27</f>
        <v>-342.003386999985</v>
      </c>
      <c r="U27" s="14" t="str">
        <f aca="false">'Data BoP'!B27</f>
        <v>2011-Q2</v>
      </c>
      <c r="V27" s="15" t="n">
        <f aca="false">('Data BoP'!U24)+('Data BoP'!U25)+('Data BoP'!U26)+('Data BoP'!U27)</f>
        <v>-4786.37211692937</v>
      </c>
      <c r="W27" s="10" t="n">
        <f aca="false">('Data BoP'!V24)+('Data BoP'!V25)+('Data BoP'!V26)+('Data BoP'!V27)</f>
        <v>-9155.11138416867</v>
      </c>
      <c r="X27" s="10" t="n">
        <f aca="false">('Data BoP'!W24)+('Data BoP'!W25)+('Data BoP'!W26)+('Data BoP'!W27)</f>
        <v>1366.52211142255</v>
      </c>
      <c r="Y27" s="10" t="n">
        <f aca="false">('Data BoP'!X24)+('Data BoP'!X25)+('Data BoP'!X26)+('Data BoP'!X27)</f>
        <v>0</v>
      </c>
      <c r="Z27" s="10" t="n">
        <f aca="false">('Data BoP'!Y24)+('Data BoP'!Y25)+('Data BoP'!Y26)+('Data BoP'!Y27)</f>
        <v>7860.95393753496</v>
      </c>
      <c r="AA27" s="10" t="n">
        <f aca="false">('Data BoP'!Z24)+('Data BoP'!Z25)+('Data BoP'!Z26)+('Data BoP'!Z27)</f>
        <v>2660.67955805626</v>
      </c>
      <c r="AB27" s="10" t="n">
        <f aca="false">('Data BoP'!AA24)+('Data BoP'!AA25)+('Data BoP'!AA26)+('Data BoP'!AA27)</f>
        <v>-2748.45482909056</v>
      </c>
      <c r="AC27" s="10" t="n">
        <f aca="false">('Data BoP'!AB24)+('Data BoP'!AB25)+('Data BoP'!AB26)+('Data BoP'!AB27)</f>
        <v>1259</v>
      </c>
      <c r="AD27" s="10" t="n">
        <f aca="false">('Data BoP'!AC24)+('Data BoP'!AC25)+('Data BoP'!AC26)+('Data BoP'!AC27)</f>
        <v>-465.146837439826</v>
      </c>
      <c r="AE27" s="10" t="n">
        <f aca="false">('Data BoP'!AD24)+('Data BoP'!AD25)+('Data BoP'!AD26)+('Data BoP'!AD27)</f>
        <v>261.760013348282</v>
      </c>
      <c r="AF27" s="10" t="n">
        <f aca="false">('Data BoP'!AE24)+('Data BoP'!AE25)+('Data BoP'!AE26)+('Data BoP'!AE27)</f>
        <v>3280.54797830245</v>
      </c>
      <c r="AG27" s="10" t="n">
        <f aca="false">('Data BoP'!AF24)+('Data BoP'!AF25)+('Data BoP'!AF26)+('Data BoP'!AF27)</f>
        <v>-622.525928942246</v>
      </c>
      <c r="AH27" s="10" t="n">
        <f aca="false">('Data BoP'!AG24)+('Data BoP'!AG25)+('Data BoP'!AG26)+('Data BoP'!AG27)</f>
        <v>6316.95002527211</v>
      </c>
      <c r="AI27" s="10" t="n">
        <f aca="false">('Data BoP'!AH24)+('Data BoP'!AH25)+('Data BoP'!AH26)+('Data BoP'!AH27)</f>
        <v>12118.0997777403</v>
      </c>
      <c r="AJ27" s="10" t="n">
        <f aca="false">('Data BoP'!AL24)+('Data BoP'!AL25)+('Data BoP'!AL26)+('Data BoP'!AL27)</f>
        <v>5801.14975246819</v>
      </c>
      <c r="AK27" s="15" t="n">
        <f aca="false">('Data BoP'!AJ24)+('Data BoP'!AJ25)+('Data BoP'!AJ26)+('Data BoP'!AJ27)</f>
        <v>1422.77</v>
      </c>
      <c r="AL27" s="10" t="n">
        <f aca="false">('Data BoP'!AK24)+('Data BoP'!AK25)+('Data BoP'!AK26)+('Data BoP'!AK27)</f>
        <v>-1036.27576472078</v>
      </c>
    </row>
    <row r="28" customFormat="false" ht="15" hidden="false" customHeight="false" outlineLevel="0" collapsed="false">
      <c r="B28" s="14" t="str">
        <f aca="false">'Data BoP'!B28</f>
        <v>2011-Q3</v>
      </c>
      <c r="C28" s="15" t="n">
        <f aca="false">'Data BoP'!U28</f>
        <v>-3477.04464794056</v>
      </c>
      <c r="D28" s="10" t="n">
        <f aca="false">'Data BoP'!V28</f>
        <v>-1390.31127575062</v>
      </c>
      <c r="E28" s="10" t="n">
        <f aca="false">'Data BoP'!W28</f>
        <v>329</v>
      </c>
      <c r="F28" s="10" t="n">
        <f aca="false">'Data BoP'!X28</f>
        <v>0</v>
      </c>
      <c r="G28" s="10" t="n">
        <f aca="false">'Data BoP'!Y28</f>
        <v>1751.63526156594</v>
      </c>
      <c r="H28" s="10" t="n">
        <f aca="false">'Data BoP'!Z28</f>
        <v>-32.3239858153258</v>
      </c>
      <c r="I28" s="10" t="n">
        <f aca="false">'Data BoP'!AA28</f>
        <v>-142.721866306438</v>
      </c>
      <c r="J28" s="10" t="n">
        <f aca="false">'Data BoP'!AB28</f>
        <v>-299</v>
      </c>
      <c r="K28" s="10" t="n">
        <f aca="false">'Data BoP'!AC28</f>
        <v>46.5992971771395</v>
      </c>
      <c r="L28" s="10" t="n">
        <f aca="false">'Data BoP'!AD28</f>
        <v>126.620883760985</v>
      </c>
      <c r="M28" s="10" t="n">
        <f aca="false">'Data BoP'!AE28</f>
        <v>-236.299720277408</v>
      </c>
      <c r="N28" s="10" t="n">
        <f aca="false">'Data BoP'!AF28</f>
        <v>32.9471578232777</v>
      </c>
      <c r="O28" s="10" t="n">
        <f aca="false">'Data BoP'!AG28</f>
        <v>1176.56133629322</v>
      </c>
      <c r="P28" s="10" t="n">
        <f aca="false">'Data BoP'!AH28</f>
        <v>5621.41695491862</v>
      </c>
      <c r="Q28" s="10" t="n">
        <f aca="false">'Data BoP'!AL28</f>
        <v>4444.85561862541</v>
      </c>
      <c r="R28" s="15" t="n">
        <f aca="false">'Data BoP'!AJ28</f>
        <v>-3153.52</v>
      </c>
      <c r="S28" s="10" t="n">
        <f aca="false">'Data BoP'!AK28</f>
        <v>-2005.55678748471</v>
      </c>
      <c r="U28" s="14" t="str">
        <f aca="false">'Data BoP'!B28</f>
        <v>2011-Q3</v>
      </c>
      <c r="V28" s="15" t="n">
        <f aca="false">('Data BoP'!U25)+('Data BoP'!U26)+('Data BoP'!U27)+('Data BoP'!U28)</f>
        <v>-7446.83369872033</v>
      </c>
      <c r="W28" s="10" t="n">
        <f aca="false">('Data BoP'!V25)+('Data BoP'!V26)+('Data BoP'!V27)+('Data BoP'!V28)</f>
        <v>-7639.25521599551</v>
      </c>
      <c r="X28" s="10" t="n">
        <f aca="false">('Data BoP'!W25)+('Data BoP'!W26)+('Data BoP'!W27)+('Data BoP'!W28)</f>
        <v>1441.38098747991</v>
      </c>
      <c r="Y28" s="10" t="n">
        <f aca="false">('Data BoP'!X25)+('Data BoP'!X26)+('Data BoP'!X27)+('Data BoP'!X28)</f>
        <v>0</v>
      </c>
      <c r="Z28" s="10" t="n">
        <f aca="false">('Data BoP'!Y25)+('Data BoP'!Y26)+('Data BoP'!Y27)+('Data BoP'!Y28)</f>
        <v>7088.92205567073</v>
      </c>
      <c r="AA28" s="10" t="n">
        <f aca="false">('Data BoP'!Z25)+('Data BoP'!Z26)+('Data BoP'!Z27)+('Data BoP'!Z28)</f>
        <v>1991.71414780469</v>
      </c>
      <c r="AB28" s="10" t="n">
        <f aca="false">('Data BoP'!AA25)+('Data BoP'!AA26)+('Data BoP'!AA27)+('Data BoP'!AA28)</f>
        <v>-2582.10174148487</v>
      </c>
      <c r="AC28" s="10" t="n">
        <f aca="false">('Data BoP'!AB25)+('Data BoP'!AB26)+('Data BoP'!AB27)+('Data BoP'!AB28)</f>
        <v>675</v>
      </c>
      <c r="AD28" s="10" t="n">
        <f aca="false">('Data BoP'!AC25)+('Data BoP'!AC26)+('Data BoP'!AC27)+('Data BoP'!AC28)</f>
        <v>-257.783552321823</v>
      </c>
      <c r="AE28" s="10" t="n">
        <f aca="false">('Data BoP'!AD25)+('Data BoP'!AD26)+('Data BoP'!AD27)+('Data BoP'!AD28)</f>
        <v>292.408479049265</v>
      </c>
      <c r="AF28" s="10" t="n">
        <f aca="false">('Data BoP'!AE25)+('Data BoP'!AE26)+('Data BoP'!AE27)+('Data BoP'!AE28)</f>
        <v>2706.90971011378</v>
      </c>
      <c r="AG28" s="10" t="n">
        <f aca="false">('Data BoP'!AF25)+('Data BoP'!AF26)+('Data BoP'!AF27)+('Data BoP'!AF28)</f>
        <v>209.121228881032</v>
      </c>
      <c r="AH28" s="10" t="n">
        <f aca="false">('Data BoP'!AG25)+('Data BoP'!AG26)+('Data BoP'!AG27)+('Data BoP'!AG28)</f>
        <v>5574.95202987901</v>
      </c>
      <c r="AI28" s="10" t="n">
        <f aca="false">('Data BoP'!AH25)+('Data BoP'!AH26)+('Data BoP'!AH27)+('Data BoP'!AH28)</f>
        <v>14906.820987504</v>
      </c>
      <c r="AJ28" s="10" t="n">
        <f aca="false">('Data BoP'!AL25)+('Data BoP'!AL26)+('Data BoP'!AL27)+('Data BoP'!AL28)</f>
        <v>9331.86895762501</v>
      </c>
      <c r="AK28" s="15" t="n">
        <f aca="false">('Data BoP'!AJ25)+('Data BoP'!AJ26)+('Data BoP'!AJ27)+('Data BoP'!AJ28)</f>
        <v>-3009.55</v>
      </c>
      <c r="AL28" s="10" t="n">
        <f aca="false">('Data BoP'!AK25)+('Data BoP'!AK26)+('Data BoP'!AK27)+('Data BoP'!AK28)</f>
        <v>-2699.75004142275</v>
      </c>
    </row>
    <row r="29" customFormat="false" ht="15" hidden="false" customHeight="false" outlineLevel="0" collapsed="false">
      <c r="B29" s="14" t="str">
        <f aca="false">'Data BoP'!B29</f>
        <v>2011-Q4</v>
      </c>
      <c r="C29" s="15" t="n">
        <f aca="false">'Data BoP'!U29</f>
        <v>-66.9833957458041</v>
      </c>
      <c r="D29" s="10" t="n">
        <f aca="false">'Data BoP'!V29</f>
        <v>-4116.35854158994</v>
      </c>
      <c r="E29" s="10" t="n">
        <f aca="false">'Data BoP'!W29</f>
        <v>325</v>
      </c>
      <c r="F29" s="10" t="n">
        <f aca="false">'Data BoP'!X29</f>
        <v>0</v>
      </c>
      <c r="G29" s="10" t="n">
        <f aca="false">'Data BoP'!Y29</f>
        <v>3012.58181715578</v>
      </c>
      <c r="H29" s="10" t="n">
        <f aca="false">'Data BoP'!Z29</f>
        <v>1428.77672443416</v>
      </c>
      <c r="I29" s="10" t="n">
        <f aca="false">'Data BoP'!AA29</f>
        <v>779.800577308176</v>
      </c>
      <c r="J29" s="10" t="n">
        <f aca="false">'Data BoP'!AB29</f>
        <v>-458</v>
      </c>
      <c r="K29" s="10" t="n">
        <f aca="false">'Data BoP'!AC29</f>
        <v>-19.3716903953553</v>
      </c>
      <c r="L29" s="10" t="n">
        <f aca="false">'Data BoP'!AD29</f>
        <v>-369.63926512419</v>
      </c>
      <c r="M29" s="10" t="n">
        <f aca="false">'Data BoP'!AE29</f>
        <v>-887.533002579341</v>
      </c>
      <c r="N29" s="10" t="n">
        <f aca="false">'Data BoP'!AF29</f>
        <v>2126.07720252451</v>
      </c>
      <c r="O29" s="10" t="n">
        <f aca="false">'Data BoP'!AG29</f>
        <v>3164.11736601145</v>
      </c>
      <c r="P29" s="10" t="n">
        <f aca="false">'Data BoP'!AH29</f>
        <v>4378.50323150415</v>
      </c>
      <c r="Q29" s="10" t="n">
        <f aca="false">'Data BoP'!AL29</f>
        <v>1214.3858654927</v>
      </c>
      <c r="R29" s="15" t="n">
        <f aca="false">'Data BoP'!AJ29</f>
        <v>-2020.62</v>
      </c>
      <c r="S29" s="10" t="n">
        <f aca="false">'Data BoP'!AK29</f>
        <v>2023.44714588136</v>
      </c>
      <c r="U29" s="14" t="str">
        <f aca="false">'Data BoP'!B29</f>
        <v>2011-Q4</v>
      </c>
      <c r="V29" s="15" t="n">
        <f aca="false">('Data BoP'!U26)+('Data BoP'!U27)+('Data BoP'!U28)+('Data BoP'!U29)</f>
        <v>-5252.20297522253</v>
      </c>
      <c r="W29" s="10" t="n">
        <f aca="false">('Data BoP'!V26)+('Data BoP'!V27)+('Data BoP'!V28)+('Data BoP'!V29)</f>
        <v>-9351.9309446815</v>
      </c>
      <c r="X29" s="10" t="n">
        <f aca="false">('Data BoP'!W26)+('Data BoP'!W27)+('Data BoP'!W28)+('Data BoP'!W29)</f>
        <v>1488</v>
      </c>
      <c r="Y29" s="10" t="n">
        <f aca="false">('Data BoP'!X26)+('Data BoP'!X27)+('Data BoP'!X28)+('Data BoP'!X29)</f>
        <v>0</v>
      </c>
      <c r="Z29" s="10" t="n">
        <f aca="false">('Data BoP'!Y26)+('Data BoP'!Y27)+('Data BoP'!Y28)+('Data BoP'!Y29)</f>
        <v>8240.3605767921</v>
      </c>
      <c r="AA29" s="10" t="n">
        <f aca="false">('Data BoP'!Z26)+('Data BoP'!Z27)+('Data BoP'!Z28)+('Data BoP'!Z29)</f>
        <v>2599.5703678894</v>
      </c>
      <c r="AB29" s="10" t="n">
        <f aca="false">('Data BoP'!AA26)+('Data BoP'!AA27)+('Data BoP'!AA28)+('Data BoP'!AA29)</f>
        <v>-143.23415627634</v>
      </c>
      <c r="AC29" s="10" t="n">
        <f aca="false">('Data BoP'!AB26)+('Data BoP'!AB27)+('Data BoP'!AB28)+('Data BoP'!AB29)</f>
        <v>-197</v>
      </c>
      <c r="AD29" s="10" t="n">
        <f aca="false">('Data BoP'!AC26)+('Data BoP'!AC27)+('Data BoP'!AC28)+('Data BoP'!AC29)</f>
        <v>-194.619915196837</v>
      </c>
      <c r="AE29" s="10" t="n">
        <f aca="false">('Data BoP'!AD26)+('Data BoP'!AD27)+('Data BoP'!AD28)+('Data BoP'!AD29)</f>
        <v>-208.195660767126</v>
      </c>
      <c r="AF29" s="10" t="n">
        <f aca="false">('Data BoP'!AE26)+('Data BoP'!AE27)+('Data BoP'!AE28)+('Data BoP'!AE29)</f>
        <v>-40.1900981533711</v>
      </c>
      <c r="AG29" s="10" t="n">
        <f aca="false">('Data BoP'!AF26)+('Data BoP'!AF27)+('Data BoP'!AF28)+('Data BoP'!AF29)</f>
        <v>2356.18140029374</v>
      </c>
      <c r="AH29" s="10" t="n">
        <f aca="false">('Data BoP'!AG26)+('Data BoP'!AG27)+('Data BoP'!AG28)+('Data BoP'!AG29)</f>
        <v>7994.69072544157</v>
      </c>
      <c r="AI29" s="10" t="n">
        <f aca="false">('Data BoP'!AH26)+('Data BoP'!AH27)+('Data BoP'!AH28)+('Data BoP'!AH29)</f>
        <v>19013.4452318768</v>
      </c>
      <c r="AJ29" s="10" t="n">
        <f aca="false">('Data BoP'!AL26)+('Data BoP'!AL27)+('Data BoP'!AL28)+('Data BoP'!AL29)</f>
        <v>11018.7545064352</v>
      </c>
      <c r="AK29" s="15" t="n">
        <f aca="false">('Data BoP'!AJ26)+('Data BoP'!AJ27)+('Data BoP'!AJ28)+('Data BoP'!AJ29)</f>
        <v>-6107.91</v>
      </c>
      <c r="AL29" s="10" t="n">
        <f aca="false">('Data BoP'!AK26)+('Data BoP'!AK27)+('Data BoP'!AK28)+('Data BoP'!AK29)</f>
        <v>25.2543709491076</v>
      </c>
    </row>
    <row r="30" customFormat="false" ht="15" hidden="false" customHeight="false" outlineLevel="0" collapsed="false">
      <c r="B30" s="14" t="str">
        <f aca="false">'Data BoP'!B30</f>
        <v>2012-Q1</v>
      </c>
      <c r="C30" s="15" t="n">
        <f aca="false">'Data BoP'!U30</f>
        <v>-2004.78847414211</v>
      </c>
      <c r="D30" s="10" t="n">
        <f aca="false">'Data BoP'!V30</f>
        <v>-4153.61051060202</v>
      </c>
      <c r="E30" s="10" t="n">
        <f aca="false">'Data BoP'!W30</f>
        <v>516</v>
      </c>
      <c r="F30" s="10" t="n">
        <f aca="false">'Data BoP'!X30</f>
        <v>0</v>
      </c>
      <c r="G30" s="10" t="n">
        <f aca="false">'Data BoP'!Y30</f>
        <v>3506.00103197185</v>
      </c>
      <c r="H30" s="10" t="n">
        <f aca="false">'Data BoP'!Z30</f>
        <v>1163.60947863017</v>
      </c>
      <c r="I30" s="10" t="n">
        <f aca="false">'Data BoP'!AA30</f>
        <v>-1906.2137926231</v>
      </c>
      <c r="J30" s="10" t="n">
        <f aca="false">'Data BoP'!AB30</f>
        <v>-377</v>
      </c>
      <c r="K30" s="10" t="n">
        <f aca="false">'Data BoP'!AC30</f>
        <v>-5.30921808674225</v>
      </c>
      <c r="L30" s="10" t="n">
        <f aca="false">'Data BoP'!AD30</f>
        <v>-29.2154407294261</v>
      </c>
      <c r="M30" s="10" t="n">
        <f aca="false">'Data BoP'!AE30</f>
        <v>1553.12001526578</v>
      </c>
      <c r="N30" s="10" t="n">
        <f aca="false">'Data BoP'!AF30</f>
        <v>9.051</v>
      </c>
      <c r="O30" s="10" t="n">
        <f aca="false">'Data BoP'!AG30</f>
        <v>3376.18482908301</v>
      </c>
      <c r="P30" s="10" t="n">
        <f aca="false">'Data BoP'!AH30</f>
        <v>3047.21871485903</v>
      </c>
      <c r="Q30" s="10" t="n">
        <f aca="false">'Data BoP'!AL30</f>
        <v>-328.966114223976</v>
      </c>
      <c r="R30" s="15" t="n">
        <f aca="false">'Data BoP'!AJ30</f>
        <v>669.8</v>
      </c>
      <c r="S30" s="10" t="n">
        <f aca="false">'Data BoP'!AK30</f>
        <v>-223.169091415274</v>
      </c>
      <c r="U30" s="14" t="str">
        <f aca="false">'Data BoP'!B30</f>
        <v>2012-Q1</v>
      </c>
      <c r="V30" s="15" t="n">
        <f aca="false">('Data BoP'!U27)+('Data BoP'!U28)+('Data BoP'!U29)+('Data BoP'!U30)</f>
        <v>-5380.68168614601</v>
      </c>
      <c r="W30" s="10" t="n">
        <f aca="false">('Data BoP'!V27)+('Data BoP'!V28)+('Data BoP'!V29)+('Data BoP'!V30)</f>
        <v>-10291.7868942588</v>
      </c>
      <c r="X30" s="10" t="n">
        <f aca="false">('Data BoP'!W27)+('Data BoP'!W28)+('Data BoP'!W29)+('Data BoP'!W30)</f>
        <v>1574</v>
      </c>
      <c r="Y30" s="10" t="n">
        <f aca="false">('Data BoP'!X27)+('Data BoP'!X28)+('Data BoP'!X29)+('Data BoP'!X30)</f>
        <v>0</v>
      </c>
      <c r="Z30" s="10" t="n">
        <f aca="false">('Data BoP'!Y27)+('Data BoP'!Y28)+('Data BoP'!Y29)+('Data BoP'!Y30)</f>
        <v>9059.11239350062</v>
      </c>
      <c r="AA30" s="10" t="n">
        <f aca="false">('Data BoP'!Z27)+('Data BoP'!Z28)+('Data BoP'!Z29)+('Data BoP'!Z30)</f>
        <v>2806.6745007582</v>
      </c>
      <c r="AB30" s="10" t="n">
        <f aca="false">('Data BoP'!AA27)+('Data BoP'!AA28)+('Data BoP'!AA29)+('Data BoP'!AA30)</f>
        <v>-1354.08383988342</v>
      </c>
      <c r="AC30" s="10" t="n">
        <f aca="false">('Data BoP'!AB27)+('Data BoP'!AB28)+('Data BoP'!AB29)+('Data BoP'!AB30)</f>
        <v>-833</v>
      </c>
      <c r="AD30" s="10" t="n">
        <f aca="false">('Data BoP'!AC27)+('Data BoP'!AC28)+('Data BoP'!AC29)+('Data BoP'!AC30)</f>
        <v>8.51734358989375</v>
      </c>
      <c r="AE30" s="10" t="n">
        <f aca="false">('Data BoP'!AD27)+('Data BoP'!AD28)+('Data BoP'!AD29)+('Data BoP'!AD30)</f>
        <v>-186.393835512465</v>
      </c>
      <c r="AF30" s="10" t="n">
        <f aca="false">('Data BoP'!AE27)+('Data BoP'!AE28)+('Data BoP'!AE29)+('Data BoP'!AE30)</f>
        <v>715.995018985775</v>
      </c>
      <c r="AG30" s="10" t="n">
        <f aca="false">('Data BoP'!AF27)+('Data BoP'!AF28)+('Data BoP'!AF29)+('Data BoP'!AF30)</f>
        <v>2329.33149808777</v>
      </c>
      <c r="AH30" s="10" t="n">
        <f aca="false">('Data BoP'!AG27)+('Data BoP'!AG28)+('Data BoP'!AG29)+('Data BoP'!AG30)</f>
        <v>8214.47754990846</v>
      </c>
      <c r="AI30" s="10" t="n">
        <f aca="false">('Data BoP'!AH27)+('Data BoP'!AH28)+('Data BoP'!AH29)+('Data BoP'!AH30)</f>
        <v>17431.3949911023</v>
      </c>
      <c r="AJ30" s="10" t="n">
        <f aca="false">('Data BoP'!AL27)+('Data BoP'!AL28)+('Data BoP'!AL29)+('Data BoP'!AL30)</f>
        <v>9216.9174411938</v>
      </c>
      <c r="AK30" s="15" t="n">
        <f aca="false">('Data BoP'!AJ27)+('Data BoP'!AJ28)+('Data BoP'!AJ29)+('Data BoP'!AJ30)</f>
        <v>-4278.62</v>
      </c>
      <c r="AL30" s="10" t="n">
        <f aca="false">('Data BoP'!AK27)+('Data BoP'!AK28)+('Data BoP'!AK29)+('Data BoP'!AK30)</f>
        <v>-547.282120018608</v>
      </c>
    </row>
    <row r="31" customFormat="false" ht="15" hidden="false" customHeight="false" outlineLevel="0" collapsed="false">
      <c r="B31" s="14" t="str">
        <f aca="false">'Data BoP'!B31</f>
        <v>2012-Q2</v>
      </c>
      <c r="C31" s="15" t="n">
        <f aca="false">'Data BoP'!U31</f>
        <v>258.873852516243</v>
      </c>
      <c r="D31" s="10" t="n">
        <f aca="false">'Data BoP'!V31</f>
        <v>-3611.94776919585</v>
      </c>
      <c r="E31" s="10" t="n">
        <f aca="false">'Data BoP'!W31</f>
        <v>229.955963586278</v>
      </c>
      <c r="F31" s="10" t="n">
        <f aca="false">'Data BoP'!X31</f>
        <v>0</v>
      </c>
      <c r="G31" s="10" t="n">
        <f aca="false">'Data BoP'!Y31</f>
        <v>2733.99077404556</v>
      </c>
      <c r="H31" s="10" t="n">
        <f aca="false">'Data BoP'!Z31</f>
        <v>1107.91295873657</v>
      </c>
      <c r="I31" s="10" t="n">
        <f aca="false">'Data BoP'!AA31</f>
        <v>425.710582591144</v>
      </c>
      <c r="J31" s="10" t="n">
        <f aca="false">'Data BoP'!AB31</f>
        <v>270</v>
      </c>
      <c r="K31" s="10" t="n">
        <f aca="false">'Data BoP'!AC31</f>
        <v>171.592127539396</v>
      </c>
      <c r="L31" s="10" t="n">
        <f aca="false">'Data BoP'!AD31</f>
        <v>-11.1216920314486</v>
      </c>
      <c r="M31" s="10" t="n">
        <f aca="false">'Data BoP'!AE31</f>
        <v>27.0032369796999</v>
      </c>
      <c r="N31" s="10" t="n">
        <f aca="false">'Data BoP'!AF31</f>
        <v>0.588</v>
      </c>
      <c r="O31" s="10" t="n">
        <f aca="false">'Data BoP'!AG31</f>
        <v>4143.35303912095</v>
      </c>
      <c r="P31" s="10" t="n">
        <f aca="false">'Data BoP'!AH31</f>
        <v>4680.4241055914</v>
      </c>
      <c r="Q31" s="10" t="n">
        <f aca="false">'Data BoP'!AL31</f>
        <v>537.071066470457</v>
      </c>
      <c r="R31" s="15" t="n">
        <f aca="false">'Data BoP'!AJ31</f>
        <v>-698.829999999995</v>
      </c>
      <c r="S31" s="10" t="n">
        <f aca="false">'Data BoP'!AK31</f>
        <v>-262.224820188395</v>
      </c>
      <c r="U31" s="14" t="str">
        <f aca="false">'Data BoP'!B31</f>
        <v>2012-Q2</v>
      </c>
      <c r="V31" s="15" t="n">
        <f aca="false">('Data BoP'!U28)+('Data BoP'!U29)+('Data BoP'!U30)+('Data BoP'!U31)</f>
        <v>-5289.94266531224</v>
      </c>
      <c r="W31" s="10" t="n">
        <f aca="false">('Data BoP'!V28)+('Data BoP'!V29)+('Data BoP'!V30)+('Data BoP'!V31)</f>
        <v>-13272.2280971384</v>
      </c>
      <c r="X31" s="10" t="n">
        <f aca="false">('Data BoP'!W28)+('Data BoP'!W29)+('Data BoP'!W30)+('Data BoP'!W31)</f>
        <v>1399.95596358628</v>
      </c>
      <c r="Y31" s="10" t="n">
        <f aca="false">('Data BoP'!X28)+('Data BoP'!X29)+('Data BoP'!X30)+('Data BoP'!X31)</f>
        <v>0</v>
      </c>
      <c r="Z31" s="10" t="n">
        <f aca="false">('Data BoP'!Y28)+('Data BoP'!Y29)+('Data BoP'!Y30)+('Data BoP'!Y31)</f>
        <v>11004.2088847391</v>
      </c>
      <c r="AA31" s="10" t="n">
        <f aca="false">('Data BoP'!Z28)+('Data BoP'!Z29)+('Data BoP'!Z30)+('Data BoP'!Z31)</f>
        <v>3667.97517598557</v>
      </c>
      <c r="AB31" s="10" t="n">
        <f aca="false">('Data BoP'!AA28)+('Data BoP'!AA29)+('Data BoP'!AA30)+('Data BoP'!AA31)</f>
        <v>-843.424499030216</v>
      </c>
      <c r="AC31" s="10" t="n">
        <f aca="false">('Data BoP'!AB28)+('Data BoP'!AB29)+('Data BoP'!AB30)+('Data BoP'!AB31)</f>
        <v>-864</v>
      </c>
      <c r="AD31" s="10" t="n">
        <f aca="false">('Data BoP'!AC28)+('Data BoP'!AC29)+('Data BoP'!AC30)+('Data BoP'!AC31)</f>
        <v>193.510516234438</v>
      </c>
      <c r="AE31" s="10" t="n">
        <f aca="false">('Data BoP'!AD28)+('Data BoP'!AD29)+('Data BoP'!AD30)+('Data BoP'!AD31)</f>
        <v>-283.35551412408</v>
      </c>
      <c r="AF31" s="10" t="n">
        <f aca="false">('Data BoP'!AE28)+('Data BoP'!AE29)+('Data BoP'!AE30)+('Data BoP'!AE31)</f>
        <v>456.290529388734</v>
      </c>
      <c r="AG31" s="10" t="n">
        <f aca="false">('Data BoP'!AF28)+('Data BoP'!AF29)+('Data BoP'!AF30)+('Data BoP'!AF31)</f>
        <v>2168.66336034779</v>
      </c>
      <c r="AH31" s="10" t="n">
        <f aca="false">('Data BoP'!AG28)+('Data BoP'!AG29)+('Data BoP'!AG30)+('Data BoP'!AG31)</f>
        <v>11860.2165705086</v>
      </c>
      <c r="AI31" s="10" t="n">
        <f aca="false">('Data BoP'!AH28)+('Data BoP'!AH29)+('Data BoP'!AH30)+('Data BoP'!AH31)</f>
        <v>17727.5630068732</v>
      </c>
      <c r="AJ31" s="10" t="n">
        <f aca="false">('Data BoP'!AL28)+('Data BoP'!AL29)+('Data BoP'!AL30)+('Data BoP'!AL31)</f>
        <v>5867.34643636459</v>
      </c>
      <c r="AK31" s="15" t="n">
        <f aca="false">('Data BoP'!AJ28)+('Data BoP'!AJ29)+('Data BoP'!AJ30)+('Data BoP'!AJ31)</f>
        <v>-5203.17</v>
      </c>
      <c r="AL31" s="10" t="n">
        <f aca="false">('Data BoP'!AK28)+('Data BoP'!AK29)+('Data BoP'!AK30)+('Data BoP'!AK31)</f>
        <v>-467.503553207018</v>
      </c>
    </row>
    <row r="32" customFormat="false" ht="15" hidden="false" customHeight="false" outlineLevel="0" collapsed="false">
      <c r="B32" s="14" t="str">
        <f aca="false">'Data BoP'!B32</f>
        <v>2012-Q3</v>
      </c>
      <c r="C32" s="15" t="n">
        <f aca="false">'Data BoP'!U32</f>
        <v>-519.445476156688</v>
      </c>
      <c r="D32" s="10" t="n">
        <f aca="false">'Data BoP'!V32</f>
        <v>-3106.11956191147</v>
      </c>
      <c r="E32" s="10" t="n">
        <f aca="false">'Data BoP'!W32</f>
        <v>55.3294570250283</v>
      </c>
      <c r="F32" s="10" t="n">
        <f aca="false">'Data BoP'!X32</f>
        <v>0</v>
      </c>
      <c r="G32" s="10" t="n">
        <f aca="false">'Data BoP'!Y32</f>
        <v>2868.31157456956</v>
      </c>
      <c r="H32" s="10" t="n">
        <f aca="false">'Data BoP'!Z32</f>
        <v>293.137444366939</v>
      </c>
      <c r="I32" s="10" t="n">
        <f aca="false">'Data BoP'!AA32</f>
        <v>1401.3610500211</v>
      </c>
      <c r="J32" s="10" t="n">
        <f aca="false">'Data BoP'!AB32</f>
        <v>-105</v>
      </c>
      <c r="K32" s="10" t="n">
        <f aca="false">'Data BoP'!AC32</f>
        <v>-64.0689336129845</v>
      </c>
      <c r="L32" s="10" t="n">
        <f aca="false">'Data BoP'!AD32</f>
        <v>-115.981397706632</v>
      </c>
      <c r="M32" s="10" t="n">
        <f aca="false">'Data BoP'!AE32</f>
        <v>-1454.44858592745</v>
      </c>
      <c r="N32" s="10" t="n">
        <f aca="false">'Data BoP'!AF32</f>
        <v>26.028</v>
      </c>
      <c r="O32" s="10" t="n">
        <f aca="false">'Data BoP'!AG32</f>
        <v>2885.7750357337</v>
      </c>
      <c r="P32" s="10" t="n">
        <f aca="false">'Data BoP'!AH32</f>
        <v>2375.55925408095</v>
      </c>
      <c r="Q32" s="10" t="n">
        <f aca="false">'Data BoP'!AL32</f>
        <v>-510.215781652751</v>
      </c>
      <c r="R32" s="15" t="n">
        <f aca="false">'Data BoP'!AJ32</f>
        <v>-1726.49</v>
      </c>
      <c r="S32" s="10" t="n">
        <f aca="false">'Data BoP'!AK32</f>
        <v>-614.297892869716</v>
      </c>
      <c r="U32" s="14" t="str">
        <f aca="false">'Data BoP'!B32</f>
        <v>2012-Q3</v>
      </c>
      <c r="V32" s="15" t="n">
        <f aca="false">('Data BoP'!U29)+('Data BoP'!U30)+('Data BoP'!U31)+('Data BoP'!U32)</f>
        <v>-2332.34349352836</v>
      </c>
      <c r="W32" s="10" t="n">
        <f aca="false">('Data BoP'!V29)+('Data BoP'!V30)+('Data BoP'!V31)+('Data BoP'!V32)</f>
        <v>-14988.0363832993</v>
      </c>
      <c r="X32" s="10" t="n">
        <f aca="false">('Data BoP'!W29)+('Data BoP'!W30)+('Data BoP'!W31)+('Data BoP'!W32)</f>
        <v>1126.28542061131</v>
      </c>
      <c r="Y32" s="10" t="n">
        <f aca="false">('Data BoP'!X29)+('Data BoP'!X30)+('Data BoP'!X31)+('Data BoP'!X32)</f>
        <v>0</v>
      </c>
      <c r="Z32" s="10" t="n">
        <f aca="false">('Data BoP'!Y29)+('Data BoP'!Y30)+('Data BoP'!Y31)+('Data BoP'!Y32)</f>
        <v>12120.8851977428</v>
      </c>
      <c r="AA32" s="10" t="n">
        <f aca="false">('Data BoP'!Z29)+('Data BoP'!Z30)+('Data BoP'!Z31)+('Data BoP'!Z32)</f>
        <v>3993.43660616784</v>
      </c>
      <c r="AB32" s="10" t="n">
        <f aca="false">('Data BoP'!AA29)+('Data BoP'!AA30)+('Data BoP'!AA31)+('Data BoP'!AA32)</f>
        <v>700.658417297317</v>
      </c>
      <c r="AC32" s="10" t="n">
        <f aca="false">('Data BoP'!AB29)+('Data BoP'!AB30)+('Data BoP'!AB31)+('Data BoP'!AB32)</f>
        <v>-670</v>
      </c>
      <c r="AD32" s="10" t="n">
        <f aca="false">('Data BoP'!AC29)+('Data BoP'!AC30)+('Data BoP'!AC31)+('Data BoP'!AC32)</f>
        <v>82.8422854443136</v>
      </c>
      <c r="AE32" s="10" t="n">
        <f aca="false">('Data BoP'!AD29)+('Data BoP'!AD30)+('Data BoP'!AD31)+('Data BoP'!AD32)</f>
        <v>-525.957795591697</v>
      </c>
      <c r="AF32" s="10" t="n">
        <f aca="false">('Data BoP'!AE29)+('Data BoP'!AE30)+('Data BoP'!AE31)+('Data BoP'!AE32)</f>
        <v>-761.858336261306</v>
      </c>
      <c r="AG32" s="10" t="n">
        <f aca="false">('Data BoP'!AF29)+('Data BoP'!AF30)+('Data BoP'!AF31)+('Data BoP'!AF32)</f>
        <v>2161.74420252451</v>
      </c>
      <c r="AH32" s="10" t="n">
        <f aca="false">('Data BoP'!AG29)+('Data BoP'!AG30)+('Data BoP'!AG31)+('Data BoP'!AG32)</f>
        <v>13569.4302699491</v>
      </c>
      <c r="AI32" s="10" t="n">
        <f aca="false">('Data BoP'!AH29)+('Data BoP'!AH30)+('Data BoP'!AH31)+('Data BoP'!AH32)</f>
        <v>14481.7053060355</v>
      </c>
      <c r="AJ32" s="10" t="n">
        <f aca="false">('Data BoP'!AL29)+('Data BoP'!AL30)+('Data BoP'!AL31)+('Data BoP'!AL32)</f>
        <v>912.275036086433</v>
      </c>
      <c r="AK32" s="15" t="n">
        <f aca="false">('Data BoP'!AJ29)+('Data BoP'!AJ30)+('Data BoP'!AJ31)+('Data BoP'!AJ32)</f>
        <v>-3776.14</v>
      </c>
      <c r="AL32" s="10" t="n">
        <f aca="false">('Data BoP'!AK29)+('Data BoP'!AK30)+('Data BoP'!AK31)+('Data BoP'!AK32)</f>
        <v>923.755341407974</v>
      </c>
    </row>
    <row r="33" customFormat="false" ht="15" hidden="false" customHeight="false" outlineLevel="0" collapsed="false">
      <c r="B33" s="14" t="str">
        <f aca="false">'Data BoP'!B33</f>
        <v>2012-Q4</v>
      </c>
      <c r="C33" s="15" t="n">
        <f aca="false">'Data BoP'!U33</f>
        <v>-522.775515995634</v>
      </c>
      <c r="D33" s="10" t="n">
        <f aca="false">'Data BoP'!V33</f>
        <v>-3397.40649705845</v>
      </c>
      <c r="E33" s="10" t="n">
        <f aca="false">'Data BoP'!W33</f>
        <v>253.564157445021</v>
      </c>
      <c r="F33" s="10" t="n">
        <f aca="false">'Data BoP'!X33</f>
        <v>0</v>
      </c>
      <c r="G33" s="10" t="n">
        <f aca="false">'Data BoP'!Y33</f>
        <v>3095.51291163746</v>
      </c>
      <c r="H33" s="10" t="n">
        <f aca="false">'Data BoP'!Z33</f>
        <v>555.457742866008</v>
      </c>
      <c r="I33" s="10" t="n">
        <f aca="false">'Data BoP'!AA33</f>
        <v>229.060485583066</v>
      </c>
      <c r="J33" s="10" t="n">
        <f aca="false">'Data BoP'!AB33</f>
        <v>343</v>
      </c>
      <c r="K33" s="10" t="n">
        <f aca="false">'Data BoP'!AC33</f>
        <v>31.7109394859763</v>
      </c>
      <c r="L33" s="10" t="n">
        <f aca="false">'Data BoP'!AD33</f>
        <v>21.4108121712994</v>
      </c>
      <c r="M33" s="10" t="n">
        <f aca="false">'Data BoP'!AE33</f>
        <v>124.239641731611</v>
      </c>
      <c r="N33" s="10" t="n">
        <f aca="false">'Data BoP'!AF33</f>
        <v>2872.51446603051</v>
      </c>
      <c r="O33" s="10" t="n">
        <f aca="false">'Data BoP'!AG33</f>
        <v>1322.25602944924</v>
      </c>
      <c r="P33" s="10" t="n">
        <f aca="false">'Data BoP'!AH33</f>
        <v>-381.144668829405</v>
      </c>
      <c r="Q33" s="10" t="n">
        <f aca="false">'Data BoP'!AL33</f>
        <v>-1703.40069827864</v>
      </c>
      <c r="R33" s="15" t="n">
        <f aca="false">'Data BoP'!AJ33</f>
        <v>-1549.2</v>
      </c>
      <c r="S33" s="10" t="n">
        <f aca="false">'Data BoP'!AK33</f>
        <v>401.712506559333</v>
      </c>
      <c r="U33" s="14" t="str">
        <f aca="false">'Data BoP'!B33</f>
        <v>2012-Q4</v>
      </c>
      <c r="V33" s="15" t="n">
        <f aca="false">('Data BoP'!U30)+('Data BoP'!U31)+('Data BoP'!U32)+('Data BoP'!U33)</f>
        <v>-2788.13561377819</v>
      </c>
      <c r="W33" s="10" t="n">
        <f aca="false">('Data BoP'!V30)+('Data BoP'!V31)+('Data BoP'!V32)+('Data BoP'!V33)</f>
        <v>-14269.0843387678</v>
      </c>
      <c r="X33" s="10" t="n">
        <f aca="false">('Data BoP'!W30)+('Data BoP'!W31)+('Data BoP'!W32)+('Data BoP'!W33)</f>
        <v>1054.84957805633</v>
      </c>
      <c r="Y33" s="10" t="n">
        <f aca="false">('Data BoP'!X30)+('Data BoP'!X31)+('Data BoP'!X32)+('Data BoP'!X33)</f>
        <v>0</v>
      </c>
      <c r="Z33" s="10" t="n">
        <f aca="false">('Data BoP'!Y30)+('Data BoP'!Y31)+('Data BoP'!Y32)+('Data BoP'!Y33)</f>
        <v>12203.8162922244</v>
      </c>
      <c r="AA33" s="10" t="n">
        <f aca="false">('Data BoP'!Z30)+('Data BoP'!Z31)+('Data BoP'!Z32)+('Data BoP'!Z33)</f>
        <v>3120.11762459969</v>
      </c>
      <c r="AB33" s="10" t="n">
        <f aca="false">('Data BoP'!AA30)+('Data BoP'!AA31)+('Data BoP'!AA32)+('Data BoP'!AA33)</f>
        <v>149.918325572206</v>
      </c>
      <c r="AC33" s="10" t="n">
        <f aca="false">('Data BoP'!AB30)+('Data BoP'!AB31)+('Data BoP'!AB32)+('Data BoP'!AB33)</f>
        <v>131</v>
      </c>
      <c r="AD33" s="10" t="n">
        <f aca="false">('Data BoP'!AC30)+('Data BoP'!AC31)+('Data BoP'!AC32)+('Data BoP'!AC33)</f>
        <v>133.924915325645</v>
      </c>
      <c r="AE33" s="10" t="n">
        <f aca="false">('Data BoP'!AD30)+('Data BoP'!AD31)+('Data BoP'!AD32)+('Data BoP'!AD33)</f>
        <v>-134.907718296207</v>
      </c>
      <c r="AF33" s="10" t="n">
        <f aca="false">('Data BoP'!AE30)+('Data BoP'!AE31)+('Data BoP'!AE32)+('Data BoP'!AE33)</f>
        <v>249.914308049647</v>
      </c>
      <c r="AG33" s="10" t="n">
        <f aca="false">('Data BoP'!AF30)+('Data BoP'!AF31)+('Data BoP'!AF32)+('Data BoP'!AF33)</f>
        <v>2908.18146603051</v>
      </c>
      <c r="AH33" s="10" t="n">
        <f aca="false">('Data BoP'!AG30)+('Data BoP'!AG31)+('Data BoP'!AG32)+('Data BoP'!AG33)</f>
        <v>11727.5689333869</v>
      </c>
      <c r="AI33" s="10" t="n">
        <f aca="false">('Data BoP'!AH30)+('Data BoP'!AH31)+('Data BoP'!AH32)+('Data BoP'!AH33)</f>
        <v>9722.05740570197</v>
      </c>
      <c r="AJ33" s="10" t="n">
        <f aca="false">('Data BoP'!AL30)+('Data BoP'!AL31)+('Data BoP'!AL32)+('Data BoP'!AL33)</f>
        <v>-2005.51152768491</v>
      </c>
      <c r="AK33" s="15" t="n">
        <f aca="false">('Data BoP'!AJ30)+('Data BoP'!AJ31)+('Data BoP'!AJ32)+('Data BoP'!AJ33)</f>
        <v>-3304.72</v>
      </c>
      <c r="AL33" s="10" t="n">
        <f aca="false">('Data BoP'!AK30)+('Data BoP'!AK31)+('Data BoP'!AK32)+('Data BoP'!AK33)</f>
        <v>-697.979297914052</v>
      </c>
    </row>
    <row r="34" customFormat="false" ht="15" hidden="false" customHeight="false" outlineLevel="0" collapsed="false">
      <c r="B34" s="14" t="str">
        <f aca="false">'Data BoP'!B34</f>
        <v>2013-Q1</v>
      </c>
      <c r="C34" s="15" t="n">
        <f aca="false">'Data BoP'!U34</f>
        <v>-4667.6349659953</v>
      </c>
      <c r="D34" s="10" t="n">
        <f aca="false">'Data BoP'!V34</f>
        <v>-1941.4933847272</v>
      </c>
      <c r="E34" s="10" t="n">
        <f aca="false">'Data BoP'!W34</f>
        <v>243.607492227743</v>
      </c>
      <c r="F34" s="10" t="n">
        <f aca="false">'Data BoP'!X34</f>
        <v>0</v>
      </c>
      <c r="G34" s="10" t="n">
        <f aca="false">'Data BoP'!Y34</f>
        <v>3194.10087695494</v>
      </c>
      <c r="H34" s="10" t="n">
        <f aca="false">'Data BoP'!Z34</f>
        <v>-1009</v>
      </c>
      <c r="I34" s="10" t="n">
        <f aca="false">'Data BoP'!AA34</f>
        <v>-278.484283305519</v>
      </c>
      <c r="J34" s="10" t="n">
        <f aca="false">'Data BoP'!AB34</f>
        <v>-74.8981976838012</v>
      </c>
      <c r="K34" s="10" t="n">
        <f aca="false">'Data BoP'!AC34</f>
        <v>44.5450028434458</v>
      </c>
      <c r="L34" s="10" t="n">
        <f aca="false">'Data BoP'!AD34</f>
        <v>79.6541373840613</v>
      </c>
      <c r="M34" s="10" t="n">
        <f aca="false">'Data BoP'!AE34</f>
        <v>168.476951081102</v>
      </c>
      <c r="N34" s="10" t="n">
        <f aca="false">'Data BoP'!AF34</f>
        <v>-12.2392769807118</v>
      </c>
      <c r="O34" s="10" t="n">
        <f aca="false">'Data BoP'!AG34</f>
        <v>148.011979018129</v>
      </c>
      <c r="P34" s="10" t="n">
        <f aca="false">'Data BoP'!AH34</f>
        <v>517.683648915312</v>
      </c>
      <c r="Q34" s="10" t="n">
        <f aca="false">'Data BoP'!AL34</f>
        <v>369.671669897183</v>
      </c>
      <c r="R34" s="15" t="n">
        <f aca="false">'Data BoP'!AJ34</f>
        <v>-2583.43</v>
      </c>
      <c r="S34" s="10" t="n">
        <f aca="false">'Data BoP'!AK34</f>
        <v>-782.824536754432</v>
      </c>
      <c r="U34" s="14" t="str">
        <f aca="false">'Data BoP'!B34</f>
        <v>2013-Q1</v>
      </c>
      <c r="V34" s="15" t="n">
        <f aca="false">('Data BoP'!U31)+('Data BoP'!U32)+('Data BoP'!U33)+('Data BoP'!U34)</f>
        <v>-5450.98210563138</v>
      </c>
      <c r="W34" s="10" t="n">
        <f aca="false">('Data BoP'!V31)+('Data BoP'!V32)+('Data BoP'!V33)+('Data BoP'!V34)</f>
        <v>-12056.967212893</v>
      </c>
      <c r="X34" s="10" t="n">
        <f aca="false">('Data BoP'!W31)+('Data BoP'!W32)+('Data BoP'!W33)+('Data BoP'!W34)</f>
        <v>782.457070284071</v>
      </c>
      <c r="Y34" s="10" t="n">
        <f aca="false">('Data BoP'!X31)+('Data BoP'!X32)+('Data BoP'!X33)+('Data BoP'!X34)</f>
        <v>0</v>
      </c>
      <c r="Z34" s="10" t="n">
        <f aca="false">('Data BoP'!Y31)+('Data BoP'!Y32)+('Data BoP'!Y33)+('Data BoP'!Y34)</f>
        <v>11891.9161372075</v>
      </c>
      <c r="AA34" s="10" t="n">
        <f aca="false">('Data BoP'!Z31)+('Data BoP'!Z32)+('Data BoP'!Z33)+('Data BoP'!Z34)</f>
        <v>947.508145969514</v>
      </c>
      <c r="AB34" s="10" t="n">
        <f aca="false">('Data BoP'!AA31)+('Data BoP'!AA32)+('Data BoP'!AA33)+('Data BoP'!AA34)</f>
        <v>1777.64783488979</v>
      </c>
      <c r="AC34" s="10" t="n">
        <f aca="false">('Data BoP'!AB31)+('Data BoP'!AB32)+('Data BoP'!AB33)+('Data BoP'!AB34)</f>
        <v>433.101802316199</v>
      </c>
      <c r="AD34" s="10" t="n">
        <f aca="false">('Data BoP'!AC31)+('Data BoP'!AC32)+('Data BoP'!AC33)+('Data BoP'!AC34)</f>
        <v>183.779136255833</v>
      </c>
      <c r="AE34" s="10" t="n">
        <f aca="false">('Data BoP'!AD31)+('Data BoP'!AD32)+('Data BoP'!AD33)+('Data BoP'!AD34)</f>
        <v>-26.03814018272</v>
      </c>
      <c r="AF34" s="10" t="n">
        <f aca="false">('Data BoP'!AE31)+('Data BoP'!AE32)+('Data BoP'!AE33)+('Data BoP'!AE34)</f>
        <v>-1134.72875613503</v>
      </c>
      <c r="AG34" s="10" t="n">
        <f aca="false">('Data BoP'!AF31)+('Data BoP'!AF32)+('Data BoP'!AF33)+('Data BoP'!AF34)</f>
        <v>2886.8911890498</v>
      </c>
      <c r="AH34" s="10" t="n">
        <f aca="false">('Data BoP'!AG31)+('Data BoP'!AG32)+('Data BoP'!AG33)+('Data BoP'!AG34)</f>
        <v>8499.39608332201</v>
      </c>
      <c r="AI34" s="10" t="n">
        <f aca="false">('Data BoP'!AH31)+('Data BoP'!AH32)+('Data BoP'!AH33)+('Data BoP'!AH34)</f>
        <v>7192.52233975825</v>
      </c>
      <c r="AJ34" s="10" t="n">
        <f aca="false">('Data BoP'!AL31)+('Data BoP'!AL32)+('Data BoP'!AL33)+('Data BoP'!AL34)</f>
        <v>-1306.87374356375</v>
      </c>
      <c r="AK34" s="15" t="n">
        <f aca="false">('Data BoP'!AJ31)+('Data BoP'!AJ32)+('Data BoP'!AJ33)+('Data BoP'!AJ34)</f>
        <v>-6557.95</v>
      </c>
      <c r="AL34" s="10" t="n">
        <f aca="false">('Data BoP'!AK31)+('Data BoP'!AK32)+('Data BoP'!AK33)+('Data BoP'!AK34)</f>
        <v>-1257.63474325321</v>
      </c>
    </row>
    <row r="35" customFormat="false" ht="15" hidden="false" customHeight="false" outlineLevel="0" collapsed="false">
      <c r="B35" s="14" t="str">
        <f aca="false">'Data BoP'!B35</f>
        <v>2013-Q2</v>
      </c>
      <c r="C35" s="15" t="n">
        <f aca="false">'Data BoP'!U35</f>
        <v>-734.449881623045</v>
      </c>
      <c r="D35" s="10" t="n">
        <f aca="false">'Data BoP'!V35</f>
        <v>-2920.37691265045</v>
      </c>
      <c r="E35" s="10" t="n">
        <f aca="false">'Data BoP'!W35</f>
        <v>331.122578539515</v>
      </c>
      <c r="F35" s="10" t="n">
        <f aca="false">'Data BoP'!X35</f>
        <v>0</v>
      </c>
      <c r="G35" s="10" t="n">
        <f aca="false">'Data BoP'!Y35</f>
        <v>2925.49949118996</v>
      </c>
      <c r="H35" s="10" t="n">
        <f aca="false">'Data BoP'!Z35</f>
        <v>326</v>
      </c>
      <c r="I35" s="10" t="n">
        <f aca="false">'Data BoP'!AA35</f>
        <v>945.257380361018</v>
      </c>
      <c r="J35" s="10" t="n">
        <f aca="false">'Data BoP'!AB35</f>
        <v>351.584660123035</v>
      </c>
      <c r="K35" s="10" t="n">
        <f aca="false">'Data BoP'!AC35</f>
        <v>52.7790270669611</v>
      </c>
      <c r="L35" s="10" t="n">
        <f aca="false">'Data BoP'!AD35</f>
        <v>27.3084344325477</v>
      </c>
      <c r="M35" s="10" t="n">
        <f aca="false">'Data BoP'!AE35</f>
        <v>-568.20212760357</v>
      </c>
      <c r="N35" s="10" t="n">
        <f aca="false">'Data BoP'!AF35</f>
        <v>-14.421741732564</v>
      </c>
      <c r="O35" s="10" t="n">
        <f aca="false">'Data BoP'!AG35</f>
        <v>3965.78139239895</v>
      </c>
      <c r="P35" s="10" t="n">
        <f aca="false">'Data BoP'!AH35</f>
        <v>3076.34836730333</v>
      </c>
      <c r="Q35" s="10" t="n">
        <f aca="false">'Data BoP'!AL35</f>
        <v>-889.433025095616</v>
      </c>
      <c r="R35" s="15" t="n">
        <f aca="false">'Data BoP'!AJ35</f>
        <v>-2710.69</v>
      </c>
      <c r="S35" s="10" t="n">
        <f aca="false">'Data BoP'!AK35</f>
        <v>-408.972040893104</v>
      </c>
      <c r="U35" s="14" t="str">
        <f aca="false">'Data BoP'!B35</f>
        <v>2013-Q2</v>
      </c>
      <c r="V35" s="15" t="n">
        <f aca="false">('Data BoP'!U32)+('Data BoP'!U33)+('Data BoP'!U34)+('Data BoP'!U35)</f>
        <v>-6444.30583977067</v>
      </c>
      <c r="W35" s="10" t="n">
        <f aca="false">('Data BoP'!V32)+('Data BoP'!V33)+('Data BoP'!V34)+('Data BoP'!V35)</f>
        <v>-11365.3963563476</v>
      </c>
      <c r="X35" s="10" t="n">
        <f aca="false">('Data BoP'!W32)+('Data BoP'!W33)+('Data BoP'!W34)+('Data BoP'!W35)</f>
        <v>883.623685237307</v>
      </c>
      <c r="Y35" s="10" t="n">
        <f aca="false">('Data BoP'!X32)+('Data BoP'!X33)+('Data BoP'!X34)+('Data BoP'!X35)</f>
        <v>0</v>
      </c>
      <c r="Z35" s="10" t="n">
        <f aca="false">('Data BoP'!Y32)+('Data BoP'!Y33)+('Data BoP'!Y34)+('Data BoP'!Y35)</f>
        <v>12083.4248543519</v>
      </c>
      <c r="AA35" s="10" t="n">
        <f aca="false">('Data BoP'!Z32)+('Data BoP'!Z33)+('Data BoP'!Z34)+('Data BoP'!Z35)</f>
        <v>165.595187232947</v>
      </c>
      <c r="AB35" s="10" t="n">
        <f aca="false">('Data BoP'!AA32)+('Data BoP'!AA33)+('Data BoP'!AA34)+('Data BoP'!AA35)</f>
        <v>2297.19463265966</v>
      </c>
      <c r="AC35" s="10" t="n">
        <f aca="false">('Data BoP'!AB32)+('Data BoP'!AB33)+('Data BoP'!AB34)+('Data BoP'!AB35)</f>
        <v>514.686462439234</v>
      </c>
      <c r="AD35" s="10" t="n">
        <f aca="false">('Data BoP'!AC32)+('Data BoP'!AC33)+('Data BoP'!AC34)+('Data BoP'!AC35)</f>
        <v>64.9660357833987</v>
      </c>
      <c r="AE35" s="10" t="n">
        <f aca="false">('Data BoP'!AD32)+('Data BoP'!AD33)+('Data BoP'!AD34)+('Data BoP'!AD35)</f>
        <v>12.3919862812763</v>
      </c>
      <c r="AF35" s="10" t="n">
        <f aca="false">('Data BoP'!AE32)+('Data BoP'!AE33)+('Data BoP'!AE34)+('Data BoP'!AE35)</f>
        <v>-1729.9341207183</v>
      </c>
      <c r="AG35" s="10" t="n">
        <f aca="false">('Data BoP'!AF32)+('Data BoP'!AF33)+('Data BoP'!AF34)+('Data BoP'!AF35)</f>
        <v>2871.88144731723</v>
      </c>
      <c r="AH35" s="10" t="n">
        <f aca="false">('Data BoP'!AG32)+('Data BoP'!AG33)+('Data BoP'!AG34)+('Data BoP'!AG35)</f>
        <v>8321.82443660001</v>
      </c>
      <c r="AI35" s="10" t="n">
        <f aca="false">('Data BoP'!AH32)+('Data BoP'!AH33)+('Data BoP'!AH34)+('Data BoP'!AH35)</f>
        <v>5588.44660147018</v>
      </c>
      <c r="AJ35" s="10" t="n">
        <f aca="false">('Data BoP'!AL32)+('Data BoP'!AL33)+('Data BoP'!AL34)+('Data BoP'!AL35)</f>
        <v>-2733.37783512983</v>
      </c>
      <c r="AK35" s="15" t="n">
        <f aca="false">('Data BoP'!AJ32)+('Data BoP'!AJ33)+('Data BoP'!AJ34)+('Data BoP'!AJ35)</f>
        <v>-8569.81</v>
      </c>
      <c r="AL35" s="10" t="n">
        <f aca="false">('Data BoP'!AK32)+('Data BoP'!AK33)+('Data BoP'!AK34)+('Data BoP'!AK35)</f>
        <v>-1404.38196395792</v>
      </c>
    </row>
    <row r="36" customFormat="false" ht="15" hidden="false" customHeight="false" outlineLevel="0" collapsed="false">
      <c r="B36" s="14" t="str">
        <f aca="false">'Data BoP'!B36</f>
        <v>2013-Q3</v>
      </c>
      <c r="C36" s="15" t="n">
        <f aca="false">'Data BoP'!U36</f>
        <v>-4238.57888607523</v>
      </c>
      <c r="D36" s="10" t="n">
        <f aca="false">'Data BoP'!V36</f>
        <v>-2512.58124788678</v>
      </c>
      <c r="E36" s="10" t="n">
        <f aca="false">'Data BoP'!W36</f>
        <v>319.563987768996</v>
      </c>
      <c r="F36" s="10" t="n">
        <f aca="false">'Data BoP'!X36</f>
        <v>0</v>
      </c>
      <c r="G36" s="10" t="n">
        <f aca="false">'Data BoP'!Y36</f>
        <v>2533.14523565578</v>
      </c>
      <c r="H36" s="10" t="n">
        <f aca="false">'Data BoP'!Z36</f>
        <v>299</v>
      </c>
      <c r="I36" s="10" t="n">
        <f aca="false">'Data BoP'!AA36</f>
        <v>189.688974942494</v>
      </c>
      <c r="J36" s="10" t="n">
        <f aca="false">'Data BoP'!AB36</f>
        <v>-223.942185074033</v>
      </c>
      <c r="K36" s="10" t="n">
        <f aca="false">'Data BoP'!AC36</f>
        <v>155.900703012464</v>
      </c>
      <c r="L36" s="10" t="n">
        <f aca="false">'Data BoP'!AD36</f>
        <v>-4.22954544216412</v>
      </c>
      <c r="M36" s="10" t="n">
        <f aca="false">'Data BoP'!AE36</f>
        <v>-253.500911561899</v>
      </c>
      <c r="N36" s="10" t="n">
        <f aca="false">'Data BoP'!AF36</f>
        <v>1.57355806904797</v>
      </c>
      <c r="O36" s="10" t="n">
        <f aca="false">'Data BoP'!AG36</f>
        <v>667.639828800013</v>
      </c>
      <c r="P36" s="10" t="n">
        <f aca="false">'Data BoP'!AH36</f>
        <v>607.775717905944</v>
      </c>
      <c r="Q36" s="10" t="n">
        <f aca="false">'Data BoP'!AL36</f>
        <v>-59.8641108940691</v>
      </c>
      <c r="R36" s="15" t="n">
        <f aca="false">'Data BoP'!AJ36</f>
        <v>-2584.9</v>
      </c>
      <c r="S36" s="10" t="n">
        <f aca="false">'Data BoP'!AK36</f>
        <v>-1249.11955666772</v>
      </c>
      <c r="U36" s="14" t="str">
        <f aca="false">'Data BoP'!B36</f>
        <v>2013-Q3</v>
      </c>
      <c r="V36" s="15" t="n">
        <f aca="false">('Data BoP'!U33)+('Data BoP'!U34)+('Data BoP'!U35)+('Data BoP'!U36)</f>
        <v>-10163.4392496892</v>
      </c>
      <c r="W36" s="10" t="n">
        <f aca="false">('Data BoP'!V33)+('Data BoP'!V34)+('Data BoP'!V35)+('Data BoP'!V36)</f>
        <v>-10771.8580423229</v>
      </c>
      <c r="X36" s="10" t="n">
        <f aca="false">('Data BoP'!W33)+('Data BoP'!W34)+('Data BoP'!W35)+('Data BoP'!W36)</f>
        <v>1147.85821598127</v>
      </c>
      <c r="Y36" s="10" t="n">
        <f aca="false">('Data BoP'!X33)+('Data BoP'!X34)+('Data BoP'!X35)+('Data BoP'!X36)</f>
        <v>0</v>
      </c>
      <c r="Z36" s="10" t="n">
        <f aca="false">('Data BoP'!Y33)+('Data BoP'!Y34)+('Data BoP'!Y35)+('Data BoP'!Y36)</f>
        <v>11748.2585154381</v>
      </c>
      <c r="AA36" s="10" t="n">
        <f aca="false">('Data BoP'!Z33)+('Data BoP'!Z34)+('Data BoP'!Z35)+('Data BoP'!Z36)</f>
        <v>171.457742866008</v>
      </c>
      <c r="AB36" s="10" t="n">
        <f aca="false">('Data BoP'!AA33)+('Data BoP'!AA34)+('Data BoP'!AA35)+('Data BoP'!AA36)</f>
        <v>1085.52255758106</v>
      </c>
      <c r="AC36" s="10" t="n">
        <f aca="false">('Data BoP'!AB33)+('Data BoP'!AB34)+('Data BoP'!AB35)+('Data BoP'!AB36)</f>
        <v>395.744277365201</v>
      </c>
      <c r="AD36" s="10" t="n">
        <f aca="false">('Data BoP'!AC33)+('Data BoP'!AC34)+('Data BoP'!AC35)+('Data BoP'!AC36)</f>
        <v>284.935672408847</v>
      </c>
      <c r="AE36" s="10" t="n">
        <f aca="false">('Data BoP'!AD33)+('Data BoP'!AD34)+('Data BoP'!AD35)+('Data BoP'!AD36)</f>
        <v>124.143838545744</v>
      </c>
      <c r="AF36" s="10" t="n">
        <f aca="false">('Data BoP'!AE33)+('Data BoP'!AE34)+('Data BoP'!AE35)+('Data BoP'!AE36)</f>
        <v>-528.986446352755</v>
      </c>
      <c r="AG36" s="10" t="n">
        <f aca="false">('Data BoP'!AF33)+('Data BoP'!AF34)+('Data BoP'!AF35)+('Data BoP'!AF36)</f>
        <v>2847.42700538628</v>
      </c>
      <c r="AH36" s="10" t="n">
        <f aca="false">('Data BoP'!AG33)+('Data BoP'!AG34)+('Data BoP'!AG35)+('Data BoP'!AG36)</f>
        <v>6103.68922966633</v>
      </c>
      <c r="AI36" s="10" t="n">
        <f aca="false">('Data BoP'!AH33)+('Data BoP'!AH34)+('Data BoP'!AH35)+('Data BoP'!AH36)</f>
        <v>3820.66306529518</v>
      </c>
      <c r="AJ36" s="10" t="n">
        <f aca="false">('Data BoP'!AL33)+('Data BoP'!AL34)+('Data BoP'!AL35)+('Data BoP'!AL36)</f>
        <v>-2283.02616437115</v>
      </c>
      <c r="AK36" s="15" t="n">
        <f aca="false">('Data BoP'!AJ33)+('Data BoP'!AJ34)+('Data BoP'!AJ35)+('Data BoP'!AJ36)</f>
        <v>-9428.22</v>
      </c>
      <c r="AL36" s="10" t="n">
        <f aca="false">('Data BoP'!AK33)+('Data BoP'!AK34)+('Data BoP'!AK35)+('Data BoP'!AK36)</f>
        <v>-2039.20362775592</v>
      </c>
    </row>
    <row r="37" customFormat="false" ht="15" hidden="false" customHeight="false" outlineLevel="0" collapsed="false">
      <c r="B37" s="14" t="str">
        <f aca="false">'Data BoP'!B37</f>
        <v>2013-Q4</v>
      </c>
      <c r="C37" s="15" t="n">
        <f aca="false">'Data BoP'!U37</f>
        <v>-6524.23275755968</v>
      </c>
      <c r="D37" s="10" t="n">
        <f aca="false">'Data BoP'!V37</f>
        <v>-1557.23745416722</v>
      </c>
      <c r="E37" s="10" t="n">
        <f aca="false">'Data BoP'!W37</f>
        <v>-4.32119980916261</v>
      </c>
      <c r="F37" s="10" t="n">
        <f aca="false">'Data BoP'!X37</f>
        <v>0</v>
      </c>
      <c r="G37" s="10" t="n">
        <f aca="false">'Data BoP'!Y37</f>
        <v>1951.91625435806</v>
      </c>
      <c r="H37" s="10" t="n">
        <f aca="false">'Data BoP'!Z37</f>
        <v>-399</v>
      </c>
      <c r="I37" s="10" t="n">
        <f aca="false">'Data BoP'!AA37</f>
        <v>-1289.04799229205</v>
      </c>
      <c r="J37" s="10" t="n">
        <f aca="false">'Data BoP'!AB37</f>
        <v>63.7379545466206</v>
      </c>
      <c r="K37" s="10" t="n">
        <f aca="false">'Data BoP'!AC37</f>
        <v>126.851872458284</v>
      </c>
      <c r="L37" s="10" t="n">
        <f aca="false">'Data BoP'!AD37</f>
        <v>239.144758016801</v>
      </c>
      <c r="M37" s="10" t="n">
        <f aca="false">'Data BoP'!AE37</f>
        <v>1240.49306128016</v>
      </c>
      <c r="N37" s="10" t="n">
        <f aca="false">'Data BoP'!AF37</f>
        <v>-7.28921089979385</v>
      </c>
      <c r="O37" s="10" t="n">
        <f aca="false">'Data BoP'!AG37</f>
        <v>274.081899799387</v>
      </c>
      <c r="P37" s="10" t="n">
        <f aca="false">'Data BoP'!AH37</f>
        <v>-309.156497121863</v>
      </c>
      <c r="Q37" s="10" t="n">
        <f aca="false">'Data BoP'!AL37</f>
        <v>-583.23839692125</v>
      </c>
      <c r="R37" s="15" t="n">
        <f aca="false">'Data BoP'!AJ37</f>
        <v>-3944.74</v>
      </c>
      <c r="S37" s="10" t="n">
        <f aca="false">'Data BoP'!AK37</f>
        <v>-633.019444793153</v>
      </c>
      <c r="U37" s="14" t="str">
        <f aca="false">'Data BoP'!B37</f>
        <v>2013-Q4</v>
      </c>
      <c r="V37" s="15" t="n">
        <f aca="false">('Data BoP'!U34)+('Data BoP'!U35)+('Data BoP'!U36)+('Data BoP'!U37)</f>
        <v>-16164.8964912533</v>
      </c>
      <c r="W37" s="10" t="n">
        <f aca="false">('Data BoP'!V34)+('Data BoP'!V35)+('Data BoP'!V36)+('Data BoP'!V37)</f>
        <v>-8931.68899943165</v>
      </c>
      <c r="X37" s="10" t="n">
        <f aca="false">('Data BoP'!W34)+('Data BoP'!W35)+('Data BoP'!W36)+('Data BoP'!W37)</f>
        <v>889.972858727091</v>
      </c>
      <c r="Y37" s="10" t="n">
        <f aca="false">('Data BoP'!X34)+('Data BoP'!X35)+('Data BoP'!X36)+('Data BoP'!X37)</f>
        <v>0</v>
      </c>
      <c r="Z37" s="10" t="n">
        <f aca="false">('Data BoP'!Y34)+('Data BoP'!Y35)+('Data BoP'!Y36)+('Data BoP'!Y37)</f>
        <v>10604.6618581587</v>
      </c>
      <c r="AA37" s="10" t="n">
        <f aca="false">('Data BoP'!Z34)+('Data BoP'!Z35)+('Data BoP'!Z36)+('Data BoP'!Z37)</f>
        <v>-783</v>
      </c>
      <c r="AB37" s="10" t="n">
        <f aca="false">('Data BoP'!AA34)+('Data BoP'!AA35)+('Data BoP'!AA36)+('Data BoP'!AA37)</f>
        <v>-432.585920294059</v>
      </c>
      <c r="AC37" s="10" t="n">
        <f aca="false">('Data BoP'!AB34)+('Data BoP'!AB35)+('Data BoP'!AB36)+('Data BoP'!AB37)</f>
        <v>116.482231911822</v>
      </c>
      <c r="AD37" s="10" t="n">
        <f aca="false">('Data BoP'!AC34)+('Data BoP'!AC35)+('Data BoP'!AC36)+('Data BoP'!AC37)</f>
        <v>380.076605381154</v>
      </c>
      <c r="AE37" s="10" t="n">
        <f aca="false">('Data BoP'!AD34)+('Data BoP'!AD35)+('Data BoP'!AD36)+('Data BoP'!AD37)</f>
        <v>341.877784391246</v>
      </c>
      <c r="AF37" s="10" t="n">
        <f aca="false">('Data BoP'!AE34)+('Data BoP'!AE35)+('Data BoP'!AE36)+('Data BoP'!AE37)</f>
        <v>587.266973195789</v>
      </c>
      <c r="AG37" s="10" t="n">
        <f aca="false">('Data BoP'!AF34)+('Data BoP'!AF35)+('Data BoP'!AF36)+('Data BoP'!AF37)</f>
        <v>-32.3766715440217</v>
      </c>
      <c r="AH37" s="10" t="n">
        <f aca="false">('Data BoP'!AG34)+('Data BoP'!AG35)+('Data BoP'!AG36)+('Data BoP'!AG37)</f>
        <v>5055.51510001648</v>
      </c>
      <c r="AI37" s="10" t="n">
        <f aca="false">('Data BoP'!AH34)+('Data BoP'!AH35)+('Data BoP'!AH36)+('Data BoP'!AH37)</f>
        <v>3892.65123700272</v>
      </c>
      <c r="AJ37" s="10" t="n">
        <f aca="false">('Data BoP'!AL34)+('Data BoP'!AL35)+('Data BoP'!AL36)+('Data BoP'!AL37)</f>
        <v>-1162.86386301375</v>
      </c>
      <c r="AK37" s="15" t="n">
        <f aca="false">('Data BoP'!AJ34)+('Data BoP'!AJ35)+('Data BoP'!AJ36)+('Data BoP'!AJ37)</f>
        <v>-11823.76</v>
      </c>
      <c r="AL37" s="10" t="n">
        <f aca="false">('Data BoP'!AK34)+('Data BoP'!AK35)+('Data BoP'!AK36)+('Data BoP'!AK37)</f>
        <v>-3073.9355791084</v>
      </c>
    </row>
    <row r="38" customFormat="false" ht="15" hidden="false" customHeight="false" outlineLevel="0" collapsed="false">
      <c r="B38" s="14" t="str">
        <f aca="false">'Data BoP'!B38</f>
        <v>2014-Q1</v>
      </c>
      <c r="C38" s="15" t="n">
        <f aca="false">'Data BoP'!U38</f>
        <v>-4502.53711201044</v>
      </c>
      <c r="D38" s="10" t="n">
        <f aca="false">'Data BoP'!V38</f>
        <v>-38.7459372884639</v>
      </c>
      <c r="E38" s="10" t="n">
        <f aca="false">'Data BoP'!W38</f>
        <v>1089.75869050748</v>
      </c>
      <c r="F38" s="10" t="n">
        <f aca="false">'Data BoP'!X38</f>
        <v>0</v>
      </c>
      <c r="G38" s="10" t="n">
        <f aca="false">'Data BoP'!Y38</f>
        <v>1698.16720899337</v>
      </c>
      <c r="H38" s="10" t="n">
        <f aca="false">'Data BoP'!Z38</f>
        <v>-569.662581197432</v>
      </c>
      <c r="I38" s="10" t="n">
        <f aca="false">'Data BoP'!AA38</f>
        <v>-1163.7647699843</v>
      </c>
      <c r="J38" s="10" t="n">
        <f aca="false">'Data BoP'!AB38</f>
        <v>15.2018261567797</v>
      </c>
      <c r="K38" s="10" t="n">
        <f aca="false">'Data BoP'!AC38</f>
        <v>-1.90622233894716</v>
      </c>
      <c r="L38" s="10" t="n">
        <f aca="false">'Data BoP'!AD38</f>
        <v>14.6869319932968</v>
      </c>
      <c r="M38" s="10" t="n">
        <f aca="false">'Data BoP'!AE38</f>
        <v>1162.37344180884</v>
      </c>
      <c r="N38" s="10" t="n">
        <f aca="false">'Data BoP'!AF38</f>
        <v>35.7638988731597</v>
      </c>
      <c r="O38" s="10" t="n">
        <f aca="false">'Data BoP'!AG38</f>
        <v>397.329696389172</v>
      </c>
      <c r="P38" s="10" t="n">
        <f aca="false">'Data BoP'!AH38</f>
        <v>-85.6403466292732</v>
      </c>
      <c r="Q38" s="10" t="n">
        <f aca="false">'Data BoP'!AL38</f>
        <v>-482.970043018445</v>
      </c>
      <c r="R38" s="15" t="n">
        <f aca="false">'Data BoP'!AJ38</f>
        <v>-3733.12</v>
      </c>
      <c r="S38" s="10" t="n">
        <f aca="false">'Data BoP'!AK38</f>
        <v>1543.28952970689</v>
      </c>
      <c r="U38" s="14" t="str">
        <f aca="false">'Data BoP'!B38</f>
        <v>2014-Q1</v>
      </c>
      <c r="V38" s="15" t="n">
        <f aca="false">('Data BoP'!U35)+('Data BoP'!U36)+('Data BoP'!U37)+('Data BoP'!U38)</f>
        <v>-15999.7986372684</v>
      </c>
      <c r="W38" s="10" t="n">
        <f aca="false">('Data BoP'!V35)+('Data BoP'!V36)+('Data BoP'!V37)+('Data BoP'!V38)</f>
        <v>-7028.94155199292</v>
      </c>
      <c r="X38" s="10" t="n">
        <f aca="false">('Data BoP'!W35)+('Data BoP'!W36)+('Data BoP'!W37)+('Data BoP'!W38)</f>
        <v>1736.12405700682</v>
      </c>
      <c r="Y38" s="10" t="n">
        <f aca="false">('Data BoP'!X35)+('Data BoP'!X36)+('Data BoP'!X37)+('Data BoP'!X38)</f>
        <v>0</v>
      </c>
      <c r="Z38" s="10" t="n">
        <f aca="false">('Data BoP'!Y35)+('Data BoP'!Y36)+('Data BoP'!Y37)+('Data BoP'!Y38)</f>
        <v>9108.72819019717</v>
      </c>
      <c r="AA38" s="10" t="n">
        <f aca="false">('Data BoP'!Z35)+('Data BoP'!Z36)+('Data BoP'!Z37)+('Data BoP'!Z38)</f>
        <v>-343.662581197432</v>
      </c>
      <c r="AB38" s="10" t="n">
        <f aca="false">('Data BoP'!AA35)+('Data BoP'!AA36)+('Data BoP'!AA37)+('Data BoP'!AA38)</f>
        <v>-1317.86640697284</v>
      </c>
      <c r="AC38" s="10" t="n">
        <f aca="false">('Data BoP'!AB35)+('Data BoP'!AB36)+('Data BoP'!AB37)+('Data BoP'!AB38)</f>
        <v>206.582255752403</v>
      </c>
      <c r="AD38" s="10" t="n">
        <f aca="false">('Data BoP'!AC35)+('Data BoP'!AC36)+('Data BoP'!AC37)+('Data BoP'!AC38)</f>
        <v>333.625380198761</v>
      </c>
      <c r="AE38" s="10" t="n">
        <f aca="false">('Data BoP'!AD35)+('Data BoP'!AD36)+('Data BoP'!AD37)+('Data BoP'!AD38)</f>
        <v>276.910579000482</v>
      </c>
      <c r="AF38" s="10" t="n">
        <f aca="false">('Data BoP'!AE35)+('Data BoP'!AE36)+('Data BoP'!AE37)+('Data BoP'!AE38)</f>
        <v>1581.16346392352</v>
      </c>
      <c r="AG38" s="10" t="n">
        <f aca="false">('Data BoP'!AF35)+('Data BoP'!AF36)+('Data BoP'!AF37)+('Data BoP'!AF38)</f>
        <v>15.6265043098499</v>
      </c>
      <c r="AH38" s="10" t="n">
        <f aca="false">('Data BoP'!AG35)+('Data BoP'!AG36)+('Data BoP'!AG37)+('Data BoP'!AG38)</f>
        <v>5304.83281738752</v>
      </c>
      <c r="AI38" s="10" t="n">
        <f aca="false">('Data BoP'!AH35)+('Data BoP'!AH36)+('Data BoP'!AH37)+('Data BoP'!AH38)</f>
        <v>3289.32724145814</v>
      </c>
      <c r="AJ38" s="10" t="n">
        <f aca="false">('Data BoP'!AL35)+('Data BoP'!AL36)+('Data BoP'!AL37)+('Data BoP'!AL38)</f>
        <v>-2015.50557592938</v>
      </c>
      <c r="AK38" s="15" t="n">
        <f aca="false">('Data BoP'!AJ35)+('Data BoP'!AJ36)+('Data BoP'!AJ37)+('Data BoP'!AJ38)</f>
        <v>-12973.45</v>
      </c>
      <c r="AL38" s="10" t="n">
        <f aca="false">('Data BoP'!AK35)+('Data BoP'!AK36)+('Data BoP'!AK37)+('Data BoP'!AK38)</f>
        <v>-747.821512647081</v>
      </c>
    </row>
    <row r="39" customFormat="false" ht="15" hidden="false" customHeight="false" outlineLevel="0" collapsed="false">
      <c r="B39" s="14" t="str">
        <f aca="false">'Data BoP'!B39</f>
        <v>2014-Q2</v>
      </c>
      <c r="C39" s="15" t="n">
        <f aca="false">'Data BoP'!U39</f>
        <v>431.613396444709</v>
      </c>
      <c r="D39" s="10" t="n">
        <f aca="false">'Data BoP'!V39</f>
        <v>1743.90446940769</v>
      </c>
      <c r="E39" s="10" t="n">
        <f aca="false">'Data BoP'!W39</f>
        <v>247.042146292308</v>
      </c>
      <c r="F39" s="10" t="n">
        <f aca="false">'Data BoP'!X39</f>
        <v>0</v>
      </c>
      <c r="G39" s="10" t="n">
        <f aca="false">'Data BoP'!Y39</f>
        <v>-477.0832027904</v>
      </c>
      <c r="H39" s="10" t="n">
        <f aca="false">'Data BoP'!Z39</f>
        <v>-1019.77912032498</v>
      </c>
      <c r="I39" s="10" t="n">
        <f aca="false">'Data BoP'!AA39</f>
        <v>4127.19346667318</v>
      </c>
      <c r="J39" s="10" t="n">
        <f aca="false">'Data BoP'!AB39</f>
        <v>11.2707803018997</v>
      </c>
      <c r="K39" s="10" t="n">
        <f aca="false">'Data BoP'!AC39</f>
        <v>-1.93902309225297</v>
      </c>
      <c r="L39" s="10" t="n">
        <f aca="false">'Data BoP'!AD39</f>
        <v>231.275172573391</v>
      </c>
      <c r="M39" s="10" t="n">
        <f aca="false">'Data BoP'!AE39</f>
        <v>-4349.13688203693</v>
      </c>
      <c r="N39" s="10" t="n">
        <f aca="false">'Data BoP'!AF39</f>
        <v>-163.084905371758</v>
      </c>
      <c r="O39" s="10" t="n">
        <f aca="false">'Data BoP'!AG39</f>
        <v>-7460.4096342644</v>
      </c>
      <c r="P39" s="10" t="n">
        <f aca="false">'Data BoP'!AH39</f>
        <v>2783.84155172767</v>
      </c>
      <c r="Q39" s="10" t="n">
        <f aca="false">'Data BoP'!AL39</f>
        <v>10244.2511859921</v>
      </c>
      <c r="R39" s="15" t="n">
        <f aca="false">'Data BoP'!AJ39</f>
        <v>2184.01</v>
      </c>
      <c r="S39" s="10" t="n">
        <f aca="false">'Data BoP'!AK39</f>
        <v>-230.739436705542</v>
      </c>
      <c r="U39" s="14" t="str">
        <f aca="false">'Data BoP'!B39</f>
        <v>2014-Q2</v>
      </c>
      <c r="V39" s="15" t="n">
        <f aca="false">('Data BoP'!U36)+('Data BoP'!U37)+('Data BoP'!U38)+('Data BoP'!U39)</f>
        <v>-14833.7353592006</v>
      </c>
      <c r="W39" s="10" t="n">
        <f aca="false">('Data BoP'!V36)+('Data BoP'!V37)+('Data BoP'!V38)+('Data BoP'!V39)</f>
        <v>-2364.66016993478</v>
      </c>
      <c r="X39" s="10" t="n">
        <f aca="false">('Data BoP'!W36)+('Data BoP'!W37)+('Data BoP'!W38)+('Data BoP'!W39)</f>
        <v>1652.04362475962</v>
      </c>
      <c r="Y39" s="10" t="n">
        <f aca="false">('Data BoP'!X36)+('Data BoP'!X37)+('Data BoP'!X38)+('Data BoP'!X39)</f>
        <v>0</v>
      </c>
      <c r="Z39" s="10" t="n">
        <f aca="false">('Data BoP'!Y36)+('Data BoP'!Y37)+('Data BoP'!Y38)+('Data BoP'!Y39)</f>
        <v>5706.14549621681</v>
      </c>
      <c r="AA39" s="10" t="n">
        <f aca="false">('Data BoP'!Z36)+('Data BoP'!Z37)+('Data BoP'!Z38)+('Data BoP'!Z39)</f>
        <v>-1689.44170152241</v>
      </c>
      <c r="AB39" s="10" t="n">
        <f aca="false">('Data BoP'!AA36)+('Data BoP'!AA37)+('Data BoP'!AA38)+('Data BoP'!AA39)</f>
        <v>1864.06967933932</v>
      </c>
      <c r="AC39" s="10" t="n">
        <f aca="false">('Data BoP'!AB36)+('Data BoP'!AB37)+('Data BoP'!AB38)+('Data BoP'!AB39)</f>
        <v>-133.731624068733</v>
      </c>
      <c r="AD39" s="10" t="n">
        <f aca="false">('Data BoP'!AC36)+('Data BoP'!AC37)+('Data BoP'!AC38)+('Data BoP'!AC39)</f>
        <v>278.907330039547</v>
      </c>
      <c r="AE39" s="10" t="n">
        <f aca="false">('Data BoP'!AD36)+('Data BoP'!AD37)+('Data BoP'!AD38)+('Data BoP'!AD39)</f>
        <v>480.877317141325</v>
      </c>
      <c r="AF39" s="10" t="n">
        <f aca="false">('Data BoP'!AE36)+('Data BoP'!AE37)+('Data BoP'!AE38)+('Data BoP'!AE39)</f>
        <v>-2199.77129050983</v>
      </c>
      <c r="AG39" s="10" t="n">
        <f aca="false">('Data BoP'!AF36)+('Data BoP'!AF37)+('Data BoP'!AF38)+('Data BoP'!AF39)</f>
        <v>-133.036659329344</v>
      </c>
      <c r="AH39" s="10" t="n">
        <f aca="false">('Data BoP'!AG36)+('Data BoP'!AG37)+('Data BoP'!AG38)+('Data BoP'!AG39)</f>
        <v>-6121.35820927583</v>
      </c>
      <c r="AI39" s="10" t="n">
        <f aca="false">('Data BoP'!AH36)+('Data BoP'!AH37)+('Data BoP'!AH38)+('Data BoP'!AH39)</f>
        <v>2996.82042588248</v>
      </c>
      <c r="AJ39" s="10" t="n">
        <f aca="false">('Data BoP'!AL36)+('Data BoP'!AL37)+('Data BoP'!AL38)+('Data BoP'!AL39)</f>
        <v>9118.17863515831</v>
      </c>
      <c r="AK39" s="15" t="n">
        <f aca="false">('Data BoP'!AJ36)+('Data BoP'!AJ37)+('Data BoP'!AJ38)+('Data BoP'!AJ39)</f>
        <v>-8078.75</v>
      </c>
      <c r="AL39" s="10" t="n">
        <f aca="false">('Data BoP'!AK36)+('Data BoP'!AK37)+('Data BoP'!AK38)+('Data BoP'!AK39)</f>
        <v>-569.588908459519</v>
      </c>
    </row>
    <row r="40" customFormat="false" ht="15" hidden="false" customHeight="false" outlineLevel="0" collapsed="false">
      <c r="B40" s="14" t="str">
        <f aca="false">'Data BoP'!B40</f>
        <v>2014-Q3</v>
      </c>
      <c r="C40" s="15" t="n">
        <f aca="false">'Data BoP'!U40</f>
        <v>-2166.98268372909</v>
      </c>
      <c r="D40" s="10" t="n">
        <f aca="false">'Data BoP'!V40</f>
        <v>-2054.93729499552</v>
      </c>
      <c r="E40" s="10" t="n">
        <f aca="false">'Data BoP'!W40</f>
        <v>377.719170382182</v>
      </c>
      <c r="F40" s="10" t="n">
        <f aca="false">'Data BoP'!X40</f>
        <v>0</v>
      </c>
      <c r="G40" s="10" t="n">
        <f aca="false">'Data BoP'!Y40</f>
        <v>2379.76445623432</v>
      </c>
      <c r="H40" s="10" t="n">
        <f aca="false">'Data BoP'!Z40</f>
        <v>52.8920091433827</v>
      </c>
      <c r="I40" s="10" t="n">
        <f aca="false">'Data BoP'!AA40</f>
        <v>-445.124824118168</v>
      </c>
      <c r="J40" s="10" t="n">
        <f aca="false">'Data BoP'!AB40</f>
        <v>96.8481238492679</v>
      </c>
      <c r="K40" s="10" t="n">
        <f aca="false">'Data BoP'!AC40</f>
        <v>65.1722614288321</v>
      </c>
      <c r="L40" s="10" t="n">
        <f aca="false">'Data BoP'!AD40</f>
        <v>66.2950181798717</v>
      </c>
      <c r="M40" s="10" t="n">
        <f aca="false">'Data BoP'!AE40</f>
        <v>540.850191216397</v>
      </c>
      <c r="N40" s="10" t="n">
        <f aca="false">'Data BoP'!AF40</f>
        <v>-34.4640220985426</v>
      </c>
      <c r="O40" s="10" t="n">
        <f aca="false">'Data BoP'!AG40</f>
        <v>1350.35345748314</v>
      </c>
      <c r="P40" s="10" t="n">
        <f aca="false">'Data BoP'!AH40</f>
        <v>-705.056670193947</v>
      </c>
      <c r="Q40" s="10" t="n">
        <f aca="false">'Data BoP'!AL40</f>
        <v>-2055.41012767709</v>
      </c>
      <c r="R40" s="15" t="n">
        <f aca="false">'Data BoP'!AJ40</f>
        <v>-982.809999999999</v>
      </c>
      <c r="S40" s="10" t="n">
        <f aca="false">'Data BoP'!AK40</f>
        <v>-366.85447147393</v>
      </c>
      <c r="U40" s="14" t="str">
        <f aca="false">'Data BoP'!B40</f>
        <v>2014-Q3</v>
      </c>
      <c r="V40" s="15" t="n">
        <f aca="false">('Data BoP'!U37)+('Data BoP'!U38)+('Data BoP'!U39)+('Data BoP'!U40)</f>
        <v>-12762.1391568545</v>
      </c>
      <c r="W40" s="10" t="n">
        <f aca="false">('Data BoP'!V37)+('Data BoP'!V38)+('Data BoP'!V39)+('Data BoP'!V40)</f>
        <v>-1907.01621704352</v>
      </c>
      <c r="X40" s="10" t="n">
        <f aca="false">('Data BoP'!W37)+('Data BoP'!W38)+('Data BoP'!W39)+('Data BoP'!W40)</f>
        <v>1710.1988073728</v>
      </c>
      <c r="Y40" s="10" t="n">
        <f aca="false">('Data BoP'!X37)+('Data BoP'!X38)+('Data BoP'!X39)+('Data BoP'!X40)</f>
        <v>0</v>
      </c>
      <c r="Z40" s="10" t="n">
        <f aca="false">('Data BoP'!Y37)+('Data BoP'!Y38)+('Data BoP'!Y39)+('Data BoP'!Y40)</f>
        <v>5552.76471679535</v>
      </c>
      <c r="AA40" s="10" t="n">
        <f aca="false">('Data BoP'!Z37)+('Data BoP'!Z38)+('Data BoP'!Z39)+('Data BoP'!Z40)</f>
        <v>-1935.54969237903</v>
      </c>
      <c r="AB40" s="10" t="n">
        <f aca="false">('Data BoP'!AA37)+('Data BoP'!AA38)+('Data BoP'!AA39)+('Data BoP'!AA40)</f>
        <v>1229.25588027866</v>
      </c>
      <c r="AC40" s="10" t="n">
        <f aca="false">('Data BoP'!AB37)+('Data BoP'!AB38)+('Data BoP'!AB39)+('Data BoP'!AB40)</f>
        <v>187.058684854568</v>
      </c>
      <c r="AD40" s="10" t="n">
        <f aca="false">('Data BoP'!AC37)+('Data BoP'!AC38)+('Data BoP'!AC39)+('Data BoP'!AC40)</f>
        <v>188.178888455915</v>
      </c>
      <c r="AE40" s="10" t="n">
        <f aca="false">('Data BoP'!AD37)+('Data BoP'!AD38)+('Data BoP'!AD39)+('Data BoP'!AD40)</f>
        <v>551.401880763361</v>
      </c>
      <c r="AF40" s="10" t="n">
        <f aca="false">('Data BoP'!AE37)+('Data BoP'!AE38)+('Data BoP'!AE39)+('Data BoP'!AE40)</f>
        <v>-1405.42018773154</v>
      </c>
      <c r="AG40" s="10" t="n">
        <f aca="false">('Data BoP'!AF37)+('Data BoP'!AF38)+('Data BoP'!AF39)+('Data BoP'!AF40)</f>
        <v>-169.074239496935</v>
      </c>
      <c r="AH40" s="10" t="n">
        <f aca="false">('Data BoP'!AG37)+('Data BoP'!AG38)+('Data BoP'!AG39)+('Data BoP'!AG40)</f>
        <v>-5438.6445805927</v>
      </c>
      <c r="AI40" s="10" t="n">
        <f aca="false">('Data BoP'!AH37)+('Data BoP'!AH38)+('Data BoP'!AH39)+('Data BoP'!AH40)</f>
        <v>1683.98803778259</v>
      </c>
      <c r="AJ40" s="10" t="n">
        <f aca="false">('Data BoP'!AL37)+('Data BoP'!AL38)+('Data BoP'!AL39)+('Data BoP'!AL40)</f>
        <v>7122.63261837529</v>
      </c>
      <c r="AK40" s="15" t="n">
        <f aca="false">('Data BoP'!AJ37)+('Data BoP'!AJ38)+('Data BoP'!AJ39)+('Data BoP'!AJ40)</f>
        <v>-6476.66</v>
      </c>
      <c r="AL40" s="10" t="n">
        <f aca="false">('Data BoP'!AK37)+('Data BoP'!AK38)+('Data BoP'!AK39)+('Data BoP'!AK40)</f>
        <v>312.676176734267</v>
      </c>
    </row>
    <row r="41" customFormat="false" ht="15" hidden="false" customHeight="false" outlineLevel="0" collapsed="false">
      <c r="B41" s="14" t="str">
        <f aca="false">'Data BoP'!B41</f>
        <v>2014-Q4</v>
      </c>
      <c r="C41" s="15" t="n">
        <f aca="false">'Data BoP'!U41</f>
        <v>-3082.76590532838</v>
      </c>
      <c r="D41" s="10" t="n">
        <f aca="false">'Data BoP'!V41</f>
        <v>-2795.01534598352</v>
      </c>
      <c r="E41" s="10" t="n">
        <f aca="false">'Data BoP'!W41</f>
        <v>206.021425923085</v>
      </c>
      <c r="F41" s="10" t="n">
        <f aca="false">'Data BoP'!X41</f>
        <v>0</v>
      </c>
      <c r="G41" s="10" t="n">
        <f aca="false">'Data BoP'!Y41</f>
        <v>2409.01169183061</v>
      </c>
      <c r="H41" s="10" t="n">
        <f aca="false">'Data BoP'!Z41</f>
        <v>592.025080075987</v>
      </c>
      <c r="I41" s="10" t="n">
        <f aca="false">'Data BoP'!AA41</f>
        <v>-178.873479468925</v>
      </c>
      <c r="J41" s="10" t="n">
        <f aca="false">'Data BoP'!AB41</f>
        <v>-307.998164978935</v>
      </c>
      <c r="K41" s="10" t="n">
        <f aca="false">'Data BoP'!AC41</f>
        <v>98.1382283225001</v>
      </c>
      <c r="L41" s="10" t="n">
        <f aca="false">'Data BoP'!AD41</f>
        <v>-94.3575254859095</v>
      </c>
      <c r="M41" s="10" t="n">
        <f aca="false">'Data BoP'!AE41</f>
        <v>63.3710682983998</v>
      </c>
      <c r="N41" s="10" t="n">
        <f aca="false">'Data BoP'!AF41</f>
        <v>-6.42187216505386</v>
      </c>
      <c r="O41" s="10" t="n">
        <f aca="false">'Data BoP'!AG41</f>
        <v>-3829.48520771088</v>
      </c>
      <c r="P41" s="10" t="n">
        <f aca="false">'Data BoP'!AH41</f>
        <v>-571.138704374549</v>
      </c>
      <c r="Q41" s="10" t="n">
        <f aca="false">'Data BoP'!AL41</f>
        <v>3258.34650333634</v>
      </c>
      <c r="R41" s="15" t="n">
        <f aca="false">'Data BoP'!AJ41</f>
        <v>3727.03</v>
      </c>
      <c r="S41" s="10" t="n">
        <f aca="false">'Data BoP'!AK41</f>
        <v>-1144.13876440883</v>
      </c>
      <c r="U41" s="14" t="str">
        <f aca="false">'Data BoP'!B41</f>
        <v>2014-Q4</v>
      </c>
      <c r="V41" s="15" t="n">
        <f aca="false">('Data BoP'!U38)+('Data BoP'!U39)+('Data BoP'!U40)+('Data BoP'!U41)</f>
        <v>-9320.67230462319</v>
      </c>
      <c r="W41" s="10" t="n">
        <f aca="false">('Data BoP'!V38)+('Data BoP'!V39)+('Data BoP'!V40)+('Data BoP'!V41)</f>
        <v>-3144.79410885981</v>
      </c>
      <c r="X41" s="10" t="n">
        <f aca="false">('Data BoP'!W38)+('Data BoP'!W39)+('Data BoP'!W40)+('Data BoP'!W41)</f>
        <v>1920.54143310505</v>
      </c>
      <c r="Y41" s="10" t="n">
        <f aca="false">('Data BoP'!X38)+('Data BoP'!X39)+('Data BoP'!X40)+('Data BoP'!X41)</f>
        <v>0</v>
      </c>
      <c r="Z41" s="10" t="n">
        <f aca="false">('Data BoP'!Y38)+('Data BoP'!Y39)+('Data BoP'!Y40)+('Data BoP'!Y41)</f>
        <v>6009.86015426791</v>
      </c>
      <c r="AA41" s="10" t="n">
        <f aca="false">('Data BoP'!Z38)+('Data BoP'!Z39)+('Data BoP'!Z40)+('Data BoP'!Z41)</f>
        <v>-944.524612303042</v>
      </c>
      <c r="AB41" s="10" t="n">
        <f aca="false">('Data BoP'!AA38)+('Data BoP'!AA39)+('Data BoP'!AA40)+('Data BoP'!AA41)</f>
        <v>2339.43039310179</v>
      </c>
      <c r="AC41" s="10" t="n">
        <f aca="false">('Data BoP'!AB38)+('Data BoP'!AB39)+('Data BoP'!AB40)+('Data BoP'!AB41)</f>
        <v>-184.677434670987</v>
      </c>
      <c r="AD41" s="10" t="n">
        <f aca="false">('Data BoP'!AC38)+('Data BoP'!AC39)+('Data BoP'!AC40)+('Data BoP'!AC41)</f>
        <v>159.465244320132</v>
      </c>
      <c r="AE41" s="10" t="n">
        <f aca="false">('Data BoP'!AD38)+('Data BoP'!AD39)+('Data BoP'!AD40)+('Data BoP'!AD41)</f>
        <v>217.89959726065</v>
      </c>
      <c r="AF41" s="10" t="n">
        <f aca="false">('Data BoP'!AE38)+('Data BoP'!AE39)+('Data BoP'!AE40)+('Data BoP'!AE41)</f>
        <v>-2582.54218071329</v>
      </c>
      <c r="AG41" s="10" t="n">
        <f aca="false">('Data BoP'!AF38)+('Data BoP'!AF39)+('Data BoP'!AF40)+('Data BoP'!AF41)</f>
        <v>-168.206900762195</v>
      </c>
      <c r="AH41" s="10" t="n">
        <f aca="false">('Data BoP'!AG38)+('Data BoP'!AG39)+('Data BoP'!AG40)+('Data BoP'!AG41)</f>
        <v>-9542.21168810297</v>
      </c>
      <c r="AI41" s="10" t="n">
        <f aca="false">('Data BoP'!AH38)+('Data BoP'!AH39)+('Data BoP'!AH40)+('Data BoP'!AH41)</f>
        <v>1422.0058305299</v>
      </c>
      <c r="AJ41" s="10" t="n">
        <f aca="false">('Data BoP'!AL38)+('Data BoP'!AL39)+('Data BoP'!AL40)+('Data BoP'!AL41)</f>
        <v>10964.2175186329</v>
      </c>
      <c r="AK41" s="15" t="n">
        <f aca="false">('Data BoP'!AJ38)+('Data BoP'!AJ39)+('Data BoP'!AJ40)+('Data BoP'!AJ41)</f>
        <v>1195.11</v>
      </c>
      <c r="AL41" s="10" t="n">
        <f aca="false">('Data BoP'!AK38)+('Data BoP'!AK39)+('Data BoP'!AK40)+('Data BoP'!AK41)</f>
        <v>-198.443142881411</v>
      </c>
    </row>
    <row r="42" customFormat="false" ht="15" hidden="false" customHeight="false" outlineLevel="0" collapsed="false">
      <c r="B42" s="14" t="str">
        <f aca="false">'Data BoP'!B42</f>
        <v>2015-Q1</v>
      </c>
      <c r="C42" s="15" t="n">
        <f aca="false">'Data BoP'!U42</f>
        <v>-5611.67798860758</v>
      </c>
      <c r="D42" s="10" t="n">
        <f aca="false">'Data BoP'!V42</f>
        <v>-3273.23263508599</v>
      </c>
      <c r="E42" s="10" t="n">
        <f aca="false">'Data BoP'!W42</f>
        <v>241.056638203648</v>
      </c>
      <c r="F42" s="10" t="n">
        <f aca="false">'Data BoP'!X42</f>
        <v>0</v>
      </c>
      <c r="G42" s="10" t="n">
        <f aca="false">'Data BoP'!Y42</f>
        <v>2605.91674582075</v>
      </c>
      <c r="H42" s="10" t="n">
        <f aca="false">'Data BoP'!Z42</f>
        <v>908.372527468889</v>
      </c>
      <c r="I42" s="10" t="n">
        <f aca="false">'Data BoP'!AA42</f>
        <v>-1184.69304457103</v>
      </c>
      <c r="J42" s="10" t="n">
        <f aca="false">'Data BoP'!AB42</f>
        <v>19.9839170827431</v>
      </c>
      <c r="K42" s="10" t="n">
        <f aca="false">'Data BoP'!AC42</f>
        <v>-28.7680225049035</v>
      </c>
      <c r="L42" s="10" t="n">
        <f aca="false">'Data BoP'!AD42</f>
        <v>41.6976754063964</v>
      </c>
      <c r="M42" s="10" t="n">
        <f aca="false">'Data BoP'!AE42</f>
        <v>1134.21126374247</v>
      </c>
      <c r="N42" s="10" t="n">
        <f aca="false">'Data BoP'!AF42</f>
        <v>-12.2495902152215</v>
      </c>
      <c r="O42" s="10" t="n">
        <f aca="false">'Data BoP'!AG42</f>
        <v>-1480.60271873534</v>
      </c>
      <c r="P42" s="10" t="n">
        <f aca="false">'Data BoP'!AH42</f>
        <v>1927.91295710709</v>
      </c>
      <c r="Q42" s="10" t="n">
        <f aca="false">'Data BoP'!AL42</f>
        <v>3408.51567584242</v>
      </c>
      <c r="R42" s="15" t="n">
        <f aca="false">'Data BoP'!AJ42</f>
        <v>339.1</v>
      </c>
      <c r="S42" s="10" t="n">
        <f aca="false">'Data BoP'!AK42</f>
        <v>-77.3690267497377</v>
      </c>
      <c r="U42" s="14" t="str">
        <f aca="false">'Data BoP'!B42</f>
        <v>2015-Q1</v>
      </c>
      <c r="V42" s="15" t="n">
        <f aca="false">('Data BoP'!U39)+('Data BoP'!U40)+('Data BoP'!U41)+('Data BoP'!U42)</f>
        <v>-10429.8131812203</v>
      </c>
      <c r="W42" s="10" t="n">
        <f aca="false">('Data BoP'!V39)+('Data BoP'!V40)+('Data BoP'!V41)+('Data BoP'!V42)</f>
        <v>-6379.28080665734</v>
      </c>
      <c r="X42" s="10" t="n">
        <f aca="false">('Data BoP'!W39)+('Data BoP'!W40)+('Data BoP'!W41)+('Data BoP'!W42)</f>
        <v>1071.83938080122</v>
      </c>
      <c r="Y42" s="10" t="n">
        <f aca="false">('Data BoP'!X39)+('Data BoP'!X40)+('Data BoP'!X41)+('Data BoP'!X42)</f>
        <v>0</v>
      </c>
      <c r="Z42" s="10" t="n">
        <f aca="false">('Data BoP'!Y39)+('Data BoP'!Y40)+('Data BoP'!Y41)+('Data BoP'!Y42)</f>
        <v>6917.60969109528</v>
      </c>
      <c r="AA42" s="10" t="n">
        <f aca="false">('Data BoP'!Z39)+('Data BoP'!Z40)+('Data BoP'!Z41)+('Data BoP'!Z42)</f>
        <v>533.510496363279</v>
      </c>
      <c r="AB42" s="10" t="n">
        <f aca="false">('Data BoP'!AA39)+('Data BoP'!AA40)+('Data BoP'!AA41)+('Data BoP'!AA42)</f>
        <v>2318.50211851506</v>
      </c>
      <c r="AC42" s="10" t="n">
        <f aca="false">('Data BoP'!AB39)+('Data BoP'!AB40)+('Data BoP'!AB41)+('Data BoP'!AB42)</f>
        <v>-179.895343745024</v>
      </c>
      <c r="AD42" s="10" t="n">
        <f aca="false">('Data BoP'!AC39)+('Data BoP'!AC40)+('Data BoP'!AC41)+('Data BoP'!AC42)</f>
        <v>132.603444154176</v>
      </c>
      <c r="AE42" s="10" t="n">
        <f aca="false">('Data BoP'!AD39)+('Data BoP'!AD40)+('Data BoP'!AD41)+('Data BoP'!AD42)</f>
        <v>244.91034067375</v>
      </c>
      <c r="AF42" s="10" t="n">
        <f aca="false">('Data BoP'!AE39)+('Data BoP'!AE40)+('Data BoP'!AE41)+('Data BoP'!AE42)</f>
        <v>-2610.70435877966</v>
      </c>
      <c r="AG42" s="10" t="n">
        <f aca="false">('Data BoP'!AF39)+('Data BoP'!AF40)+('Data BoP'!AF41)+('Data BoP'!AF42)</f>
        <v>-216.220389850576</v>
      </c>
      <c r="AH42" s="10" t="n">
        <f aca="false">('Data BoP'!AG39)+('Data BoP'!AG40)+('Data BoP'!AG41)+('Data BoP'!AG42)</f>
        <v>-11420.1441032275</v>
      </c>
      <c r="AI42" s="10" t="n">
        <f aca="false">('Data BoP'!AH39)+('Data BoP'!AH40)+('Data BoP'!AH41)+('Data BoP'!AH42)</f>
        <v>3435.55913426626</v>
      </c>
      <c r="AJ42" s="10" t="n">
        <f aca="false">('Data BoP'!AL39)+('Data BoP'!AL40)+('Data BoP'!AL41)+('Data BoP'!AL42)</f>
        <v>14855.7032374937</v>
      </c>
      <c r="AK42" s="15" t="n">
        <f aca="false">('Data BoP'!AJ39)+('Data BoP'!AJ40)+('Data BoP'!AJ41)+('Data BoP'!AJ42)</f>
        <v>5267.33</v>
      </c>
      <c r="AL42" s="10" t="n">
        <f aca="false">('Data BoP'!AK39)+('Data BoP'!AK40)+('Data BoP'!AK41)+('Data BoP'!AK42)</f>
        <v>-1819.10169933804</v>
      </c>
    </row>
    <row r="43" customFormat="false" ht="15" hidden="false" customHeight="false" outlineLevel="0" collapsed="false">
      <c r="B43" s="14" t="str">
        <f aca="false">'Data BoP'!B43</f>
        <v>2015-Q2</v>
      </c>
      <c r="C43" s="15" t="n">
        <f aca="false">'Data BoP'!U43</f>
        <v>-2497.96955024568</v>
      </c>
      <c r="D43" s="10" t="n">
        <f aca="false">'Data BoP'!V43</f>
        <v>-3175.34099752301</v>
      </c>
      <c r="E43" s="10" t="n">
        <f aca="false">'Data BoP'!W43</f>
        <v>185.503936634687</v>
      </c>
      <c r="F43" s="10" t="n">
        <f aca="false">'Data BoP'!X43</f>
        <v>0</v>
      </c>
      <c r="G43" s="10" t="n">
        <f aca="false">'Data BoP'!Y43</f>
        <v>2426.46576450904</v>
      </c>
      <c r="H43" s="10" t="n">
        <f aca="false">'Data BoP'!Z43</f>
        <v>934.37916964866</v>
      </c>
      <c r="I43" s="10" t="n">
        <f aca="false">'Data BoP'!AA43</f>
        <v>-1308.4434980764</v>
      </c>
      <c r="J43" s="10" t="n">
        <f aca="false">'Data BoP'!AB43</f>
        <v>-16.8325265796949</v>
      </c>
      <c r="K43" s="10" t="n">
        <f aca="false">'Data BoP'!AC43</f>
        <v>98.2532190963221</v>
      </c>
      <c r="L43" s="10" t="n">
        <f aca="false">'Data BoP'!AD43</f>
        <v>22.8332473850187</v>
      </c>
      <c r="M43" s="10" t="n">
        <f aca="false">'Data BoP'!AE43</f>
        <v>1367.03094320801</v>
      </c>
      <c r="N43" s="10" t="n">
        <f aca="false">'Data BoP'!AF43</f>
        <v>-5.41784054383772</v>
      </c>
      <c r="O43" s="10" t="n">
        <f aca="false">'Data BoP'!AG43</f>
        <v>-308.857214102431</v>
      </c>
      <c r="P43" s="10" t="n">
        <f aca="false">'Data BoP'!AH43</f>
        <v>2996.63638196415</v>
      </c>
      <c r="Q43" s="10" t="n">
        <f aca="false">'Data BoP'!AL43</f>
        <v>3305.49359606658</v>
      </c>
      <c r="R43" s="15" t="n">
        <f aca="false">'Data BoP'!AJ43</f>
        <v>2300.09</v>
      </c>
      <c r="S43" s="10" t="n">
        <f aca="false">'Data BoP'!AK43</f>
        <v>-31.6184579675582</v>
      </c>
      <c r="U43" s="14" t="str">
        <f aca="false">'Data BoP'!B43</f>
        <v>2015-Q2</v>
      </c>
      <c r="V43" s="15" t="n">
        <f aca="false">('Data BoP'!U40)+('Data BoP'!U41)+('Data BoP'!U42)+('Data BoP'!U43)</f>
        <v>-13359.3961279107</v>
      </c>
      <c r="W43" s="10" t="n">
        <f aca="false">('Data BoP'!V40)+('Data BoP'!V41)+('Data BoP'!V42)+('Data BoP'!V43)</f>
        <v>-11298.526273588</v>
      </c>
      <c r="X43" s="10" t="n">
        <f aca="false">('Data BoP'!W40)+('Data BoP'!W41)+('Data BoP'!W42)+('Data BoP'!W43)</f>
        <v>1010.3011711436</v>
      </c>
      <c r="Y43" s="10" t="n">
        <f aca="false">('Data BoP'!X40)+('Data BoP'!X41)+('Data BoP'!X42)+('Data BoP'!X43)</f>
        <v>0</v>
      </c>
      <c r="Z43" s="10" t="n">
        <f aca="false">('Data BoP'!Y40)+('Data BoP'!Y41)+('Data BoP'!Y42)+('Data BoP'!Y43)</f>
        <v>9821.15865839472</v>
      </c>
      <c r="AA43" s="10" t="n">
        <f aca="false">('Data BoP'!Z40)+('Data BoP'!Z41)+('Data BoP'!Z42)+('Data BoP'!Z43)</f>
        <v>2487.66878633692</v>
      </c>
      <c r="AB43" s="10" t="n">
        <f aca="false">('Data BoP'!AA40)+('Data BoP'!AA41)+('Data BoP'!AA42)+('Data BoP'!AA43)</f>
        <v>-3117.13484623452</v>
      </c>
      <c r="AC43" s="10" t="n">
        <f aca="false">('Data BoP'!AB40)+('Data BoP'!AB41)+('Data BoP'!AB42)+('Data BoP'!AB43)</f>
        <v>-207.998650626619</v>
      </c>
      <c r="AD43" s="10" t="n">
        <f aca="false">('Data BoP'!AC40)+('Data BoP'!AC41)+('Data BoP'!AC42)+('Data BoP'!AC43)</f>
        <v>232.795686342751</v>
      </c>
      <c r="AE43" s="10" t="n">
        <f aca="false">('Data BoP'!AD40)+('Data BoP'!AD41)+('Data BoP'!AD42)+('Data BoP'!AD43)</f>
        <v>36.4684154853772</v>
      </c>
      <c r="AF43" s="10" t="n">
        <f aca="false">('Data BoP'!AE40)+('Data BoP'!AE41)+('Data BoP'!AE42)+('Data BoP'!AE43)</f>
        <v>3105.46346646527</v>
      </c>
      <c r="AG43" s="10" t="n">
        <f aca="false">('Data BoP'!AF40)+('Data BoP'!AF41)+('Data BoP'!AF42)+('Data BoP'!AF43)</f>
        <v>-58.5533250226557</v>
      </c>
      <c r="AH43" s="10" t="n">
        <f aca="false">('Data BoP'!AG40)+('Data BoP'!AG41)+('Data BoP'!AG42)+('Data BoP'!AG43)</f>
        <v>-4268.59168306552</v>
      </c>
      <c r="AI43" s="10" t="n">
        <f aca="false">('Data BoP'!AH40)+('Data BoP'!AH41)+('Data BoP'!AH42)+('Data BoP'!AH43)</f>
        <v>3648.35396450274</v>
      </c>
      <c r="AJ43" s="10" t="n">
        <f aca="false">('Data BoP'!AL40)+('Data BoP'!AL41)+('Data BoP'!AL42)+('Data BoP'!AL43)</f>
        <v>7916.94564756826</v>
      </c>
      <c r="AK43" s="15" t="n">
        <f aca="false">('Data BoP'!AJ40)+('Data BoP'!AJ41)+('Data BoP'!AJ42)+('Data BoP'!AJ43)</f>
        <v>5383.41</v>
      </c>
      <c r="AL43" s="10" t="n">
        <f aca="false">('Data BoP'!AK40)+('Data BoP'!AK41)+('Data BoP'!AK42)+('Data BoP'!AK43)</f>
        <v>-1619.98072060006</v>
      </c>
    </row>
    <row r="44" customFormat="false" ht="15" hidden="false" customHeight="false" outlineLevel="0" collapsed="false">
      <c r="B44" s="14" t="str">
        <f aca="false">'Data BoP'!B44</f>
        <v>2015-Q3</v>
      </c>
      <c r="C44" s="15" t="n">
        <f aca="false">'Data BoP'!U44</f>
        <v>-5404.4134456958</v>
      </c>
      <c r="D44" s="10" t="n">
        <f aca="false">'Data BoP'!V44</f>
        <v>-2449.92882729445</v>
      </c>
      <c r="E44" s="10" t="n">
        <f aca="false">'Data BoP'!W44</f>
        <v>252.368439856789</v>
      </c>
      <c r="F44" s="10" t="n">
        <f aca="false">'Data BoP'!X44</f>
        <v>0</v>
      </c>
      <c r="G44" s="10" t="n">
        <f aca="false">'Data BoP'!Y44</f>
        <v>2313.63397352154</v>
      </c>
      <c r="H44" s="10" t="n">
        <f aca="false">'Data BoP'!Z44</f>
        <v>388.663293629697</v>
      </c>
      <c r="I44" s="10" t="n">
        <f aca="false">'Data BoP'!AA44</f>
        <v>-414.19115333074</v>
      </c>
      <c r="J44" s="10" t="n">
        <f aca="false">'Data BoP'!AB44</f>
        <v>96.6834052001041</v>
      </c>
      <c r="K44" s="10" t="n">
        <f aca="false">'Data BoP'!AC44</f>
        <v>63.3092783767022</v>
      </c>
      <c r="L44" s="10" t="n">
        <f aca="false">'Data BoP'!AD44</f>
        <v>-44.7013051208689</v>
      </c>
      <c r="M44" s="10" t="n">
        <f aca="false">'Data BoP'!AE44</f>
        <v>618.885142028415</v>
      </c>
      <c r="N44" s="10" t="n">
        <f aca="false">'Data BoP'!AF44</f>
        <v>-0.593547051349476</v>
      </c>
      <c r="O44" s="10" t="n">
        <f aca="false">'Data BoP'!AG44</f>
        <v>-2312.60244323372</v>
      </c>
      <c r="P44" s="10" t="n">
        <f aca="false">'Data BoP'!AH44</f>
        <v>1092.04589703335</v>
      </c>
      <c r="Q44" s="10" t="n">
        <f aca="false">'Data BoP'!AL44</f>
        <v>3404.64834026707</v>
      </c>
      <c r="R44" s="15" t="n">
        <f aca="false">'Data BoP'!AJ44</f>
        <v>-227.097474785542</v>
      </c>
      <c r="S44" s="10" t="n">
        <f aca="false">'Data BoP'!AK44</f>
        <v>-935.010613918962</v>
      </c>
      <c r="U44" s="14" t="str">
        <f aca="false">'Data BoP'!B44</f>
        <v>2015-Q3</v>
      </c>
      <c r="V44" s="15" t="n">
        <f aca="false">('Data BoP'!U41)+('Data BoP'!U42)+('Data BoP'!U43)+('Data BoP'!U44)</f>
        <v>-16596.8268898774</v>
      </c>
      <c r="W44" s="10" t="n">
        <f aca="false">('Data BoP'!V41)+('Data BoP'!V42)+('Data BoP'!V43)+('Data BoP'!V44)</f>
        <v>-11693.517805887</v>
      </c>
      <c r="X44" s="10" t="n">
        <f aca="false">('Data BoP'!W41)+('Data BoP'!W42)+('Data BoP'!W43)+('Data BoP'!W44)</f>
        <v>884.950440618208</v>
      </c>
      <c r="Y44" s="10" t="n">
        <f aca="false">('Data BoP'!X41)+('Data BoP'!X42)+('Data BoP'!X43)+('Data BoP'!X44)</f>
        <v>0</v>
      </c>
      <c r="Z44" s="10" t="n">
        <f aca="false">('Data BoP'!Y41)+('Data BoP'!Y42)+('Data BoP'!Y43)+('Data BoP'!Y44)</f>
        <v>9755.02817568194</v>
      </c>
      <c r="AA44" s="10" t="n">
        <f aca="false">('Data BoP'!Z41)+('Data BoP'!Z42)+('Data BoP'!Z43)+('Data BoP'!Z44)</f>
        <v>2823.44007082323</v>
      </c>
      <c r="AB44" s="10" t="n">
        <f aca="false">('Data BoP'!AA41)+('Data BoP'!AA42)+('Data BoP'!AA43)+('Data BoP'!AA44)</f>
        <v>-3086.20117544709</v>
      </c>
      <c r="AC44" s="10" t="n">
        <f aca="false">('Data BoP'!AB41)+('Data BoP'!AB42)+('Data BoP'!AB43)+('Data BoP'!AB44)</f>
        <v>-208.163369275782</v>
      </c>
      <c r="AD44" s="10" t="n">
        <f aca="false">('Data BoP'!AC41)+('Data BoP'!AC42)+('Data BoP'!AC43)+('Data BoP'!AC44)</f>
        <v>230.932703290621</v>
      </c>
      <c r="AE44" s="10" t="n">
        <f aca="false">('Data BoP'!AD41)+('Data BoP'!AD42)+('Data BoP'!AD43)+('Data BoP'!AD44)</f>
        <v>-74.5279078153634</v>
      </c>
      <c r="AF44" s="10" t="n">
        <f aca="false">('Data BoP'!AE41)+('Data BoP'!AE42)+('Data BoP'!AE43)+('Data BoP'!AE44)</f>
        <v>3183.49841727729</v>
      </c>
      <c r="AG44" s="10" t="n">
        <f aca="false">('Data BoP'!AF41)+('Data BoP'!AF42)+('Data BoP'!AF43)+('Data BoP'!AF44)</f>
        <v>-24.6828499754626</v>
      </c>
      <c r="AH44" s="10" t="n">
        <f aca="false">('Data BoP'!AG41)+('Data BoP'!AG42)+('Data BoP'!AG43)+('Data BoP'!AG44)</f>
        <v>-7931.54758378237</v>
      </c>
      <c r="AI44" s="10" t="n">
        <f aca="false">('Data BoP'!AH41)+('Data BoP'!AH42)+('Data BoP'!AH43)+('Data BoP'!AH44)</f>
        <v>5445.45653173004</v>
      </c>
      <c r="AJ44" s="10" t="n">
        <f aca="false">('Data BoP'!AL41)+('Data BoP'!AL42)+('Data BoP'!AL43)+('Data BoP'!AL44)</f>
        <v>13377.0041155124</v>
      </c>
      <c r="AK44" s="15" t="n">
        <f aca="false">('Data BoP'!AJ41)+('Data BoP'!AJ42)+('Data BoP'!AJ43)+('Data BoP'!AJ44)</f>
        <v>6139.12252521446</v>
      </c>
      <c r="AL44" s="10" t="n">
        <f aca="false">('Data BoP'!AK41)+('Data BoP'!AK42)+('Data BoP'!AK43)+('Data BoP'!AK44)</f>
        <v>-2188.13686304509</v>
      </c>
    </row>
    <row r="45" customFormat="false" ht="15" hidden="false" customHeight="false" outlineLevel="0" collapsed="false">
      <c r="B45" s="14" t="str">
        <f aca="false">'Data BoP'!B45</f>
        <v>2015-Q4</v>
      </c>
      <c r="C45" s="15" t="n">
        <f aca="false">'Data BoP'!U45</f>
        <v>-4983.78823740387</v>
      </c>
      <c r="D45" s="10" t="n">
        <f aca="false">'Data BoP'!V45</f>
        <v>-1985.25832402834</v>
      </c>
      <c r="E45" s="10" t="n">
        <f aca="false">'Data BoP'!W45</f>
        <v>196.304212659135</v>
      </c>
      <c r="F45" s="10" t="n">
        <f aca="false">'Data BoP'!X45</f>
        <v>0</v>
      </c>
      <c r="G45" s="10" t="n">
        <f aca="false">'Data BoP'!Y45</f>
        <v>2030.49916686036</v>
      </c>
      <c r="H45" s="10" t="n">
        <f aca="false">'Data BoP'!Z45</f>
        <v>151.063369827111</v>
      </c>
      <c r="I45" s="10" t="n">
        <f aca="false">'Data BoP'!AA45</f>
        <v>2470.08888162796</v>
      </c>
      <c r="J45" s="10" t="n">
        <f aca="false">'Data BoP'!AB45</f>
        <v>-276.224835710955</v>
      </c>
      <c r="K45" s="10" t="n">
        <f aca="false">'Data BoP'!AC45</f>
        <v>136.278155164716</v>
      </c>
      <c r="L45" s="10" t="n">
        <f aca="false">'Data BoP'!AD45</f>
        <v>219.281935220203</v>
      </c>
      <c r="M45" s="10" t="n">
        <f aca="false">'Data BoP'!AE45</f>
        <v>-2829.3174973944</v>
      </c>
      <c r="N45" s="10" t="n">
        <f aca="false">'Data BoP'!AF45</f>
        <v>-6.73035325592534</v>
      </c>
      <c r="O45" s="10" t="n">
        <f aca="false">'Data BoP'!AG45</f>
        <v>1856.1740834669</v>
      </c>
      <c r="P45" s="10" t="n">
        <f aca="false">'Data BoP'!AH45</f>
        <v>2797.05733788969</v>
      </c>
      <c r="Q45" s="10" t="n">
        <f aca="false">'Data BoP'!AL45</f>
        <v>940.883254422793</v>
      </c>
      <c r="R45" s="15" t="n">
        <f aca="false">'Data BoP'!AJ45</f>
        <v>-7318.06252521446</v>
      </c>
      <c r="S45" s="10" t="n">
        <f aca="false">'Data BoP'!AK45</f>
        <v>116.204845124837</v>
      </c>
      <c r="U45" s="14" t="str">
        <f aca="false">'Data BoP'!B45</f>
        <v>2015-Q4</v>
      </c>
      <c r="V45" s="15" t="n">
        <f aca="false">('Data BoP'!U42)+('Data BoP'!U43)+('Data BoP'!U44)+('Data BoP'!U45)</f>
        <v>-18497.8492219529</v>
      </c>
      <c r="W45" s="10" t="n">
        <f aca="false">('Data BoP'!V42)+('Data BoP'!V43)+('Data BoP'!V44)+('Data BoP'!V45)</f>
        <v>-10883.7607839318</v>
      </c>
      <c r="X45" s="10" t="n">
        <f aca="false">('Data BoP'!W42)+('Data BoP'!W43)+('Data BoP'!W44)+('Data BoP'!W45)</f>
        <v>875.233227354258</v>
      </c>
      <c r="Y45" s="10" t="n">
        <f aca="false">('Data BoP'!X42)+('Data BoP'!X43)+('Data BoP'!X44)+('Data BoP'!X45)</f>
        <v>0</v>
      </c>
      <c r="Z45" s="10" t="n">
        <f aca="false">('Data BoP'!Y42)+('Data BoP'!Y43)+('Data BoP'!Y44)+('Data BoP'!Y45)</f>
        <v>9376.51565071168</v>
      </c>
      <c r="AA45" s="10" t="n">
        <f aca="false">('Data BoP'!Z42)+('Data BoP'!Z43)+('Data BoP'!Z44)+('Data BoP'!Z45)</f>
        <v>2382.47836057436</v>
      </c>
      <c r="AB45" s="10" t="n">
        <f aca="false">('Data BoP'!AA42)+('Data BoP'!AA43)+('Data BoP'!AA44)+('Data BoP'!AA45)</f>
        <v>-437.238814350207</v>
      </c>
      <c r="AC45" s="10" t="n">
        <f aca="false">('Data BoP'!AB42)+('Data BoP'!AB43)+('Data BoP'!AB44)+('Data BoP'!AB45)</f>
        <v>-176.390040007803</v>
      </c>
      <c r="AD45" s="10" t="n">
        <f aca="false">('Data BoP'!AC42)+('Data BoP'!AC43)+('Data BoP'!AC44)+('Data BoP'!AC45)</f>
        <v>269.072630132837</v>
      </c>
      <c r="AE45" s="10" t="n">
        <f aca="false">('Data BoP'!AD42)+('Data BoP'!AD43)+('Data BoP'!AD44)+('Data BoP'!AD45)</f>
        <v>239.111552890749</v>
      </c>
      <c r="AF45" s="10" t="n">
        <f aca="false">('Data BoP'!AE42)+('Data BoP'!AE43)+('Data BoP'!AE44)+('Data BoP'!AE45)</f>
        <v>290.809851584491</v>
      </c>
      <c r="AG45" s="10" t="n">
        <f aca="false">('Data BoP'!AF42)+('Data BoP'!AF43)+('Data BoP'!AF44)+('Data BoP'!AF45)</f>
        <v>-24.991331066334</v>
      </c>
      <c r="AH45" s="10" t="n">
        <f aca="false">('Data BoP'!AG42)+('Data BoP'!AG43)+('Data BoP'!AG44)+('Data BoP'!AG45)</f>
        <v>-2245.88829260459</v>
      </c>
      <c r="AI45" s="10" t="n">
        <f aca="false">('Data BoP'!AH42)+('Data BoP'!AH43)+('Data BoP'!AH44)+('Data BoP'!AH45)</f>
        <v>8813.65257399428</v>
      </c>
      <c r="AJ45" s="10" t="n">
        <f aca="false">('Data BoP'!AL42)+('Data BoP'!AL43)+('Data BoP'!AL44)+('Data BoP'!AL45)</f>
        <v>11059.5408665989</v>
      </c>
      <c r="AK45" s="15" t="n">
        <f aca="false">('Data BoP'!AJ42)+('Data BoP'!AJ43)+('Data BoP'!AJ44)+('Data BoP'!AJ45)</f>
        <v>-4905.97</v>
      </c>
      <c r="AL45" s="10" t="n">
        <f aca="false">('Data BoP'!AK42)+('Data BoP'!AK43)+('Data BoP'!AK44)+('Data BoP'!AK45)</f>
        <v>-927.793253511421</v>
      </c>
    </row>
    <row r="46" customFormat="false" ht="15" hidden="false" customHeight="false" outlineLevel="0" collapsed="false">
      <c r="B46" s="14" t="str">
        <f aca="false">'Data BoP'!B46</f>
        <v>2016-Q1</v>
      </c>
      <c r="C46" s="15" t="n">
        <f aca="false">'Data BoP'!U46</f>
        <v>-4731.28336914759</v>
      </c>
      <c r="D46" s="10" t="n">
        <f aca="false">'Data BoP'!V46</f>
        <v>-1851.93334945286</v>
      </c>
      <c r="E46" s="10" t="n">
        <f aca="false">'Data BoP'!W46</f>
        <v>256.017605807343</v>
      </c>
      <c r="F46" s="10" t="n">
        <f aca="false">'Data BoP'!X46</f>
        <v>0</v>
      </c>
      <c r="G46" s="10" t="n">
        <f aca="false">'Data BoP'!Y46</f>
        <v>1985.4828677044</v>
      </c>
      <c r="H46" s="10" t="n">
        <f aca="false">'Data BoP'!Z46</f>
        <v>122.468087555801</v>
      </c>
      <c r="I46" s="10" t="n">
        <f aca="false">'Data BoP'!AA46</f>
        <v>-4678.07692947924</v>
      </c>
      <c r="J46" s="10" t="n">
        <f aca="false">'Data BoP'!AB46</f>
        <v>-1.58887278857722</v>
      </c>
      <c r="K46" s="10" t="n">
        <f aca="false">'Data BoP'!AC46</f>
        <v>82.0276479156726</v>
      </c>
      <c r="L46" s="10" t="n">
        <f aca="false">'Data BoP'!AD46</f>
        <v>29.5488180680997</v>
      </c>
      <c r="M46" s="10" t="n">
        <f aca="false">'Data BoP'!AE46</f>
        <v>4728.96688653824</v>
      </c>
      <c r="N46" s="10" t="n">
        <f aca="false">'Data BoP'!AF46</f>
        <v>31.7710951878252</v>
      </c>
      <c r="O46" s="10" t="n">
        <f aca="false">'Data BoP'!AG46</f>
        <v>-1778.04418540331</v>
      </c>
      <c r="P46" s="10" t="n">
        <f aca="false">'Data BoP'!AH46</f>
        <v>1766.07573582239</v>
      </c>
      <c r="Q46" s="10" t="n">
        <f aca="false">'Data BoP'!AL46</f>
        <v>3544.11992122569</v>
      </c>
      <c r="R46" s="15" t="n">
        <f aca="false">'Data BoP'!AJ46</f>
        <v>3545</v>
      </c>
      <c r="S46" s="10" t="n">
        <f aca="false">'Data BoP'!AK46</f>
        <v>81.85874155904</v>
      </c>
      <c r="U46" s="14" t="str">
        <f aca="false">'Data BoP'!B46</f>
        <v>2016-Q1</v>
      </c>
      <c r="V46" s="15" t="n">
        <f aca="false">('Data BoP'!U43)+('Data BoP'!U44)+('Data BoP'!U45)+('Data BoP'!U46)</f>
        <v>-17617.4546024929</v>
      </c>
      <c r="W46" s="10" t="n">
        <f aca="false">('Data BoP'!V43)+('Data BoP'!V44)+('Data BoP'!V45)+('Data BoP'!V46)</f>
        <v>-9462.46149829866</v>
      </c>
      <c r="X46" s="10" t="n">
        <f aca="false">('Data BoP'!W43)+('Data BoP'!W44)+('Data BoP'!W45)+('Data BoP'!W46)</f>
        <v>890.194194957953</v>
      </c>
      <c r="Y46" s="10" t="n">
        <f aca="false">('Data BoP'!X43)+('Data BoP'!X44)+('Data BoP'!X45)+('Data BoP'!X46)</f>
        <v>0</v>
      </c>
      <c r="Z46" s="10" t="n">
        <f aca="false">('Data BoP'!Y43)+('Data BoP'!Y44)+('Data BoP'!Y45)+('Data BoP'!Y46)</f>
        <v>8756.08177259534</v>
      </c>
      <c r="AA46" s="10" t="n">
        <f aca="false">('Data BoP'!Z43)+('Data BoP'!Z44)+('Data BoP'!Z45)+('Data BoP'!Z46)</f>
        <v>1596.57392066127</v>
      </c>
      <c r="AB46" s="10" t="n">
        <f aca="false">('Data BoP'!AA43)+('Data BoP'!AA44)+('Data BoP'!AA45)+('Data BoP'!AA46)</f>
        <v>-3930.62269925842</v>
      </c>
      <c r="AC46" s="10" t="n">
        <f aca="false">('Data BoP'!AB43)+('Data BoP'!AB44)+('Data BoP'!AB45)+('Data BoP'!AB46)</f>
        <v>-197.962829879123</v>
      </c>
      <c r="AD46" s="10" t="n">
        <f aca="false">('Data BoP'!AC43)+('Data BoP'!AC44)+('Data BoP'!AC45)+('Data BoP'!AC46)</f>
        <v>379.868300553413</v>
      </c>
      <c r="AE46" s="10" t="n">
        <f aca="false">('Data BoP'!AD43)+('Data BoP'!AD44)+('Data BoP'!AD45)+('Data BoP'!AD46)</f>
        <v>226.962695552452</v>
      </c>
      <c r="AF46" s="10" t="n">
        <f aca="false">('Data BoP'!AE43)+('Data BoP'!AE44)+('Data BoP'!AE45)+('Data BoP'!AE46)</f>
        <v>3885.56547438026</v>
      </c>
      <c r="AG46" s="10" t="n">
        <f aca="false">('Data BoP'!AF43)+('Data BoP'!AF44)+('Data BoP'!AF45)+('Data BoP'!AF46)</f>
        <v>19.0293543367127</v>
      </c>
      <c r="AH46" s="10" t="n">
        <f aca="false">('Data BoP'!AG43)+('Data BoP'!AG44)+('Data BoP'!AG45)+('Data BoP'!AG46)</f>
        <v>-2543.32975927256</v>
      </c>
      <c r="AI46" s="10" t="n">
        <f aca="false">('Data BoP'!AH43)+('Data BoP'!AH44)+('Data BoP'!AH45)+('Data BoP'!AH46)</f>
        <v>8651.81535270958</v>
      </c>
      <c r="AJ46" s="10" t="n">
        <f aca="false">('Data BoP'!AL43)+('Data BoP'!AL44)+('Data BoP'!AL45)+('Data BoP'!AL46)</f>
        <v>11195.1451119821</v>
      </c>
      <c r="AK46" s="15" t="n">
        <f aca="false">('Data BoP'!AJ43)+('Data BoP'!AJ44)+('Data BoP'!AJ45)+('Data BoP'!AJ46)</f>
        <v>-1700.07</v>
      </c>
      <c r="AL46" s="10" t="n">
        <f aca="false">('Data BoP'!AK43)+('Data BoP'!AK44)+('Data BoP'!AK45)+('Data BoP'!AK46)</f>
        <v>-768.565485202644</v>
      </c>
    </row>
    <row r="47" customFormat="false" ht="15" hidden="false" customHeight="false" outlineLevel="0" collapsed="false">
      <c r="B47" s="14" t="str">
        <f aca="false">'Data BoP'!B47</f>
        <v>2016-Q2</v>
      </c>
      <c r="C47" s="15" t="n">
        <f aca="false">'Data BoP'!U47</f>
        <v>-3103.70642664743</v>
      </c>
      <c r="D47" s="10" t="n">
        <f aca="false">'Data BoP'!V47</f>
        <v>406.814663685974</v>
      </c>
      <c r="E47" s="10" t="n">
        <f aca="false">'Data BoP'!W47</f>
        <v>1103.31980485878</v>
      </c>
      <c r="F47" s="10" t="n">
        <f aca="false">'Data BoP'!X47</f>
        <v>0</v>
      </c>
      <c r="G47" s="10" t="n">
        <f aca="false">'Data BoP'!Y47</f>
        <v>1723.2449480276</v>
      </c>
      <c r="H47" s="10" t="n">
        <f aca="false">'Data BoP'!Z47</f>
        <v>-1026.7398068548</v>
      </c>
      <c r="I47" s="10" t="n">
        <f aca="false">'Data BoP'!AA47</f>
        <v>-10691.4908319915</v>
      </c>
      <c r="J47" s="10" t="n">
        <f aca="false">'Data BoP'!AB47</f>
        <v>-328.337584137201</v>
      </c>
      <c r="K47" s="10" t="n">
        <f aca="false">'Data BoP'!AC47</f>
        <v>2266.0221939814</v>
      </c>
      <c r="L47" s="10" t="n">
        <f aca="false">'Data BoP'!AD47</f>
        <v>38.598506304463</v>
      </c>
      <c r="M47" s="10" t="n">
        <f aca="false">'Data BoP'!AE47</f>
        <v>12590.5769355312</v>
      </c>
      <c r="N47" s="10" t="n">
        <f aca="false">'Data BoP'!AF47</f>
        <v>366.070462374666</v>
      </c>
      <c r="O47" s="10" t="n">
        <f aca="false">'Data BoP'!AG47</f>
        <v>5741.09927928343</v>
      </c>
      <c r="P47" s="10" t="n">
        <f aca="false">'Data BoP'!AH47</f>
        <v>1656.4017361521</v>
      </c>
      <c r="Q47" s="10" t="n">
        <f aca="false">'Data BoP'!AL47</f>
        <v>-4084.69754313133</v>
      </c>
      <c r="R47" s="15" t="n">
        <f aca="false">'Data BoP'!AJ47</f>
        <v>1073.8</v>
      </c>
      <c r="S47" s="10" t="n">
        <f aca="false">'Data BoP'!AK47</f>
        <v>-205.440669320724</v>
      </c>
      <c r="U47" s="14" t="str">
        <f aca="false">'Data BoP'!B47</f>
        <v>2016-Q2</v>
      </c>
      <c r="V47" s="15" t="n">
        <f aca="false">('Data BoP'!U44)+('Data BoP'!U45)+('Data BoP'!U46)+('Data BoP'!U47)</f>
        <v>-18223.1914788947</v>
      </c>
      <c r="W47" s="10" t="n">
        <f aca="false">('Data BoP'!V44)+('Data BoP'!V45)+('Data BoP'!V46)+('Data BoP'!V47)</f>
        <v>-5880.30583708967</v>
      </c>
      <c r="X47" s="10" t="n">
        <f aca="false">('Data BoP'!W44)+('Data BoP'!W45)+('Data BoP'!W46)+('Data BoP'!W47)</f>
        <v>1808.01006318205</v>
      </c>
      <c r="Y47" s="10" t="n">
        <f aca="false">('Data BoP'!X44)+('Data BoP'!X45)+('Data BoP'!X46)+('Data BoP'!X47)</f>
        <v>0</v>
      </c>
      <c r="Z47" s="10" t="n">
        <f aca="false">('Data BoP'!Y44)+('Data BoP'!Y45)+('Data BoP'!Y46)+('Data BoP'!Y47)</f>
        <v>8052.8609561139</v>
      </c>
      <c r="AA47" s="10" t="n">
        <f aca="false">('Data BoP'!Z44)+('Data BoP'!Z45)+('Data BoP'!Z46)+('Data BoP'!Z47)</f>
        <v>-364.545055842187</v>
      </c>
      <c r="AB47" s="10" t="n">
        <f aca="false">('Data BoP'!AA44)+('Data BoP'!AA45)+('Data BoP'!AA46)+('Data BoP'!AA47)</f>
        <v>-13313.6700331735</v>
      </c>
      <c r="AC47" s="10" t="n">
        <f aca="false">('Data BoP'!AB44)+('Data BoP'!AB45)+('Data BoP'!AB46)+('Data BoP'!AB47)</f>
        <v>-509.467887436629</v>
      </c>
      <c r="AD47" s="10" t="n">
        <f aca="false">('Data BoP'!AC44)+('Data BoP'!AC45)+('Data BoP'!AC46)+('Data BoP'!AC47)</f>
        <v>2547.63727543849</v>
      </c>
      <c r="AE47" s="10" t="n">
        <f aca="false">('Data BoP'!AD44)+('Data BoP'!AD45)+('Data BoP'!AD46)+('Data BoP'!AD47)</f>
        <v>242.727954471897</v>
      </c>
      <c r="AF47" s="10" t="n">
        <f aca="false">('Data BoP'!AE44)+('Data BoP'!AE45)+('Data BoP'!AE46)+('Data BoP'!AE47)</f>
        <v>15109.1114667035</v>
      </c>
      <c r="AG47" s="10" t="n">
        <f aca="false">('Data BoP'!AF44)+('Data BoP'!AF45)+('Data BoP'!AF46)+('Data BoP'!AF47)</f>
        <v>390.517657255216</v>
      </c>
      <c r="AH47" s="10" t="n">
        <f aca="false">('Data BoP'!AG44)+('Data BoP'!AG45)+('Data BoP'!AG46)+('Data BoP'!AG47)</f>
        <v>3506.6267341133</v>
      </c>
      <c r="AI47" s="10" t="n">
        <f aca="false">('Data BoP'!AH44)+('Data BoP'!AH45)+('Data BoP'!AH46)+('Data BoP'!AH47)</f>
        <v>7311.58070689753</v>
      </c>
      <c r="AJ47" s="10" t="n">
        <f aca="false">('Data BoP'!AL44)+('Data BoP'!AL45)+('Data BoP'!AL46)+('Data BoP'!AL47)</f>
        <v>3804.95397278423</v>
      </c>
      <c r="AK47" s="15" t="n">
        <f aca="false">('Data BoP'!AJ44)+('Data BoP'!AJ45)+('Data BoP'!AJ46)+('Data BoP'!AJ47)</f>
        <v>-2926.36</v>
      </c>
      <c r="AL47" s="10" t="n">
        <f aca="false">('Data BoP'!AK44)+('Data BoP'!AK45)+('Data BoP'!AK46)+('Data BoP'!AK47)</f>
        <v>-942.387696555809</v>
      </c>
    </row>
    <row r="48" customFormat="false" ht="15" hidden="false" customHeight="false" outlineLevel="0" collapsed="false">
      <c r="B48" s="14" t="str">
        <f aca="false">'Data BoP'!B48</f>
        <v>2016-Q3</v>
      </c>
      <c r="C48" s="15" t="n">
        <f aca="false">'Data BoP'!U48</f>
        <v>-4655.9290144214</v>
      </c>
      <c r="D48" s="10" t="n">
        <f aca="false">'Data BoP'!V48</f>
        <v>-702.901311059833</v>
      </c>
      <c r="E48" s="10" t="n">
        <f aca="false">'Data BoP'!W48</f>
        <v>179.516356673396</v>
      </c>
      <c r="F48" s="10" t="n">
        <f aca="false">'Data BoP'!X48</f>
        <v>0</v>
      </c>
      <c r="G48" s="10" t="n">
        <f aca="false">'Data BoP'!Y48</f>
        <v>1856.30180005694</v>
      </c>
      <c r="H48" s="10" t="n">
        <f aca="false">'Data BoP'!Z48</f>
        <v>-973.884132323711</v>
      </c>
      <c r="I48" s="10" t="n">
        <f aca="false">'Data BoP'!AA48</f>
        <v>-7707.49959431554</v>
      </c>
      <c r="J48" s="10" t="n">
        <f aca="false">'Data BoP'!AB48</f>
        <v>-132.560129538735</v>
      </c>
      <c r="K48" s="10" t="n">
        <f aca="false">'Data BoP'!AC48</f>
        <v>-277.977280660725</v>
      </c>
      <c r="L48" s="10" t="n">
        <f aca="false">'Data BoP'!AD48</f>
        <v>417.52177471664</v>
      </c>
      <c r="M48" s="10" t="n">
        <f aca="false">'Data BoP'!AE48</f>
        <v>6879.44040939944</v>
      </c>
      <c r="N48" s="10" t="n">
        <f aca="false">'Data BoP'!AF48</f>
        <v>-31.75</v>
      </c>
      <c r="O48" s="10" t="n">
        <f aca="false">'Data BoP'!AG48</f>
        <v>4355.63384528889</v>
      </c>
      <c r="P48" s="10" t="n">
        <f aca="false">'Data BoP'!AH48</f>
        <v>2240.73580107867</v>
      </c>
      <c r="Q48" s="10" t="n">
        <f aca="false">'Data BoP'!AL48</f>
        <v>-2114.89804421022</v>
      </c>
      <c r="R48" s="15" t="n">
        <f aca="false">'Data BoP'!AJ48</f>
        <v>-569.411954334913</v>
      </c>
      <c r="S48" s="10" t="n">
        <f aca="false">'Data BoP'!AK48</f>
        <v>-1798.18776561101</v>
      </c>
      <c r="U48" s="14" t="str">
        <f aca="false">'Data BoP'!B48</f>
        <v>2016-Q3</v>
      </c>
      <c r="V48" s="15" t="n">
        <f aca="false">('Data BoP'!U45)+('Data BoP'!U46)+('Data BoP'!U47)+('Data BoP'!U48)</f>
        <v>-17474.7070476203</v>
      </c>
      <c r="W48" s="10" t="n">
        <f aca="false">('Data BoP'!V45)+('Data BoP'!V46)+('Data BoP'!V47)+('Data BoP'!V48)</f>
        <v>-4133.27832085506</v>
      </c>
      <c r="X48" s="10" t="n">
        <f aca="false">('Data BoP'!W45)+('Data BoP'!W46)+('Data BoP'!W47)+('Data BoP'!W48)</f>
        <v>1735.15797999865</v>
      </c>
      <c r="Y48" s="10" t="n">
        <f aca="false">('Data BoP'!X45)+('Data BoP'!X46)+('Data BoP'!X47)+('Data BoP'!X48)</f>
        <v>0</v>
      </c>
      <c r="Z48" s="10" t="n">
        <f aca="false">('Data BoP'!Y45)+('Data BoP'!Y46)+('Data BoP'!Y47)+('Data BoP'!Y48)</f>
        <v>7595.5287826493</v>
      </c>
      <c r="AA48" s="10" t="n">
        <f aca="false">('Data BoP'!Z45)+('Data BoP'!Z46)+('Data BoP'!Z47)+('Data BoP'!Z48)</f>
        <v>-1727.09248179559</v>
      </c>
      <c r="AB48" s="10" t="n">
        <f aca="false">('Data BoP'!AA45)+('Data BoP'!AA46)+('Data BoP'!AA47)+('Data BoP'!AA48)</f>
        <v>-20606.9784741583</v>
      </c>
      <c r="AC48" s="10" t="n">
        <f aca="false">('Data BoP'!AB45)+('Data BoP'!AB46)+('Data BoP'!AB47)+('Data BoP'!AB48)</f>
        <v>-738.711422175468</v>
      </c>
      <c r="AD48" s="10" t="n">
        <f aca="false">('Data BoP'!AC45)+('Data BoP'!AC46)+('Data BoP'!AC47)+('Data BoP'!AC48)</f>
        <v>2206.35071640106</v>
      </c>
      <c r="AE48" s="10" t="n">
        <f aca="false">('Data BoP'!AD45)+('Data BoP'!AD46)+('Data BoP'!AD47)+('Data BoP'!AD48)</f>
        <v>704.951034309406</v>
      </c>
      <c r="AF48" s="10" t="n">
        <f aca="false">('Data BoP'!AE45)+('Data BoP'!AE46)+('Data BoP'!AE47)+('Data BoP'!AE48)</f>
        <v>21369.6667340745</v>
      </c>
      <c r="AG48" s="10" t="n">
        <f aca="false">('Data BoP'!AF45)+('Data BoP'!AF46)+('Data BoP'!AF47)+('Data BoP'!AF48)</f>
        <v>359.361204306566</v>
      </c>
      <c r="AH48" s="10" t="n">
        <f aca="false">('Data BoP'!AG45)+('Data BoP'!AG46)+('Data BoP'!AG47)+('Data BoP'!AG48)</f>
        <v>10174.8630226359</v>
      </c>
      <c r="AI48" s="10" t="n">
        <f aca="false">('Data BoP'!AH45)+('Data BoP'!AH46)+('Data BoP'!AH47)+('Data BoP'!AH48)</f>
        <v>8460.27061094285</v>
      </c>
      <c r="AJ48" s="10" t="n">
        <f aca="false">('Data BoP'!AL45)+('Data BoP'!AL46)+('Data BoP'!AL47)+('Data BoP'!AL48)</f>
        <v>-1714.59241169306</v>
      </c>
      <c r="AK48" s="15" t="n">
        <f aca="false">('Data BoP'!AJ45)+('Data BoP'!AJ46)+('Data BoP'!AJ47)+('Data BoP'!AJ48)</f>
        <v>-3268.67447954937</v>
      </c>
      <c r="AL48" s="10" t="n">
        <f aca="false">('Data BoP'!AK45)+('Data BoP'!AK46)+('Data BoP'!AK47)+('Data BoP'!AK48)</f>
        <v>-1805.56484824785</v>
      </c>
    </row>
    <row r="49" customFormat="false" ht="15" hidden="false" customHeight="false" outlineLevel="0" collapsed="false">
      <c r="B49" s="14" t="str">
        <f aca="false">'Data BoP'!B49</f>
        <v>2016-Q4</v>
      </c>
      <c r="C49" s="15" t="n">
        <f aca="false">'Data BoP'!U49</f>
        <v>-1473.13737447462</v>
      </c>
      <c r="D49" s="10" t="n">
        <f aca="false">'Data BoP'!V49</f>
        <v>674.386589800825</v>
      </c>
      <c r="E49" s="10" t="n">
        <f aca="false">'Data BoP'!W49</f>
        <v>247.677167408526</v>
      </c>
      <c r="F49" s="10" t="n">
        <f aca="false">'Data BoP'!X49</f>
        <v>0</v>
      </c>
      <c r="G49" s="10" t="n">
        <f aca="false">'Data BoP'!Y49</f>
        <v>2426.8174078931</v>
      </c>
      <c r="H49" s="10" t="n">
        <f aca="false">'Data BoP'!Z49</f>
        <v>-2853.5268302854</v>
      </c>
      <c r="I49" s="10" t="n">
        <f aca="false">'Data BoP'!AA49</f>
        <v>-12178.2264992365</v>
      </c>
      <c r="J49" s="10" t="n">
        <f aca="false">'Data BoP'!AB49</f>
        <v>-515.769289952766</v>
      </c>
      <c r="K49" s="10" t="n">
        <f aca="false">'Data BoP'!AC49</f>
        <v>-293.977121000566</v>
      </c>
      <c r="L49" s="10" t="n">
        <f aca="false">'Data BoP'!AD49</f>
        <v>499.547569881022</v>
      </c>
      <c r="M49" s="10" t="n">
        <f aca="false">'Data BoP'!AE49</f>
        <v>10868.9325184022</v>
      </c>
      <c r="N49" s="10" t="n">
        <f aca="false">'Data BoP'!AF49</f>
        <v>-144.046519212159</v>
      </c>
      <c r="O49" s="10" t="n">
        <f aca="false">'Data BoP'!AG49</f>
        <v>-87.0983957080489</v>
      </c>
      <c r="P49" s="10" t="n">
        <f aca="false">'Data BoP'!AH49</f>
        <v>-2973.82610433962</v>
      </c>
      <c r="Q49" s="10" t="n">
        <f aca="false">'Data BoP'!AL49</f>
        <v>-2886.72770863157</v>
      </c>
      <c r="R49" s="15" t="n">
        <f aca="false">'Data BoP'!AJ49</f>
        <v>10261.8474498813</v>
      </c>
      <c r="S49" s="10" t="n">
        <f aca="false">'Data BoP'!AK49</f>
        <v>2696.6854485043</v>
      </c>
      <c r="U49" s="14" t="str">
        <f aca="false">'Data BoP'!B49</f>
        <v>2016-Q4</v>
      </c>
      <c r="V49" s="15" t="n">
        <f aca="false">('Data BoP'!U46)+('Data BoP'!U47)+('Data BoP'!U48)+('Data BoP'!U49)</f>
        <v>-13964.056184691</v>
      </c>
      <c r="W49" s="10" t="n">
        <f aca="false">('Data BoP'!V46)+('Data BoP'!V47)+('Data BoP'!V48)+('Data BoP'!V49)</f>
        <v>-1473.6334070259</v>
      </c>
      <c r="X49" s="10" t="n">
        <f aca="false">('Data BoP'!W46)+('Data BoP'!W47)+('Data BoP'!W48)+('Data BoP'!W49)</f>
        <v>1786.53093474804</v>
      </c>
      <c r="Y49" s="10" t="n">
        <f aca="false">('Data BoP'!X46)+('Data BoP'!X47)+('Data BoP'!X48)+('Data BoP'!X49)</f>
        <v>0</v>
      </c>
      <c r="Z49" s="10" t="n">
        <f aca="false">('Data BoP'!Y46)+('Data BoP'!Y47)+('Data BoP'!Y48)+('Data BoP'!Y49)</f>
        <v>7991.84702368205</v>
      </c>
      <c r="AA49" s="10" t="n">
        <f aca="false">('Data BoP'!Z46)+('Data BoP'!Z47)+('Data BoP'!Z48)+('Data BoP'!Z49)</f>
        <v>-4731.68268190811</v>
      </c>
      <c r="AB49" s="10" t="n">
        <f aca="false">('Data BoP'!AA46)+('Data BoP'!AA47)+('Data BoP'!AA48)+('Data BoP'!AA49)</f>
        <v>-35255.2938550228</v>
      </c>
      <c r="AC49" s="10" t="n">
        <f aca="false">('Data BoP'!AB46)+('Data BoP'!AB47)+('Data BoP'!AB48)+('Data BoP'!AB49)</f>
        <v>-978.255876417279</v>
      </c>
      <c r="AD49" s="10" t="n">
        <f aca="false">('Data BoP'!AC46)+('Data BoP'!AC47)+('Data BoP'!AC48)+('Data BoP'!AC49)</f>
        <v>1776.09544023578</v>
      </c>
      <c r="AE49" s="10" t="n">
        <f aca="false">('Data BoP'!AD46)+('Data BoP'!AD47)+('Data BoP'!AD48)+('Data BoP'!AD49)</f>
        <v>985.216668970225</v>
      </c>
      <c r="AF49" s="10" t="n">
        <f aca="false">('Data BoP'!AE46)+('Data BoP'!AE47)+('Data BoP'!AE48)+('Data BoP'!AE49)</f>
        <v>35067.9167498711</v>
      </c>
      <c r="AG49" s="10" t="n">
        <f aca="false">('Data BoP'!AF46)+('Data BoP'!AF47)+('Data BoP'!AF48)+('Data BoP'!AF49)</f>
        <v>222.045038350332</v>
      </c>
      <c r="AH49" s="10" t="n">
        <f aca="false">('Data BoP'!AG46)+('Data BoP'!AG47)+('Data BoP'!AG48)+('Data BoP'!AG49)</f>
        <v>8231.59054346096</v>
      </c>
      <c r="AI49" s="10" t="n">
        <f aca="false">('Data BoP'!AH46)+('Data BoP'!AH47)+('Data BoP'!AH48)+('Data BoP'!AH49)</f>
        <v>2689.38716871354</v>
      </c>
      <c r="AJ49" s="10" t="n">
        <f aca="false">('Data BoP'!AL46)+('Data BoP'!AL47)+('Data BoP'!AL48)+('Data BoP'!AL49)</f>
        <v>-5542.20337474742</v>
      </c>
      <c r="AK49" s="15" t="n">
        <f aca="false">('Data BoP'!AJ46)+('Data BoP'!AJ47)+('Data BoP'!AJ48)+('Data BoP'!AJ49)</f>
        <v>14311.2354955464</v>
      </c>
      <c r="AL49" s="10" t="n">
        <f aca="false">('Data BoP'!AK46)+('Data BoP'!AK47)+('Data BoP'!AK48)+('Data BoP'!AK49)</f>
        <v>774.915755131614</v>
      </c>
    </row>
    <row r="50" customFormat="false" ht="15" hidden="false" customHeight="false" outlineLevel="0" collapsed="false">
      <c r="B50" s="14" t="str">
        <f aca="false">'Data BoP'!B50</f>
        <v>2017-Q1</v>
      </c>
      <c r="C50" s="15" t="n">
        <f aca="false">'Data BoP'!U50</f>
        <v>-6224.36104117757</v>
      </c>
      <c r="D50" s="10" t="n">
        <f aca="false">'Data BoP'!V50</f>
        <v>-3173.77641419071</v>
      </c>
      <c r="E50" s="10" t="n">
        <f aca="false">'Data BoP'!W50</f>
        <v>334.401928324414</v>
      </c>
      <c r="F50" s="10" t="n">
        <f aca="false">'Data BoP'!X50</f>
        <v>0</v>
      </c>
      <c r="G50" s="10" t="n">
        <f aca="false">'Data BoP'!Y50</f>
        <v>2502.91774693211</v>
      </c>
      <c r="H50" s="10" t="n">
        <f aca="false">'Data BoP'!Z50</f>
        <v>1005.26059558302</v>
      </c>
      <c r="I50" s="10" t="n">
        <f aca="false">'Data BoP'!AA50</f>
        <v>-14042.87591762</v>
      </c>
      <c r="J50" s="10" t="n">
        <f aca="false">'Data BoP'!AB50</f>
        <v>-129.045420423032</v>
      </c>
      <c r="K50" s="10" t="n">
        <f aca="false">'Data BoP'!AC50</f>
        <v>1689.27425534681</v>
      </c>
      <c r="L50" s="10" t="n">
        <f aca="false">'Data BoP'!AD50</f>
        <v>50.0279130234979</v>
      </c>
      <c r="M50" s="10" t="n">
        <f aca="false">'Data BoP'!AE50</f>
        <v>15553.0768395202</v>
      </c>
      <c r="N50" s="10" t="n">
        <f aca="false">'Data BoP'!AF50</f>
        <v>-140</v>
      </c>
      <c r="O50" s="10" t="n">
        <f aca="false">'Data BoP'!AG50</f>
        <v>194.078028797332</v>
      </c>
      <c r="P50" s="10" t="n">
        <f aca="false">'Data BoP'!AH50</f>
        <v>694.409247065211</v>
      </c>
      <c r="Q50" s="10" t="n">
        <f aca="false">'Data BoP'!AL50</f>
        <v>500.331218267878</v>
      </c>
      <c r="R50" s="15" t="n">
        <f aca="false">'Data BoP'!AJ50</f>
        <v>10938.2132618358</v>
      </c>
      <c r="S50" s="10" t="n">
        <f aca="false">'Data BoP'!AK50</f>
        <v>965.004062945267</v>
      </c>
      <c r="U50" s="14" t="str">
        <f aca="false">'Data BoP'!B50</f>
        <v>2017-Q1</v>
      </c>
      <c r="V50" s="15" t="n">
        <f aca="false">('Data BoP'!U47)+('Data BoP'!U48)+('Data BoP'!U49)+('Data BoP'!U50)</f>
        <v>-15457.133856721</v>
      </c>
      <c r="W50" s="10" t="n">
        <f aca="false">('Data BoP'!V47)+('Data BoP'!V48)+('Data BoP'!V49)+('Data BoP'!V50)</f>
        <v>-2795.47647176374</v>
      </c>
      <c r="X50" s="10" t="n">
        <f aca="false">('Data BoP'!W47)+('Data BoP'!W48)+('Data BoP'!W49)+('Data BoP'!W50)</f>
        <v>1864.91525726511</v>
      </c>
      <c r="Y50" s="10" t="n">
        <f aca="false">('Data BoP'!X47)+('Data BoP'!X48)+('Data BoP'!X49)+('Data BoP'!X50)</f>
        <v>0</v>
      </c>
      <c r="Z50" s="10" t="n">
        <f aca="false">('Data BoP'!Y47)+('Data BoP'!Y48)+('Data BoP'!Y49)+('Data BoP'!Y50)</f>
        <v>8509.28190290975</v>
      </c>
      <c r="AA50" s="10" t="n">
        <f aca="false">('Data BoP'!Z47)+('Data BoP'!Z48)+('Data BoP'!Z49)+('Data BoP'!Z50)</f>
        <v>-3848.89017388089</v>
      </c>
      <c r="AB50" s="10" t="n">
        <f aca="false">('Data BoP'!AA47)+('Data BoP'!AA48)+('Data BoP'!AA49)+('Data BoP'!AA50)</f>
        <v>-44620.0928431636</v>
      </c>
      <c r="AC50" s="10" t="n">
        <f aca="false">('Data BoP'!AB47)+('Data BoP'!AB48)+('Data BoP'!AB49)+('Data BoP'!AB50)</f>
        <v>-1105.71242405173</v>
      </c>
      <c r="AD50" s="10" t="n">
        <f aca="false">('Data BoP'!AC47)+('Data BoP'!AC48)+('Data BoP'!AC49)+('Data BoP'!AC50)</f>
        <v>3383.34204766691</v>
      </c>
      <c r="AE50" s="10" t="n">
        <f aca="false">('Data BoP'!AD47)+('Data BoP'!AD48)+('Data BoP'!AD49)+('Data BoP'!AD50)</f>
        <v>1005.69576392562</v>
      </c>
      <c r="AF50" s="10" t="n">
        <f aca="false">('Data BoP'!AE47)+('Data BoP'!AE48)+('Data BoP'!AE49)+('Data BoP'!AE50)</f>
        <v>45892.0267028531</v>
      </c>
      <c r="AG50" s="10" t="n">
        <f aca="false">('Data BoP'!AF47)+('Data BoP'!AF48)+('Data BoP'!AF49)+('Data BoP'!AF50)</f>
        <v>50.2739431625066</v>
      </c>
      <c r="AH50" s="10" t="n">
        <f aca="false">('Data BoP'!AG47)+('Data BoP'!AG48)+('Data BoP'!AG49)+('Data BoP'!AG50)</f>
        <v>10203.7127576616</v>
      </c>
      <c r="AI50" s="10" t="n">
        <f aca="false">('Data BoP'!AH47)+('Data BoP'!AH48)+('Data BoP'!AH49)+('Data BoP'!AH50)</f>
        <v>1617.72067995636</v>
      </c>
      <c r="AJ50" s="10" t="n">
        <f aca="false">('Data BoP'!AL47)+('Data BoP'!AL48)+('Data BoP'!AL49)+('Data BoP'!AL50)</f>
        <v>-8585.99207770524</v>
      </c>
      <c r="AK50" s="15" t="n">
        <f aca="false">('Data BoP'!AJ47)+('Data BoP'!AJ48)+('Data BoP'!AJ49)+('Data BoP'!AJ50)</f>
        <v>21704.4487573822</v>
      </c>
      <c r="AL50" s="10" t="n">
        <f aca="false">('Data BoP'!AK47)+('Data BoP'!AK48)+('Data BoP'!AK49)+('Data BoP'!AK50)</f>
        <v>1658.06107651784</v>
      </c>
    </row>
    <row r="51" customFormat="false" ht="15" hidden="false" customHeight="false" outlineLevel="0" collapsed="false">
      <c r="B51" s="14" t="str">
        <f aca="false">'Data BoP'!B51</f>
        <v>2017-Q2</v>
      </c>
      <c r="C51" s="15" t="n">
        <f aca="false">'Data BoP'!U51</f>
        <v>-6971.15798887182</v>
      </c>
      <c r="D51" s="10" t="n">
        <f aca="false">'Data BoP'!V51</f>
        <v>-2020.82760505504</v>
      </c>
      <c r="E51" s="10" t="n">
        <f aca="false">'Data BoP'!W51</f>
        <v>267.687826800519</v>
      </c>
      <c r="F51" s="10" t="n">
        <f aca="false">'Data BoP'!X51</f>
        <v>0</v>
      </c>
      <c r="G51" s="10" t="n">
        <f aca="false">'Data BoP'!Y51</f>
        <v>2228.15543185555</v>
      </c>
      <c r="H51" s="10" t="n">
        <f aca="false">'Data BoP'!Z51</f>
        <v>60.36</v>
      </c>
      <c r="I51" s="10" t="n">
        <f aca="false">'Data BoP'!AA51</f>
        <v>-3760.1830873991</v>
      </c>
      <c r="J51" s="10" t="n">
        <f aca="false">'Data BoP'!AB51</f>
        <v>259.224118091938</v>
      </c>
      <c r="K51" s="10" t="n">
        <f aca="false">'Data BoP'!AC51</f>
        <v>1207.23552687093</v>
      </c>
      <c r="L51" s="10" t="n">
        <f aca="false">'Data BoP'!AD51</f>
        <v>852.409184207933</v>
      </c>
      <c r="M51" s="10" t="n">
        <f aca="false">'Data BoP'!AE51</f>
        <v>4374.23354815404</v>
      </c>
      <c r="N51" s="10" t="n">
        <f aca="false">'Data BoP'!AF51</f>
        <v>6.9044</v>
      </c>
      <c r="O51" s="10" t="n">
        <f aca="false">'Data BoP'!AG51</f>
        <v>1607.33135403549</v>
      </c>
      <c r="P51" s="10" t="n">
        <f aca="false">'Data BoP'!AH51</f>
        <v>2187.93427237453</v>
      </c>
      <c r="Q51" s="10" t="n">
        <f aca="false">'Data BoP'!AL51</f>
        <v>580.602918339047</v>
      </c>
      <c r="R51" s="15" t="n">
        <f aca="false">'Data BoP'!AJ51</f>
        <v>-2804.38305045317</v>
      </c>
      <c r="S51" s="10" t="n">
        <f aca="false">'Data BoP'!AK51</f>
        <v>-409.351112371367</v>
      </c>
      <c r="U51" s="14" t="str">
        <f aca="false">'Data BoP'!B51</f>
        <v>2017-Q2</v>
      </c>
      <c r="V51" s="15" t="n">
        <f aca="false">('Data BoP'!U48)+('Data BoP'!U49)+('Data BoP'!U50)+('Data BoP'!U51)</f>
        <v>-19324.5854189454</v>
      </c>
      <c r="W51" s="10" t="n">
        <f aca="false">('Data BoP'!V48)+('Data BoP'!V49)+('Data BoP'!V50)+('Data BoP'!V51)</f>
        <v>-5223.11874050475</v>
      </c>
      <c r="X51" s="10" t="n">
        <f aca="false">('Data BoP'!W48)+('Data BoP'!W49)+('Data BoP'!W50)+('Data BoP'!W51)</f>
        <v>1029.28327920685</v>
      </c>
      <c r="Y51" s="10" t="n">
        <f aca="false">('Data BoP'!X48)+('Data BoP'!X49)+('Data BoP'!X50)+('Data BoP'!X51)</f>
        <v>0</v>
      </c>
      <c r="Z51" s="10" t="n">
        <f aca="false">('Data BoP'!Y48)+('Data BoP'!Y49)+('Data BoP'!Y50)+('Data BoP'!Y51)</f>
        <v>9014.19238673771</v>
      </c>
      <c r="AA51" s="10" t="n">
        <f aca="false">('Data BoP'!Z48)+('Data BoP'!Z49)+('Data BoP'!Z50)+('Data BoP'!Z51)</f>
        <v>-2761.7903670261</v>
      </c>
      <c r="AB51" s="10" t="n">
        <f aca="false">('Data BoP'!AA48)+('Data BoP'!AA49)+('Data BoP'!AA50)+('Data BoP'!AA51)</f>
        <v>-37688.7850985712</v>
      </c>
      <c r="AC51" s="10" t="n">
        <f aca="false">('Data BoP'!AB48)+('Data BoP'!AB49)+('Data BoP'!AB50)+('Data BoP'!AB51)</f>
        <v>-518.150721822595</v>
      </c>
      <c r="AD51" s="10" t="n">
        <f aca="false">('Data BoP'!AC48)+('Data BoP'!AC49)+('Data BoP'!AC50)+('Data BoP'!AC51)</f>
        <v>2324.55538055645</v>
      </c>
      <c r="AE51" s="10" t="n">
        <f aca="false">('Data BoP'!AD48)+('Data BoP'!AD49)+('Data BoP'!AD50)+('Data BoP'!AD51)</f>
        <v>1819.50644182909</v>
      </c>
      <c r="AF51" s="10" t="n">
        <f aca="false">('Data BoP'!AE48)+('Data BoP'!AE49)+('Data BoP'!AE50)+('Data BoP'!AE51)</f>
        <v>37675.6833154759</v>
      </c>
      <c r="AG51" s="10" t="n">
        <f aca="false">('Data BoP'!AF48)+('Data BoP'!AF49)+('Data BoP'!AF50)+('Data BoP'!AF51)</f>
        <v>-308.892119212159</v>
      </c>
      <c r="AH51" s="10" t="n">
        <f aca="false">('Data BoP'!AG48)+('Data BoP'!AG49)+('Data BoP'!AG50)+('Data BoP'!AG51)</f>
        <v>6069.94483241366</v>
      </c>
      <c r="AI51" s="10" t="n">
        <f aca="false">('Data BoP'!AH48)+('Data BoP'!AH49)+('Data BoP'!AH50)+('Data BoP'!AH51)</f>
        <v>2149.25321617879</v>
      </c>
      <c r="AJ51" s="10" t="n">
        <f aca="false">('Data BoP'!AL48)+('Data BoP'!AL49)+('Data BoP'!AL50)+('Data BoP'!AL51)</f>
        <v>-3920.69161623487</v>
      </c>
      <c r="AK51" s="15" t="n">
        <f aca="false">('Data BoP'!AJ48)+('Data BoP'!AJ49)+('Data BoP'!AJ50)+('Data BoP'!AJ51)</f>
        <v>17826.265706929</v>
      </c>
      <c r="AL51" s="10" t="n">
        <f aca="false">('Data BoP'!AK48)+('Data BoP'!AK49)+('Data BoP'!AK50)+('Data BoP'!AK51)</f>
        <v>1454.1506334672</v>
      </c>
    </row>
    <row r="52" customFormat="false" ht="15" hidden="false" customHeight="false" outlineLevel="0" collapsed="false">
      <c r="B52" s="14" t="str">
        <f aca="false">'Data BoP'!B52</f>
        <v>2017-Q3</v>
      </c>
      <c r="C52" s="15" t="n">
        <f aca="false">'Data BoP'!U52</f>
        <v>-8878.07482854497</v>
      </c>
      <c r="D52" s="10" t="n">
        <f aca="false">'Data BoP'!V52</f>
        <v>-3042.89511285362</v>
      </c>
      <c r="E52" s="10" t="n">
        <f aca="false">'Data BoP'!W52</f>
        <v>287.736957762745</v>
      </c>
      <c r="F52" s="10" t="n">
        <f aca="false">'Data BoP'!X52</f>
        <v>0</v>
      </c>
      <c r="G52" s="10" t="n">
        <f aca="false">'Data BoP'!Y52</f>
        <v>2200.64245628757</v>
      </c>
      <c r="H52" s="10" t="n">
        <f aca="false">'Data BoP'!Z52</f>
        <v>1129.98961432879</v>
      </c>
      <c r="I52" s="10" t="n">
        <f aca="false">'Data BoP'!AA52</f>
        <v>-7208.31285249838</v>
      </c>
      <c r="J52" s="10" t="n">
        <f aca="false">'Data BoP'!AB52</f>
        <v>331.19672063329</v>
      </c>
      <c r="K52" s="10" t="n">
        <f aca="false">'Data BoP'!AC52</f>
        <v>236.58591300988</v>
      </c>
      <c r="L52" s="10" t="n">
        <f aca="false">'Data BoP'!AD52</f>
        <v>1596.11967749392</v>
      </c>
      <c r="M52" s="10" t="n">
        <f aca="false">'Data BoP'!AE52</f>
        <v>6179.97580864763</v>
      </c>
      <c r="N52" s="10" t="n">
        <f aca="false">'Data BoP'!AF52</f>
        <v>11.09</v>
      </c>
      <c r="O52" s="10" t="n">
        <f aca="false">'Data BoP'!AG52</f>
        <v>-523.176244250079</v>
      </c>
      <c r="P52" s="10" t="n">
        <f aca="false">'Data BoP'!AH52</f>
        <v>5417.39715587911</v>
      </c>
      <c r="Q52" s="10" t="n">
        <f aca="false">'Data BoP'!AL52</f>
        <v>5940.57340012918</v>
      </c>
      <c r="R52" s="15" t="n">
        <f aca="false">'Data BoP'!AJ52</f>
        <v>1885.21938105711</v>
      </c>
      <c r="S52" s="10" t="n">
        <f aca="false">'Data BoP'!AK52</f>
        <v>-808.548320139469</v>
      </c>
      <c r="U52" s="14" t="str">
        <f aca="false">'Data BoP'!B52</f>
        <v>2017-Q3</v>
      </c>
      <c r="V52" s="15" t="n">
        <f aca="false">('Data BoP'!U49)+('Data BoP'!U50)+('Data BoP'!U51)+('Data BoP'!U52)</f>
        <v>-23546.731233069</v>
      </c>
      <c r="W52" s="10" t="n">
        <f aca="false">('Data BoP'!V49)+('Data BoP'!V50)+('Data BoP'!V51)+('Data BoP'!V52)</f>
        <v>-7563.11254229854</v>
      </c>
      <c r="X52" s="10" t="n">
        <f aca="false">('Data BoP'!W49)+('Data BoP'!W50)+('Data BoP'!W51)+('Data BoP'!W52)</f>
        <v>1137.5038802962</v>
      </c>
      <c r="Y52" s="10" t="n">
        <f aca="false">('Data BoP'!X49)+('Data BoP'!X50)+('Data BoP'!X51)+('Data BoP'!X52)</f>
        <v>0</v>
      </c>
      <c r="Z52" s="10" t="n">
        <f aca="false">('Data BoP'!Y49)+('Data BoP'!Y50)+('Data BoP'!Y51)+('Data BoP'!Y52)</f>
        <v>9358.53304296834</v>
      </c>
      <c r="AA52" s="10" t="n">
        <f aca="false">('Data BoP'!Z49)+('Data BoP'!Z50)+('Data BoP'!Z51)+('Data BoP'!Z52)</f>
        <v>-657.916620373596</v>
      </c>
      <c r="AB52" s="10" t="n">
        <f aca="false">('Data BoP'!AA49)+('Data BoP'!AA50)+('Data BoP'!AA51)+('Data BoP'!AA52)</f>
        <v>-37189.598356754</v>
      </c>
      <c r="AC52" s="10" t="n">
        <f aca="false">('Data BoP'!AB49)+('Data BoP'!AB50)+('Data BoP'!AB51)+('Data BoP'!AB52)</f>
        <v>-54.3938716505697</v>
      </c>
      <c r="AD52" s="10" t="n">
        <f aca="false">('Data BoP'!AC49)+('Data BoP'!AC50)+('Data BoP'!AC51)+('Data BoP'!AC52)</f>
        <v>2839.11857422705</v>
      </c>
      <c r="AE52" s="10" t="n">
        <f aca="false">('Data BoP'!AD49)+('Data BoP'!AD50)+('Data BoP'!AD51)+('Data BoP'!AD52)</f>
        <v>2998.10434460637</v>
      </c>
      <c r="AF52" s="10" t="n">
        <f aca="false">('Data BoP'!AE49)+('Data BoP'!AE50)+('Data BoP'!AE51)+('Data BoP'!AE52)</f>
        <v>36976.2187147241</v>
      </c>
      <c r="AG52" s="10" t="n">
        <f aca="false">('Data BoP'!AF49)+('Data BoP'!AF50)+('Data BoP'!AF51)+('Data BoP'!AF52)</f>
        <v>-266.052119212159</v>
      </c>
      <c r="AH52" s="10" t="n">
        <f aca="false">('Data BoP'!AG49)+('Data BoP'!AG50)+('Data BoP'!AG51)+('Data BoP'!AG52)</f>
        <v>1191.13474287469</v>
      </c>
      <c r="AI52" s="10" t="n">
        <f aca="false">('Data BoP'!AH49)+('Data BoP'!AH50)+('Data BoP'!AH51)+('Data BoP'!AH52)</f>
        <v>5325.91457097923</v>
      </c>
      <c r="AJ52" s="10" t="n">
        <f aca="false">('Data BoP'!AL49)+('Data BoP'!AL50)+('Data BoP'!AL51)+('Data BoP'!AL52)</f>
        <v>4134.77982810454</v>
      </c>
      <c r="AK52" s="15" t="n">
        <f aca="false">('Data BoP'!AJ49)+('Data BoP'!AJ50)+('Data BoP'!AJ51)+('Data BoP'!AJ52)</f>
        <v>20280.897042321</v>
      </c>
      <c r="AL52" s="10" t="n">
        <f aca="false">('Data BoP'!AK49)+('Data BoP'!AK50)+('Data BoP'!AK51)+('Data BoP'!AK52)</f>
        <v>2443.79007893874</v>
      </c>
    </row>
    <row r="53" customFormat="false" ht="15" hidden="false" customHeight="false" outlineLevel="0" collapsed="false">
      <c r="B53" s="14" t="str">
        <f aca="false">'Data BoP'!B53</f>
        <v>2017-Q4</v>
      </c>
      <c r="C53" s="15" t="n">
        <f aca="false">'Data BoP'!U53</f>
        <v>-9199.59407241683</v>
      </c>
      <c r="D53" s="10" t="n">
        <f aca="false">'Data BoP'!V53</f>
        <v>-2123.73211216059</v>
      </c>
      <c r="E53" s="10" t="n">
        <f aca="false">'Data BoP'!W53</f>
        <v>265.80350513685</v>
      </c>
      <c r="F53" s="10" t="n">
        <f aca="false">'Data BoP'!X53</f>
        <v>0</v>
      </c>
      <c r="G53" s="10" t="n">
        <f aca="false">'Data BoP'!Y53</f>
        <v>2163.08561729744</v>
      </c>
      <c r="H53" s="10" t="n">
        <f aca="false">'Data BoP'!Z53</f>
        <v>226.45</v>
      </c>
      <c r="I53" s="10" t="n">
        <f aca="false">'Data BoP'!AA53</f>
        <v>-10910.3676341054</v>
      </c>
      <c r="J53" s="10" t="n">
        <f aca="false">'Data BoP'!AB53</f>
        <v>-153.574977348914</v>
      </c>
      <c r="K53" s="10" t="n">
        <f aca="false">'Data BoP'!AC53</f>
        <v>2061.44214761502</v>
      </c>
      <c r="L53" s="10" t="n">
        <f aca="false">'Data BoP'!AD53</f>
        <v>514.743198781707</v>
      </c>
      <c r="M53" s="10" t="n">
        <f aca="false">'Data BoP'!AE53</f>
        <v>12303.4916055898</v>
      </c>
      <c r="N53" s="10" t="n">
        <f aca="false">'Data BoP'!AF53</f>
        <v>25.78</v>
      </c>
      <c r="O53" s="10" t="n">
        <f aca="false">'Data BoP'!AG53</f>
        <v>-727.930257785113</v>
      </c>
      <c r="P53" s="10" t="n">
        <f aca="false">'Data BoP'!AH53</f>
        <v>4206.34232191474</v>
      </c>
      <c r="Q53" s="10" t="n">
        <f aca="false">'Data BoP'!AL53</f>
        <v>4934.27257969985</v>
      </c>
      <c r="R53" s="15" t="n">
        <f aca="false">'Data BoP'!AJ53</f>
        <v>4536.65593163429</v>
      </c>
      <c r="S53" s="10" t="n">
        <f aca="false">'Data BoP'!AK53</f>
        <v>-42.4362780871961</v>
      </c>
      <c r="U53" s="14" t="str">
        <f aca="false">'Data BoP'!B53</f>
        <v>2017-Q4</v>
      </c>
      <c r="V53" s="15" t="n">
        <f aca="false">('Data BoP'!U50)+('Data BoP'!U51)+('Data BoP'!U52)+('Data BoP'!U53)</f>
        <v>-31273.1879310112</v>
      </c>
      <c r="W53" s="10" t="n">
        <f aca="false">('Data BoP'!V50)+('Data BoP'!V51)+('Data BoP'!V52)+('Data BoP'!V53)</f>
        <v>-10361.23124426</v>
      </c>
      <c r="X53" s="10" t="n">
        <f aca="false">('Data BoP'!W50)+('Data BoP'!W51)+('Data BoP'!W52)+('Data BoP'!W53)</f>
        <v>1155.63021802453</v>
      </c>
      <c r="Y53" s="10" t="n">
        <f aca="false">('Data BoP'!X50)+('Data BoP'!X51)+('Data BoP'!X52)+('Data BoP'!X53)</f>
        <v>0</v>
      </c>
      <c r="Z53" s="10" t="n">
        <f aca="false">('Data BoP'!Y50)+('Data BoP'!Y51)+('Data BoP'!Y52)+('Data BoP'!Y53)</f>
        <v>9094.80125237267</v>
      </c>
      <c r="AA53" s="10" t="n">
        <f aca="false">('Data BoP'!Z50)+('Data BoP'!Z51)+('Data BoP'!Z52)+('Data BoP'!Z53)</f>
        <v>2422.06020991181</v>
      </c>
      <c r="AB53" s="10" t="n">
        <f aca="false">('Data BoP'!AA50)+('Data BoP'!AA51)+('Data BoP'!AA52)+('Data BoP'!AA53)</f>
        <v>-35921.7394916229</v>
      </c>
      <c r="AC53" s="10" t="n">
        <f aca="false">('Data BoP'!AB50)+('Data BoP'!AB51)+('Data BoP'!AB52)+('Data BoP'!AB53)</f>
        <v>307.800440953282</v>
      </c>
      <c r="AD53" s="10" t="n">
        <f aca="false">('Data BoP'!AC50)+('Data BoP'!AC51)+('Data BoP'!AC52)+('Data BoP'!AC53)</f>
        <v>5194.53784284263</v>
      </c>
      <c r="AE53" s="10" t="n">
        <f aca="false">('Data BoP'!AD50)+('Data BoP'!AD51)+('Data BoP'!AD52)+('Data BoP'!AD53)</f>
        <v>3013.29997350706</v>
      </c>
      <c r="AF53" s="10" t="n">
        <f aca="false">('Data BoP'!AE50)+('Data BoP'!AE51)+('Data BoP'!AE52)+('Data BoP'!AE53)</f>
        <v>38410.7778019117</v>
      </c>
      <c r="AG53" s="10" t="n">
        <f aca="false">('Data BoP'!AF50)+('Data BoP'!AF51)+('Data BoP'!AF52)+('Data BoP'!AF53)</f>
        <v>-96.2256</v>
      </c>
      <c r="AH53" s="10" t="n">
        <f aca="false">('Data BoP'!AG50)+('Data BoP'!AG51)+('Data BoP'!AG52)+('Data BoP'!AG53)</f>
        <v>550.302880797627</v>
      </c>
      <c r="AI53" s="10" t="n">
        <f aca="false">('Data BoP'!AH50)+('Data BoP'!AH51)+('Data BoP'!AH52)+('Data BoP'!AH53)</f>
        <v>12506.0829972336</v>
      </c>
      <c r="AJ53" s="10" t="n">
        <f aca="false">('Data BoP'!AL50)+('Data BoP'!AL51)+('Data BoP'!AL52)+('Data BoP'!AL53)</f>
        <v>11955.780116436</v>
      </c>
      <c r="AK53" s="15" t="n">
        <f aca="false">('Data BoP'!AJ50)+('Data BoP'!AJ51)+('Data BoP'!AJ52)+('Data BoP'!AJ53)</f>
        <v>14555.705524074</v>
      </c>
      <c r="AL53" s="10" t="n">
        <f aca="false">('Data BoP'!AK50)+('Data BoP'!AK51)+('Data BoP'!AK52)+('Data BoP'!AK53)</f>
        <v>-295.331647652765</v>
      </c>
    </row>
    <row r="54" customFormat="false" ht="15" hidden="false" customHeight="false" outlineLevel="0" collapsed="false">
      <c r="B54" s="14" t="str">
        <f aca="false">'Data BoP'!B54</f>
        <v>2018-Q1</v>
      </c>
      <c r="C54" s="15" t="n">
        <f aca="false">'Data BoP'!U54</f>
        <v>-9547.09576491623</v>
      </c>
      <c r="D54" s="10" t="n">
        <f aca="false">'Data BoP'!V54</f>
        <v>-2470.52557401365</v>
      </c>
      <c r="E54" s="10" t="n">
        <f aca="false">'Data BoP'!W54</f>
        <v>480.035449608292</v>
      </c>
      <c r="F54" s="10" t="n">
        <f aca="false">'Data BoP'!X54</f>
        <v>0</v>
      </c>
      <c r="G54" s="10" t="n">
        <f aca="false">'Data BoP'!Y54</f>
        <v>2809.51593419953</v>
      </c>
      <c r="H54" s="10" t="n">
        <f aca="false">'Data BoP'!Z54</f>
        <v>141.045089422406</v>
      </c>
      <c r="I54" s="10" t="n">
        <f aca="false">'Data BoP'!AA54</f>
        <v>-12953.3803578827</v>
      </c>
      <c r="J54" s="10" t="n">
        <f aca="false">'Data BoP'!AB54</f>
        <v>1.62539426711349</v>
      </c>
      <c r="K54" s="10" t="n">
        <f aca="false">'Data BoP'!AC54</f>
        <v>3576.74604719965</v>
      </c>
      <c r="L54" s="10" t="n">
        <f aca="false">'Data BoP'!AD54</f>
        <v>102.026577988947</v>
      </c>
      <c r="M54" s="10" t="n">
        <f aca="false">'Data BoP'!AE54</f>
        <v>16429.7252213606</v>
      </c>
      <c r="N54" s="10" t="n">
        <f aca="false">'Data BoP'!AF54</f>
        <v>-26.6351511044001</v>
      </c>
      <c r="O54" s="10" t="n">
        <f aca="false">'Data BoP'!AG54</f>
        <v>-249.585893317678</v>
      </c>
      <c r="P54" s="10" t="n">
        <f aca="false">'Data BoP'!AH54</f>
        <v>3239.0376444927</v>
      </c>
      <c r="Q54" s="10" t="n">
        <f aca="false">'Data BoP'!AL54</f>
        <v>3488.62353781037</v>
      </c>
      <c r="R54" s="15" t="n">
        <f aca="false">'Data BoP'!AJ54</f>
        <v>6153.03121140222</v>
      </c>
      <c r="S54" s="10" t="n">
        <f aca="false">'Data BoP'!AK54</f>
        <v>-174.649307380101</v>
      </c>
      <c r="U54" s="14" t="str">
        <f aca="false">'Data BoP'!B54</f>
        <v>2018-Q1</v>
      </c>
      <c r="V54" s="15" t="n">
        <f aca="false">('Data BoP'!U51)+('Data BoP'!U52)+('Data BoP'!U53)+('Data BoP'!U54)</f>
        <v>-34595.9226547499</v>
      </c>
      <c r="W54" s="10" t="n">
        <f aca="false">('Data BoP'!V51)+('Data BoP'!V52)+('Data BoP'!V53)+('Data BoP'!V54)</f>
        <v>-9657.98040408289</v>
      </c>
      <c r="X54" s="10" t="n">
        <f aca="false">('Data BoP'!W51)+('Data BoP'!W52)+('Data BoP'!W53)+('Data BoP'!W54)</f>
        <v>1301.26373930841</v>
      </c>
      <c r="Y54" s="10" t="n">
        <f aca="false">('Data BoP'!X51)+('Data BoP'!X52)+('Data BoP'!X53)+('Data BoP'!X54)</f>
        <v>0</v>
      </c>
      <c r="Z54" s="10" t="n">
        <f aca="false">('Data BoP'!Y51)+('Data BoP'!Y52)+('Data BoP'!Y53)+('Data BoP'!Y54)</f>
        <v>9401.3994396401</v>
      </c>
      <c r="AA54" s="10" t="n">
        <f aca="false">('Data BoP'!Z51)+('Data BoP'!Z52)+('Data BoP'!Z53)+('Data BoP'!Z54)</f>
        <v>1557.8447037512</v>
      </c>
      <c r="AB54" s="10" t="n">
        <f aca="false">('Data BoP'!AA51)+('Data BoP'!AA52)+('Data BoP'!AA53)+('Data BoP'!AA54)</f>
        <v>-34832.2439318856</v>
      </c>
      <c r="AC54" s="10" t="n">
        <f aca="false">('Data BoP'!AB51)+('Data BoP'!AB52)+('Data BoP'!AB53)+('Data BoP'!AB54)</f>
        <v>438.471255643427</v>
      </c>
      <c r="AD54" s="10" t="n">
        <f aca="false">('Data BoP'!AC51)+('Data BoP'!AC52)+('Data BoP'!AC53)+('Data BoP'!AC54)</f>
        <v>7082.00963469548</v>
      </c>
      <c r="AE54" s="10" t="n">
        <f aca="false">('Data BoP'!AD51)+('Data BoP'!AD52)+('Data BoP'!AD53)+('Data BoP'!AD54)</f>
        <v>3065.2986384725</v>
      </c>
      <c r="AF54" s="10" t="n">
        <f aca="false">('Data BoP'!AE51)+('Data BoP'!AE52)+('Data BoP'!AE53)+('Data BoP'!AE54)</f>
        <v>39287.426183752</v>
      </c>
      <c r="AG54" s="10" t="n">
        <f aca="false">('Data BoP'!AF51)+('Data BoP'!AF52)+('Data BoP'!AF53)+('Data BoP'!AF54)</f>
        <v>17.1392488956</v>
      </c>
      <c r="AH54" s="10" t="n">
        <f aca="false">('Data BoP'!AG51)+('Data BoP'!AG52)+('Data BoP'!AG53)+('Data BoP'!AG54)</f>
        <v>106.638958682616</v>
      </c>
      <c r="AI54" s="10" t="n">
        <f aca="false">('Data BoP'!AH51)+('Data BoP'!AH52)+('Data BoP'!AH53)+('Data BoP'!AH54)</f>
        <v>15050.7113946611</v>
      </c>
      <c r="AJ54" s="10" t="n">
        <f aca="false">('Data BoP'!AL51)+('Data BoP'!AL52)+('Data BoP'!AL53)+('Data BoP'!AL54)</f>
        <v>14944.0724359785</v>
      </c>
      <c r="AK54" s="15" t="n">
        <f aca="false">('Data BoP'!AJ51)+('Data BoP'!AJ52)+('Data BoP'!AJ53)+('Data BoP'!AJ54)</f>
        <v>9770.52347364045</v>
      </c>
      <c r="AL54" s="10" t="n">
        <f aca="false">('Data BoP'!AK51)+('Data BoP'!AK52)+('Data BoP'!AK53)+('Data BoP'!AK54)</f>
        <v>-1434.98501797813</v>
      </c>
    </row>
    <row r="55" customFormat="false" ht="15" hidden="false" customHeight="false" outlineLevel="0" collapsed="false">
      <c r="B55" s="14" t="str">
        <f aca="false">'Data BoP'!B55</f>
        <v>2018-Q2</v>
      </c>
      <c r="C55" s="15" t="n">
        <f aca="false">'Data BoP'!U55</f>
        <v>-9001.55351738603</v>
      </c>
      <c r="D55" s="10" t="n">
        <f aca="false">'Data BoP'!V55</f>
        <v>-2210.53813907433</v>
      </c>
      <c r="E55" s="10" t="n">
        <f aca="false">'Data BoP'!W55</f>
        <v>448.939387728029</v>
      </c>
      <c r="F55" s="10" t="n">
        <f aca="false">'Data BoP'!X55</f>
        <v>0</v>
      </c>
      <c r="G55" s="10" t="n">
        <f aca="false">'Data BoP'!Y55</f>
        <v>2293.36843523179</v>
      </c>
      <c r="H55" s="10" t="n">
        <f aca="false">'Data BoP'!Z55</f>
        <v>366.109091570578</v>
      </c>
      <c r="I55" s="10" t="n">
        <f aca="false">'Data BoP'!AA55</f>
        <v>1874.06974309934</v>
      </c>
      <c r="J55" s="10" t="n">
        <f aca="false">'Data BoP'!AB55</f>
        <v>73</v>
      </c>
      <c r="K55" s="10" t="n">
        <f aca="false">'Data BoP'!AC55</f>
        <v>468.505811642536</v>
      </c>
      <c r="L55" s="10" t="n">
        <f aca="false">'Data BoP'!AD55</f>
        <v>-292.454396807919</v>
      </c>
      <c r="M55" s="10" t="n">
        <f aca="false">'Data BoP'!AE55</f>
        <v>-1040.10953464888</v>
      </c>
      <c r="N55" s="10" t="n">
        <f aca="false">'Data BoP'!AF55</f>
        <v>-4.33992840161848</v>
      </c>
      <c r="O55" s="10" t="n">
        <f aca="false">'Data BoP'!AG55</f>
        <v>-9401.61181034855</v>
      </c>
      <c r="P55" s="10" t="n">
        <f aca="false">'Data BoP'!AH55</f>
        <v>10343.260037719</v>
      </c>
      <c r="Q55" s="10" t="n">
        <f aca="false">'Data BoP'!AL55</f>
        <v>19744.8718480675</v>
      </c>
      <c r="R55" s="15" t="n">
        <f aca="false">'Data BoP'!AJ55</f>
        <v>740.866617339134</v>
      </c>
      <c r="S55" s="10" t="n">
        <f aca="false">'Data BoP'!AK55</f>
        <v>-588.161008044272</v>
      </c>
      <c r="U55" s="14" t="str">
        <f aca="false">'Data BoP'!B55</f>
        <v>2018-Q2</v>
      </c>
      <c r="V55" s="15" t="n">
        <f aca="false">('Data BoP'!U52)+('Data BoP'!U53)+('Data BoP'!U54)+('Data BoP'!U55)</f>
        <v>-36626.3181832641</v>
      </c>
      <c r="W55" s="10" t="n">
        <f aca="false">('Data BoP'!V52)+('Data BoP'!V53)+('Data BoP'!V54)+('Data BoP'!V55)</f>
        <v>-9847.69093810219</v>
      </c>
      <c r="X55" s="10" t="n">
        <f aca="false">('Data BoP'!W52)+('Data BoP'!W53)+('Data BoP'!W54)+('Data BoP'!W55)</f>
        <v>1482.51530023592</v>
      </c>
      <c r="Y55" s="10" t="n">
        <f aca="false">('Data BoP'!X52)+('Data BoP'!X53)+('Data BoP'!X54)+('Data BoP'!X55)</f>
        <v>0</v>
      </c>
      <c r="Z55" s="10" t="n">
        <f aca="false">('Data BoP'!Y52)+('Data BoP'!Y53)+('Data BoP'!Y54)+('Data BoP'!Y55)</f>
        <v>9466.61244301633</v>
      </c>
      <c r="AA55" s="10" t="n">
        <f aca="false">('Data BoP'!Z52)+('Data BoP'!Z53)+('Data BoP'!Z54)+('Data BoP'!Z55)</f>
        <v>1863.59379532178</v>
      </c>
      <c r="AB55" s="10" t="n">
        <f aca="false">('Data BoP'!AA52)+('Data BoP'!AA53)+('Data BoP'!AA54)+('Data BoP'!AA55)</f>
        <v>-29197.9911013872</v>
      </c>
      <c r="AC55" s="10" t="n">
        <f aca="false">('Data BoP'!AB52)+('Data BoP'!AB53)+('Data BoP'!AB54)+('Data BoP'!AB55)</f>
        <v>252.247137551489</v>
      </c>
      <c r="AD55" s="10" t="n">
        <f aca="false">('Data BoP'!AC52)+('Data BoP'!AC53)+('Data BoP'!AC54)+('Data BoP'!AC55)</f>
        <v>6343.27991946708</v>
      </c>
      <c r="AE55" s="10" t="n">
        <f aca="false">('Data BoP'!AD52)+('Data BoP'!AD53)+('Data BoP'!AD54)+('Data BoP'!AD55)</f>
        <v>1920.43505745665</v>
      </c>
      <c r="AF55" s="10" t="n">
        <f aca="false">('Data BoP'!AE52)+('Data BoP'!AE53)+('Data BoP'!AE54)+('Data BoP'!AE55)</f>
        <v>33873.0831009491</v>
      </c>
      <c r="AG55" s="10" t="n">
        <f aca="false">('Data BoP'!AF52)+('Data BoP'!AF53)+('Data BoP'!AF54)+('Data BoP'!AF55)</f>
        <v>5.89492049398147</v>
      </c>
      <c r="AH55" s="10" t="n">
        <f aca="false">('Data BoP'!AG52)+('Data BoP'!AG53)+('Data BoP'!AG54)+('Data BoP'!AG55)</f>
        <v>-10902.3042057014</v>
      </c>
      <c r="AI55" s="10" t="n">
        <f aca="false">('Data BoP'!AH52)+('Data BoP'!AH53)+('Data BoP'!AH54)+('Data BoP'!AH55)</f>
        <v>23206.0371600055</v>
      </c>
      <c r="AJ55" s="10" t="n">
        <f aca="false">('Data BoP'!AL52)+('Data BoP'!AL53)+('Data BoP'!AL54)+('Data BoP'!AL55)</f>
        <v>34108.3413657069</v>
      </c>
      <c r="AK55" s="15" t="n">
        <f aca="false">('Data BoP'!AJ52)+('Data BoP'!AJ53)+('Data BoP'!AJ54)+('Data BoP'!AJ55)</f>
        <v>13315.7731414328</v>
      </c>
      <c r="AL55" s="10" t="n">
        <f aca="false">('Data BoP'!AK52)+('Data BoP'!AK53)+('Data BoP'!AK54)+('Data BoP'!AK55)</f>
        <v>-1613.79491365104</v>
      </c>
    </row>
    <row r="56" customFormat="false" ht="15" hidden="false" customHeight="false" outlineLevel="0" collapsed="false">
      <c r="B56" s="14" t="str">
        <f aca="false">'Data BoP'!B56</f>
        <v>2018-Q3</v>
      </c>
      <c r="C56" s="15" t="n">
        <f aca="false">'Data BoP'!U56</f>
        <v>-7852.63026316041</v>
      </c>
      <c r="D56" s="10" t="n">
        <f aca="false">'Data BoP'!V56</f>
        <v>-2655.92305025862</v>
      </c>
      <c r="E56" s="10" t="n">
        <f aca="false">'Data BoP'!W56</f>
        <v>497.410277804633</v>
      </c>
      <c r="F56" s="10" t="n">
        <f aca="false">'Data BoP'!X56</f>
        <v>0</v>
      </c>
      <c r="G56" s="10" t="n">
        <f aca="false">'Data BoP'!Y56</f>
        <v>2813.61583932005</v>
      </c>
      <c r="H56" s="10" t="n">
        <f aca="false">'Data BoP'!Z56</f>
        <v>339.7174887432</v>
      </c>
      <c r="I56" s="10" t="n">
        <f aca="false">'Data BoP'!AA56</f>
        <v>1902.42297592843</v>
      </c>
      <c r="J56" s="10" t="n">
        <f aca="false">'Data BoP'!AB56</f>
        <v>398.263781794475</v>
      </c>
      <c r="K56" s="10" t="n">
        <f aca="false">'Data BoP'!AC56</f>
        <v>308.423208195835</v>
      </c>
      <c r="L56" s="10" t="n">
        <f aca="false">'Data BoP'!AD56</f>
        <v>-130.885581879457</v>
      </c>
      <c r="M56" s="10" t="n">
        <f aca="false">'Data BoP'!AE56</f>
        <v>-1064.85040405866</v>
      </c>
      <c r="N56" s="10" t="n">
        <f aca="false">'Data BoP'!AF56</f>
        <v>30.437550125345</v>
      </c>
      <c r="O56" s="10" t="n">
        <f aca="false">'Data BoP'!AG56</f>
        <v>5157.07443774395</v>
      </c>
      <c r="P56" s="10" t="n">
        <f aca="false">'Data BoP'!AH56</f>
        <v>8069.97313174098</v>
      </c>
      <c r="Q56" s="10" t="n">
        <f aca="false">'Data BoP'!AL56</f>
        <v>2912.89869399703</v>
      </c>
      <c r="R56" s="15" t="n">
        <f aca="false">'Data BoP'!AJ56</f>
        <v>-12286.6421766995</v>
      </c>
      <c r="S56" s="10" t="n">
        <f aca="false">'Data BoP'!AK56</f>
        <v>-541.196840485812</v>
      </c>
      <c r="U56" s="14" t="str">
        <f aca="false">'Data BoP'!B56</f>
        <v>2018-Q3</v>
      </c>
      <c r="V56" s="15" t="n">
        <f aca="false">('Data BoP'!U53)+('Data BoP'!U54)+('Data BoP'!U55)+('Data BoP'!U56)</f>
        <v>-35600.8736178795</v>
      </c>
      <c r="W56" s="10" t="n">
        <f aca="false">('Data BoP'!V53)+('Data BoP'!V54)+('Data BoP'!V55)+('Data BoP'!V56)</f>
        <v>-9460.71887550719</v>
      </c>
      <c r="X56" s="10" t="n">
        <f aca="false">('Data BoP'!W53)+('Data BoP'!W54)+('Data BoP'!W55)+('Data BoP'!W56)</f>
        <v>1692.1886202778</v>
      </c>
      <c r="Y56" s="10" t="n">
        <f aca="false">('Data BoP'!X53)+('Data BoP'!X54)+('Data BoP'!X55)+('Data BoP'!X56)</f>
        <v>0</v>
      </c>
      <c r="Z56" s="10" t="n">
        <f aca="false">('Data BoP'!Y53)+('Data BoP'!Y54)+('Data BoP'!Y55)+('Data BoP'!Y56)</f>
        <v>10079.5858260488</v>
      </c>
      <c r="AA56" s="10" t="n">
        <f aca="false">('Data BoP'!Z53)+('Data BoP'!Z54)+('Data BoP'!Z55)+('Data BoP'!Z56)</f>
        <v>1073.32166973618</v>
      </c>
      <c r="AB56" s="10" t="n">
        <f aca="false">('Data BoP'!AA53)+('Data BoP'!AA54)+('Data BoP'!AA55)+('Data BoP'!AA56)</f>
        <v>-20087.2552729604</v>
      </c>
      <c r="AC56" s="10" t="n">
        <f aca="false">('Data BoP'!AB53)+('Data BoP'!AB54)+('Data BoP'!AB55)+('Data BoP'!AB56)</f>
        <v>319.314198712674</v>
      </c>
      <c r="AD56" s="10" t="n">
        <f aca="false">('Data BoP'!AC53)+('Data BoP'!AC54)+('Data BoP'!AC55)+('Data BoP'!AC56)</f>
        <v>6415.11721465304</v>
      </c>
      <c r="AE56" s="10" t="n">
        <f aca="false">('Data BoP'!AD53)+('Data BoP'!AD54)+('Data BoP'!AD55)+('Data BoP'!AD56)</f>
        <v>193.429798083278</v>
      </c>
      <c r="AF56" s="10" t="n">
        <f aca="false">('Data BoP'!AE53)+('Data BoP'!AE54)+('Data BoP'!AE55)+('Data BoP'!AE56)</f>
        <v>26628.2568882428</v>
      </c>
      <c r="AG56" s="10" t="n">
        <f aca="false">('Data BoP'!AF53)+('Data BoP'!AF54)+('Data BoP'!AF55)+('Data BoP'!AF56)</f>
        <v>25.2424706193265</v>
      </c>
      <c r="AH56" s="10" t="n">
        <f aca="false">('Data BoP'!AG53)+('Data BoP'!AG54)+('Data BoP'!AG55)+('Data BoP'!AG56)</f>
        <v>-5222.05352370739</v>
      </c>
      <c r="AI56" s="10" t="n">
        <f aca="false">('Data BoP'!AH53)+('Data BoP'!AH54)+('Data BoP'!AH55)+('Data BoP'!AH56)</f>
        <v>25858.6131358674</v>
      </c>
      <c r="AJ56" s="10" t="n">
        <f aca="false">('Data BoP'!AL53)+('Data BoP'!AL54)+('Data BoP'!AL55)+('Data BoP'!AL56)</f>
        <v>31080.6666595748</v>
      </c>
      <c r="AK56" s="15" t="n">
        <f aca="false">('Data BoP'!AJ53)+('Data BoP'!AJ54)+('Data BoP'!AJ55)+('Data BoP'!AJ56)</f>
        <v>-856.088416323857</v>
      </c>
      <c r="AL56" s="10" t="n">
        <f aca="false">('Data BoP'!AK53)+('Data BoP'!AK54)+('Data BoP'!AK55)+('Data BoP'!AK56)</f>
        <v>-1346.44343399738</v>
      </c>
    </row>
    <row r="57" customFormat="false" ht="15" hidden="false" customHeight="false" outlineLevel="0" collapsed="false">
      <c r="B57" s="14" t="str">
        <f aca="false">'Data BoP'!B57</f>
        <v>2018-Q4</v>
      </c>
      <c r="C57" s="15" t="n">
        <f aca="false">'Data BoP'!U57</f>
        <v>-1634.54123937629</v>
      </c>
      <c r="D57" s="10" t="n">
        <f aca="false">'Data BoP'!V57</f>
        <v>-2653.80148270199</v>
      </c>
      <c r="E57" s="10" t="n">
        <f aca="false">'Data BoP'!W57</f>
        <v>299.596457564755</v>
      </c>
      <c r="F57" s="10" t="n">
        <f aca="false">'Data BoP'!X57</f>
        <v>0</v>
      </c>
      <c r="G57" s="10" t="n">
        <f aca="false">'Data BoP'!Y57</f>
        <v>2376.55220400157</v>
      </c>
      <c r="H57" s="10" t="n">
        <f aca="false">'Data BoP'!Z57</f>
        <v>576.845736265182</v>
      </c>
      <c r="I57" s="10" t="n">
        <f aca="false">'Data BoP'!AA57</f>
        <v>2252.96231289322</v>
      </c>
      <c r="J57" s="10" t="n">
        <f aca="false">'Data BoP'!AB57</f>
        <v>111.024679748918</v>
      </c>
      <c r="K57" s="10" t="n">
        <f aca="false">'Data BoP'!AC57</f>
        <v>1229.11255488612</v>
      </c>
      <c r="L57" s="10" t="n">
        <f aca="false">'Data BoP'!AD57</f>
        <v>-187.033564604514</v>
      </c>
      <c r="M57" s="10" t="n">
        <f aca="false">'Data BoP'!AE57</f>
        <v>-725.79151365367</v>
      </c>
      <c r="N57" s="10" t="n">
        <f aca="false">'Data BoP'!AF57</f>
        <v>-31.5713596266062</v>
      </c>
      <c r="O57" s="10" t="n">
        <f aca="false">'Data BoP'!AG57</f>
        <v>-17871.7678347519</v>
      </c>
      <c r="P57" s="10" t="n">
        <f aca="false">'Data BoP'!AH57</f>
        <v>3964.52147462542</v>
      </c>
      <c r="Q57" s="10" t="n">
        <f aca="false">'Data BoP'!AL57</f>
        <v>21836.2893093773</v>
      </c>
      <c r="R57" s="15" t="n">
        <f aca="false">'Data BoP'!AJ57</f>
        <v>16669.637124811</v>
      </c>
      <c r="S57" s="10" t="n">
        <f aca="false">'Data BoP'!AK57</f>
        <v>240.717304089239</v>
      </c>
      <c r="U57" s="14" t="str">
        <f aca="false">'Data BoP'!B57</f>
        <v>2018-Q4</v>
      </c>
      <c r="V57" s="15" t="n">
        <f aca="false">('Data BoP'!U54)+('Data BoP'!U55)+('Data BoP'!U56)+('Data BoP'!U57)</f>
        <v>-28035.820784839</v>
      </c>
      <c r="W57" s="10" t="n">
        <f aca="false">('Data BoP'!V54)+('Data BoP'!V55)+('Data BoP'!V56)+('Data BoP'!V57)</f>
        <v>-9990.78824604859</v>
      </c>
      <c r="X57" s="10" t="n">
        <f aca="false">('Data BoP'!W54)+('Data BoP'!W55)+('Data BoP'!W56)+('Data BoP'!W57)</f>
        <v>1725.98157270571</v>
      </c>
      <c r="Y57" s="10" t="n">
        <f aca="false">('Data BoP'!X54)+('Data BoP'!X55)+('Data BoP'!X56)+('Data BoP'!X57)</f>
        <v>0</v>
      </c>
      <c r="Z57" s="10" t="n">
        <f aca="false">('Data BoP'!Y54)+('Data BoP'!Y55)+('Data BoP'!Y56)+('Data BoP'!Y57)</f>
        <v>10293.0524127529</v>
      </c>
      <c r="AA57" s="10" t="n">
        <f aca="false">('Data BoP'!Z54)+('Data BoP'!Z55)+('Data BoP'!Z56)+('Data BoP'!Z57)</f>
        <v>1423.71740600136</v>
      </c>
      <c r="AB57" s="10" t="n">
        <f aca="false">('Data BoP'!AA54)+('Data BoP'!AA55)+('Data BoP'!AA56)+('Data BoP'!AA57)</f>
        <v>-6923.92532596175</v>
      </c>
      <c r="AC57" s="10" t="n">
        <f aca="false">('Data BoP'!AB54)+('Data BoP'!AB55)+('Data BoP'!AB56)+('Data BoP'!AB57)</f>
        <v>583.913855810507</v>
      </c>
      <c r="AD57" s="10" t="n">
        <f aca="false">('Data BoP'!AC54)+('Data BoP'!AC55)+('Data BoP'!AC56)+('Data BoP'!AC57)</f>
        <v>5582.78762192414</v>
      </c>
      <c r="AE57" s="10" t="n">
        <f aca="false">('Data BoP'!AD54)+('Data BoP'!AD55)+('Data BoP'!AD56)+('Data BoP'!AD57)</f>
        <v>-508.346965302942</v>
      </c>
      <c r="AF57" s="10" t="n">
        <f aca="false">('Data BoP'!AE54)+('Data BoP'!AE55)+('Data BoP'!AE56)+('Data BoP'!AE57)</f>
        <v>13598.9737689993</v>
      </c>
      <c r="AG57" s="10" t="n">
        <f aca="false">('Data BoP'!AF54)+('Data BoP'!AF55)+('Data BoP'!AF56)+('Data BoP'!AF57)</f>
        <v>-32.1088890072798</v>
      </c>
      <c r="AH57" s="10" t="n">
        <f aca="false">('Data BoP'!AG54)+('Data BoP'!AG55)+('Data BoP'!AG56)+('Data BoP'!AG57)</f>
        <v>-22365.8911006742</v>
      </c>
      <c r="AI57" s="10" t="n">
        <f aca="false">('Data BoP'!AH54)+('Data BoP'!AH55)+('Data BoP'!AH56)+('Data BoP'!AH57)</f>
        <v>25616.7922885781</v>
      </c>
      <c r="AJ57" s="10" t="n">
        <f aca="false">('Data BoP'!AL54)+('Data BoP'!AL55)+('Data BoP'!AL56)+('Data BoP'!AL57)</f>
        <v>47982.6833892522</v>
      </c>
      <c r="AK57" s="15" t="n">
        <f aca="false">('Data BoP'!AJ54)+('Data BoP'!AJ55)+('Data BoP'!AJ56)+('Data BoP'!AJ57)</f>
        <v>11276.8927768528</v>
      </c>
      <c r="AL57" s="10" t="n">
        <f aca="false">('Data BoP'!AK54)+('Data BoP'!AK55)+('Data BoP'!AK56)+('Data BoP'!AK57)</f>
        <v>-1063.28985182095</v>
      </c>
    </row>
    <row r="58" customFormat="false" ht="15" hidden="false" customHeight="false" outlineLevel="0" collapsed="false">
      <c r="B58" s="14" t="str">
        <f aca="false">'Data BoP'!B58</f>
        <v>2019-Q1</v>
      </c>
      <c r="C58" s="15" t="n">
        <f aca="false">'Data BoP'!U58</f>
        <v>-3639.07674709064</v>
      </c>
      <c r="D58" s="10" t="n">
        <f aca="false">'Data BoP'!V58</f>
        <v>-1968.56102855577</v>
      </c>
      <c r="E58" s="10" t="n">
        <f aca="false">'Data BoP'!W58</f>
        <v>407.486226145831</v>
      </c>
      <c r="F58" s="10" t="n">
        <f aca="false">'Data BoP'!X58</f>
        <v>0</v>
      </c>
      <c r="G58" s="10" t="n">
        <f aca="false">'Data BoP'!Y58</f>
        <v>2091.91639612706</v>
      </c>
      <c r="H58" s="10" t="n">
        <f aca="false">'Data BoP'!Z58</f>
        <v>284.130858574543</v>
      </c>
      <c r="I58" s="10" t="n">
        <f aca="false">'Data BoP'!AA58</f>
        <v>362.190142130131</v>
      </c>
      <c r="J58" s="10" t="n">
        <f aca="false">'Data BoP'!AB58</f>
        <v>142.235282722098</v>
      </c>
      <c r="K58" s="10" t="n">
        <f aca="false">'Data BoP'!AC58</f>
        <v>1084.05880104576</v>
      </c>
      <c r="L58" s="10" t="n">
        <f aca="false">'Data BoP'!AD58</f>
        <v>194.292725775609</v>
      </c>
      <c r="M58" s="10" t="n">
        <f aca="false">'Data BoP'!AE58</f>
        <v>669.811215862121</v>
      </c>
      <c r="N58" s="10" t="n">
        <f aca="false">'Data BoP'!AF58</f>
        <v>-23.8018783345206</v>
      </c>
      <c r="O58" s="10" t="n">
        <f aca="false">'Data BoP'!AG58</f>
        <v>-1963.79290654107</v>
      </c>
      <c r="P58" s="10" t="n">
        <f aca="false">'Data BoP'!AH58</f>
        <v>-3.88323342716336</v>
      </c>
      <c r="Q58" s="10" t="n">
        <f aca="false">'Data BoP'!AL58</f>
        <v>1959.90967311391</v>
      </c>
      <c r="R58" s="15" t="n">
        <f aca="false">'Data BoP'!AJ58</f>
        <v>-45.1110757894112</v>
      </c>
      <c r="S58" s="10" t="n">
        <f aca="false">'Data BoP'!AK58</f>
        <v>-242.751164922101</v>
      </c>
      <c r="U58" s="14" t="str">
        <f aca="false">'Data BoP'!B58</f>
        <v>2019-Q1</v>
      </c>
      <c r="V58" s="15" t="n">
        <f aca="false">('Data BoP'!U55)+('Data BoP'!U56)+('Data BoP'!U57)+('Data BoP'!U58)</f>
        <v>-22127.8017670134</v>
      </c>
      <c r="W58" s="10" t="n">
        <f aca="false">('Data BoP'!V55)+('Data BoP'!V56)+('Data BoP'!V57)+('Data BoP'!V58)</f>
        <v>-9488.82370059072</v>
      </c>
      <c r="X58" s="10" t="n">
        <f aca="false">('Data BoP'!W55)+('Data BoP'!W56)+('Data BoP'!W57)+('Data BoP'!W58)</f>
        <v>1653.43234924325</v>
      </c>
      <c r="Y58" s="10" t="n">
        <f aca="false">('Data BoP'!X55)+('Data BoP'!X56)+('Data BoP'!X57)+('Data BoP'!X58)</f>
        <v>0</v>
      </c>
      <c r="Z58" s="10" t="n">
        <f aca="false">('Data BoP'!Y55)+('Data BoP'!Y56)+('Data BoP'!Y57)+('Data BoP'!Y58)</f>
        <v>9575.45287468046</v>
      </c>
      <c r="AA58" s="10" t="n">
        <f aca="false">('Data BoP'!Z55)+('Data BoP'!Z56)+('Data BoP'!Z57)+('Data BoP'!Z58)</f>
        <v>1566.8031751535</v>
      </c>
      <c r="AB58" s="10" t="n">
        <f aca="false">('Data BoP'!AA55)+('Data BoP'!AA56)+('Data BoP'!AA57)+('Data BoP'!AA58)</f>
        <v>6391.64517405111</v>
      </c>
      <c r="AC58" s="10" t="n">
        <f aca="false">('Data BoP'!AB55)+('Data BoP'!AB56)+('Data BoP'!AB57)+('Data BoP'!AB58)</f>
        <v>724.523744265491</v>
      </c>
      <c r="AD58" s="10" t="n">
        <f aca="false">('Data BoP'!AC55)+('Data BoP'!AC56)+('Data BoP'!AC57)+('Data BoP'!AC58)</f>
        <v>3090.10037577025</v>
      </c>
      <c r="AE58" s="10" t="n">
        <f aca="false">('Data BoP'!AD55)+('Data BoP'!AD56)+('Data BoP'!AD57)+('Data BoP'!AD58)</f>
        <v>-416.080817516281</v>
      </c>
      <c r="AF58" s="10" t="n">
        <f aca="false">('Data BoP'!AE55)+('Data BoP'!AE56)+('Data BoP'!AE57)+('Data BoP'!AE58)</f>
        <v>-2160.94023649909</v>
      </c>
      <c r="AG58" s="10" t="n">
        <f aca="false">('Data BoP'!AF55)+('Data BoP'!AF56)+('Data BoP'!AF57)+('Data BoP'!AF58)</f>
        <v>-29.2756162374003</v>
      </c>
      <c r="AH58" s="10" t="n">
        <f aca="false">('Data BoP'!AG55)+('Data BoP'!AG56)+('Data BoP'!AG57)+('Data BoP'!AG58)</f>
        <v>-24080.0981138975</v>
      </c>
      <c r="AI58" s="10" t="n">
        <f aca="false">('Data BoP'!AH55)+('Data BoP'!AH56)+('Data BoP'!AH57)+('Data BoP'!AH58)</f>
        <v>22373.8714106582</v>
      </c>
      <c r="AJ58" s="10" t="n">
        <f aca="false">('Data BoP'!AL55)+('Data BoP'!AL56)+('Data BoP'!AL57)+('Data BoP'!AL58)</f>
        <v>46453.9695245558</v>
      </c>
      <c r="AK58" s="15" t="n">
        <f aca="false">('Data BoP'!AJ55)+('Data BoP'!AJ56)+('Data BoP'!AJ57)+('Data BoP'!AJ58)</f>
        <v>5078.75048966118</v>
      </c>
      <c r="AL58" s="10" t="n">
        <f aca="false">('Data BoP'!AK55)+('Data BoP'!AK56)+('Data BoP'!AK57)+('Data BoP'!AK58)</f>
        <v>-1131.39170936294</v>
      </c>
    </row>
    <row r="59" customFormat="false" ht="15" hidden="false" customHeight="false" outlineLevel="0" collapsed="false">
      <c r="B59" s="14" t="str">
        <f aca="false">'Data BoP'!B59</f>
        <v>2019-Q2</v>
      </c>
      <c r="C59" s="15" t="n">
        <f aca="false">'Data BoP'!U59</f>
        <v>-2372.77135987174</v>
      </c>
      <c r="D59" s="10" t="n">
        <f aca="false">'Data BoP'!V59</f>
        <v>-380.712246064654</v>
      </c>
      <c r="E59" s="10" t="n">
        <f aca="false">'Data BoP'!W59</f>
        <v>334.56879247131</v>
      </c>
      <c r="F59" s="10" t="n">
        <f aca="false">'Data BoP'!X59</f>
        <v>0</v>
      </c>
      <c r="G59" s="10" t="n">
        <f aca="false">'Data BoP'!Y59</f>
        <v>741.182146530019</v>
      </c>
      <c r="H59" s="10" t="n">
        <f aca="false">'Data BoP'!Z59</f>
        <v>-25.9011079940539</v>
      </c>
      <c r="I59" s="10" t="n">
        <f aca="false">'Data BoP'!AA59</f>
        <v>6026.48192396303</v>
      </c>
      <c r="J59" s="10" t="n">
        <f aca="false">'Data BoP'!AB59</f>
        <v>180.060183159239</v>
      </c>
      <c r="K59" s="10" t="n">
        <f aca="false">'Data BoP'!AC59</f>
        <v>1130.47055153645</v>
      </c>
      <c r="L59" s="10" t="n">
        <f aca="false">'Data BoP'!AD59</f>
        <v>39.4201681206155</v>
      </c>
      <c r="M59" s="10" t="n">
        <f aca="false">'Data BoP'!AE59</f>
        <v>-4755.37135738796</v>
      </c>
      <c r="N59" s="10" t="n">
        <f aca="false">'Data BoP'!AF59</f>
        <v>-44.8981211763338</v>
      </c>
      <c r="O59" s="10" t="n">
        <f aca="false">'Data BoP'!AG59</f>
        <v>-6200.257435116</v>
      </c>
      <c r="P59" s="10" t="n">
        <f aca="false">'Data BoP'!AH59</f>
        <v>5393.65159345425</v>
      </c>
      <c r="Q59" s="10" t="n">
        <f aca="false">'Data BoP'!AL59</f>
        <v>11593.9090285703</v>
      </c>
      <c r="R59" s="15" t="n">
        <f aca="false">'Data BoP'!AJ59</f>
        <v>-1773.38548147778</v>
      </c>
      <c r="S59" s="10" t="n">
        <f aca="false">'Data BoP'!AK59</f>
        <v>-700.051957152791</v>
      </c>
      <c r="U59" s="14" t="str">
        <f aca="false">'Data BoP'!B59</f>
        <v>2019-Q2</v>
      </c>
      <c r="V59" s="15" t="n">
        <f aca="false">('Data BoP'!U56)+('Data BoP'!U57)+('Data BoP'!U58)+('Data BoP'!U59)</f>
        <v>-15499.0196094991</v>
      </c>
      <c r="W59" s="10" t="n">
        <f aca="false">('Data BoP'!V56)+('Data BoP'!V57)+('Data BoP'!V58)+('Data BoP'!V59)</f>
        <v>-7658.99780758104</v>
      </c>
      <c r="X59" s="10" t="n">
        <f aca="false">('Data BoP'!W56)+('Data BoP'!W57)+('Data BoP'!W58)+('Data BoP'!W59)</f>
        <v>1539.06175398653</v>
      </c>
      <c r="Y59" s="10" t="n">
        <f aca="false">('Data BoP'!X56)+('Data BoP'!X57)+('Data BoP'!X58)+('Data BoP'!X59)</f>
        <v>0</v>
      </c>
      <c r="Z59" s="10" t="n">
        <f aca="false">('Data BoP'!Y56)+('Data BoP'!Y57)+('Data BoP'!Y58)+('Data BoP'!Y59)</f>
        <v>8023.2665859787</v>
      </c>
      <c r="AA59" s="10" t="n">
        <f aca="false">('Data BoP'!Z56)+('Data BoP'!Z57)+('Data BoP'!Z58)+('Data BoP'!Z59)</f>
        <v>1174.79297558887</v>
      </c>
      <c r="AB59" s="10" t="n">
        <f aca="false">('Data BoP'!AA56)+('Data BoP'!AA57)+('Data BoP'!AA58)+('Data BoP'!AA59)</f>
        <v>10544.0573549148</v>
      </c>
      <c r="AC59" s="10" t="n">
        <f aca="false">('Data BoP'!AB56)+('Data BoP'!AB57)+('Data BoP'!AB58)+('Data BoP'!AB59)</f>
        <v>831.58392742473</v>
      </c>
      <c r="AD59" s="10" t="n">
        <f aca="false">('Data BoP'!AC56)+('Data BoP'!AC57)+('Data BoP'!AC58)+('Data BoP'!AC59)</f>
        <v>3752.06511566416</v>
      </c>
      <c r="AE59" s="10" t="n">
        <f aca="false">('Data BoP'!AD56)+('Data BoP'!AD57)+('Data BoP'!AD58)+('Data BoP'!AD59)</f>
        <v>-84.2062525877465</v>
      </c>
      <c r="AF59" s="10" t="n">
        <f aca="false">('Data BoP'!AE56)+('Data BoP'!AE57)+('Data BoP'!AE58)+('Data BoP'!AE59)</f>
        <v>-5876.20205923817</v>
      </c>
      <c r="AG59" s="10" t="n">
        <f aca="false">('Data BoP'!AF56)+('Data BoP'!AF57)+('Data BoP'!AF58)+('Data BoP'!AF59)</f>
        <v>-69.8338090121157</v>
      </c>
      <c r="AH59" s="10" t="n">
        <f aca="false">('Data BoP'!AG56)+('Data BoP'!AG57)+('Data BoP'!AG58)+('Data BoP'!AG59)</f>
        <v>-20878.743738665</v>
      </c>
      <c r="AI59" s="10" t="n">
        <f aca="false">('Data BoP'!AH56)+('Data BoP'!AH57)+('Data BoP'!AH58)+('Data BoP'!AH59)</f>
        <v>17424.2629663935</v>
      </c>
      <c r="AJ59" s="10" t="n">
        <f aca="false">('Data BoP'!AL56)+('Data BoP'!AL57)+('Data BoP'!AL58)+('Data BoP'!AL59)</f>
        <v>38303.0067050585</v>
      </c>
      <c r="AK59" s="15" t="n">
        <f aca="false">('Data BoP'!AJ56)+('Data BoP'!AJ57)+('Data BoP'!AJ58)+('Data BoP'!AJ59)</f>
        <v>2564.49839084426</v>
      </c>
      <c r="AL59" s="10" t="n">
        <f aca="false">('Data BoP'!AK56)+('Data BoP'!AK57)+('Data BoP'!AK58)+('Data BoP'!AK59)</f>
        <v>-1243.28265847146</v>
      </c>
    </row>
    <row r="60" customFormat="false" ht="15" hidden="false" customHeight="false" outlineLevel="0" collapsed="false">
      <c r="B60" s="14" t="str">
        <f aca="false">'Data BoP'!B60</f>
        <v>2019-Q3</v>
      </c>
      <c r="C60" s="15" t="n">
        <f aca="false">'Data BoP'!U60</f>
        <v>-1538.16157092787</v>
      </c>
      <c r="D60" s="10" t="n">
        <f aca="false">'Data BoP'!V60</f>
        <v>-1231.37446967855</v>
      </c>
      <c r="E60" s="10" t="n">
        <f aca="false">'Data BoP'!W60</f>
        <v>370.888368404539</v>
      </c>
      <c r="F60" s="10" t="n">
        <f aca="false">'Data BoP'!X60</f>
        <v>0</v>
      </c>
      <c r="G60" s="10" t="n">
        <f aca="false">'Data BoP'!Y60</f>
        <v>1595.2476785438</v>
      </c>
      <c r="H60" s="10" t="n">
        <f aca="false">'Data BoP'!Z60</f>
        <v>7.01515953928933</v>
      </c>
      <c r="I60" s="10" t="n">
        <f aca="false">'Data BoP'!AA60</f>
        <v>-110.599153138699</v>
      </c>
      <c r="J60" s="10" t="n">
        <f aca="false">'Data BoP'!AB60</f>
        <v>-41.8981243641673</v>
      </c>
      <c r="K60" s="10" t="n">
        <f aca="false">'Data BoP'!AC60</f>
        <v>-741.85085292159</v>
      </c>
      <c r="L60" s="10" t="n">
        <f aca="false">'Data BoP'!AD60</f>
        <v>-75.9375350786972</v>
      </c>
      <c r="M60" s="10" t="n">
        <f aca="false">'Data BoP'!AE60</f>
        <v>-597.212289068361</v>
      </c>
      <c r="N60" s="10" t="n">
        <f aca="false">'Data BoP'!AF60</f>
        <v>33.3530325249098</v>
      </c>
      <c r="O60" s="10" t="n">
        <f aca="false">'Data BoP'!AG60</f>
        <v>14593.5231534535</v>
      </c>
      <c r="P60" s="10" t="n">
        <f aca="false">'Data BoP'!AH60</f>
        <v>17318.3470433934</v>
      </c>
      <c r="Q60" s="10" t="n">
        <f aca="false">'Data BoP'!AL60</f>
        <v>2724.82388993996</v>
      </c>
      <c r="R60" s="15" t="n">
        <f aca="false">'Data BoP'!AJ60</f>
        <v>-14823.064134089</v>
      </c>
      <c r="S60" s="10" t="n">
        <f aca="false">'Data BoP'!AK60</f>
        <v>-809.714072565294</v>
      </c>
      <c r="U60" s="14" t="str">
        <f aca="false">'Data BoP'!B60</f>
        <v>2019-Q3</v>
      </c>
      <c r="V60" s="15" t="n">
        <f aca="false">('Data BoP'!U57)+('Data BoP'!U58)+('Data BoP'!U59)+('Data BoP'!U60)</f>
        <v>-9184.55091726654</v>
      </c>
      <c r="W60" s="10" t="n">
        <f aca="false">('Data BoP'!V57)+('Data BoP'!V58)+('Data BoP'!V59)+('Data BoP'!V60)</f>
        <v>-6234.44922700097</v>
      </c>
      <c r="X60" s="10" t="n">
        <f aca="false">('Data BoP'!W57)+('Data BoP'!W58)+('Data BoP'!W59)+('Data BoP'!W60)</f>
        <v>1412.53984458643</v>
      </c>
      <c r="Y60" s="10" t="n">
        <f aca="false">('Data BoP'!X57)+('Data BoP'!X58)+('Data BoP'!X59)+('Data BoP'!X60)</f>
        <v>0</v>
      </c>
      <c r="Z60" s="10" t="n">
        <f aca="false">('Data BoP'!Y57)+('Data BoP'!Y58)+('Data BoP'!Y59)+('Data BoP'!Y60)</f>
        <v>6804.89842520244</v>
      </c>
      <c r="AA60" s="10" t="n">
        <f aca="false">('Data BoP'!Z57)+('Data BoP'!Z58)+('Data BoP'!Z59)+('Data BoP'!Z60)</f>
        <v>842.09064638496</v>
      </c>
      <c r="AB60" s="10" t="n">
        <f aca="false">('Data BoP'!AA57)+('Data BoP'!AA58)+('Data BoP'!AA59)+('Data BoP'!AA60)</f>
        <v>8531.03522584768</v>
      </c>
      <c r="AC60" s="10" t="n">
        <f aca="false">('Data BoP'!AB57)+('Data BoP'!AB58)+('Data BoP'!AB59)+('Data BoP'!AB60)</f>
        <v>391.422021266088</v>
      </c>
      <c r="AD60" s="10" t="n">
        <f aca="false">('Data BoP'!AC57)+('Data BoP'!AC58)+('Data BoP'!AC59)+('Data BoP'!AC60)</f>
        <v>2701.79105454674</v>
      </c>
      <c r="AE60" s="10" t="n">
        <f aca="false">('Data BoP'!AD57)+('Data BoP'!AD58)+('Data BoP'!AD59)+('Data BoP'!AD60)</f>
        <v>-29.2582057869867</v>
      </c>
      <c r="AF60" s="10" t="n">
        <f aca="false">('Data BoP'!AE57)+('Data BoP'!AE58)+('Data BoP'!AE59)+('Data BoP'!AE60)</f>
        <v>-5408.56394424787</v>
      </c>
      <c r="AG60" s="10" t="n">
        <f aca="false">('Data BoP'!AF57)+('Data BoP'!AF58)+('Data BoP'!AF59)+('Data BoP'!AF60)</f>
        <v>-66.9183266125509</v>
      </c>
      <c r="AH60" s="10" t="n">
        <f aca="false">('Data BoP'!AG57)+('Data BoP'!AG58)+('Data BoP'!AG59)+('Data BoP'!AG60)</f>
        <v>-11442.2950229555</v>
      </c>
      <c r="AI60" s="10" t="n">
        <f aca="false">('Data BoP'!AH57)+('Data BoP'!AH58)+('Data BoP'!AH59)+('Data BoP'!AH60)</f>
        <v>26672.6368780459</v>
      </c>
      <c r="AJ60" s="10" t="n">
        <f aca="false">('Data BoP'!AL57)+('Data BoP'!AL58)+('Data BoP'!AL59)+('Data BoP'!AL60)</f>
        <v>38114.9319010014</v>
      </c>
      <c r="AK60" s="15" t="n">
        <f aca="false">('Data BoP'!AJ57)+('Data BoP'!AJ58)+('Data BoP'!AJ59)+('Data BoP'!AJ60)</f>
        <v>28.0764334547766</v>
      </c>
      <c r="AL60" s="10" t="n">
        <f aca="false">('Data BoP'!AK57)+('Data BoP'!AK58)+('Data BoP'!AK59)+('Data BoP'!AK60)</f>
        <v>-1511.79989055095</v>
      </c>
    </row>
    <row r="61" customFormat="false" ht="15" hidden="false" customHeight="false" outlineLevel="0" collapsed="false">
      <c r="B61" s="14" t="str">
        <f aca="false">'Data BoP'!B61</f>
        <v>2019-Q4</v>
      </c>
      <c r="C61" s="15" t="n">
        <f aca="false">'Data BoP'!U61</f>
        <v>2430.7441206668</v>
      </c>
      <c r="D61" s="10" t="n">
        <f aca="false">'Data BoP'!V61</f>
        <v>-1545.81194189176</v>
      </c>
      <c r="E61" s="10" t="n">
        <f aca="false">'Data BoP'!W61</f>
        <v>409.784764773643</v>
      </c>
      <c r="F61" s="10" t="n">
        <f aca="false">'Data BoP'!X61</f>
        <v>0</v>
      </c>
      <c r="G61" s="10" t="n">
        <f aca="false">'Data BoP'!Y61</f>
        <v>2053.47635226528</v>
      </c>
      <c r="H61" s="10" t="n">
        <f aca="false">'Data BoP'!Z61</f>
        <v>-97.8796455998697</v>
      </c>
      <c r="I61" s="10" t="n">
        <f aca="false">'Data BoP'!AA61</f>
        <v>830.508812361013</v>
      </c>
      <c r="J61" s="10" t="n">
        <f aca="false">'Data BoP'!AB61</f>
        <v>111</v>
      </c>
      <c r="K61" s="10" t="n">
        <f aca="false">'Data BoP'!AC61</f>
        <v>240.296830352355</v>
      </c>
      <c r="L61" s="10" t="n">
        <f aca="false">'Data BoP'!AD61</f>
        <v>-72.1759664304456</v>
      </c>
      <c r="M61" s="10" t="n">
        <f aca="false">'Data BoP'!AE61</f>
        <v>-407.036015578213</v>
      </c>
      <c r="N61" s="10" t="n">
        <f aca="false">'Data BoP'!AF61</f>
        <v>11.0466371329628</v>
      </c>
      <c r="O61" s="10" t="n">
        <f aca="false">'Data BoP'!AG61</f>
        <v>7867.99718944675</v>
      </c>
      <c r="P61" s="10" t="n">
        <f aca="false">'Data BoP'!AH61</f>
        <v>8545.09067334955</v>
      </c>
      <c r="Q61" s="10" t="n">
        <f aca="false">'Data BoP'!AL61</f>
        <v>677.093483902804</v>
      </c>
      <c r="R61" s="15" t="n">
        <f aca="false">'Data BoP'!AJ61</f>
        <v>-4732.99657638217</v>
      </c>
      <c r="S61" s="10" t="n">
        <f aca="false">'Data BoP'!AK61</f>
        <v>-158.216081896931</v>
      </c>
      <c r="U61" s="14" t="str">
        <f aca="false">'Data BoP'!B61</f>
        <v>2019-Q4</v>
      </c>
      <c r="V61" s="15" t="n">
        <f aca="false">('Data BoP'!U58)+('Data BoP'!U59)+('Data BoP'!U60)+('Data BoP'!U61)</f>
        <v>-5119.26555722345</v>
      </c>
      <c r="W61" s="10" t="n">
        <f aca="false">('Data BoP'!V58)+('Data BoP'!V59)+('Data BoP'!V60)+('Data BoP'!V61)</f>
        <v>-5126.45968619074</v>
      </c>
      <c r="X61" s="10" t="n">
        <f aca="false">('Data BoP'!W58)+('Data BoP'!W59)+('Data BoP'!W60)+('Data BoP'!W61)</f>
        <v>1522.72815179532</v>
      </c>
      <c r="Y61" s="10" t="n">
        <f aca="false">('Data BoP'!X58)+('Data BoP'!X59)+('Data BoP'!X60)+('Data BoP'!X61)</f>
        <v>0</v>
      </c>
      <c r="Z61" s="10" t="n">
        <f aca="false">('Data BoP'!Y58)+('Data BoP'!Y59)+('Data BoP'!Y60)+('Data BoP'!Y61)</f>
        <v>6481.82257346615</v>
      </c>
      <c r="AA61" s="10" t="n">
        <f aca="false">('Data BoP'!Z58)+('Data BoP'!Z59)+('Data BoP'!Z60)+('Data BoP'!Z61)</f>
        <v>167.365264519909</v>
      </c>
      <c r="AB61" s="10" t="n">
        <f aca="false">('Data BoP'!AA58)+('Data BoP'!AA59)+('Data BoP'!AA60)+('Data BoP'!AA61)</f>
        <v>7108.58172531548</v>
      </c>
      <c r="AC61" s="10" t="n">
        <f aca="false">('Data BoP'!AB58)+('Data BoP'!AB59)+('Data BoP'!AB60)+('Data BoP'!AB61)</f>
        <v>391.39734151717</v>
      </c>
      <c r="AD61" s="10" t="n">
        <f aca="false">('Data BoP'!AC58)+('Data BoP'!AC59)+('Data BoP'!AC60)+('Data BoP'!AC61)</f>
        <v>1712.97533001298</v>
      </c>
      <c r="AE61" s="10" t="n">
        <f aca="false">('Data BoP'!AD58)+('Data BoP'!AD59)+('Data BoP'!AD60)+('Data BoP'!AD61)</f>
        <v>85.5993923870812</v>
      </c>
      <c r="AF61" s="10" t="n">
        <f aca="false">('Data BoP'!AE58)+('Data BoP'!AE59)+('Data BoP'!AE60)+('Data BoP'!AE61)</f>
        <v>-5089.80844617241</v>
      </c>
      <c r="AG61" s="10" t="n">
        <f aca="false">('Data BoP'!AF58)+('Data BoP'!AF59)+('Data BoP'!AF60)+('Data BoP'!AF61)</f>
        <v>-24.3003298529818</v>
      </c>
      <c r="AH61" s="10" t="n">
        <f aca="false">('Data BoP'!AG58)+('Data BoP'!AG59)+('Data BoP'!AG60)+('Data BoP'!AG61)</f>
        <v>14297.4700012431</v>
      </c>
      <c r="AI61" s="10" t="n">
        <f aca="false">('Data BoP'!AH58)+('Data BoP'!AH59)+('Data BoP'!AH60)+('Data BoP'!AH61)</f>
        <v>31253.2060767701</v>
      </c>
      <c r="AJ61" s="10" t="n">
        <f aca="false">('Data BoP'!AL58)+('Data BoP'!AL59)+('Data BoP'!AL60)+('Data BoP'!AL61)</f>
        <v>16955.7360755269</v>
      </c>
      <c r="AK61" s="15" t="n">
        <f aca="false">('Data BoP'!AJ58)+('Data BoP'!AJ59)+('Data BoP'!AJ60)+('Data BoP'!AJ61)</f>
        <v>-21374.5572677384</v>
      </c>
      <c r="AL61" s="10" t="n">
        <f aca="false">('Data BoP'!AK58)+('Data BoP'!AK59)+('Data BoP'!AK60)+('Data BoP'!AK61)</f>
        <v>-1910.73327653712</v>
      </c>
    </row>
    <row r="62" customFormat="false" ht="15" hidden="false" customHeight="false" outlineLevel="0" collapsed="false">
      <c r="B62" s="14" t="str">
        <f aca="false">'Data BoP'!B62</f>
        <v>2020-Q1</v>
      </c>
      <c r="C62" s="15" t="n">
        <f aca="false">'Data BoP'!U62</f>
        <v>-511.546529692778</v>
      </c>
      <c r="D62" s="10" t="n">
        <f aca="false">'Data BoP'!V62</f>
        <v>-1593.99689369942</v>
      </c>
      <c r="E62" s="10" t="n">
        <f aca="false">'Data BoP'!W62</f>
        <v>245.865836536033</v>
      </c>
      <c r="F62" s="10" t="n">
        <f aca="false">'Data BoP'!X62</f>
        <v>0</v>
      </c>
      <c r="G62" s="10" t="n">
        <f aca="false">'Data BoP'!Y62</f>
        <v>1226.37599823546</v>
      </c>
      <c r="H62" s="10" t="n">
        <f aca="false">'Data BoP'!Z62</f>
        <v>613.486732</v>
      </c>
      <c r="I62" s="10" t="n">
        <f aca="false">'Data BoP'!AA62</f>
        <v>-675.639325425643</v>
      </c>
      <c r="J62" s="10" t="n">
        <f aca="false">'Data BoP'!AB62</f>
        <v>-254.091830866693</v>
      </c>
      <c r="K62" s="10" t="n">
        <f aca="false">'Data BoP'!AC62</f>
        <v>-1541.99774332071</v>
      </c>
      <c r="L62" s="10" t="n">
        <f aca="false">'Data BoP'!AD62</f>
        <v>330.870782601501</v>
      </c>
      <c r="M62" s="10" t="n">
        <f aca="false">'Data BoP'!AE62</f>
        <v>-1451.32103136327</v>
      </c>
      <c r="N62" s="10" t="n">
        <f aca="false">'Data BoP'!AF62</f>
        <v>0.453197252497891</v>
      </c>
      <c r="O62" s="10" t="n">
        <f aca="false">'Data BoP'!AG62</f>
        <v>2846.66878739478</v>
      </c>
      <c r="P62" s="10" t="n">
        <f aca="false">'Data BoP'!AH62</f>
        <v>700.548454006799</v>
      </c>
      <c r="Q62" s="10" t="n">
        <f aca="false">'Data BoP'!AL62</f>
        <v>-2146.12033338798</v>
      </c>
      <c r="R62" s="15" t="n">
        <f aca="false">'Data BoP'!AJ62</f>
        <v>-1089.03229521499</v>
      </c>
      <c r="S62" s="10" t="n">
        <f aca="false">'Data BoP'!AK62</f>
        <v>-671.096612291553</v>
      </c>
      <c r="U62" s="14" t="str">
        <f aca="false">'Data BoP'!B62</f>
        <v>2020-Q1</v>
      </c>
      <c r="V62" s="15" t="n">
        <f aca="false">('Data BoP'!U59)+('Data BoP'!U60)+('Data BoP'!U61)+('Data BoP'!U62)</f>
        <v>-1991.73533982559</v>
      </c>
      <c r="W62" s="10" t="n">
        <f aca="false">('Data BoP'!V59)+('Data BoP'!V60)+('Data BoP'!V61)+('Data BoP'!V62)</f>
        <v>-4751.89555133439</v>
      </c>
      <c r="X62" s="10" t="n">
        <f aca="false">('Data BoP'!W59)+('Data BoP'!W60)+('Data BoP'!W61)+('Data BoP'!W62)</f>
        <v>1361.10776218553</v>
      </c>
      <c r="Y62" s="10" t="n">
        <f aca="false">('Data BoP'!X59)+('Data BoP'!X60)+('Data BoP'!X61)+('Data BoP'!X62)</f>
        <v>0</v>
      </c>
      <c r="Z62" s="10" t="n">
        <f aca="false">('Data BoP'!Y59)+('Data BoP'!Y60)+('Data BoP'!Y61)+('Data BoP'!Y62)</f>
        <v>5616.28217557455</v>
      </c>
      <c r="AA62" s="10" t="n">
        <f aca="false">('Data BoP'!Z59)+('Data BoP'!Z60)+('Data BoP'!Z61)+('Data BoP'!Z62)</f>
        <v>496.721137945366</v>
      </c>
      <c r="AB62" s="10" t="n">
        <f aca="false">('Data BoP'!AA59)+('Data BoP'!AA60)+('Data BoP'!AA61)+('Data BoP'!AA62)</f>
        <v>6070.7522577597</v>
      </c>
      <c r="AC62" s="10" t="n">
        <f aca="false">('Data BoP'!AB59)+('Data BoP'!AB60)+('Data BoP'!AB61)+('Data BoP'!AB62)</f>
        <v>-4.92977207162161</v>
      </c>
      <c r="AD62" s="10" t="n">
        <f aca="false">('Data BoP'!AC59)+('Data BoP'!AC60)+('Data BoP'!AC61)+('Data BoP'!AC62)</f>
        <v>-913.081214353498</v>
      </c>
      <c r="AE62" s="10" t="n">
        <f aca="false">('Data BoP'!AD59)+('Data BoP'!AD60)+('Data BoP'!AD61)+('Data BoP'!AD62)</f>
        <v>222.177449212974</v>
      </c>
      <c r="AF62" s="10" t="n">
        <f aca="false">('Data BoP'!AE59)+('Data BoP'!AE60)+('Data BoP'!AE61)+('Data BoP'!AE62)</f>
        <v>-7210.9406933978</v>
      </c>
      <c r="AG62" s="10" t="n">
        <f aca="false">('Data BoP'!AF59)+('Data BoP'!AF60)+('Data BoP'!AF61)+('Data BoP'!AF62)</f>
        <v>-0.045254265963301</v>
      </c>
      <c r="AH62" s="10" t="n">
        <f aca="false">('Data BoP'!AG59)+('Data BoP'!AG60)+('Data BoP'!AG61)+('Data BoP'!AG62)</f>
        <v>19107.931695179</v>
      </c>
      <c r="AI62" s="10" t="n">
        <f aca="false">('Data BoP'!AH59)+('Data BoP'!AH60)+('Data BoP'!AH61)+('Data BoP'!AH62)</f>
        <v>31957.637764204</v>
      </c>
      <c r="AJ62" s="10" t="n">
        <f aca="false">('Data BoP'!AL59)+('Data BoP'!AL60)+('Data BoP'!AL61)+('Data BoP'!AL62)</f>
        <v>12849.706069025</v>
      </c>
      <c r="AK62" s="15" t="n">
        <f aca="false">('Data BoP'!AJ59)+('Data BoP'!AJ60)+('Data BoP'!AJ61)+('Data BoP'!AJ62)</f>
        <v>-22418.4784871639</v>
      </c>
      <c r="AL62" s="10" t="n">
        <f aca="false">('Data BoP'!AK59)+('Data BoP'!AK60)+('Data BoP'!AK61)+('Data BoP'!AK62)</f>
        <v>-2339.07872390657</v>
      </c>
    </row>
    <row r="63" customFormat="false" ht="15" hidden="false" customHeight="false" outlineLevel="0" collapsed="false">
      <c r="B63" s="14" t="str">
        <f aca="false">'Data BoP'!B63</f>
        <v>2020-Q2</v>
      </c>
      <c r="C63" s="15" t="n">
        <f aca="false">'Data BoP'!U63</f>
        <v>3825.15198658468</v>
      </c>
      <c r="D63" s="10" t="n">
        <f aca="false">'Data BoP'!V63</f>
        <v>387.386819103626</v>
      </c>
      <c r="E63" s="10" t="n">
        <f aca="false">'Data BoP'!W63</f>
        <v>267.674455471812</v>
      </c>
      <c r="F63" s="10" t="n">
        <f aca="false">'Data BoP'!X63</f>
        <v>0</v>
      </c>
      <c r="G63" s="10" t="n">
        <f aca="false">'Data BoP'!Y63</f>
        <v>737.233300368187</v>
      </c>
      <c r="H63" s="10" t="n">
        <f aca="false">'Data BoP'!Z63</f>
        <v>-856.945664</v>
      </c>
      <c r="I63" s="10" t="n">
        <f aca="false">'Data BoP'!AA63</f>
        <v>1259.2767866839</v>
      </c>
      <c r="J63" s="10" t="n">
        <f aca="false">'Data BoP'!AB63</f>
        <v>403.527399124713</v>
      </c>
      <c r="K63" s="10" t="n">
        <f aca="false">'Data BoP'!AC63</f>
        <v>-1106.73895622431</v>
      </c>
      <c r="L63" s="10" t="n">
        <f aca="false">'Data BoP'!AD63</f>
        <v>-247.553614009794</v>
      </c>
      <c r="M63" s="10" t="n">
        <f aca="false">'Data BoP'!AE63</f>
        <v>-1714.9347297737</v>
      </c>
      <c r="N63" s="10" t="n">
        <f aca="false">'Data BoP'!AF63</f>
        <v>3.49636311945675</v>
      </c>
      <c r="O63" s="10" t="n">
        <f aca="false">'Data BoP'!AG63</f>
        <v>2967.70549324801</v>
      </c>
      <c r="P63" s="10" t="n">
        <f aca="false">'Data BoP'!AH63</f>
        <v>2310.02618286365</v>
      </c>
      <c r="Q63" s="10" t="n">
        <f aca="false">'Data BoP'!AL63</f>
        <v>-657.679310384358</v>
      </c>
      <c r="R63" s="15" t="n">
        <f aca="false">'Data BoP'!AJ63</f>
        <v>-792.713475570322</v>
      </c>
      <c r="S63" s="10" t="n">
        <f aca="false">'Data BoP'!AK63</f>
        <v>930.203849957502</v>
      </c>
      <c r="U63" s="14" t="str">
        <f aca="false">'Data BoP'!B63</f>
        <v>2020-Q2</v>
      </c>
      <c r="V63" s="15" t="n">
        <f aca="false">('Data BoP'!U60)+('Data BoP'!U61)+('Data BoP'!U62)+('Data BoP'!U63)</f>
        <v>4206.18800663083</v>
      </c>
      <c r="W63" s="10" t="n">
        <f aca="false">('Data BoP'!V60)+('Data BoP'!V61)+('Data BoP'!V62)+('Data BoP'!V63)</f>
        <v>-3983.79648616611</v>
      </c>
      <c r="X63" s="10" t="n">
        <f aca="false">('Data BoP'!W60)+('Data BoP'!W61)+('Data BoP'!W62)+('Data BoP'!W63)</f>
        <v>1294.21342518603</v>
      </c>
      <c r="Y63" s="10" t="n">
        <f aca="false">('Data BoP'!X60)+('Data BoP'!X61)+('Data BoP'!X62)+('Data BoP'!X63)</f>
        <v>0</v>
      </c>
      <c r="Z63" s="10" t="n">
        <f aca="false">('Data BoP'!Y60)+('Data BoP'!Y61)+('Data BoP'!Y62)+('Data BoP'!Y63)</f>
        <v>5612.33332941272</v>
      </c>
      <c r="AA63" s="10" t="n">
        <f aca="false">('Data BoP'!Z60)+('Data BoP'!Z61)+('Data BoP'!Z62)+('Data BoP'!Z63)</f>
        <v>-334.32341806058</v>
      </c>
      <c r="AB63" s="10" t="n">
        <f aca="false">('Data BoP'!AA60)+('Data BoP'!AA61)+('Data BoP'!AA62)+('Data BoP'!AA63)</f>
        <v>1303.54712048057</v>
      </c>
      <c r="AC63" s="10" t="n">
        <f aca="false">('Data BoP'!AB60)+('Data BoP'!AB61)+('Data BoP'!AB62)+('Data BoP'!AB63)</f>
        <v>218.537443893853</v>
      </c>
      <c r="AD63" s="10" t="n">
        <f aca="false">('Data BoP'!AC60)+('Data BoP'!AC61)+('Data BoP'!AC62)+('Data BoP'!AC63)</f>
        <v>-3150.29072211426</v>
      </c>
      <c r="AE63" s="10" t="n">
        <f aca="false">('Data BoP'!AD60)+('Data BoP'!AD61)+('Data BoP'!AD62)+('Data BoP'!AD63)</f>
        <v>-64.7963329174355</v>
      </c>
      <c r="AF63" s="10" t="n">
        <f aca="false">('Data BoP'!AE60)+('Data BoP'!AE61)+('Data BoP'!AE62)+('Data BoP'!AE63)</f>
        <v>-4170.50406578354</v>
      </c>
      <c r="AG63" s="10" t="n">
        <f aca="false">('Data BoP'!AF60)+('Data BoP'!AF61)+('Data BoP'!AF62)+('Data BoP'!AF63)</f>
        <v>48.3492300298273</v>
      </c>
      <c r="AH63" s="10" t="n">
        <f aca="false">('Data BoP'!AG60)+('Data BoP'!AG61)+('Data BoP'!AG62)+('Data BoP'!AG63)</f>
        <v>28275.894623543</v>
      </c>
      <c r="AI63" s="10" t="n">
        <f aca="false">('Data BoP'!AH60)+('Data BoP'!AH61)+('Data BoP'!AH62)+('Data BoP'!AH63)</f>
        <v>28874.0123536134</v>
      </c>
      <c r="AJ63" s="10" t="n">
        <f aca="false">('Data BoP'!AL60)+('Data BoP'!AL61)+('Data BoP'!AL62)+('Data BoP'!AL63)</f>
        <v>598.117730070421</v>
      </c>
      <c r="AK63" s="15" t="n">
        <f aca="false">('Data BoP'!AJ60)+('Data BoP'!AJ61)+('Data BoP'!AJ62)+('Data BoP'!AJ63)</f>
        <v>-21437.8064812565</v>
      </c>
      <c r="AL63" s="10" t="n">
        <f aca="false">('Data BoP'!AK60)+('Data BoP'!AK61)+('Data BoP'!AK62)+('Data BoP'!AK63)</f>
        <v>-708.822916796276</v>
      </c>
    </row>
    <row r="64" customFormat="false" ht="15" hidden="false" customHeight="false" outlineLevel="0" collapsed="false">
      <c r="B64" s="14" t="str">
        <f aca="false">'Data BoP'!B64</f>
        <v>2020-Q3</v>
      </c>
      <c r="C64" s="15" t="n">
        <f aca="false">'Data BoP'!U64</f>
        <v>-375.648522642659</v>
      </c>
      <c r="D64" s="10" t="n">
        <f aca="false">'Data BoP'!V64</f>
        <v>-1249.86488872772</v>
      </c>
      <c r="E64" s="10" t="n">
        <f aca="false">'Data BoP'!W64</f>
        <v>324.088101519215</v>
      </c>
      <c r="F64" s="10" t="n">
        <f aca="false">'Data BoP'!X64</f>
        <v>0</v>
      </c>
      <c r="G64" s="10" t="n">
        <f aca="false">'Data BoP'!Y64</f>
        <v>942.738964246935</v>
      </c>
      <c r="H64" s="10" t="n">
        <f aca="false">'Data BoP'!Z64</f>
        <v>631.214026</v>
      </c>
      <c r="I64" s="10" t="n">
        <f aca="false">'Data BoP'!AA64</f>
        <v>2268.45479182862</v>
      </c>
      <c r="J64" s="10" t="n">
        <f aca="false">'Data BoP'!AB64</f>
        <v>675.518523884594</v>
      </c>
      <c r="K64" s="10" t="n">
        <f aca="false">'Data BoP'!AC64</f>
        <v>-654.763485761337</v>
      </c>
      <c r="L64" s="10" t="n">
        <f aca="false">'Data BoP'!AD64</f>
        <v>-219.082432526344</v>
      </c>
      <c r="M64" s="10" t="n">
        <f aca="false">'Data BoP'!AE64</f>
        <v>-2028.61732117902</v>
      </c>
      <c r="N64" s="10" t="n">
        <f aca="false">'Data BoP'!AF64</f>
        <v>-0.61779038559861</v>
      </c>
      <c r="O64" s="10" t="n">
        <f aca="false">'Data BoP'!AG64</f>
        <v>1642.51747061654</v>
      </c>
      <c r="P64" s="10" t="n">
        <f aca="false">'Data BoP'!AH64</f>
        <v>350.300001661821</v>
      </c>
      <c r="Q64" s="10" t="n">
        <f aca="false">'Data BoP'!AL64</f>
        <v>-1292.21746895472</v>
      </c>
      <c r="R64" s="15" t="n">
        <f aca="false">'Data BoP'!AJ64</f>
        <v>-3036.1381059745</v>
      </c>
      <c r="S64" s="10" t="n">
        <f aca="false">'Data BoP'!AK64</f>
        <v>-1566.40510066011</v>
      </c>
      <c r="U64" s="14" t="str">
        <f aca="false">'Data BoP'!B64</f>
        <v>2020-Q3</v>
      </c>
      <c r="V64" s="15" t="n">
        <f aca="false">('Data BoP'!U61)+('Data BoP'!U62)+('Data BoP'!U63)+('Data BoP'!U64)</f>
        <v>5368.70105491604</v>
      </c>
      <c r="W64" s="10" t="n">
        <f aca="false">('Data BoP'!V61)+('Data BoP'!V62)+('Data BoP'!V63)+('Data BoP'!V64)</f>
        <v>-4002.28690521528</v>
      </c>
      <c r="X64" s="10" t="n">
        <f aca="false">('Data BoP'!W61)+('Data BoP'!W62)+('Data BoP'!W63)+('Data BoP'!W64)</f>
        <v>1247.4131583007</v>
      </c>
      <c r="Y64" s="10" t="n">
        <f aca="false">('Data BoP'!X61)+('Data BoP'!X62)+('Data BoP'!X63)+('Data BoP'!X64)</f>
        <v>0</v>
      </c>
      <c r="Z64" s="10" t="n">
        <f aca="false">('Data BoP'!Y61)+('Data BoP'!Y62)+('Data BoP'!Y63)+('Data BoP'!Y64)</f>
        <v>4959.82461511586</v>
      </c>
      <c r="AA64" s="10" t="n">
        <f aca="false">('Data BoP'!Z61)+('Data BoP'!Z62)+('Data BoP'!Z63)+('Data BoP'!Z64)</f>
        <v>289.87544840013</v>
      </c>
      <c r="AB64" s="10" t="n">
        <f aca="false">('Data BoP'!AA61)+('Data BoP'!AA62)+('Data BoP'!AA63)+('Data BoP'!AA64)</f>
        <v>3682.60106544789</v>
      </c>
      <c r="AC64" s="10" t="n">
        <f aca="false">('Data BoP'!AB61)+('Data BoP'!AB62)+('Data BoP'!AB63)+('Data BoP'!AB64)</f>
        <v>935.954092142614</v>
      </c>
      <c r="AD64" s="10" t="n">
        <f aca="false">('Data BoP'!AC61)+('Data BoP'!AC62)+('Data BoP'!AC63)+('Data BoP'!AC64)</f>
        <v>-3063.203354954</v>
      </c>
      <c r="AE64" s="10" t="n">
        <f aca="false">('Data BoP'!AD61)+('Data BoP'!AD62)+('Data BoP'!AD63)+('Data BoP'!AD64)</f>
        <v>-207.941230365082</v>
      </c>
      <c r="AF64" s="10" t="n">
        <f aca="false">('Data BoP'!AE61)+('Data BoP'!AE62)+('Data BoP'!AE63)+('Data BoP'!AE64)</f>
        <v>-5601.9090978942</v>
      </c>
      <c r="AG64" s="10" t="n">
        <f aca="false">('Data BoP'!AF61)+('Data BoP'!AF62)+('Data BoP'!AF63)+('Data BoP'!AF64)</f>
        <v>14.3784071193189</v>
      </c>
      <c r="AH64" s="10" t="n">
        <f aca="false">('Data BoP'!AG61)+('Data BoP'!AG62)+('Data BoP'!AG63)+('Data BoP'!AG64)</f>
        <v>15324.8889407061</v>
      </c>
      <c r="AI64" s="10" t="n">
        <f aca="false">('Data BoP'!AH61)+('Data BoP'!AH62)+('Data BoP'!AH63)+('Data BoP'!AH64)</f>
        <v>11905.9653118818</v>
      </c>
      <c r="AJ64" s="10" t="n">
        <f aca="false">('Data BoP'!AL61)+('Data BoP'!AL62)+('Data BoP'!AL63)+('Data BoP'!AL64)</f>
        <v>-3418.92362882426</v>
      </c>
      <c r="AK64" s="15" t="n">
        <f aca="false">('Data BoP'!AJ61)+('Data BoP'!AJ62)+('Data BoP'!AJ63)+('Data BoP'!AJ64)</f>
        <v>-9650.88045314198</v>
      </c>
      <c r="AL64" s="10" t="n">
        <f aca="false">('Data BoP'!AK61)+('Data BoP'!AK62)+('Data BoP'!AK63)+('Data BoP'!AK64)</f>
        <v>-1465.51394489109</v>
      </c>
    </row>
    <row r="65" customFormat="false" ht="15" hidden="false" customHeight="false" outlineLevel="0" collapsed="false">
      <c r="B65" s="14" t="str">
        <f aca="false">'Data BoP'!B65</f>
        <v>2020-Q4</v>
      </c>
      <c r="C65" s="15" t="n">
        <f aca="false">'Data BoP'!U65</f>
        <v>-1575.83692752025</v>
      </c>
      <c r="D65" s="10" t="n">
        <f aca="false">'Data BoP'!V65</f>
        <v>-1250.47580402809</v>
      </c>
      <c r="E65" s="10" t="n">
        <f aca="false">'Data BoP'!W65</f>
        <v>339.548515078398</v>
      </c>
      <c r="F65" s="10" t="n">
        <f aca="false">'Data BoP'!X65</f>
        <v>0</v>
      </c>
      <c r="G65" s="10" t="n">
        <f aca="false">'Data BoP'!Y65</f>
        <v>1138.42787210649</v>
      </c>
      <c r="H65" s="10" t="n">
        <f aca="false">'Data BoP'!Z65</f>
        <v>451.596447</v>
      </c>
      <c r="I65" s="10" t="n">
        <f aca="false">'Data BoP'!AA65</f>
        <v>-1281.39047602471</v>
      </c>
      <c r="J65" s="10" t="n">
        <f aca="false">'Data BoP'!AB65</f>
        <v>266.703798658817</v>
      </c>
      <c r="K65" s="10" t="n">
        <f aca="false">'Data BoP'!AC65</f>
        <v>-768.054359461056</v>
      </c>
      <c r="L65" s="10" t="n">
        <f aca="false">'Data BoP'!AD65</f>
        <v>17.6565178866622</v>
      </c>
      <c r="M65" s="10" t="n">
        <f aca="false">'Data BoP'!AE65</f>
        <v>762.383397335807</v>
      </c>
      <c r="N65" s="10" t="n">
        <f aca="false">'Data BoP'!AF65</f>
        <v>7.08159952110955</v>
      </c>
      <c r="O65" s="10" t="n">
        <f aca="false">'Data BoP'!AG65</f>
        <v>3758.23473198083</v>
      </c>
      <c r="P65" s="10" t="n">
        <f aca="false">'Data BoP'!AH65</f>
        <v>4177.9143894376</v>
      </c>
      <c r="Q65" s="10" t="n">
        <f aca="false">'Data BoP'!AL65</f>
        <v>419.679657456771</v>
      </c>
      <c r="R65" s="15" t="n">
        <f aca="false">'Data BoP'!AJ65</f>
        <v>-2809.28697896939</v>
      </c>
      <c r="S65" s="10" t="n">
        <f aca="false">'Data BoP'!AK65</f>
        <v>-183.706609353297</v>
      </c>
      <c r="U65" s="14" t="str">
        <f aca="false">'Data BoP'!B65</f>
        <v>2020-Q4</v>
      </c>
      <c r="V65" s="15" t="n">
        <f aca="false">('Data BoP'!U62)+('Data BoP'!U63)+('Data BoP'!U64)+('Data BoP'!U65)</f>
        <v>1362.12000672899</v>
      </c>
      <c r="W65" s="10" t="n">
        <f aca="false">('Data BoP'!V62)+('Data BoP'!V63)+('Data BoP'!V64)+('Data BoP'!V65)</f>
        <v>-3706.95076735161</v>
      </c>
      <c r="X65" s="10" t="n">
        <f aca="false">('Data BoP'!W62)+('Data BoP'!W63)+('Data BoP'!W64)+('Data BoP'!W65)</f>
        <v>1177.17690860546</v>
      </c>
      <c r="Y65" s="10" t="n">
        <f aca="false">('Data BoP'!X62)+('Data BoP'!X63)+('Data BoP'!X64)+('Data BoP'!X65)</f>
        <v>0</v>
      </c>
      <c r="Z65" s="10" t="n">
        <f aca="false">('Data BoP'!Y62)+('Data BoP'!Y63)+('Data BoP'!Y64)+('Data BoP'!Y65)</f>
        <v>4044.77613495707</v>
      </c>
      <c r="AA65" s="10" t="n">
        <f aca="false">('Data BoP'!Z62)+('Data BoP'!Z63)+('Data BoP'!Z64)+('Data BoP'!Z65)</f>
        <v>839.351541</v>
      </c>
      <c r="AB65" s="10" t="n">
        <f aca="false">('Data BoP'!AA62)+('Data BoP'!AA63)+('Data BoP'!AA64)+('Data BoP'!AA65)</f>
        <v>1570.70177706217</v>
      </c>
      <c r="AC65" s="10" t="n">
        <f aca="false">('Data BoP'!AB62)+('Data BoP'!AB63)+('Data BoP'!AB64)+('Data BoP'!AB65)</f>
        <v>1091.65789080143</v>
      </c>
      <c r="AD65" s="10" t="n">
        <f aca="false">('Data BoP'!AC62)+('Data BoP'!AC63)+('Data BoP'!AC64)+('Data BoP'!AC65)</f>
        <v>-4071.55454476741</v>
      </c>
      <c r="AE65" s="10" t="n">
        <f aca="false">('Data BoP'!AD62)+('Data BoP'!AD63)+('Data BoP'!AD64)+('Data BoP'!AD65)</f>
        <v>-118.108746047974</v>
      </c>
      <c r="AF65" s="10" t="n">
        <f aca="false">('Data BoP'!AE62)+('Data BoP'!AE63)+('Data BoP'!AE64)+('Data BoP'!AE65)</f>
        <v>-4432.48968498018</v>
      </c>
      <c r="AG65" s="10" t="n">
        <f aca="false">('Data BoP'!AF62)+('Data BoP'!AF63)+('Data BoP'!AF64)+('Data BoP'!AF65)</f>
        <v>10.4133695074656</v>
      </c>
      <c r="AH65" s="10" t="n">
        <f aca="false">('Data BoP'!AG62)+('Data BoP'!AG63)+('Data BoP'!AG64)+('Data BoP'!AG65)</f>
        <v>11215.1264832402</v>
      </c>
      <c r="AI65" s="10" t="n">
        <f aca="false">('Data BoP'!AH62)+('Data BoP'!AH63)+('Data BoP'!AH64)+('Data BoP'!AH65)</f>
        <v>7538.78902796988</v>
      </c>
      <c r="AJ65" s="10" t="n">
        <f aca="false">('Data BoP'!AL62)+('Data BoP'!AL63)+('Data BoP'!AL64)+('Data BoP'!AL65)</f>
        <v>-3676.33745527029</v>
      </c>
      <c r="AK65" s="15" t="n">
        <f aca="false">('Data BoP'!AJ62)+('Data BoP'!AJ63)+('Data BoP'!AJ64)+('Data BoP'!AJ65)</f>
        <v>-7727.1708557292</v>
      </c>
      <c r="AL65" s="10" t="n">
        <f aca="false">('Data BoP'!AK62)+('Data BoP'!AK63)+('Data BoP'!AK64)+('Data BoP'!AK65)</f>
        <v>-1491.00447234746</v>
      </c>
    </row>
    <row r="66" customFormat="false" ht="15" hidden="false" customHeight="false" outlineLevel="0" collapsed="false">
      <c r="B66" s="14" t="str">
        <f aca="false">'Data BoP'!B66</f>
        <v>2021-Q1</v>
      </c>
      <c r="C66" s="15" t="n">
        <f aca="false">'Data BoP'!U66</f>
        <v>1409.6082485043</v>
      </c>
      <c r="D66" s="10" t="n">
        <f aca="false">'Data BoP'!V66</f>
        <v>-2213.89521442746</v>
      </c>
      <c r="E66" s="10" t="n">
        <f aca="false">'Data BoP'!W66</f>
        <v>336.269204878981</v>
      </c>
      <c r="F66" s="10" t="n">
        <f aca="false">'Data BoP'!X66</f>
        <v>0</v>
      </c>
      <c r="G66" s="10" t="n">
        <f aca="false">'Data BoP'!Y66</f>
        <v>1434.14841930644</v>
      </c>
      <c r="H66" s="10" t="n">
        <f aca="false">'Data BoP'!Z66</f>
        <v>1116.016</v>
      </c>
      <c r="I66" s="10" t="n">
        <f aca="false">'Data BoP'!AA66</f>
        <v>1891.5611353144</v>
      </c>
      <c r="J66" s="10" t="n">
        <f aca="false">'Data BoP'!AB66</f>
        <v>939.96090556627</v>
      </c>
      <c r="K66" s="10" t="n">
        <f aca="false">'Data BoP'!AC66</f>
        <v>-270.957075207599</v>
      </c>
      <c r="L66" s="10" t="n">
        <f aca="false">'Data BoP'!AD66</f>
        <v>-8.32984892342864</v>
      </c>
      <c r="M66" s="10" t="n">
        <f aca="false">'Data BoP'!AE66</f>
        <v>-1214.2274560323</v>
      </c>
      <c r="N66" s="10" t="n">
        <f aca="false">'Data BoP'!AF66</f>
        <v>-3.15155229257537</v>
      </c>
      <c r="O66" s="10" t="n">
        <f aca="false">'Data BoP'!AG66</f>
        <v>1055.43727284597</v>
      </c>
      <c r="P66" s="10" t="n">
        <f aca="false">'Data BoP'!AH66</f>
        <v>834.925167618541</v>
      </c>
      <c r="Q66" s="10" t="n">
        <f aca="false">'Data BoP'!AL66</f>
        <v>-220.512105227428</v>
      </c>
      <c r="R66" s="15" t="n">
        <f aca="false">'Data BoP'!AJ66</f>
        <v>679.656607063962</v>
      </c>
      <c r="S66" s="10" t="n">
        <f aca="false">'Data BoP'!AK66</f>
        <v>968.408816480171</v>
      </c>
      <c r="U66" s="14" t="str">
        <f aca="false">'Data BoP'!B66</f>
        <v>2021-Q1</v>
      </c>
      <c r="V66" s="15" t="n">
        <f aca="false">('Data BoP'!U63)+('Data BoP'!U64)+('Data BoP'!U65)+('Data BoP'!U66)</f>
        <v>3283.27478492607</v>
      </c>
      <c r="W66" s="10" t="n">
        <f aca="false">('Data BoP'!V63)+('Data BoP'!V64)+('Data BoP'!V65)+('Data BoP'!V66)</f>
        <v>-4326.84908807965</v>
      </c>
      <c r="X66" s="10" t="n">
        <f aca="false">('Data BoP'!W63)+('Data BoP'!W64)+('Data BoP'!W65)+('Data BoP'!W66)</f>
        <v>1267.58027694841</v>
      </c>
      <c r="Y66" s="10" t="n">
        <f aca="false">('Data BoP'!X63)+('Data BoP'!X64)+('Data BoP'!X65)+('Data BoP'!X66)</f>
        <v>0</v>
      </c>
      <c r="Z66" s="10" t="n">
        <f aca="false">('Data BoP'!Y63)+('Data BoP'!Y64)+('Data BoP'!Y65)+('Data BoP'!Y66)</f>
        <v>4252.54855602806</v>
      </c>
      <c r="AA66" s="10" t="n">
        <f aca="false">('Data BoP'!Z63)+('Data BoP'!Z64)+('Data BoP'!Z65)+('Data BoP'!Z66)</f>
        <v>1341.880809</v>
      </c>
      <c r="AB66" s="10" t="n">
        <f aca="false">('Data BoP'!AA63)+('Data BoP'!AA64)+('Data BoP'!AA65)+('Data BoP'!AA66)</f>
        <v>4137.90223780222</v>
      </c>
      <c r="AC66" s="10" t="n">
        <f aca="false">('Data BoP'!AB63)+('Data BoP'!AB64)+('Data BoP'!AB65)+('Data BoP'!AB66)</f>
        <v>2285.71062723439</v>
      </c>
      <c r="AD66" s="10" t="n">
        <f aca="false">('Data BoP'!AC63)+('Data BoP'!AC64)+('Data BoP'!AC65)+('Data BoP'!AC66)</f>
        <v>-2800.5138766543</v>
      </c>
      <c r="AE66" s="10" t="n">
        <f aca="false">('Data BoP'!AD63)+('Data BoP'!AD64)+('Data BoP'!AD65)+('Data BoP'!AD66)</f>
        <v>-457.309377572904</v>
      </c>
      <c r="AF66" s="10" t="n">
        <f aca="false">('Data BoP'!AE63)+('Data BoP'!AE64)+('Data BoP'!AE65)+('Data BoP'!AE66)</f>
        <v>-4195.39610964922</v>
      </c>
      <c r="AG66" s="10" t="n">
        <f aca="false">('Data BoP'!AF63)+('Data BoP'!AF64)+('Data BoP'!AF65)+('Data BoP'!AF66)</f>
        <v>6.80861996239232</v>
      </c>
      <c r="AH66" s="10" t="n">
        <f aca="false">('Data BoP'!AG63)+('Data BoP'!AG64)+('Data BoP'!AG65)+('Data BoP'!AG66)</f>
        <v>9423.89496869136</v>
      </c>
      <c r="AI66" s="10" t="n">
        <f aca="false">('Data BoP'!AH63)+('Data BoP'!AH64)+('Data BoP'!AH65)+('Data BoP'!AH66)</f>
        <v>7673.16574158162</v>
      </c>
      <c r="AJ66" s="10" t="n">
        <f aca="false">('Data BoP'!AL63)+('Data BoP'!AL64)+('Data BoP'!AL65)+('Data BoP'!AL66)</f>
        <v>-1750.72922710974</v>
      </c>
      <c r="AK66" s="15" t="n">
        <f aca="false">('Data BoP'!AJ63)+('Data BoP'!AJ64)+('Data BoP'!AJ65)+('Data BoP'!AJ66)</f>
        <v>-5958.48195345025</v>
      </c>
      <c r="AL66" s="10" t="n">
        <f aca="false">('Data BoP'!AK63)+('Data BoP'!AK64)+('Data BoP'!AK65)+('Data BoP'!AK66)</f>
        <v>148.500956424266</v>
      </c>
    </row>
    <row r="67" customFormat="false" ht="15" hidden="false" customHeight="false" outlineLevel="0" collapsed="false">
      <c r="B67" s="14" t="str">
        <f aca="false">'Data BoP'!B67</f>
        <v>2021-Q2</v>
      </c>
      <c r="C67" s="15" t="n">
        <f aca="false">'Data BoP'!U67</f>
        <v>1304.92242189026</v>
      </c>
      <c r="D67" s="10" t="n">
        <f aca="false">'Data BoP'!V67</f>
        <v>-1583.0381450697</v>
      </c>
      <c r="E67" s="10" t="n">
        <f aca="false">'Data BoP'!W67</f>
        <v>381.125828025692</v>
      </c>
      <c r="F67" s="10" t="n">
        <f aca="false">'Data BoP'!X67</f>
        <v>0</v>
      </c>
      <c r="G67" s="10" t="n">
        <f aca="false">'Data BoP'!Y67</f>
        <v>1323.41697309539</v>
      </c>
      <c r="H67" s="10" t="n">
        <f aca="false">'Data BoP'!Z67</f>
        <v>640.747</v>
      </c>
      <c r="I67" s="10" t="n">
        <f aca="false">'Data BoP'!AA67</f>
        <v>1245.6458959761</v>
      </c>
      <c r="J67" s="10" t="n">
        <f aca="false">'Data BoP'!AB67</f>
        <v>528.323686161562</v>
      </c>
      <c r="K67" s="10" t="n">
        <f aca="false">'Data BoP'!AC67</f>
        <v>-137.82326015</v>
      </c>
      <c r="L67" s="10" t="n">
        <f aca="false">'Data BoP'!AD67</f>
        <v>122.707370233657</v>
      </c>
      <c r="M67" s="10" t="n">
        <f aca="false">'Data BoP'!AE67</f>
        <v>-977.852840198194</v>
      </c>
      <c r="N67" s="10" t="n">
        <f aca="false">'Data BoP'!AF67</f>
        <v>-0.0066810909034202</v>
      </c>
      <c r="O67" s="10" t="n">
        <f aca="false">'Data BoP'!AG67</f>
        <v>-760.436799186793</v>
      </c>
      <c r="P67" s="10" t="n">
        <f aca="false">'Data BoP'!AH67</f>
        <v>840.409704545032</v>
      </c>
      <c r="Q67" s="10" t="n">
        <f aca="false">'Data BoP'!AL67</f>
        <v>1600.84650373183</v>
      </c>
      <c r="R67" s="15" t="n">
        <f aca="false">'Data BoP'!AJ67</f>
        <v>2402.75815126156</v>
      </c>
      <c r="S67" s="10" t="n">
        <f aca="false">'Data BoP'!AK67</f>
        <v>-1335.68066594554</v>
      </c>
      <c r="U67" s="14" t="str">
        <f aca="false">'Data BoP'!B67</f>
        <v>2021-Q2</v>
      </c>
      <c r="V67" s="15" t="n">
        <f aca="false">('Data BoP'!U64)+('Data BoP'!U65)+('Data BoP'!U66)+('Data BoP'!U67)</f>
        <v>763.045220231655</v>
      </c>
      <c r="W67" s="10" t="n">
        <f aca="false">('Data BoP'!V64)+('Data BoP'!V65)+('Data BoP'!V66)+('Data BoP'!V67)</f>
        <v>-6297.27405225297</v>
      </c>
      <c r="X67" s="10" t="n">
        <f aca="false">('Data BoP'!W64)+('Data BoP'!W65)+('Data BoP'!W66)+('Data BoP'!W67)</f>
        <v>1381.03164950229</v>
      </c>
      <c r="Y67" s="10" t="n">
        <f aca="false">('Data BoP'!X64)+('Data BoP'!X65)+('Data BoP'!X66)+('Data BoP'!X67)</f>
        <v>0</v>
      </c>
      <c r="Z67" s="10" t="n">
        <f aca="false">('Data BoP'!Y64)+('Data BoP'!Y65)+('Data BoP'!Y66)+('Data BoP'!Y67)</f>
        <v>4838.73222875526</v>
      </c>
      <c r="AA67" s="10" t="n">
        <f aca="false">('Data BoP'!Z64)+('Data BoP'!Z65)+('Data BoP'!Z66)+('Data BoP'!Z67)</f>
        <v>2839.573473</v>
      </c>
      <c r="AB67" s="10" t="n">
        <f aca="false">('Data BoP'!AA64)+('Data BoP'!AA65)+('Data BoP'!AA66)+('Data BoP'!AA67)</f>
        <v>4124.27134709441</v>
      </c>
      <c r="AC67" s="10" t="n">
        <f aca="false">('Data BoP'!AB64)+('Data BoP'!AB65)+('Data BoP'!AB66)+('Data BoP'!AB67)</f>
        <v>2410.50691427124</v>
      </c>
      <c r="AD67" s="10" t="n">
        <f aca="false">('Data BoP'!AC64)+('Data BoP'!AC65)+('Data BoP'!AC66)+('Data BoP'!AC67)</f>
        <v>-1831.59818057999</v>
      </c>
      <c r="AE67" s="10" t="n">
        <f aca="false">('Data BoP'!AD64)+('Data BoP'!AD65)+('Data BoP'!AD66)+('Data BoP'!AD67)</f>
        <v>-87.0483933294535</v>
      </c>
      <c r="AF67" s="10" t="n">
        <f aca="false">('Data BoP'!AE64)+('Data BoP'!AE65)+('Data BoP'!AE66)+('Data BoP'!AE67)</f>
        <v>-3458.31422007371</v>
      </c>
      <c r="AG67" s="10" t="n">
        <f aca="false">('Data BoP'!AF64)+('Data BoP'!AF65)+('Data BoP'!AF66)+('Data BoP'!AF67)</f>
        <v>3.30557575203215</v>
      </c>
      <c r="AH67" s="10" t="n">
        <f aca="false">('Data BoP'!AG64)+('Data BoP'!AG65)+('Data BoP'!AG66)+('Data BoP'!AG67)</f>
        <v>5695.75267625655</v>
      </c>
      <c r="AI67" s="10" t="n">
        <f aca="false">('Data BoP'!AH64)+('Data BoP'!AH65)+('Data BoP'!AH66)+('Data BoP'!AH67)</f>
        <v>6203.549263263</v>
      </c>
      <c r="AJ67" s="10" t="n">
        <f aca="false">('Data BoP'!AL64)+('Data BoP'!AL65)+('Data BoP'!AL66)+('Data BoP'!AL67)</f>
        <v>507.796587006444</v>
      </c>
      <c r="AK67" s="15" t="n">
        <f aca="false">('Data BoP'!AJ64)+('Data BoP'!AJ65)+('Data BoP'!AJ66)+('Data BoP'!AJ67)</f>
        <v>-2763.01032661837</v>
      </c>
      <c r="AL67" s="10" t="n">
        <f aca="false">('Data BoP'!AK64)+('Data BoP'!AK65)+('Data BoP'!AK66)+('Data BoP'!AK67)</f>
        <v>-2117.38355947877</v>
      </c>
    </row>
    <row r="68" customFormat="false" ht="15" hidden="false" customHeight="false" outlineLevel="0" collapsed="false">
      <c r="B68" s="14" t="str">
        <f aca="false">'Data BoP'!B68</f>
        <v>2021-Q3</v>
      </c>
      <c r="C68" s="15" t="n">
        <f aca="false">'Data BoP'!U68</f>
        <v>1215.19337335936</v>
      </c>
      <c r="D68" s="10" t="n">
        <f aca="false">'Data BoP'!V68</f>
        <v>-338.682081916765</v>
      </c>
      <c r="E68" s="10" t="n">
        <f aca="false">'Data BoP'!W68</f>
        <v>402.281948314904</v>
      </c>
      <c r="F68" s="10" t="n">
        <f aca="false">'Data BoP'!X68</f>
        <v>0</v>
      </c>
      <c r="G68" s="10" t="n">
        <f aca="false">'Data BoP'!Y68</f>
        <v>1683.83103023167</v>
      </c>
      <c r="H68" s="10" t="n">
        <f aca="false">'Data BoP'!Z68</f>
        <v>-942.867</v>
      </c>
      <c r="I68" s="10" t="n">
        <f aca="false">'Data BoP'!AA68</f>
        <v>985.550739323458</v>
      </c>
      <c r="J68" s="10" t="n">
        <f aca="false">'Data BoP'!AB68</f>
        <v>282.869534084494</v>
      </c>
      <c r="K68" s="10" t="n">
        <f aca="false">'Data BoP'!AC68</f>
        <v>-53.817404835131</v>
      </c>
      <c r="L68" s="10" t="n">
        <f aca="false">'Data BoP'!AD68</f>
        <v>34.8824335572754</v>
      </c>
      <c r="M68" s="10" t="n">
        <f aca="false">'Data BoP'!AE68</f>
        <v>-791.38104363137</v>
      </c>
      <c r="N68" s="10" t="n">
        <f aca="false">'Data BoP'!AF68</f>
        <v>0.218187633420215</v>
      </c>
      <c r="O68" s="10" t="n">
        <f aca="false">'Data BoP'!AG68</f>
        <v>116.251401984752</v>
      </c>
      <c r="P68" s="10" t="n">
        <f aca="false">'Data BoP'!AH68</f>
        <v>1584.25142376516</v>
      </c>
      <c r="Q68" s="10" t="n">
        <f aca="false">'Data BoP'!AL68</f>
        <v>1468.00002178041</v>
      </c>
      <c r="R68" s="15" t="n">
        <f aca="false">'Data BoP'!AJ68</f>
        <v>451.855126334499</v>
      </c>
      <c r="S68" s="10" t="n">
        <f aca="false">'Data BoP'!AK68</f>
        <v>-2203.64221203054</v>
      </c>
      <c r="U68" s="14" t="str">
        <f aca="false">'Data BoP'!B68</f>
        <v>2021-Q3</v>
      </c>
      <c r="V68" s="15" t="n">
        <f aca="false">('Data BoP'!U65)+('Data BoP'!U66)+('Data BoP'!U67)+('Data BoP'!U68)</f>
        <v>2353.88711623368</v>
      </c>
      <c r="W68" s="10" t="n">
        <f aca="false">('Data BoP'!V65)+('Data BoP'!V66)+('Data BoP'!V67)+('Data BoP'!V68)</f>
        <v>-5386.09124544202</v>
      </c>
      <c r="X68" s="10" t="n">
        <f aca="false">('Data BoP'!W65)+('Data BoP'!W66)+('Data BoP'!W67)+('Data BoP'!W68)</f>
        <v>1459.22549629798</v>
      </c>
      <c r="Y68" s="10" t="n">
        <f aca="false">('Data BoP'!X65)+('Data BoP'!X66)+('Data BoP'!X67)+('Data BoP'!X68)</f>
        <v>0</v>
      </c>
      <c r="Z68" s="10" t="n">
        <f aca="false">('Data BoP'!Y65)+('Data BoP'!Y66)+('Data BoP'!Y67)+('Data BoP'!Y68)</f>
        <v>5579.82429473999</v>
      </c>
      <c r="AA68" s="10" t="n">
        <f aca="false">('Data BoP'!Z65)+('Data BoP'!Z66)+('Data BoP'!Z67)+('Data BoP'!Z68)</f>
        <v>1265.492447</v>
      </c>
      <c r="AB68" s="10" t="n">
        <f aca="false">('Data BoP'!AA65)+('Data BoP'!AA66)+('Data BoP'!AA67)+('Data BoP'!AA68)</f>
        <v>2841.36729458925</v>
      </c>
      <c r="AC68" s="10" t="n">
        <f aca="false">('Data BoP'!AB65)+('Data BoP'!AB66)+('Data BoP'!AB67)+('Data BoP'!AB68)</f>
        <v>2017.85792447114</v>
      </c>
      <c r="AD68" s="10" t="n">
        <f aca="false">('Data BoP'!AC65)+('Data BoP'!AC66)+('Data BoP'!AC67)+('Data BoP'!AC68)</f>
        <v>-1230.65209965379</v>
      </c>
      <c r="AE68" s="10" t="n">
        <f aca="false">('Data BoP'!AD65)+('Data BoP'!AD66)+('Data BoP'!AD67)+('Data BoP'!AD68)</f>
        <v>166.916472754166</v>
      </c>
      <c r="AF68" s="10" t="n">
        <f aca="false">('Data BoP'!AE65)+('Data BoP'!AE66)+('Data BoP'!AE67)+('Data BoP'!AE68)</f>
        <v>-2221.07794252606</v>
      </c>
      <c r="AG68" s="10" t="n">
        <f aca="false">('Data BoP'!AF65)+('Data BoP'!AF66)+('Data BoP'!AF67)+('Data BoP'!AF68)</f>
        <v>4.14155377105097</v>
      </c>
      <c r="AH68" s="10" t="n">
        <f aca="false">('Data BoP'!AG65)+('Data BoP'!AG66)+('Data BoP'!AG67)+('Data BoP'!AG68)</f>
        <v>4169.48660762476</v>
      </c>
      <c r="AI68" s="10" t="n">
        <f aca="false">('Data BoP'!AH65)+('Data BoP'!AH66)+('Data BoP'!AH67)+('Data BoP'!AH68)</f>
        <v>7437.50068536634</v>
      </c>
      <c r="AJ68" s="10" t="n">
        <f aca="false">('Data BoP'!AL65)+('Data BoP'!AL66)+('Data BoP'!AL67)+('Data BoP'!AL68)</f>
        <v>3268.01407774158</v>
      </c>
      <c r="AK68" s="15" t="n">
        <f aca="false">('Data BoP'!AJ65)+('Data BoP'!AJ66)+('Data BoP'!AJ67)+('Data BoP'!AJ68)</f>
        <v>724.982905690632</v>
      </c>
      <c r="AL68" s="10" t="n">
        <f aca="false">('Data BoP'!AK65)+('Data BoP'!AK66)+('Data BoP'!AK67)+('Data BoP'!AK68)</f>
        <v>-2754.62067084921</v>
      </c>
    </row>
    <row r="69" customFormat="false" ht="15" hidden="false" customHeight="false" outlineLevel="0" collapsed="false">
      <c r="B69" s="14" t="str">
        <f aca="false">'Data BoP'!B69</f>
        <v>2021-Q4</v>
      </c>
      <c r="C69" s="15" t="n">
        <f aca="false">'Data BoP'!U69</f>
        <v>571.984058638881</v>
      </c>
      <c r="D69" s="10" t="n">
        <f aca="false">'Data BoP'!V69</f>
        <v>-978.572500104496</v>
      </c>
      <c r="E69" s="10" t="n">
        <f aca="false">'Data BoP'!W69</f>
        <v>424.184756539289</v>
      </c>
      <c r="F69" s="10" t="n">
        <f aca="false">'Data BoP'!X69</f>
        <v>0</v>
      </c>
      <c r="G69" s="10" t="n">
        <f aca="false">'Data BoP'!Y69</f>
        <v>1243.06425664379</v>
      </c>
      <c r="H69" s="10" t="n">
        <f aca="false">'Data BoP'!Z69</f>
        <v>159.693</v>
      </c>
      <c r="I69" s="10" t="n">
        <f aca="false">'Data BoP'!AA69</f>
        <v>817.680347020978</v>
      </c>
      <c r="J69" s="10" t="n">
        <f aca="false">'Data BoP'!AB69</f>
        <v>260.84155533978</v>
      </c>
      <c r="K69" s="10" t="n">
        <f aca="false">'Data BoP'!AC69</f>
        <v>-54.5239915988625</v>
      </c>
      <c r="L69" s="10" t="n">
        <f aca="false">'Data BoP'!AD69</f>
        <v>-153.333180650288</v>
      </c>
      <c r="M69" s="10" t="n">
        <f aca="false">'Data BoP'!AE69</f>
        <v>-458.029602629773</v>
      </c>
      <c r="N69" s="10" t="n">
        <f aca="false">'Data BoP'!AF69</f>
        <v>-12.6336820155202</v>
      </c>
      <c r="O69" s="10" t="n">
        <f aca="false">'Data BoP'!AG69</f>
        <v>4385.59260392792</v>
      </c>
      <c r="P69" s="10" t="n">
        <f aca="false">'Data BoP'!AH69</f>
        <v>2702.28210033114</v>
      </c>
      <c r="Q69" s="10" t="n">
        <f aca="false">'Data BoP'!AL69</f>
        <v>-1683.31050359678</v>
      </c>
      <c r="R69" s="15" t="n">
        <f aca="false">'Data BoP'!AJ69</f>
        <v>-3640.08271019</v>
      </c>
      <c r="S69" s="10" t="n">
        <f aca="false">'Data BoP'!AK69</f>
        <v>194.848951332894</v>
      </c>
      <c r="U69" s="14" t="str">
        <f aca="false">'Data BoP'!B69</f>
        <v>2021-Q4</v>
      </c>
      <c r="V69" s="15" t="n">
        <f aca="false">('Data BoP'!U66)+('Data BoP'!U67)+('Data BoP'!U68)+('Data BoP'!U69)</f>
        <v>4501.70810239281</v>
      </c>
      <c r="W69" s="10" t="n">
        <f aca="false">('Data BoP'!V66)+('Data BoP'!V67)+('Data BoP'!V68)+('Data BoP'!V69)</f>
        <v>-5114.18794151842</v>
      </c>
      <c r="X69" s="10" t="n">
        <f aca="false">('Data BoP'!W66)+('Data BoP'!W67)+('Data BoP'!W68)+('Data BoP'!W69)</f>
        <v>1543.86173775887</v>
      </c>
      <c r="Y69" s="10" t="n">
        <f aca="false">('Data BoP'!X66)+('Data BoP'!X67)+('Data BoP'!X68)+('Data BoP'!X69)</f>
        <v>0</v>
      </c>
      <c r="Z69" s="10" t="n">
        <f aca="false">('Data BoP'!Y66)+('Data BoP'!Y67)+('Data BoP'!Y68)+('Data BoP'!Y69)</f>
        <v>5684.46067927729</v>
      </c>
      <c r="AA69" s="10" t="n">
        <f aca="false">('Data BoP'!Z66)+('Data BoP'!Z67)+('Data BoP'!Z68)+('Data BoP'!Z69)</f>
        <v>973.589</v>
      </c>
      <c r="AB69" s="10" t="n">
        <f aca="false">('Data BoP'!AA66)+('Data BoP'!AA67)+('Data BoP'!AA68)+('Data BoP'!AA69)</f>
        <v>4940.43811763494</v>
      </c>
      <c r="AC69" s="10" t="n">
        <f aca="false">('Data BoP'!AB66)+('Data BoP'!AB67)+('Data BoP'!AB68)+('Data BoP'!AB69)</f>
        <v>2011.99568115211</v>
      </c>
      <c r="AD69" s="10" t="n">
        <f aca="false">('Data BoP'!AC66)+('Data BoP'!AC67)+('Data BoP'!AC68)+('Data BoP'!AC69)</f>
        <v>-517.121731791592</v>
      </c>
      <c r="AE69" s="10" t="n">
        <f aca="false">('Data BoP'!AD66)+('Data BoP'!AD67)+('Data BoP'!AD68)+('Data BoP'!AD69)</f>
        <v>-4.07322578278419</v>
      </c>
      <c r="AF69" s="10" t="n">
        <f aca="false">('Data BoP'!AE66)+('Data BoP'!AE67)+('Data BoP'!AE68)+('Data BoP'!AE69)</f>
        <v>-3441.49094249164</v>
      </c>
      <c r="AG69" s="10" t="n">
        <f aca="false">('Data BoP'!AF66)+('Data BoP'!AF67)+('Data BoP'!AF68)+('Data BoP'!AF69)</f>
        <v>-15.5737277655788</v>
      </c>
      <c r="AH69" s="10" t="n">
        <f aca="false">('Data BoP'!AG66)+('Data BoP'!AG67)+('Data BoP'!AG68)+('Data BoP'!AG69)</f>
        <v>4796.84447957185</v>
      </c>
      <c r="AI69" s="10" t="n">
        <f aca="false">('Data BoP'!AH66)+('Data BoP'!AH67)+('Data BoP'!AH68)+('Data BoP'!AH69)</f>
        <v>5961.86839625988</v>
      </c>
      <c r="AJ69" s="10" t="n">
        <f aca="false">('Data BoP'!AL66)+('Data BoP'!AL67)+('Data BoP'!AL68)+('Data BoP'!AL69)</f>
        <v>1165.02391668803</v>
      </c>
      <c r="AK69" s="15" t="n">
        <f aca="false">('Data BoP'!AJ66)+('Data BoP'!AJ67)+('Data BoP'!AJ68)+('Data BoP'!AJ69)</f>
        <v>-105.812825529981</v>
      </c>
      <c r="AL69" s="10" t="n">
        <f aca="false">('Data BoP'!AK66)+('Data BoP'!AK67)+('Data BoP'!AK68)+('Data BoP'!AK69)</f>
        <v>-2376.06511016302</v>
      </c>
    </row>
    <row r="70" customFormat="false" ht="15" hidden="false" customHeight="false" outlineLevel="0" collapsed="false">
      <c r="B70" s="14" t="str">
        <f aca="false">'Data BoP'!B70</f>
        <v>2022-Q1</v>
      </c>
      <c r="C70" s="15" t="n">
        <f aca="false">'Data BoP'!U70</f>
        <v>-1739.15553078291</v>
      </c>
      <c r="D70" s="10" t="n">
        <f aca="false">'Data BoP'!V70</f>
        <v>-3055.48223307047</v>
      </c>
      <c r="E70" s="10" t="n">
        <f aca="false">'Data BoP'!W70</f>
        <v>436.023411712954</v>
      </c>
      <c r="F70" s="10" t="n">
        <f aca="false">'Data BoP'!X70</f>
        <v>0</v>
      </c>
      <c r="G70" s="10" t="n">
        <f aca="false">'Data BoP'!Y70</f>
        <v>1562.98164478343</v>
      </c>
      <c r="H70" s="10" t="n">
        <f aca="false">'Data BoP'!Z70</f>
        <v>1928.524</v>
      </c>
      <c r="I70" s="10" t="n">
        <f aca="false">'Data BoP'!AA70</f>
        <v>2332.96317337898</v>
      </c>
      <c r="J70" s="10" t="n">
        <f aca="false">'Data BoP'!AB70</f>
        <v>164.687644948596</v>
      </c>
      <c r="K70" s="10" t="n">
        <f aca="false">'Data BoP'!AC70</f>
        <v>703.901439353931</v>
      </c>
      <c r="L70" s="10" t="n">
        <f aca="false">'Data BoP'!AD70</f>
        <v>96.6890773092027</v>
      </c>
      <c r="M70" s="10" t="n">
        <f aca="false">'Data BoP'!AE70</f>
        <v>-1561.06316638566</v>
      </c>
      <c r="N70" s="10" t="n">
        <f aca="false">'Data BoP'!AF70</f>
        <v>1.16851433590152</v>
      </c>
      <c r="O70" s="10" t="n">
        <f aca="false">'Data BoP'!AG70</f>
        <v>-4210.20285610732</v>
      </c>
      <c r="P70" s="10" t="n">
        <f aca="false">'Data BoP'!AH70</f>
        <v>3243.44606404784</v>
      </c>
      <c r="Q70" s="10" t="n">
        <f aca="false">'Data BoP'!AL70</f>
        <v>7453.64892015516</v>
      </c>
      <c r="R70" s="15" t="n">
        <f aca="false">'Data BoP'!AJ70</f>
        <v>3192.39787068</v>
      </c>
      <c r="S70" s="10" t="n">
        <f aca="false">'Data BoP'!AK70</f>
        <v>-530.795359616002</v>
      </c>
      <c r="U70" s="14" t="str">
        <f aca="false">'Data BoP'!B70</f>
        <v>2022-Q1</v>
      </c>
      <c r="V70" s="15" t="n">
        <f aca="false">('Data BoP'!U67)+('Data BoP'!U68)+('Data BoP'!U69)+('Data BoP'!U70)</f>
        <v>1352.9443231056</v>
      </c>
      <c r="W70" s="10" t="n">
        <f aca="false">('Data BoP'!V67)+('Data BoP'!V68)+('Data BoP'!V69)+('Data BoP'!V70)</f>
        <v>-5955.77496016144</v>
      </c>
      <c r="X70" s="10" t="n">
        <f aca="false">('Data BoP'!W67)+('Data BoP'!W68)+('Data BoP'!W69)+('Data BoP'!W70)</f>
        <v>1643.61594459284</v>
      </c>
      <c r="Y70" s="10" t="n">
        <f aca="false">('Data BoP'!X67)+('Data BoP'!X68)+('Data BoP'!X69)+('Data BoP'!X70)</f>
        <v>0</v>
      </c>
      <c r="Z70" s="10" t="n">
        <f aca="false">('Data BoP'!Y67)+('Data BoP'!Y68)+('Data BoP'!Y69)+('Data BoP'!Y70)</f>
        <v>5813.29390475427</v>
      </c>
      <c r="AA70" s="10" t="n">
        <f aca="false">('Data BoP'!Z67)+('Data BoP'!Z68)+('Data BoP'!Z69)+('Data BoP'!Z70)</f>
        <v>1786.097</v>
      </c>
      <c r="AB70" s="10" t="n">
        <f aca="false">('Data BoP'!AA67)+('Data BoP'!AA68)+('Data BoP'!AA69)+('Data BoP'!AA70)</f>
        <v>5381.84015569952</v>
      </c>
      <c r="AC70" s="10" t="n">
        <f aca="false">('Data BoP'!AB67)+('Data BoP'!AB68)+('Data BoP'!AB69)+('Data BoP'!AB70)</f>
        <v>1236.72242053443</v>
      </c>
      <c r="AD70" s="10" t="n">
        <f aca="false">('Data BoP'!AC67)+('Data BoP'!AC68)+('Data BoP'!AC69)+('Data BoP'!AC70)</f>
        <v>457.736782769938</v>
      </c>
      <c r="AE70" s="10" t="n">
        <f aca="false">('Data BoP'!AD67)+('Data BoP'!AD68)+('Data BoP'!AD69)+('Data BoP'!AD70)</f>
        <v>100.945700449847</v>
      </c>
      <c r="AF70" s="10" t="n">
        <f aca="false">('Data BoP'!AE67)+('Data BoP'!AE68)+('Data BoP'!AE69)+('Data BoP'!AE70)</f>
        <v>-3788.32665284499</v>
      </c>
      <c r="AG70" s="10" t="n">
        <f aca="false">('Data BoP'!AF67)+('Data BoP'!AF68)+('Data BoP'!AF69)+('Data BoP'!AF70)</f>
        <v>-11.2536611371019</v>
      </c>
      <c r="AH70" s="10" t="n">
        <f aca="false">('Data BoP'!AG67)+('Data BoP'!AG68)+('Data BoP'!AG69)+('Data BoP'!AG70)</f>
        <v>-468.79564938144</v>
      </c>
      <c r="AI70" s="10" t="n">
        <f aca="false">('Data BoP'!AH67)+('Data BoP'!AH68)+('Data BoP'!AH69)+('Data BoP'!AH70)</f>
        <v>8370.38929268917</v>
      </c>
      <c r="AJ70" s="10" t="n">
        <f aca="false">('Data BoP'!AL67)+('Data BoP'!AL68)+('Data BoP'!AL69)+('Data BoP'!AL70)</f>
        <v>8839.18494207061</v>
      </c>
      <c r="AK70" s="15" t="n">
        <f aca="false">('Data BoP'!AJ67)+('Data BoP'!AJ68)+('Data BoP'!AJ69)+('Data BoP'!AJ70)</f>
        <v>2406.92843808606</v>
      </c>
      <c r="AL70" s="10" t="n">
        <f aca="false">('Data BoP'!AK67)+('Data BoP'!AK68)+('Data BoP'!AK69)+('Data BoP'!AK70)</f>
        <v>-3875.26928625919</v>
      </c>
    </row>
    <row r="71" customFormat="false" ht="15" hidden="false" customHeight="false" outlineLevel="0" collapsed="false">
      <c r="B71" s="14" t="str">
        <f aca="false">'Data BoP'!B71</f>
        <v>2022-Q2</v>
      </c>
      <c r="C71" s="15" t="n">
        <f aca="false">'Data BoP'!U71</f>
        <v>-3118.29993647629</v>
      </c>
      <c r="D71" s="10" t="n">
        <f aca="false">'Data BoP'!V71</f>
        <v>-4289.98058913877</v>
      </c>
      <c r="E71" s="10" t="n">
        <f aca="false">'Data BoP'!W71</f>
        <v>514.949832313923</v>
      </c>
      <c r="F71" s="10" t="n">
        <f aca="false">'Data BoP'!X71</f>
        <v>0</v>
      </c>
      <c r="G71" s="10" t="n">
        <f aca="false">'Data BoP'!Y71</f>
        <v>1405.4104214527</v>
      </c>
      <c r="H71" s="10" t="n">
        <f aca="false">'Data BoP'!Z71</f>
        <v>3399.52</v>
      </c>
      <c r="I71" s="10" t="n">
        <f aca="false">'Data BoP'!AA71</f>
        <v>1853.65338985308</v>
      </c>
      <c r="J71" s="10" t="n">
        <f aca="false">'Data BoP'!AB71</f>
        <v>96.3680723376205</v>
      </c>
      <c r="K71" s="10" t="n">
        <f aca="false">'Data BoP'!AC71</f>
        <v>656.994995476099</v>
      </c>
      <c r="L71" s="10" t="n">
        <f aca="false">'Data BoP'!AD71</f>
        <v>-205.593544743555</v>
      </c>
      <c r="M71" s="10" t="n">
        <f aca="false">'Data BoP'!AE71</f>
        <v>-894.696777295802</v>
      </c>
      <c r="N71" s="10" t="n">
        <f aca="false">'Data BoP'!AF71</f>
        <v>2.0719972863771</v>
      </c>
      <c r="O71" s="10" t="n">
        <f aca="false">'Data BoP'!AG71</f>
        <v>-1967.44473447697</v>
      </c>
      <c r="P71" s="10" t="n">
        <f aca="false">'Data BoP'!AH71</f>
        <v>163.254737602579</v>
      </c>
      <c r="Q71" s="10" t="n">
        <f aca="false">'Data BoP'!AL71</f>
        <v>2130.69947207955</v>
      </c>
      <c r="R71" s="15" t="n">
        <f aca="false">'Data BoP'!AJ71</f>
        <v>1283.4</v>
      </c>
      <c r="S71" s="10" t="n">
        <f aca="false">'Data BoP'!AK71</f>
        <v>-2192.5256596125</v>
      </c>
      <c r="U71" s="14" t="str">
        <f aca="false">'Data BoP'!B71</f>
        <v>2022-Q2</v>
      </c>
      <c r="V71" s="15" t="n">
        <f aca="false">('Data BoP'!U68)+('Data BoP'!U69)+('Data BoP'!U70)+('Data BoP'!U71)</f>
        <v>-3070.27803526096</v>
      </c>
      <c r="W71" s="10" t="n">
        <f aca="false">('Data BoP'!V68)+('Data BoP'!V69)+('Data BoP'!V70)+('Data BoP'!V71)</f>
        <v>-8662.71740423051</v>
      </c>
      <c r="X71" s="10" t="n">
        <f aca="false">('Data BoP'!W68)+('Data BoP'!W69)+('Data BoP'!W70)+('Data BoP'!W71)</f>
        <v>1777.43994888107</v>
      </c>
      <c r="Y71" s="10" t="n">
        <f aca="false">('Data BoP'!X68)+('Data BoP'!X69)+('Data BoP'!X70)+('Data BoP'!X71)</f>
        <v>0</v>
      </c>
      <c r="Z71" s="10" t="n">
        <f aca="false">('Data BoP'!Y68)+('Data BoP'!Y69)+('Data BoP'!Y70)+('Data BoP'!Y71)</f>
        <v>5895.28735311158</v>
      </c>
      <c r="AA71" s="10" t="n">
        <f aca="false">('Data BoP'!Z68)+('Data BoP'!Z69)+('Data BoP'!Z70)+('Data BoP'!Z71)</f>
        <v>4544.87</v>
      </c>
      <c r="AB71" s="10" t="n">
        <f aca="false">('Data BoP'!AA68)+('Data BoP'!AA69)+('Data BoP'!AA70)+('Data BoP'!AA71)</f>
        <v>5989.84764957649</v>
      </c>
      <c r="AC71" s="10" t="n">
        <f aca="false">('Data BoP'!AB68)+('Data BoP'!AB69)+('Data BoP'!AB70)+('Data BoP'!AB71)</f>
        <v>804.76680671049</v>
      </c>
      <c r="AD71" s="10" t="n">
        <f aca="false">('Data BoP'!AC68)+('Data BoP'!AC69)+('Data BoP'!AC70)+('Data BoP'!AC71)</f>
        <v>1252.55503839604</v>
      </c>
      <c r="AE71" s="10" t="n">
        <f aca="false">('Data BoP'!AD68)+('Data BoP'!AD69)+('Data BoP'!AD70)+('Data BoP'!AD71)</f>
        <v>-227.355214527364</v>
      </c>
      <c r="AF71" s="10" t="n">
        <f aca="false">('Data BoP'!AE68)+('Data BoP'!AE69)+('Data BoP'!AE70)+('Data BoP'!AE71)</f>
        <v>-3705.1705899426</v>
      </c>
      <c r="AG71" s="10" t="n">
        <f aca="false">('Data BoP'!AF68)+('Data BoP'!AF69)+('Data BoP'!AF70)+('Data BoP'!AF71)</f>
        <v>-9.17498275982139</v>
      </c>
      <c r="AH71" s="10" t="n">
        <f aca="false">('Data BoP'!AG68)+('Data BoP'!AG69)+('Data BoP'!AG70)+('Data BoP'!AG71)</f>
        <v>-1675.80358467162</v>
      </c>
      <c r="AI71" s="10" t="n">
        <f aca="false">('Data BoP'!AH68)+('Data BoP'!AH69)+('Data BoP'!AH70)+('Data BoP'!AH71)</f>
        <v>7693.23432574672</v>
      </c>
      <c r="AJ71" s="10" t="n">
        <f aca="false">('Data BoP'!AL68)+('Data BoP'!AL69)+('Data BoP'!AL70)+('Data BoP'!AL71)</f>
        <v>9369.03791041833</v>
      </c>
      <c r="AK71" s="15" t="n">
        <f aca="false">('Data BoP'!AJ68)+('Data BoP'!AJ69)+('Data BoP'!AJ70)+('Data BoP'!AJ71)</f>
        <v>1287.5702868245</v>
      </c>
      <c r="AL71" s="10" t="n">
        <f aca="false">('Data BoP'!AK68)+('Data BoP'!AK69)+('Data BoP'!AK70)+('Data BoP'!AK71)</f>
        <v>-4732.11427992615</v>
      </c>
    </row>
    <row r="72" customFormat="false" ht="15" hidden="false" customHeight="false" outlineLevel="0" collapsed="false">
      <c r="B72" s="14" t="str">
        <f aca="false">'Data BoP'!B72</f>
        <v>2022-Q3</v>
      </c>
      <c r="C72" s="15" t="n">
        <f aca="false">'Data BoP'!U72</f>
        <v>-3456.16023367971</v>
      </c>
      <c r="D72" s="10" t="n">
        <f aca="false">'Data BoP'!V72</f>
        <v>-5421.45293087142</v>
      </c>
      <c r="E72" s="10" t="n">
        <f aca="false">'Data BoP'!W72</f>
        <v>554.433004062686</v>
      </c>
      <c r="F72" s="10" t="n">
        <f aca="false">'Data BoP'!X72</f>
        <v>0</v>
      </c>
      <c r="G72" s="10" t="n">
        <f aca="false">'Data BoP'!Y72</f>
        <v>1410.3719349341</v>
      </c>
      <c r="H72" s="10" t="n">
        <f aca="false">'Data BoP'!Z72</f>
        <v>4565.514</v>
      </c>
      <c r="I72" s="10" t="n">
        <f aca="false">'Data BoP'!AA72</f>
        <v>2057.48189157809</v>
      </c>
      <c r="J72" s="10" t="n">
        <f aca="false">'Data BoP'!AB72</f>
        <v>-329.25770914307</v>
      </c>
      <c r="K72" s="10" t="n">
        <f aca="false">'Data BoP'!AC72</f>
        <v>1107.23963577978</v>
      </c>
      <c r="L72" s="10" t="n">
        <f aca="false">'Data BoP'!AD72</f>
        <v>-83.0972783639817</v>
      </c>
      <c r="M72" s="10" t="n">
        <f aca="false">'Data BoP'!AE72</f>
        <v>-1196.4026865774</v>
      </c>
      <c r="N72" s="10" t="n">
        <f aca="false">'Data BoP'!AF72</f>
        <v>-4.89428209786956</v>
      </c>
      <c r="O72" s="10" t="n">
        <f aca="false">'Data BoP'!AG72</f>
        <v>3438.02716804149</v>
      </c>
      <c r="P72" s="10" t="n">
        <f aca="false">'Data BoP'!AH72</f>
        <v>3508.95393656926</v>
      </c>
      <c r="Q72" s="10" t="n">
        <f aca="false">'Data BoP'!AL72</f>
        <v>70.9267685277722</v>
      </c>
      <c r="R72" s="15" t="n">
        <f aca="false">'Data BoP'!AJ72</f>
        <v>-3525.32208033</v>
      </c>
      <c r="S72" s="10" t="n">
        <f aca="false">'Data BoP'!AK72</f>
        <v>68.28726292387</v>
      </c>
      <c r="U72" s="14" t="str">
        <f aca="false">'Data BoP'!B72</f>
        <v>2022-Q3</v>
      </c>
      <c r="V72" s="15" t="n">
        <f aca="false">('Data BoP'!U69)+('Data BoP'!U70)+('Data BoP'!U71)+('Data BoP'!U72)</f>
        <v>-7741.63164230003</v>
      </c>
      <c r="W72" s="10" t="n">
        <f aca="false">('Data BoP'!V69)+('Data BoP'!V70)+('Data BoP'!V71)+('Data BoP'!V72)</f>
        <v>-13745.4882531852</v>
      </c>
      <c r="X72" s="10" t="n">
        <f aca="false">('Data BoP'!W69)+('Data BoP'!W70)+('Data BoP'!W71)+('Data BoP'!W72)</f>
        <v>1929.59100462885</v>
      </c>
      <c r="Y72" s="10" t="n">
        <f aca="false">('Data BoP'!X69)+('Data BoP'!X70)+('Data BoP'!X71)+('Data BoP'!X72)</f>
        <v>0</v>
      </c>
      <c r="Z72" s="10" t="n">
        <f aca="false">('Data BoP'!Y69)+('Data BoP'!Y70)+('Data BoP'!Y71)+('Data BoP'!Y72)</f>
        <v>5621.82825781401</v>
      </c>
      <c r="AA72" s="10" t="n">
        <f aca="false">('Data BoP'!Z69)+('Data BoP'!Z70)+('Data BoP'!Z71)+('Data BoP'!Z72)</f>
        <v>10053.251</v>
      </c>
      <c r="AB72" s="10" t="n">
        <f aca="false">('Data BoP'!AA69)+('Data BoP'!AA70)+('Data BoP'!AA71)+('Data BoP'!AA72)</f>
        <v>7061.77880183113</v>
      </c>
      <c r="AC72" s="10" t="n">
        <f aca="false">('Data BoP'!AB69)+('Data BoP'!AB70)+('Data BoP'!AB71)+('Data BoP'!AB72)</f>
        <v>192.639563482926</v>
      </c>
      <c r="AD72" s="10" t="n">
        <f aca="false">('Data BoP'!AC69)+('Data BoP'!AC70)+('Data BoP'!AC71)+('Data BoP'!AC72)</f>
        <v>2413.61207901095</v>
      </c>
      <c r="AE72" s="10" t="n">
        <f aca="false">('Data BoP'!AD69)+('Data BoP'!AD70)+('Data BoP'!AD71)+('Data BoP'!AD72)</f>
        <v>-345.334926448622</v>
      </c>
      <c r="AF72" s="10" t="n">
        <f aca="false">('Data BoP'!AE69)+('Data BoP'!AE70)+('Data BoP'!AE71)+('Data BoP'!AE72)</f>
        <v>-4110.19223288863</v>
      </c>
      <c r="AG72" s="10" t="n">
        <f aca="false">('Data BoP'!AF69)+('Data BoP'!AF70)+('Data BoP'!AF71)+('Data BoP'!AF72)</f>
        <v>-14.2874524911112</v>
      </c>
      <c r="AH72" s="10" t="n">
        <f aca="false">('Data BoP'!AG69)+('Data BoP'!AG70)+('Data BoP'!AG71)+('Data BoP'!AG72)</f>
        <v>1645.97218138512</v>
      </c>
      <c r="AI72" s="10" t="n">
        <f aca="false">('Data BoP'!AH69)+('Data BoP'!AH70)+('Data BoP'!AH71)+('Data BoP'!AH72)</f>
        <v>9617.93683855082</v>
      </c>
      <c r="AJ72" s="10" t="n">
        <f aca="false">('Data BoP'!AL69)+('Data BoP'!AL70)+('Data BoP'!AL71)+('Data BoP'!AL72)</f>
        <v>7971.9646571657</v>
      </c>
      <c r="AK72" s="15" t="n">
        <f aca="false">('Data BoP'!AJ69)+('Data BoP'!AJ70)+('Data BoP'!AJ71)+('Data BoP'!AJ72)</f>
        <v>-2689.60691984</v>
      </c>
      <c r="AL72" s="10" t="n">
        <f aca="false">('Data BoP'!AK69)+('Data BoP'!AK70)+('Data BoP'!AK71)+('Data BoP'!AK72)</f>
        <v>-2460.18480497174</v>
      </c>
    </row>
    <row r="73" customFormat="false" ht="15" hidden="false" customHeight="false" outlineLevel="0" collapsed="false">
      <c r="B73" s="14" t="str">
        <f aca="false">'Data BoP'!B73</f>
        <v>2022-Q4</v>
      </c>
      <c r="C73" s="15" t="n">
        <f aca="false">'Data BoP'!U73</f>
        <v>876.454202997451</v>
      </c>
      <c r="D73" s="10" t="n">
        <f aca="false">'Data BoP'!V73</f>
        <v>-349.335061162941</v>
      </c>
      <c r="E73" s="10" t="n">
        <f aca="false">'Data BoP'!W73</f>
        <v>584.430334967131</v>
      </c>
      <c r="F73" s="10" t="n">
        <f aca="false">'Data BoP'!X73</f>
        <v>0</v>
      </c>
      <c r="G73" s="10" t="n">
        <f aca="false">'Data BoP'!Y73</f>
        <v>2026.99839613007</v>
      </c>
      <c r="H73" s="10" t="n">
        <f aca="false">'Data BoP'!Z73</f>
        <v>-1093.233</v>
      </c>
      <c r="I73" s="10" t="n">
        <f aca="false">'Data BoP'!AA73</f>
        <v>1218.52487291525</v>
      </c>
      <c r="J73" s="10" t="n">
        <f aca="false">'Data BoP'!AB73</f>
        <v>-69.0244249595905</v>
      </c>
      <c r="K73" s="10" t="n">
        <f aca="false">'Data BoP'!AC73</f>
        <v>-264.193625201822</v>
      </c>
      <c r="L73" s="10" t="n">
        <f aca="false">'Data BoP'!AD73</f>
        <v>-86.843790994837</v>
      </c>
      <c r="M73" s="10" t="n">
        <f aca="false">'Data BoP'!AE73</f>
        <v>-1464.89913208183</v>
      </c>
      <c r="N73" s="10" t="n">
        <f aca="false">'Data BoP'!AF73</f>
        <v>6.10357000291067</v>
      </c>
      <c r="O73" s="10" t="n">
        <f aca="false">'Data BoP'!AG73</f>
        <v>-5968.13268104778</v>
      </c>
      <c r="P73" s="10" t="n">
        <f aca="false">'Data BoP'!AH73</f>
        <v>-63.3737455730255</v>
      </c>
      <c r="Q73" s="10" t="n">
        <f aca="false">'Data BoP'!AL73</f>
        <v>5904.75893547475</v>
      </c>
      <c r="R73" s="15" t="n">
        <f aca="false">'Data BoP'!AJ73</f>
        <v>5969.29350229</v>
      </c>
      <c r="S73" s="10" t="n">
        <f aca="false">'Data BoP'!AK73</f>
        <v>-1009.56735752463</v>
      </c>
      <c r="U73" s="14" t="str">
        <f aca="false">'Data BoP'!B73</f>
        <v>2022-Q4</v>
      </c>
      <c r="V73" s="15" t="n">
        <f aca="false">('Data BoP'!U70)+('Data BoP'!U71)+('Data BoP'!U72)+('Data BoP'!U73)</f>
        <v>-7437.16149794146</v>
      </c>
      <c r="W73" s="10" t="n">
        <f aca="false">('Data BoP'!V70)+('Data BoP'!V71)+('Data BoP'!V72)+('Data BoP'!V73)</f>
        <v>-13116.2508142436</v>
      </c>
      <c r="X73" s="10" t="n">
        <f aca="false">('Data BoP'!W70)+('Data BoP'!W71)+('Data BoP'!W72)+('Data BoP'!W73)</f>
        <v>2089.83658305669</v>
      </c>
      <c r="Y73" s="10" t="n">
        <f aca="false">('Data BoP'!X70)+('Data BoP'!X71)+('Data BoP'!X72)+('Data BoP'!X73)</f>
        <v>0</v>
      </c>
      <c r="Z73" s="10" t="n">
        <f aca="false">('Data BoP'!Y70)+('Data BoP'!Y71)+('Data BoP'!Y72)+('Data BoP'!Y73)</f>
        <v>6405.7623973003</v>
      </c>
      <c r="AA73" s="10" t="n">
        <f aca="false">('Data BoP'!Z70)+('Data BoP'!Z71)+('Data BoP'!Z72)+('Data BoP'!Z73)</f>
        <v>8800.325</v>
      </c>
      <c r="AB73" s="10" t="n">
        <f aca="false">('Data BoP'!AA70)+('Data BoP'!AA71)+('Data BoP'!AA72)+('Data BoP'!AA73)</f>
        <v>7462.6233277254</v>
      </c>
      <c r="AC73" s="10" t="n">
        <f aca="false">('Data BoP'!AB70)+('Data BoP'!AB71)+('Data BoP'!AB72)+('Data BoP'!AB73)</f>
        <v>-137.226416816444</v>
      </c>
      <c r="AD73" s="10" t="n">
        <f aca="false">('Data BoP'!AC70)+('Data BoP'!AC71)+('Data BoP'!AC72)+('Data BoP'!AC73)</f>
        <v>2203.94244540799</v>
      </c>
      <c r="AE73" s="10" t="n">
        <f aca="false">('Data BoP'!AD70)+('Data BoP'!AD71)+('Data BoP'!AD72)+('Data BoP'!AD73)</f>
        <v>-278.845536793171</v>
      </c>
      <c r="AF73" s="10" t="n">
        <f aca="false">('Data BoP'!AE70)+('Data BoP'!AE71)+('Data BoP'!AE72)+('Data BoP'!AE73)</f>
        <v>-5117.06176234069</v>
      </c>
      <c r="AG73" s="10" t="n">
        <f aca="false">('Data BoP'!AF70)+('Data BoP'!AF71)+('Data BoP'!AF72)+('Data BoP'!AF73)</f>
        <v>4.44979952731973</v>
      </c>
      <c r="AH73" s="10" t="n">
        <f aca="false">('Data BoP'!AG70)+('Data BoP'!AG71)+('Data BoP'!AG72)+('Data BoP'!AG73)</f>
        <v>-8707.75310359058</v>
      </c>
      <c r="AI73" s="10" t="n">
        <f aca="false">('Data BoP'!AH70)+('Data BoP'!AH71)+('Data BoP'!AH72)+('Data BoP'!AH73)</f>
        <v>6852.28099264665</v>
      </c>
      <c r="AJ73" s="10" t="n">
        <f aca="false">('Data BoP'!AL70)+('Data BoP'!AL71)+('Data BoP'!AL72)+('Data BoP'!AL73)</f>
        <v>15560.0340962372</v>
      </c>
      <c r="AK73" s="15" t="n">
        <f aca="false">('Data BoP'!AJ70)+('Data BoP'!AJ71)+('Data BoP'!AJ72)+('Data BoP'!AJ73)</f>
        <v>6919.76929264</v>
      </c>
      <c r="AL73" s="10" t="n">
        <f aca="false">('Data BoP'!AK70)+('Data BoP'!AK71)+('Data BoP'!AK72)+('Data BoP'!AK73)</f>
        <v>-3664.60111382926</v>
      </c>
    </row>
    <row r="74" customFormat="false" ht="15" hidden="false" customHeight="false" outlineLevel="0" collapsed="false">
      <c r="B74" s="14" t="str">
        <f aca="false">'Data BoP'!B74</f>
        <v>2023-Q1</v>
      </c>
      <c r="C74" s="15" t="n">
        <f aca="false">'Data BoP'!U74</f>
        <v>-7537.72417555565</v>
      </c>
      <c r="D74" s="10" t="n">
        <f aca="false">'Data BoP'!V74</f>
        <v>-4006.04921733918</v>
      </c>
      <c r="E74" s="10" t="n">
        <f aca="false">'Data BoP'!W74</f>
        <v>753.349367616297</v>
      </c>
      <c r="F74" s="10" t="n">
        <f aca="false">'Data BoP'!X74</f>
        <v>0</v>
      </c>
      <c r="G74" s="10" t="n">
        <f aca="false">'Data BoP'!Y74</f>
        <v>2557.20458495548</v>
      </c>
      <c r="H74" s="10" t="n">
        <f aca="false">'Data BoP'!Z74</f>
        <v>2202.194</v>
      </c>
      <c r="I74" s="10" t="n">
        <f aca="false">'Data BoP'!AA74</f>
        <v>3001.1796986785</v>
      </c>
      <c r="J74" s="10" t="n">
        <f aca="false">'Data BoP'!AB74</f>
        <v>-64.0793953481213</v>
      </c>
      <c r="K74" s="10" t="n">
        <f aca="false">'Data BoP'!AC74</f>
        <v>1354.7224605727</v>
      </c>
      <c r="L74" s="10" t="n">
        <f aca="false">'Data BoP'!AD74</f>
        <v>277.112685096541</v>
      </c>
      <c r="M74" s="10" t="n">
        <f aca="false">'Data BoP'!AE74</f>
        <v>-1987.64931855047</v>
      </c>
      <c r="N74" s="10" t="n">
        <f aca="false">'Data BoP'!AF74</f>
        <v>3.08813293105217</v>
      </c>
      <c r="O74" s="10" t="n">
        <f aca="false">'Data BoP'!AG74</f>
        <v>-532.434081626021</v>
      </c>
      <c r="P74" s="10" t="n">
        <f aca="false">'Data BoP'!AH74</f>
        <v>-271.287777404052</v>
      </c>
      <c r="Q74" s="10" t="n">
        <f aca="false">'Data BoP'!AL74</f>
        <v>261.146304221969</v>
      </c>
      <c r="R74" s="15" t="n">
        <f aca="false">'Data BoP'!AJ74</f>
        <v>-6003.5087082</v>
      </c>
      <c r="S74" s="10" t="n">
        <f aca="false">'Data BoP'!AK74</f>
        <v>-1689.97069595091</v>
      </c>
      <c r="U74" s="14" t="str">
        <f aca="false">'Data BoP'!B74</f>
        <v>2023-Q1</v>
      </c>
      <c r="V74" s="15" t="n">
        <f aca="false">('Data BoP'!U71)+('Data BoP'!U72)+('Data BoP'!U73)+('Data BoP'!U74)</f>
        <v>-13235.7301427142</v>
      </c>
      <c r="W74" s="10" t="n">
        <f aca="false">('Data BoP'!V71)+('Data BoP'!V72)+('Data BoP'!V73)+('Data BoP'!V74)</f>
        <v>-14066.8177985123</v>
      </c>
      <c r="X74" s="10" t="n">
        <f aca="false">('Data BoP'!W71)+('Data BoP'!W72)+('Data BoP'!W73)+('Data BoP'!W74)</f>
        <v>2407.16253896004</v>
      </c>
      <c r="Y74" s="10" t="n">
        <f aca="false">('Data BoP'!X71)+('Data BoP'!X72)+('Data BoP'!X73)+('Data BoP'!X74)</f>
        <v>0</v>
      </c>
      <c r="Z74" s="10" t="n">
        <f aca="false">('Data BoP'!Y71)+('Data BoP'!Y72)+('Data BoP'!Y73)+('Data BoP'!Y74)</f>
        <v>7399.98533747235</v>
      </c>
      <c r="AA74" s="10" t="n">
        <f aca="false">('Data BoP'!Z71)+('Data BoP'!Z72)+('Data BoP'!Z73)+('Data BoP'!Z74)</f>
        <v>9073.995</v>
      </c>
      <c r="AB74" s="10" t="n">
        <f aca="false">('Data BoP'!AA71)+('Data BoP'!AA72)+('Data BoP'!AA73)+('Data BoP'!AA74)</f>
        <v>8130.83985302493</v>
      </c>
      <c r="AC74" s="10" t="n">
        <f aca="false">('Data BoP'!AB71)+('Data BoP'!AB72)+('Data BoP'!AB73)+('Data BoP'!AB74)</f>
        <v>-365.993457113161</v>
      </c>
      <c r="AD74" s="10" t="n">
        <f aca="false">('Data BoP'!AC71)+('Data BoP'!AC72)+('Data BoP'!AC73)+('Data BoP'!AC74)</f>
        <v>2854.76346662675</v>
      </c>
      <c r="AE74" s="10" t="n">
        <f aca="false">('Data BoP'!AD71)+('Data BoP'!AD72)+('Data BoP'!AD73)+('Data BoP'!AD74)</f>
        <v>-98.421929005833</v>
      </c>
      <c r="AF74" s="10" t="n">
        <f aca="false">('Data BoP'!AE71)+('Data BoP'!AE72)+('Data BoP'!AE73)+('Data BoP'!AE74)</f>
        <v>-5543.6479145055</v>
      </c>
      <c r="AG74" s="10" t="n">
        <f aca="false">('Data BoP'!AF71)+('Data BoP'!AF72)+('Data BoP'!AF73)+('Data BoP'!AF74)</f>
        <v>6.36941812247039</v>
      </c>
      <c r="AH74" s="10" t="n">
        <f aca="false">('Data BoP'!AG71)+('Data BoP'!AG72)+('Data BoP'!AG73)+('Data BoP'!AG74)</f>
        <v>-5029.98432910928</v>
      </c>
      <c r="AI74" s="10" t="n">
        <f aca="false">('Data BoP'!AH71)+('Data BoP'!AH72)+('Data BoP'!AH73)+('Data BoP'!AH74)</f>
        <v>3337.54715119476</v>
      </c>
      <c r="AJ74" s="10" t="n">
        <f aca="false">('Data BoP'!AL71)+('Data BoP'!AL72)+('Data BoP'!AL73)+('Data BoP'!AL74)</f>
        <v>8367.53148030404</v>
      </c>
      <c r="AK74" s="15" t="n">
        <f aca="false">('Data BoP'!AJ71)+('Data BoP'!AJ72)+('Data BoP'!AJ73)+('Data BoP'!AJ74)</f>
        <v>-2276.13728624</v>
      </c>
      <c r="AL74" s="10" t="n">
        <f aca="false">('Data BoP'!AK71)+('Data BoP'!AK72)+('Data BoP'!AK73)+('Data BoP'!AK74)</f>
        <v>-4823.77645016417</v>
      </c>
    </row>
    <row r="75" customFormat="false" ht="15" hidden="false" customHeight="false" outlineLevel="0" collapsed="false">
      <c r="B75" s="14" t="str">
        <f aca="false">'Data BoP'!B75</f>
        <v>2023-Q2</v>
      </c>
      <c r="C75" s="15" t="n">
        <f aca="false">'Data BoP'!U75</f>
        <v>-7003.48540338832</v>
      </c>
      <c r="D75" s="10" t="n">
        <f aca="false">'Data BoP'!V75</f>
        <v>-5630.59818344812</v>
      </c>
      <c r="E75" s="10" t="n">
        <f aca="false">'Data BoP'!W75</f>
        <v>728.943351418491</v>
      </c>
      <c r="F75" s="10" t="n">
        <f aca="false">'Data BoP'!X75</f>
        <v>0</v>
      </c>
      <c r="G75" s="10" t="n">
        <f aca="false">'Data BoP'!Y75</f>
        <v>2141.82553486662</v>
      </c>
      <c r="H75" s="10" t="n">
        <f aca="false">'Data BoP'!Z75</f>
        <v>4217.716</v>
      </c>
      <c r="I75" s="10" t="n">
        <f aca="false">'Data BoP'!AA75</f>
        <v>966.367043432848</v>
      </c>
      <c r="J75" s="10" t="n">
        <f aca="false">'Data BoP'!AB75</f>
        <v>90.9006537542282</v>
      </c>
      <c r="K75" s="10" t="n">
        <f aca="false">'Data BoP'!AC75</f>
        <v>752.910836596272</v>
      </c>
      <c r="L75" s="10" t="n">
        <f aca="false">'Data BoP'!AD75</f>
        <v>288.998551794062</v>
      </c>
      <c r="M75" s="10" t="n">
        <f aca="false">'Data BoP'!AE75</f>
        <v>-411.55410487641</v>
      </c>
      <c r="N75" s="10" t="n">
        <f aca="false">'Data BoP'!AF75</f>
        <v>-1.83816207419655</v>
      </c>
      <c r="O75" s="10" t="n">
        <f aca="false">'Data BoP'!AG75</f>
        <v>7721.03734518391</v>
      </c>
      <c r="P75" s="10" t="n">
        <f aca="false">'Data BoP'!AH75</f>
        <v>5613.28923250973</v>
      </c>
      <c r="Q75" s="10" t="n">
        <f aca="false">'Data BoP'!AL75</f>
        <v>-2107.74811267418</v>
      </c>
      <c r="R75" s="15" t="n">
        <f aca="false">'Data BoP'!AJ75</f>
        <v>-10058.4534464828</v>
      </c>
      <c r="S75" s="10" t="n">
        <f aca="false">'Data BoP'!AK75</f>
        <v>-232.026436033032</v>
      </c>
      <c r="U75" s="14" t="str">
        <f aca="false">'Data BoP'!B75</f>
        <v>2023-Q2</v>
      </c>
      <c r="V75" s="15" t="n">
        <f aca="false">('Data BoP'!U72)+('Data BoP'!U73)+('Data BoP'!U74)+('Data BoP'!U75)</f>
        <v>-17120.9156096262</v>
      </c>
      <c r="W75" s="10" t="n">
        <f aca="false">('Data BoP'!V72)+('Data BoP'!V73)+('Data BoP'!V74)+('Data BoP'!V75)</f>
        <v>-15407.4353928217</v>
      </c>
      <c r="X75" s="10" t="n">
        <f aca="false">('Data BoP'!W72)+('Data BoP'!W73)+('Data BoP'!W74)+('Data BoP'!W75)</f>
        <v>2621.1560580646</v>
      </c>
      <c r="Y75" s="10" t="n">
        <f aca="false">('Data BoP'!X72)+('Data BoP'!X73)+('Data BoP'!X74)+('Data BoP'!X75)</f>
        <v>0</v>
      </c>
      <c r="Z75" s="10" t="n">
        <f aca="false">('Data BoP'!Y72)+('Data BoP'!Y73)+('Data BoP'!Y74)+('Data BoP'!Y75)</f>
        <v>8136.40045088626</v>
      </c>
      <c r="AA75" s="10" t="n">
        <f aca="false">('Data BoP'!Z72)+('Data BoP'!Z73)+('Data BoP'!Z74)+('Data BoP'!Z75)</f>
        <v>9892.191</v>
      </c>
      <c r="AB75" s="10" t="n">
        <f aca="false">('Data BoP'!AA72)+('Data BoP'!AA73)+('Data BoP'!AA74)+('Data BoP'!AA75)</f>
        <v>7243.5535066047</v>
      </c>
      <c r="AC75" s="10" t="n">
        <f aca="false">('Data BoP'!AB72)+('Data BoP'!AB73)+('Data BoP'!AB74)+('Data BoP'!AB75)</f>
        <v>-371.460875696554</v>
      </c>
      <c r="AD75" s="10" t="n">
        <f aca="false">('Data BoP'!AC72)+('Data BoP'!AC73)+('Data BoP'!AC74)+('Data BoP'!AC75)</f>
        <v>2950.67930774693</v>
      </c>
      <c r="AE75" s="10" t="n">
        <f aca="false">('Data BoP'!AD72)+('Data BoP'!AD73)+('Data BoP'!AD74)+('Data BoP'!AD75)</f>
        <v>396.170167531784</v>
      </c>
      <c r="AF75" s="10" t="n">
        <f aca="false">('Data BoP'!AE72)+('Data BoP'!AE73)+('Data BoP'!AE74)+('Data BoP'!AE75)</f>
        <v>-5060.50524208611</v>
      </c>
      <c r="AG75" s="10" t="n">
        <f aca="false">('Data BoP'!AF72)+('Data BoP'!AF73)+('Data BoP'!AF74)+('Data BoP'!AF75)</f>
        <v>2.45925876189674</v>
      </c>
      <c r="AH75" s="10" t="n">
        <f aca="false">('Data BoP'!AG72)+('Data BoP'!AG73)+('Data BoP'!AG74)+('Data BoP'!AG75)</f>
        <v>4658.4977505516</v>
      </c>
      <c r="AI75" s="10" t="n">
        <f aca="false">('Data BoP'!AH72)+('Data BoP'!AH73)+('Data BoP'!AH74)+('Data BoP'!AH75)</f>
        <v>8787.58164610191</v>
      </c>
      <c r="AJ75" s="10" t="n">
        <f aca="false">('Data BoP'!AL72)+('Data BoP'!AL73)+('Data BoP'!AL74)+('Data BoP'!AL75)</f>
        <v>4129.08389555031</v>
      </c>
      <c r="AK75" s="15" t="n">
        <f aca="false">('Data BoP'!AJ72)+('Data BoP'!AJ73)+('Data BoP'!AJ74)+('Data BoP'!AJ75)</f>
        <v>-13617.9907327227</v>
      </c>
      <c r="AL75" s="10" t="n">
        <f aca="false">('Data BoP'!AK72)+('Data BoP'!AK73)+('Data BoP'!AK74)+('Data BoP'!AK75)</f>
        <v>-2863.2772265847</v>
      </c>
    </row>
    <row r="76" customFormat="false" ht="15" hidden="false" customHeight="false" outlineLevel="0" collapsed="false">
      <c r="B76" s="14" t="str">
        <f aca="false">'Data BoP'!B76</f>
        <v>2023-Q3</v>
      </c>
      <c r="C76" s="15" t="n">
        <f aca="false">'Data BoP'!U76</f>
        <v>-7306.87020392253</v>
      </c>
      <c r="D76" s="10" t="n">
        <f aca="false">'Data BoP'!V76</f>
        <v>-6797.91040328353</v>
      </c>
      <c r="E76" s="10" t="n">
        <f aca="false">'Data BoP'!W76</f>
        <v>529.631836953541</v>
      </c>
      <c r="F76" s="10" t="n">
        <f aca="false">'Data BoP'!X76</f>
        <v>0</v>
      </c>
      <c r="G76" s="10" t="n">
        <f aca="false">'Data BoP'!Y76</f>
        <v>3060.60824023707</v>
      </c>
      <c r="H76" s="10" t="n">
        <f aca="false">'Data BoP'!Z76</f>
        <v>4266.934</v>
      </c>
      <c r="I76" s="10" t="n">
        <f aca="false">'Data BoP'!AA76</f>
        <v>2422.45608780143</v>
      </c>
      <c r="J76" s="10" t="n">
        <f aca="false">'Data BoP'!AB76</f>
        <v>175.417242785914</v>
      </c>
      <c r="K76" s="10" t="n">
        <f aca="false">'Data BoP'!AC76</f>
        <v>376.860707789346</v>
      </c>
      <c r="L76" s="10" t="n">
        <f aca="false">'Data BoP'!AD76</f>
        <v>-339.699510648022</v>
      </c>
      <c r="M76" s="10" t="n">
        <f aca="false">'Data BoP'!AE76</f>
        <v>-1530.47862657815</v>
      </c>
      <c r="N76" s="10" t="n">
        <f aca="false">'Data BoP'!AF76</f>
        <v>-2.03547836770781</v>
      </c>
      <c r="O76" s="10" t="n">
        <f aca="false">'Data BoP'!AG76</f>
        <v>-2040.55703114985</v>
      </c>
      <c r="P76" s="10" t="n">
        <f aca="false">'Data BoP'!AH76</f>
        <v>4921.0851791374</v>
      </c>
      <c r="Q76" s="10" t="n">
        <f aca="false">'Data BoP'!AL76</f>
        <v>6961.64221028725</v>
      </c>
      <c r="R76" s="15" t="n">
        <f aca="false">'Data BoP'!AJ76</f>
        <v>-888.823378922871</v>
      </c>
      <c r="S76" s="10" t="n">
        <f aca="false">'Data BoP'!AK76</f>
        <v>-943.500216748228</v>
      </c>
      <c r="U76" s="14" t="str">
        <f aca="false">'Data BoP'!B76</f>
        <v>2023-Q3</v>
      </c>
      <c r="V76" s="15" t="n">
        <f aca="false">('Data BoP'!U73)+('Data BoP'!U74)+('Data BoP'!U75)+('Data BoP'!U76)</f>
        <v>-20971.625579869</v>
      </c>
      <c r="W76" s="10" t="n">
        <f aca="false">('Data BoP'!V73)+('Data BoP'!V74)+('Data BoP'!V75)+('Data BoP'!V76)</f>
        <v>-16783.8928652338</v>
      </c>
      <c r="X76" s="10" t="n">
        <f aca="false">('Data BoP'!W73)+('Data BoP'!W74)+('Data BoP'!W75)+('Data BoP'!W76)</f>
        <v>2596.35489095546</v>
      </c>
      <c r="Y76" s="10" t="n">
        <f aca="false">('Data BoP'!X73)+('Data BoP'!X74)+('Data BoP'!X75)+('Data BoP'!X76)</f>
        <v>0</v>
      </c>
      <c r="Z76" s="10" t="n">
        <f aca="false">('Data BoP'!Y73)+('Data BoP'!Y74)+('Data BoP'!Y75)+('Data BoP'!Y76)</f>
        <v>9786.63675618923</v>
      </c>
      <c r="AA76" s="10" t="n">
        <f aca="false">('Data BoP'!Z73)+('Data BoP'!Z74)+('Data BoP'!Z75)+('Data BoP'!Z76)</f>
        <v>9593.611</v>
      </c>
      <c r="AB76" s="10" t="n">
        <f aca="false">('Data BoP'!AA73)+('Data BoP'!AA74)+('Data BoP'!AA75)+('Data BoP'!AA76)</f>
        <v>7608.52770282803</v>
      </c>
      <c r="AC76" s="10" t="n">
        <f aca="false">('Data BoP'!AB73)+('Data BoP'!AB74)+('Data BoP'!AB75)+('Data BoP'!AB76)</f>
        <v>133.214076232431</v>
      </c>
      <c r="AD76" s="10" t="n">
        <f aca="false">('Data BoP'!AC73)+('Data BoP'!AC74)+('Data BoP'!AC75)+('Data BoP'!AC76)</f>
        <v>2220.30037975649</v>
      </c>
      <c r="AE76" s="10" t="n">
        <f aca="false">('Data BoP'!AD73)+('Data BoP'!AD74)+('Data BoP'!AD75)+('Data BoP'!AD76)</f>
        <v>139.567935247744</v>
      </c>
      <c r="AF76" s="10" t="n">
        <f aca="false">('Data BoP'!AE73)+('Data BoP'!AE74)+('Data BoP'!AE75)+('Data BoP'!AE76)</f>
        <v>-5394.58118208685</v>
      </c>
      <c r="AG76" s="10" t="n">
        <f aca="false">('Data BoP'!AF73)+('Data BoP'!AF74)+('Data BoP'!AF75)+('Data BoP'!AF76)</f>
        <v>5.31806249205849</v>
      </c>
      <c r="AH76" s="10" t="n">
        <f aca="false">('Data BoP'!AG73)+('Data BoP'!AG74)+('Data BoP'!AG75)+('Data BoP'!AG76)</f>
        <v>-820.086448639741</v>
      </c>
      <c r="AI76" s="10" t="n">
        <f aca="false">('Data BoP'!AH73)+('Data BoP'!AH74)+('Data BoP'!AH75)+('Data BoP'!AH76)</f>
        <v>10199.71288867</v>
      </c>
      <c r="AJ76" s="10" t="n">
        <f aca="false">('Data BoP'!AL73)+('Data BoP'!AL74)+('Data BoP'!AL75)+('Data BoP'!AL76)</f>
        <v>11019.7993373098</v>
      </c>
      <c r="AK76" s="15" t="n">
        <f aca="false">('Data BoP'!AJ73)+('Data BoP'!AJ74)+('Data BoP'!AJ75)+('Data BoP'!AJ76)</f>
        <v>-10981.4920313156</v>
      </c>
      <c r="AL76" s="10" t="n">
        <f aca="false">('Data BoP'!AK73)+('Data BoP'!AK74)+('Data BoP'!AK75)+('Data BoP'!AK76)</f>
        <v>-3875.06470625679</v>
      </c>
    </row>
    <row r="77" customFormat="false" ht="15" hidden="false" customHeight="false" outlineLevel="0" collapsed="false">
      <c r="B77" s="14" t="str">
        <f aca="false">'Data BoP'!B77</f>
        <v>2023-Q4</v>
      </c>
      <c r="C77" s="15" t="n">
        <f aca="false">'Data BoP'!U77</f>
        <v>-4066.22933370759</v>
      </c>
      <c r="D77" s="10" t="n">
        <f aca="false">'Data BoP'!V77</f>
        <v>-6809.49303148497</v>
      </c>
      <c r="E77" s="10" t="n">
        <f aca="false">'Data BoP'!W77</f>
        <v>1011.40477818256</v>
      </c>
      <c r="F77" s="10" t="n">
        <f aca="false">'Data BoP'!X77</f>
        <v>0</v>
      </c>
      <c r="G77" s="10" t="n">
        <f aca="false">'Data BoP'!Y77</f>
        <v>3159.60880966753</v>
      </c>
      <c r="H77" s="10" t="n">
        <f aca="false">'Data BoP'!Z77</f>
        <v>4661.289</v>
      </c>
      <c r="I77" s="10" t="n">
        <f aca="false">'Data BoP'!AA77</f>
        <v>520.093196986563</v>
      </c>
      <c r="J77" s="10" t="n">
        <f aca="false">'Data BoP'!AB77</f>
        <v>-686.746580619423</v>
      </c>
      <c r="K77" s="10" t="n">
        <f aca="false">'Data BoP'!AC77</f>
        <v>1069.08648655574</v>
      </c>
      <c r="L77" s="10" t="n">
        <f aca="false">'Data BoP'!AD77</f>
        <v>-253.399822919784</v>
      </c>
      <c r="M77" s="10" t="n">
        <f aca="false">'Data BoP'!AE77</f>
        <v>115.646531869534</v>
      </c>
      <c r="N77" s="10" t="n">
        <f aca="false">'Data BoP'!AF77</f>
        <v>10.3709854780822</v>
      </c>
      <c r="O77" s="10" t="n">
        <f aca="false">'Data BoP'!AG77</f>
        <v>6936.98566623273</v>
      </c>
      <c r="P77" s="10" t="n">
        <f aca="false">'Data BoP'!AH77</f>
        <v>6332.76442167241</v>
      </c>
      <c r="Q77" s="10" t="n">
        <f aca="false">'Data BoP'!AL77</f>
        <v>-604.22124456032</v>
      </c>
      <c r="R77" s="15" t="n">
        <f aca="false">'Data BoP'!AJ77</f>
        <v>-4724.18615092</v>
      </c>
      <c r="S77" s="10" t="n">
        <f aca="false">'Data BoP'!AK77</f>
        <v>-884.513029583156</v>
      </c>
      <c r="U77" s="14" t="str">
        <f aca="false">'Data BoP'!B77</f>
        <v>2023-Q4</v>
      </c>
      <c r="V77" s="15" t="n">
        <f aca="false">('Data BoP'!U74)+('Data BoP'!U75)+('Data BoP'!U76)+('Data BoP'!U77)</f>
        <v>-25914.3091165741</v>
      </c>
      <c r="W77" s="10" t="n">
        <f aca="false">('Data BoP'!V74)+('Data BoP'!V75)+('Data BoP'!V76)+('Data BoP'!V77)</f>
        <v>-23244.0508355558</v>
      </c>
      <c r="X77" s="10" t="n">
        <f aca="false">('Data BoP'!W74)+('Data BoP'!W75)+('Data BoP'!W76)+('Data BoP'!W77)</f>
        <v>3023.32933417089</v>
      </c>
      <c r="Y77" s="10" t="n">
        <f aca="false">('Data BoP'!X74)+('Data BoP'!X75)+('Data BoP'!X76)+('Data BoP'!X77)</f>
        <v>0</v>
      </c>
      <c r="Z77" s="10" t="n">
        <f aca="false">('Data BoP'!Y74)+('Data BoP'!Y75)+('Data BoP'!Y76)+('Data BoP'!Y77)</f>
        <v>10919.2471697267</v>
      </c>
      <c r="AA77" s="10" t="n">
        <f aca="false">('Data BoP'!Z74)+('Data BoP'!Z75)+('Data BoP'!Z76)+('Data BoP'!Z77)</f>
        <v>15348.133</v>
      </c>
      <c r="AB77" s="10" t="n">
        <f aca="false">('Data BoP'!AA74)+('Data BoP'!AA75)+('Data BoP'!AA76)+('Data BoP'!AA77)</f>
        <v>6910.09602689934</v>
      </c>
      <c r="AC77" s="10" t="n">
        <f aca="false">('Data BoP'!AB74)+('Data BoP'!AB75)+('Data BoP'!AB76)+('Data BoP'!AB77)</f>
        <v>-484.508079427401</v>
      </c>
      <c r="AD77" s="10" t="n">
        <f aca="false">('Data BoP'!AC74)+('Data BoP'!AC75)+('Data BoP'!AC76)+('Data BoP'!AC77)</f>
        <v>3553.58049151405</v>
      </c>
      <c r="AE77" s="10" t="n">
        <f aca="false">('Data BoP'!AD74)+('Data BoP'!AD75)+('Data BoP'!AD76)+('Data BoP'!AD77)</f>
        <v>-26.9880966772029</v>
      </c>
      <c r="AF77" s="10" t="n">
        <f aca="false">('Data BoP'!AE74)+('Data BoP'!AE75)+('Data BoP'!AE76)+('Data BoP'!AE77)</f>
        <v>-3814.03551813549</v>
      </c>
      <c r="AG77" s="10" t="n">
        <f aca="false">('Data BoP'!AF74)+('Data BoP'!AF75)+('Data BoP'!AF76)+('Data BoP'!AF77)</f>
        <v>9.58547796723004</v>
      </c>
      <c r="AH77" s="10" t="n">
        <f aca="false">('Data BoP'!AG74)+('Data BoP'!AG75)+('Data BoP'!AG76)+('Data BoP'!AG77)</f>
        <v>12085.0318986408</v>
      </c>
      <c r="AI77" s="10" t="n">
        <f aca="false">('Data BoP'!AH74)+('Data BoP'!AH75)+('Data BoP'!AH76)+('Data BoP'!AH77)</f>
        <v>16595.8510559155</v>
      </c>
      <c r="AJ77" s="10" t="n">
        <f aca="false">('Data BoP'!AL74)+('Data BoP'!AL75)+('Data BoP'!AL76)+('Data BoP'!AL77)</f>
        <v>4510.81915727472</v>
      </c>
      <c r="AK77" s="15" t="n">
        <f aca="false">('Data BoP'!AJ74)+('Data BoP'!AJ75)+('Data BoP'!AJ76)+('Data BoP'!AJ77)</f>
        <v>-21674.9716845256</v>
      </c>
      <c r="AL77" s="10" t="n">
        <f aca="false">('Data BoP'!AK74)+('Data BoP'!AK75)+('Data BoP'!AK76)+('Data BoP'!AK77)</f>
        <v>-3750.01037831532</v>
      </c>
    </row>
    <row r="78" customFormat="false" ht="15" hidden="false" customHeight="false" outlineLevel="0" collapsed="false">
      <c r="B78" s="14" t="str">
        <f aca="false">'Data BoP'!B78</f>
        <v>2024-Q1</v>
      </c>
      <c r="C78" s="15" t="n">
        <f aca="false">'Data BoP'!U78</f>
        <v>-833.390601370159</v>
      </c>
      <c r="D78" s="10" t="n">
        <f aca="false">'Data BoP'!V78</f>
        <v>-5022.10385455252</v>
      </c>
      <c r="E78" s="10" t="n">
        <f aca="false">'Data BoP'!W78</f>
        <v>572.140729330309</v>
      </c>
      <c r="F78" s="10" t="n">
        <f aca="false">'Data BoP'!X78</f>
        <v>0</v>
      </c>
      <c r="G78" s="10" t="n">
        <f aca="false">'Data BoP'!Y78</f>
        <v>3471.53658388283</v>
      </c>
      <c r="H78" s="10" t="n">
        <f aca="false">'Data BoP'!Z78</f>
        <v>2122.708</v>
      </c>
      <c r="I78" s="10" t="n">
        <f aca="false">'Data BoP'!AA78</f>
        <v>-2754.52937051958</v>
      </c>
      <c r="J78" s="10" t="n">
        <f aca="false">'Data BoP'!AB78</f>
        <v>84.5602808187461</v>
      </c>
      <c r="K78" s="10" t="n">
        <f aca="false">'Data BoP'!AC78</f>
        <v>-2452.68146421472</v>
      </c>
      <c r="L78" s="10" t="n">
        <f aca="false">'Data BoP'!AD78</f>
        <v>567.336316009076</v>
      </c>
      <c r="M78" s="10" t="n">
        <f aca="false">'Data BoP'!AE78</f>
        <v>-180.928128885465</v>
      </c>
      <c r="N78" s="10" t="n">
        <f aca="false">'Data BoP'!AF78</f>
        <v>0.71384943171415</v>
      </c>
      <c r="O78" s="10" t="n">
        <f aca="false">'Data BoP'!AG78</f>
        <v>2864.40409380177</v>
      </c>
      <c r="P78" s="10" t="n">
        <f aca="false">'Data BoP'!AH78</f>
        <v>1236.23351859125</v>
      </c>
      <c r="Q78" s="10" t="n">
        <f aca="false">'Data BoP'!AL78</f>
        <v>-1628.17057521053</v>
      </c>
      <c r="R78" s="15" t="n">
        <f aca="false">'Data BoP'!AJ78</f>
        <v>4078.12468046846</v>
      </c>
      <c r="S78" s="10" t="n">
        <f aca="false">'Data BoP'!AK78</f>
        <v>-985.696868688009</v>
      </c>
      <c r="U78" s="14" t="str">
        <f aca="false">'Data BoP'!B78</f>
        <v>2024-Q1</v>
      </c>
      <c r="V78" s="15" t="n">
        <f aca="false">('Data BoP'!U75)+('Data BoP'!U76)+('Data BoP'!U77)+('Data BoP'!U78)</f>
        <v>-19209.9755423886</v>
      </c>
      <c r="W78" s="10" t="n">
        <f aca="false">('Data BoP'!V75)+('Data BoP'!V76)+('Data BoP'!V77)+('Data BoP'!V78)</f>
        <v>-24260.1054727691</v>
      </c>
      <c r="X78" s="10" t="n">
        <f aca="false">('Data BoP'!W75)+('Data BoP'!W76)+('Data BoP'!W77)+('Data BoP'!W78)</f>
        <v>2842.1206958849</v>
      </c>
      <c r="Y78" s="10" t="n">
        <f aca="false">('Data BoP'!X75)+('Data BoP'!X76)+('Data BoP'!X77)+('Data BoP'!X78)</f>
        <v>0</v>
      </c>
      <c r="Z78" s="10" t="n">
        <f aca="false">('Data BoP'!Y75)+('Data BoP'!Y76)+('Data BoP'!Y77)+('Data BoP'!Y78)</f>
        <v>11833.579168654</v>
      </c>
      <c r="AA78" s="10" t="n">
        <f aca="false">('Data BoP'!Z75)+('Data BoP'!Z76)+('Data BoP'!Z77)+('Data BoP'!Z78)</f>
        <v>15268.647</v>
      </c>
      <c r="AB78" s="10" t="n">
        <f aca="false">('Data BoP'!AA75)+('Data BoP'!AA76)+('Data BoP'!AA77)+('Data BoP'!AA78)</f>
        <v>1154.38695770126</v>
      </c>
      <c r="AC78" s="10" t="n">
        <f aca="false">('Data BoP'!AB75)+('Data BoP'!AB76)+('Data BoP'!AB77)+('Data BoP'!AB78)</f>
        <v>-335.868403260534</v>
      </c>
      <c r="AD78" s="10" t="n">
        <f aca="false">('Data BoP'!AC75)+('Data BoP'!AC76)+('Data BoP'!AC77)+('Data BoP'!AC78)</f>
        <v>-253.823433273364</v>
      </c>
      <c r="AE78" s="10" t="n">
        <f aca="false">('Data BoP'!AD75)+('Data BoP'!AD76)+('Data BoP'!AD77)+('Data BoP'!AD78)</f>
        <v>263.235534235332</v>
      </c>
      <c r="AF78" s="10" t="n">
        <f aca="false">('Data BoP'!AE75)+('Data BoP'!AE76)+('Data BoP'!AE77)+('Data BoP'!AE78)</f>
        <v>-2007.31432847049</v>
      </c>
      <c r="AG78" s="10" t="n">
        <f aca="false">('Data BoP'!AF75)+('Data BoP'!AF76)+('Data BoP'!AF77)+('Data BoP'!AF78)</f>
        <v>7.21119446789202</v>
      </c>
      <c r="AH78" s="10" t="n">
        <f aca="false">('Data BoP'!AG75)+('Data BoP'!AG76)+('Data BoP'!AG77)+('Data BoP'!AG78)</f>
        <v>15481.8700740686</v>
      </c>
      <c r="AI78" s="10" t="n">
        <f aca="false">('Data BoP'!AH75)+('Data BoP'!AH76)+('Data BoP'!AH77)+('Data BoP'!AH78)</f>
        <v>18103.3723519108</v>
      </c>
      <c r="AJ78" s="10" t="n">
        <f aca="false">('Data BoP'!AL75)+('Data BoP'!AL76)+('Data BoP'!AL77)+('Data BoP'!AL78)</f>
        <v>2621.50227784222</v>
      </c>
      <c r="AK78" s="15" t="n">
        <f aca="false">('Data BoP'!AJ75)+('Data BoP'!AJ76)+('Data BoP'!AJ77)+('Data BoP'!AJ78)</f>
        <v>-11593.3382958572</v>
      </c>
      <c r="AL78" s="10" t="n">
        <f aca="false">('Data BoP'!AK75)+('Data BoP'!AK76)+('Data BoP'!AK77)+('Data BoP'!AK78)</f>
        <v>-3045.73655105242</v>
      </c>
    </row>
    <row r="79" customFormat="false" ht="15" hidden="false" customHeight="false" outlineLevel="0" collapsed="false">
      <c r="B79" s="14" t="str">
        <f aca="false">'Data BoP'!B79</f>
        <v>2024-Q2</v>
      </c>
      <c r="C79" s="15" t="n">
        <f aca="false">'Data BoP'!U79</f>
        <v>2578.34291432265</v>
      </c>
      <c r="D79" s="10" t="n">
        <f aca="false">'Data BoP'!V79</f>
        <v>-1669.88424078385</v>
      </c>
      <c r="E79" s="10" t="n">
        <f aca="false">'Data BoP'!W79</f>
        <v>762.583747266342</v>
      </c>
      <c r="F79" s="10" t="n">
        <f aca="false">'Data BoP'!X79</f>
        <v>0</v>
      </c>
      <c r="G79" s="10" t="n">
        <f aca="false">'Data BoP'!Y79</f>
        <v>1618.59998805019</v>
      </c>
      <c r="H79" s="10" t="n">
        <f aca="false">'Data BoP'!Z79</f>
        <v>813.868</v>
      </c>
      <c r="I79" s="10" t="n">
        <f aca="false">'Data BoP'!AA79</f>
        <v>-582.857939594429</v>
      </c>
      <c r="J79" s="10" t="n">
        <f aca="false">'Data BoP'!AB79</f>
        <v>79.1877562370925</v>
      </c>
      <c r="K79" s="10" t="n">
        <f aca="false">'Data BoP'!AC79</f>
        <v>399.991458659475</v>
      </c>
      <c r="L79" s="10" t="n">
        <f aca="false">'Data BoP'!AD79</f>
        <v>80.8599691250911</v>
      </c>
      <c r="M79" s="10" t="n">
        <f aca="false">'Data BoP'!AE79</f>
        <v>981.177185365905</v>
      </c>
      <c r="N79" s="10" t="n">
        <f aca="false">'Data BoP'!AF79</f>
        <v>-6.01942688898946</v>
      </c>
      <c r="O79" s="10" t="n">
        <f aca="false">'Data BoP'!AG79</f>
        <v>3143.04590959232</v>
      </c>
      <c r="P79" s="10" t="n">
        <f aca="false">'Data BoP'!AH79</f>
        <v>-518.732363889411</v>
      </c>
      <c r="Q79" s="10" t="n">
        <f aca="false">'Data BoP'!AL79</f>
        <v>-3661.77827348173</v>
      </c>
      <c r="R79" s="15" t="n">
        <f aca="false">'Data BoP'!AJ79</f>
        <v>1694.05861199759</v>
      </c>
      <c r="S79" s="10" t="n">
        <f aca="false">'Data BoP'!AK79</f>
        <v>-981.422050631234</v>
      </c>
      <c r="U79" s="14" t="str">
        <f aca="false">'Data BoP'!B79</f>
        <v>2024-Q2</v>
      </c>
      <c r="V79" s="15" t="n">
        <f aca="false">('Data BoP'!U76)+('Data BoP'!U77)+('Data BoP'!U78)+('Data BoP'!U79)</f>
        <v>-9628.14722467764</v>
      </c>
      <c r="W79" s="10" t="n">
        <f aca="false">('Data BoP'!V76)+('Data BoP'!V77)+('Data BoP'!V78)+('Data BoP'!V79)</f>
        <v>-20299.3915301049</v>
      </c>
      <c r="X79" s="10" t="n">
        <f aca="false">('Data BoP'!W76)+('Data BoP'!W77)+('Data BoP'!W78)+('Data BoP'!W79)</f>
        <v>2875.76109173275</v>
      </c>
      <c r="Y79" s="10" t="n">
        <f aca="false">('Data BoP'!X76)+('Data BoP'!X77)+('Data BoP'!X78)+('Data BoP'!X79)</f>
        <v>0</v>
      </c>
      <c r="Z79" s="10" t="n">
        <f aca="false">('Data BoP'!Y76)+('Data BoP'!Y77)+('Data BoP'!Y78)+('Data BoP'!Y79)</f>
        <v>11310.3536218376</v>
      </c>
      <c r="AA79" s="10" t="n">
        <f aca="false">('Data BoP'!Z76)+('Data BoP'!Z77)+('Data BoP'!Z78)+('Data BoP'!Z79)</f>
        <v>11864.799</v>
      </c>
      <c r="AB79" s="10" t="n">
        <f aca="false">('Data BoP'!AA76)+('Data BoP'!AA77)+('Data BoP'!AA78)+('Data BoP'!AA79)</f>
        <v>-394.838025326021</v>
      </c>
      <c r="AC79" s="10" t="n">
        <f aca="false">('Data BoP'!AB76)+('Data BoP'!AB77)+('Data BoP'!AB78)+('Data BoP'!AB79)</f>
        <v>-347.581300777669</v>
      </c>
      <c r="AD79" s="10" t="n">
        <f aca="false">('Data BoP'!AC76)+('Data BoP'!AC77)+('Data BoP'!AC78)+('Data BoP'!AC79)</f>
        <v>-606.742811210161</v>
      </c>
      <c r="AE79" s="10" t="n">
        <f aca="false">('Data BoP'!AD76)+('Data BoP'!AD77)+('Data BoP'!AD78)+('Data BoP'!AD79)</f>
        <v>55.0969515663616</v>
      </c>
      <c r="AF79" s="10" t="n">
        <f aca="false">('Data BoP'!AE76)+('Data BoP'!AE77)+('Data BoP'!AE78)+('Data BoP'!AE79)</f>
        <v>-614.583038228172</v>
      </c>
      <c r="AG79" s="10" t="n">
        <f aca="false">('Data BoP'!AF76)+('Data BoP'!AF77)+('Data BoP'!AF78)+('Data BoP'!AF79)</f>
        <v>3.0299296530991</v>
      </c>
      <c r="AH79" s="10" t="n">
        <f aca="false">('Data BoP'!AG76)+('Data BoP'!AG77)+('Data BoP'!AG78)+('Data BoP'!AG79)</f>
        <v>10903.878638477</v>
      </c>
      <c r="AI79" s="10" t="n">
        <f aca="false">('Data BoP'!AH76)+('Data BoP'!AH77)+('Data BoP'!AH78)+('Data BoP'!AH79)</f>
        <v>11971.3507555116</v>
      </c>
      <c r="AJ79" s="10" t="n">
        <f aca="false">('Data BoP'!AL76)+('Data BoP'!AL77)+('Data BoP'!AL78)+('Data BoP'!AL79)</f>
        <v>1067.47211703467</v>
      </c>
      <c r="AK79" s="15" t="n">
        <f aca="false">('Data BoP'!AJ76)+('Data BoP'!AJ77)+('Data BoP'!AJ78)+('Data BoP'!AJ79)</f>
        <v>159.173762623171</v>
      </c>
      <c r="AL79" s="10" t="n">
        <f aca="false">('Data BoP'!AK76)+('Data BoP'!AK77)+('Data BoP'!AK78)+('Data BoP'!AK79)</f>
        <v>-3795.13216565063</v>
      </c>
    </row>
    <row r="80" customFormat="false" ht="15" hidden="false" customHeight="false" outlineLevel="0" collapsed="false">
      <c r="B80" s="14" t="str">
        <f aca="false">'Data BoP'!B80</f>
        <v>2024-Q3</v>
      </c>
      <c r="C80" s="15" t="n">
        <f aca="false">'Data BoP'!U80</f>
        <v>-814.221132165346</v>
      </c>
      <c r="D80" s="10" t="n">
        <f aca="false">'Data BoP'!V80</f>
        <v>-3116.61276473052</v>
      </c>
      <c r="E80" s="10" t="n">
        <f aca="false">'Data BoP'!W80</f>
        <v>574.079595506519</v>
      </c>
      <c r="F80" s="10" t="n">
        <f aca="false">'Data BoP'!X80</f>
        <v>0</v>
      </c>
      <c r="G80" s="10" t="n">
        <f aca="false">'Data BoP'!Y80</f>
        <v>2543.97936023704</v>
      </c>
      <c r="H80" s="10" t="n">
        <f aca="false">'Data BoP'!Z80</f>
        <v>1146.713</v>
      </c>
      <c r="I80" s="10" t="n">
        <f aca="false">'Data BoP'!AA80</f>
        <v>4135.60839955417</v>
      </c>
      <c r="J80" s="10" t="n">
        <f aca="false">'Data BoP'!AB80</f>
        <v>96.1523325201341</v>
      </c>
      <c r="K80" s="10" t="n">
        <f aca="false">'Data BoP'!AC80</f>
        <v>1576.72293203117</v>
      </c>
      <c r="L80" s="10" t="n">
        <f aca="false">'Data BoP'!AD80</f>
        <v>-8.17368342105207</v>
      </c>
      <c r="M80" s="10" t="n">
        <f aca="false">'Data BoP'!AE80</f>
        <v>-2454.55945158181</v>
      </c>
      <c r="N80" s="10" t="n">
        <f aca="false">'Data BoP'!AF80</f>
        <v>18.2296322257523</v>
      </c>
      <c r="O80" s="10" t="n">
        <f aca="false">'Data BoP'!AG80</f>
        <v>1119.10221138895</v>
      </c>
      <c r="P80" s="10" t="n">
        <f aca="false">'Data BoP'!AH80</f>
        <v>-288.547320419076</v>
      </c>
      <c r="Q80" s="10" t="n">
        <f aca="false">'Data BoP'!AL80</f>
        <v>-1407.64953180802</v>
      </c>
      <c r="R80" s="15" t="n">
        <f aca="false">'Data BoP'!AJ80</f>
        <v>-2970.54861060369</v>
      </c>
      <c r="S80" s="10" t="n">
        <f aca="false">'Data BoP'!AK80</f>
        <v>-1484.79026894671</v>
      </c>
      <c r="U80" s="14" t="str">
        <f aca="false">'Data BoP'!B80</f>
        <v>2024-Q3</v>
      </c>
      <c r="V80" s="15" t="n">
        <f aca="false">('Data BoP'!U77)+('Data BoP'!U78)+('Data BoP'!U79)+('Data BoP'!U80)</f>
        <v>-3135.49815292045</v>
      </c>
      <c r="W80" s="10" t="n">
        <f aca="false">('Data BoP'!V77)+('Data BoP'!V78)+('Data BoP'!V79)+('Data BoP'!V80)</f>
        <v>-16618.0938915519</v>
      </c>
      <c r="X80" s="10" t="n">
        <f aca="false">('Data BoP'!W77)+('Data BoP'!W78)+('Data BoP'!W79)+('Data BoP'!W80)</f>
        <v>2920.20885028573</v>
      </c>
      <c r="Y80" s="10" t="n">
        <f aca="false">('Data BoP'!X77)+('Data BoP'!X78)+('Data BoP'!X79)+('Data BoP'!X80)</f>
        <v>0</v>
      </c>
      <c r="Z80" s="10" t="n">
        <f aca="false">('Data BoP'!Y77)+('Data BoP'!Y78)+('Data BoP'!Y79)+('Data BoP'!Y80)</f>
        <v>10793.7247418376</v>
      </c>
      <c r="AA80" s="10" t="n">
        <f aca="false">('Data BoP'!Z77)+('Data BoP'!Z78)+('Data BoP'!Z79)+('Data BoP'!Z80)</f>
        <v>8744.578</v>
      </c>
      <c r="AB80" s="10" t="n">
        <f aca="false">('Data BoP'!AA77)+('Data BoP'!AA78)+('Data BoP'!AA79)+('Data BoP'!AA80)</f>
        <v>1318.31428642672</v>
      </c>
      <c r="AC80" s="10" t="n">
        <f aca="false">('Data BoP'!AB77)+('Data BoP'!AB78)+('Data BoP'!AB79)+('Data BoP'!AB80)</f>
        <v>-426.84621104345</v>
      </c>
      <c r="AD80" s="10" t="n">
        <f aca="false">('Data BoP'!AC77)+('Data BoP'!AC78)+('Data BoP'!AC79)+('Data BoP'!AC80)</f>
        <v>593.119413031668</v>
      </c>
      <c r="AE80" s="10" t="n">
        <f aca="false">('Data BoP'!AD77)+('Data BoP'!AD78)+('Data BoP'!AD79)+('Data BoP'!AD80)</f>
        <v>386.622778793331</v>
      </c>
      <c r="AF80" s="10" t="n">
        <f aca="false">('Data BoP'!AE77)+('Data BoP'!AE78)+('Data BoP'!AE79)+('Data BoP'!AE80)</f>
        <v>-1538.66386323184</v>
      </c>
      <c r="AG80" s="10" t="n">
        <f aca="false">('Data BoP'!AF77)+('Data BoP'!AF78)+('Data BoP'!AF79)+('Data BoP'!AF80)</f>
        <v>23.2950402465592</v>
      </c>
      <c r="AH80" s="10" t="n">
        <f aca="false">('Data BoP'!AG77)+('Data BoP'!AG78)+('Data BoP'!AG79)+('Data BoP'!AG80)</f>
        <v>14063.5378810158</v>
      </c>
      <c r="AI80" s="10" t="n">
        <f aca="false">('Data BoP'!AH77)+('Data BoP'!AH78)+('Data BoP'!AH79)+('Data BoP'!AH80)</f>
        <v>6761.71825595517</v>
      </c>
      <c r="AJ80" s="10" t="n">
        <f aca="false">('Data BoP'!AL77)+('Data BoP'!AL78)+('Data BoP'!AL79)+('Data BoP'!AL80)</f>
        <v>-7301.8196250606</v>
      </c>
      <c r="AK80" s="15" t="n">
        <f aca="false">('Data BoP'!AJ77)+('Data BoP'!AJ78)+('Data BoP'!AJ79)+('Data BoP'!AJ80)</f>
        <v>-1922.55146905765</v>
      </c>
      <c r="AL80" s="10" t="n">
        <f aca="false">('Data BoP'!AK77)+('Data BoP'!AK78)+('Data BoP'!AK79)+('Data BoP'!AK80)</f>
        <v>-4336.42221784911</v>
      </c>
    </row>
    <row r="81" customFormat="false" ht="15" hidden="false" customHeight="false" outlineLevel="0" collapsed="false">
      <c r="B81" s="14" t="str">
        <f aca="false">'Data BoP'!B81</f>
        <v>2024-Q4</v>
      </c>
      <c r="C81" s="15" t="n">
        <f aca="false">'Data BoP'!U81</f>
        <v>1388.30644627965</v>
      </c>
      <c r="D81" s="10" t="n">
        <f aca="false">'Data BoP'!V81</f>
        <v>218.33649861323</v>
      </c>
      <c r="E81" s="10" t="n">
        <f aca="false">'Data BoP'!W81</f>
        <v>865.436705892815</v>
      </c>
      <c r="F81" s="10" t="n">
        <f aca="false">'Data BoP'!X81</f>
        <v>0</v>
      </c>
      <c r="G81" s="10" t="n">
        <f aca="false">'Data BoP'!Y81</f>
        <v>2786.38920727958</v>
      </c>
      <c r="H81" s="10" t="n">
        <f aca="false">'Data BoP'!Z81</f>
        <v>-2139.289</v>
      </c>
      <c r="I81" s="10" t="n">
        <f aca="false">'Data BoP'!AA81</f>
        <v>3331.481539291</v>
      </c>
      <c r="J81" s="10" t="n">
        <f aca="false">'Data BoP'!AB81</f>
        <v>761.418856641557</v>
      </c>
      <c r="K81" s="10" t="n">
        <f aca="false">'Data BoP'!AC81</f>
        <v>3005.88558200391</v>
      </c>
      <c r="L81" s="10" t="n">
        <f aca="false">'Data BoP'!AD81</f>
        <v>487.569596334711</v>
      </c>
      <c r="M81" s="10" t="n">
        <f aca="false">'Data BoP'!AE81</f>
        <v>-51.7466969802433</v>
      </c>
      <c r="N81" s="10" t="n">
        <f aca="false">'Data BoP'!AF81</f>
        <v>6.3217823801641</v>
      </c>
      <c r="O81" s="10" t="n">
        <f aca="false">'Data BoP'!AG81</f>
        <v>-5459.46200054404</v>
      </c>
      <c r="P81" s="10" t="n">
        <f aca="false">'Data BoP'!AH81</f>
        <v>-3337.67520053582</v>
      </c>
      <c r="Q81" s="10" t="n">
        <f aca="false">'Data BoP'!AL81</f>
        <v>2121.78680000822</v>
      </c>
      <c r="R81" s="15" t="n">
        <f aca="false">'Data BoP'!AJ81</f>
        <v>3291.62862653929</v>
      </c>
      <c r="S81" s="10" t="n">
        <f aca="false">'Data BoP'!AK81</f>
        <v>-398.036314600719</v>
      </c>
      <c r="U81" s="14" t="str">
        <f aca="false">'Data BoP'!B81</f>
        <v>2024-Q4</v>
      </c>
      <c r="V81" s="15" t="n">
        <f aca="false">('Data BoP'!U78)+('Data BoP'!U79)+('Data BoP'!U80)+('Data BoP'!U81)</f>
        <v>2319.03762706679</v>
      </c>
      <c r="W81" s="10" t="n">
        <f aca="false">('Data BoP'!V78)+('Data BoP'!V79)+('Data BoP'!V80)+('Data BoP'!V81)</f>
        <v>-9590.26436145366</v>
      </c>
      <c r="X81" s="10" t="n">
        <f aca="false">('Data BoP'!W78)+('Data BoP'!W79)+('Data BoP'!W80)+('Data BoP'!W81)</f>
        <v>2774.24077799598</v>
      </c>
      <c r="Y81" s="10" t="n">
        <f aca="false">('Data BoP'!X78)+('Data BoP'!X79)+('Data BoP'!X80)+('Data BoP'!X81)</f>
        <v>0</v>
      </c>
      <c r="Z81" s="10" t="n">
        <f aca="false">('Data BoP'!Y78)+('Data BoP'!Y79)+('Data BoP'!Y80)+('Data BoP'!Y81)</f>
        <v>10420.5051394496</v>
      </c>
      <c r="AA81" s="10" t="n">
        <f aca="false">('Data BoP'!Z78)+('Data BoP'!Z79)+('Data BoP'!Z80)+('Data BoP'!Z81)</f>
        <v>1944</v>
      </c>
      <c r="AB81" s="10" t="n">
        <f aca="false">('Data BoP'!AA78)+('Data BoP'!AA79)+('Data BoP'!AA80)+('Data BoP'!AA81)</f>
        <v>4129.70262873116</v>
      </c>
      <c r="AC81" s="10" t="n">
        <f aca="false">('Data BoP'!AB78)+('Data BoP'!AB79)+('Data BoP'!AB80)+('Data BoP'!AB81)</f>
        <v>1021.31922621753</v>
      </c>
      <c r="AD81" s="10" t="n">
        <f aca="false">('Data BoP'!AC78)+('Data BoP'!AC79)+('Data BoP'!AC80)+('Data BoP'!AC81)</f>
        <v>2529.91850847984</v>
      </c>
      <c r="AE81" s="10" t="n">
        <f aca="false">('Data BoP'!AD78)+('Data BoP'!AD79)+('Data BoP'!AD80)+('Data BoP'!AD81)</f>
        <v>1127.59219804783</v>
      </c>
      <c r="AF81" s="10" t="n">
        <f aca="false">('Data BoP'!AE78)+('Data BoP'!AE79)+('Data BoP'!AE80)+('Data BoP'!AE81)</f>
        <v>-1706.05709208161</v>
      </c>
      <c r="AG81" s="10" t="n">
        <f aca="false">('Data BoP'!AF78)+('Data BoP'!AF79)+('Data BoP'!AF80)+('Data BoP'!AF81)</f>
        <v>19.2458371486411</v>
      </c>
      <c r="AH81" s="10" t="n">
        <f aca="false">('Data BoP'!AG78)+('Data BoP'!AG79)+('Data BoP'!AG80)+('Data BoP'!AG81)</f>
        <v>1667.09021423901</v>
      </c>
      <c r="AI81" s="10" t="n">
        <f aca="false">('Data BoP'!AH78)+('Data BoP'!AH79)+('Data BoP'!AH80)+('Data BoP'!AH81)</f>
        <v>-2908.72136625306</v>
      </c>
      <c r="AJ81" s="10" t="n">
        <f aca="false">('Data BoP'!AL78)+('Data BoP'!AL79)+('Data BoP'!AL80)+('Data BoP'!AL81)</f>
        <v>-4575.81158049206</v>
      </c>
      <c r="AK81" s="15" t="n">
        <f aca="false">('Data BoP'!AJ78)+('Data BoP'!AJ79)+('Data BoP'!AJ80)+('Data BoP'!AJ81)</f>
        <v>6093.26330840165</v>
      </c>
      <c r="AL81" s="10" t="n">
        <f aca="false">('Data BoP'!AK78)+('Data BoP'!AK79)+('Data BoP'!AK80)+('Data BoP'!AK81)</f>
        <v>-3849.94550286667</v>
      </c>
    </row>
    <row r="82" customFormat="false" ht="15" hidden="false" customHeight="false" outlineLevel="0" collapsed="false">
      <c r="B82" s="14" t="str">
        <f aca="false">'Data BoP'!B82</f>
        <v>2025-Q1</v>
      </c>
      <c r="C82" s="15" t="n">
        <f aca="false">'Data BoP'!U82</f>
        <v>-7189.11467496706</v>
      </c>
      <c r="D82" s="10" t="n">
        <f aca="false">'Data BoP'!V82</f>
        <v>-312.971067141362</v>
      </c>
      <c r="E82" s="10" t="n">
        <f aca="false">'Data BoP'!W82</f>
        <v>551.904793091485</v>
      </c>
      <c r="F82" s="10" t="n">
        <f aca="false">'Data BoP'!X82</f>
        <v>0</v>
      </c>
      <c r="G82" s="10" t="n">
        <f aca="false">'Data BoP'!Y82</f>
        <v>505.376860232846</v>
      </c>
      <c r="H82" s="10" t="n">
        <f aca="false">'Data BoP'!Z82</f>
        <v>359.499</v>
      </c>
      <c r="I82" s="10" t="n">
        <f aca="false">'Data BoP'!AA82</f>
        <v>3250.84884528374</v>
      </c>
      <c r="J82" s="10" t="n">
        <f aca="false">'Data BoP'!AB82</f>
        <v>745.825149939055</v>
      </c>
      <c r="K82" s="10" t="n">
        <f aca="false">'Data BoP'!AC82</f>
        <v>1875.33341940072</v>
      </c>
      <c r="L82" s="10" t="n">
        <f aca="false">'Data BoP'!AD82</f>
        <v>-264.927875501932</v>
      </c>
      <c r="M82" s="10" t="n">
        <f aca="false">'Data BoP'!AE82</f>
        <v>-364.762400442031</v>
      </c>
      <c r="N82" s="10" t="n">
        <f aca="false">'Data BoP'!AF82</f>
        <v>-9.1243831799434</v>
      </c>
      <c r="O82" s="10" t="n">
        <f aca="false">'Data BoP'!AG82</f>
        <v>-4490.36683149997</v>
      </c>
      <c r="P82" s="10" t="n">
        <f aca="false">'Data BoP'!AH82</f>
        <v>-3101.92095359686</v>
      </c>
      <c r="Q82" s="10" t="n">
        <f aca="false">'Data BoP'!AL82</f>
        <v>1388.4458779031</v>
      </c>
      <c r="R82" s="15" t="n">
        <f aca="false">'Data BoP'!AJ82</f>
        <v>-5627.50123842953</v>
      </c>
      <c r="S82" s="10" t="n">
        <f aca="false">'Data BoP'!AK82</f>
        <v>-2090.68128450781</v>
      </c>
      <c r="U82" s="14" t="str">
        <f aca="false">'Data BoP'!B82</f>
        <v>2025-Q1</v>
      </c>
      <c r="V82" s="15" t="n">
        <f aca="false">('Data BoP'!U79)+('Data BoP'!U80)+('Data BoP'!U81)+('Data BoP'!U82)</f>
        <v>-4036.68644653012</v>
      </c>
      <c r="W82" s="10" t="n">
        <f aca="false">('Data BoP'!V79)+('Data BoP'!V80)+('Data BoP'!V81)+('Data BoP'!V82)</f>
        <v>-4881.1315740425</v>
      </c>
      <c r="X82" s="10" t="n">
        <f aca="false">('Data BoP'!W79)+('Data BoP'!W80)+('Data BoP'!W81)+('Data BoP'!W82)</f>
        <v>2754.00484175716</v>
      </c>
      <c r="Y82" s="10" t="n">
        <f aca="false">('Data BoP'!X79)+('Data BoP'!X80)+('Data BoP'!X81)+('Data BoP'!X82)</f>
        <v>0</v>
      </c>
      <c r="Z82" s="10" t="n">
        <f aca="false">('Data BoP'!Y79)+('Data BoP'!Y80)+('Data BoP'!Y81)+('Data BoP'!Y82)</f>
        <v>7454.34541579966</v>
      </c>
      <c r="AA82" s="10" t="n">
        <f aca="false">('Data BoP'!Z79)+('Data BoP'!Z80)+('Data BoP'!Z81)+('Data BoP'!Z82)</f>
        <v>180.791</v>
      </c>
      <c r="AB82" s="10" t="n">
        <f aca="false">('Data BoP'!AA79)+('Data BoP'!AA80)+('Data BoP'!AA81)+('Data BoP'!AA82)</f>
        <v>10135.0808445345</v>
      </c>
      <c r="AC82" s="10" t="n">
        <f aca="false">('Data BoP'!AB79)+('Data BoP'!AB80)+('Data BoP'!AB81)+('Data BoP'!AB82)</f>
        <v>1682.58409533784</v>
      </c>
      <c r="AD82" s="10" t="n">
        <f aca="false">('Data BoP'!AC79)+('Data BoP'!AC80)+('Data BoP'!AC81)+('Data BoP'!AC82)</f>
        <v>6857.93339209528</v>
      </c>
      <c r="AE82" s="10" t="n">
        <f aca="false">('Data BoP'!AD79)+('Data BoP'!AD80)+('Data BoP'!AD81)+('Data BoP'!AD82)</f>
        <v>295.328006536819</v>
      </c>
      <c r="AF82" s="10" t="n">
        <f aca="false">('Data BoP'!AE79)+('Data BoP'!AE80)+('Data BoP'!AE81)+('Data BoP'!AE82)</f>
        <v>-1889.89136363818</v>
      </c>
      <c r="AG82" s="10" t="n">
        <f aca="false">('Data BoP'!AF79)+('Data BoP'!AF80)+('Data BoP'!AF81)+('Data BoP'!AF82)</f>
        <v>9.40760453698353</v>
      </c>
      <c r="AH82" s="10" t="n">
        <f aca="false">('Data BoP'!AG79)+('Data BoP'!AG80)+('Data BoP'!AG81)+('Data BoP'!AG82)</f>
        <v>-5687.68071106273</v>
      </c>
      <c r="AI82" s="10" t="n">
        <f aca="false">('Data BoP'!AH79)+('Data BoP'!AH80)+('Data BoP'!AH81)+('Data BoP'!AH82)</f>
        <v>-7246.87583844117</v>
      </c>
      <c r="AJ82" s="10" t="n">
        <f aca="false">('Data BoP'!AL79)+('Data BoP'!AL80)+('Data BoP'!AL81)+('Data BoP'!AL82)</f>
        <v>-1559.19512737843</v>
      </c>
      <c r="AK82" s="15" t="n">
        <f aca="false">('Data BoP'!AJ79)+('Data BoP'!AJ80)+('Data BoP'!AJ81)+('Data BoP'!AJ82)</f>
        <v>-3612.36261049634</v>
      </c>
      <c r="AL82" s="10" t="n">
        <f aca="false">('Data BoP'!AK79)+('Data BoP'!AK80)+('Data BoP'!AK81)+('Data BoP'!AK82)</f>
        <v>-4954.92991868647</v>
      </c>
    </row>
    <row r="83" customFormat="false" ht="15" hidden="false" customHeight="false" outlineLevel="0" collapsed="false">
      <c r="B83" s="14" t="str">
        <f aca="false">'Data BoP'!B83</f>
        <v>2025-Q2</v>
      </c>
      <c r="C83" s="15" t="n">
        <f aca="false">'Data BoP'!U83</f>
        <v>-3348.42725049803</v>
      </c>
      <c r="D83" s="10" t="n">
        <f aca="false">'Data BoP'!V83</f>
        <v>-1983.81623281032</v>
      </c>
      <c r="E83" s="10" t="n">
        <f aca="false">'Data BoP'!W83</f>
        <v>692.732999347833</v>
      </c>
      <c r="F83" s="10" t="n">
        <f aca="false">'Data BoP'!X83</f>
        <v>0</v>
      </c>
      <c r="G83" s="10" t="n">
        <f aca="false">'Data BoP'!Y83</f>
        <v>495.181232158149</v>
      </c>
      <c r="H83" s="10" t="n">
        <f aca="false">'Data BoP'!Z83</f>
        <v>2181.368</v>
      </c>
      <c r="I83" s="10" t="n">
        <f aca="false">'Data BoP'!AA83</f>
        <v>-1975.56541640258</v>
      </c>
      <c r="J83" s="10" t="n">
        <f aca="false">'Data BoP'!AB83</f>
        <v>-244.73975178146</v>
      </c>
      <c r="K83" s="10" t="n">
        <f aca="false">'Data BoP'!AC83</f>
        <v>325.207928138457</v>
      </c>
      <c r="L83" s="10" t="n">
        <f aca="false">'Data BoP'!AD83</f>
        <v>-440.198090121903</v>
      </c>
      <c r="M83" s="10" t="n">
        <f aca="false">'Data BoP'!AE83</f>
        <v>2496.23168288148</v>
      </c>
      <c r="N83" s="10" t="n">
        <f aca="false">'Data BoP'!AF83</f>
        <v>-5.81914351604415</v>
      </c>
      <c r="O83" s="10" t="n">
        <f aca="false">'Data BoP'!AG83</f>
        <v>-13654.6401465179</v>
      </c>
      <c r="P83" s="10" t="n">
        <f aca="false">'Data BoP'!AH83</f>
        <v>3793.32184212949</v>
      </c>
      <c r="Q83" s="10" t="n">
        <f aca="false">'Data BoP'!AL83</f>
        <v>17447.9619886474</v>
      </c>
      <c r="R83" s="15" t="n">
        <f aca="false">'Data BoP'!AJ83</f>
        <v>14271.4136887488</v>
      </c>
      <c r="S83" s="10" t="n">
        <f aca="false">'Data BoP'!AK83</f>
        <v>-1068.20100457889</v>
      </c>
      <c r="U83" s="14" t="str">
        <f aca="false">'Data BoP'!B83</f>
        <v>2025-Q2</v>
      </c>
      <c r="V83" s="15" t="n">
        <f aca="false">('Data BoP'!U80)+('Data BoP'!U81)+('Data BoP'!U82)+('Data BoP'!U83)</f>
        <v>-9963.45661135079</v>
      </c>
      <c r="W83" s="10" t="n">
        <f aca="false">('Data BoP'!V80)+('Data BoP'!V81)+('Data BoP'!V82)+('Data BoP'!V83)</f>
        <v>-5195.06356606897</v>
      </c>
      <c r="X83" s="10" t="n">
        <f aca="false">('Data BoP'!W80)+('Data BoP'!W81)+('Data BoP'!W82)+('Data BoP'!W83)</f>
        <v>2684.15409383865</v>
      </c>
      <c r="Y83" s="10" t="n">
        <f aca="false">('Data BoP'!X80)+('Data BoP'!X81)+('Data BoP'!X82)+('Data BoP'!X83)</f>
        <v>0</v>
      </c>
      <c r="Z83" s="10" t="n">
        <f aca="false">('Data BoP'!Y80)+('Data BoP'!Y81)+('Data BoP'!Y82)+('Data BoP'!Y83)</f>
        <v>6330.92665990762</v>
      </c>
      <c r="AA83" s="10" t="n">
        <f aca="false">('Data BoP'!Z80)+('Data BoP'!Z81)+('Data BoP'!Z82)+('Data BoP'!Z83)</f>
        <v>1548.291</v>
      </c>
      <c r="AB83" s="10" t="n">
        <f aca="false">('Data BoP'!AA80)+('Data BoP'!AA81)+('Data BoP'!AA82)+('Data BoP'!AA83)</f>
        <v>8742.37336772632</v>
      </c>
      <c r="AC83" s="10" t="n">
        <f aca="false">('Data BoP'!AB80)+('Data BoP'!AB81)+('Data BoP'!AB82)+('Data BoP'!AB83)</f>
        <v>1358.65658731929</v>
      </c>
      <c r="AD83" s="10" t="n">
        <f aca="false">('Data BoP'!AC80)+('Data BoP'!AC81)+('Data BoP'!AC82)+('Data BoP'!AC83)</f>
        <v>6783.14986157426</v>
      </c>
      <c r="AE83" s="10" t="n">
        <f aca="false">('Data BoP'!AD80)+('Data BoP'!AD81)+('Data BoP'!AD82)+('Data BoP'!AD83)</f>
        <v>-225.730052710176</v>
      </c>
      <c r="AF83" s="10" t="n">
        <f aca="false">('Data BoP'!AE80)+('Data BoP'!AE81)+('Data BoP'!AE82)+('Data BoP'!AE83)</f>
        <v>-374.8368661226</v>
      </c>
      <c r="AG83" s="10" t="n">
        <f aca="false">('Data BoP'!AF80)+('Data BoP'!AF81)+('Data BoP'!AF82)+('Data BoP'!AF83)</f>
        <v>9.60788790992884</v>
      </c>
      <c r="AH83" s="10" t="n">
        <f aca="false">('Data BoP'!AG80)+('Data BoP'!AG81)+('Data BoP'!AG82)+('Data BoP'!AG83)</f>
        <v>-22485.366767173</v>
      </c>
      <c r="AI83" s="10" t="n">
        <f aca="false">('Data BoP'!AH80)+('Data BoP'!AH81)+('Data BoP'!AH82)+('Data BoP'!AH83)</f>
        <v>-2934.82163242227</v>
      </c>
      <c r="AJ83" s="10" t="n">
        <f aca="false">('Data BoP'!AL80)+('Data BoP'!AL81)+('Data BoP'!AL82)+('Data BoP'!AL83)</f>
        <v>19550.5451347507</v>
      </c>
      <c r="AK83" s="15" t="n">
        <f aca="false">('Data BoP'!AJ80)+('Data BoP'!AJ81)+('Data BoP'!AJ82)+('Data BoP'!AJ83)</f>
        <v>8964.99246625489</v>
      </c>
      <c r="AL83" s="10" t="n">
        <f aca="false">('Data BoP'!AK80)+('Data BoP'!AK81)+('Data BoP'!AK82)+('Data BoP'!AK83)</f>
        <v>-5041.70887263413</v>
      </c>
    </row>
    <row r="84" customFormat="false" ht="15" hidden="false" customHeight="false" outlineLevel="0" collapsed="false">
      <c r="B84" s="14" t="str">
        <f aca="false">'Data BoP'!B84</f>
        <v>2025-Q3</v>
      </c>
      <c r="C84" s="15" t="n">
        <f aca="false">'Data BoP'!U84</f>
        <v>-3658.13842164947</v>
      </c>
      <c r="D84" s="10" t="n">
        <f aca="false">'Data BoP'!V84</f>
        <v>-4302.34189901477</v>
      </c>
      <c r="E84" s="10" t="n">
        <f aca="false">'Data BoP'!W84</f>
        <v>622.254911856028</v>
      </c>
      <c r="F84" s="10" t="n">
        <f aca="false">'Data BoP'!X84</f>
        <v>0</v>
      </c>
      <c r="G84" s="10" t="n">
        <f aca="false">'Data BoP'!Y84</f>
        <v>1709.59581087079</v>
      </c>
      <c r="H84" s="10" t="n">
        <f aca="false">'Data BoP'!Z84</f>
        <v>3215.001</v>
      </c>
      <c r="I84" s="10" t="n">
        <f aca="false">'Data BoP'!AA84</f>
        <v>3470.81131682544</v>
      </c>
      <c r="J84" s="10" t="n">
        <f aca="false">'Data BoP'!AB84</f>
        <v>733.501873391223</v>
      </c>
      <c r="K84" s="10" t="n">
        <f aca="false">'Data BoP'!AC84</f>
        <v>594.24773013815</v>
      </c>
      <c r="L84" s="10" t="n">
        <f aca="false">'Data BoP'!AD84</f>
        <v>-468.724586683486</v>
      </c>
      <c r="M84" s="10" t="n">
        <f aca="false">'Data BoP'!AE84</f>
        <v>-1674.33712661259</v>
      </c>
      <c r="N84" s="10" t="n">
        <f aca="false">'Data BoP'!AF84</f>
        <v>-21.1528687358401</v>
      </c>
      <c r="O84" s="10" t="n">
        <f aca="false">'Data BoP'!AG84</f>
        <v>-2351.00286024007</v>
      </c>
      <c r="P84" s="10" t="n">
        <f aca="false">'Data BoP'!AH84</f>
        <v>6142.28746579856</v>
      </c>
      <c r="Q84" s="10" t="n">
        <f aca="false">'Data BoP'!AL84</f>
        <v>8493.29032603863</v>
      </c>
      <c r="R84" s="15" t="n">
        <f aca="false">'Data BoP'!AJ84</f>
        <v>-454.452110484241</v>
      </c>
      <c r="S84" s="10" t="n">
        <f aca="false">'Data BoP'!AK84</f>
        <v>-1694.49142135046</v>
      </c>
      <c r="U84" s="14" t="str">
        <f aca="false">'Data BoP'!B84</f>
        <v>2025-Q3</v>
      </c>
      <c r="V84" s="15" t="n">
        <f aca="false">('Data BoP'!U81)+('Data BoP'!U82)+('Data BoP'!U83)+('Data BoP'!U84)</f>
        <v>-12807.3739008349</v>
      </c>
      <c r="W84" s="10" t="n">
        <f aca="false">('Data BoP'!V81)+('Data BoP'!V82)+('Data BoP'!V83)+('Data BoP'!V84)</f>
        <v>-6380.79270035321</v>
      </c>
      <c r="X84" s="10" t="n">
        <f aca="false">('Data BoP'!W81)+('Data BoP'!W82)+('Data BoP'!W83)+('Data BoP'!W84)</f>
        <v>2732.32941018816</v>
      </c>
      <c r="Y84" s="10" t="n">
        <f aca="false">('Data BoP'!X81)+('Data BoP'!X82)+('Data BoP'!X83)+('Data BoP'!X84)</f>
        <v>0</v>
      </c>
      <c r="Z84" s="10" t="n">
        <f aca="false">('Data BoP'!Y81)+('Data BoP'!Y82)+('Data BoP'!Y83)+('Data BoP'!Y84)</f>
        <v>5496.54311054137</v>
      </c>
      <c r="AA84" s="10" t="n">
        <f aca="false">('Data BoP'!Z81)+('Data BoP'!Z82)+('Data BoP'!Z83)+('Data BoP'!Z84)</f>
        <v>3616.579</v>
      </c>
      <c r="AB84" s="10" t="n">
        <f aca="false">('Data BoP'!AA81)+('Data BoP'!AA82)+('Data BoP'!AA83)+('Data BoP'!AA84)</f>
        <v>8077.5762849976</v>
      </c>
      <c r="AC84" s="10" t="n">
        <f aca="false">('Data BoP'!AB81)+('Data BoP'!AB82)+('Data BoP'!AB83)+('Data BoP'!AB84)</f>
        <v>1996.00612819038</v>
      </c>
      <c r="AD84" s="10" t="n">
        <f aca="false">('Data BoP'!AC81)+('Data BoP'!AC82)+('Data BoP'!AC83)+('Data BoP'!AC84)</f>
        <v>5800.67465968124</v>
      </c>
      <c r="AE84" s="10" t="n">
        <f aca="false">('Data BoP'!AD81)+('Data BoP'!AD82)+('Data BoP'!AD83)+('Data BoP'!AD84)</f>
        <v>-686.280955972609</v>
      </c>
      <c r="AF84" s="10" t="n">
        <f aca="false">('Data BoP'!AE81)+('Data BoP'!AE82)+('Data BoP'!AE83)+('Data BoP'!AE84)</f>
        <v>405.385458846622</v>
      </c>
      <c r="AG84" s="10" t="n">
        <f aca="false">('Data BoP'!AF81)+('Data BoP'!AF82)+('Data BoP'!AF83)+('Data BoP'!AF84)</f>
        <v>-29.7746130516636</v>
      </c>
      <c r="AH84" s="10" t="n">
        <f aca="false">('Data BoP'!AG81)+('Data BoP'!AG82)+('Data BoP'!AG83)+('Data BoP'!AG84)</f>
        <v>-25955.471838802</v>
      </c>
      <c r="AI84" s="10" t="n">
        <f aca="false">('Data BoP'!AH81)+('Data BoP'!AH82)+('Data BoP'!AH83)+('Data BoP'!AH84)</f>
        <v>3496.01315379538</v>
      </c>
      <c r="AJ84" s="10" t="n">
        <f aca="false">('Data BoP'!AL81)+('Data BoP'!AL82)+('Data BoP'!AL83)+('Data BoP'!AL84)</f>
        <v>29451.4849925973</v>
      </c>
      <c r="AK84" s="15" t="n">
        <f aca="false">('Data BoP'!AJ81)+('Data BoP'!AJ82)+('Data BoP'!AJ83)+('Data BoP'!AJ84)</f>
        <v>11481.0889663743</v>
      </c>
      <c r="AL84" s="10" t="n">
        <f aca="false">('Data BoP'!AK81)+('Data BoP'!AK82)+('Data BoP'!AK83)+('Data BoP'!AK84)</f>
        <v>-5251.41002503788</v>
      </c>
    </row>
    <row r="85" customFormat="false" ht="15" hidden="false" customHeight="false" outlineLevel="0" collapsed="false">
      <c r="B85" s="14" t="str">
        <f aca="false">'Data BoP'!B85</f>
        <v>2025-Q4</v>
      </c>
      <c r="C85" s="15" t="n">
        <f aca="false">'Data BoP'!U85</f>
        <v>2192.57668285132</v>
      </c>
      <c r="D85" s="10" t="n">
        <f aca="false">'Data BoP'!V85</f>
        <v>4980.73191290717</v>
      </c>
      <c r="E85" s="10" t="n">
        <f aca="false">'Data BoP'!W85</f>
        <v>876.438636533935</v>
      </c>
      <c r="F85" s="10" t="n">
        <f aca="false">'Data BoP'!X85</f>
        <v>0</v>
      </c>
      <c r="G85" s="10" t="n">
        <f aca="false">'Data BoP'!Y85</f>
        <v>919.395723626766</v>
      </c>
      <c r="H85" s="10" t="n">
        <f aca="false">'Data BoP'!Z85</f>
        <v>-5023.689</v>
      </c>
      <c r="I85" s="10" t="n">
        <f aca="false">'Data BoP'!AA85</f>
        <v>-4467.93240555789</v>
      </c>
      <c r="J85" s="10" t="n">
        <f aca="false">'Data BoP'!AB85</f>
        <v>1121.66886373547</v>
      </c>
      <c r="K85" s="10" t="n">
        <f aca="false">'Data BoP'!AC85</f>
        <v>847.851770385672</v>
      </c>
      <c r="L85" s="10" t="n">
        <f aca="false">'Data BoP'!AD85</f>
        <v>-244.158613207783</v>
      </c>
      <c r="M85" s="10" t="n">
        <f aca="false">'Data BoP'!AE85</f>
        <v>6681.61165288681</v>
      </c>
      <c r="N85" s="10" t="n">
        <f aca="false">'Data BoP'!AF85</f>
        <v>38.8167318947498</v>
      </c>
      <c r="O85" s="10" t="n">
        <f aca="false">'Data BoP'!AG85</f>
        <v>2609.3467756752</v>
      </c>
      <c r="P85" s="10" t="n">
        <f aca="false">'Data BoP'!AH85</f>
        <v>3241.56207717136</v>
      </c>
      <c r="Q85" s="10" t="n">
        <f aca="false">'Data BoP'!AL85</f>
        <v>632.215301496166</v>
      </c>
      <c r="R85" s="15" t="n">
        <f aca="false">'Data BoP'!AJ85</f>
        <v>-968.386332067905</v>
      </c>
      <c r="S85" s="10" t="n">
        <f aca="false">'Data BoP'!AK85</f>
        <v>184.255463781361</v>
      </c>
      <c r="U85" s="14" t="str">
        <f aca="false">'Data BoP'!B85</f>
        <v>2025-Q4</v>
      </c>
      <c r="V85" s="15" t="n">
        <f aca="false">('Data BoP'!U82)+('Data BoP'!U83)+('Data BoP'!U84)+('Data BoP'!U85)</f>
        <v>-12003.1036642632</v>
      </c>
      <c r="W85" s="10" t="n">
        <f aca="false">('Data BoP'!V82)+('Data BoP'!V83)+('Data BoP'!V84)+('Data BoP'!V85)</f>
        <v>-1618.39728605927</v>
      </c>
      <c r="X85" s="10" t="n">
        <f aca="false">('Data BoP'!W82)+('Data BoP'!W83)+('Data BoP'!W84)+('Data BoP'!W85)</f>
        <v>2743.33134082928</v>
      </c>
      <c r="Y85" s="10" t="n">
        <f aca="false">('Data BoP'!X82)+('Data BoP'!X83)+('Data BoP'!X84)+('Data BoP'!X85)</f>
        <v>0</v>
      </c>
      <c r="Z85" s="10" t="n">
        <f aca="false">('Data BoP'!Y82)+('Data BoP'!Y83)+('Data BoP'!Y84)+('Data BoP'!Y85)</f>
        <v>3629.54962688856</v>
      </c>
      <c r="AA85" s="10" t="n">
        <f aca="false">('Data BoP'!Z82)+('Data BoP'!Z83)+('Data BoP'!Z84)+('Data BoP'!Z85)</f>
        <v>732.179</v>
      </c>
      <c r="AB85" s="10" t="n">
        <f aca="false">('Data BoP'!AA82)+('Data BoP'!AA83)+('Data BoP'!AA84)+('Data BoP'!AA85)</f>
        <v>278.162340148708</v>
      </c>
      <c r="AC85" s="10" t="n">
        <f aca="false">('Data BoP'!AB82)+('Data BoP'!AB83)+('Data BoP'!AB84)+('Data BoP'!AB85)</f>
        <v>2356.25613528429</v>
      </c>
      <c r="AD85" s="10" t="n">
        <f aca="false">('Data BoP'!AC82)+('Data BoP'!AC83)+('Data BoP'!AC84)+('Data BoP'!AC85)</f>
        <v>3642.640848063</v>
      </c>
      <c r="AE85" s="10" t="n">
        <f aca="false">('Data BoP'!AD82)+('Data BoP'!AD83)+('Data BoP'!AD84)+('Data BoP'!AD85)</f>
        <v>-1418.0091655151</v>
      </c>
      <c r="AF85" s="10" t="n">
        <f aca="false">('Data BoP'!AE82)+('Data BoP'!AE83)+('Data BoP'!AE84)+('Data BoP'!AE85)</f>
        <v>7138.74380871368</v>
      </c>
      <c r="AG85" s="10" t="n">
        <f aca="false">('Data BoP'!AF82)+('Data BoP'!AF83)+('Data BoP'!AF84)+('Data BoP'!AF85)</f>
        <v>2.72033646292213</v>
      </c>
      <c r="AH85" s="10" t="n">
        <f aca="false">('Data BoP'!AG82)+('Data BoP'!AG83)+('Data BoP'!AG84)+('Data BoP'!AG85)</f>
        <v>-17886.6630625827</v>
      </c>
      <c r="AI85" s="10" t="n">
        <f aca="false">('Data BoP'!AH82)+('Data BoP'!AH83)+('Data BoP'!AH84)+('Data BoP'!AH85)</f>
        <v>10075.2504315026</v>
      </c>
      <c r="AJ85" s="10" t="n">
        <f aca="false">('Data BoP'!AL82)+('Data BoP'!AL83)+('Data BoP'!AL84)+('Data BoP'!AL85)</f>
        <v>27961.9134940853</v>
      </c>
      <c r="AK85" s="15" t="n">
        <f aca="false">('Data BoP'!AJ82)+('Data BoP'!AJ83)+('Data BoP'!AJ84)+('Data BoP'!AJ85)</f>
        <v>7221.07400776715</v>
      </c>
      <c r="AL85" s="10" t="n">
        <f aca="false">('Data BoP'!AK82)+('Data BoP'!AK83)+('Data BoP'!AK84)+('Data BoP'!AK85)</f>
        <v>-4669.1182466558</v>
      </c>
    </row>
    <row r="86" customFormat="false" ht="15" hidden="false" customHeight="false" outlineLevel="0" collapsed="false">
      <c r="B86" s="14" t="str">
        <f aca="false">'Data BoP'!B86</f>
        <v>2026-Q1</v>
      </c>
      <c r="C86" s="15" t="n">
        <f aca="false">'Data BoP'!U86</f>
        <v>-2398.25405213447</v>
      </c>
      <c r="D86" s="10" t="n">
        <f aca="false">'Data BoP'!V86</f>
        <v>-1290.67681652684</v>
      </c>
      <c r="E86" s="10" t="n">
        <f aca="false">'Data BoP'!W86</f>
        <v>503.062098638609</v>
      </c>
      <c r="F86" s="10" t="n">
        <f aca="false">'Data BoP'!X86</f>
        <v>0</v>
      </c>
      <c r="G86" s="10" t="n">
        <f aca="false">'Data BoP'!Y86</f>
        <v>1913.98391516545</v>
      </c>
      <c r="H86" s="10" t="n">
        <f aca="false">'Data BoP'!Z86</f>
        <v>-120.245</v>
      </c>
      <c r="I86" s="10" t="n">
        <f aca="false">'Data BoP'!AA86</f>
        <v>656.59172172735</v>
      </c>
      <c r="J86" s="10" t="n">
        <f aca="false">'Data BoP'!AB86</f>
        <v>397.439088933838</v>
      </c>
      <c r="K86" s="10" t="n">
        <f aca="false">'Data BoP'!AC86</f>
        <v>1046.39738939345</v>
      </c>
      <c r="L86" s="10" t="n">
        <f aca="false">'Data BoP'!AD86</f>
        <v>-352.592374026528</v>
      </c>
      <c r="M86" s="10" t="n">
        <f aca="false">'Data BoP'!AE86</f>
        <v>1139.83713062647</v>
      </c>
      <c r="N86" s="10" t="n">
        <f aca="false">'Data BoP'!AF86</f>
        <v>-10.3504716029054</v>
      </c>
      <c r="O86" s="10" t="n">
        <f aca="false">'Data BoP'!AG86</f>
        <v>-1764.40269192813</v>
      </c>
      <c r="P86" s="10" t="n">
        <f aca="false">'Data BoP'!AH86</f>
        <v>-575.692091548189</v>
      </c>
      <c r="Q86" s="10" t="n">
        <f aca="false">'Data BoP'!AL86</f>
        <v>1188.71060037994</v>
      </c>
      <c r="R86" s="15" t="n">
        <f aca="false">'Data BoP'!AJ86</f>
        <v>10.5842061960615</v>
      </c>
      <c r="S86" s="10" t="n">
        <f aca="false">'Data BoP'!AK86</f>
        <v>-811.103835390097</v>
      </c>
      <c r="U86" s="14" t="str">
        <f aca="false">'Data BoP'!B86</f>
        <v>2026-Q1</v>
      </c>
      <c r="V86" s="15" t="n">
        <f aca="false">('Data BoP'!U83)+('Data BoP'!U84)+('Data BoP'!U85)+('Data BoP'!U86)</f>
        <v>-7212.24304143064</v>
      </c>
      <c r="W86" s="10" t="n">
        <f aca="false">('Data BoP'!V83)+('Data BoP'!V84)+('Data BoP'!V85)+('Data BoP'!V86)</f>
        <v>-2596.10303544476</v>
      </c>
      <c r="X86" s="10" t="n">
        <f aca="false">('Data BoP'!W83)+('Data BoP'!W84)+('Data BoP'!W85)+('Data BoP'!W86)</f>
        <v>2694.48864637641</v>
      </c>
      <c r="Y86" s="10" t="n">
        <f aca="false">('Data BoP'!X83)+('Data BoP'!X84)+('Data BoP'!X85)+('Data BoP'!X86)</f>
        <v>0</v>
      </c>
      <c r="Z86" s="10" t="n">
        <f aca="false">('Data BoP'!Y83)+('Data BoP'!Y84)+('Data BoP'!Y85)+('Data BoP'!Y86)</f>
        <v>5038.15668182116</v>
      </c>
      <c r="AA86" s="10" t="n">
        <f aca="false">('Data BoP'!Z83)+('Data BoP'!Z84)+('Data BoP'!Z85)+('Data BoP'!Z86)</f>
        <v>252.435</v>
      </c>
      <c r="AB86" s="10" t="n">
        <f aca="false">('Data BoP'!AA83)+('Data BoP'!AA84)+('Data BoP'!AA85)+('Data BoP'!AA86)</f>
        <v>-2316.09478340768</v>
      </c>
      <c r="AC86" s="10" t="n">
        <f aca="false">('Data BoP'!AB83)+('Data BoP'!AB84)+('Data BoP'!AB85)+('Data BoP'!AB86)</f>
        <v>2007.87007427907</v>
      </c>
      <c r="AD86" s="10" t="n">
        <f aca="false">('Data BoP'!AC83)+('Data BoP'!AC84)+('Data BoP'!AC85)+('Data BoP'!AC86)</f>
        <v>2813.70481805573</v>
      </c>
      <c r="AE86" s="10" t="n">
        <f aca="false">('Data BoP'!AD83)+('Data BoP'!AD84)+('Data BoP'!AD85)+('Data BoP'!AD86)</f>
        <v>-1505.6736640397</v>
      </c>
      <c r="AF86" s="10" t="n">
        <f aca="false">('Data BoP'!AE83)+('Data BoP'!AE84)+('Data BoP'!AE85)+('Data BoP'!AE86)</f>
        <v>8643.34333978218</v>
      </c>
      <c r="AG86" s="10" t="n">
        <f aca="false">('Data BoP'!AF83)+('Data BoP'!AF84)+('Data BoP'!AF85)+('Data BoP'!AF86)</f>
        <v>1.49424803996012</v>
      </c>
      <c r="AH86" s="10" t="n">
        <f aca="false">('Data BoP'!AG83)+('Data BoP'!AG84)+('Data BoP'!AG85)+('Data BoP'!AG86)</f>
        <v>-15160.6989230109</v>
      </c>
      <c r="AI86" s="10" t="n">
        <f aca="false">('Data BoP'!AH83)+('Data BoP'!AH84)+('Data BoP'!AH85)+('Data BoP'!AH86)</f>
        <v>12601.4792935512</v>
      </c>
      <c r="AJ86" s="10" t="n">
        <f aca="false">('Data BoP'!AL83)+('Data BoP'!AL84)+('Data BoP'!AL85)+('Data BoP'!AL86)</f>
        <v>27762.1782165621</v>
      </c>
      <c r="AK86" s="15" t="n">
        <f aca="false">('Data BoP'!AJ83)+('Data BoP'!AJ84)+('Data BoP'!AJ85)+('Data BoP'!AJ86)</f>
        <v>12859.1594523927</v>
      </c>
      <c r="AL86" s="10" t="n">
        <f aca="false">('Data BoP'!AK83)+('Data BoP'!AK84)+('Data BoP'!AK85)+('Data BoP'!AK86)</f>
        <v>-3389.54079753808</v>
      </c>
    </row>
    <row r="89" customFormat="false" ht="15" hidden="false" customHeight="false" outlineLevel="0" collapsed="false">
      <c r="B89" s="3" t="s">
        <v>186</v>
      </c>
    </row>
    <row r="90" customFormat="false" ht="39.75" hidden="false" customHeight="true" outlineLevel="0" collapsed="false">
      <c r="B90" s="13" t="s">
        <v>40</v>
      </c>
      <c r="C90" s="6" t="s">
        <v>189</v>
      </c>
      <c r="D90" s="6" t="s">
        <v>190</v>
      </c>
      <c r="E90" s="6" t="s">
        <v>191</v>
      </c>
      <c r="F90" s="6" t="s">
        <v>192</v>
      </c>
      <c r="G90" s="6" t="s">
        <v>193</v>
      </c>
      <c r="H90" s="6" t="s">
        <v>194</v>
      </c>
      <c r="I90" s="6" t="s">
        <v>195</v>
      </c>
      <c r="J90" s="6" t="s">
        <v>196</v>
      </c>
      <c r="K90" s="6" t="s">
        <v>197</v>
      </c>
      <c r="L90" s="6" t="s">
        <v>198</v>
      </c>
      <c r="M90" s="6" t="s">
        <v>199</v>
      </c>
      <c r="N90" s="6" t="s">
        <v>200</v>
      </c>
      <c r="O90" s="6" t="s">
        <v>201</v>
      </c>
      <c r="P90" s="6" t="s">
        <v>202</v>
      </c>
      <c r="Q90" s="6" t="s">
        <v>203</v>
      </c>
      <c r="R90" s="6" t="s">
        <v>204</v>
      </c>
      <c r="S90" s="6" t="s">
        <v>205</v>
      </c>
    </row>
    <row r="91" customFormat="false" ht="15" hidden="false" customHeight="false" outlineLevel="0" collapsed="false">
      <c r="B91" s="16" t="n">
        <v>2006</v>
      </c>
      <c r="C91" s="15" t="n">
        <f aca="false">SUMIFS('Data BoP'!$U$6:$U$86,'Data BoP'!$C$6:$C$86,$B91)</f>
        <v>7480.43088796755</v>
      </c>
      <c r="D91" s="10" t="n">
        <f aca="false">SUMIFS('Data BoP'!$V$6:$V$86,'Data BoP'!$C$6:$C$86,$B91)</f>
        <v>-3098.62706563233</v>
      </c>
      <c r="E91" s="10" t="n">
        <f aca="false">SUMIFS('Data BoP'!$W$6:$W$86,'Data BoP'!$C$6:$C$86,$B91)</f>
        <v>2438.72072056097</v>
      </c>
      <c r="F91" s="10" t="n">
        <f aca="false">SUMIFS('Data BoP'!$X$6:$X$86,'Data BoP'!$C$6:$C$86,$B91)</f>
        <v>0</v>
      </c>
      <c r="G91" s="10" t="n">
        <f aca="false">SUMIFS('Data BoP'!$Y$6:$Y$86,'Data BoP'!$C$6:$C$86,$B91)</f>
        <v>5274.3477861933</v>
      </c>
      <c r="H91" s="10" t="n">
        <f aca="false">SUMIFS('Data BoP'!$Z$6:$Z$86,'Data BoP'!$C$6:$C$86,$B91)</f>
        <v>263</v>
      </c>
      <c r="I91" s="10" t="n">
        <f aca="false">SUMIFS('Data BoP'!$AA$6:$AA$86,'Data BoP'!$C$6:$C$86,$B91)</f>
        <v>-7239.39678873852</v>
      </c>
      <c r="J91" s="10" t="n">
        <f aca="false">SUMIFS('Data BoP'!$AB$6:$AB$86,'Data BoP'!$C$6:$C$86,$B91)</f>
        <v>401.758</v>
      </c>
      <c r="K91" s="10" t="n">
        <f aca="false">SUMIFS('Data BoP'!$AC$6:$AC$86,'Data BoP'!$C$6:$C$86,$B91)</f>
        <v>859.2356</v>
      </c>
      <c r="L91" s="10" t="n">
        <f aca="false">SUMIFS('Data BoP'!$AD$6:$AD$86,'Data BoP'!$C$6:$C$86,$B91)</f>
        <v>706.655728921924</v>
      </c>
      <c r="M91" s="10" t="n">
        <f aca="false">SUMIFS('Data BoP'!$AE$6:$AE$86,'Data BoP'!$C$6:$C$86,$B91)</f>
        <v>7793.7346598166</v>
      </c>
      <c r="N91" s="10" t="n">
        <f aca="false">SUMIFS('Data BoP'!$AF$6:$AF$86,'Data BoP'!$C$6:$C$86,$B91)</f>
        <v>126.644535307005</v>
      </c>
      <c r="O91" s="10" t="n">
        <f aca="false">SUMIFS('Data BoP'!$AG$6:$AG$86,'Data BoP'!$C$6:$C$86,$B91)</f>
        <v>14161.9802070314</v>
      </c>
      <c r="P91" s="10" t="n">
        <f aca="false">SUMIFS('Data BoP'!$AH$6:$AH$86,'Data BoP'!$C$6:$C$86,$B91)</f>
        <v>3240.56853090173</v>
      </c>
      <c r="Q91" s="10" t="n">
        <f aca="false">SUMIFS('Data BoP'!$AL$6:$AL$86,'Data BoP'!$C$6:$C$86,$B91)</f>
        <v>-10921.4116761297</v>
      </c>
      <c r="R91" s="15" t="n">
        <f aca="false">SUMIFS('Data BoP'!$AJ$6:$AJ$86,'Data BoP'!$C$6:$C$86,$B91)</f>
        <v>3529.83</v>
      </c>
      <c r="S91" s="10" t="n">
        <f aca="false">SUMIFS('Data BoP'!$AK$6:$AK$86,'Data BoP'!$C$6:$C$86,$B91)</f>
        <v>884.004039958215</v>
      </c>
    </row>
    <row r="92" customFormat="false" ht="15" hidden="false" customHeight="false" outlineLevel="0" collapsed="false">
      <c r="B92" s="16" t="n">
        <v>2007</v>
      </c>
      <c r="C92" s="15" t="n">
        <f aca="false">SUMIFS('Data BoP'!$U$6:$U$86,'Data BoP'!$C$6:$C$86,$B92)</f>
        <v>5899.44687966722</v>
      </c>
      <c r="D92" s="10" t="n">
        <f aca="false">SUMIFS('Data BoP'!$V$6:$V$86,'Data BoP'!$C$6:$C$86,$B92)</f>
        <v>-4968.92480078457</v>
      </c>
      <c r="E92" s="10" t="n">
        <f aca="false">SUMIFS('Data BoP'!$W$6:$W$86,'Data BoP'!$C$6:$C$86,$B92)</f>
        <v>1504.23296134457</v>
      </c>
      <c r="F92" s="10" t="n">
        <f aca="false">SUMIFS('Data BoP'!$X$6:$X$86,'Data BoP'!$C$6:$C$86,$B92)</f>
        <v>0</v>
      </c>
      <c r="G92" s="10" t="n">
        <f aca="false">SUMIFS('Data BoP'!$Y$6:$Y$86,'Data BoP'!$C$6:$C$86,$B92)</f>
        <v>4627.52092686168</v>
      </c>
      <c r="H92" s="10" t="n">
        <f aca="false">SUMIFS('Data BoP'!$Z$6:$Z$86,'Data BoP'!$C$6:$C$86,$B92)</f>
        <v>1845.63683526747</v>
      </c>
      <c r="I92" s="10" t="n">
        <f aca="false">SUMIFS('Data BoP'!$AA$6:$AA$86,'Data BoP'!$C$6:$C$86,$B92)</f>
        <v>-7467.9628975237</v>
      </c>
      <c r="J92" s="10" t="n">
        <f aca="false">SUMIFS('Data BoP'!$AB$6:$AB$86,'Data BoP'!$C$6:$C$86,$B92)</f>
        <v>1389.358</v>
      </c>
      <c r="K92" s="10" t="n">
        <f aca="false">SUMIFS('Data BoP'!$AC$6:$AC$86,'Data BoP'!$C$6:$C$86,$B92)</f>
        <v>-215.8091998835</v>
      </c>
      <c r="L92" s="10" t="n">
        <f aca="false">SUMIFS('Data BoP'!$AD$6:$AD$86,'Data BoP'!$C$6:$C$86,$B92)</f>
        <v>1784.93501155032</v>
      </c>
      <c r="M92" s="10" t="n">
        <f aca="false">SUMIFS('Data BoP'!$AE$6:$AE$86,'Data BoP'!$C$6:$C$86,$B92)</f>
        <v>6856.57668608988</v>
      </c>
      <c r="N92" s="10" t="n">
        <f aca="false">SUMIFS('Data BoP'!$AF$6:$AF$86,'Data BoP'!$C$6:$C$86,$B92)</f>
        <v>564.587408440092</v>
      </c>
      <c r="O92" s="10" t="n">
        <f aca="false">SUMIFS('Data BoP'!$AG$6:$AG$86,'Data BoP'!$C$6:$C$86,$B92)</f>
        <v>4682.0271695354</v>
      </c>
      <c r="P92" s="10" t="n">
        <f aca="false">SUMIFS('Data BoP'!$AH$6:$AH$86,'Data BoP'!$C$6:$C$86,$B92)</f>
        <v>10556.6734397616</v>
      </c>
      <c r="Q92" s="10" t="n">
        <f aca="false">SUMIFS('Data BoP'!$AL$6:$AL$86,'Data BoP'!$C$6:$C$86,$B92)</f>
        <v>5874.64627022624</v>
      </c>
      <c r="R92" s="15" t="n">
        <f aca="false">SUMIFS('Data BoP'!$AJ$6:$AJ$86,'Data BoP'!$C$6:$C$86,$B92)</f>
        <v>13089.72</v>
      </c>
      <c r="S92" s="10" t="n">
        <f aca="false">SUMIFS('Data BoP'!$AK$6:$AK$86,'Data BoP'!$C$6:$C$86,$B92)</f>
        <v>-270.236902187651</v>
      </c>
    </row>
    <row r="93" customFormat="false" ht="15" hidden="false" customHeight="false" outlineLevel="0" collapsed="false">
      <c r="B93" s="16" t="n">
        <v>2008</v>
      </c>
      <c r="C93" s="15" t="n">
        <f aca="false">SUMIFS('Data BoP'!$U$6:$U$86,'Data BoP'!$C$6:$C$86,$B93)</f>
        <v>6553.95418271813</v>
      </c>
      <c r="D93" s="10" t="n">
        <f aca="false">SUMIFS('Data BoP'!$V$6:$V$86,'Data BoP'!$C$6:$C$86,$B93)</f>
        <v>-8334.61854064713</v>
      </c>
      <c r="E93" s="10" t="n">
        <f aca="false">SUMIFS('Data BoP'!$W$6:$W$86,'Data BoP'!$C$6:$C$86,$B93)</f>
        <v>1390.93458887756</v>
      </c>
      <c r="F93" s="10" t="n">
        <f aca="false">SUMIFS('Data BoP'!$X$6:$X$86,'Data BoP'!$C$6:$C$86,$B93)</f>
        <v>0</v>
      </c>
      <c r="G93" s="10" t="n">
        <f aca="false">SUMIFS('Data BoP'!$Y$6:$Y$86,'Data BoP'!$C$6:$C$86,$B93)</f>
        <v>4948.92869946014</v>
      </c>
      <c r="H93" s="10" t="n">
        <f aca="false">SUMIFS('Data BoP'!$Z$6:$Z$86,'Data BoP'!$C$6:$C$86,$B93)</f>
        <v>4776.62443006455</v>
      </c>
      <c r="I93" s="10" t="n">
        <f aca="false">SUMIFS('Data BoP'!$AA$6:$AA$86,'Data BoP'!$C$6:$C$86,$B93)</f>
        <v>7878.58906330988</v>
      </c>
      <c r="J93" s="10" t="n">
        <f aca="false">SUMIFS('Data BoP'!$AB$6:$AB$86,'Data BoP'!$C$6:$C$86,$B93)</f>
        <v>526.38</v>
      </c>
      <c r="K93" s="10" t="n">
        <f aca="false">SUMIFS('Data BoP'!$AC$6:$AC$86,'Data BoP'!$C$6:$C$86,$B93)</f>
        <v>1629.18384922957</v>
      </c>
      <c r="L93" s="10" t="n">
        <f aca="false">SUMIFS('Data BoP'!$AD$6:$AD$86,'Data BoP'!$C$6:$C$86,$B93)</f>
        <v>-530.62177563144</v>
      </c>
      <c r="M93" s="10" t="n">
        <f aca="false">SUMIFS('Data BoP'!$AE$6:$AE$86,'Data BoP'!$C$6:$C$86,$B93)</f>
        <v>-5192.40343844887</v>
      </c>
      <c r="N93" s="10" t="n">
        <f aca="false">SUMIFS('Data BoP'!$AF$6:$AF$86,'Data BoP'!$C$6:$C$86,$B93)</f>
        <v>934.7</v>
      </c>
      <c r="O93" s="10" t="n">
        <f aca="false">SUMIFS('Data BoP'!$AG$6:$AG$86,'Data BoP'!$C$6:$C$86,$B93)</f>
        <v>6057.90366005537</v>
      </c>
      <c r="P93" s="10" t="n">
        <f aca="false">SUMIFS('Data BoP'!$AH$6:$AH$86,'Data BoP'!$C$6:$C$86,$B93)</f>
        <v>12240.5150411409</v>
      </c>
      <c r="Q93" s="10" t="n">
        <f aca="false">SUMIFS('Data BoP'!$AL$6:$AL$86,'Data BoP'!$C$6:$C$86,$B93)</f>
        <v>6182.61138108556</v>
      </c>
      <c r="R93" s="15" t="n">
        <f aca="false">SUMIFS('Data BoP'!$AJ$6:$AJ$86,'Data BoP'!$C$6:$C$86,$B93)</f>
        <v>17.3800000000087</v>
      </c>
      <c r="S93" s="10" t="n">
        <f aca="false">SUMIFS('Data BoP'!$AK$6:$AK$86,'Data BoP'!$C$6:$C$86,$B93)</f>
        <v>947.687837381164</v>
      </c>
    </row>
    <row r="94" customFormat="false" ht="15" hidden="false" customHeight="false" outlineLevel="0" collapsed="false">
      <c r="B94" s="16" t="n">
        <v>2009</v>
      </c>
      <c r="C94" s="15" t="n">
        <f aca="false">SUMIFS('Data BoP'!$U$6:$U$86,'Data BoP'!$C$6:$C$86,$B94)</f>
        <v>6712.78261735372</v>
      </c>
      <c r="D94" s="10" t="n">
        <f aca="false">SUMIFS('Data BoP'!$V$6:$V$86,'Data BoP'!$C$6:$C$86,$B94)</f>
        <v>-3305.61252113841</v>
      </c>
      <c r="E94" s="10" t="n">
        <f aca="false">SUMIFS('Data BoP'!$W$6:$W$86,'Data BoP'!$C$6:$C$86,$B94)</f>
        <v>711.54640374567</v>
      </c>
      <c r="F94" s="10" t="n">
        <f aca="false">SUMIFS('Data BoP'!$X$6:$X$86,'Data BoP'!$C$6:$C$86,$B94)</f>
        <v>0</v>
      </c>
      <c r="G94" s="10" t="n">
        <f aca="false">SUMIFS('Data BoP'!$Y$6:$Y$86,'Data BoP'!$C$6:$C$86,$B94)</f>
        <v>5027</v>
      </c>
      <c r="H94" s="10" t="n">
        <f aca="false">SUMIFS('Data BoP'!$Z$6:$Z$86,'Data BoP'!$C$6:$C$86,$B94)</f>
        <v>-1009.84107511592</v>
      </c>
      <c r="I94" s="10" t="n">
        <f aca="false">SUMIFS('Data BoP'!$AA$6:$AA$86,'Data BoP'!$C$6:$C$86,$B94)</f>
        <v>2153.1431366226</v>
      </c>
      <c r="J94" s="10" t="n">
        <f aca="false">SUMIFS('Data BoP'!$AB$6:$AB$86,'Data BoP'!$C$6:$C$86,$B94)</f>
        <v>983</v>
      </c>
      <c r="K94" s="10" t="n">
        <f aca="false">SUMIFS('Data BoP'!$AC$6:$AC$86,'Data BoP'!$C$6:$C$86,$B94)</f>
        <v>-337.466085693903</v>
      </c>
      <c r="L94" s="10" t="n">
        <f aca="false">SUMIFS('Data BoP'!$AD$6:$AD$86,'Data BoP'!$C$6:$C$86,$B94)</f>
        <v>-211.91786454492</v>
      </c>
      <c r="M94" s="10" t="n">
        <f aca="false">SUMIFS('Data BoP'!$AE$6:$AE$86,'Data BoP'!$C$6:$C$86,$B94)</f>
        <v>-1295.69135777158</v>
      </c>
      <c r="N94" s="10" t="n">
        <f aca="false">SUMIFS('Data BoP'!$AF$6:$AF$86,'Data BoP'!$C$6:$C$86,$B94)</f>
        <v>1248.3</v>
      </c>
      <c r="O94" s="10" t="n">
        <f aca="false">SUMIFS('Data BoP'!$AG$6:$AG$86,'Data BoP'!$C$6:$C$86,$B94)</f>
        <v>5270.74200186953</v>
      </c>
      <c r="P94" s="10" t="n">
        <f aca="false">SUMIFS('Data BoP'!$AH$6:$AH$86,'Data BoP'!$C$6:$C$86,$B94)</f>
        <v>6179.32107148914</v>
      </c>
      <c r="Q94" s="10" t="n">
        <f aca="false">SUMIFS('Data BoP'!$AL$6:$AL$86,'Data BoP'!$C$6:$C$86,$B94)</f>
        <v>908.579069619605</v>
      </c>
      <c r="R94" s="15" t="n">
        <f aca="false">SUMIFS('Data BoP'!$AJ$6:$AJ$86,'Data BoP'!$C$6:$C$86,$B94)</f>
        <v>1346.21</v>
      </c>
      <c r="S94" s="10" t="n">
        <f aca="false">SUMIFS('Data BoP'!$AK$6:$AK$86,'Data BoP'!$C$6:$C$86,$B94)</f>
        <v>-621.317294568036</v>
      </c>
    </row>
    <row r="95" customFormat="false" ht="15" hidden="false" customHeight="false" outlineLevel="0" collapsed="false">
      <c r="B95" s="16" t="n">
        <v>2010</v>
      </c>
      <c r="C95" s="15" t="n">
        <f aca="false">SUMIFS('Data BoP'!$U$6:$U$86,'Data BoP'!$C$6:$C$86,$B95)</f>
        <v>-3802.10328742484</v>
      </c>
      <c r="D95" s="10" t="n">
        <f aca="false">SUMIFS('Data BoP'!$V$6:$V$86,'Data BoP'!$C$6:$C$86,$B95)</f>
        <v>-10367.9579460427</v>
      </c>
      <c r="E95" s="10" t="n">
        <f aca="false">SUMIFS('Data BoP'!$W$6:$W$86,'Data BoP'!$C$6:$C$86,$B95)</f>
        <v>964.760680391808</v>
      </c>
      <c r="F95" s="10" t="n">
        <f aca="false">SUMIFS('Data BoP'!$X$6:$X$86,'Data BoP'!$C$6:$C$86,$B95)</f>
        <v>0</v>
      </c>
      <c r="G95" s="10" t="n">
        <f aca="false">SUMIFS('Data BoP'!$Y$6:$Y$86,'Data BoP'!$C$6:$C$86,$B95)</f>
        <v>7826.03704199812</v>
      </c>
      <c r="H95" s="10" t="n">
        <f aca="false">SUMIFS('Data BoP'!$Z$6:$Z$86,'Data BoP'!$C$6:$C$86,$B95)</f>
        <v>3506.68158443635</v>
      </c>
      <c r="I95" s="10" t="n">
        <f aca="false">SUMIFS('Data BoP'!$AA$6:$AA$86,'Data BoP'!$C$6:$C$86,$B95)</f>
        <v>-3262.19361641713</v>
      </c>
      <c r="J95" s="10" t="n">
        <f aca="false">SUMIFS('Data BoP'!$AB$6:$AB$86,'Data BoP'!$C$6:$C$86,$B95)</f>
        <v>640</v>
      </c>
      <c r="K95" s="10" t="n">
        <f aca="false">SUMIFS('Data BoP'!$AC$6:$AC$86,'Data BoP'!$C$6:$C$86,$B95)</f>
        <v>-1226.41271332678</v>
      </c>
      <c r="L95" s="10" t="n">
        <f aca="false">SUMIFS('Data BoP'!$AD$6:$AD$86,'Data BoP'!$C$6:$C$86,$B95)</f>
        <v>-71.0163215687094</v>
      </c>
      <c r="M95" s="10" t="n">
        <f aca="false">SUMIFS('Data BoP'!$AE$6:$AE$86,'Data BoP'!$C$6:$C$86,$B95)</f>
        <v>2746.79722465906</v>
      </c>
      <c r="N95" s="10" t="n">
        <f aca="false">SUMIFS('Data BoP'!$AF$6:$AF$86,'Data BoP'!$C$6:$C$86,$B95)</f>
        <v>-712.257966854692</v>
      </c>
      <c r="O95" s="10" t="n">
        <f aca="false">SUMIFS('Data BoP'!$AG$6:$AG$86,'Data BoP'!$C$6:$C$86,$B95)</f>
        <v>6382.95624188964</v>
      </c>
      <c r="P95" s="10" t="n">
        <f aca="false">SUMIFS('Data BoP'!$AH$6:$AH$86,'Data BoP'!$C$6:$C$86,$B95)</f>
        <v>8717.03283034228</v>
      </c>
      <c r="Q95" s="10" t="n">
        <f aca="false">SUMIFS('Data BoP'!$AL$6:$AL$86,'Data BoP'!$C$6:$C$86,$B95)</f>
        <v>2334.07658845264</v>
      </c>
      <c r="R95" s="15" t="n">
        <f aca="false">SUMIFS('Data BoP'!$AJ$6:$AJ$86,'Data BoP'!$C$6:$C$86,$B95)</f>
        <v>4157.35</v>
      </c>
      <c r="S95" s="10" t="n">
        <f aca="false">SUMIFS('Data BoP'!$AK$6:$AK$86,'Data BoP'!$C$6:$C$86,$B95)</f>
        <v>-2257.58530091092</v>
      </c>
    </row>
    <row r="96" customFormat="false" ht="15" hidden="false" customHeight="false" outlineLevel="0" collapsed="false">
      <c r="B96" s="16" t="n">
        <v>2011</v>
      </c>
      <c r="C96" s="15" t="n">
        <f aca="false">SUMIFS('Data BoP'!$U$6:$U$86,'Data BoP'!$C$6:$C$86,$B96)</f>
        <v>-5252.20297522253</v>
      </c>
      <c r="D96" s="10" t="n">
        <f aca="false">SUMIFS('Data BoP'!$V$6:$V$86,'Data BoP'!$C$6:$C$86,$B96)</f>
        <v>-9351.9309446815</v>
      </c>
      <c r="E96" s="10" t="n">
        <f aca="false">SUMIFS('Data BoP'!$W$6:$W$86,'Data BoP'!$C$6:$C$86,$B96)</f>
        <v>1488</v>
      </c>
      <c r="F96" s="10" t="n">
        <f aca="false">SUMIFS('Data BoP'!$X$6:$X$86,'Data BoP'!$C$6:$C$86,$B96)</f>
        <v>0</v>
      </c>
      <c r="G96" s="10" t="n">
        <f aca="false">SUMIFS('Data BoP'!$Y$6:$Y$86,'Data BoP'!$C$6:$C$86,$B96)</f>
        <v>8240.3605767921</v>
      </c>
      <c r="H96" s="10" t="n">
        <f aca="false">SUMIFS('Data BoP'!$Z$6:$Z$86,'Data BoP'!$C$6:$C$86,$B96)</f>
        <v>2599.5703678894</v>
      </c>
      <c r="I96" s="10" t="n">
        <f aca="false">SUMIFS('Data BoP'!$AA$6:$AA$86,'Data BoP'!$C$6:$C$86,$B96)</f>
        <v>-143.23415627634</v>
      </c>
      <c r="J96" s="10" t="n">
        <f aca="false">SUMIFS('Data BoP'!$AB$6:$AB$86,'Data BoP'!$C$6:$C$86,$B96)</f>
        <v>-197</v>
      </c>
      <c r="K96" s="10" t="n">
        <f aca="false">SUMIFS('Data BoP'!$AC$6:$AC$86,'Data BoP'!$C$6:$C$86,$B96)</f>
        <v>-194.619915196837</v>
      </c>
      <c r="L96" s="10" t="n">
        <f aca="false">SUMIFS('Data BoP'!$AD$6:$AD$86,'Data BoP'!$C$6:$C$86,$B96)</f>
        <v>-208.195660767126</v>
      </c>
      <c r="M96" s="10" t="n">
        <f aca="false">SUMIFS('Data BoP'!$AE$6:$AE$86,'Data BoP'!$C$6:$C$86,$B96)</f>
        <v>-40.1900981533712</v>
      </c>
      <c r="N96" s="10" t="n">
        <f aca="false">SUMIFS('Data BoP'!$AF$6:$AF$86,'Data BoP'!$C$6:$C$86,$B96)</f>
        <v>2356.18140029374</v>
      </c>
      <c r="O96" s="10" t="n">
        <f aca="false">SUMIFS('Data BoP'!$AG$6:$AG$86,'Data BoP'!$C$6:$C$86,$B96)</f>
        <v>7994.69072544157</v>
      </c>
      <c r="P96" s="10" t="n">
        <f aca="false">SUMIFS('Data BoP'!$AH$6:$AH$86,'Data BoP'!$C$6:$C$86,$B96)</f>
        <v>19013.4452318768</v>
      </c>
      <c r="Q96" s="10" t="n">
        <f aca="false">SUMIFS('Data BoP'!$AL$6:$AL$86,'Data BoP'!$C$6:$C$86,$B96)</f>
        <v>11018.7545064352</v>
      </c>
      <c r="R96" s="15" t="n">
        <f aca="false">SUMIFS('Data BoP'!$AJ$6:$AJ$86,'Data BoP'!$C$6:$C$86,$B96)</f>
        <v>-6107.91</v>
      </c>
      <c r="S96" s="10" t="n">
        <f aca="false">SUMIFS('Data BoP'!$AK$6:$AK$86,'Data BoP'!$C$6:$C$86,$B96)</f>
        <v>25.2543709491077</v>
      </c>
    </row>
    <row r="97" customFormat="false" ht="15" hidden="false" customHeight="false" outlineLevel="0" collapsed="false">
      <c r="B97" s="16" t="n">
        <v>2012</v>
      </c>
      <c r="C97" s="15" t="n">
        <f aca="false">SUMIFS('Data BoP'!$U$6:$U$86,'Data BoP'!$C$6:$C$86,$B97)</f>
        <v>-2788.13561377819</v>
      </c>
      <c r="D97" s="10" t="n">
        <f aca="false">SUMIFS('Data BoP'!$V$6:$V$86,'Data BoP'!$C$6:$C$86,$B97)</f>
        <v>-14269.0843387678</v>
      </c>
      <c r="E97" s="10" t="n">
        <f aca="false">SUMIFS('Data BoP'!$W$6:$W$86,'Data BoP'!$C$6:$C$86,$B97)</f>
        <v>1054.84957805633</v>
      </c>
      <c r="F97" s="10" t="n">
        <f aca="false">SUMIFS('Data BoP'!$X$6:$X$86,'Data BoP'!$C$6:$C$86,$B97)</f>
        <v>0</v>
      </c>
      <c r="G97" s="10" t="n">
        <f aca="false">SUMIFS('Data BoP'!$Y$6:$Y$86,'Data BoP'!$C$6:$C$86,$B97)</f>
        <v>12203.8162922244</v>
      </c>
      <c r="H97" s="10" t="n">
        <f aca="false">SUMIFS('Data BoP'!$Z$6:$Z$86,'Data BoP'!$C$6:$C$86,$B97)</f>
        <v>3120.11762459969</v>
      </c>
      <c r="I97" s="10" t="n">
        <f aca="false">SUMIFS('Data BoP'!$AA$6:$AA$86,'Data BoP'!$C$6:$C$86,$B97)</f>
        <v>149.918325572206</v>
      </c>
      <c r="J97" s="10" t="n">
        <f aca="false">SUMIFS('Data BoP'!$AB$6:$AB$86,'Data BoP'!$C$6:$C$86,$B97)</f>
        <v>131</v>
      </c>
      <c r="K97" s="10" t="n">
        <f aca="false">SUMIFS('Data BoP'!$AC$6:$AC$86,'Data BoP'!$C$6:$C$86,$B97)</f>
        <v>133.924915325645</v>
      </c>
      <c r="L97" s="10" t="n">
        <f aca="false">SUMIFS('Data BoP'!$AD$6:$AD$86,'Data BoP'!$C$6:$C$86,$B97)</f>
        <v>-134.907718296207</v>
      </c>
      <c r="M97" s="10" t="n">
        <f aca="false">SUMIFS('Data BoP'!$AE$6:$AE$86,'Data BoP'!$C$6:$C$86,$B97)</f>
        <v>249.914308049647</v>
      </c>
      <c r="N97" s="10" t="n">
        <f aca="false">SUMIFS('Data BoP'!$AF$6:$AF$86,'Data BoP'!$C$6:$C$86,$B97)</f>
        <v>2908.18146603051</v>
      </c>
      <c r="O97" s="10" t="n">
        <f aca="false">SUMIFS('Data BoP'!$AG$6:$AG$86,'Data BoP'!$C$6:$C$86,$B97)</f>
        <v>11727.5689333869</v>
      </c>
      <c r="P97" s="10" t="n">
        <f aca="false">SUMIFS('Data BoP'!$AH$6:$AH$86,'Data BoP'!$C$6:$C$86,$B97)</f>
        <v>9722.05740570197</v>
      </c>
      <c r="Q97" s="10" t="n">
        <f aca="false">SUMIFS('Data BoP'!$AL$6:$AL$86,'Data BoP'!$C$6:$C$86,$B97)</f>
        <v>-2005.51152768491</v>
      </c>
      <c r="R97" s="15" t="n">
        <f aca="false">SUMIFS('Data BoP'!$AJ$6:$AJ$86,'Data BoP'!$C$6:$C$86,$B97)</f>
        <v>-3304.72</v>
      </c>
      <c r="S97" s="10" t="n">
        <f aca="false">SUMIFS('Data BoP'!$AK$6:$AK$86,'Data BoP'!$C$6:$C$86,$B97)</f>
        <v>-697.979297914052</v>
      </c>
    </row>
    <row r="98" customFormat="false" ht="15" hidden="false" customHeight="false" outlineLevel="0" collapsed="false">
      <c r="B98" s="16" t="n">
        <v>2013</v>
      </c>
      <c r="C98" s="15" t="n">
        <f aca="false">SUMIFS('Data BoP'!$U$6:$U$86,'Data BoP'!$C$6:$C$86,$B98)</f>
        <v>-16164.8964912533</v>
      </c>
      <c r="D98" s="10" t="n">
        <f aca="false">SUMIFS('Data BoP'!$V$6:$V$86,'Data BoP'!$C$6:$C$86,$B98)</f>
        <v>-8931.68899943165</v>
      </c>
      <c r="E98" s="10" t="n">
        <f aca="false">SUMIFS('Data BoP'!$W$6:$W$86,'Data BoP'!$C$6:$C$86,$B98)</f>
        <v>889.972858727091</v>
      </c>
      <c r="F98" s="10" t="n">
        <f aca="false">SUMIFS('Data BoP'!$X$6:$X$86,'Data BoP'!$C$6:$C$86,$B98)</f>
        <v>0</v>
      </c>
      <c r="G98" s="10" t="n">
        <f aca="false">SUMIFS('Data BoP'!$Y$6:$Y$86,'Data BoP'!$C$6:$C$86,$B98)</f>
        <v>10604.6618581587</v>
      </c>
      <c r="H98" s="10" t="n">
        <f aca="false">SUMIFS('Data BoP'!$Z$6:$Z$86,'Data BoP'!$C$6:$C$86,$B98)</f>
        <v>-783</v>
      </c>
      <c r="I98" s="10" t="n">
        <f aca="false">SUMIFS('Data BoP'!$AA$6:$AA$86,'Data BoP'!$C$6:$C$86,$B98)</f>
        <v>-432.585920294059</v>
      </c>
      <c r="J98" s="10" t="n">
        <f aca="false">SUMIFS('Data BoP'!$AB$6:$AB$86,'Data BoP'!$C$6:$C$86,$B98)</f>
        <v>116.482231911822</v>
      </c>
      <c r="K98" s="10" t="n">
        <f aca="false">SUMIFS('Data BoP'!$AC$6:$AC$86,'Data BoP'!$C$6:$C$86,$B98)</f>
        <v>380.076605381154</v>
      </c>
      <c r="L98" s="10" t="n">
        <f aca="false">SUMIFS('Data BoP'!$AD$6:$AD$86,'Data BoP'!$C$6:$C$86,$B98)</f>
        <v>341.877784391246</v>
      </c>
      <c r="M98" s="10" t="n">
        <f aca="false">SUMIFS('Data BoP'!$AE$6:$AE$86,'Data BoP'!$C$6:$C$86,$B98)</f>
        <v>587.266973195789</v>
      </c>
      <c r="N98" s="10" t="n">
        <f aca="false">SUMIFS('Data BoP'!$AF$6:$AF$86,'Data BoP'!$C$6:$C$86,$B98)</f>
        <v>-32.3766715440217</v>
      </c>
      <c r="O98" s="10" t="n">
        <f aca="false">SUMIFS('Data BoP'!$AG$6:$AG$86,'Data BoP'!$C$6:$C$86,$B98)</f>
        <v>5055.51510001648</v>
      </c>
      <c r="P98" s="10" t="n">
        <f aca="false">SUMIFS('Data BoP'!$AH$6:$AH$86,'Data BoP'!$C$6:$C$86,$B98)</f>
        <v>3892.65123700272</v>
      </c>
      <c r="Q98" s="10" t="n">
        <f aca="false">SUMIFS('Data BoP'!$AL$6:$AL$86,'Data BoP'!$C$6:$C$86,$B98)</f>
        <v>-1162.86386301375</v>
      </c>
      <c r="R98" s="15" t="n">
        <f aca="false">SUMIFS('Data BoP'!$AJ$6:$AJ$86,'Data BoP'!$C$6:$C$86,$B98)</f>
        <v>-11823.76</v>
      </c>
      <c r="S98" s="10" t="n">
        <f aca="false">SUMIFS('Data BoP'!$AK$6:$AK$86,'Data BoP'!$C$6:$C$86,$B98)</f>
        <v>-3073.9355791084</v>
      </c>
    </row>
    <row r="99" customFormat="false" ht="15" hidden="false" customHeight="false" outlineLevel="0" collapsed="false">
      <c r="B99" s="16" t="n">
        <v>2014</v>
      </c>
      <c r="C99" s="15" t="n">
        <f aca="false">SUMIFS('Data BoP'!$U$6:$U$86,'Data BoP'!$C$6:$C$86,$B99)</f>
        <v>-9320.67230462319</v>
      </c>
      <c r="D99" s="10" t="n">
        <f aca="false">SUMIFS('Data BoP'!$V$6:$V$86,'Data BoP'!$C$6:$C$86,$B99)</f>
        <v>-3144.79410885981</v>
      </c>
      <c r="E99" s="10" t="n">
        <f aca="false">SUMIFS('Data BoP'!$W$6:$W$86,'Data BoP'!$C$6:$C$86,$B99)</f>
        <v>1920.54143310505</v>
      </c>
      <c r="F99" s="10" t="n">
        <f aca="false">SUMIFS('Data BoP'!$X$6:$X$86,'Data BoP'!$C$6:$C$86,$B99)</f>
        <v>0</v>
      </c>
      <c r="G99" s="10" t="n">
        <f aca="false">SUMIFS('Data BoP'!$Y$6:$Y$86,'Data BoP'!$C$6:$C$86,$B99)</f>
        <v>6009.86015426791</v>
      </c>
      <c r="H99" s="10" t="n">
        <f aca="false">SUMIFS('Data BoP'!$Z$6:$Z$86,'Data BoP'!$C$6:$C$86,$B99)</f>
        <v>-944.524612303042</v>
      </c>
      <c r="I99" s="10" t="n">
        <f aca="false">SUMIFS('Data BoP'!$AA$6:$AA$86,'Data BoP'!$C$6:$C$86,$B99)</f>
        <v>2339.43039310179</v>
      </c>
      <c r="J99" s="10" t="n">
        <f aca="false">SUMIFS('Data BoP'!$AB$6:$AB$86,'Data BoP'!$C$6:$C$86,$B99)</f>
        <v>-184.677434670987</v>
      </c>
      <c r="K99" s="10" t="n">
        <f aca="false">SUMIFS('Data BoP'!$AC$6:$AC$86,'Data BoP'!$C$6:$C$86,$B99)</f>
        <v>159.465244320132</v>
      </c>
      <c r="L99" s="10" t="n">
        <f aca="false">SUMIFS('Data BoP'!$AD$6:$AD$86,'Data BoP'!$C$6:$C$86,$B99)</f>
        <v>217.89959726065</v>
      </c>
      <c r="M99" s="10" t="n">
        <f aca="false">SUMIFS('Data BoP'!$AE$6:$AE$86,'Data BoP'!$C$6:$C$86,$B99)</f>
        <v>-2582.54218071329</v>
      </c>
      <c r="N99" s="10" t="n">
        <f aca="false">SUMIFS('Data BoP'!$AF$6:$AF$86,'Data BoP'!$C$6:$C$86,$B99)</f>
        <v>-168.206900762195</v>
      </c>
      <c r="O99" s="10" t="n">
        <f aca="false">SUMIFS('Data BoP'!$AG$6:$AG$86,'Data BoP'!$C$6:$C$86,$B99)</f>
        <v>-9542.21168810297</v>
      </c>
      <c r="P99" s="10" t="n">
        <f aca="false">SUMIFS('Data BoP'!$AH$6:$AH$86,'Data BoP'!$C$6:$C$86,$B99)</f>
        <v>1422.0058305299</v>
      </c>
      <c r="Q99" s="10" t="n">
        <f aca="false">SUMIFS('Data BoP'!$AL$6:$AL$86,'Data BoP'!$C$6:$C$86,$B99)</f>
        <v>10964.2175186329</v>
      </c>
      <c r="R99" s="15" t="n">
        <f aca="false">SUMIFS('Data BoP'!$AJ$6:$AJ$86,'Data BoP'!$C$6:$C$86,$B99)</f>
        <v>1195.11</v>
      </c>
      <c r="S99" s="10" t="n">
        <f aca="false">SUMIFS('Data BoP'!$AK$6:$AK$86,'Data BoP'!$C$6:$C$86,$B99)</f>
        <v>-198.443142881411</v>
      </c>
    </row>
    <row r="100" customFormat="false" ht="15" hidden="false" customHeight="false" outlineLevel="0" collapsed="false">
      <c r="B100" s="16" t="n">
        <v>2015</v>
      </c>
      <c r="C100" s="15" t="n">
        <f aca="false">SUMIFS('Data BoP'!$U$6:$U$86,'Data BoP'!$C$6:$C$86,$B100)</f>
        <v>-18497.8492219529</v>
      </c>
      <c r="D100" s="10" t="n">
        <f aca="false">SUMIFS('Data BoP'!$V$6:$V$86,'Data BoP'!$C$6:$C$86,$B100)</f>
        <v>-10883.7607839318</v>
      </c>
      <c r="E100" s="10" t="n">
        <f aca="false">SUMIFS('Data BoP'!$W$6:$W$86,'Data BoP'!$C$6:$C$86,$B100)</f>
        <v>875.233227354258</v>
      </c>
      <c r="F100" s="10" t="n">
        <f aca="false">SUMIFS('Data BoP'!$X$6:$X$86,'Data BoP'!$C$6:$C$86,$B100)</f>
        <v>0</v>
      </c>
      <c r="G100" s="10" t="n">
        <f aca="false">SUMIFS('Data BoP'!$Y$6:$Y$86,'Data BoP'!$C$6:$C$86,$B100)</f>
        <v>9376.51565071168</v>
      </c>
      <c r="H100" s="10" t="n">
        <f aca="false">SUMIFS('Data BoP'!$Z$6:$Z$86,'Data BoP'!$C$6:$C$86,$B100)</f>
        <v>2382.47836057436</v>
      </c>
      <c r="I100" s="10" t="n">
        <f aca="false">SUMIFS('Data BoP'!$AA$6:$AA$86,'Data BoP'!$C$6:$C$86,$B100)</f>
        <v>-437.238814350207</v>
      </c>
      <c r="J100" s="10" t="n">
        <f aca="false">SUMIFS('Data BoP'!$AB$6:$AB$86,'Data BoP'!$C$6:$C$86,$B100)</f>
        <v>-176.390040007803</v>
      </c>
      <c r="K100" s="10" t="n">
        <f aca="false">SUMIFS('Data BoP'!$AC$6:$AC$86,'Data BoP'!$C$6:$C$86,$B100)</f>
        <v>269.072630132837</v>
      </c>
      <c r="L100" s="10" t="n">
        <f aca="false">SUMIFS('Data BoP'!$AD$6:$AD$86,'Data BoP'!$C$6:$C$86,$B100)</f>
        <v>239.111552890749</v>
      </c>
      <c r="M100" s="10" t="n">
        <f aca="false">SUMIFS('Data BoP'!$AE$6:$AE$86,'Data BoP'!$C$6:$C$86,$B100)</f>
        <v>290.809851584491</v>
      </c>
      <c r="N100" s="10" t="n">
        <f aca="false">SUMIFS('Data BoP'!$AF$6:$AF$86,'Data BoP'!$C$6:$C$86,$B100)</f>
        <v>-24.991331066334</v>
      </c>
      <c r="O100" s="10" t="n">
        <f aca="false">SUMIFS('Data BoP'!$AG$6:$AG$86,'Data BoP'!$C$6:$C$86,$B100)</f>
        <v>-2245.88829260459</v>
      </c>
      <c r="P100" s="10" t="n">
        <f aca="false">SUMIFS('Data BoP'!$AH$6:$AH$86,'Data BoP'!$C$6:$C$86,$B100)</f>
        <v>8813.65257399428</v>
      </c>
      <c r="Q100" s="10" t="n">
        <f aca="false">SUMIFS('Data BoP'!$AL$6:$AL$86,'Data BoP'!$C$6:$C$86,$B100)</f>
        <v>11059.5408665989</v>
      </c>
      <c r="R100" s="15" t="n">
        <f aca="false">SUMIFS('Data BoP'!$AJ$6:$AJ$86,'Data BoP'!$C$6:$C$86,$B100)</f>
        <v>-4905.97</v>
      </c>
      <c r="S100" s="10" t="n">
        <f aca="false">SUMIFS('Data BoP'!$AK$6:$AK$86,'Data BoP'!$C$6:$C$86,$B100)</f>
        <v>-927.793253511421</v>
      </c>
    </row>
    <row r="101" customFormat="false" ht="15" hidden="false" customHeight="false" outlineLevel="0" collapsed="false">
      <c r="B101" s="16" t="n">
        <v>2016</v>
      </c>
      <c r="C101" s="15" t="n">
        <f aca="false">SUMIFS('Data BoP'!$U$6:$U$86,'Data BoP'!$C$6:$C$86,$B101)</f>
        <v>-13964.056184691</v>
      </c>
      <c r="D101" s="10" t="n">
        <f aca="false">SUMIFS('Data BoP'!$V$6:$V$86,'Data BoP'!$C$6:$C$86,$B101)</f>
        <v>-1473.6334070259</v>
      </c>
      <c r="E101" s="10" t="n">
        <f aca="false">SUMIFS('Data BoP'!$W$6:$W$86,'Data BoP'!$C$6:$C$86,$B101)</f>
        <v>1786.53093474804</v>
      </c>
      <c r="F101" s="10" t="n">
        <f aca="false">SUMIFS('Data BoP'!$X$6:$X$86,'Data BoP'!$C$6:$C$86,$B101)</f>
        <v>0</v>
      </c>
      <c r="G101" s="10" t="n">
        <f aca="false">SUMIFS('Data BoP'!$Y$6:$Y$86,'Data BoP'!$C$6:$C$86,$B101)</f>
        <v>7991.84702368205</v>
      </c>
      <c r="H101" s="10" t="n">
        <f aca="false">SUMIFS('Data BoP'!$Z$6:$Z$86,'Data BoP'!$C$6:$C$86,$B101)</f>
        <v>-4731.68268190811</v>
      </c>
      <c r="I101" s="10" t="n">
        <f aca="false">SUMIFS('Data BoP'!$AA$6:$AA$86,'Data BoP'!$C$6:$C$86,$B101)</f>
        <v>-35255.2938550228</v>
      </c>
      <c r="J101" s="10" t="n">
        <f aca="false">SUMIFS('Data BoP'!$AB$6:$AB$86,'Data BoP'!$C$6:$C$86,$B101)</f>
        <v>-978.255876417279</v>
      </c>
      <c r="K101" s="10" t="n">
        <f aca="false">SUMIFS('Data BoP'!$AC$6:$AC$86,'Data BoP'!$C$6:$C$86,$B101)</f>
        <v>1776.09544023578</v>
      </c>
      <c r="L101" s="10" t="n">
        <f aca="false">SUMIFS('Data BoP'!$AD$6:$AD$86,'Data BoP'!$C$6:$C$86,$B101)</f>
        <v>985.216668970225</v>
      </c>
      <c r="M101" s="10" t="n">
        <f aca="false">SUMIFS('Data BoP'!$AE$6:$AE$86,'Data BoP'!$C$6:$C$86,$B101)</f>
        <v>35067.9167498711</v>
      </c>
      <c r="N101" s="10" t="n">
        <f aca="false">SUMIFS('Data BoP'!$AF$6:$AF$86,'Data BoP'!$C$6:$C$86,$B101)</f>
        <v>222.045038350332</v>
      </c>
      <c r="O101" s="10" t="n">
        <f aca="false">SUMIFS('Data BoP'!$AG$6:$AG$86,'Data BoP'!$C$6:$C$86,$B101)</f>
        <v>8231.59054346096</v>
      </c>
      <c r="P101" s="10" t="n">
        <f aca="false">SUMIFS('Data BoP'!$AH$6:$AH$86,'Data BoP'!$C$6:$C$86,$B101)</f>
        <v>2689.38716871354</v>
      </c>
      <c r="Q101" s="10" t="n">
        <f aca="false">SUMIFS('Data BoP'!$AL$6:$AL$86,'Data BoP'!$C$6:$C$86,$B101)</f>
        <v>-5542.20337474742</v>
      </c>
      <c r="R101" s="15" t="n">
        <f aca="false">SUMIFS('Data BoP'!$AJ$6:$AJ$86,'Data BoP'!$C$6:$C$86,$B101)</f>
        <v>14311.2354955464</v>
      </c>
      <c r="S101" s="10" t="n">
        <f aca="false">SUMIFS('Data BoP'!$AK$6:$AK$86,'Data BoP'!$C$6:$C$86,$B101)</f>
        <v>774.915755131614</v>
      </c>
    </row>
    <row r="102" customFormat="false" ht="15" hidden="false" customHeight="false" outlineLevel="0" collapsed="false">
      <c r="B102" s="16" t="n">
        <v>2017</v>
      </c>
      <c r="C102" s="15" t="n">
        <f aca="false">SUMIFS('Data BoP'!$U$6:$U$86,'Data BoP'!$C$6:$C$86,$B102)</f>
        <v>-31273.1879310112</v>
      </c>
      <c r="D102" s="10" t="n">
        <f aca="false">SUMIFS('Data BoP'!$V$6:$V$86,'Data BoP'!$C$6:$C$86,$B102)</f>
        <v>-10361.23124426</v>
      </c>
      <c r="E102" s="10" t="n">
        <f aca="false">SUMIFS('Data BoP'!$W$6:$W$86,'Data BoP'!$C$6:$C$86,$B102)</f>
        <v>1155.63021802453</v>
      </c>
      <c r="F102" s="10" t="n">
        <f aca="false">SUMIFS('Data BoP'!$X$6:$X$86,'Data BoP'!$C$6:$C$86,$B102)</f>
        <v>0</v>
      </c>
      <c r="G102" s="10" t="n">
        <f aca="false">SUMIFS('Data BoP'!$Y$6:$Y$86,'Data BoP'!$C$6:$C$86,$B102)</f>
        <v>9094.80125237267</v>
      </c>
      <c r="H102" s="10" t="n">
        <f aca="false">SUMIFS('Data BoP'!$Z$6:$Z$86,'Data BoP'!$C$6:$C$86,$B102)</f>
        <v>2422.06020991181</v>
      </c>
      <c r="I102" s="10" t="n">
        <f aca="false">SUMIFS('Data BoP'!$AA$6:$AA$86,'Data BoP'!$C$6:$C$86,$B102)</f>
        <v>-35921.7394916229</v>
      </c>
      <c r="J102" s="10" t="n">
        <f aca="false">SUMIFS('Data BoP'!$AB$6:$AB$86,'Data BoP'!$C$6:$C$86,$B102)</f>
        <v>307.800440953282</v>
      </c>
      <c r="K102" s="10" t="n">
        <f aca="false">SUMIFS('Data BoP'!$AC$6:$AC$86,'Data BoP'!$C$6:$C$86,$B102)</f>
        <v>5194.53784284263</v>
      </c>
      <c r="L102" s="10" t="n">
        <f aca="false">SUMIFS('Data BoP'!$AD$6:$AD$86,'Data BoP'!$C$6:$C$86,$B102)</f>
        <v>3013.29997350706</v>
      </c>
      <c r="M102" s="10" t="n">
        <f aca="false">SUMIFS('Data BoP'!$AE$6:$AE$86,'Data BoP'!$C$6:$C$86,$B102)</f>
        <v>38410.7778019117</v>
      </c>
      <c r="N102" s="10" t="n">
        <f aca="false">SUMIFS('Data BoP'!$AF$6:$AF$86,'Data BoP'!$C$6:$C$86,$B102)</f>
        <v>-96.2256</v>
      </c>
      <c r="O102" s="10" t="n">
        <f aca="false">SUMIFS('Data BoP'!$AG$6:$AG$86,'Data BoP'!$C$6:$C$86,$B102)</f>
        <v>550.302880797627</v>
      </c>
      <c r="P102" s="10" t="n">
        <f aca="false">SUMIFS('Data BoP'!$AH$6:$AH$86,'Data BoP'!$C$6:$C$86,$B102)</f>
        <v>12506.0829972336</v>
      </c>
      <c r="Q102" s="10" t="n">
        <f aca="false">SUMIFS('Data BoP'!$AL$6:$AL$86,'Data BoP'!$C$6:$C$86,$B102)</f>
        <v>11955.780116436</v>
      </c>
      <c r="R102" s="15" t="n">
        <f aca="false">SUMIFS('Data BoP'!$AJ$6:$AJ$86,'Data BoP'!$C$6:$C$86,$B102)</f>
        <v>14555.705524074</v>
      </c>
      <c r="S102" s="10" t="n">
        <f aca="false">SUMIFS('Data BoP'!$AK$6:$AK$86,'Data BoP'!$C$6:$C$86,$B102)</f>
        <v>-295.331647652765</v>
      </c>
    </row>
    <row r="103" customFormat="false" ht="15" hidden="false" customHeight="false" outlineLevel="0" collapsed="false">
      <c r="B103" s="16" t="n">
        <v>2018</v>
      </c>
      <c r="C103" s="15" t="n">
        <f aca="false">SUMIFS('Data BoP'!$U$6:$U$86,'Data BoP'!$C$6:$C$86,$B103)</f>
        <v>-28035.820784839</v>
      </c>
      <c r="D103" s="10" t="n">
        <f aca="false">SUMIFS('Data BoP'!$V$6:$V$86,'Data BoP'!$C$6:$C$86,$B103)</f>
        <v>-9990.78824604859</v>
      </c>
      <c r="E103" s="10" t="n">
        <f aca="false">SUMIFS('Data BoP'!$W$6:$W$86,'Data BoP'!$C$6:$C$86,$B103)</f>
        <v>1725.98157270571</v>
      </c>
      <c r="F103" s="10" t="n">
        <f aca="false">SUMIFS('Data BoP'!$X$6:$X$86,'Data BoP'!$C$6:$C$86,$B103)</f>
        <v>0</v>
      </c>
      <c r="G103" s="10" t="n">
        <f aca="false">SUMIFS('Data BoP'!$Y$6:$Y$86,'Data BoP'!$C$6:$C$86,$B103)</f>
        <v>10293.0524127529</v>
      </c>
      <c r="H103" s="10" t="n">
        <f aca="false">SUMIFS('Data BoP'!$Z$6:$Z$86,'Data BoP'!$C$6:$C$86,$B103)</f>
        <v>1423.71740600136</v>
      </c>
      <c r="I103" s="10" t="n">
        <f aca="false">SUMIFS('Data BoP'!$AA$6:$AA$86,'Data BoP'!$C$6:$C$86,$B103)</f>
        <v>-6923.92532596175</v>
      </c>
      <c r="J103" s="10" t="n">
        <f aca="false">SUMIFS('Data BoP'!$AB$6:$AB$86,'Data BoP'!$C$6:$C$86,$B103)</f>
        <v>583.913855810507</v>
      </c>
      <c r="K103" s="10" t="n">
        <f aca="false">SUMIFS('Data BoP'!$AC$6:$AC$86,'Data BoP'!$C$6:$C$86,$B103)</f>
        <v>5582.78762192414</v>
      </c>
      <c r="L103" s="10" t="n">
        <f aca="false">SUMIFS('Data BoP'!$AD$6:$AD$86,'Data BoP'!$C$6:$C$86,$B103)</f>
        <v>-508.346965302942</v>
      </c>
      <c r="M103" s="10" t="n">
        <f aca="false">SUMIFS('Data BoP'!$AE$6:$AE$86,'Data BoP'!$C$6:$C$86,$B103)</f>
        <v>13598.9737689993</v>
      </c>
      <c r="N103" s="10" t="n">
        <f aca="false">SUMIFS('Data BoP'!$AF$6:$AF$86,'Data BoP'!$C$6:$C$86,$B103)</f>
        <v>-32.1088890072798</v>
      </c>
      <c r="O103" s="10" t="n">
        <f aca="false">SUMIFS('Data BoP'!$AG$6:$AG$86,'Data BoP'!$C$6:$C$86,$B103)</f>
        <v>-22365.8911006742</v>
      </c>
      <c r="P103" s="10" t="n">
        <f aca="false">SUMIFS('Data BoP'!$AH$6:$AH$86,'Data BoP'!$C$6:$C$86,$B103)</f>
        <v>25616.7922885781</v>
      </c>
      <c r="Q103" s="10" t="n">
        <f aca="false">SUMIFS('Data BoP'!$AL$6:$AL$86,'Data BoP'!$C$6:$C$86,$B103)</f>
        <v>47982.6833892522</v>
      </c>
      <c r="R103" s="15" t="n">
        <f aca="false">SUMIFS('Data BoP'!$AJ$6:$AJ$86,'Data BoP'!$C$6:$C$86,$B103)</f>
        <v>11276.8927768528</v>
      </c>
      <c r="S103" s="10" t="n">
        <f aca="false">SUMIFS('Data BoP'!$AK$6:$AK$86,'Data BoP'!$C$6:$C$86,$B103)</f>
        <v>-1063.28985182095</v>
      </c>
    </row>
    <row r="104" customFormat="false" ht="15" hidden="false" customHeight="false" outlineLevel="0" collapsed="false">
      <c r="B104" s="16" t="n">
        <v>2019</v>
      </c>
      <c r="C104" s="15" t="n">
        <f aca="false">SUMIFS('Data BoP'!$U$6:$U$86,'Data BoP'!$C$6:$C$86,$B104)</f>
        <v>-5119.26555722345</v>
      </c>
      <c r="D104" s="10" t="n">
        <f aca="false">SUMIFS('Data BoP'!$V$6:$V$86,'Data BoP'!$C$6:$C$86,$B104)</f>
        <v>-5126.45968619074</v>
      </c>
      <c r="E104" s="10" t="n">
        <f aca="false">SUMIFS('Data BoP'!$W$6:$W$86,'Data BoP'!$C$6:$C$86,$B104)</f>
        <v>1522.72815179532</v>
      </c>
      <c r="F104" s="10" t="n">
        <f aca="false">SUMIFS('Data BoP'!$X$6:$X$86,'Data BoP'!$C$6:$C$86,$B104)</f>
        <v>0</v>
      </c>
      <c r="G104" s="10" t="n">
        <f aca="false">SUMIFS('Data BoP'!$Y$6:$Y$86,'Data BoP'!$C$6:$C$86,$B104)</f>
        <v>6481.82257346615</v>
      </c>
      <c r="H104" s="10" t="n">
        <f aca="false">SUMIFS('Data BoP'!$Z$6:$Z$86,'Data BoP'!$C$6:$C$86,$B104)</f>
        <v>167.365264519909</v>
      </c>
      <c r="I104" s="10" t="n">
        <f aca="false">SUMIFS('Data BoP'!$AA$6:$AA$86,'Data BoP'!$C$6:$C$86,$B104)</f>
        <v>7108.58172531548</v>
      </c>
      <c r="J104" s="10" t="n">
        <f aca="false">SUMIFS('Data BoP'!$AB$6:$AB$86,'Data BoP'!$C$6:$C$86,$B104)</f>
        <v>391.39734151717</v>
      </c>
      <c r="K104" s="10" t="n">
        <f aca="false">SUMIFS('Data BoP'!$AC$6:$AC$86,'Data BoP'!$C$6:$C$86,$B104)</f>
        <v>1712.97533001298</v>
      </c>
      <c r="L104" s="10" t="n">
        <f aca="false">SUMIFS('Data BoP'!$AD$6:$AD$86,'Data BoP'!$C$6:$C$86,$B104)</f>
        <v>85.5993923870812</v>
      </c>
      <c r="M104" s="10" t="n">
        <f aca="false">SUMIFS('Data BoP'!$AE$6:$AE$86,'Data BoP'!$C$6:$C$86,$B104)</f>
        <v>-5089.80844617241</v>
      </c>
      <c r="N104" s="10" t="n">
        <f aca="false">SUMIFS('Data BoP'!$AF$6:$AF$86,'Data BoP'!$C$6:$C$86,$B104)</f>
        <v>-24.3003298529818</v>
      </c>
      <c r="O104" s="10" t="n">
        <f aca="false">SUMIFS('Data BoP'!$AG$6:$AG$86,'Data BoP'!$C$6:$C$86,$B104)</f>
        <v>14297.4700012431</v>
      </c>
      <c r="P104" s="10" t="n">
        <f aca="false">SUMIFS('Data BoP'!$AH$6:$AH$86,'Data BoP'!$C$6:$C$86,$B104)</f>
        <v>31253.2060767701</v>
      </c>
      <c r="Q104" s="10" t="n">
        <f aca="false">SUMIFS('Data BoP'!$AL$6:$AL$86,'Data BoP'!$C$6:$C$86,$B104)</f>
        <v>16955.7360755269</v>
      </c>
      <c r="R104" s="15" t="n">
        <f aca="false">SUMIFS('Data BoP'!$AJ$6:$AJ$86,'Data BoP'!$C$6:$C$86,$B104)</f>
        <v>-21374.5572677384</v>
      </c>
      <c r="S104" s="10" t="n">
        <f aca="false">SUMIFS('Data BoP'!$AK$6:$AK$86,'Data BoP'!$C$6:$C$86,$B104)</f>
        <v>-1910.73327653712</v>
      </c>
    </row>
    <row r="105" customFormat="false" ht="15" hidden="false" customHeight="false" outlineLevel="0" collapsed="false">
      <c r="B105" s="16" t="n">
        <v>2020</v>
      </c>
      <c r="C105" s="15" t="n">
        <f aca="false">SUMIFS('Data BoP'!$U$6:$U$86,'Data BoP'!$C$6:$C$86,$B105)</f>
        <v>1362.12000672899</v>
      </c>
      <c r="D105" s="10" t="n">
        <f aca="false">SUMIFS('Data BoP'!$V$6:$V$86,'Data BoP'!$C$6:$C$86,$B105)</f>
        <v>-3706.95076735161</v>
      </c>
      <c r="E105" s="10" t="n">
        <f aca="false">SUMIFS('Data BoP'!$W$6:$W$86,'Data BoP'!$C$6:$C$86,$B105)</f>
        <v>1177.17690860546</v>
      </c>
      <c r="F105" s="10" t="n">
        <f aca="false">SUMIFS('Data BoP'!$X$6:$X$86,'Data BoP'!$C$6:$C$86,$B105)</f>
        <v>0</v>
      </c>
      <c r="G105" s="10" t="n">
        <f aca="false">SUMIFS('Data BoP'!$Y$6:$Y$86,'Data BoP'!$C$6:$C$86,$B105)</f>
        <v>4044.77613495707</v>
      </c>
      <c r="H105" s="10" t="n">
        <f aca="false">SUMIFS('Data BoP'!$Z$6:$Z$86,'Data BoP'!$C$6:$C$86,$B105)</f>
        <v>839.351541</v>
      </c>
      <c r="I105" s="10" t="n">
        <f aca="false">SUMIFS('Data BoP'!$AA$6:$AA$86,'Data BoP'!$C$6:$C$86,$B105)</f>
        <v>1570.70177706217</v>
      </c>
      <c r="J105" s="10" t="n">
        <f aca="false">SUMIFS('Data BoP'!$AB$6:$AB$86,'Data BoP'!$C$6:$C$86,$B105)</f>
        <v>1091.65789080143</v>
      </c>
      <c r="K105" s="10" t="n">
        <f aca="false">SUMIFS('Data BoP'!$AC$6:$AC$86,'Data BoP'!$C$6:$C$86,$B105)</f>
        <v>-4071.55454476741</v>
      </c>
      <c r="L105" s="10" t="n">
        <f aca="false">SUMIFS('Data BoP'!$AD$6:$AD$86,'Data BoP'!$C$6:$C$86,$B105)</f>
        <v>-118.108746047974</v>
      </c>
      <c r="M105" s="10" t="n">
        <f aca="false">SUMIFS('Data BoP'!$AE$6:$AE$86,'Data BoP'!$C$6:$C$86,$B105)</f>
        <v>-4432.48968498018</v>
      </c>
      <c r="N105" s="10" t="n">
        <f aca="false">SUMIFS('Data BoP'!$AF$6:$AF$86,'Data BoP'!$C$6:$C$86,$B105)</f>
        <v>10.4133695074656</v>
      </c>
      <c r="O105" s="10" t="n">
        <f aca="false">SUMIFS('Data BoP'!$AG$6:$AG$86,'Data BoP'!$C$6:$C$86,$B105)</f>
        <v>11215.1264832402</v>
      </c>
      <c r="P105" s="10" t="n">
        <f aca="false">SUMIFS('Data BoP'!$AH$6:$AH$86,'Data BoP'!$C$6:$C$86,$B105)</f>
        <v>7538.78902796988</v>
      </c>
      <c r="Q105" s="10" t="n">
        <f aca="false">SUMIFS('Data BoP'!$AL$6:$AL$86,'Data BoP'!$C$6:$C$86,$B105)</f>
        <v>-3676.33745527029</v>
      </c>
      <c r="R105" s="15" t="n">
        <f aca="false">SUMIFS('Data BoP'!$AJ$6:$AJ$86,'Data BoP'!$C$6:$C$86,$B105)</f>
        <v>-7727.1708557292</v>
      </c>
      <c r="S105" s="10" t="n">
        <f aca="false">SUMIFS('Data BoP'!$AK$6:$AK$86,'Data BoP'!$C$6:$C$86,$B105)</f>
        <v>-1491.00447234746</v>
      </c>
    </row>
    <row r="106" customFormat="false" ht="15" hidden="false" customHeight="false" outlineLevel="0" collapsed="false">
      <c r="B106" s="16" t="n">
        <v>2021</v>
      </c>
      <c r="C106" s="15" t="n">
        <f aca="false">SUMIFS('Data BoP'!$U$6:$U$86,'Data BoP'!$C$6:$C$86,$B106)</f>
        <v>4501.70810239281</v>
      </c>
      <c r="D106" s="10" t="n">
        <f aca="false">SUMIFS('Data BoP'!$V$6:$V$86,'Data BoP'!$C$6:$C$86,$B106)</f>
        <v>-5114.18794151842</v>
      </c>
      <c r="E106" s="10" t="n">
        <f aca="false">SUMIFS('Data BoP'!$W$6:$W$86,'Data BoP'!$C$6:$C$86,$B106)</f>
        <v>1543.86173775887</v>
      </c>
      <c r="F106" s="10" t="n">
        <f aca="false">SUMIFS('Data BoP'!$X$6:$X$86,'Data BoP'!$C$6:$C$86,$B106)</f>
        <v>0</v>
      </c>
      <c r="G106" s="10" t="n">
        <f aca="false">SUMIFS('Data BoP'!$Y$6:$Y$86,'Data BoP'!$C$6:$C$86,$B106)</f>
        <v>5684.46067927729</v>
      </c>
      <c r="H106" s="10" t="n">
        <f aca="false">SUMIFS('Data BoP'!$Z$6:$Z$86,'Data BoP'!$C$6:$C$86,$B106)</f>
        <v>973.589</v>
      </c>
      <c r="I106" s="10" t="n">
        <f aca="false">SUMIFS('Data BoP'!$AA$6:$AA$86,'Data BoP'!$C$6:$C$86,$B106)</f>
        <v>4940.43811763494</v>
      </c>
      <c r="J106" s="10" t="n">
        <f aca="false">SUMIFS('Data BoP'!$AB$6:$AB$86,'Data BoP'!$C$6:$C$86,$B106)</f>
        <v>2011.99568115211</v>
      </c>
      <c r="K106" s="10" t="n">
        <f aca="false">SUMIFS('Data BoP'!$AC$6:$AC$86,'Data BoP'!$C$6:$C$86,$B106)</f>
        <v>-517.121731791592</v>
      </c>
      <c r="L106" s="10" t="n">
        <f aca="false">SUMIFS('Data BoP'!$AD$6:$AD$86,'Data BoP'!$C$6:$C$86,$B106)</f>
        <v>-4.0732257827842</v>
      </c>
      <c r="M106" s="10" t="n">
        <f aca="false">SUMIFS('Data BoP'!$AE$6:$AE$86,'Data BoP'!$C$6:$C$86,$B106)</f>
        <v>-3441.49094249164</v>
      </c>
      <c r="N106" s="10" t="n">
        <f aca="false">SUMIFS('Data BoP'!$AF$6:$AF$86,'Data BoP'!$C$6:$C$86,$B106)</f>
        <v>-15.5737277655788</v>
      </c>
      <c r="O106" s="10" t="n">
        <f aca="false">SUMIFS('Data BoP'!$AG$6:$AG$86,'Data BoP'!$C$6:$C$86,$B106)</f>
        <v>4796.84447957185</v>
      </c>
      <c r="P106" s="10" t="n">
        <f aca="false">SUMIFS('Data BoP'!$AH$6:$AH$86,'Data BoP'!$C$6:$C$86,$B106)</f>
        <v>5961.86839625988</v>
      </c>
      <c r="Q106" s="10" t="n">
        <f aca="false">SUMIFS('Data BoP'!$AL$6:$AL$86,'Data BoP'!$C$6:$C$86,$B106)</f>
        <v>1165.02391668803</v>
      </c>
      <c r="R106" s="15" t="n">
        <f aca="false">SUMIFS('Data BoP'!$AJ$6:$AJ$86,'Data BoP'!$C$6:$C$86,$B106)</f>
        <v>-105.812825529981</v>
      </c>
      <c r="S106" s="10" t="n">
        <f aca="false">SUMIFS('Data BoP'!$AK$6:$AK$86,'Data BoP'!$C$6:$C$86,$B106)</f>
        <v>-2376.06511016302</v>
      </c>
    </row>
    <row r="107" customFormat="false" ht="15" hidden="false" customHeight="false" outlineLevel="0" collapsed="false">
      <c r="B107" s="16" t="n">
        <v>2022</v>
      </c>
      <c r="C107" s="15" t="n">
        <f aca="false">SUMIFS('Data BoP'!$U$6:$U$86,'Data BoP'!$C$6:$C$86,$B107)</f>
        <v>-7437.16149794146</v>
      </c>
      <c r="D107" s="10" t="n">
        <f aca="false">SUMIFS('Data BoP'!$V$6:$V$86,'Data BoP'!$C$6:$C$86,$B107)</f>
        <v>-13116.2508142436</v>
      </c>
      <c r="E107" s="10" t="n">
        <f aca="false">SUMIFS('Data BoP'!$W$6:$W$86,'Data BoP'!$C$6:$C$86,$B107)</f>
        <v>2089.83658305669</v>
      </c>
      <c r="F107" s="10" t="n">
        <f aca="false">SUMIFS('Data BoP'!$X$6:$X$86,'Data BoP'!$C$6:$C$86,$B107)</f>
        <v>0</v>
      </c>
      <c r="G107" s="10" t="n">
        <f aca="false">SUMIFS('Data BoP'!$Y$6:$Y$86,'Data BoP'!$C$6:$C$86,$B107)</f>
        <v>6405.7623973003</v>
      </c>
      <c r="H107" s="10" t="n">
        <f aca="false">SUMIFS('Data BoP'!$Z$6:$Z$86,'Data BoP'!$C$6:$C$86,$B107)</f>
        <v>8800.325</v>
      </c>
      <c r="I107" s="10" t="n">
        <f aca="false">SUMIFS('Data BoP'!$AA$6:$AA$86,'Data BoP'!$C$6:$C$86,$B107)</f>
        <v>7462.6233277254</v>
      </c>
      <c r="J107" s="10" t="n">
        <f aca="false">SUMIFS('Data BoP'!$AB$6:$AB$86,'Data BoP'!$C$6:$C$86,$B107)</f>
        <v>-137.226416816444</v>
      </c>
      <c r="K107" s="10" t="n">
        <f aca="false">SUMIFS('Data BoP'!$AC$6:$AC$86,'Data BoP'!$C$6:$C$86,$B107)</f>
        <v>2203.94244540799</v>
      </c>
      <c r="L107" s="10" t="n">
        <f aca="false">SUMIFS('Data BoP'!$AD$6:$AD$86,'Data BoP'!$C$6:$C$86,$B107)</f>
        <v>-278.845536793171</v>
      </c>
      <c r="M107" s="10" t="n">
        <f aca="false">SUMIFS('Data BoP'!$AE$6:$AE$86,'Data BoP'!$C$6:$C$86,$B107)</f>
        <v>-5117.06176234069</v>
      </c>
      <c r="N107" s="10" t="n">
        <f aca="false">SUMIFS('Data BoP'!$AF$6:$AF$86,'Data BoP'!$C$6:$C$86,$B107)</f>
        <v>4.44979952731973</v>
      </c>
      <c r="O107" s="10" t="n">
        <f aca="false">SUMIFS('Data BoP'!$AG$6:$AG$86,'Data BoP'!$C$6:$C$86,$B107)</f>
        <v>-8707.75310359058</v>
      </c>
      <c r="P107" s="10" t="n">
        <f aca="false">SUMIFS('Data BoP'!$AH$6:$AH$86,'Data BoP'!$C$6:$C$86,$B107)</f>
        <v>6852.28099264665</v>
      </c>
      <c r="Q107" s="10" t="n">
        <f aca="false">SUMIFS('Data BoP'!$AL$6:$AL$86,'Data BoP'!$C$6:$C$86,$B107)</f>
        <v>15560.0340962372</v>
      </c>
      <c r="R107" s="15" t="n">
        <f aca="false">SUMIFS('Data BoP'!$AJ$6:$AJ$86,'Data BoP'!$C$6:$C$86,$B107)</f>
        <v>6919.76929264</v>
      </c>
      <c r="S107" s="10" t="n">
        <f aca="false">SUMIFS('Data BoP'!$AK$6:$AK$86,'Data BoP'!$C$6:$C$86,$B107)</f>
        <v>-3664.60111382926</v>
      </c>
    </row>
    <row r="108" customFormat="false" ht="15" hidden="false" customHeight="false" outlineLevel="0" collapsed="false">
      <c r="B108" s="16" t="n">
        <v>2023</v>
      </c>
      <c r="C108" s="15" t="n">
        <f aca="false">SUMIFS('Data BoP'!$U$6:$U$86,'Data BoP'!$C$6:$C$86,$B108)</f>
        <v>-25914.3091165741</v>
      </c>
      <c r="D108" s="10" t="n">
        <f aca="false">SUMIFS('Data BoP'!$V$6:$V$86,'Data BoP'!$C$6:$C$86,$B108)</f>
        <v>-23244.0508355558</v>
      </c>
      <c r="E108" s="10" t="n">
        <f aca="false">SUMIFS('Data BoP'!$W$6:$W$86,'Data BoP'!$C$6:$C$86,$B108)</f>
        <v>3023.32933417089</v>
      </c>
      <c r="F108" s="10" t="n">
        <f aca="false">SUMIFS('Data BoP'!$X$6:$X$86,'Data BoP'!$C$6:$C$86,$B108)</f>
        <v>0</v>
      </c>
      <c r="G108" s="10" t="n">
        <f aca="false">SUMIFS('Data BoP'!$Y$6:$Y$86,'Data BoP'!$C$6:$C$86,$B108)</f>
        <v>10919.2471697267</v>
      </c>
      <c r="H108" s="10" t="n">
        <f aca="false">SUMIFS('Data BoP'!$Z$6:$Z$86,'Data BoP'!$C$6:$C$86,$B108)</f>
        <v>15348.133</v>
      </c>
      <c r="I108" s="10" t="n">
        <f aca="false">SUMIFS('Data BoP'!$AA$6:$AA$86,'Data BoP'!$C$6:$C$86,$B108)</f>
        <v>6910.09602689934</v>
      </c>
      <c r="J108" s="10" t="n">
        <f aca="false">SUMIFS('Data BoP'!$AB$6:$AB$86,'Data BoP'!$C$6:$C$86,$B108)</f>
        <v>-484.508079427401</v>
      </c>
      <c r="K108" s="10" t="n">
        <f aca="false">SUMIFS('Data BoP'!$AC$6:$AC$86,'Data BoP'!$C$6:$C$86,$B108)</f>
        <v>3553.58049151405</v>
      </c>
      <c r="L108" s="10" t="n">
        <f aca="false">SUMIFS('Data BoP'!$AD$6:$AD$86,'Data BoP'!$C$6:$C$86,$B108)</f>
        <v>-26.9880966772029</v>
      </c>
      <c r="M108" s="10" t="n">
        <f aca="false">SUMIFS('Data BoP'!$AE$6:$AE$86,'Data BoP'!$C$6:$C$86,$B108)</f>
        <v>-3814.03551813549</v>
      </c>
      <c r="N108" s="10" t="n">
        <f aca="false">SUMIFS('Data BoP'!$AF$6:$AF$86,'Data BoP'!$C$6:$C$86,$B108)</f>
        <v>9.58547796723004</v>
      </c>
      <c r="O108" s="10" t="n">
        <f aca="false">SUMIFS('Data BoP'!$AG$6:$AG$86,'Data BoP'!$C$6:$C$86,$B108)</f>
        <v>12085.0318986408</v>
      </c>
      <c r="P108" s="10" t="n">
        <f aca="false">SUMIFS('Data BoP'!$AH$6:$AH$86,'Data BoP'!$C$6:$C$86,$B108)</f>
        <v>16595.8510559155</v>
      </c>
      <c r="Q108" s="10" t="n">
        <f aca="false">SUMIFS('Data BoP'!$AL$6:$AL$86,'Data BoP'!$C$6:$C$86,$B108)</f>
        <v>4510.81915727472</v>
      </c>
      <c r="R108" s="15" t="n">
        <f aca="false">SUMIFS('Data BoP'!$AJ$6:$AJ$86,'Data BoP'!$C$6:$C$86,$B108)</f>
        <v>-21674.9716845256</v>
      </c>
      <c r="S108" s="10" t="n">
        <f aca="false">SUMIFS('Data BoP'!$AK$6:$AK$86,'Data BoP'!$C$6:$C$86,$B108)</f>
        <v>-3750.01037831532</v>
      </c>
    </row>
    <row r="109" customFormat="false" ht="15" hidden="false" customHeight="false" outlineLevel="0" collapsed="false">
      <c r="B109" s="16" t="n">
        <v>2024</v>
      </c>
      <c r="C109" s="15" t="n">
        <f aca="false">SUMIFS('Data BoP'!$U$6:$U$86,'Data BoP'!$C$6:$C$86,$B109)</f>
        <v>2319.03762706679</v>
      </c>
      <c r="D109" s="10" t="n">
        <f aca="false">SUMIFS('Data BoP'!$V$6:$V$86,'Data BoP'!$C$6:$C$86,$B109)</f>
        <v>-9590.26436145366</v>
      </c>
      <c r="E109" s="10" t="n">
        <f aca="false">SUMIFS('Data BoP'!$W$6:$W$86,'Data BoP'!$C$6:$C$86,$B109)</f>
        <v>2774.24077799598</v>
      </c>
      <c r="F109" s="10" t="n">
        <f aca="false">SUMIFS('Data BoP'!$X$6:$X$86,'Data BoP'!$C$6:$C$86,$B109)</f>
        <v>0</v>
      </c>
      <c r="G109" s="10" t="n">
        <f aca="false">SUMIFS('Data BoP'!$Y$6:$Y$86,'Data BoP'!$C$6:$C$86,$B109)</f>
        <v>10420.5051394496</v>
      </c>
      <c r="H109" s="10" t="n">
        <f aca="false">SUMIFS('Data BoP'!$Z$6:$Z$86,'Data BoP'!$C$6:$C$86,$B109)</f>
        <v>1944</v>
      </c>
      <c r="I109" s="10" t="n">
        <f aca="false">SUMIFS('Data BoP'!$AA$6:$AA$86,'Data BoP'!$C$6:$C$86,$B109)</f>
        <v>4129.70262873116</v>
      </c>
      <c r="J109" s="10" t="n">
        <f aca="false">SUMIFS('Data BoP'!$AB$6:$AB$86,'Data BoP'!$C$6:$C$86,$B109)</f>
        <v>1021.31922621753</v>
      </c>
      <c r="K109" s="10" t="n">
        <f aca="false">SUMIFS('Data BoP'!$AC$6:$AC$86,'Data BoP'!$C$6:$C$86,$B109)</f>
        <v>2529.91850847984</v>
      </c>
      <c r="L109" s="10" t="n">
        <f aca="false">SUMIFS('Data BoP'!$AD$6:$AD$86,'Data BoP'!$C$6:$C$86,$B109)</f>
        <v>1127.59219804783</v>
      </c>
      <c r="M109" s="10" t="n">
        <f aca="false">SUMIFS('Data BoP'!$AE$6:$AE$86,'Data BoP'!$C$6:$C$86,$B109)</f>
        <v>-1706.05709208161</v>
      </c>
      <c r="N109" s="10" t="n">
        <f aca="false">SUMIFS('Data BoP'!$AF$6:$AF$86,'Data BoP'!$C$6:$C$86,$B109)</f>
        <v>19.2458371486411</v>
      </c>
      <c r="O109" s="10" t="n">
        <f aca="false">SUMIFS('Data BoP'!$AG$6:$AG$86,'Data BoP'!$C$6:$C$86,$B109)</f>
        <v>1667.09021423901</v>
      </c>
      <c r="P109" s="10" t="n">
        <f aca="false">SUMIFS('Data BoP'!$AH$6:$AH$86,'Data BoP'!$C$6:$C$86,$B109)</f>
        <v>-2908.72136625306</v>
      </c>
      <c r="Q109" s="10" t="n">
        <f aca="false">SUMIFS('Data BoP'!$AL$6:$AL$86,'Data BoP'!$C$6:$C$86,$B109)</f>
        <v>-4575.81158049206</v>
      </c>
      <c r="R109" s="15" t="n">
        <f aca="false">SUMIFS('Data BoP'!$AJ$6:$AJ$86,'Data BoP'!$C$6:$C$86,$B109)</f>
        <v>6093.26330840165</v>
      </c>
      <c r="S109" s="10" t="n">
        <f aca="false">SUMIFS('Data BoP'!$AK$6:$AK$86,'Data BoP'!$C$6:$C$86,$B109)</f>
        <v>-3849.94550286667</v>
      </c>
    </row>
    <row r="110" customFormat="false" ht="15" hidden="false" customHeight="false" outlineLevel="0" collapsed="false">
      <c r="B110" s="16" t="n">
        <v>2025</v>
      </c>
      <c r="C110" s="15" t="n">
        <f aca="false">SUMIFS('Data BoP'!$U$6:$U$86,'Data BoP'!$C$6:$C$86,$B110)</f>
        <v>-12003.1036642632</v>
      </c>
      <c r="D110" s="10" t="n">
        <f aca="false">SUMIFS('Data BoP'!$V$6:$V$86,'Data BoP'!$C$6:$C$86,$B110)</f>
        <v>-1618.39728605927</v>
      </c>
      <c r="E110" s="10" t="n">
        <f aca="false">SUMIFS('Data BoP'!$W$6:$W$86,'Data BoP'!$C$6:$C$86,$B110)</f>
        <v>2743.33134082928</v>
      </c>
      <c r="F110" s="10" t="n">
        <f aca="false">SUMIFS('Data BoP'!$X$6:$X$86,'Data BoP'!$C$6:$C$86,$B110)</f>
        <v>0</v>
      </c>
      <c r="G110" s="10" t="n">
        <f aca="false">SUMIFS('Data BoP'!$Y$6:$Y$86,'Data BoP'!$C$6:$C$86,$B110)</f>
        <v>3629.54962688856</v>
      </c>
      <c r="H110" s="10" t="n">
        <f aca="false">SUMIFS('Data BoP'!$Z$6:$Z$86,'Data BoP'!$C$6:$C$86,$B110)</f>
        <v>732.179</v>
      </c>
      <c r="I110" s="10" t="n">
        <f aca="false">SUMIFS('Data BoP'!$AA$6:$AA$86,'Data BoP'!$C$6:$C$86,$B110)</f>
        <v>278.162340148708</v>
      </c>
      <c r="J110" s="10" t="n">
        <f aca="false">SUMIFS('Data BoP'!$AB$6:$AB$86,'Data BoP'!$C$6:$C$86,$B110)</f>
        <v>2356.25613528429</v>
      </c>
      <c r="K110" s="10" t="n">
        <f aca="false">SUMIFS('Data BoP'!$AC$6:$AC$86,'Data BoP'!$C$6:$C$86,$B110)</f>
        <v>3642.640848063</v>
      </c>
      <c r="L110" s="10" t="n">
        <f aca="false">SUMIFS('Data BoP'!$AD$6:$AD$86,'Data BoP'!$C$6:$C$86,$B110)</f>
        <v>-1418.0091655151</v>
      </c>
      <c r="M110" s="10" t="n">
        <f aca="false">SUMIFS('Data BoP'!$AE$6:$AE$86,'Data BoP'!$C$6:$C$86,$B110)</f>
        <v>7138.74380871368</v>
      </c>
      <c r="N110" s="10" t="n">
        <f aca="false">SUMIFS('Data BoP'!$AF$6:$AF$86,'Data BoP'!$C$6:$C$86,$B110)</f>
        <v>2.72033646292213</v>
      </c>
      <c r="O110" s="10" t="n">
        <f aca="false">SUMIFS('Data BoP'!$AG$6:$AG$86,'Data BoP'!$C$6:$C$86,$B110)</f>
        <v>-17886.6630625827</v>
      </c>
      <c r="P110" s="10" t="n">
        <f aca="false">SUMIFS('Data BoP'!$AH$6:$AH$86,'Data BoP'!$C$6:$C$86,$B110)</f>
        <v>10075.2504315026</v>
      </c>
      <c r="Q110" s="10" t="n">
        <f aca="false">SUMIFS('Data BoP'!$AL$6:$AL$86,'Data BoP'!$C$6:$C$86,$B110)</f>
        <v>27961.9134940853</v>
      </c>
      <c r="R110" s="15" t="n">
        <f aca="false">SUMIFS('Data BoP'!$AJ$6:$AJ$86,'Data BoP'!$C$6:$C$86,$B110)</f>
        <v>7221.07400776715</v>
      </c>
      <c r="S110" s="10" t="n">
        <f aca="false">SUMIFS('Data BoP'!$AK$6:$AK$86,'Data BoP'!$C$6:$C$86,$B110)</f>
        <v>-4669.1182466558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Q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17" min="3" style="0" width="14"/>
  </cols>
  <sheetData>
    <row r="2" customFormat="false" ht="25.5" hidden="false" customHeight="true" outlineLevel="0" collapsed="false">
      <c r="B2" s="1" t="s">
        <v>206</v>
      </c>
    </row>
    <row r="3" customFormat="false" ht="15" hidden="false" customHeight="false" outlineLevel="0" collapsed="false">
      <c r="B3" s="2" t="s">
        <v>207</v>
      </c>
    </row>
    <row r="4" customFormat="false" ht="15" hidden="false" customHeight="false" outlineLevel="0" collapsed="false">
      <c r="B4" s="2" t="s">
        <v>208</v>
      </c>
    </row>
    <row r="6" customFormat="false" ht="43.5" hidden="false" customHeight="true" outlineLevel="0" collapsed="false">
      <c r="B6" s="13" t="s">
        <v>39</v>
      </c>
      <c r="C6" s="6" t="s">
        <v>209</v>
      </c>
      <c r="D6" s="6" t="s">
        <v>185</v>
      </c>
      <c r="E6" s="6" t="s">
        <v>210</v>
      </c>
      <c r="F6" s="6" t="s">
        <v>211</v>
      </c>
      <c r="G6" s="6" t="s">
        <v>212</v>
      </c>
      <c r="H6" s="6" t="s">
        <v>213</v>
      </c>
      <c r="I6" s="6" t="s">
        <v>214</v>
      </c>
      <c r="J6" s="6" t="s">
        <v>215</v>
      </c>
      <c r="K6" s="6" t="s">
        <v>216</v>
      </c>
      <c r="L6" s="6" t="s">
        <v>217</v>
      </c>
      <c r="M6" s="6" t="s">
        <v>218</v>
      </c>
      <c r="N6" s="6" t="s">
        <v>200</v>
      </c>
      <c r="O6" s="6" t="s">
        <v>219</v>
      </c>
      <c r="P6" s="6" t="s">
        <v>205</v>
      </c>
      <c r="Q6" s="6" t="s">
        <v>220</v>
      </c>
    </row>
    <row r="7" customFormat="false" ht="15" hidden="false" customHeight="false" outlineLevel="0" collapsed="false">
      <c r="B7" s="14" t="str">
        <f aca="false">'Data BoP'!B6</f>
        <v>2006-Q1</v>
      </c>
    </row>
    <row r="8" customFormat="false" ht="15" hidden="false" customHeight="false" outlineLevel="0" collapsed="false">
      <c r="B8" s="14" t="str">
        <f aca="false">'Data BoP'!B7</f>
        <v>2006-Q2</v>
      </c>
    </row>
    <row r="9" customFormat="false" ht="15" hidden="false" customHeight="false" outlineLevel="0" collapsed="false">
      <c r="B9" s="14" t="str">
        <f aca="false">'Data BoP'!B8</f>
        <v>2006-Q3</v>
      </c>
    </row>
    <row r="10" customFormat="false" ht="15" hidden="false" customHeight="false" outlineLevel="0" collapsed="false">
      <c r="B10" s="14" t="str">
        <f aca="false">'Data BoP'!B9</f>
        <v>2006-Q4</v>
      </c>
      <c r="C10" s="10" t="n">
        <f aca="false">('Data BoP'!E6)+('Data BoP'!E7)+('Data BoP'!E8)+('Data BoP'!E9)</f>
        <v>6498.80252020454</v>
      </c>
      <c r="D10" s="10" t="n">
        <f aca="false">('Data BoP'!T6)+('Data BoP'!T7)+('Data BoP'!T8)+('Data BoP'!T9)</f>
        <v>97.6243278048008</v>
      </c>
      <c r="E10" s="15" t="n">
        <f aca="false">('Data BoP'!E6+'Data BoP'!T6)+('Data BoP'!E7+'Data BoP'!T7)+('Data BoP'!E8+'Data BoP'!T8)+('Data BoP'!E9+'Data BoP'!T9)</f>
        <v>6596.42684800934</v>
      </c>
      <c r="F10" s="10" t="n">
        <f aca="false">('Data BoP'!Y6+'Data BoP'!Z6)+('Data BoP'!Y7+'Data BoP'!Z7)+('Data BoP'!Y8+'Data BoP'!Z8)+('Data BoP'!Y9+'Data BoP'!Z9)</f>
        <v>5537.34778619331</v>
      </c>
      <c r="G10" s="10" t="n">
        <f aca="false">('Data BoP'!AD6+'Data BoP'!AE6)+('Data BoP'!AD7+'Data BoP'!AE7)+('Data BoP'!AD8+'Data BoP'!AE8)+('Data BoP'!AD9+'Data BoP'!AE9)</f>
        <v>8500.39038873852</v>
      </c>
      <c r="H10" s="10" t="n">
        <f aca="false">('Data BoP'!AL6)+('Data BoP'!AL7)+('Data BoP'!AL8)+('Data BoP'!AL9)</f>
        <v>-10921.4116761297</v>
      </c>
      <c r="I10" s="15" t="n">
        <f aca="false">('Data BoP'!Y6+'Data BoP'!Z6+'Data BoP'!AD6+'Data BoP'!AE6+'Data BoP'!AL6)+('Data BoP'!Y7+'Data BoP'!Z7+'Data BoP'!AD7+'Data BoP'!AE7+'Data BoP'!AL7)+('Data BoP'!Y8+'Data BoP'!Z8+'Data BoP'!AD8+'Data BoP'!AE8+'Data BoP'!AL8)+('Data BoP'!Y9+'Data BoP'!Z9+'Data BoP'!AD9+'Data BoP'!AE9+'Data BoP'!AL9)</f>
        <v>3116.32649880216</v>
      </c>
      <c r="J10" s="10" t="n">
        <f aca="false">(-('Data BoP'!W6+'Data BoP'!X6))+(-('Data BoP'!W7+'Data BoP'!X7))+(-('Data BoP'!W8+'Data BoP'!X8))+(-('Data BoP'!W9+'Data BoP'!X9))</f>
        <v>-2438.72072056097</v>
      </c>
      <c r="K10" s="10" t="n">
        <f aca="false">(-('Data BoP'!AB6+'Data BoP'!AC6))+(-('Data BoP'!AB7+'Data BoP'!AC7))+(-('Data BoP'!AB8+'Data BoP'!AC8))+(-('Data BoP'!AB9+'Data BoP'!AC9))</f>
        <v>-1260.9936</v>
      </c>
      <c r="L10" s="10" t="n">
        <f aca="false">(-'Data BoP'!AH6)+(-'Data BoP'!AH7)+(-'Data BoP'!AH8)+(-'Data BoP'!AH9)</f>
        <v>-3240.56853090173</v>
      </c>
      <c r="M10" s="15" t="n">
        <f aca="false">(-('Data BoP'!W6+'Data BoP'!X6+'Data BoP'!AB6+'Data BoP'!AC6+'Data BoP'!AH6))+(-('Data BoP'!W7+'Data BoP'!X7+'Data BoP'!AB7+'Data BoP'!AC7+'Data BoP'!AH7))+(-('Data BoP'!W8+'Data BoP'!X8+'Data BoP'!AB8+'Data BoP'!AC8+'Data BoP'!AH8))+(-('Data BoP'!W9+'Data BoP'!X9+'Data BoP'!AB9+'Data BoP'!AC9+'Data BoP'!AH9))</f>
        <v>-6940.2828514627</v>
      </c>
      <c r="N10" s="10" t="n">
        <f aca="false">(-'Data BoP'!AF6)+(-'Data BoP'!AF7)+(-'Data BoP'!AF8)+(-'Data BoP'!AF9)</f>
        <v>-126.644535307005</v>
      </c>
      <c r="O10" s="15" t="n">
        <f aca="false">(-('Data BoP'!U6-'Data BoP'!AJ6))+(-('Data BoP'!U7-'Data BoP'!AJ7))+(-('Data BoP'!U8-'Data BoP'!AJ8))+(-('Data BoP'!U9-'Data BoP'!AJ9))</f>
        <v>-3950.60088796755</v>
      </c>
      <c r="P10" s="10" t="n">
        <f aca="false">('Data BoP'!AK6)+('Data BoP'!AK7)+('Data BoP'!AK8)+('Data BoP'!AK9)</f>
        <v>884.004039958215</v>
      </c>
      <c r="Q10" s="17" t="n">
        <f aca="false">('Data BoP'!AJ6)+('Data BoP'!AJ7)+('Data BoP'!AJ8)+('Data BoP'!AJ9)</f>
        <v>3529.83</v>
      </c>
    </row>
    <row r="11" customFormat="false" ht="15" hidden="false" customHeight="false" outlineLevel="0" collapsed="false">
      <c r="B11" s="14" t="str">
        <f aca="false">'Data BoP'!B10</f>
        <v>2007-Q1</v>
      </c>
      <c r="C11" s="10" t="n">
        <f aca="false">('Data BoP'!E7)+('Data BoP'!E8)+('Data BoP'!E9)+('Data BoP'!E10)</f>
        <v>6397.33773409391</v>
      </c>
      <c r="D11" s="10" t="n">
        <f aca="false">('Data BoP'!T7)+('Data BoP'!T8)+('Data BoP'!T9)+('Data BoP'!T10)</f>
        <v>98.7243278048008</v>
      </c>
      <c r="E11" s="15" t="n">
        <f aca="false">('Data BoP'!E7+'Data BoP'!T7)+('Data BoP'!E8+'Data BoP'!T8)+('Data BoP'!E9+'Data BoP'!T9)+('Data BoP'!E10+'Data BoP'!T10)</f>
        <v>6496.06206189871</v>
      </c>
      <c r="F11" s="10" t="n">
        <f aca="false">('Data BoP'!Y7+'Data BoP'!Z7)+('Data BoP'!Y8+'Data BoP'!Z8)+('Data BoP'!Y9+'Data BoP'!Z9)+('Data BoP'!Y10+'Data BoP'!Z10)</f>
        <v>4911.44585192813</v>
      </c>
      <c r="G11" s="10" t="n">
        <f aca="false">('Data BoP'!AD7+'Data BoP'!AE7)+('Data BoP'!AD8+'Data BoP'!AE8)+('Data BoP'!AD9+'Data BoP'!AE9)+('Data BoP'!AD10+'Data BoP'!AE10)</f>
        <v>8072.05821253932</v>
      </c>
      <c r="H11" s="10" t="n">
        <f aca="false">('Data BoP'!AL7)+('Data BoP'!AL8)+('Data BoP'!AL9)+('Data BoP'!AL10)</f>
        <v>124.552569670293</v>
      </c>
      <c r="I11" s="15" t="n">
        <f aca="false">('Data BoP'!Y7+'Data BoP'!Z7+'Data BoP'!AD7+'Data BoP'!AE7+'Data BoP'!AL7)+('Data BoP'!Y8+'Data BoP'!Z8+'Data BoP'!AD8+'Data BoP'!AE8+'Data BoP'!AL8)+('Data BoP'!Y9+'Data BoP'!Z9+'Data BoP'!AD9+'Data BoP'!AE9+'Data BoP'!AL9)+('Data BoP'!Y10+'Data BoP'!Z10+'Data BoP'!AD10+'Data BoP'!AE10+'Data BoP'!AL10)</f>
        <v>13108.0566341377</v>
      </c>
      <c r="J11" s="10" t="n">
        <f aca="false">(-('Data BoP'!W7+'Data BoP'!X7))+(-('Data BoP'!W8+'Data BoP'!X8))+(-('Data BoP'!W9+'Data BoP'!X9))+(-('Data BoP'!W10+'Data BoP'!X10))</f>
        <v>-2471.14220946811</v>
      </c>
      <c r="K11" s="10" t="n">
        <f aca="false">(-('Data BoP'!AB7+'Data BoP'!AC7))+(-('Data BoP'!AB8+'Data BoP'!AC8))+(-('Data BoP'!AB9+'Data BoP'!AC9))+(-('Data BoP'!AB10+'Data BoP'!AC10))</f>
        <v>-786.4961001165</v>
      </c>
      <c r="L11" s="10" t="n">
        <f aca="false">(-'Data BoP'!AH7)+(-'Data BoP'!AH8)+(-'Data BoP'!AH9)+(-'Data BoP'!AH10)</f>
        <v>-3052.15985594867</v>
      </c>
      <c r="M11" s="15" t="n">
        <f aca="false">(-('Data BoP'!W7+'Data BoP'!X7+'Data BoP'!AB7+'Data BoP'!AC7+'Data BoP'!AH7))+(-('Data BoP'!W8+'Data BoP'!X8+'Data BoP'!AB8+'Data BoP'!AC8+'Data BoP'!AH8))+(-('Data BoP'!W9+'Data BoP'!X9+'Data BoP'!AB9+'Data BoP'!AC9+'Data BoP'!AH9))+(-('Data BoP'!W10+'Data BoP'!X10+'Data BoP'!AB10+'Data BoP'!AC10+'Data BoP'!AH10))</f>
        <v>-6309.79816553328</v>
      </c>
      <c r="N11" s="10" t="n">
        <f aca="false">(-'Data BoP'!AF7)+(-'Data BoP'!AF8)+(-'Data BoP'!AF9)+(-'Data BoP'!AF10)</f>
        <v>-150.489527074757</v>
      </c>
      <c r="O11" s="15" t="n">
        <f aca="false">(-('Data BoP'!U7-'Data BoP'!AJ7))+(-('Data BoP'!U8-'Data BoP'!AJ8))+(-('Data BoP'!U9-'Data BoP'!AJ9))+(-('Data BoP'!U10-'Data BoP'!AJ10))</f>
        <v>6647.76894152971</v>
      </c>
      <c r="P11" s="10" t="n">
        <f aca="false">('Data BoP'!AK7)+('Data BoP'!AK8)+('Data BoP'!AK9)+('Data BoP'!AK10)</f>
        <v>1679.62899657158</v>
      </c>
      <c r="Q11" s="17" t="n">
        <f aca="false">('Data BoP'!AJ7)+('Data BoP'!AJ8)+('Data BoP'!AJ9)+('Data BoP'!AJ10)</f>
        <v>14823.46</v>
      </c>
    </row>
    <row r="12" customFormat="false" ht="15" hidden="false" customHeight="false" outlineLevel="0" collapsed="false">
      <c r="B12" s="14" t="str">
        <f aca="false">'Data BoP'!B11</f>
        <v>2007-Q2</v>
      </c>
      <c r="C12" s="10" t="n">
        <f aca="false">('Data BoP'!E8)+('Data BoP'!E9)+('Data BoP'!E10)+('Data BoP'!E11)</f>
        <v>6506.93383809467</v>
      </c>
      <c r="D12" s="10" t="n">
        <f aca="false">('Data BoP'!T8)+('Data BoP'!T9)+('Data BoP'!T10)+('Data BoP'!T11)</f>
        <v>65.5075242502027</v>
      </c>
      <c r="E12" s="15" t="n">
        <f aca="false">('Data BoP'!E8+'Data BoP'!T8)+('Data BoP'!E9+'Data BoP'!T9)+('Data BoP'!E10+'Data BoP'!T10)+('Data BoP'!E11+'Data BoP'!T11)</f>
        <v>6572.44136234487</v>
      </c>
      <c r="F12" s="10" t="n">
        <f aca="false">('Data BoP'!Y8+'Data BoP'!Z8)+('Data BoP'!Y9+'Data BoP'!Z9)+('Data BoP'!Y10+'Data BoP'!Z10)+('Data BoP'!Y11+'Data BoP'!Z11)</f>
        <v>4247.92624809858</v>
      </c>
      <c r="G12" s="10" t="n">
        <f aca="false">('Data BoP'!AD8+'Data BoP'!AE8)+('Data BoP'!AD9+'Data BoP'!AE9)+('Data BoP'!AD10+'Data BoP'!AE10)+('Data BoP'!AD11+'Data BoP'!AE11)</f>
        <v>11919.3694383216</v>
      </c>
      <c r="H12" s="10" t="n">
        <f aca="false">('Data BoP'!AL8)+('Data BoP'!AL9)+('Data BoP'!AL10)+('Data BoP'!AL11)</f>
        <v>1529.38238632955</v>
      </c>
      <c r="I12" s="15" t="n">
        <f aca="false">('Data BoP'!Y8+'Data BoP'!Z8+'Data BoP'!AD8+'Data BoP'!AE8+'Data BoP'!AL8)+('Data BoP'!Y9+'Data BoP'!Z9+'Data BoP'!AD9+'Data BoP'!AE9+'Data BoP'!AL9)+('Data BoP'!Y10+'Data BoP'!Z10+'Data BoP'!AD10+'Data BoP'!AE10+'Data BoP'!AL10)+('Data BoP'!Y11+'Data BoP'!Z11+'Data BoP'!AD11+'Data BoP'!AE11+'Data BoP'!AL11)</f>
        <v>17696.6780727498</v>
      </c>
      <c r="J12" s="10" t="n">
        <f aca="false">(-('Data BoP'!W8+'Data BoP'!X8))+(-('Data BoP'!W9+'Data BoP'!X9))+(-('Data BoP'!W10+'Data BoP'!X10))+(-('Data BoP'!W11+'Data BoP'!X11))</f>
        <v>-1777.65964594046</v>
      </c>
      <c r="K12" s="10" t="n">
        <f aca="false">(-('Data BoP'!AB8+'Data BoP'!AC8))+(-('Data BoP'!AB9+'Data BoP'!AC9))+(-('Data BoP'!AB10+'Data BoP'!AC10))+(-('Data BoP'!AB11+'Data BoP'!AC11))</f>
        <v>-941.6684001165</v>
      </c>
      <c r="L12" s="10" t="n">
        <f aca="false">(-'Data BoP'!AH8)+(-'Data BoP'!AH9)+(-'Data BoP'!AH10)+(-'Data BoP'!AH11)</f>
        <v>-4603.95305225322</v>
      </c>
      <c r="M12" s="15" t="n">
        <f aca="false">(-('Data BoP'!W8+'Data BoP'!X8+'Data BoP'!AB8+'Data BoP'!AC8+'Data BoP'!AH8))+(-('Data BoP'!W9+'Data BoP'!X9+'Data BoP'!AB9+'Data BoP'!AC9+'Data BoP'!AH9))+(-('Data BoP'!W10+'Data BoP'!X10+'Data BoP'!AB10+'Data BoP'!AC10+'Data BoP'!AH10))+(-('Data BoP'!W11+'Data BoP'!X11+'Data BoP'!AB11+'Data BoP'!AC11+'Data BoP'!AH11))</f>
        <v>-7323.28109831019</v>
      </c>
      <c r="N12" s="10" t="n">
        <f aca="false">(-'Data BoP'!AF8)+(-'Data BoP'!AF9)+(-'Data BoP'!AF10)+(-'Data BoP'!AF11)</f>
        <v>-209.707548009589</v>
      </c>
      <c r="O12" s="15" t="n">
        <f aca="false">(-('Data BoP'!U8-'Data BoP'!AJ8))+(-('Data BoP'!U9-'Data BoP'!AJ9))+(-('Data BoP'!U10-'Data BoP'!AJ10))+(-('Data BoP'!U11-'Data BoP'!AJ11))</f>
        <v>10163.68942643</v>
      </c>
      <c r="P12" s="10" t="n">
        <f aca="false">('Data BoP'!AK8)+('Data BoP'!AK9)+('Data BoP'!AK10)+('Data BoP'!AK11)</f>
        <v>583.959211225151</v>
      </c>
      <c r="Q12" s="17" t="n">
        <f aca="false">('Data BoP'!AJ8)+('Data BoP'!AJ9)+('Data BoP'!AJ10)+('Data BoP'!AJ11)</f>
        <v>17320.09</v>
      </c>
    </row>
    <row r="13" customFormat="false" ht="15" hidden="false" customHeight="false" outlineLevel="0" collapsed="false">
      <c r="B13" s="14" t="str">
        <f aca="false">'Data BoP'!B12</f>
        <v>2007-Q3</v>
      </c>
      <c r="C13" s="10" t="n">
        <f aca="false">('Data BoP'!E9)+('Data BoP'!E10)+('Data BoP'!E11)+('Data BoP'!E12)</f>
        <v>5439.33218557157</v>
      </c>
      <c r="D13" s="10" t="n">
        <f aca="false">('Data BoP'!T9)+('Data BoP'!T10)+('Data BoP'!T11)+('Data BoP'!T12)</f>
        <v>122.287827670731</v>
      </c>
      <c r="E13" s="15" t="n">
        <f aca="false">('Data BoP'!E9+'Data BoP'!T9)+('Data BoP'!E10+'Data BoP'!T10)+('Data BoP'!E11+'Data BoP'!T11)+('Data BoP'!E12+'Data BoP'!T12)</f>
        <v>5561.62001324231</v>
      </c>
      <c r="F13" s="10" t="n">
        <f aca="false">('Data BoP'!Y9+'Data BoP'!Z9)+('Data BoP'!Y10+'Data BoP'!Z10)+('Data BoP'!Y11+'Data BoP'!Z11)+('Data BoP'!Y12+'Data BoP'!Z12)</f>
        <v>4597.80276574</v>
      </c>
      <c r="G13" s="10" t="n">
        <f aca="false">('Data BoP'!AD9+'Data BoP'!AE9)+('Data BoP'!AD10+'Data BoP'!AE10)+('Data BoP'!AD11+'Data BoP'!AE11)+('Data BoP'!AD12+'Data BoP'!AE12)</f>
        <v>9660.27409940518</v>
      </c>
      <c r="H13" s="10" t="n">
        <f aca="false">('Data BoP'!AL9)+('Data BoP'!AL10)+('Data BoP'!AL11)+('Data BoP'!AL12)</f>
        <v>4331.73414591563</v>
      </c>
      <c r="I13" s="15" t="n">
        <f aca="false">('Data BoP'!Y9+'Data BoP'!Z9+'Data BoP'!AD9+'Data BoP'!AE9+'Data BoP'!AL9)+('Data BoP'!Y10+'Data BoP'!Z10+'Data BoP'!AD10+'Data BoP'!AE10+'Data BoP'!AL10)+('Data BoP'!Y11+'Data BoP'!Z11+'Data BoP'!AD11+'Data BoP'!AE11+'Data BoP'!AL11)+('Data BoP'!Y12+'Data BoP'!Z12+'Data BoP'!AD12+'Data BoP'!AE12+'Data BoP'!AL12)</f>
        <v>18589.8110110608</v>
      </c>
      <c r="J13" s="10" t="n">
        <f aca="false">(-('Data BoP'!W9+'Data BoP'!X9))+(-('Data BoP'!W10+'Data BoP'!X10))+(-('Data BoP'!W11+'Data BoP'!X11))+(-('Data BoP'!W12+'Data BoP'!X12))</f>
        <v>-1714.3709428132</v>
      </c>
      <c r="K13" s="10" t="n">
        <f aca="false">(-('Data BoP'!AB9+'Data BoP'!AC9))+(-('Data BoP'!AB10+'Data BoP'!AC10))+(-('Data BoP'!AB11+'Data BoP'!AC11))+(-('Data BoP'!AB12+'Data BoP'!AC12))</f>
        <v>-973.9184001165</v>
      </c>
      <c r="L13" s="10" t="n">
        <f aca="false">(-'Data BoP'!AH9)+(-'Data BoP'!AH10)+(-'Data BoP'!AH11)+(-'Data BoP'!AH12)</f>
        <v>-8344.16870917385</v>
      </c>
      <c r="M13" s="15" t="n">
        <f aca="false">(-('Data BoP'!W9+'Data BoP'!X9+'Data BoP'!AB9+'Data BoP'!AC9+'Data BoP'!AH9))+(-('Data BoP'!W10+'Data BoP'!X10+'Data BoP'!AB10+'Data BoP'!AC10+'Data BoP'!AH10))+(-('Data BoP'!W11+'Data BoP'!X11+'Data BoP'!AB11+'Data BoP'!AC11+'Data BoP'!AH11))+(-('Data BoP'!W12+'Data BoP'!X12+'Data BoP'!AB12+'Data BoP'!AC12+'Data BoP'!AH12))</f>
        <v>-11032.4580521035</v>
      </c>
      <c r="N13" s="10" t="n">
        <f aca="false">(-'Data BoP'!AF9)+(-'Data BoP'!AF10)+(-'Data BoP'!AF11)+(-'Data BoP'!AF12)</f>
        <v>-229.749373621757</v>
      </c>
      <c r="O13" s="15" t="n">
        <f aca="false">(-('Data BoP'!U9-'Data BoP'!AJ9))+(-('Data BoP'!U10-'Data BoP'!AJ10))+(-('Data BoP'!U11-'Data BoP'!AJ11))+(-('Data BoP'!U12-'Data BoP'!AJ12))</f>
        <v>7327.6035853355</v>
      </c>
      <c r="P13" s="10" t="n">
        <f aca="false">('Data BoP'!AK9)+('Data BoP'!AK10)+('Data BoP'!AK11)+('Data BoP'!AK12)</f>
        <v>1059.1564014222</v>
      </c>
      <c r="Q13" s="17" t="n">
        <f aca="false">('Data BoP'!AJ9)+('Data BoP'!AJ10)+('Data BoP'!AJ11)+('Data BoP'!AJ12)</f>
        <v>13948.38</v>
      </c>
    </row>
    <row r="14" customFormat="false" ht="15" hidden="false" customHeight="false" outlineLevel="0" collapsed="false">
      <c r="B14" s="14" t="str">
        <f aca="false">'Data BoP'!B13</f>
        <v>2007-Q4</v>
      </c>
      <c r="C14" s="10" t="n">
        <f aca="false">('Data BoP'!E10)+('Data BoP'!E11)+('Data BoP'!E12)+('Data BoP'!E13)</f>
        <v>6048.53789288669</v>
      </c>
      <c r="D14" s="10" t="n">
        <f aca="false">('Data BoP'!T10)+('Data BoP'!T11)+('Data BoP'!T12)+('Data BoP'!T13)</f>
        <v>121.145888968173</v>
      </c>
      <c r="E14" s="15" t="n">
        <f aca="false">('Data BoP'!E10+'Data BoP'!T10)+('Data BoP'!E11+'Data BoP'!T11)+('Data BoP'!E12+'Data BoP'!T12)+('Data BoP'!E13+'Data BoP'!T13)</f>
        <v>6169.68378185487</v>
      </c>
      <c r="F14" s="10" t="n">
        <f aca="false">('Data BoP'!Y10+'Data BoP'!Z10)+('Data BoP'!Y11+'Data BoP'!Z11)+('Data BoP'!Y12+'Data BoP'!Z12)+('Data BoP'!Y13+'Data BoP'!Z13)</f>
        <v>6473.15776212915</v>
      </c>
      <c r="G14" s="10" t="n">
        <f aca="false">('Data BoP'!AD10+'Data BoP'!AE10)+('Data BoP'!AD11+'Data BoP'!AE11)+('Data BoP'!AD12+'Data BoP'!AE12)+('Data BoP'!AD13+'Data BoP'!AE13)</f>
        <v>8641.5116976402</v>
      </c>
      <c r="H14" s="10" t="n">
        <f aca="false">('Data BoP'!AL10)+('Data BoP'!AL11)+('Data BoP'!AL12)+('Data BoP'!AL13)</f>
        <v>5874.64627022624</v>
      </c>
      <c r="I14" s="15" t="n">
        <f aca="false">('Data BoP'!Y10+'Data BoP'!Z10+'Data BoP'!AD10+'Data BoP'!AE10+'Data BoP'!AL10)+('Data BoP'!Y11+'Data BoP'!Z11+'Data BoP'!AD11+'Data BoP'!AE11+'Data BoP'!AL11)+('Data BoP'!Y12+'Data BoP'!Z12+'Data BoP'!AD12+'Data BoP'!AE12+'Data BoP'!AL12)+('Data BoP'!Y13+'Data BoP'!Z13+'Data BoP'!AD13+'Data BoP'!AE13+'Data BoP'!AL13)</f>
        <v>20989.3157299956</v>
      </c>
      <c r="J14" s="10" t="n">
        <f aca="false">(-('Data BoP'!W10+'Data BoP'!X10))+(-('Data BoP'!W11+'Data BoP'!X11))+(-('Data BoP'!W12+'Data BoP'!X12))+(-('Data BoP'!W13+'Data BoP'!X13))</f>
        <v>-1504.23296134457</v>
      </c>
      <c r="K14" s="10" t="n">
        <f aca="false">(-('Data BoP'!AB10+'Data BoP'!AC10))+(-('Data BoP'!AB11+'Data BoP'!AC11))+(-('Data BoP'!AB12+'Data BoP'!AC12))+(-('Data BoP'!AB13+'Data BoP'!AC13))</f>
        <v>-1173.5488001165</v>
      </c>
      <c r="L14" s="10" t="n">
        <f aca="false">(-'Data BoP'!AH10)+(-'Data BoP'!AH11)+(-'Data BoP'!AH12)+(-'Data BoP'!AH13)</f>
        <v>-10556.6734397616</v>
      </c>
      <c r="M14" s="15" t="n">
        <f aca="false">(-('Data BoP'!W10+'Data BoP'!X10+'Data BoP'!AB10+'Data BoP'!AC10+'Data BoP'!AH10))+(-('Data BoP'!W11+'Data BoP'!X11+'Data BoP'!AB11+'Data BoP'!AC11+'Data BoP'!AH11))+(-('Data BoP'!W12+'Data BoP'!X12+'Data BoP'!AB12+'Data BoP'!AC12+'Data BoP'!AH12))+(-('Data BoP'!W13+'Data BoP'!X13+'Data BoP'!AB13+'Data BoP'!AC13+'Data BoP'!AH13))</f>
        <v>-13234.4552012227</v>
      </c>
      <c r="N14" s="10" t="n">
        <f aca="false">(-'Data BoP'!AF10)+(-'Data BoP'!AF11)+(-'Data BoP'!AF12)+(-'Data BoP'!AF13)</f>
        <v>-564.587408440092</v>
      </c>
      <c r="O14" s="15" t="n">
        <f aca="false">(-('Data BoP'!U10-'Data BoP'!AJ10))+(-('Data BoP'!U11-'Data BoP'!AJ11))+(-('Data BoP'!U12-'Data BoP'!AJ12))+(-('Data BoP'!U13-'Data BoP'!AJ13))</f>
        <v>7190.27312033278</v>
      </c>
      <c r="P14" s="10" t="n">
        <f aca="false">('Data BoP'!AK10)+('Data BoP'!AK11)+('Data BoP'!AK12)+('Data BoP'!AK13)</f>
        <v>-270.236902187651</v>
      </c>
      <c r="Q14" s="17" t="n">
        <f aca="false">('Data BoP'!AJ10)+('Data BoP'!AJ11)+('Data BoP'!AJ12)+('Data BoP'!AJ13)</f>
        <v>13089.72</v>
      </c>
    </row>
    <row r="15" customFormat="false" ht="15" hidden="false" customHeight="false" outlineLevel="0" collapsed="false">
      <c r="B15" s="14" t="str">
        <f aca="false">'Data BoP'!B14</f>
        <v>2008-Q1</v>
      </c>
      <c r="C15" s="10" t="n">
        <f aca="false">('Data BoP'!E11)+('Data BoP'!E12)+('Data BoP'!E13)+('Data BoP'!E14)</f>
        <v>6769.95036963392</v>
      </c>
      <c r="D15" s="10" t="n">
        <f aca="false">('Data BoP'!T11)+('Data BoP'!T12)+('Data BoP'!T13)+('Data BoP'!T14)</f>
        <v>153.276888968173</v>
      </c>
      <c r="E15" s="15" t="n">
        <f aca="false">('Data BoP'!E11+'Data BoP'!T11)+('Data BoP'!E12+'Data BoP'!T12)+('Data BoP'!E13+'Data BoP'!T13)+('Data BoP'!E14+'Data BoP'!T14)</f>
        <v>6923.2272586021</v>
      </c>
      <c r="F15" s="10" t="n">
        <f aca="false">('Data BoP'!Y11+'Data BoP'!Z11)+('Data BoP'!Y12+'Data BoP'!Z12)+('Data BoP'!Y13+'Data BoP'!Z13)+('Data BoP'!Y14+'Data BoP'!Z14)</f>
        <v>8829.1045651254</v>
      </c>
      <c r="G15" s="10" t="n">
        <f aca="false">('Data BoP'!AD11+'Data BoP'!AE11)+('Data BoP'!AD12+'Data BoP'!AE12)+('Data BoP'!AD13+'Data BoP'!AE13)+('Data BoP'!AD14+'Data BoP'!AE14)</f>
        <v>5750.08903143474</v>
      </c>
      <c r="H15" s="10" t="n">
        <f aca="false">('Data BoP'!AL11)+('Data BoP'!AL12)+('Data BoP'!AL13)+('Data BoP'!AL14)</f>
        <v>6726.74287477805</v>
      </c>
      <c r="I15" s="15" t="n">
        <f aca="false">('Data BoP'!Y11+'Data BoP'!Z11+'Data BoP'!AD11+'Data BoP'!AE11+'Data BoP'!AL11)+('Data BoP'!Y12+'Data BoP'!Z12+'Data BoP'!AD12+'Data BoP'!AE12+'Data BoP'!AL12)+('Data BoP'!Y13+'Data BoP'!Z13+'Data BoP'!AD13+'Data BoP'!AE13+'Data BoP'!AL13)+('Data BoP'!Y14+'Data BoP'!Z14+'Data BoP'!AD14+'Data BoP'!AE14+'Data BoP'!AL14)</f>
        <v>21305.9364713382</v>
      </c>
      <c r="J15" s="10" t="n">
        <f aca="false">(-('Data BoP'!W11+'Data BoP'!X11))+(-('Data BoP'!W12+'Data BoP'!X12))+(-('Data BoP'!W13+'Data BoP'!X13))+(-('Data BoP'!W14+'Data BoP'!X14))</f>
        <v>-1440.60719025074</v>
      </c>
      <c r="K15" s="10" t="n">
        <f aca="false">(-('Data BoP'!AB11+'Data BoP'!AC11))+(-('Data BoP'!AB12+'Data BoP'!AC12))+(-('Data BoP'!AB13+'Data BoP'!AC13))+(-('Data BoP'!AB14+'Data BoP'!AC14))</f>
        <v>-1615.0033</v>
      </c>
      <c r="L15" s="10" t="n">
        <f aca="false">(-'Data BoP'!AH11)+(-'Data BoP'!AH12)+(-'Data BoP'!AH13)+(-'Data BoP'!AH14)</f>
        <v>-12775.8726814893</v>
      </c>
      <c r="M15" s="15" t="n">
        <f aca="false">(-('Data BoP'!W11+'Data BoP'!X11+'Data BoP'!AB11+'Data BoP'!AC11+'Data BoP'!AH11))+(-('Data BoP'!W12+'Data BoP'!X12+'Data BoP'!AB12+'Data BoP'!AC12+'Data BoP'!AH12))+(-('Data BoP'!W13+'Data BoP'!X13+'Data BoP'!AB13+'Data BoP'!AC13+'Data BoP'!AH13))+(-('Data BoP'!W14+'Data BoP'!X14+'Data BoP'!AB14+'Data BoP'!AC14+'Data BoP'!AH14))</f>
        <v>-15831.48317174</v>
      </c>
      <c r="N15" s="10" t="n">
        <f aca="false">(-'Data BoP'!AF11)+(-'Data BoP'!AF12)+(-'Data BoP'!AF13)+(-'Data BoP'!AF14)</f>
        <v>-544.299235347716</v>
      </c>
      <c r="O15" s="15" t="n">
        <f aca="false">(-('Data BoP'!U11-'Data BoP'!AJ11))+(-('Data BoP'!U12-'Data BoP'!AJ12))+(-('Data BoP'!U13-'Data BoP'!AJ13))+(-('Data BoP'!U14-'Data BoP'!AJ14))</f>
        <v>4930.15406425043</v>
      </c>
      <c r="P15" s="10" t="n">
        <f aca="false">('Data BoP'!AK11)+('Data BoP'!AK12)+('Data BoP'!AK13)+('Data BoP'!AK14)</f>
        <v>110.858677147477</v>
      </c>
      <c r="Q15" s="17" t="n">
        <f aca="false">('Data BoP'!AJ11)+('Data BoP'!AJ12)+('Data BoP'!AJ13)+('Data BoP'!AJ14)</f>
        <v>11964.24</v>
      </c>
    </row>
    <row r="16" customFormat="false" ht="15" hidden="false" customHeight="false" outlineLevel="0" collapsed="false">
      <c r="B16" s="14" t="str">
        <f aca="false">'Data BoP'!B15</f>
        <v>2008-Q2</v>
      </c>
      <c r="C16" s="10" t="n">
        <f aca="false">('Data BoP'!E12)+('Data BoP'!E13)+('Data BoP'!E14)+('Data BoP'!E15)</f>
        <v>5063.01960839204</v>
      </c>
      <c r="D16" s="10" t="n">
        <f aca="false">('Data BoP'!T12)+('Data BoP'!T13)+('Data BoP'!T14)+('Data BoP'!T15)</f>
        <v>161.344837314774</v>
      </c>
      <c r="E16" s="15" t="n">
        <f aca="false">('Data BoP'!E12+'Data BoP'!T12)+('Data BoP'!E13+'Data BoP'!T13)+('Data BoP'!E14+'Data BoP'!T14)+('Data BoP'!E15+'Data BoP'!T15)</f>
        <v>5224.36444570681</v>
      </c>
      <c r="F16" s="10" t="n">
        <f aca="false">('Data BoP'!Y12+'Data BoP'!Z12)+('Data BoP'!Y13+'Data BoP'!Z13)+('Data BoP'!Y14+'Data BoP'!Z14)+('Data BoP'!Y15+'Data BoP'!Z15)</f>
        <v>9994.0901751602</v>
      </c>
      <c r="G16" s="10" t="n">
        <f aca="false">('Data BoP'!AD12+'Data BoP'!AE12)+('Data BoP'!AD13+'Data BoP'!AE13)+('Data BoP'!AD14+'Data BoP'!AE14)+('Data BoP'!AD15+'Data BoP'!AE15)</f>
        <v>-1574.47835205054</v>
      </c>
      <c r="H16" s="10" t="n">
        <f aca="false">('Data BoP'!AL12)+('Data BoP'!AL13)+('Data BoP'!AL14)+('Data BoP'!AL15)</f>
        <v>9411.31329673999</v>
      </c>
      <c r="I16" s="15" t="n">
        <f aca="false">('Data BoP'!Y12+'Data BoP'!Z12+'Data BoP'!AD12+'Data BoP'!AE12+'Data BoP'!AL12)+('Data BoP'!Y13+'Data BoP'!Z13+'Data BoP'!AD13+'Data BoP'!AE13+'Data BoP'!AL13)+('Data BoP'!Y14+'Data BoP'!Z14+'Data BoP'!AD14+'Data BoP'!AE14+'Data BoP'!AL14)+('Data BoP'!Y15+'Data BoP'!Z15+'Data BoP'!AD15+'Data BoP'!AE15+'Data BoP'!AL15)</f>
        <v>17830.9251198497</v>
      </c>
      <c r="J16" s="10" t="n">
        <f aca="false">(-('Data BoP'!W12+'Data BoP'!X12))+(-('Data BoP'!W13+'Data BoP'!X13))+(-('Data BoP'!W14+'Data BoP'!X14))+(-('Data BoP'!W15+'Data BoP'!X15))</f>
        <v>-1361.75498062502</v>
      </c>
      <c r="K16" s="10" t="n">
        <f aca="false">(-('Data BoP'!AB12+'Data BoP'!AC12))+(-('Data BoP'!AB13+'Data BoP'!AC13))+(-('Data BoP'!AB14+'Data BoP'!AC14))+(-('Data BoP'!AB15+'Data BoP'!AC15))</f>
        <v>-2096.833</v>
      </c>
      <c r="L16" s="10" t="n">
        <f aca="false">(-'Data BoP'!AH12)+(-'Data BoP'!AH13)+(-'Data BoP'!AH14)+(-'Data BoP'!AH15)</f>
        <v>-16195.8626188214</v>
      </c>
      <c r="M16" s="15" t="n">
        <f aca="false">(-('Data BoP'!W12+'Data BoP'!X12+'Data BoP'!AB12+'Data BoP'!AC12+'Data BoP'!AH12))+(-('Data BoP'!W13+'Data BoP'!X13+'Data BoP'!AB13+'Data BoP'!AC13+'Data BoP'!AH13))+(-('Data BoP'!W14+'Data BoP'!X14+'Data BoP'!AB14+'Data BoP'!AC14+'Data BoP'!AH14))+(-('Data BoP'!W15+'Data BoP'!X15+'Data BoP'!AB15+'Data BoP'!AC15+'Data BoP'!AH15))</f>
        <v>-19654.4505994464</v>
      </c>
      <c r="N16" s="10" t="n">
        <f aca="false">(-'Data BoP'!AF12)+(-'Data BoP'!AF13)+(-'Data BoP'!AF14)+(-'Data BoP'!AF15)</f>
        <v>-577.346399586982</v>
      </c>
      <c r="O16" s="15" t="n">
        <f aca="false">(-('Data BoP'!U12-'Data BoP'!AJ12))+(-('Data BoP'!U13-'Data BoP'!AJ13))+(-('Data BoP'!U14-'Data BoP'!AJ14))+(-('Data BoP'!U15-'Data BoP'!AJ15))</f>
        <v>-2400.87187918376</v>
      </c>
      <c r="P16" s="10" t="n">
        <f aca="false">('Data BoP'!AK12)+('Data BoP'!AK13)+('Data BoP'!AK14)+('Data BoP'!AK15)</f>
        <v>180.16743347696</v>
      </c>
      <c r="Q16" s="17" t="n">
        <f aca="false">('Data BoP'!AJ12)+('Data BoP'!AJ13)+('Data BoP'!AJ14)+('Data BoP'!AJ15)</f>
        <v>3003.66000000001</v>
      </c>
    </row>
    <row r="17" customFormat="false" ht="15" hidden="false" customHeight="false" outlineLevel="0" collapsed="false">
      <c r="B17" s="14" t="str">
        <f aca="false">'Data BoP'!B16</f>
        <v>2008-Q3</v>
      </c>
      <c r="C17" s="10" t="n">
        <f aca="false">('Data BoP'!E13)+('Data BoP'!E14)+('Data BoP'!E15)+('Data BoP'!E16)</f>
        <v>7605.67360198784</v>
      </c>
      <c r="D17" s="10" t="n">
        <f aca="false">('Data BoP'!T13)+('Data BoP'!T14)+('Data BoP'!T15)+('Data BoP'!T16)</f>
        <v>182.934121792003</v>
      </c>
      <c r="E17" s="15" t="n">
        <f aca="false">('Data BoP'!E13+'Data BoP'!T13)+('Data BoP'!E14+'Data BoP'!T14)+('Data BoP'!E15+'Data BoP'!T15)+('Data BoP'!E16+'Data BoP'!T16)</f>
        <v>7788.60772377984</v>
      </c>
      <c r="F17" s="10" t="n">
        <f aca="false">('Data BoP'!Y13+'Data BoP'!Z13)+('Data BoP'!Y14+'Data BoP'!Z14)+('Data BoP'!Y15+'Data BoP'!Z15)+('Data BoP'!Y16+'Data BoP'!Z16)</f>
        <v>10454.9914415055</v>
      </c>
      <c r="G17" s="10" t="n">
        <f aca="false">('Data BoP'!AD13+'Data BoP'!AE13)+('Data BoP'!AD14+'Data BoP'!AE14)+('Data BoP'!AD15+'Data BoP'!AE15)+('Data BoP'!AD16+'Data BoP'!AE16)</f>
        <v>-2535.78070521979</v>
      </c>
      <c r="H17" s="10" t="n">
        <f aca="false">('Data BoP'!AL13)+('Data BoP'!AL14)+('Data BoP'!AL15)+('Data BoP'!AL16)</f>
        <v>9241.08990376919</v>
      </c>
      <c r="I17" s="15" t="n">
        <f aca="false">('Data BoP'!Y13+'Data BoP'!Z13+'Data BoP'!AD13+'Data BoP'!AE13+'Data BoP'!AL13)+('Data BoP'!Y14+'Data BoP'!Z14+'Data BoP'!AD14+'Data BoP'!AE14+'Data BoP'!AL14)+('Data BoP'!Y15+'Data BoP'!Z15+'Data BoP'!AD15+'Data BoP'!AE15+'Data BoP'!AL15)+('Data BoP'!Y16+'Data BoP'!Z16+'Data BoP'!AD16+'Data BoP'!AE16+'Data BoP'!AL16)</f>
        <v>17160.3006400548</v>
      </c>
      <c r="J17" s="10" t="n">
        <f aca="false">(-('Data BoP'!W13+'Data BoP'!X13))+(-('Data BoP'!W14+'Data BoP'!X14))+(-('Data BoP'!W15+'Data BoP'!X15))+(-('Data BoP'!W16+'Data BoP'!X16))</f>
        <v>-1498.61313906712</v>
      </c>
      <c r="K17" s="10" t="n">
        <f aca="false">(-('Data BoP'!AB13+'Data BoP'!AC13))+(-('Data BoP'!AB14+'Data BoP'!AC14))+(-('Data BoP'!AB15+'Data BoP'!AC15))+(-('Data BoP'!AB16+'Data BoP'!AC16))</f>
        <v>-3658.7917</v>
      </c>
      <c r="L17" s="10" t="n">
        <f aca="false">(-'Data BoP'!AH13)+(-'Data BoP'!AH14)+(-'Data BoP'!AH15)+(-'Data BoP'!AH16)</f>
        <v>-16843.0853483928</v>
      </c>
      <c r="M17" s="15" t="n">
        <f aca="false">(-('Data BoP'!W13+'Data BoP'!X13+'Data BoP'!AB13+'Data BoP'!AC13+'Data BoP'!AH13))+(-('Data BoP'!W14+'Data BoP'!X14+'Data BoP'!AB14+'Data BoP'!AC14+'Data BoP'!AH14))+(-('Data BoP'!W15+'Data BoP'!X15+'Data BoP'!AB15+'Data BoP'!AC15+'Data BoP'!AH15))+(-('Data BoP'!W16+'Data BoP'!X16+'Data BoP'!AB16+'Data BoP'!AC16+'Data BoP'!AH16))</f>
        <v>-22000.49018746</v>
      </c>
      <c r="N17" s="10" t="n">
        <f aca="false">(-'Data BoP'!AF13)+(-'Data BoP'!AF14)+(-'Data BoP'!AF15)+(-'Data BoP'!AF16)</f>
        <v>-607.1</v>
      </c>
      <c r="O17" s="15" t="n">
        <f aca="false">(-('Data BoP'!U13-'Data BoP'!AJ13))+(-('Data BoP'!U14-'Data BoP'!AJ14))+(-('Data BoP'!U15-'Data BoP'!AJ15))+(-('Data BoP'!U16-'Data BoP'!AJ16))</f>
        <v>-5447.28954740512</v>
      </c>
      <c r="P17" s="10" t="n">
        <f aca="false">('Data BoP'!AK13)+('Data BoP'!AK14)+('Data BoP'!AK15)+('Data BoP'!AK16)</f>
        <v>1454.66182362527</v>
      </c>
      <c r="Q17" s="17" t="n">
        <f aca="false">('Data BoP'!AJ13)+('Data BoP'!AJ14)+('Data BoP'!AJ15)+('Data BoP'!AJ16)</f>
        <v>3795.98</v>
      </c>
    </row>
    <row r="18" customFormat="false" ht="15" hidden="false" customHeight="false" outlineLevel="0" collapsed="false">
      <c r="B18" s="14" t="str">
        <f aca="false">'Data BoP'!B17</f>
        <v>2008-Q4</v>
      </c>
      <c r="C18" s="10" t="n">
        <f aca="false">('Data BoP'!E14)+('Data BoP'!E15)+('Data BoP'!E16)+('Data BoP'!E17)</f>
        <v>5421.20632861009</v>
      </c>
      <c r="D18" s="10" t="n">
        <f aca="false">('Data BoP'!T14)+('Data BoP'!T15)+('Data BoP'!T16)+('Data BoP'!T17)</f>
        <v>185.060016726878</v>
      </c>
      <c r="E18" s="15" t="n">
        <f aca="false">('Data BoP'!E14+'Data BoP'!T14)+('Data BoP'!E15+'Data BoP'!T15)+('Data BoP'!E16+'Data BoP'!T16)+('Data BoP'!E17+'Data BoP'!T17)</f>
        <v>5606.26634533696</v>
      </c>
      <c r="F18" s="10" t="n">
        <f aca="false">('Data BoP'!Y14+'Data BoP'!Z14)+('Data BoP'!Y15+'Data BoP'!Z15)+('Data BoP'!Y16+'Data BoP'!Z16)+('Data BoP'!Y17+'Data BoP'!Z17)</f>
        <v>9725.55312952469</v>
      </c>
      <c r="G18" s="10" t="n">
        <f aca="false">('Data BoP'!AD14+'Data BoP'!AE14)+('Data BoP'!AD15+'Data BoP'!AE15)+('Data BoP'!AD16+'Data BoP'!AE16)+('Data BoP'!AD17+'Data BoP'!AE17)</f>
        <v>-5723.02521408031</v>
      </c>
      <c r="H18" s="10" t="n">
        <f aca="false">('Data BoP'!AL14)+('Data BoP'!AL15)+('Data BoP'!AL16)+('Data BoP'!AL17)</f>
        <v>6182.61138108556</v>
      </c>
      <c r="I18" s="15" t="n">
        <f aca="false">('Data BoP'!Y14+'Data BoP'!Z14+'Data BoP'!AD14+'Data BoP'!AE14+'Data BoP'!AL14)+('Data BoP'!Y15+'Data BoP'!Z15+'Data BoP'!AD15+'Data BoP'!AE15+'Data BoP'!AL15)+('Data BoP'!Y16+'Data BoP'!Z16+'Data BoP'!AD16+'Data BoP'!AE16+'Data BoP'!AL16)+('Data BoP'!Y17+'Data BoP'!Z17+'Data BoP'!AD17+'Data BoP'!AE17+'Data BoP'!AL17)</f>
        <v>10185.1392965299</v>
      </c>
      <c r="J18" s="10" t="n">
        <f aca="false">(-('Data BoP'!W14+'Data BoP'!X14))+(-('Data BoP'!W15+'Data BoP'!X15))+(-('Data BoP'!W16+'Data BoP'!X16))+(-('Data BoP'!W17+'Data BoP'!X17))</f>
        <v>-1390.93458887756</v>
      </c>
      <c r="K18" s="10" t="n">
        <f aca="false">(-('Data BoP'!AB14+'Data BoP'!AC14))+(-('Data BoP'!AB15+'Data BoP'!AC15))+(-('Data BoP'!AB16+'Data BoP'!AC16))+(-('Data BoP'!AB17+'Data BoP'!AC17))</f>
        <v>-2155.56384922957</v>
      </c>
      <c r="L18" s="10" t="n">
        <f aca="false">(-'Data BoP'!AH14)+(-'Data BoP'!AH15)+(-'Data BoP'!AH16)+(-'Data BoP'!AH17)</f>
        <v>-12240.5150411409</v>
      </c>
      <c r="M18" s="15" t="n">
        <f aca="false">(-('Data BoP'!W14+'Data BoP'!X14+'Data BoP'!AB14+'Data BoP'!AC14+'Data BoP'!AH14))+(-('Data BoP'!W15+'Data BoP'!X15+'Data BoP'!AB15+'Data BoP'!AC15+'Data BoP'!AH15))+(-('Data BoP'!W16+'Data BoP'!X16+'Data BoP'!AB16+'Data BoP'!AC16+'Data BoP'!AH16))+(-('Data BoP'!W17+'Data BoP'!X17+'Data BoP'!AB17+'Data BoP'!AC17+'Data BoP'!AH17))</f>
        <v>-15787.0134792481</v>
      </c>
      <c r="N18" s="10" t="n">
        <f aca="false">(-'Data BoP'!AF14)+(-'Data BoP'!AF15)+(-'Data BoP'!AF16)+(-'Data BoP'!AF17)</f>
        <v>-934.7</v>
      </c>
      <c r="O18" s="15" t="n">
        <f aca="false">(-('Data BoP'!U14-'Data BoP'!AJ14))+(-('Data BoP'!U15-'Data BoP'!AJ15))+(-('Data BoP'!U16-'Data BoP'!AJ16))+(-('Data BoP'!U17-'Data BoP'!AJ17))</f>
        <v>-6536.57418271812</v>
      </c>
      <c r="P18" s="10" t="n">
        <f aca="false">('Data BoP'!AK14)+('Data BoP'!AK15)+('Data BoP'!AK16)+('Data BoP'!AK17)</f>
        <v>947.687837381164</v>
      </c>
      <c r="Q18" s="17" t="n">
        <f aca="false">('Data BoP'!AJ14)+('Data BoP'!AJ15)+('Data BoP'!AJ16)+('Data BoP'!AJ17)</f>
        <v>17.3800000000086</v>
      </c>
    </row>
    <row r="19" customFormat="false" ht="15" hidden="false" customHeight="false" outlineLevel="0" collapsed="false">
      <c r="B19" s="14" t="str">
        <f aca="false">'Data BoP'!B18</f>
        <v>2009-Q1</v>
      </c>
      <c r="C19" s="10" t="n">
        <f aca="false">('Data BoP'!E15)+('Data BoP'!E16)+('Data BoP'!E17)+('Data BoP'!E18)</f>
        <v>5288.6833188092</v>
      </c>
      <c r="D19" s="10" t="n">
        <f aca="false">('Data BoP'!T15)+('Data BoP'!T16)+('Data BoP'!T17)+('Data BoP'!T18)</f>
        <v>163.497313500339</v>
      </c>
      <c r="E19" s="15" t="n">
        <f aca="false">('Data BoP'!E15+'Data BoP'!T15)+('Data BoP'!E16+'Data BoP'!T16)+('Data BoP'!E17+'Data BoP'!T17)+('Data BoP'!E18+'Data BoP'!T18)</f>
        <v>5452.18063230954</v>
      </c>
      <c r="F19" s="10" t="n">
        <f aca="false">('Data BoP'!Y15+'Data BoP'!Z15)+('Data BoP'!Y16+'Data BoP'!Z16)+('Data BoP'!Y17+'Data BoP'!Z17)+('Data BoP'!Y18+'Data BoP'!Z18)</f>
        <v>7913.02922642146</v>
      </c>
      <c r="G19" s="10" t="n">
        <f aca="false">('Data BoP'!AD15+'Data BoP'!AE15)+('Data BoP'!AD16+'Data BoP'!AE16)+('Data BoP'!AD17+'Data BoP'!AE17)+('Data BoP'!AD18+'Data BoP'!AE18)</f>
        <v>-5380.54953617679</v>
      </c>
      <c r="H19" s="10" t="n">
        <f aca="false">('Data BoP'!AL15)+('Data BoP'!AL16)+('Data BoP'!AL17)+('Data BoP'!AL18)</f>
        <v>5188.56578797127</v>
      </c>
      <c r="I19" s="15" t="n">
        <f aca="false">('Data BoP'!Y15+'Data BoP'!Z15+'Data BoP'!AD15+'Data BoP'!AE15+'Data BoP'!AL15)+('Data BoP'!Y16+'Data BoP'!Z16+'Data BoP'!AD16+'Data BoP'!AE16+'Data BoP'!AL16)+('Data BoP'!Y17+'Data BoP'!Z17+'Data BoP'!AD17+'Data BoP'!AE17+'Data BoP'!AL17)+('Data BoP'!Y18+'Data BoP'!Z18+'Data BoP'!AD18+'Data BoP'!AE18+'Data BoP'!AL18)</f>
        <v>7721.04547821594</v>
      </c>
      <c r="J19" s="10" t="n">
        <f aca="false">(-('Data BoP'!W15+'Data BoP'!X15))+(-('Data BoP'!W16+'Data BoP'!X16))+(-('Data BoP'!W17+'Data BoP'!X17))+(-('Data BoP'!W18+'Data BoP'!X18))</f>
        <v>-1386.0362779952</v>
      </c>
      <c r="K19" s="10" t="n">
        <f aca="false">(-('Data BoP'!AB15+'Data BoP'!AC15))+(-('Data BoP'!AB16+'Data BoP'!AC16))+(-('Data BoP'!AB17+'Data BoP'!AC17))+(-('Data BoP'!AB18+'Data BoP'!AC18))</f>
        <v>-2290.81870910935</v>
      </c>
      <c r="L19" s="10" t="n">
        <f aca="false">(-'Data BoP'!AH15)+(-'Data BoP'!AH16)+(-'Data BoP'!AH17)+(-'Data BoP'!AH18)</f>
        <v>-11354.3057629063</v>
      </c>
      <c r="M19" s="15" t="n">
        <f aca="false">(-('Data BoP'!W15+'Data BoP'!X15+'Data BoP'!AB15+'Data BoP'!AC15+'Data BoP'!AH15))+(-('Data BoP'!W16+'Data BoP'!X16+'Data BoP'!AB16+'Data BoP'!AC16+'Data BoP'!AH16))+(-('Data BoP'!W17+'Data BoP'!X17+'Data BoP'!AB17+'Data BoP'!AC17+'Data BoP'!AH17))+(-('Data BoP'!W18+'Data BoP'!X18+'Data BoP'!AB18+'Data BoP'!AC18+'Data BoP'!AH18))</f>
        <v>-15031.1607500109</v>
      </c>
      <c r="N19" s="10" t="n">
        <f aca="false">(-'Data BoP'!AF15)+(-'Data BoP'!AF16)+(-'Data BoP'!AF17)+(-'Data BoP'!AF18)</f>
        <v>-946.2</v>
      </c>
      <c r="O19" s="15" t="n">
        <f aca="false">(-('Data BoP'!U15-'Data BoP'!AJ15))+(-('Data BoP'!U16-'Data BoP'!AJ16))+(-('Data BoP'!U17-'Data BoP'!AJ17))+(-('Data BoP'!U18-'Data BoP'!AJ18))</f>
        <v>-8256.31527179493</v>
      </c>
      <c r="P19" s="10" t="n">
        <f aca="false">('Data BoP'!AK15)+('Data BoP'!AK16)+('Data BoP'!AK17)+('Data BoP'!AK18)</f>
        <v>-445.575360514608</v>
      </c>
      <c r="Q19" s="17" t="n">
        <f aca="false">('Data BoP'!AJ15)+('Data BoP'!AJ16)+('Data BoP'!AJ17)+('Data BoP'!AJ18)</f>
        <v>-3249.71</v>
      </c>
    </row>
    <row r="20" customFormat="false" ht="15" hidden="false" customHeight="false" outlineLevel="0" collapsed="false">
      <c r="B20" s="14" t="str">
        <f aca="false">'Data BoP'!B19</f>
        <v>2009-Q2</v>
      </c>
      <c r="C20" s="10" t="n">
        <f aca="false">('Data BoP'!E16)+('Data BoP'!E17)+('Data BoP'!E18)+('Data BoP'!E19)</f>
        <v>9267.24861316452</v>
      </c>
      <c r="D20" s="10" t="n">
        <f aca="false">('Data BoP'!T16)+('Data BoP'!T17)+('Data BoP'!T18)+('Data BoP'!T19)</f>
        <v>149.346168708336</v>
      </c>
      <c r="E20" s="15" t="n">
        <f aca="false">('Data BoP'!E16+'Data BoP'!T16)+('Data BoP'!E17+'Data BoP'!T17)+('Data BoP'!E18+'Data BoP'!T18)+('Data BoP'!E19+'Data BoP'!T19)</f>
        <v>9416.59478187286</v>
      </c>
      <c r="F20" s="10" t="n">
        <f aca="false">('Data BoP'!Y16+'Data BoP'!Z16)+('Data BoP'!Y17+'Data BoP'!Z17)+('Data BoP'!Y18+'Data BoP'!Z18)+('Data BoP'!Y19+'Data BoP'!Z19)</f>
        <v>5994.05000561259</v>
      </c>
      <c r="G20" s="10" t="n">
        <f aca="false">('Data BoP'!AD16+'Data BoP'!AE16)+('Data BoP'!AD17+'Data BoP'!AE17)+('Data BoP'!AD18+'Data BoP'!AE18)+('Data BoP'!AD19+'Data BoP'!AE19)</f>
        <v>-4210.42736149012</v>
      </c>
      <c r="H20" s="10" t="n">
        <f aca="false">('Data BoP'!AL16)+('Data BoP'!AL17)+('Data BoP'!AL18)+('Data BoP'!AL19)</f>
        <v>1843.76574452442</v>
      </c>
      <c r="I20" s="15" t="n">
        <f aca="false">('Data BoP'!Y16+'Data BoP'!Z16+'Data BoP'!AD16+'Data BoP'!AE16+'Data BoP'!AL16)+('Data BoP'!Y17+'Data BoP'!Z17+'Data BoP'!AD17+'Data BoP'!AE17+'Data BoP'!AL17)+('Data BoP'!Y18+'Data BoP'!Z18+'Data BoP'!AD18+'Data BoP'!AE18+'Data BoP'!AL18)+('Data BoP'!Y19+'Data BoP'!Z19+'Data BoP'!AD19+'Data BoP'!AE19+'Data BoP'!AL19)</f>
        <v>3627.38838864689</v>
      </c>
      <c r="J20" s="10" t="n">
        <f aca="false">(-('Data BoP'!W16+'Data BoP'!X16))+(-('Data BoP'!W17+'Data BoP'!X17))+(-('Data BoP'!W18+'Data BoP'!X18))+(-('Data BoP'!W19+'Data BoP'!X19))</f>
        <v>-832.248240162605</v>
      </c>
      <c r="K20" s="10" t="n">
        <f aca="false">(-('Data BoP'!AB16+'Data BoP'!AC16))+(-('Data BoP'!AB17+'Data BoP'!AC17))+(-('Data BoP'!AB18+'Data BoP'!AC18))+(-('Data BoP'!AB19+'Data BoP'!AC19))</f>
        <v>-1287.65096353566</v>
      </c>
      <c r="L20" s="10" t="n">
        <f aca="false">(-'Data BoP'!AH16)+(-'Data BoP'!AH17)+(-'Data BoP'!AH18)+(-'Data BoP'!AH19)</f>
        <v>-10693.9115798446</v>
      </c>
      <c r="M20" s="15" t="n">
        <f aca="false">(-('Data BoP'!W16+'Data BoP'!X16+'Data BoP'!AB16+'Data BoP'!AC16+'Data BoP'!AH16))+(-('Data BoP'!W17+'Data BoP'!X17+'Data BoP'!AB17+'Data BoP'!AC17+'Data BoP'!AH17))+(-('Data BoP'!W18+'Data BoP'!X18+'Data BoP'!AB18+'Data BoP'!AC18+'Data BoP'!AH18))+(-('Data BoP'!W19+'Data BoP'!X19+'Data BoP'!AB19+'Data BoP'!AC19+'Data BoP'!AH19))</f>
        <v>-12813.8107835428</v>
      </c>
      <c r="N20" s="10" t="n">
        <f aca="false">(-'Data BoP'!AF16)+(-'Data BoP'!AF17)+(-'Data BoP'!AF18)+(-'Data BoP'!AF19)</f>
        <v>-889.4</v>
      </c>
      <c r="O20" s="15" t="n">
        <f aca="false">(-('Data BoP'!U16-'Data BoP'!AJ16))+(-('Data BoP'!U17-'Data BoP'!AJ17))+(-('Data BoP'!U18-'Data BoP'!AJ18))+(-('Data BoP'!U19-'Data BoP'!AJ19))</f>
        <v>-10075.8223948959</v>
      </c>
      <c r="P20" s="10" t="n">
        <f aca="false">('Data BoP'!AK16)+('Data BoP'!AK17)+('Data BoP'!AK18)+('Data BoP'!AK19)</f>
        <v>-668.262386976932</v>
      </c>
      <c r="Q20" s="17" t="n">
        <f aca="false">('Data BoP'!AJ16)+('Data BoP'!AJ17)+('Data BoP'!AJ18)+('Data BoP'!AJ19)</f>
        <v>-1327.49000000001</v>
      </c>
    </row>
    <row r="21" customFormat="false" ht="15" hidden="false" customHeight="false" outlineLevel="0" collapsed="false">
      <c r="B21" s="14" t="str">
        <f aca="false">'Data BoP'!B20</f>
        <v>2009-Q3</v>
      </c>
      <c r="C21" s="10" t="n">
        <f aca="false">('Data BoP'!E17)+('Data BoP'!E18)+('Data BoP'!E19)+('Data BoP'!E20)</f>
        <v>6980.05168979425</v>
      </c>
      <c r="D21" s="10" t="n">
        <f aca="false">('Data BoP'!T17)+('Data BoP'!T18)+('Data BoP'!T19)+('Data BoP'!T20)</f>
        <v>80.2629006000013</v>
      </c>
      <c r="E21" s="15" t="n">
        <f aca="false">('Data BoP'!E17+'Data BoP'!T17)+('Data BoP'!E18+'Data BoP'!T18)+('Data BoP'!E19+'Data BoP'!T19)+('Data BoP'!E20+'Data BoP'!T20)</f>
        <v>7060.31459039425</v>
      </c>
      <c r="F21" s="10" t="n">
        <f aca="false">('Data BoP'!Y17+'Data BoP'!Z17)+('Data BoP'!Y18+'Data BoP'!Z18)+('Data BoP'!Y19+'Data BoP'!Z19)+('Data BoP'!Y20+'Data BoP'!Z20)</f>
        <v>4326.30813787356</v>
      </c>
      <c r="G21" s="10" t="n">
        <f aca="false">('Data BoP'!AD17+'Data BoP'!AE17)+('Data BoP'!AD18+'Data BoP'!AE18)+('Data BoP'!AD19+'Data BoP'!AE19)+('Data BoP'!AD20+'Data BoP'!AE20)</f>
        <v>-2656.92128879658</v>
      </c>
      <c r="H21" s="10" t="n">
        <f aca="false">('Data BoP'!AL17)+('Data BoP'!AL18)+('Data BoP'!AL19)+('Data BoP'!AL20)</f>
        <v>1578.73112771548</v>
      </c>
      <c r="I21" s="15" t="n">
        <f aca="false">('Data BoP'!Y17+'Data BoP'!Z17+'Data BoP'!AD17+'Data BoP'!AE17+'Data BoP'!AL17)+('Data BoP'!Y18+'Data BoP'!Z18+'Data BoP'!AD18+'Data BoP'!AE18+'Data BoP'!AL18)+('Data BoP'!Y19+'Data BoP'!Z19+'Data BoP'!AD19+'Data BoP'!AE19+'Data BoP'!AL19)+('Data BoP'!Y20+'Data BoP'!Z20+'Data BoP'!AD20+'Data BoP'!AE20+'Data BoP'!AL20)</f>
        <v>3248.11797679246</v>
      </c>
      <c r="J21" s="10" t="n">
        <f aca="false">(-('Data BoP'!W17+'Data BoP'!X17))+(-('Data BoP'!W18+'Data BoP'!X18))+(-('Data BoP'!W19+'Data BoP'!X19))+(-('Data BoP'!W20+'Data BoP'!X20))</f>
        <v>-687.919920038039</v>
      </c>
      <c r="K21" s="10" t="n">
        <f aca="false">(-('Data BoP'!AB17+'Data BoP'!AC17))+(-('Data BoP'!AB18+'Data BoP'!AC18))+(-('Data BoP'!AB19+'Data BoP'!AC19))+(-('Data BoP'!AB20+'Data BoP'!AC20))</f>
        <v>353.773936464337</v>
      </c>
      <c r="L21" s="10" t="n">
        <f aca="false">(-'Data BoP'!AH17)+(-'Data BoP'!AH18)+(-'Data BoP'!AH19)+(-'Data BoP'!AH20)</f>
        <v>-6252.48870694183</v>
      </c>
      <c r="M21" s="15" t="n">
        <f aca="false">(-('Data BoP'!W17+'Data BoP'!X17+'Data BoP'!AB17+'Data BoP'!AC17+'Data BoP'!AH17))+(-('Data BoP'!W18+'Data BoP'!X18+'Data BoP'!AB18+'Data BoP'!AC18+'Data BoP'!AH18))+(-('Data BoP'!W19+'Data BoP'!X19+'Data BoP'!AB19+'Data BoP'!AC19+'Data BoP'!AH19))+(-('Data BoP'!W20+'Data BoP'!X20+'Data BoP'!AB20+'Data BoP'!AC20+'Data BoP'!AH20))</f>
        <v>-6586.63469051553</v>
      </c>
      <c r="N21" s="10" t="n">
        <f aca="false">(-'Data BoP'!AF17)+(-'Data BoP'!AF18)+(-'Data BoP'!AF19)+(-'Data BoP'!AF20)</f>
        <v>-898</v>
      </c>
      <c r="O21" s="15" t="n">
        <f aca="false">(-('Data BoP'!U17-'Data BoP'!AJ17))+(-('Data BoP'!U18-'Data BoP'!AJ18))+(-('Data BoP'!U19-'Data BoP'!AJ19))+(-('Data BoP'!U20-'Data BoP'!AJ20))</f>
        <v>-4236.51671372307</v>
      </c>
      <c r="P21" s="10" t="n">
        <f aca="false">('Data BoP'!AK17)+('Data BoP'!AK18)+('Data BoP'!AK19)+('Data BoP'!AK20)</f>
        <v>-2290.76787667118</v>
      </c>
      <c r="Q21" s="17" t="n">
        <f aca="false">('Data BoP'!AJ17)+('Data BoP'!AJ18)+('Data BoP'!AJ19)+('Data BoP'!AJ20)</f>
        <v>533.030000000003</v>
      </c>
    </row>
    <row r="22" customFormat="false" ht="15" hidden="false" customHeight="false" outlineLevel="0" collapsed="false">
      <c r="B22" s="14" t="str">
        <f aca="false">'Data BoP'!B21</f>
        <v>2009-Q4</v>
      </c>
      <c r="C22" s="10" t="n">
        <f aca="false">('Data BoP'!E18)+('Data BoP'!E19)+('Data BoP'!E20)+('Data BoP'!E21)</f>
        <v>7254.11568393702</v>
      </c>
      <c r="D22" s="10" t="n">
        <f aca="false">('Data BoP'!T18)+('Data BoP'!T19)+('Data BoP'!T20)+('Data BoP'!T21)</f>
        <v>79.9842279847326</v>
      </c>
      <c r="E22" s="15" t="n">
        <f aca="false">('Data BoP'!E18+'Data BoP'!T18)+('Data BoP'!E19+'Data BoP'!T19)+('Data BoP'!E20+'Data BoP'!T20)+('Data BoP'!E21+'Data BoP'!T21)</f>
        <v>7334.09991192176</v>
      </c>
      <c r="F22" s="10" t="n">
        <f aca="false">('Data BoP'!Y18+'Data BoP'!Z18)+('Data BoP'!Y19+'Data BoP'!Z19)+('Data BoP'!Y20+'Data BoP'!Z20)+('Data BoP'!Y21+'Data BoP'!Z21)</f>
        <v>4017.15892488408</v>
      </c>
      <c r="G22" s="10" t="n">
        <f aca="false">('Data BoP'!AD18+'Data BoP'!AE18)+('Data BoP'!AD19+'Data BoP'!AE19)+('Data BoP'!AD20+'Data BoP'!AE20)+('Data BoP'!AD21+'Data BoP'!AE21)</f>
        <v>-1507.6092223165</v>
      </c>
      <c r="H22" s="10" t="n">
        <f aca="false">('Data BoP'!AL18)+('Data BoP'!AL19)+('Data BoP'!AL20)+('Data BoP'!AL21)</f>
        <v>908.579069619605</v>
      </c>
      <c r="I22" s="15" t="n">
        <f aca="false">('Data BoP'!Y18+'Data BoP'!Z18+'Data BoP'!AD18+'Data BoP'!AE18+'Data BoP'!AL18)+('Data BoP'!Y19+'Data BoP'!Z19+'Data BoP'!AD19+'Data BoP'!AE19+'Data BoP'!AL19)+('Data BoP'!Y20+'Data BoP'!Z20+'Data BoP'!AD20+'Data BoP'!AE20+'Data BoP'!AL20)+('Data BoP'!Y21+'Data BoP'!Z21+'Data BoP'!AD21+'Data BoP'!AE21+'Data BoP'!AL21)</f>
        <v>3418.12877218718</v>
      </c>
      <c r="J22" s="10" t="n">
        <f aca="false">(-('Data BoP'!W18+'Data BoP'!X18))+(-('Data BoP'!W19+'Data BoP'!X19))+(-('Data BoP'!W20+'Data BoP'!X20))+(-('Data BoP'!W21+'Data BoP'!X21))</f>
        <v>-711.54640374567</v>
      </c>
      <c r="K22" s="10" t="n">
        <f aca="false">(-('Data BoP'!AB18+'Data BoP'!AC18))+(-('Data BoP'!AB19+'Data BoP'!AC19))+(-('Data BoP'!AB20+'Data BoP'!AC20))+(-('Data BoP'!AB21+'Data BoP'!AC21))</f>
        <v>-645.533914306097</v>
      </c>
      <c r="L22" s="10" t="n">
        <f aca="false">(-'Data BoP'!AH18)+(-'Data BoP'!AH19)+(-'Data BoP'!AH20)+(-'Data BoP'!AH21)</f>
        <v>-6179.32107148914</v>
      </c>
      <c r="M22" s="15" t="n">
        <f aca="false">(-('Data BoP'!W18+'Data BoP'!X18+'Data BoP'!AB18+'Data BoP'!AC18+'Data BoP'!AH18))+(-('Data BoP'!W19+'Data BoP'!X19+'Data BoP'!AB19+'Data BoP'!AC19+'Data BoP'!AH19))+(-('Data BoP'!W20+'Data BoP'!X20+'Data BoP'!AB20+'Data BoP'!AC20+'Data BoP'!AH20))+(-('Data BoP'!W21+'Data BoP'!X21+'Data BoP'!AB21+'Data BoP'!AC21+'Data BoP'!AH21))</f>
        <v>-7536.4013895409</v>
      </c>
      <c r="N22" s="10" t="n">
        <f aca="false">(-'Data BoP'!AF18)+(-'Data BoP'!AF19)+(-'Data BoP'!AF20)+(-'Data BoP'!AF21)</f>
        <v>-1248.3</v>
      </c>
      <c r="O22" s="15" t="n">
        <f aca="false">(-('Data BoP'!U18-'Data BoP'!AJ18))+(-('Data BoP'!U19-'Data BoP'!AJ19))+(-('Data BoP'!U20-'Data BoP'!AJ20))+(-('Data BoP'!U21-'Data BoP'!AJ21))</f>
        <v>-5366.57261735372</v>
      </c>
      <c r="P22" s="10" t="n">
        <f aca="false">('Data BoP'!AK18)+('Data BoP'!AK19)+('Data BoP'!AK20)+('Data BoP'!AK21)</f>
        <v>-621.317294568036</v>
      </c>
      <c r="Q22" s="17" t="n">
        <f aca="false">('Data BoP'!AJ18)+('Data BoP'!AJ19)+('Data BoP'!AJ20)+('Data BoP'!AJ21)</f>
        <v>1346.21</v>
      </c>
    </row>
    <row r="23" customFormat="false" ht="15" hidden="false" customHeight="false" outlineLevel="0" collapsed="false">
      <c r="B23" s="14" t="str">
        <f aca="false">'Data BoP'!B22</f>
        <v>2010-Q1</v>
      </c>
      <c r="C23" s="10" t="n">
        <f aca="false">('Data BoP'!E19)+('Data BoP'!E20)+('Data BoP'!E21)+('Data BoP'!E22)</f>
        <v>4430.90429249182</v>
      </c>
      <c r="D23" s="10" t="n">
        <f aca="false">('Data BoP'!T19)+('Data BoP'!T20)+('Data BoP'!T21)+('Data BoP'!T22)</f>
        <v>75.1917187004704</v>
      </c>
      <c r="E23" s="15" t="n">
        <f aca="false">('Data BoP'!E19+'Data BoP'!T19)+('Data BoP'!E20+'Data BoP'!T20)+('Data BoP'!E21+'Data BoP'!T21)+('Data BoP'!E22+'Data BoP'!T22)</f>
        <v>4506.09601119229</v>
      </c>
      <c r="F23" s="10" t="n">
        <f aca="false">('Data BoP'!Y19+'Data BoP'!Z19)+('Data BoP'!Y20+'Data BoP'!Z20)+('Data BoP'!Y21+'Data BoP'!Z21)+('Data BoP'!Y22+'Data BoP'!Z22)</f>
        <v>5934.23540344968</v>
      </c>
      <c r="G23" s="10" t="n">
        <f aca="false">('Data BoP'!AD19+'Data BoP'!AE19)+('Data BoP'!AD20+'Data BoP'!AE20)+('Data BoP'!AD21+'Data BoP'!AE21)+('Data BoP'!AD22+'Data BoP'!AE22)</f>
        <v>-1340.84078367664</v>
      </c>
      <c r="H23" s="10" t="n">
        <f aca="false">('Data BoP'!AL19)+('Data BoP'!AL20)+('Data BoP'!AL21)+('Data BoP'!AL22)</f>
        <v>1583.17486283533</v>
      </c>
      <c r="I23" s="15" t="n">
        <f aca="false">('Data BoP'!Y19+'Data BoP'!Z19+'Data BoP'!AD19+'Data BoP'!AE19+'Data BoP'!AL19)+('Data BoP'!Y20+'Data BoP'!Z20+'Data BoP'!AD20+'Data BoP'!AE20+'Data BoP'!AL20)+('Data BoP'!Y21+'Data BoP'!Z21+'Data BoP'!AD21+'Data BoP'!AE21+'Data BoP'!AL21)+('Data BoP'!Y22+'Data BoP'!Z22+'Data BoP'!AD22+'Data BoP'!AE22+'Data BoP'!AL22)</f>
        <v>6176.56948260837</v>
      </c>
      <c r="J23" s="10" t="n">
        <f aca="false">(-('Data BoP'!W19+'Data BoP'!X19))+(-('Data BoP'!W20+'Data BoP'!X20))+(-('Data BoP'!W21+'Data BoP'!X21))+(-('Data BoP'!W22+'Data BoP'!X22))</f>
        <v>-798.628365923868</v>
      </c>
      <c r="K23" s="10" t="n">
        <f aca="false">(-('Data BoP'!AB19+'Data BoP'!AC19))+(-('Data BoP'!AB20+'Data BoP'!AC20))+(-('Data BoP'!AB21+'Data BoP'!AC21))+(-('Data BoP'!AB22+'Data BoP'!AC22))</f>
        <v>225.565545573688</v>
      </c>
      <c r="L23" s="10" t="n">
        <f aca="false">(-'Data BoP'!AH19)+(-'Data BoP'!AH20)+(-'Data BoP'!AH21)+(-'Data BoP'!AH22)</f>
        <v>-7543.21790007681</v>
      </c>
      <c r="M23" s="15" t="n">
        <f aca="false">(-('Data BoP'!W19+'Data BoP'!X19+'Data BoP'!AB19+'Data BoP'!AC19+'Data BoP'!AH19))+(-('Data BoP'!W20+'Data BoP'!X20+'Data BoP'!AB20+'Data BoP'!AC20+'Data BoP'!AH20))+(-('Data BoP'!W21+'Data BoP'!X21+'Data BoP'!AB21+'Data BoP'!AC21+'Data BoP'!AH21))+(-('Data BoP'!W22+'Data BoP'!X22+'Data BoP'!AB22+'Data BoP'!AC22+'Data BoP'!AH22))</f>
        <v>-8116.28072042699</v>
      </c>
      <c r="N23" s="10" t="n">
        <f aca="false">(-'Data BoP'!AF19)+(-'Data BoP'!AF20)+(-'Data BoP'!AF21)+(-'Data BoP'!AF22)</f>
        <v>-1272.6</v>
      </c>
      <c r="O23" s="15" t="n">
        <f aca="false">(-('Data BoP'!U19-'Data BoP'!AJ19))+(-('Data BoP'!U20-'Data BoP'!AJ20))+(-('Data BoP'!U21-'Data BoP'!AJ21))+(-('Data BoP'!U22-'Data BoP'!AJ22))</f>
        <v>-3212.31123781861</v>
      </c>
      <c r="P23" s="10" t="n">
        <f aca="false">('Data BoP'!AK19)+('Data BoP'!AK20)+('Data BoP'!AK21)+('Data BoP'!AK22)</f>
        <v>-518.294773373684</v>
      </c>
      <c r="Q23" s="17" t="n">
        <f aca="false">('Data BoP'!AJ19)+('Data BoP'!AJ20)+('Data BoP'!AJ21)+('Data BoP'!AJ22)</f>
        <v>775.489999999997</v>
      </c>
    </row>
    <row r="24" customFormat="false" ht="15" hidden="false" customHeight="false" outlineLevel="0" collapsed="false">
      <c r="B24" s="14" t="str">
        <f aca="false">'Data BoP'!B23</f>
        <v>2010-Q2</v>
      </c>
      <c r="C24" s="10" t="n">
        <f aca="false">('Data BoP'!E20)+('Data BoP'!E21)+('Data BoP'!E22)+('Data BoP'!E23)</f>
        <v>2234.46267539211</v>
      </c>
      <c r="D24" s="10" t="n">
        <f aca="false">('Data BoP'!T20)+('Data BoP'!T21)+('Data BoP'!T22)+('Data BoP'!T23)</f>
        <v>78.4917187004704</v>
      </c>
      <c r="E24" s="15" t="n">
        <f aca="false">('Data BoP'!E20+'Data BoP'!T20)+('Data BoP'!E21+'Data BoP'!T21)+('Data BoP'!E22+'Data BoP'!T22)+('Data BoP'!E23+'Data BoP'!T23)</f>
        <v>2312.95439409258</v>
      </c>
      <c r="F24" s="10" t="n">
        <f aca="false">('Data BoP'!Y20+'Data BoP'!Z20)+('Data BoP'!Y21+'Data BoP'!Z21)+('Data BoP'!Y22+'Data BoP'!Z22)+('Data BoP'!Y23+'Data BoP'!Z23)</f>
        <v>7491.20086103742</v>
      </c>
      <c r="G24" s="10" t="n">
        <f aca="false">('Data BoP'!AD20+'Data BoP'!AE20)+('Data BoP'!AD21+'Data BoP'!AE21)+('Data BoP'!AD22+'Data BoP'!AE22)+('Data BoP'!AD23+'Data BoP'!AE23)</f>
        <v>-992.772819106055</v>
      </c>
      <c r="H24" s="10" t="n">
        <f aca="false">('Data BoP'!AL20)+('Data BoP'!AL21)+('Data BoP'!AL22)+('Data BoP'!AL23)</f>
        <v>2213.66689468371</v>
      </c>
      <c r="I24" s="15" t="n">
        <f aca="false">('Data BoP'!Y20+'Data BoP'!Z20+'Data BoP'!AD20+'Data BoP'!AE20+'Data BoP'!AL20)+('Data BoP'!Y21+'Data BoP'!Z21+'Data BoP'!AD21+'Data BoP'!AE21+'Data BoP'!AL21)+('Data BoP'!Y22+'Data BoP'!Z22+'Data BoP'!AD22+'Data BoP'!AE22+'Data BoP'!AL22)+('Data BoP'!Y23+'Data BoP'!Z23+'Data BoP'!AD23+'Data BoP'!AE23+'Data BoP'!AL23)</f>
        <v>8712.09493661507</v>
      </c>
      <c r="J24" s="10" t="n">
        <f aca="false">(-('Data BoP'!W20+'Data BoP'!X20))+(-('Data BoP'!W21+'Data BoP'!X21))+(-('Data BoP'!W22+'Data BoP'!X22))+(-('Data BoP'!W23+'Data BoP'!X23))</f>
        <v>-1037.85713607429</v>
      </c>
      <c r="K24" s="10" t="n">
        <f aca="false">(-('Data BoP'!AB20+'Data BoP'!AC20))+(-('Data BoP'!AB21+'Data BoP'!AC21))+(-('Data BoP'!AB22+'Data BoP'!AC22))+(-('Data BoP'!AB23+'Data BoP'!AC23))</f>
        <v>930.47959786558</v>
      </c>
      <c r="L24" s="10" t="n">
        <f aca="false">(-'Data BoP'!AH20)+(-'Data BoP'!AH21)+(-'Data BoP'!AH22)+(-'Data BoP'!AH23)</f>
        <v>-5524.09662780155</v>
      </c>
      <c r="M24" s="15" t="n">
        <f aca="false">(-('Data BoP'!W20+'Data BoP'!X20+'Data BoP'!AB20+'Data BoP'!AC20+'Data BoP'!AH20))+(-('Data BoP'!W21+'Data BoP'!X21+'Data BoP'!AB21+'Data BoP'!AC21+'Data BoP'!AH21))+(-('Data BoP'!W22+'Data BoP'!X22+'Data BoP'!AB22+'Data BoP'!AC22+'Data BoP'!AH22))+(-('Data BoP'!W23+'Data BoP'!X23+'Data BoP'!AB23+'Data BoP'!AC23+'Data BoP'!AH23))</f>
        <v>-5631.47416601026</v>
      </c>
      <c r="N24" s="10" t="n">
        <f aca="false">(-'Data BoP'!AF20)+(-'Data BoP'!AF21)+(-'Data BoP'!AF22)+(-'Data BoP'!AF23)</f>
        <v>-1353.52500203351</v>
      </c>
      <c r="O24" s="15" t="n">
        <f aca="false">(-('Data BoP'!U20-'Data BoP'!AJ20))+(-('Data BoP'!U21-'Data BoP'!AJ21))+(-('Data BoP'!U22-'Data BoP'!AJ22))+(-('Data BoP'!U23-'Data BoP'!AJ23))</f>
        <v>1727.09576857131</v>
      </c>
      <c r="P24" s="10" t="n">
        <f aca="false">('Data BoP'!AK20)+('Data BoP'!AK21)+('Data BoP'!AK22)+('Data BoP'!AK23)</f>
        <v>-461.430162663881</v>
      </c>
      <c r="Q24" s="17" t="n">
        <f aca="false">('Data BoP'!AJ20)+('Data BoP'!AJ21)+('Data BoP'!AJ22)+('Data BoP'!AJ23)</f>
        <v>3578.62</v>
      </c>
    </row>
    <row r="25" customFormat="false" ht="15" hidden="false" customHeight="false" outlineLevel="0" collapsed="false">
      <c r="B25" s="14" t="str">
        <f aca="false">'Data BoP'!B24</f>
        <v>2010-Q3</v>
      </c>
      <c r="C25" s="10" t="n">
        <f aca="false">('Data BoP'!E21)+('Data BoP'!E22)+('Data BoP'!E23)+('Data BoP'!E24)</f>
        <v>1000.50522312814</v>
      </c>
      <c r="D25" s="10" t="n">
        <f aca="false">('Data BoP'!T21)+('Data BoP'!T22)+('Data BoP'!T23)+('Data BoP'!T24)</f>
        <v>78.5099868088055</v>
      </c>
      <c r="E25" s="15" t="n">
        <f aca="false">('Data BoP'!E21+'Data BoP'!T21)+('Data BoP'!E22+'Data BoP'!T22)+('Data BoP'!E23+'Data BoP'!T23)+('Data BoP'!E24+'Data BoP'!T24)</f>
        <v>1079.01520993695</v>
      </c>
      <c r="F25" s="10" t="n">
        <f aca="false">('Data BoP'!Y21+'Data BoP'!Z21)+('Data BoP'!Y22+'Data BoP'!Z22)+('Data BoP'!Y23+'Data BoP'!Z23)+('Data BoP'!Y24+'Data BoP'!Z24)</f>
        <v>9966.6548260506</v>
      </c>
      <c r="G25" s="10" t="n">
        <f aca="false">('Data BoP'!AD21+'Data BoP'!AE21)+('Data BoP'!AD22+'Data BoP'!AE22)+('Data BoP'!AD23+'Data BoP'!AE23)+('Data BoP'!AD24+'Data BoP'!AE24)</f>
        <v>122.383594423034</v>
      </c>
      <c r="H25" s="10" t="n">
        <f aca="false">('Data BoP'!AL21)+('Data BoP'!AL22)+('Data BoP'!AL23)+('Data BoP'!AL24)</f>
        <v>998.847097788921</v>
      </c>
      <c r="I25" s="15" t="n">
        <f aca="false">('Data BoP'!Y21+'Data BoP'!Z21+'Data BoP'!AD21+'Data BoP'!AE21+'Data BoP'!AL21)+('Data BoP'!Y22+'Data BoP'!Z22+'Data BoP'!AD22+'Data BoP'!AE22+'Data BoP'!AL22)+('Data BoP'!Y23+'Data BoP'!Z23+'Data BoP'!AD23+'Data BoP'!AE23+'Data BoP'!AL23)+('Data BoP'!Y24+'Data BoP'!Z24+'Data BoP'!AD24+'Data BoP'!AE24+'Data BoP'!AL24)</f>
        <v>11087.8855182626</v>
      </c>
      <c r="J25" s="10" t="n">
        <f aca="false">(-('Data BoP'!W21+'Data BoP'!X21))+(-('Data BoP'!W22+'Data BoP'!X22))+(-('Data BoP'!W23+'Data BoP'!X23))+(-('Data BoP'!W24+'Data BoP'!X24))</f>
        <v>-937.805259383639</v>
      </c>
      <c r="K25" s="10" t="n">
        <f aca="false">(-('Data BoP'!AB21+'Data BoP'!AC21))+(-('Data BoP'!AB22+'Data BoP'!AC22))+(-('Data BoP'!AB23+'Data BoP'!AC23))+(-('Data BoP'!AB24+'Data BoP'!AC24))</f>
        <v>941.545385806443</v>
      </c>
      <c r="L25" s="10" t="n">
        <f aca="false">(-'Data BoP'!AH21)+(-'Data BoP'!AH22)+(-'Data BoP'!AH23)+(-'Data BoP'!AH24)</f>
        <v>-7989.09789768729</v>
      </c>
      <c r="M25" s="15" t="n">
        <f aca="false">(-('Data BoP'!W21+'Data BoP'!X21+'Data BoP'!AB21+'Data BoP'!AC21+'Data BoP'!AH21))+(-('Data BoP'!W22+'Data BoP'!X22+'Data BoP'!AB22+'Data BoP'!AC22+'Data BoP'!AH22))+(-('Data BoP'!W23+'Data BoP'!X23+'Data BoP'!AB23+'Data BoP'!AC23+'Data BoP'!AH23))+(-('Data BoP'!W24+'Data BoP'!X24+'Data BoP'!AB24+'Data BoP'!AC24+'Data BoP'!AH24))</f>
        <v>-7985.35777126449</v>
      </c>
      <c r="N25" s="10" t="n">
        <f aca="false">(-'Data BoP'!AF21)+(-'Data BoP'!AF22)+(-'Data BoP'!AF23)+(-'Data BoP'!AF24)</f>
        <v>-534.425002033505</v>
      </c>
      <c r="O25" s="15" t="n">
        <f aca="false">(-('Data BoP'!U21-'Data BoP'!AJ21))+(-('Data BoP'!U22-'Data BoP'!AJ22))+(-('Data BoP'!U23-'Data BoP'!AJ23))+(-('Data BoP'!U24-'Data BoP'!AJ24))</f>
        <v>2568.10274496457</v>
      </c>
      <c r="P25" s="10" t="n">
        <f aca="false">('Data BoP'!AK21)+('Data BoP'!AK22)+('Data BoP'!AK23)+('Data BoP'!AK24)</f>
        <v>-600.787954901516</v>
      </c>
      <c r="Q25" s="17" t="n">
        <f aca="false">('Data BoP'!AJ21)+('Data BoP'!AJ22)+('Data BoP'!AJ23)+('Data BoP'!AJ24)</f>
        <v>3046.33</v>
      </c>
    </row>
    <row r="26" customFormat="false" ht="15" hidden="false" customHeight="false" outlineLevel="0" collapsed="false">
      <c r="B26" s="14" t="str">
        <f aca="false">'Data BoP'!B25</f>
        <v>2010-Q4</v>
      </c>
      <c r="C26" s="10" t="n">
        <f aca="false">('Data BoP'!E22)+('Data BoP'!E23)+('Data BoP'!E24)+('Data BoP'!E25)</f>
        <v>-1622.99587125069</v>
      </c>
      <c r="D26" s="10" t="n">
        <f aca="false">('Data BoP'!T22)+('Data BoP'!T23)+('Data BoP'!T24)+('Data BoP'!T25)</f>
        <v>78.4778847367681</v>
      </c>
      <c r="E26" s="15" t="n">
        <f aca="false">('Data BoP'!E22+'Data BoP'!T22)+('Data BoP'!E23+'Data BoP'!T23)+('Data BoP'!E24+'Data BoP'!T24)+('Data BoP'!E25+'Data BoP'!T25)</f>
        <v>-1544.51798651392</v>
      </c>
      <c r="F26" s="10" t="n">
        <f aca="false">('Data BoP'!Y22+'Data BoP'!Z22)+('Data BoP'!Y23+'Data BoP'!Z23)+('Data BoP'!Y24+'Data BoP'!Z24)+('Data BoP'!Y25+'Data BoP'!Z25)</f>
        <v>11332.7186264345</v>
      </c>
      <c r="G26" s="10" t="n">
        <f aca="false">('Data BoP'!AD22+'Data BoP'!AE22)+('Data BoP'!AD23+'Data BoP'!AE23)+('Data BoP'!AD24+'Data BoP'!AE24)+('Data BoP'!AD25+'Data BoP'!AE25)</f>
        <v>2675.78090309035</v>
      </c>
      <c r="H26" s="10" t="n">
        <f aca="false">('Data BoP'!AL22)+('Data BoP'!AL23)+('Data BoP'!AL24)+('Data BoP'!AL25)</f>
        <v>2334.07658845264</v>
      </c>
      <c r="I26" s="15" t="n">
        <f aca="false">('Data BoP'!Y22+'Data BoP'!Z22+'Data BoP'!AD22+'Data BoP'!AE22+'Data BoP'!AL22)+('Data BoP'!Y23+'Data BoP'!Z23+'Data BoP'!AD23+'Data BoP'!AE23+'Data BoP'!AL23)+('Data BoP'!Y24+'Data BoP'!Z24+'Data BoP'!AD24+'Data BoP'!AE24+'Data BoP'!AL24)+('Data BoP'!Y25+'Data BoP'!Z25+'Data BoP'!AD25+'Data BoP'!AE25+'Data BoP'!AL25)</f>
        <v>16342.5761179774</v>
      </c>
      <c r="J26" s="10" t="n">
        <f aca="false">(-('Data BoP'!W22+'Data BoP'!X22))+(-('Data BoP'!W23+'Data BoP'!X23))+(-('Data BoP'!W24+'Data BoP'!X24))+(-('Data BoP'!W25+'Data BoP'!X25))</f>
        <v>-964.760680391808</v>
      </c>
      <c r="K26" s="10" t="n">
        <f aca="false">(-('Data BoP'!AB22+'Data BoP'!AC22))+(-('Data BoP'!AB23+'Data BoP'!AC23))+(-('Data BoP'!AB24+'Data BoP'!AC24))+(-('Data BoP'!AB25+'Data BoP'!AC25))</f>
        <v>586.412713326784</v>
      </c>
      <c r="L26" s="10" t="n">
        <f aca="false">(-'Data BoP'!AH22)+(-'Data BoP'!AH23)+(-'Data BoP'!AH24)+(-'Data BoP'!AH25)</f>
        <v>-8717.03283034228</v>
      </c>
      <c r="M26" s="15" t="n">
        <f aca="false">(-('Data BoP'!W22+'Data BoP'!X22+'Data BoP'!AB22+'Data BoP'!AC22+'Data BoP'!AH22))+(-('Data BoP'!W23+'Data BoP'!X23+'Data BoP'!AB23+'Data BoP'!AC23+'Data BoP'!AH23))+(-('Data BoP'!W24+'Data BoP'!X24+'Data BoP'!AB24+'Data BoP'!AC24+'Data BoP'!AH24))+(-('Data BoP'!W25+'Data BoP'!X25+'Data BoP'!AB25+'Data BoP'!AC25+'Data BoP'!AH25))</f>
        <v>-9095.3807974073</v>
      </c>
      <c r="N26" s="10" t="n">
        <f aca="false">(-'Data BoP'!AF22)+(-'Data BoP'!AF23)+(-'Data BoP'!AF24)+(-'Data BoP'!AF25)</f>
        <v>712.257966854692</v>
      </c>
      <c r="O26" s="15" t="n">
        <f aca="false">(-('Data BoP'!U22-'Data BoP'!AJ22))+(-('Data BoP'!U23-'Data BoP'!AJ23))+(-('Data BoP'!U24-'Data BoP'!AJ24))+(-('Data BoP'!U25-'Data BoP'!AJ25))</f>
        <v>7959.45328742484</v>
      </c>
      <c r="P26" s="10" t="n">
        <f aca="false">('Data BoP'!AK22)+('Data BoP'!AK23)+('Data BoP'!AK24)+('Data BoP'!AK25)</f>
        <v>-2257.58530091092</v>
      </c>
      <c r="Q26" s="17" t="n">
        <f aca="false">('Data BoP'!AJ22)+('Data BoP'!AJ23)+('Data BoP'!AJ24)+('Data BoP'!AJ25)</f>
        <v>4157.35</v>
      </c>
    </row>
    <row r="27" customFormat="false" ht="15" hidden="false" customHeight="false" outlineLevel="0" collapsed="false">
      <c r="B27" s="14" t="str">
        <f aca="false">'Data BoP'!B26</f>
        <v>2011-Q1</v>
      </c>
      <c r="C27" s="10" t="n">
        <f aca="false">('Data BoP'!E23)+('Data BoP'!E24)+('Data BoP'!E25)+('Data BoP'!E26)</f>
        <v>-2232.60379694478</v>
      </c>
      <c r="D27" s="10" t="n">
        <f aca="false">('Data BoP'!T23)+('Data BoP'!T24)+('Data BoP'!T25)+('Data BoP'!T26)</f>
        <v>77.652697247569</v>
      </c>
      <c r="E27" s="15" t="n">
        <f aca="false">('Data BoP'!E23+'Data BoP'!T23)+('Data BoP'!E24+'Data BoP'!T24)+('Data BoP'!E25+'Data BoP'!T25)+('Data BoP'!E26+'Data BoP'!T26)</f>
        <v>-2154.95109969721</v>
      </c>
      <c r="F27" s="10" t="n">
        <f aca="false">('Data BoP'!Y23+'Data BoP'!Z23)+('Data BoP'!Y24+'Data BoP'!Z24)+('Data BoP'!Y25+'Data BoP'!Z25)+('Data BoP'!Y26+'Data BoP'!Z26)</f>
        <v>11388.9159679596</v>
      </c>
      <c r="G27" s="10" t="n">
        <f aca="false">('Data BoP'!AD23+'Data BoP'!AE23)+('Data BoP'!AD24+'Data BoP'!AE24)+('Data BoP'!AD25+'Data BoP'!AE25)+('Data BoP'!AD26+'Data BoP'!AE26)</f>
        <v>3231.88304320114</v>
      </c>
      <c r="H27" s="10" t="n">
        <f aca="false">('Data BoP'!AL23)+('Data BoP'!AL24)+('Data BoP'!AL25)+('Data BoP'!AL26)</f>
        <v>2701.06912782653</v>
      </c>
      <c r="I27" s="15" t="n">
        <f aca="false">('Data BoP'!Y23+'Data BoP'!Z23+'Data BoP'!AD23+'Data BoP'!AE23+'Data BoP'!AL23)+('Data BoP'!Y24+'Data BoP'!Z24+'Data BoP'!AD24+'Data BoP'!AE24+'Data BoP'!AL24)+('Data BoP'!Y25+'Data BoP'!Z25+'Data BoP'!AD25+'Data BoP'!AE25+'Data BoP'!AL25)+('Data BoP'!Y26+'Data BoP'!Z26+'Data BoP'!AD26+'Data BoP'!AE26+'Data BoP'!AL26)</f>
        <v>17321.8681389873</v>
      </c>
      <c r="J27" s="10" t="n">
        <f aca="false">(-('Data BoP'!W23+'Data BoP'!X23))+(-('Data BoP'!W24+'Data BoP'!X24))+(-('Data BoP'!W25+'Data BoP'!X25))+(-('Data BoP'!W26+'Data BoP'!X26))</f>
        <v>-966.573751789991</v>
      </c>
      <c r="K27" s="10" t="n">
        <f aca="false">(-('Data BoP'!AB23+'Data BoP'!AC23))+(-('Data BoP'!AB24+'Data BoP'!AC24))+(-('Data BoP'!AB25+'Data BoP'!AC25))+(-('Data BoP'!AB26+'Data BoP'!AC26))</f>
        <v>514.201590200258</v>
      </c>
      <c r="L27" s="10" t="n">
        <f aca="false">(-'Data BoP'!AH23)+(-'Data BoP'!AH24)+(-'Data BoP'!AH25)+(-'Data BoP'!AH26)</f>
        <v>-10250.7744462308</v>
      </c>
      <c r="M27" s="15" t="n">
        <f aca="false">(-('Data BoP'!W23+'Data BoP'!X23+'Data BoP'!AB23+'Data BoP'!AC23+'Data BoP'!AH23))+(-('Data BoP'!W24+'Data BoP'!X24+'Data BoP'!AB24+'Data BoP'!AC24+'Data BoP'!AH24))+(-('Data BoP'!W25+'Data BoP'!X25+'Data BoP'!AB25+'Data BoP'!AC25+'Data BoP'!AH25))+(-('Data BoP'!W26+'Data BoP'!X26+'Data BoP'!AB26+'Data BoP'!AC26+'Data BoP'!AH26))</f>
        <v>-10703.1466078206</v>
      </c>
      <c r="N27" s="10" t="n">
        <f aca="false">(-'Data BoP'!AF23)+(-'Data BoP'!AF24)+(-'Data BoP'!AF25)+(-'Data BoP'!AF26)</f>
        <v>699.757064648719</v>
      </c>
      <c r="O27" s="15" t="n">
        <f aca="false">(-('Data BoP'!U23-'Data BoP'!AJ23))+(-('Data BoP'!U24-'Data BoP'!AJ24))+(-('Data BoP'!U25-'Data BoP'!AJ25))+(-('Data BoP'!U26-'Data BoP'!AJ26))</f>
        <v>7318.47859581545</v>
      </c>
      <c r="P27" s="10" t="n">
        <f aca="false">('Data BoP'!AK23)+('Data BoP'!AK24)+('Data BoP'!AK25)+('Data BoP'!AK26)</f>
        <v>-1862.06749611823</v>
      </c>
      <c r="Q27" s="17" t="n">
        <f aca="false">('Data BoP'!AJ23)+('Data BoP'!AJ24)+('Data BoP'!AJ25)+('Data BoP'!AJ26)</f>
        <v>3301.46</v>
      </c>
    </row>
    <row r="28" customFormat="false" ht="15" hidden="false" customHeight="false" outlineLevel="0" collapsed="false">
      <c r="B28" s="14" t="str">
        <f aca="false">'Data BoP'!B27</f>
        <v>2011-Q2</v>
      </c>
      <c r="C28" s="10" t="n">
        <f aca="false">('Data BoP'!E24)+('Data BoP'!E25)+('Data BoP'!E26)+('Data BoP'!E27)</f>
        <v>-3824.99904945616</v>
      </c>
      <c r="D28" s="10" t="n">
        <f aca="false">('Data BoP'!T24)+('Data BoP'!T25)+('Data BoP'!T26)+('Data BoP'!T27)</f>
        <v>74.9026972475691</v>
      </c>
      <c r="E28" s="15" t="n">
        <f aca="false">('Data BoP'!E24+'Data BoP'!T24)+('Data BoP'!E25+'Data BoP'!T25)+('Data BoP'!E26+'Data BoP'!T26)+('Data BoP'!E27+'Data BoP'!T27)</f>
        <v>-3750.09635220859</v>
      </c>
      <c r="F28" s="10" t="n">
        <f aca="false">('Data BoP'!Y24+'Data BoP'!Z24)+('Data BoP'!Y25+'Data BoP'!Z25)+('Data BoP'!Y26+'Data BoP'!Z26)+('Data BoP'!Y27+'Data BoP'!Z27)</f>
        <v>10521.6334955912</v>
      </c>
      <c r="G28" s="10" t="n">
        <f aca="false">('Data BoP'!AD24+'Data BoP'!AE24)+('Data BoP'!AD25+'Data BoP'!AE25)+('Data BoP'!AD26+'Data BoP'!AE26)+('Data BoP'!AD27+'Data BoP'!AE27)</f>
        <v>3542.30799165073</v>
      </c>
      <c r="H28" s="10" t="n">
        <f aca="false">('Data BoP'!AL24)+('Data BoP'!AL25)+('Data BoP'!AL26)+('Data BoP'!AL27)</f>
        <v>5801.14975246819</v>
      </c>
      <c r="I28" s="15" t="n">
        <f aca="false">('Data BoP'!Y24+'Data BoP'!Z24+'Data BoP'!AD24+'Data BoP'!AE24+'Data BoP'!AL24)+('Data BoP'!Y25+'Data BoP'!Z25+'Data BoP'!AD25+'Data BoP'!AE25+'Data BoP'!AL25)+('Data BoP'!Y26+'Data BoP'!Z26+'Data BoP'!AD26+'Data BoP'!AE26+'Data BoP'!AL26)+('Data BoP'!Y27+'Data BoP'!Z27+'Data BoP'!AD27+'Data BoP'!AE27+'Data BoP'!AL27)</f>
        <v>19865.0912397101</v>
      </c>
      <c r="J28" s="10" t="n">
        <f aca="false">(-('Data BoP'!W24+'Data BoP'!X24))+(-('Data BoP'!W25+'Data BoP'!X25))+(-('Data BoP'!W26+'Data BoP'!X26))+(-('Data BoP'!W27+'Data BoP'!X27))</f>
        <v>-1366.52211142255</v>
      </c>
      <c r="K28" s="10" t="n">
        <f aca="false">(-('Data BoP'!AB24+'Data BoP'!AC24))+(-('Data BoP'!AB25+'Data BoP'!AC25))+(-('Data BoP'!AB26+'Data BoP'!AC26))+(-('Data BoP'!AB27+'Data BoP'!AC27))</f>
        <v>-793.853162560174</v>
      </c>
      <c r="L28" s="10" t="n">
        <f aca="false">(-'Data BoP'!AH24)+(-'Data BoP'!AH25)+(-'Data BoP'!AH26)+(-'Data BoP'!AH27)</f>
        <v>-12118.0997777403</v>
      </c>
      <c r="M28" s="15" t="n">
        <f aca="false">(-('Data BoP'!W24+'Data BoP'!X24+'Data BoP'!AB24+'Data BoP'!AC24+'Data BoP'!AH24))+(-('Data BoP'!W25+'Data BoP'!X25+'Data BoP'!AB25+'Data BoP'!AC25+'Data BoP'!AH25))+(-('Data BoP'!W26+'Data BoP'!X26+'Data BoP'!AB26+'Data BoP'!AC26+'Data BoP'!AH26))+(-('Data BoP'!W27+'Data BoP'!X27+'Data BoP'!AB27+'Data BoP'!AC27+'Data BoP'!AH27))</f>
        <v>-14278.475051723</v>
      </c>
      <c r="N28" s="10" t="n">
        <f aca="false">(-'Data BoP'!AF24)+(-'Data BoP'!AF25)+(-'Data BoP'!AF26)+(-'Data BoP'!AF27)</f>
        <v>622.525928942246</v>
      </c>
      <c r="O28" s="15" t="n">
        <f aca="false">(-('Data BoP'!U24-'Data BoP'!AJ24))+(-('Data BoP'!U25-'Data BoP'!AJ25))+(-('Data BoP'!U26-'Data BoP'!AJ26))+(-('Data BoP'!U27-'Data BoP'!AJ27))</f>
        <v>6209.14211692937</v>
      </c>
      <c r="P28" s="10" t="n">
        <f aca="false">('Data BoP'!AK24)+('Data BoP'!AK25)+('Data BoP'!AK26)+('Data BoP'!AK27)</f>
        <v>-1036.27576472078</v>
      </c>
      <c r="Q28" s="17" t="n">
        <f aca="false">('Data BoP'!AJ24)+('Data BoP'!AJ25)+('Data BoP'!AJ26)+('Data BoP'!AJ27)</f>
        <v>1422.77</v>
      </c>
    </row>
    <row r="29" customFormat="false" ht="15" hidden="false" customHeight="false" outlineLevel="0" collapsed="false">
      <c r="B29" s="14" t="str">
        <f aca="false">'Data BoP'!B28</f>
        <v>2011-Q3</v>
      </c>
      <c r="C29" s="10" t="n">
        <f aca="false">('Data BoP'!E25)+('Data BoP'!E26)+('Data BoP'!E27)+('Data BoP'!E28)</f>
        <v>-4811.87335454515</v>
      </c>
      <c r="D29" s="10" t="n">
        <f aca="false">('Data BoP'!T25)+('Data BoP'!T26)+('Data BoP'!T27)+('Data BoP'!T28)</f>
        <v>64.789697247569</v>
      </c>
      <c r="E29" s="15" t="n">
        <f aca="false">('Data BoP'!E25+'Data BoP'!T25)+('Data BoP'!E26+'Data BoP'!T26)+('Data BoP'!E27+'Data BoP'!T27)+('Data BoP'!E28+'Data BoP'!T28)</f>
        <v>-4747.08365729758</v>
      </c>
      <c r="F29" s="10" t="n">
        <f aca="false">('Data BoP'!Y25+'Data BoP'!Z25)+('Data BoP'!Y26+'Data BoP'!Z26)+('Data BoP'!Y27+'Data BoP'!Z27)+('Data BoP'!Y28+'Data BoP'!Z28)</f>
        <v>9080.63620347542</v>
      </c>
      <c r="G29" s="10" t="n">
        <f aca="false">('Data BoP'!AD25+'Data BoP'!AE25)+('Data BoP'!AD26+'Data BoP'!AE26)+('Data BoP'!AD27+'Data BoP'!AE27)+('Data BoP'!AD28+'Data BoP'!AE28)</f>
        <v>2999.31818916305</v>
      </c>
      <c r="H29" s="10" t="n">
        <f aca="false">('Data BoP'!AL25)+('Data BoP'!AL26)+('Data BoP'!AL27)+('Data BoP'!AL28)</f>
        <v>9331.86895762501</v>
      </c>
      <c r="I29" s="15" t="n">
        <f aca="false">('Data BoP'!Y25+'Data BoP'!Z25+'Data BoP'!AD25+'Data BoP'!AE25+'Data BoP'!AL25)+('Data BoP'!Y26+'Data BoP'!Z26+'Data BoP'!AD26+'Data BoP'!AE26+'Data BoP'!AL26)+('Data BoP'!Y27+'Data BoP'!Z27+'Data BoP'!AD27+'Data BoP'!AE27+'Data BoP'!AL27)+('Data BoP'!Y28+'Data BoP'!Z28+'Data BoP'!AD28+'Data BoP'!AE28+'Data BoP'!AL28)</f>
        <v>21411.8233502635</v>
      </c>
      <c r="J29" s="10" t="n">
        <f aca="false">(-('Data BoP'!W25+'Data BoP'!X25))+(-('Data BoP'!W26+'Data BoP'!X26))+(-('Data BoP'!W27+'Data BoP'!X27))+(-('Data BoP'!W28+'Data BoP'!X28))</f>
        <v>-1441.38098747991</v>
      </c>
      <c r="K29" s="10" t="n">
        <f aca="false">(-('Data BoP'!AB25+'Data BoP'!AC25))+(-('Data BoP'!AB26+'Data BoP'!AC26))+(-('Data BoP'!AB27+'Data BoP'!AC27))+(-('Data BoP'!AB28+'Data BoP'!AC28))</f>
        <v>-417.216447678177</v>
      </c>
      <c r="L29" s="10" t="n">
        <f aca="false">(-'Data BoP'!AH25)+(-'Data BoP'!AH26)+(-'Data BoP'!AH27)+(-'Data BoP'!AH28)</f>
        <v>-14906.820987504</v>
      </c>
      <c r="M29" s="15" t="n">
        <f aca="false">(-('Data BoP'!W25+'Data BoP'!X25+'Data BoP'!AB25+'Data BoP'!AC25+'Data BoP'!AH25))+(-('Data BoP'!W26+'Data BoP'!X26+'Data BoP'!AB26+'Data BoP'!AC26+'Data BoP'!AH26))+(-('Data BoP'!W27+'Data BoP'!X27+'Data BoP'!AB27+'Data BoP'!AC27+'Data BoP'!AH27))+(-('Data BoP'!W28+'Data BoP'!X28+'Data BoP'!AB28+'Data BoP'!AC28+'Data BoP'!AH28))</f>
        <v>-16765.4184226621</v>
      </c>
      <c r="N29" s="10" t="n">
        <f aca="false">(-'Data BoP'!AF25)+(-'Data BoP'!AF26)+(-'Data BoP'!AF27)+(-'Data BoP'!AF28)</f>
        <v>-209.121228881032</v>
      </c>
      <c r="O29" s="15" t="n">
        <f aca="false">(-('Data BoP'!U25-'Data BoP'!AJ25))+(-('Data BoP'!U26-'Data BoP'!AJ26))+(-('Data BoP'!U27-'Data BoP'!AJ27))+(-('Data BoP'!U28-'Data BoP'!AJ28))</f>
        <v>4437.28369872033</v>
      </c>
      <c r="P29" s="10" t="n">
        <f aca="false">('Data BoP'!AK25)+('Data BoP'!AK26)+('Data BoP'!AK27)+('Data BoP'!AK28)</f>
        <v>-2699.75004142275</v>
      </c>
      <c r="Q29" s="17" t="n">
        <f aca="false">('Data BoP'!AJ25)+('Data BoP'!AJ26)+('Data BoP'!AJ27)+('Data BoP'!AJ28)</f>
        <v>-3009.55</v>
      </c>
    </row>
    <row r="30" customFormat="false" ht="15" hidden="false" customHeight="false" outlineLevel="0" collapsed="false">
      <c r="B30" s="14" t="str">
        <f aca="false">'Data BoP'!B29</f>
        <v>2011-Q4</v>
      </c>
      <c r="C30" s="10" t="n">
        <f aca="false">('Data BoP'!E26)+('Data BoP'!E27)+('Data BoP'!E28)+('Data BoP'!E29)</f>
        <v>-5340.1811923952</v>
      </c>
      <c r="D30" s="10" t="n">
        <f aca="false">('Data BoP'!T26)+('Data BoP'!T27)+('Data BoP'!T28)+('Data BoP'!T29)</f>
        <v>62.723846223565</v>
      </c>
      <c r="E30" s="15" t="n">
        <f aca="false">('Data BoP'!E26+'Data BoP'!T26)+('Data BoP'!E27+'Data BoP'!T27)+('Data BoP'!E28+'Data BoP'!T28)+('Data BoP'!E29+'Data BoP'!T29)</f>
        <v>-5277.45734617164</v>
      </c>
      <c r="F30" s="10" t="n">
        <f aca="false">('Data BoP'!Y26+'Data BoP'!Z26)+('Data BoP'!Y27+'Data BoP'!Z27)+('Data BoP'!Y28+'Data BoP'!Z28)+('Data BoP'!Y29+'Data BoP'!Z29)</f>
        <v>10839.9309446815</v>
      </c>
      <c r="G30" s="10" t="n">
        <f aca="false">('Data BoP'!AD26+'Data BoP'!AE26)+('Data BoP'!AD27+'Data BoP'!AE27)+('Data BoP'!AD28+'Data BoP'!AE28)+('Data BoP'!AD29+'Data BoP'!AE29)</f>
        <v>-248.385758920497</v>
      </c>
      <c r="H30" s="10" t="n">
        <f aca="false">('Data BoP'!AL26)+('Data BoP'!AL27)+('Data BoP'!AL28)+('Data BoP'!AL29)</f>
        <v>11018.7545064352</v>
      </c>
      <c r="I30" s="15" t="n">
        <f aca="false">('Data BoP'!Y26+'Data BoP'!Z26+'Data BoP'!AD26+'Data BoP'!AE26+'Data BoP'!AL26)+('Data BoP'!Y27+'Data BoP'!Z27+'Data BoP'!AD27+'Data BoP'!AE27+'Data BoP'!AL27)+('Data BoP'!Y28+'Data BoP'!Z28+'Data BoP'!AD28+'Data BoP'!AE28+'Data BoP'!AL28)+('Data BoP'!Y29+'Data BoP'!Z29+'Data BoP'!AD29+'Data BoP'!AE29+'Data BoP'!AL29)</f>
        <v>21610.2996921962</v>
      </c>
      <c r="J30" s="10" t="n">
        <f aca="false">(-('Data BoP'!W26+'Data BoP'!X26))+(-('Data BoP'!W27+'Data BoP'!X27))+(-('Data BoP'!W28+'Data BoP'!X28))+(-('Data BoP'!W29+'Data BoP'!X29))</f>
        <v>-1488</v>
      </c>
      <c r="K30" s="10" t="n">
        <f aca="false">(-('Data BoP'!AB26+'Data BoP'!AC26))+(-('Data BoP'!AB27+'Data BoP'!AC27))+(-('Data BoP'!AB28+'Data BoP'!AC28))+(-('Data BoP'!AB29+'Data BoP'!AC29))</f>
        <v>391.619915196837</v>
      </c>
      <c r="L30" s="10" t="n">
        <f aca="false">(-'Data BoP'!AH26)+(-'Data BoP'!AH27)+(-'Data BoP'!AH28)+(-'Data BoP'!AH29)</f>
        <v>-19013.4452318768</v>
      </c>
      <c r="M30" s="15" t="n">
        <f aca="false">(-('Data BoP'!W26+'Data BoP'!X26+'Data BoP'!AB26+'Data BoP'!AC26+'Data BoP'!AH26))+(-('Data BoP'!W27+'Data BoP'!X27+'Data BoP'!AB27+'Data BoP'!AC27+'Data BoP'!AH27))+(-('Data BoP'!W28+'Data BoP'!X28+'Data BoP'!AB28+'Data BoP'!AC28+'Data BoP'!AH28))+(-('Data BoP'!W29+'Data BoP'!X29+'Data BoP'!AB29+'Data BoP'!AC29+'Data BoP'!AH29))</f>
        <v>-20109.82531668</v>
      </c>
      <c r="N30" s="10" t="n">
        <f aca="false">(-'Data BoP'!AF26)+(-'Data BoP'!AF27)+(-'Data BoP'!AF28)+(-'Data BoP'!AF29)</f>
        <v>-2356.18140029374</v>
      </c>
      <c r="O30" s="15" t="n">
        <f aca="false">(-('Data BoP'!U26-'Data BoP'!AJ26))+(-('Data BoP'!U27-'Data BoP'!AJ27))+(-('Data BoP'!U28-'Data BoP'!AJ28))+(-('Data BoP'!U29-'Data BoP'!AJ29))</f>
        <v>-855.707024777471</v>
      </c>
      <c r="P30" s="10" t="n">
        <f aca="false">('Data BoP'!AK26)+('Data BoP'!AK27)+('Data BoP'!AK28)+('Data BoP'!AK29)</f>
        <v>25.2543709491076</v>
      </c>
      <c r="Q30" s="17" t="n">
        <f aca="false">('Data BoP'!AJ26)+('Data BoP'!AJ27)+('Data BoP'!AJ28)+('Data BoP'!AJ29)</f>
        <v>-6107.91</v>
      </c>
    </row>
    <row r="31" customFormat="false" ht="15" hidden="false" customHeight="false" outlineLevel="0" collapsed="false">
      <c r="B31" s="14" t="str">
        <f aca="false">'Data BoP'!B30</f>
        <v>2012-Q1</v>
      </c>
      <c r="C31" s="10" t="n">
        <f aca="false">('Data BoP'!E27)+('Data BoP'!E28)+('Data BoP'!E29)+('Data BoP'!E30)</f>
        <v>-4880.52281235096</v>
      </c>
      <c r="D31" s="10" t="n">
        <f aca="false">('Data BoP'!T27)+('Data BoP'!T28)+('Data BoP'!T29)+('Data BoP'!T30)</f>
        <v>47.123246223565</v>
      </c>
      <c r="E31" s="15" t="n">
        <f aca="false">('Data BoP'!E27+'Data BoP'!T27)+('Data BoP'!E28+'Data BoP'!T28)+('Data BoP'!E29+'Data BoP'!T29)+('Data BoP'!E30+'Data BoP'!T30)</f>
        <v>-4833.3995661274</v>
      </c>
      <c r="F31" s="10" t="n">
        <f aca="false">('Data BoP'!Y27+'Data BoP'!Z27)+('Data BoP'!Y28+'Data BoP'!Z28)+('Data BoP'!Y29+'Data BoP'!Z29)+('Data BoP'!Y30+'Data BoP'!Z30)</f>
        <v>11865.7868942588</v>
      </c>
      <c r="G31" s="10" t="n">
        <f aca="false">('Data BoP'!AD27+'Data BoP'!AE27)+('Data BoP'!AD28+'Data BoP'!AE28)+('Data BoP'!AD29+'Data BoP'!AE29)+('Data BoP'!AD30+'Data BoP'!AE30)</f>
        <v>529.60118347331</v>
      </c>
      <c r="H31" s="10" t="n">
        <f aca="false">('Data BoP'!AL27)+('Data BoP'!AL28)+('Data BoP'!AL29)+('Data BoP'!AL30)</f>
        <v>9216.9174411938</v>
      </c>
      <c r="I31" s="15" t="n">
        <f aca="false">('Data BoP'!Y27+'Data BoP'!Z27+'Data BoP'!AD27+'Data BoP'!AE27+'Data BoP'!AL27)+('Data BoP'!Y28+'Data BoP'!Z28+'Data BoP'!AD28+'Data BoP'!AE28+'Data BoP'!AL28)+('Data BoP'!Y29+'Data BoP'!Z29+'Data BoP'!AD29+'Data BoP'!AE29+'Data BoP'!AL29)+('Data BoP'!Y30+'Data BoP'!Z30+'Data BoP'!AD30+'Data BoP'!AE30+'Data BoP'!AL30)</f>
        <v>21612.3055189259</v>
      </c>
      <c r="J31" s="10" t="n">
        <f aca="false">(-('Data BoP'!W27+'Data BoP'!X27))+(-('Data BoP'!W28+'Data BoP'!X28))+(-('Data BoP'!W29+'Data BoP'!X29))+(-('Data BoP'!W30+'Data BoP'!X30))</f>
        <v>-1574</v>
      </c>
      <c r="K31" s="10" t="n">
        <f aca="false">(-('Data BoP'!AB27+'Data BoP'!AC27))+(-('Data BoP'!AB28+'Data BoP'!AC28))+(-('Data BoP'!AB29+'Data BoP'!AC29))+(-('Data BoP'!AB30+'Data BoP'!AC30))</f>
        <v>824.482656410106</v>
      </c>
      <c r="L31" s="10" t="n">
        <f aca="false">(-'Data BoP'!AH27)+(-'Data BoP'!AH28)+(-'Data BoP'!AH29)+(-'Data BoP'!AH30)</f>
        <v>-17431.3949911023</v>
      </c>
      <c r="M31" s="15" t="n">
        <f aca="false">(-('Data BoP'!W27+'Data BoP'!X27+'Data BoP'!AB27+'Data BoP'!AC27+'Data BoP'!AH27))+(-('Data BoP'!W28+'Data BoP'!X28+'Data BoP'!AB28+'Data BoP'!AC28+'Data BoP'!AH28))+(-('Data BoP'!W29+'Data BoP'!X29+'Data BoP'!AB29+'Data BoP'!AC29+'Data BoP'!AH29))+(-('Data BoP'!W30+'Data BoP'!X30+'Data BoP'!AB30+'Data BoP'!AC30+'Data BoP'!AH30))</f>
        <v>-18180.9123346922</v>
      </c>
      <c r="N31" s="10" t="n">
        <f aca="false">(-'Data BoP'!AF27)+(-'Data BoP'!AF28)+(-'Data BoP'!AF29)+(-'Data BoP'!AF30)</f>
        <v>-2329.33149808777</v>
      </c>
      <c r="O31" s="15" t="n">
        <f aca="false">(-('Data BoP'!U27-'Data BoP'!AJ27))+(-('Data BoP'!U28-'Data BoP'!AJ28))+(-('Data BoP'!U29-'Data BoP'!AJ29))+(-('Data BoP'!U30-'Data BoP'!AJ30))</f>
        <v>1102.061686146</v>
      </c>
      <c r="P31" s="10" t="n">
        <f aca="false">('Data BoP'!AK27)+('Data BoP'!AK28)+('Data BoP'!AK29)+('Data BoP'!AK30)</f>
        <v>-547.282120018608</v>
      </c>
      <c r="Q31" s="17" t="n">
        <f aca="false">('Data BoP'!AJ27)+('Data BoP'!AJ28)+('Data BoP'!AJ29)+('Data BoP'!AJ30)</f>
        <v>-4278.62</v>
      </c>
    </row>
    <row r="32" customFormat="false" ht="15" hidden="false" customHeight="false" outlineLevel="0" collapsed="false">
      <c r="B32" s="14" t="str">
        <f aca="false">'Data BoP'!B31</f>
        <v>2012-Q2</v>
      </c>
      <c r="C32" s="10" t="n">
        <f aca="false">('Data BoP'!E28)+('Data BoP'!E29)+('Data BoP'!E30)+('Data BoP'!E31)</f>
        <v>-4890.6026578976</v>
      </c>
      <c r="D32" s="10" t="n">
        <f aca="false">('Data BoP'!T28)+('Data BoP'!T29)+('Data BoP'!T30)+('Data BoP'!T31)</f>
        <v>68.1635457923845</v>
      </c>
      <c r="E32" s="15" t="n">
        <f aca="false">('Data BoP'!E28+'Data BoP'!T28)+('Data BoP'!E29+'Data BoP'!T29)+('Data BoP'!E30+'Data BoP'!T30)+('Data BoP'!E31+'Data BoP'!T31)</f>
        <v>-4822.43911210522</v>
      </c>
      <c r="F32" s="10" t="n">
        <f aca="false">('Data BoP'!Y28+'Data BoP'!Z28)+('Data BoP'!Y29+'Data BoP'!Z29)+('Data BoP'!Y30+'Data BoP'!Z30)+('Data BoP'!Y31+'Data BoP'!Z31)</f>
        <v>14672.1840607247</v>
      </c>
      <c r="G32" s="10" t="n">
        <f aca="false">('Data BoP'!AD28+'Data BoP'!AE28)+('Data BoP'!AD29+'Data BoP'!AE29)+('Data BoP'!AD30+'Data BoP'!AE30)+('Data BoP'!AD31+'Data BoP'!AE31)</f>
        <v>172.935015264654</v>
      </c>
      <c r="H32" s="10" t="n">
        <f aca="false">('Data BoP'!AL28)+('Data BoP'!AL29)+('Data BoP'!AL30)+('Data BoP'!AL31)</f>
        <v>5867.34643636459</v>
      </c>
      <c r="I32" s="15" t="n">
        <f aca="false">('Data BoP'!Y28+'Data BoP'!Z28+'Data BoP'!AD28+'Data BoP'!AE28+'Data BoP'!AL28)+('Data BoP'!Y29+'Data BoP'!Z29+'Data BoP'!AD29+'Data BoP'!AE29+'Data BoP'!AL29)+('Data BoP'!Y30+'Data BoP'!Z30+'Data BoP'!AD30+'Data BoP'!AE30+'Data BoP'!AL30)+('Data BoP'!Y31+'Data BoP'!Z31+'Data BoP'!AD31+'Data BoP'!AE31+'Data BoP'!AL31)</f>
        <v>20712.465512354</v>
      </c>
      <c r="J32" s="10" t="n">
        <f aca="false">(-('Data BoP'!W28+'Data BoP'!X28))+(-('Data BoP'!W29+'Data BoP'!X29))+(-('Data BoP'!W30+'Data BoP'!X30))+(-('Data BoP'!W31+'Data BoP'!X31))</f>
        <v>-1399.95596358628</v>
      </c>
      <c r="K32" s="10" t="n">
        <f aca="false">(-('Data BoP'!AB28+'Data BoP'!AC28))+(-('Data BoP'!AB29+'Data BoP'!AC29))+(-('Data BoP'!AB30+'Data BoP'!AC30))+(-('Data BoP'!AB31+'Data BoP'!AC31))</f>
        <v>670.489483765562</v>
      </c>
      <c r="L32" s="10" t="n">
        <f aca="false">(-'Data BoP'!AH28)+(-'Data BoP'!AH29)+(-'Data BoP'!AH30)+(-'Data BoP'!AH31)</f>
        <v>-17727.5630068732</v>
      </c>
      <c r="M32" s="15" t="n">
        <f aca="false">(-('Data BoP'!W28+'Data BoP'!X28+'Data BoP'!AB28+'Data BoP'!AC28+'Data BoP'!AH28))+(-('Data BoP'!W29+'Data BoP'!X29+'Data BoP'!AB29+'Data BoP'!AC29+'Data BoP'!AH29))+(-('Data BoP'!W30+'Data BoP'!X30+'Data BoP'!AB30+'Data BoP'!AC30+'Data BoP'!AH30))+(-('Data BoP'!W31+'Data BoP'!X31+'Data BoP'!AB31+'Data BoP'!AC31+'Data BoP'!AH31))</f>
        <v>-18457.0294866939</v>
      </c>
      <c r="N32" s="10" t="n">
        <f aca="false">(-'Data BoP'!AF28)+(-'Data BoP'!AF29)+(-'Data BoP'!AF30)+(-'Data BoP'!AF31)</f>
        <v>-2168.66336034779</v>
      </c>
      <c r="O32" s="15" t="n">
        <f aca="false">(-('Data BoP'!U28-'Data BoP'!AJ28))+(-('Data BoP'!U29-'Data BoP'!AJ29))+(-('Data BoP'!U30-'Data BoP'!AJ30))+(-('Data BoP'!U31-'Data BoP'!AJ31))</f>
        <v>86.7726653122356</v>
      </c>
      <c r="P32" s="10" t="n">
        <f aca="false">('Data BoP'!AK28)+('Data BoP'!AK29)+('Data BoP'!AK30)+('Data BoP'!AK31)</f>
        <v>-467.503553207018</v>
      </c>
      <c r="Q32" s="17" t="n">
        <f aca="false">('Data BoP'!AJ28)+('Data BoP'!AJ29)+('Data BoP'!AJ30)+('Data BoP'!AJ31)</f>
        <v>-5203.17</v>
      </c>
    </row>
    <row r="33" customFormat="false" ht="15" hidden="false" customHeight="false" outlineLevel="0" collapsed="false">
      <c r="B33" s="14" t="str">
        <f aca="false">'Data BoP'!B32</f>
        <v>2012-Q3</v>
      </c>
      <c r="C33" s="10" t="n">
        <f aca="false">('Data BoP'!E29)+('Data BoP'!E30)+('Data BoP'!E31)+('Data BoP'!E32)</f>
        <v>-3308.13538072872</v>
      </c>
      <c r="D33" s="10" t="n">
        <f aca="false">('Data BoP'!T29)+('Data BoP'!T30)+('Data BoP'!T31)+('Data BoP'!T32)</f>
        <v>52.0365457923845</v>
      </c>
      <c r="E33" s="15" t="n">
        <f aca="false">('Data BoP'!E29+'Data BoP'!T29)+('Data BoP'!E30+'Data BoP'!T30)+('Data BoP'!E31+'Data BoP'!T31)+('Data BoP'!E32+'Data BoP'!T32)</f>
        <v>-3256.09883493633</v>
      </c>
      <c r="F33" s="10" t="n">
        <f aca="false">('Data BoP'!Y29+'Data BoP'!Z29)+('Data BoP'!Y30+'Data BoP'!Z30)+('Data BoP'!Y31+'Data BoP'!Z31)+('Data BoP'!Y32+'Data BoP'!Z32)</f>
        <v>16114.3218039106</v>
      </c>
      <c r="G33" s="10" t="n">
        <f aca="false">('Data BoP'!AD29+'Data BoP'!AE29)+('Data BoP'!AD30+'Data BoP'!AE30)+('Data BoP'!AD31+'Data BoP'!AE31)+('Data BoP'!AD32+'Data BoP'!AE32)</f>
        <v>-1287.816131853</v>
      </c>
      <c r="H33" s="10" t="n">
        <f aca="false">('Data BoP'!AL29)+('Data BoP'!AL30)+('Data BoP'!AL31)+('Data BoP'!AL32)</f>
        <v>912.275036086433</v>
      </c>
      <c r="I33" s="15" t="n">
        <f aca="false">('Data BoP'!Y29+'Data BoP'!Z29+'Data BoP'!AD29+'Data BoP'!AE29+'Data BoP'!AL29)+('Data BoP'!Y30+'Data BoP'!Z30+'Data BoP'!AD30+'Data BoP'!AE30+'Data BoP'!AL30)+('Data BoP'!Y31+'Data BoP'!Z31+'Data BoP'!AD31+'Data BoP'!AE31+'Data BoP'!AL31)+('Data BoP'!Y32+'Data BoP'!Z32+'Data BoP'!AD32+'Data BoP'!AE32+'Data BoP'!AL32)</f>
        <v>15738.780708144</v>
      </c>
      <c r="J33" s="10" t="n">
        <f aca="false">(-('Data BoP'!W29+'Data BoP'!X29))+(-('Data BoP'!W30+'Data BoP'!X30))+(-('Data BoP'!W31+'Data BoP'!X31))+(-('Data BoP'!W32+'Data BoP'!X32))</f>
        <v>-1126.28542061131</v>
      </c>
      <c r="K33" s="10" t="n">
        <f aca="false">(-('Data BoP'!AB29+'Data BoP'!AC29))+(-('Data BoP'!AB30+'Data BoP'!AC30))+(-('Data BoP'!AB31+'Data BoP'!AC31))+(-('Data BoP'!AB32+'Data BoP'!AC32))</f>
        <v>587.157714555686</v>
      </c>
      <c r="L33" s="10" t="n">
        <f aca="false">(-'Data BoP'!AH29)+(-'Data BoP'!AH30)+(-'Data BoP'!AH31)+(-'Data BoP'!AH32)</f>
        <v>-14481.7053060355</v>
      </c>
      <c r="M33" s="15" t="n">
        <f aca="false">(-('Data BoP'!W29+'Data BoP'!X29+'Data BoP'!AB29+'Data BoP'!AC29+'Data BoP'!AH29))+(-('Data BoP'!W30+'Data BoP'!X30+'Data BoP'!AB30+'Data BoP'!AC30+'Data BoP'!AH30))+(-('Data BoP'!W31+'Data BoP'!X31+'Data BoP'!AB31+'Data BoP'!AC31+'Data BoP'!AH31))+(-('Data BoP'!W32+'Data BoP'!X32+'Data BoP'!AB32+'Data BoP'!AC32+'Data BoP'!AH32))</f>
        <v>-15020.8330120912</v>
      </c>
      <c r="N33" s="10" t="n">
        <f aca="false">(-'Data BoP'!AF29)+(-'Data BoP'!AF30)+(-'Data BoP'!AF31)+(-'Data BoP'!AF32)</f>
        <v>-2161.74420252451</v>
      </c>
      <c r="O33" s="15" t="n">
        <f aca="false">(-('Data BoP'!U29-'Data BoP'!AJ29))+(-('Data BoP'!U30-'Data BoP'!AJ30))+(-('Data BoP'!U31-'Data BoP'!AJ31))+(-('Data BoP'!U32-'Data BoP'!AJ32))</f>
        <v>-1443.79650647164</v>
      </c>
      <c r="P33" s="10" t="n">
        <f aca="false">('Data BoP'!AK29)+('Data BoP'!AK30)+('Data BoP'!AK31)+('Data BoP'!AK32)</f>
        <v>923.755341407974</v>
      </c>
      <c r="Q33" s="17" t="n">
        <f aca="false">('Data BoP'!AJ29)+('Data BoP'!AJ30)+('Data BoP'!AJ31)+('Data BoP'!AJ32)</f>
        <v>-3776.14</v>
      </c>
    </row>
    <row r="34" customFormat="false" ht="15" hidden="false" customHeight="false" outlineLevel="0" collapsed="false">
      <c r="B34" s="14" t="str">
        <f aca="false">'Data BoP'!B33</f>
        <v>2012-Q4</v>
      </c>
      <c r="C34" s="10" t="n">
        <f aca="false">('Data BoP'!E30)+('Data BoP'!E31)+('Data BoP'!E32)+('Data BoP'!E33)</f>
        <v>-2138.04036043296</v>
      </c>
      <c r="D34" s="10" t="n">
        <f aca="false">('Data BoP'!T30)+('Data BoP'!T31)+('Data BoP'!T32)+('Data BoP'!T33)</f>
        <v>47.8840445688196</v>
      </c>
      <c r="E34" s="15" t="n">
        <f aca="false">('Data BoP'!E30+'Data BoP'!T30)+('Data BoP'!E31+'Data BoP'!T31)+('Data BoP'!E32+'Data BoP'!T32)+('Data BoP'!E33+'Data BoP'!T33)</f>
        <v>-2090.15631586414</v>
      </c>
      <c r="F34" s="10" t="n">
        <f aca="false">('Data BoP'!Y30+'Data BoP'!Z30)+('Data BoP'!Y31+'Data BoP'!Z31)+('Data BoP'!Y32+'Data BoP'!Z32)+('Data BoP'!Y33+'Data BoP'!Z33)</f>
        <v>15323.9339168241</v>
      </c>
      <c r="G34" s="10" t="n">
        <f aca="false">('Data BoP'!AD30+'Data BoP'!AE30)+('Data BoP'!AD31+'Data BoP'!AE31)+('Data BoP'!AD32+'Data BoP'!AE32)+('Data BoP'!AD33+'Data BoP'!AE33)</f>
        <v>115.00658975344</v>
      </c>
      <c r="H34" s="10" t="n">
        <f aca="false">('Data BoP'!AL30)+('Data BoP'!AL31)+('Data BoP'!AL32)+('Data BoP'!AL33)</f>
        <v>-2005.51152768491</v>
      </c>
      <c r="I34" s="15" t="n">
        <f aca="false">('Data BoP'!Y30+'Data BoP'!Z30+'Data BoP'!AD30+'Data BoP'!AE30+'Data BoP'!AL30)+('Data BoP'!Y31+'Data BoP'!Z31+'Data BoP'!AD31+'Data BoP'!AE31+'Data BoP'!AL31)+('Data BoP'!Y32+'Data BoP'!Z32+'Data BoP'!AD32+'Data BoP'!AE32+'Data BoP'!AL32)+('Data BoP'!Y33+'Data BoP'!Z33+'Data BoP'!AD33+'Data BoP'!AE33+'Data BoP'!AL33)</f>
        <v>13433.4289788926</v>
      </c>
      <c r="J34" s="10" t="n">
        <f aca="false">(-('Data BoP'!W30+'Data BoP'!X30))+(-('Data BoP'!W31+'Data BoP'!X31))+(-('Data BoP'!W32+'Data BoP'!X32))+(-('Data BoP'!W33+'Data BoP'!X33))</f>
        <v>-1054.84957805633</v>
      </c>
      <c r="K34" s="10" t="n">
        <f aca="false">(-('Data BoP'!AB30+'Data BoP'!AC30))+(-('Data BoP'!AB31+'Data BoP'!AC31))+(-('Data BoP'!AB32+'Data BoP'!AC32))+(-('Data BoP'!AB33+'Data BoP'!AC33))</f>
        <v>-264.924915325645</v>
      </c>
      <c r="L34" s="10" t="n">
        <f aca="false">(-'Data BoP'!AH30)+(-'Data BoP'!AH31)+(-'Data BoP'!AH32)+(-'Data BoP'!AH33)</f>
        <v>-9722.05740570197</v>
      </c>
      <c r="M34" s="15" t="n">
        <f aca="false">(-('Data BoP'!W30+'Data BoP'!X30+'Data BoP'!AB30+'Data BoP'!AC30+'Data BoP'!AH30))+(-('Data BoP'!W31+'Data BoP'!X31+'Data BoP'!AB31+'Data BoP'!AC31+'Data BoP'!AH31))+(-('Data BoP'!W32+'Data BoP'!X32+'Data BoP'!AB32+'Data BoP'!AC32+'Data BoP'!AH32))+(-('Data BoP'!W33+'Data BoP'!X33+'Data BoP'!AB33+'Data BoP'!AC33+'Data BoP'!AH33))</f>
        <v>-11041.8318990839</v>
      </c>
      <c r="N34" s="10" t="n">
        <f aca="false">(-'Data BoP'!AF30)+(-'Data BoP'!AF31)+(-'Data BoP'!AF32)+(-'Data BoP'!AF33)</f>
        <v>-2908.18146603051</v>
      </c>
      <c r="O34" s="15" t="n">
        <f aca="false">(-('Data BoP'!U30-'Data BoP'!AJ30))+(-('Data BoP'!U31-'Data BoP'!AJ31))+(-('Data BoP'!U32-'Data BoP'!AJ32))+(-('Data BoP'!U33-'Data BoP'!AJ33))</f>
        <v>-516.584386221809</v>
      </c>
      <c r="P34" s="10" t="n">
        <f aca="false">('Data BoP'!AK30)+('Data BoP'!AK31)+('Data BoP'!AK32)+('Data BoP'!AK33)</f>
        <v>-697.979297914052</v>
      </c>
      <c r="Q34" s="17" t="n">
        <f aca="false">('Data BoP'!AJ30)+('Data BoP'!AJ31)+('Data BoP'!AJ32)+('Data BoP'!AJ33)</f>
        <v>-3304.72</v>
      </c>
    </row>
    <row r="35" customFormat="false" ht="15" hidden="false" customHeight="false" outlineLevel="0" collapsed="false">
      <c r="B35" s="14" t="str">
        <f aca="false">'Data BoP'!B34</f>
        <v>2013-Q1</v>
      </c>
      <c r="C35" s="10" t="n">
        <f aca="false">('Data BoP'!E31)+('Data BoP'!E32)+('Data BoP'!E33)+('Data BoP'!E34)</f>
        <v>-4241.39716316543</v>
      </c>
      <c r="D35" s="10" t="n">
        <f aca="false">('Data BoP'!T31)+('Data BoP'!T32)+('Data BoP'!T33)+('Data BoP'!T34)</f>
        <v>48.0498007872574</v>
      </c>
      <c r="E35" s="15" t="n">
        <f aca="false">('Data BoP'!E31+'Data BoP'!T31)+('Data BoP'!E32+'Data BoP'!T32)+('Data BoP'!E33+'Data BoP'!T33)+('Data BoP'!E34+'Data BoP'!T34)</f>
        <v>-4193.34736237817</v>
      </c>
      <c r="F35" s="10" t="n">
        <f aca="false">('Data BoP'!Y31+'Data BoP'!Z31)+('Data BoP'!Y32+'Data BoP'!Z32)+('Data BoP'!Y33+'Data BoP'!Z33)+('Data BoP'!Y34+'Data BoP'!Z34)</f>
        <v>12839.424283177</v>
      </c>
      <c r="G35" s="10" t="n">
        <f aca="false">('Data BoP'!AD31+'Data BoP'!AE31)+('Data BoP'!AD32+'Data BoP'!AE32)+('Data BoP'!AD33+'Data BoP'!AE33)+('Data BoP'!AD34+'Data BoP'!AE34)</f>
        <v>-1160.76689631775</v>
      </c>
      <c r="H35" s="10" t="n">
        <f aca="false">('Data BoP'!AL31)+('Data BoP'!AL32)+('Data BoP'!AL33)+('Data BoP'!AL34)</f>
        <v>-1306.87374356375</v>
      </c>
      <c r="I35" s="15" t="n">
        <f aca="false">('Data BoP'!Y31+'Data BoP'!Z31+'Data BoP'!AD31+'Data BoP'!AE31+'Data BoP'!AL31)+('Data BoP'!Y32+'Data BoP'!Z32+'Data BoP'!AD32+'Data BoP'!AE32+'Data BoP'!AL32)+('Data BoP'!Y33+'Data BoP'!Z33+'Data BoP'!AD33+'Data BoP'!AE33+'Data BoP'!AL33)+('Data BoP'!Y34+'Data BoP'!Z34+'Data BoP'!AD34+'Data BoP'!AE34+'Data BoP'!AL34)</f>
        <v>10371.7836432955</v>
      </c>
      <c r="J35" s="10" t="n">
        <f aca="false">(-('Data BoP'!W31+'Data BoP'!X31))+(-('Data BoP'!W32+'Data BoP'!X32))+(-('Data BoP'!W33+'Data BoP'!X33))+(-('Data BoP'!W34+'Data BoP'!X34))</f>
        <v>-782.457070284071</v>
      </c>
      <c r="K35" s="10" t="n">
        <f aca="false">(-('Data BoP'!AB31+'Data BoP'!AC31))+(-('Data BoP'!AB32+'Data BoP'!AC32))+(-('Data BoP'!AB33+'Data BoP'!AC33))+(-('Data BoP'!AB34+'Data BoP'!AC34))</f>
        <v>-616.880938572032</v>
      </c>
      <c r="L35" s="10" t="n">
        <f aca="false">(-'Data BoP'!AH31)+(-'Data BoP'!AH32)+(-'Data BoP'!AH33)+(-'Data BoP'!AH34)</f>
        <v>-7192.52233975825</v>
      </c>
      <c r="M35" s="15" t="n">
        <f aca="false">(-('Data BoP'!W31+'Data BoP'!X31+'Data BoP'!AB31+'Data BoP'!AC31+'Data BoP'!AH31))+(-('Data BoP'!W32+'Data BoP'!X32+'Data BoP'!AB32+'Data BoP'!AC32+'Data BoP'!AH32))+(-('Data BoP'!W33+'Data BoP'!X33+'Data BoP'!AB33+'Data BoP'!AC33+'Data BoP'!AH33))+(-('Data BoP'!W34+'Data BoP'!X34+'Data BoP'!AB34+'Data BoP'!AC34+'Data BoP'!AH34))</f>
        <v>-8591.86034861436</v>
      </c>
      <c r="N35" s="10" t="n">
        <f aca="false">(-'Data BoP'!AF31)+(-'Data BoP'!AF32)+(-'Data BoP'!AF33)+(-'Data BoP'!AF34)</f>
        <v>-2886.8911890498</v>
      </c>
      <c r="O35" s="15" t="n">
        <f aca="false">(-('Data BoP'!U31-'Data BoP'!AJ31))+(-('Data BoP'!U32-'Data BoP'!AJ32))+(-('Data BoP'!U33-'Data BoP'!AJ33))+(-('Data BoP'!U34-'Data BoP'!AJ34))</f>
        <v>-1106.96789436862</v>
      </c>
      <c r="P35" s="10" t="n">
        <f aca="false">('Data BoP'!AK31)+('Data BoP'!AK32)+('Data BoP'!AK33)+('Data BoP'!AK34)</f>
        <v>-1257.63474325321</v>
      </c>
      <c r="Q35" s="17" t="n">
        <f aca="false">('Data BoP'!AJ31)+('Data BoP'!AJ32)+('Data BoP'!AJ33)+('Data BoP'!AJ34)</f>
        <v>-6557.95</v>
      </c>
    </row>
    <row r="36" customFormat="false" ht="15" hidden="false" customHeight="false" outlineLevel="0" collapsed="false">
      <c r="B36" s="14" t="str">
        <f aca="false">'Data BoP'!B35</f>
        <v>2013-Q2</v>
      </c>
      <c r="C36" s="10" t="n">
        <f aca="false">('Data BoP'!E32)+('Data BoP'!E33)+('Data BoP'!E34)+('Data BoP'!E35)</f>
        <v>-5066.05121453119</v>
      </c>
      <c r="D36" s="10" t="n">
        <f aca="false">('Data BoP'!T32)+('Data BoP'!T33)+('Data BoP'!T34)+('Data BoP'!T35)</f>
        <v>26.1273387184379</v>
      </c>
      <c r="E36" s="15" t="n">
        <f aca="false">('Data BoP'!E32+'Data BoP'!T32)+('Data BoP'!E33+'Data BoP'!T33)+('Data BoP'!E34+'Data BoP'!T34)+('Data BoP'!E35+'Data BoP'!T35)</f>
        <v>-5039.92387581275</v>
      </c>
      <c r="F36" s="10" t="n">
        <f aca="false">('Data BoP'!Y32+'Data BoP'!Z32)+('Data BoP'!Y33+'Data BoP'!Z33)+('Data BoP'!Y34+'Data BoP'!Z34)+('Data BoP'!Y35+'Data BoP'!Z35)</f>
        <v>12249.0200415849</v>
      </c>
      <c r="G36" s="10" t="n">
        <f aca="false">('Data BoP'!AD32+'Data BoP'!AE32)+('Data BoP'!AD33+'Data BoP'!AE33)+('Data BoP'!AD34+'Data BoP'!AE34)+('Data BoP'!AD35+'Data BoP'!AE35)</f>
        <v>-1717.54213443703</v>
      </c>
      <c r="H36" s="10" t="n">
        <f aca="false">('Data BoP'!AL32)+('Data BoP'!AL33)+('Data BoP'!AL34)+('Data BoP'!AL35)</f>
        <v>-2733.37783512983</v>
      </c>
      <c r="I36" s="15" t="n">
        <f aca="false">('Data BoP'!Y32+'Data BoP'!Z32+'Data BoP'!AD32+'Data BoP'!AE32+'Data BoP'!AL32)+('Data BoP'!Y33+'Data BoP'!Z33+'Data BoP'!AD33+'Data BoP'!AE33+'Data BoP'!AL33)+('Data BoP'!Y34+'Data BoP'!Z34+'Data BoP'!AD34+'Data BoP'!AE34+'Data BoP'!AL34)+('Data BoP'!Y35+'Data BoP'!Z35+'Data BoP'!AD35+'Data BoP'!AE35+'Data BoP'!AL35)</f>
        <v>7798.10007201802</v>
      </c>
      <c r="J36" s="10" t="n">
        <f aca="false">(-('Data BoP'!W32+'Data BoP'!X32))+(-('Data BoP'!W33+'Data BoP'!X33))+(-('Data BoP'!W34+'Data BoP'!X34))+(-('Data BoP'!W35+'Data BoP'!X35))</f>
        <v>-883.623685237307</v>
      </c>
      <c r="K36" s="10" t="n">
        <f aca="false">(-('Data BoP'!AB32+'Data BoP'!AC32))+(-('Data BoP'!AB33+'Data BoP'!AC33))+(-('Data BoP'!AB34+'Data BoP'!AC34))+(-('Data BoP'!AB35+'Data BoP'!AC35))</f>
        <v>-579.652498222633</v>
      </c>
      <c r="L36" s="10" t="n">
        <f aca="false">(-'Data BoP'!AH32)+(-'Data BoP'!AH33)+(-'Data BoP'!AH34)+(-'Data BoP'!AH35)</f>
        <v>-5588.44660147018</v>
      </c>
      <c r="M36" s="15" t="n">
        <f aca="false">(-('Data BoP'!W32+'Data BoP'!X32+'Data BoP'!AB32+'Data BoP'!AC32+'Data BoP'!AH32))+(-('Data BoP'!W33+'Data BoP'!X33+'Data BoP'!AB33+'Data BoP'!AC33+'Data BoP'!AH33))+(-('Data BoP'!W34+'Data BoP'!X34+'Data BoP'!AB34+'Data BoP'!AC34+'Data BoP'!AH34))+(-('Data BoP'!W35+'Data BoP'!X35+'Data BoP'!AB35+'Data BoP'!AC35+'Data BoP'!AH35))</f>
        <v>-7051.72278493012</v>
      </c>
      <c r="N36" s="10" t="n">
        <f aca="false">(-'Data BoP'!AF32)+(-'Data BoP'!AF33)+(-'Data BoP'!AF34)+(-'Data BoP'!AF35)</f>
        <v>-2871.88144731723</v>
      </c>
      <c r="O36" s="15" t="n">
        <f aca="false">(-('Data BoP'!U32-'Data BoP'!AJ32))+(-('Data BoP'!U33-'Data BoP'!AJ33))+(-('Data BoP'!U34-'Data BoP'!AJ34))+(-('Data BoP'!U35-'Data BoP'!AJ35))</f>
        <v>-2125.50416022933</v>
      </c>
      <c r="P36" s="10" t="n">
        <f aca="false">('Data BoP'!AK32)+('Data BoP'!AK33)+('Data BoP'!AK34)+('Data BoP'!AK35)</f>
        <v>-1404.38196395792</v>
      </c>
      <c r="Q36" s="17" t="n">
        <f aca="false">('Data BoP'!AJ32)+('Data BoP'!AJ33)+('Data BoP'!AJ34)+('Data BoP'!AJ35)</f>
        <v>-8569.81</v>
      </c>
    </row>
    <row r="37" customFormat="false" ht="15" hidden="false" customHeight="false" outlineLevel="0" collapsed="false">
      <c r="B37" s="14" t="str">
        <f aca="false">'Data BoP'!B36</f>
        <v>2013-Q3</v>
      </c>
      <c r="C37" s="10" t="n">
        <f aca="false">('Data BoP'!E33)+('Data BoP'!E34)+('Data BoP'!E35)+('Data BoP'!E36)</f>
        <v>-8154.51322815173</v>
      </c>
      <c r="D37" s="10" t="n">
        <f aca="false">('Data BoP'!T33)+('Data BoP'!T34)+('Data BoP'!T35)+('Data BoP'!T36)</f>
        <v>30.2776062184379</v>
      </c>
      <c r="E37" s="15" t="n">
        <f aca="false">('Data BoP'!E33+'Data BoP'!T33)+('Data BoP'!E34+'Data BoP'!T34)+('Data BoP'!E35+'Data BoP'!T35)+('Data BoP'!E36+'Data BoP'!T36)</f>
        <v>-8124.23562193329</v>
      </c>
      <c r="F37" s="10" t="n">
        <f aca="false">('Data BoP'!Y33+'Data BoP'!Z33)+('Data BoP'!Y34+'Data BoP'!Z34)+('Data BoP'!Y35+'Data BoP'!Z35)+('Data BoP'!Y36+'Data BoP'!Z36)</f>
        <v>11919.7162583041</v>
      </c>
      <c r="G37" s="10" t="n">
        <f aca="false">('Data BoP'!AD33+'Data BoP'!AE33)+('Data BoP'!AD34+'Data BoP'!AE34)+('Data BoP'!AD35+'Data BoP'!AE35)+('Data BoP'!AD36+'Data BoP'!AE36)</f>
        <v>-404.84260780701</v>
      </c>
      <c r="H37" s="10" t="n">
        <f aca="false">('Data BoP'!AL33)+('Data BoP'!AL34)+('Data BoP'!AL35)+('Data BoP'!AL36)</f>
        <v>-2283.02616437115</v>
      </c>
      <c r="I37" s="15" t="n">
        <f aca="false">('Data BoP'!Y33+'Data BoP'!Z33+'Data BoP'!AD33+'Data BoP'!AE33+'Data BoP'!AL33)+('Data BoP'!Y34+'Data BoP'!Z34+'Data BoP'!AD34+'Data BoP'!AE34+'Data BoP'!AL34)+('Data BoP'!Y35+'Data BoP'!Z35+'Data BoP'!AD35+'Data BoP'!AE35+'Data BoP'!AL35)+('Data BoP'!Y36+'Data BoP'!Z36+'Data BoP'!AD36+'Data BoP'!AE36+'Data BoP'!AL36)</f>
        <v>9231.84748612599</v>
      </c>
      <c r="J37" s="10" t="n">
        <f aca="false">(-('Data BoP'!W33+'Data BoP'!X33))+(-('Data BoP'!W34+'Data BoP'!X34))+(-('Data BoP'!W35+'Data BoP'!X35))+(-('Data BoP'!W36+'Data BoP'!X36))</f>
        <v>-1147.85821598127</v>
      </c>
      <c r="K37" s="10" t="n">
        <f aca="false">(-('Data BoP'!AB33+'Data BoP'!AC33))+(-('Data BoP'!AB34+'Data BoP'!AC34))+(-('Data BoP'!AB35+'Data BoP'!AC35))+(-('Data BoP'!AB36+'Data BoP'!AC36))</f>
        <v>-680.679949774048</v>
      </c>
      <c r="L37" s="10" t="n">
        <f aca="false">(-'Data BoP'!AH33)+(-'Data BoP'!AH34)+(-'Data BoP'!AH35)+(-'Data BoP'!AH36)</f>
        <v>-3820.66306529518</v>
      </c>
      <c r="M37" s="15" t="n">
        <f aca="false">(-('Data BoP'!W33+'Data BoP'!X33+'Data BoP'!AB33+'Data BoP'!AC33+'Data BoP'!AH33))+(-('Data BoP'!W34+'Data BoP'!X34+'Data BoP'!AB34+'Data BoP'!AC34+'Data BoP'!AH34))+(-('Data BoP'!W35+'Data BoP'!X35+'Data BoP'!AB35+'Data BoP'!AC35+'Data BoP'!AH35))+(-('Data BoP'!W36+'Data BoP'!X36+'Data BoP'!AB36+'Data BoP'!AC36+'Data BoP'!AH36))</f>
        <v>-5649.2012310505</v>
      </c>
      <c r="N37" s="10" t="n">
        <f aca="false">(-'Data BoP'!AF33)+(-'Data BoP'!AF34)+(-'Data BoP'!AF35)+(-'Data BoP'!AF36)</f>
        <v>-2847.42700538628</v>
      </c>
      <c r="O37" s="15" t="n">
        <f aca="false">(-('Data BoP'!U33-'Data BoP'!AJ33))+(-('Data BoP'!U34-'Data BoP'!AJ34))+(-('Data BoP'!U35-'Data BoP'!AJ35))+(-('Data BoP'!U36-'Data BoP'!AJ36))</f>
        <v>735.219249689206</v>
      </c>
      <c r="P37" s="10" t="n">
        <f aca="false">('Data BoP'!AK33)+('Data BoP'!AK34)+('Data BoP'!AK35)+('Data BoP'!AK36)</f>
        <v>-2039.20362775592</v>
      </c>
      <c r="Q37" s="17" t="n">
        <f aca="false">('Data BoP'!AJ33)+('Data BoP'!AJ34)+('Data BoP'!AJ35)+('Data BoP'!AJ36)</f>
        <v>-9428.22</v>
      </c>
    </row>
    <row r="38" customFormat="false" ht="15" hidden="false" customHeight="false" outlineLevel="0" collapsed="false">
      <c r="B38" s="14" t="str">
        <f aca="false">'Data BoP'!B37</f>
        <v>2013-Q4</v>
      </c>
      <c r="C38" s="10" t="n">
        <f aca="false">('Data BoP'!E34)+('Data BoP'!E35)+('Data BoP'!E36)+('Data BoP'!E37)</f>
        <v>-13124.3737858633</v>
      </c>
      <c r="D38" s="10" t="n">
        <f aca="false">('Data BoP'!T34)+('Data BoP'!T35)+('Data BoP'!T36)+('Data BoP'!T37)</f>
        <v>33.4128737184379</v>
      </c>
      <c r="E38" s="15" t="n">
        <f aca="false">('Data BoP'!E34+'Data BoP'!T34)+('Data BoP'!E35+'Data BoP'!T35)+('Data BoP'!E36+'Data BoP'!T36)+('Data BoP'!E37+'Data BoP'!T37)</f>
        <v>-13090.9609121449</v>
      </c>
      <c r="F38" s="10" t="n">
        <f aca="false">('Data BoP'!Y34+'Data BoP'!Z34)+('Data BoP'!Y35+'Data BoP'!Z35)+('Data BoP'!Y36+'Data BoP'!Z36)+('Data BoP'!Y37+'Data BoP'!Z37)</f>
        <v>9821.66185815874</v>
      </c>
      <c r="G38" s="10" t="n">
        <f aca="false">('Data BoP'!AD34+'Data BoP'!AE34)+('Data BoP'!AD35+'Data BoP'!AE35)+('Data BoP'!AD36+'Data BoP'!AE36)+('Data BoP'!AD37+'Data BoP'!AE37)</f>
        <v>929.144757587035</v>
      </c>
      <c r="H38" s="10" t="n">
        <f aca="false">('Data BoP'!AL34)+('Data BoP'!AL35)+('Data BoP'!AL36)+('Data BoP'!AL37)</f>
        <v>-1162.86386301375</v>
      </c>
      <c r="I38" s="15" t="n">
        <f aca="false">('Data BoP'!Y34+'Data BoP'!Z34+'Data BoP'!AD34+'Data BoP'!AE34+'Data BoP'!AL34)+('Data BoP'!Y35+'Data BoP'!Z35+'Data BoP'!AD35+'Data BoP'!AE35+'Data BoP'!AL35)+('Data BoP'!Y36+'Data BoP'!Z36+'Data BoP'!AD36+'Data BoP'!AE36+'Data BoP'!AL36)+('Data BoP'!Y37+'Data BoP'!Z37+'Data BoP'!AD37+'Data BoP'!AE37+'Data BoP'!AL37)</f>
        <v>9587.94275273203</v>
      </c>
      <c r="J38" s="10" t="n">
        <f aca="false">(-('Data BoP'!W34+'Data BoP'!X34))+(-('Data BoP'!W35+'Data BoP'!X35))+(-('Data BoP'!W36+'Data BoP'!X36))+(-('Data BoP'!W37+'Data BoP'!X37))</f>
        <v>-889.972858727091</v>
      </c>
      <c r="K38" s="10" t="n">
        <f aca="false">(-('Data BoP'!AB34+'Data BoP'!AC34))+(-('Data BoP'!AB35+'Data BoP'!AC35))+(-('Data BoP'!AB36+'Data BoP'!AC36))+(-('Data BoP'!AB37+'Data BoP'!AC37))</f>
        <v>-496.558837292976</v>
      </c>
      <c r="L38" s="10" t="n">
        <f aca="false">(-'Data BoP'!AH34)+(-'Data BoP'!AH35)+(-'Data BoP'!AH36)+(-'Data BoP'!AH37)</f>
        <v>-3892.65123700272</v>
      </c>
      <c r="M38" s="15" t="n">
        <f aca="false">(-('Data BoP'!W34+'Data BoP'!X34+'Data BoP'!AB34+'Data BoP'!AC34+'Data BoP'!AH34))+(-('Data BoP'!W35+'Data BoP'!X35+'Data BoP'!AB35+'Data BoP'!AC35+'Data BoP'!AH35))+(-('Data BoP'!W36+'Data BoP'!X36+'Data BoP'!AB36+'Data BoP'!AC36+'Data BoP'!AH36))+(-('Data BoP'!W37+'Data BoP'!X37+'Data BoP'!AB37+'Data BoP'!AC37+'Data BoP'!AH37))</f>
        <v>-5279.18293302279</v>
      </c>
      <c r="N38" s="10" t="n">
        <f aca="false">(-'Data BoP'!AF34)+(-'Data BoP'!AF35)+(-'Data BoP'!AF36)+(-'Data BoP'!AF37)</f>
        <v>32.3766715440217</v>
      </c>
      <c r="O38" s="15" t="n">
        <f aca="false">(-('Data BoP'!U34-'Data BoP'!AJ34))+(-('Data BoP'!U35-'Data BoP'!AJ35))+(-('Data BoP'!U36-'Data BoP'!AJ36))+(-('Data BoP'!U37-'Data BoP'!AJ37))</f>
        <v>4341.13649125326</v>
      </c>
      <c r="P38" s="10" t="n">
        <f aca="false">('Data BoP'!AK34)+('Data BoP'!AK35)+('Data BoP'!AK36)+('Data BoP'!AK37)</f>
        <v>-3073.9355791084</v>
      </c>
      <c r="Q38" s="17" t="n">
        <f aca="false">('Data BoP'!AJ34)+('Data BoP'!AJ35)+('Data BoP'!AJ36)+('Data BoP'!AJ37)</f>
        <v>-11823.76</v>
      </c>
    </row>
    <row r="39" customFormat="false" ht="15" hidden="false" customHeight="false" outlineLevel="0" collapsed="false">
      <c r="B39" s="14" t="str">
        <f aca="false">'Data BoP'!B38</f>
        <v>2014-Q1</v>
      </c>
      <c r="C39" s="10" t="n">
        <f aca="false">('Data BoP'!E35)+('Data BoP'!E36)+('Data BoP'!E37)+('Data BoP'!E38)</f>
        <v>-15286.1022551213</v>
      </c>
      <c r="D39" s="10" t="n">
        <f aca="false">('Data BoP'!T35)+('Data BoP'!T36)+('Data BoP'!T37)+('Data BoP'!T38)</f>
        <v>34.1251305</v>
      </c>
      <c r="E39" s="15" t="n">
        <f aca="false">('Data BoP'!E35+'Data BoP'!T35)+('Data BoP'!E36+'Data BoP'!T36)+('Data BoP'!E37+'Data BoP'!T37)+('Data BoP'!E38+'Data BoP'!T38)</f>
        <v>-15251.9771246213</v>
      </c>
      <c r="F39" s="10" t="n">
        <f aca="false">('Data BoP'!Y35+'Data BoP'!Z35)+('Data BoP'!Y36+'Data BoP'!Z36)+('Data BoP'!Y37+'Data BoP'!Z37)+('Data BoP'!Y38+'Data BoP'!Z38)</f>
        <v>8765.06560899974</v>
      </c>
      <c r="G39" s="10" t="n">
        <f aca="false">('Data BoP'!AD35+'Data BoP'!AE35)+('Data BoP'!AD36+'Data BoP'!AE36)+('Data BoP'!AD37+'Data BoP'!AE37)+('Data BoP'!AD38+'Data BoP'!AE38)</f>
        <v>1858.07404292401</v>
      </c>
      <c r="H39" s="10" t="n">
        <f aca="false">('Data BoP'!AL35)+('Data BoP'!AL36)+('Data BoP'!AL37)+('Data BoP'!AL38)</f>
        <v>-2015.50557592938</v>
      </c>
      <c r="I39" s="15" t="n">
        <f aca="false">('Data BoP'!Y35+'Data BoP'!Z35+'Data BoP'!AD35+'Data BoP'!AE35+'Data BoP'!AL35)+('Data BoP'!Y36+'Data BoP'!Z36+'Data BoP'!AD36+'Data BoP'!AE36+'Data BoP'!AL36)+('Data BoP'!Y37+'Data BoP'!Z37+'Data BoP'!AD37+'Data BoP'!AE37+'Data BoP'!AL37)+('Data BoP'!Y38+'Data BoP'!Z38+'Data BoP'!AD38+'Data BoP'!AE38+'Data BoP'!AL38)</f>
        <v>8607.63407599437</v>
      </c>
      <c r="J39" s="10" t="n">
        <f aca="false">(-('Data BoP'!W35+'Data BoP'!X35))+(-('Data BoP'!W36+'Data BoP'!X36))+(-('Data BoP'!W37+'Data BoP'!X37))+(-('Data BoP'!W38+'Data BoP'!X38))</f>
        <v>-1736.12405700682</v>
      </c>
      <c r="K39" s="10" t="n">
        <f aca="false">(-('Data BoP'!AB35+'Data BoP'!AC35))+(-('Data BoP'!AB36+'Data BoP'!AC36))+(-('Data BoP'!AB37+'Data BoP'!AC37))+(-('Data BoP'!AB38+'Data BoP'!AC38))</f>
        <v>-540.207635951164</v>
      </c>
      <c r="L39" s="10" t="n">
        <f aca="false">(-'Data BoP'!AH35)+(-'Data BoP'!AH36)+(-'Data BoP'!AH37)+(-'Data BoP'!AH38)</f>
        <v>-3289.32724145814</v>
      </c>
      <c r="M39" s="15" t="n">
        <f aca="false">(-('Data BoP'!W35+'Data BoP'!X35+'Data BoP'!AB35+'Data BoP'!AC35+'Data BoP'!AH35))+(-('Data BoP'!W36+'Data BoP'!X36+'Data BoP'!AB36+'Data BoP'!AC36+'Data BoP'!AH36))+(-('Data BoP'!W37+'Data BoP'!X37+'Data BoP'!AB37+'Data BoP'!AC37+'Data BoP'!AH37))+(-('Data BoP'!W38+'Data BoP'!X38+'Data BoP'!AB38+'Data BoP'!AC38+'Data BoP'!AH38))</f>
        <v>-5565.65893441613</v>
      </c>
      <c r="N39" s="10" t="n">
        <f aca="false">(-'Data BoP'!AF35)+(-'Data BoP'!AF36)+(-'Data BoP'!AF37)+(-'Data BoP'!AF38)</f>
        <v>-15.6265043098499</v>
      </c>
      <c r="O39" s="15" t="n">
        <f aca="false">(-('Data BoP'!U35-'Data BoP'!AJ35))+(-('Data BoP'!U36-'Data BoP'!AJ36))+(-('Data BoP'!U37-'Data BoP'!AJ37))+(-('Data BoP'!U38-'Data BoP'!AJ38))</f>
        <v>3026.34863726839</v>
      </c>
      <c r="P39" s="10" t="n">
        <f aca="false">('Data BoP'!AK35)+('Data BoP'!AK36)+('Data BoP'!AK37)+('Data BoP'!AK38)</f>
        <v>-747.821512647081</v>
      </c>
      <c r="Q39" s="17" t="n">
        <f aca="false">('Data BoP'!AJ35)+('Data BoP'!AJ36)+('Data BoP'!AJ37)+('Data BoP'!AJ38)</f>
        <v>-12973.45</v>
      </c>
    </row>
    <row r="40" customFormat="false" ht="15" hidden="false" customHeight="false" outlineLevel="0" collapsed="false">
      <c r="B40" s="14" t="str">
        <f aca="false">'Data BoP'!B39</f>
        <v>2014-Q2</v>
      </c>
      <c r="C40" s="10" t="n">
        <f aca="false">('Data BoP'!E36)+('Data BoP'!E37)+('Data BoP'!E38)+('Data BoP'!E39)</f>
        <v>-14314.0207503334</v>
      </c>
      <c r="D40" s="10" t="n">
        <f aca="false">('Data BoP'!T36)+('Data BoP'!T37)+('Data BoP'!T38)+('Data BoP'!T39)</f>
        <v>49.8742995923132</v>
      </c>
      <c r="E40" s="15" t="n">
        <f aca="false">('Data BoP'!E36+'Data BoP'!T36)+('Data BoP'!E37+'Data BoP'!T37)+('Data BoP'!E38+'Data BoP'!T38)+('Data BoP'!E39+'Data BoP'!T39)</f>
        <v>-14264.1464507411</v>
      </c>
      <c r="F40" s="10" t="n">
        <f aca="false">('Data BoP'!Y36+'Data BoP'!Z36)+('Data BoP'!Y37+'Data BoP'!Z37)+('Data BoP'!Y38+'Data BoP'!Z38)+('Data BoP'!Y39+'Data BoP'!Z39)</f>
        <v>4016.7037946944</v>
      </c>
      <c r="G40" s="10" t="n">
        <f aca="false">('Data BoP'!AD36+'Data BoP'!AE36)+('Data BoP'!AD37+'Data BoP'!AE37)+('Data BoP'!AD38+'Data BoP'!AE38)+('Data BoP'!AD39+'Data BoP'!AE39)</f>
        <v>-1718.89397336851</v>
      </c>
      <c r="H40" s="10" t="n">
        <f aca="false">('Data BoP'!AL36)+('Data BoP'!AL37)+('Data BoP'!AL38)+('Data BoP'!AL39)</f>
        <v>9118.17863515831</v>
      </c>
      <c r="I40" s="15" t="n">
        <f aca="false">('Data BoP'!Y36+'Data BoP'!Z36+'Data BoP'!AD36+'Data BoP'!AE36+'Data BoP'!AL36)+('Data BoP'!Y37+'Data BoP'!Z37+'Data BoP'!AD37+'Data BoP'!AE37+'Data BoP'!AL37)+('Data BoP'!Y38+'Data BoP'!Z38+'Data BoP'!AD38+'Data BoP'!AE38+'Data BoP'!AL38)+('Data BoP'!Y39+'Data BoP'!Z39+'Data BoP'!AD39+'Data BoP'!AE39+'Data BoP'!AL39)</f>
        <v>11415.9884564842</v>
      </c>
      <c r="J40" s="10" t="n">
        <f aca="false">(-('Data BoP'!W36+'Data BoP'!X36))+(-('Data BoP'!W37+'Data BoP'!X37))+(-('Data BoP'!W38+'Data BoP'!X38))+(-('Data BoP'!W39+'Data BoP'!X39))</f>
        <v>-1652.04362475962</v>
      </c>
      <c r="K40" s="10" t="n">
        <f aca="false">(-('Data BoP'!AB36+'Data BoP'!AC36))+(-('Data BoP'!AB37+'Data BoP'!AC37))+(-('Data BoP'!AB38+'Data BoP'!AC38))+(-('Data BoP'!AB39+'Data BoP'!AC39))</f>
        <v>-145.175705970814</v>
      </c>
      <c r="L40" s="10" t="n">
        <f aca="false">(-'Data BoP'!AH36)+(-'Data BoP'!AH37)+(-'Data BoP'!AH38)+(-'Data BoP'!AH39)</f>
        <v>-2996.82042588248</v>
      </c>
      <c r="M40" s="15" t="n">
        <f aca="false">(-('Data BoP'!W36+'Data BoP'!X36+'Data BoP'!AB36+'Data BoP'!AC36+'Data BoP'!AH36))+(-('Data BoP'!W37+'Data BoP'!X37+'Data BoP'!AB37+'Data BoP'!AC37+'Data BoP'!AH37))+(-('Data BoP'!W38+'Data BoP'!X38+'Data BoP'!AB38+'Data BoP'!AC38+'Data BoP'!AH38))+(-('Data BoP'!W39+'Data BoP'!X39+'Data BoP'!AB39+'Data BoP'!AC39+'Data BoP'!AH39))</f>
        <v>-4794.03975661291</v>
      </c>
      <c r="N40" s="10" t="n">
        <f aca="false">(-'Data BoP'!AF36)+(-'Data BoP'!AF37)+(-'Data BoP'!AF38)+(-'Data BoP'!AF39)</f>
        <v>133.036659329344</v>
      </c>
      <c r="O40" s="15" t="n">
        <f aca="false">(-('Data BoP'!U36-'Data BoP'!AJ36))+(-('Data BoP'!U37-'Data BoP'!AJ37))+(-('Data BoP'!U38-'Data BoP'!AJ38))+(-('Data BoP'!U39-'Data BoP'!AJ39))</f>
        <v>6754.98535920063</v>
      </c>
      <c r="P40" s="10" t="n">
        <f aca="false">('Data BoP'!AK36)+('Data BoP'!AK37)+('Data BoP'!AK38)+('Data BoP'!AK39)</f>
        <v>-569.588908459519</v>
      </c>
      <c r="Q40" s="17" t="n">
        <f aca="false">('Data BoP'!AJ36)+('Data BoP'!AJ37)+('Data BoP'!AJ38)+('Data BoP'!AJ39)</f>
        <v>-8078.75</v>
      </c>
    </row>
    <row r="41" customFormat="false" ht="15" hidden="false" customHeight="false" outlineLevel="0" collapsed="false">
      <c r="B41" s="14" t="str">
        <f aca="false">'Data BoP'!B40</f>
        <v>2014-Q3</v>
      </c>
      <c r="C41" s="10" t="n">
        <f aca="false">('Data BoP'!E37)+('Data BoP'!E38)+('Data BoP'!E39)+('Data BoP'!E40)</f>
        <v>-13131.7421740108</v>
      </c>
      <c r="D41" s="10" t="n">
        <f aca="false">('Data BoP'!T37)+('Data BoP'!T38)+('Data BoP'!T39)+('Data BoP'!T40)</f>
        <v>56.9268404220388</v>
      </c>
      <c r="E41" s="15" t="n">
        <f aca="false">('Data BoP'!E37+'Data BoP'!T37)+('Data BoP'!E38+'Data BoP'!T38)+('Data BoP'!E39+'Data BoP'!T39)+('Data BoP'!E40+'Data BoP'!T40)</f>
        <v>-13074.8153335888</v>
      </c>
      <c r="F41" s="10" t="n">
        <f aca="false">('Data BoP'!Y37+'Data BoP'!Z37)+('Data BoP'!Y38+'Data BoP'!Z38)+('Data BoP'!Y39+'Data BoP'!Z39)+('Data BoP'!Y40+'Data BoP'!Z40)</f>
        <v>3617.21502441632</v>
      </c>
      <c r="G41" s="10" t="n">
        <f aca="false">('Data BoP'!AD37+'Data BoP'!AE37)+('Data BoP'!AD38+'Data BoP'!AE38)+('Data BoP'!AD39+'Data BoP'!AE39)+('Data BoP'!AD40+'Data BoP'!AE40)</f>
        <v>-854.018306968175</v>
      </c>
      <c r="H41" s="10" t="n">
        <f aca="false">('Data BoP'!AL37)+('Data BoP'!AL38)+('Data BoP'!AL39)+('Data BoP'!AL40)</f>
        <v>7122.63261837529</v>
      </c>
      <c r="I41" s="15" t="n">
        <f aca="false">('Data BoP'!Y37+'Data BoP'!Z37+'Data BoP'!AD37+'Data BoP'!AE37+'Data BoP'!AL37)+('Data BoP'!Y38+'Data BoP'!Z38+'Data BoP'!AD38+'Data BoP'!AE38+'Data BoP'!AL38)+('Data BoP'!Y39+'Data BoP'!Z39+'Data BoP'!AD39+'Data BoP'!AE39+'Data BoP'!AL39)+('Data BoP'!Y40+'Data BoP'!Z40+'Data BoP'!AD40+'Data BoP'!AE40+'Data BoP'!AL40)</f>
        <v>9885.82933582344</v>
      </c>
      <c r="J41" s="10" t="n">
        <f aca="false">(-('Data BoP'!W37+'Data BoP'!X37))+(-('Data BoP'!W38+'Data BoP'!X38))+(-('Data BoP'!W39+'Data BoP'!X39))+(-('Data BoP'!W40+'Data BoP'!X40))</f>
        <v>-1710.1988073728</v>
      </c>
      <c r="K41" s="10" t="n">
        <f aca="false">(-('Data BoP'!AB37+'Data BoP'!AC37))+(-('Data BoP'!AB38+'Data BoP'!AC38))+(-('Data BoP'!AB39+'Data BoP'!AC39))+(-('Data BoP'!AB40+'Data BoP'!AC40))</f>
        <v>-375.237573310483</v>
      </c>
      <c r="L41" s="10" t="n">
        <f aca="false">(-'Data BoP'!AH37)+(-'Data BoP'!AH38)+(-'Data BoP'!AH39)+(-'Data BoP'!AH40)</f>
        <v>-1683.98803778259</v>
      </c>
      <c r="M41" s="15" t="n">
        <f aca="false">(-('Data BoP'!W37+'Data BoP'!X37+'Data BoP'!AB37+'Data BoP'!AC37+'Data BoP'!AH37))+(-('Data BoP'!W38+'Data BoP'!X38+'Data BoP'!AB38+'Data BoP'!AC38+'Data BoP'!AH38))+(-('Data BoP'!W39+'Data BoP'!X39+'Data BoP'!AB39+'Data BoP'!AC39+'Data BoP'!AH39))+(-('Data BoP'!W40+'Data BoP'!X40+'Data BoP'!AB40+'Data BoP'!AC40+'Data BoP'!AH40))</f>
        <v>-3769.42441846588</v>
      </c>
      <c r="N41" s="10" t="n">
        <f aca="false">(-'Data BoP'!AF37)+(-'Data BoP'!AF38)+(-'Data BoP'!AF39)+(-'Data BoP'!AF40)</f>
        <v>169.074239496935</v>
      </c>
      <c r="O41" s="15" t="n">
        <f aca="false">(-('Data BoP'!U37-'Data BoP'!AJ37))+(-('Data BoP'!U38-'Data BoP'!AJ38))+(-('Data BoP'!U39-'Data BoP'!AJ39))+(-('Data BoP'!U40-'Data BoP'!AJ40))</f>
        <v>6285.4791568545</v>
      </c>
      <c r="P41" s="10" t="n">
        <f aca="false">('Data BoP'!AK37)+('Data BoP'!AK38)+('Data BoP'!AK39)+('Data BoP'!AK40)</f>
        <v>312.676176734267</v>
      </c>
      <c r="Q41" s="17" t="n">
        <f aca="false">('Data BoP'!AJ37)+('Data BoP'!AJ38)+('Data BoP'!AJ39)+('Data BoP'!AJ40)</f>
        <v>-6476.66</v>
      </c>
    </row>
    <row r="42" customFormat="false" ht="15" hidden="false" customHeight="false" outlineLevel="0" collapsed="false">
      <c r="B42" s="14" t="str">
        <f aca="false">'Data BoP'!B41</f>
        <v>2014-Q4</v>
      </c>
      <c r="C42" s="10" t="n">
        <f aca="false">('Data BoP'!E38)+('Data BoP'!E39)+('Data BoP'!E40)+('Data BoP'!E41)</f>
        <v>-9179.02626687552</v>
      </c>
      <c r="D42" s="10" t="n">
        <f aca="false">('Data BoP'!T38)+('Data BoP'!T39)+('Data BoP'!T40)+('Data BoP'!T41)</f>
        <v>56.7971051337351</v>
      </c>
      <c r="E42" s="15" t="n">
        <f aca="false">('Data BoP'!E38+'Data BoP'!T38)+('Data BoP'!E39+'Data BoP'!T39)+('Data BoP'!E40+'Data BoP'!T40)+('Data BoP'!E41+'Data BoP'!T41)</f>
        <v>-9122.22916174178</v>
      </c>
      <c r="F42" s="10" t="n">
        <f aca="false">('Data BoP'!Y38+'Data BoP'!Z38)+('Data BoP'!Y39+'Data BoP'!Z39)+('Data BoP'!Y40+'Data BoP'!Z40)+('Data BoP'!Y41+'Data BoP'!Z41)</f>
        <v>5065.33554196486</v>
      </c>
      <c r="G42" s="10" t="n">
        <f aca="false">('Data BoP'!AD38+'Data BoP'!AE38)+('Data BoP'!AD39+'Data BoP'!AE39)+('Data BoP'!AD40+'Data BoP'!AE40)+('Data BoP'!AD41+'Data BoP'!AE41)</f>
        <v>-2364.64258345264</v>
      </c>
      <c r="H42" s="10" t="n">
        <f aca="false">('Data BoP'!AL38)+('Data BoP'!AL39)+('Data BoP'!AL40)+('Data BoP'!AL41)</f>
        <v>10964.2175186329</v>
      </c>
      <c r="I42" s="15" t="n">
        <f aca="false">('Data BoP'!Y38+'Data BoP'!Z38+'Data BoP'!AD38+'Data BoP'!AE38+'Data BoP'!AL38)+('Data BoP'!Y39+'Data BoP'!Z39+'Data BoP'!AD39+'Data BoP'!AE39+'Data BoP'!AL39)+('Data BoP'!Y40+'Data BoP'!Z40+'Data BoP'!AD40+'Data BoP'!AE40+'Data BoP'!AL40)+('Data BoP'!Y41+'Data BoP'!Z41+'Data BoP'!AD41+'Data BoP'!AE41+'Data BoP'!AL41)</f>
        <v>13664.9104771451</v>
      </c>
      <c r="J42" s="10" t="n">
        <f aca="false">(-('Data BoP'!W38+'Data BoP'!X38))+(-('Data BoP'!W39+'Data BoP'!X39))+(-('Data BoP'!W40+'Data BoP'!X40))+(-('Data BoP'!W41+'Data BoP'!X41))</f>
        <v>-1920.54143310505</v>
      </c>
      <c r="K42" s="10" t="n">
        <f aca="false">(-('Data BoP'!AB38+'Data BoP'!AC38))+(-('Data BoP'!AB39+'Data BoP'!AC39))+(-('Data BoP'!AB40+'Data BoP'!AC40))+(-('Data BoP'!AB41+'Data BoP'!AC41))</f>
        <v>25.2121903508553</v>
      </c>
      <c r="L42" s="10" t="n">
        <f aca="false">(-'Data BoP'!AH38)+(-'Data BoP'!AH39)+(-'Data BoP'!AH40)+(-'Data BoP'!AH41)</f>
        <v>-1422.0058305299</v>
      </c>
      <c r="M42" s="15" t="n">
        <f aca="false">(-('Data BoP'!W38+'Data BoP'!X38+'Data BoP'!AB38+'Data BoP'!AC38+'Data BoP'!AH38))+(-('Data BoP'!W39+'Data BoP'!X39+'Data BoP'!AB39+'Data BoP'!AC39+'Data BoP'!AH39))+(-('Data BoP'!W40+'Data BoP'!X40+'Data BoP'!AB40+'Data BoP'!AC40+'Data BoP'!AH40))+(-('Data BoP'!W41+'Data BoP'!X41+'Data BoP'!AB41+'Data BoP'!AC41+'Data BoP'!AH41))</f>
        <v>-3317.3350732841</v>
      </c>
      <c r="N42" s="10" t="n">
        <f aca="false">(-'Data BoP'!AF38)+(-'Data BoP'!AF39)+(-'Data BoP'!AF40)+(-'Data BoP'!AF41)</f>
        <v>168.206900762195</v>
      </c>
      <c r="O42" s="15" t="n">
        <f aca="false">(-('Data BoP'!U38-'Data BoP'!AJ38))+(-('Data BoP'!U39-'Data BoP'!AJ39))+(-('Data BoP'!U40-'Data BoP'!AJ40))+(-('Data BoP'!U41-'Data BoP'!AJ41))</f>
        <v>10515.7823046232</v>
      </c>
      <c r="P42" s="10" t="n">
        <f aca="false">('Data BoP'!AK38)+('Data BoP'!AK39)+('Data BoP'!AK40)+('Data BoP'!AK41)</f>
        <v>-198.443142881411</v>
      </c>
      <c r="Q42" s="17" t="n">
        <f aca="false">('Data BoP'!AJ38)+('Data BoP'!AJ39)+('Data BoP'!AJ40)+('Data BoP'!AJ41)</f>
        <v>1195.11</v>
      </c>
    </row>
    <row r="43" customFormat="false" ht="15" hidden="false" customHeight="false" outlineLevel="0" collapsed="false">
      <c r="B43" s="14" t="str">
        <f aca="false">'Data BoP'!B42</f>
        <v>2015-Q1</v>
      </c>
      <c r="C43" s="10" t="n">
        <f aca="false">('Data BoP'!E39)+('Data BoP'!E40)+('Data BoP'!E41)+('Data BoP'!E42)</f>
        <v>-8675.33334401603</v>
      </c>
      <c r="D43" s="10" t="n">
        <f aca="false">('Data BoP'!T39)+('Data BoP'!T40)+('Data BoP'!T41)+('Data BoP'!T42)</f>
        <v>64.6218621337351</v>
      </c>
      <c r="E43" s="15" t="n">
        <f aca="false">('Data BoP'!E39+'Data BoP'!T39)+('Data BoP'!E40+'Data BoP'!T40)+('Data BoP'!E41+'Data BoP'!T41)+('Data BoP'!E42+'Data BoP'!T42)</f>
        <v>-8610.7114818823</v>
      </c>
      <c r="F43" s="10" t="n">
        <f aca="false">('Data BoP'!Y39+'Data BoP'!Z39)+('Data BoP'!Y40+'Data BoP'!Z40)+('Data BoP'!Y41+'Data BoP'!Z41)+('Data BoP'!Y42+'Data BoP'!Z42)</f>
        <v>7451.12018745856</v>
      </c>
      <c r="G43" s="10" t="n">
        <f aca="false">('Data BoP'!AD39+'Data BoP'!AE39)+('Data BoP'!AD40+'Data BoP'!AE40)+('Data BoP'!AD41+'Data BoP'!AE41)+('Data BoP'!AD42+'Data BoP'!AE42)</f>
        <v>-2365.79401810591</v>
      </c>
      <c r="H43" s="10" t="n">
        <f aca="false">('Data BoP'!AL39)+('Data BoP'!AL40)+('Data BoP'!AL41)+('Data BoP'!AL42)</f>
        <v>14855.7032374937</v>
      </c>
      <c r="I43" s="15" t="n">
        <f aca="false">('Data BoP'!Y39+'Data BoP'!Z39+'Data BoP'!AD39+'Data BoP'!AE39+'Data BoP'!AL39)+('Data BoP'!Y40+'Data BoP'!Z40+'Data BoP'!AD40+'Data BoP'!AE40+'Data BoP'!AL40)+('Data BoP'!Y41+'Data BoP'!Z41+'Data BoP'!AD41+'Data BoP'!AE41+'Data BoP'!AL41)+('Data BoP'!Y42+'Data BoP'!Z42+'Data BoP'!AD42+'Data BoP'!AE42+'Data BoP'!AL42)</f>
        <v>19941.0294068464</v>
      </c>
      <c r="J43" s="10" t="n">
        <f aca="false">(-('Data BoP'!W39+'Data BoP'!X39))+(-('Data BoP'!W40+'Data BoP'!X40))+(-('Data BoP'!W41+'Data BoP'!X41))+(-('Data BoP'!W42+'Data BoP'!X42))</f>
        <v>-1071.83938080122</v>
      </c>
      <c r="K43" s="10" t="n">
        <f aca="false">(-('Data BoP'!AB39+'Data BoP'!AC39))+(-('Data BoP'!AB40+'Data BoP'!AC40))+(-('Data BoP'!AB41+'Data BoP'!AC41))+(-('Data BoP'!AB42+'Data BoP'!AC42))</f>
        <v>47.2918995908482</v>
      </c>
      <c r="L43" s="10" t="n">
        <f aca="false">(-'Data BoP'!AH39)+(-'Data BoP'!AH40)+(-'Data BoP'!AH41)+(-'Data BoP'!AH42)</f>
        <v>-3435.55913426626</v>
      </c>
      <c r="M43" s="15" t="n">
        <f aca="false">(-('Data BoP'!W39+'Data BoP'!X39+'Data BoP'!AB39+'Data BoP'!AC39+'Data BoP'!AH39))+(-('Data BoP'!W40+'Data BoP'!X40+'Data BoP'!AB40+'Data BoP'!AC40+'Data BoP'!AH40))+(-('Data BoP'!W41+'Data BoP'!X41+'Data BoP'!AB41+'Data BoP'!AC41+'Data BoP'!AH41))+(-('Data BoP'!W42+'Data BoP'!X42+'Data BoP'!AB42+'Data BoP'!AC42+'Data BoP'!AH42))</f>
        <v>-4460.10661547664</v>
      </c>
      <c r="N43" s="10" t="n">
        <f aca="false">(-'Data BoP'!AF39)+(-'Data BoP'!AF40)+(-'Data BoP'!AF41)+(-'Data BoP'!AF42)</f>
        <v>216.220389850576</v>
      </c>
      <c r="O43" s="15" t="n">
        <f aca="false">(-('Data BoP'!U39-'Data BoP'!AJ39))+(-('Data BoP'!U40-'Data BoP'!AJ40))+(-('Data BoP'!U41-'Data BoP'!AJ41))+(-('Data BoP'!U42-'Data BoP'!AJ42))</f>
        <v>15697.1431812203</v>
      </c>
      <c r="P43" s="10" t="n">
        <f aca="false">('Data BoP'!AK39)+('Data BoP'!AK40)+('Data BoP'!AK41)+('Data BoP'!AK42)</f>
        <v>-1819.10169933804</v>
      </c>
      <c r="Q43" s="17" t="n">
        <f aca="false">('Data BoP'!AJ39)+('Data BoP'!AJ40)+('Data BoP'!AJ41)+('Data BoP'!AJ42)</f>
        <v>5267.33</v>
      </c>
    </row>
    <row r="44" customFormat="false" ht="15" hidden="false" customHeight="false" outlineLevel="0" collapsed="false">
      <c r="B44" s="14" t="str">
        <f aca="false">'Data BoP'!B43</f>
        <v>2015-Q2</v>
      </c>
      <c r="C44" s="10" t="n">
        <f aca="false">('Data BoP'!E40)+('Data BoP'!E41)+('Data BoP'!E42)+('Data BoP'!E43)</f>
        <v>-11790.730681041</v>
      </c>
      <c r="D44" s="10" t="n">
        <f aca="false">('Data BoP'!T40)+('Data BoP'!T41)+('Data BoP'!T42)+('Data BoP'!T43)</f>
        <v>51.315273730318</v>
      </c>
      <c r="E44" s="15" t="n">
        <f aca="false">('Data BoP'!E40+'Data BoP'!T40)+('Data BoP'!E41+'Data BoP'!T41)+('Data BoP'!E42+'Data BoP'!T42)+('Data BoP'!E43+'Data BoP'!T43)</f>
        <v>-11739.4154073107</v>
      </c>
      <c r="F44" s="10" t="n">
        <f aca="false">('Data BoP'!Y40+'Data BoP'!Z40)+('Data BoP'!Y41+'Data BoP'!Z41)+('Data BoP'!Y42+'Data BoP'!Z42)+('Data BoP'!Y43+'Data BoP'!Z43)</f>
        <v>12308.8274447316</v>
      </c>
      <c r="G44" s="10" t="n">
        <f aca="false">('Data BoP'!AD40+'Data BoP'!AE40)+('Data BoP'!AD41+'Data BoP'!AE41)+('Data BoP'!AD42+'Data BoP'!AE42)+('Data BoP'!AD43+'Data BoP'!AE43)</f>
        <v>3141.93188195065</v>
      </c>
      <c r="H44" s="10" t="n">
        <f aca="false">('Data BoP'!AL40)+('Data BoP'!AL41)+('Data BoP'!AL42)+('Data BoP'!AL43)</f>
        <v>7916.94564756826</v>
      </c>
      <c r="I44" s="15" t="n">
        <f aca="false">('Data BoP'!Y40+'Data BoP'!Z40+'Data BoP'!AD40+'Data BoP'!AE40+'Data BoP'!AL40)+('Data BoP'!Y41+'Data BoP'!Z41+'Data BoP'!AD41+'Data BoP'!AE41+'Data BoP'!AL41)+('Data BoP'!Y42+'Data BoP'!Z42+'Data BoP'!AD42+'Data BoP'!AE42+'Data BoP'!AL42)+('Data BoP'!Y43+'Data BoP'!Z43+'Data BoP'!AD43+'Data BoP'!AE43+'Data BoP'!AL43)</f>
        <v>23367.7049742505</v>
      </c>
      <c r="J44" s="10" t="n">
        <f aca="false">(-('Data BoP'!W40+'Data BoP'!X40))+(-('Data BoP'!W41+'Data BoP'!X41))+(-('Data BoP'!W42+'Data BoP'!X42))+(-('Data BoP'!W43+'Data BoP'!X43))</f>
        <v>-1010.3011711436</v>
      </c>
      <c r="K44" s="10" t="n">
        <f aca="false">(-('Data BoP'!AB40+'Data BoP'!AC40))+(-('Data BoP'!AB41+'Data BoP'!AC41))+(-('Data BoP'!AB42+'Data BoP'!AC42))+(-('Data BoP'!AB43+'Data BoP'!AC43))</f>
        <v>-24.7970357161323</v>
      </c>
      <c r="L44" s="10" t="n">
        <f aca="false">(-'Data BoP'!AH40)+(-'Data BoP'!AH41)+(-'Data BoP'!AH42)+(-'Data BoP'!AH43)</f>
        <v>-3648.35396450274</v>
      </c>
      <c r="M44" s="15" t="n">
        <f aca="false">(-('Data BoP'!W40+'Data BoP'!X40+'Data BoP'!AB40+'Data BoP'!AC40+'Data BoP'!AH40))+(-('Data BoP'!W41+'Data BoP'!X41+'Data BoP'!AB41+'Data BoP'!AC41+'Data BoP'!AH41))+(-('Data BoP'!W42+'Data BoP'!X42+'Data BoP'!AB42+'Data BoP'!AC42+'Data BoP'!AH42))+(-('Data BoP'!W43+'Data BoP'!X43+'Data BoP'!AB43+'Data BoP'!AC43+'Data BoP'!AH43))</f>
        <v>-4683.45217136248</v>
      </c>
      <c r="N44" s="10" t="n">
        <f aca="false">(-'Data BoP'!AF40)+(-'Data BoP'!AF41)+(-'Data BoP'!AF42)+(-'Data BoP'!AF43)</f>
        <v>58.5533250226557</v>
      </c>
      <c r="O44" s="15" t="n">
        <f aca="false">(-('Data BoP'!U40-'Data BoP'!AJ40))+(-('Data BoP'!U41-'Data BoP'!AJ41))+(-('Data BoP'!U42-'Data BoP'!AJ42))+(-('Data BoP'!U43-'Data BoP'!AJ43))</f>
        <v>18742.8061279107</v>
      </c>
      <c r="P44" s="10" t="n">
        <f aca="false">('Data BoP'!AK40)+('Data BoP'!AK41)+('Data BoP'!AK42)+('Data BoP'!AK43)</f>
        <v>-1619.98072060006</v>
      </c>
      <c r="Q44" s="17" t="n">
        <f aca="false">('Data BoP'!AJ40)+('Data BoP'!AJ41)+('Data BoP'!AJ42)+('Data BoP'!AJ43)</f>
        <v>5383.41</v>
      </c>
    </row>
    <row r="45" customFormat="false" ht="15" hidden="false" customHeight="false" outlineLevel="0" collapsed="false">
      <c r="B45" s="14" t="str">
        <f aca="false">'Data BoP'!B44</f>
        <v>2015-Q3</v>
      </c>
      <c r="C45" s="10" t="n">
        <f aca="false">('Data BoP'!E41)+('Data BoP'!E42)+('Data BoP'!E43)+('Data BoP'!E44)</f>
        <v>-14458.8321850679</v>
      </c>
      <c r="D45" s="10" t="n">
        <f aca="false">('Data BoP'!T41)+('Data BoP'!T42)+('Data BoP'!T43)+('Data BoP'!T44)</f>
        <v>50.1421582355751</v>
      </c>
      <c r="E45" s="15" t="n">
        <f aca="false">('Data BoP'!E41+'Data BoP'!T41)+('Data BoP'!E42+'Data BoP'!T42)+('Data BoP'!E43+'Data BoP'!T43)+('Data BoP'!E44+'Data BoP'!T44)</f>
        <v>-14408.6900268323</v>
      </c>
      <c r="F45" s="10" t="n">
        <f aca="false">('Data BoP'!Y41+'Data BoP'!Z41)+('Data BoP'!Y42+'Data BoP'!Z42)+('Data BoP'!Y43+'Data BoP'!Z43)+('Data BoP'!Y44+'Data BoP'!Z44)</f>
        <v>12578.4682465052</v>
      </c>
      <c r="G45" s="10" t="n">
        <f aca="false">('Data BoP'!AD41+'Data BoP'!AE41)+('Data BoP'!AD42+'Data BoP'!AE42)+('Data BoP'!AD43+'Data BoP'!AE43)+('Data BoP'!AD44+'Data BoP'!AE44)</f>
        <v>3108.97050946193</v>
      </c>
      <c r="H45" s="10" t="n">
        <f aca="false">('Data BoP'!AL41)+('Data BoP'!AL42)+('Data BoP'!AL43)+('Data BoP'!AL44)</f>
        <v>13377.0041155124</v>
      </c>
      <c r="I45" s="15" t="n">
        <f aca="false">('Data BoP'!Y41+'Data BoP'!Z41+'Data BoP'!AD41+'Data BoP'!AE41+'Data BoP'!AL41)+('Data BoP'!Y42+'Data BoP'!Z42+'Data BoP'!AD42+'Data BoP'!AE42+'Data BoP'!AL42)+('Data BoP'!Y43+'Data BoP'!Z43+'Data BoP'!AD43+'Data BoP'!AE43+'Data BoP'!AL43)+('Data BoP'!Y44+'Data BoP'!Z44+'Data BoP'!AD44+'Data BoP'!AE44+'Data BoP'!AL44)</f>
        <v>29064.4428714795</v>
      </c>
      <c r="J45" s="10" t="n">
        <f aca="false">(-('Data BoP'!W41+'Data BoP'!X41))+(-('Data BoP'!W42+'Data BoP'!X42))+(-('Data BoP'!W43+'Data BoP'!X43))+(-('Data BoP'!W44+'Data BoP'!X44))</f>
        <v>-884.950440618208</v>
      </c>
      <c r="K45" s="10" t="n">
        <f aca="false">(-('Data BoP'!AB41+'Data BoP'!AC41))+(-('Data BoP'!AB42+'Data BoP'!AC42))+(-('Data BoP'!AB43+'Data BoP'!AC43))+(-('Data BoP'!AB44+'Data BoP'!AC44))</f>
        <v>-22.7693340148387</v>
      </c>
      <c r="L45" s="10" t="n">
        <f aca="false">(-'Data BoP'!AH41)+(-'Data BoP'!AH42)+(-'Data BoP'!AH43)+(-'Data BoP'!AH44)</f>
        <v>-5445.45653173004</v>
      </c>
      <c r="M45" s="15" t="n">
        <f aca="false">(-('Data BoP'!W41+'Data BoP'!X41+'Data BoP'!AB41+'Data BoP'!AC41+'Data BoP'!AH41))+(-('Data BoP'!W42+'Data BoP'!X42+'Data BoP'!AB42+'Data BoP'!AC42+'Data BoP'!AH42))+(-('Data BoP'!W43+'Data BoP'!X43+'Data BoP'!AB43+'Data BoP'!AC43+'Data BoP'!AH43))+(-('Data BoP'!W44+'Data BoP'!X44+'Data BoP'!AB44+'Data BoP'!AC44+'Data BoP'!AH44))</f>
        <v>-6353.17630636309</v>
      </c>
      <c r="N45" s="10" t="n">
        <f aca="false">(-'Data BoP'!AF41)+(-'Data BoP'!AF42)+(-'Data BoP'!AF43)+(-'Data BoP'!AF44)</f>
        <v>24.6828499754626</v>
      </c>
      <c r="O45" s="15" t="n">
        <f aca="false">(-('Data BoP'!U41-'Data BoP'!AJ41))+(-('Data BoP'!U42-'Data BoP'!AJ42))+(-('Data BoP'!U43-'Data BoP'!AJ43))+(-('Data BoP'!U44-'Data BoP'!AJ44))</f>
        <v>22735.9494150919</v>
      </c>
      <c r="P45" s="10" t="n">
        <f aca="false">('Data BoP'!AK41)+('Data BoP'!AK42)+('Data BoP'!AK43)+('Data BoP'!AK44)</f>
        <v>-2188.13686304509</v>
      </c>
      <c r="Q45" s="17" t="n">
        <f aca="false">('Data BoP'!AJ41)+('Data BoP'!AJ42)+('Data BoP'!AJ43)+('Data BoP'!AJ44)</f>
        <v>6139.12252521446</v>
      </c>
    </row>
    <row r="46" customFormat="false" ht="15" hidden="false" customHeight="false" outlineLevel="0" collapsed="false">
      <c r="B46" s="14" t="str">
        <f aca="false">'Data BoP'!B45</f>
        <v>2015-Q4</v>
      </c>
      <c r="C46" s="10" t="n">
        <f aca="false">('Data BoP'!E42)+('Data BoP'!E43)+('Data BoP'!E44)+('Data BoP'!E45)</f>
        <v>-17621.98516821</v>
      </c>
      <c r="D46" s="10" t="n">
        <f aca="false">('Data BoP'!T42)+('Data BoP'!T43)+('Data BoP'!T44)+('Data BoP'!T45)</f>
        <v>51.9291997684657</v>
      </c>
      <c r="E46" s="15" t="n">
        <f aca="false">('Data BoP'!E42+'Data BoP'!T42)+('Data BoP'!E43+'Data BoP'!T43)+('Data BoP'!E44+'Data BoP'!T44)+('Data BoP'!E45+'Data BoP'!T45)</f>
        <v>-17570.0559684415</v>
      </c>
      <c r="F46" s="10" t="n">
        <f aca="false">('Data BoP'!Y42+'Data BoP'!Z42)+('Data BoP'!Y43+'Data BoP'!Z43)+('Data BoP'!Y44+'Data BoP'!Z44)+('Data BoP'!Y45+'Data BoP'!Z45)</f>
        <v>11758.994011286</v>
      </c>
      <c r="G46" s="10" t="n">
        <f aca="false">('Data BoP'!AD42+'Data BoP'!AE42)+('Data BoP'!AD43+'Data BoP'!AE43)+('Data BoP'!AD44+'Data BoP'!AE44)+('Data BoP'!AD45+'Data BoP'!AE45)</f>
        <v>529.92140447524</v>
      </c>
      <c r="H46" s="10" t="n">
        <f aca="false">('Data BoP'!AL42)+('Data BoP'!AL43)+('Data BoP'!AL44)+('Data BoP'!AL45)</f>
        <v>11059.5408665989</v>
      </c>
      <c r="I46" s="15" t="n">
        <f aca="false">('Data BoP'!Y42+'Data BoP'!Z42+'Data BoP'!AD42+'Data BoP'!AE42+'Data BoP'!AL42)+('Data BoP'!Y43+'Data BoP'!Z43+'Data BoP'!AD43+'Data BoP'!AE43+'Data BoP'!AL43)+('Data BoP'!Y44+'Data BoP'!Z44+'Data BoP'!AD44+'Data BoP'!AE44+'Data BoP'!AL44)+('Data BoP'!Y45+'Data BoP'!Z45+'Data BoP'!AD45+'Data BoP'!AE45+'Data BoP'!AL45)</f>
        <v>23348.4562823602</v>
      </c>
      <c r="J46" s="10" t="n">
        <f aca="false">(-('Data BoP'!W42+'Data BoP'!X42))+(-('Data BoP'!W43+'Data BoP'!X43))+(-('Data BoP'!W44+'Data BoP'!X44))+(-('Data BoP'!W45+'Data BoP'!X45))</f>
        <v>-875.233227354258</v>
      </c>
      <c r="K46" s="10" t="n">
        <f aca="false">(-('Data BoP'!AB42+'Data BoP'!AC42))+(-('Data BoP'!AB43+'Data BoP'!AC43))+(-('Data BoP'!AB44+'Data BoP'!AC44))+(-('Data BoP'!AB45+'Data BoP'!AC45))</f>
        <v>-92.6825901250335</v>
      </c>
      <c r="L46" s="10" t="n">
        <f aca="false">(-'Data BoP'!AH42)+(-'Data BoP'!AH43)+(-'Data BoP'!AH44)+(-'Data BoP'!AH45)</f>
        <v>-8813.65257399428</v>
      </c>
      <c r="M46" s="15" t="n">
        <f aca="false">(-('Data BoP'!W42+'Data BoP'!X42+'Data BoP'!AB42+'Data BoP'!AC42+'Data BoP'!AH42))+(-('Data BoP'!W43+'Data BoP'!X43+'Data BoP'!AB43+'Data BoP'!AC43+'Data BoP'!AH43))+(-('Data BoP'!W44+'Data BoP'!X44+'Data BoP'!AB44+'Data BoP'!AC44+'Data BoP'!AH44))+(-('Data BoP'!W45+'Data BoP'!X45+'Data BoP'!AB45+'Data BoP'!AC45+'Data BoP'!AH45))</f>
        <v>-9781.56839147357</v>
      </c>
      <c r="N46" s="10" t="n">
        <f aca="false">(-'Data BoP'!AF42)+(-'Data BoP'!AF43)+(-'Data BoP'!AF44)+(-'Data BoP'!AF45)</f>
        <v>24.991331066334</v>
      </c>
      <c r="O46" s="15" t="n">
        <f aca="false">(-('Data BoP'!U42-'Data BoP'!AJ42))+(-('Data BoP'!U43-'Data BoP'!AJ43))+(-('Data BoP'!U44-'Data BoP'!AJ44))+(-('Data BoP'!U45-'Data BoP'!AJ45))</f>
        <v>13591.8792219529</v>
      </c>
      <c r="P46" s="10" t="n">
        <f aca="false">('Data BoP'!AK42)+('Data BoP'!AK43)+('Data BoP'!AK44)+('Data BoP'!AK45)</f>
        <v>-927.793253511421</v>
      </c>
      <c r="Q46" s="17" t="n">
        <f aca="false">('Data BoP'!AJ42)+('Data BoP'!AJ43)+('Data BoP'!AJ44)+('Data BoP'!AJ45)</f>
        <v>-4905.97</v>
      </c>
    </row>
    <row r="47" customFormat="false" ht="15" hidden="false" customHeight="false" outlineLevel="0" collapsed="false">
      <c r="B47" s="14" t="str">
        <f aca="false">'Data BoP'!B46</f>
        <v>2016-Q1</v>
      </c>
      <c r="C47" s="10" t="n">
        <f aca="false">('Data BoP'!E43)+('Data BoP'!E44)+('Data BoP'!E45)+('Data BoP'!E46)</f>
        <v>-16974.6340688448</v>
      </c>
      <c r="D47" s="10" t="n">
        <f aca="false">('Data BoP'!T43)+('Data BoP'!T44)+('Data BoP'!T45)+('Data BoP'!T46)</f>
        <v>126.72378445131</v>
      </c>
      <c r="E47" s="15" t="n">
        <f aca="false">('Data BoP'!E43+'Data BoP'!T43)+('Data BoP'!E44+'Data BoP'!T44)+('Data BoP'!E45+'Data BoP'!T45)+('Data BoP'!E46+'Data BoP'!T46)</f>
        <v>-16847.9102843935</v>
      </c>
      <c r="F47" s="10" t="n">
        <f aca="false">('Data BoP'!Y43+'Data BoP'!Z43)+('Data BoP'!Y44+'Data BoP'!Z44)+('Data BoP'!Y45+'Data BoP'!Z45)+('Data BoP'!Y46+'Data BoP'!Z46)</f>
        <v>10352.6556932566</v>
      </c>
      <c r="G47" s="10" t="n">
        <f aca="false">('Data BoP'!AD43+'Data BoP'!AE43)+('Data BoP'!AD44+'Data BoP'!AE44)+('Data BoP'!AD45+'Data BoP'!AE45)+('Data BoP'!AD46+'Data BoP'!AE46)</f>
        <v>4112.52816993271</v>
      </c>
      <c r="H47" s="10" t="n">
        <f aca="false">('Data BoP'!AL43)+('Data BoP'!AL44)+('Data BoP'!AL45)+('Data BoP'!AL46)</f>
        <v>11195.1451119821</v>
      </c>
      <c r="I47" s="15" t="n">
        <f aca="false">('Data BoP'!Y43+'Data BoP'!Z43+'Data BoP'!AD43+'Data BoP'!AE43+'Data BoP'!AL43)+('Data BoP'!Y44+'Data BoP'!Z44+'Data BoP'!AD44+'Data BoP'!AE44+'Data BoP'!AL44)+('Data BoP'!Y45+'Data BoP'!Z45+'Data BoP'!AD45+'Data BoP'!AE45+'Data BoP'!AL45)+('Data BoP'!Y46+'Data BoP'!Z46+'Data BoP'!AD46+'Data BoP'!AE46+'Data BoP'!AL46)</f>
        <v>25660.3289751715</v>
      </c>
      <c r="J47" s="10" t="n">
        <f aca="false">(-('Data BoP'!W43+'Data BoP'!X43))+(-('Data BoP'!W44+'Data BoP'!X44))+(-('Data BoP'!W45+'Data BoP'!X45))+(-('Data BoP'!W46+'Data BoP'!X46))</f>
        <v>-890.194194957953</v>
      </c>
      <c r="K47" s="10" t="n">
        <f aca="false">(-('Data BoP'!AB43+'Data BoP'!AC43))+(-('Data BoP'!AB44+'Data BoP'!AC44))+(-('Data BoP'!AB45+'Data BoP'!AC45))+(-('Data BoP'!AB46+'Data BoP'!AC46))</f>
        <v>-181.905470674289</v>
      </c>
      <c r="L47" s="10" t="n">
        <f aca="false">(-'Data BoP'!AH43)+(-'Data BoP'!AH44)+(-'Data BoP'!AH45)+(-'Data BoP'!AH46)</f>
        <v>-8651.81535270958</v>
      </c>
      <c r="M47" s="15" t="n">
        <f aca="false">(-('Data BoP'!W43+'Data BoP'!X43+'Data BoP'!AB43+'Data BoP'!AC43+'Data BoP'!AH43))+(-('Data BoP'!W44+'Data BoP'!X44+'Data BoP'!AB44+'Data BoP'!AC44+'Data BoP'!AH44))+(-('Data BoP'!W45+'Data BoP'!X45+'Data BoP'!AB45+'Data BoP'!AC45+'Data BoP'!AH45))+(-('Data BoP'!W46+'Data BoP'!X46+'Data BoP'!AB46+'Data BoP'!AC46+'Data BoP'!AH46))</f>
        <v>-9723.91501834183</v>
      </c>
      <c r="N47" s="10" t="n">
        <f aca="false">(-'Data BoP'!AF43)+(-'Data BoP'!AF44)+(-'Data BoP'!AF45)+(-'Data BoP'!AF46)</f>
        <v>-19.0293543367127</v>
      </c>
      <c r="O47" s="15" t="n">
        <f aca="false">(-('Data BoP'!U43-'Data BoP'!AJ43))+(-('Data BoP'!U44-'Data BoP'!AJ44))+(-('Data BoP'!U45-'Data BoP'!AJ45))+(-('Data BoP'!U46-'Data BoP'!AJ46))</f>
        <v>15917.3846024929</v>
      </c>
      <c r="P47" s="10" t="n">
        <f aca="false">('Data BoP'!AK43)+('Data BoP'!AK44)+('Data BoP'!AK45)+('Data BoP'!AK46)</f>
        <v>-768.565485202644</v>
      </c>
      <c r="Q47" s="17" t="n">
        <f aca="false">('Data BoP'!AJ43)+('Data BoP'!AJ44)+('Data BoP'!AJ45)+('Data BoP'!AJ46)</f>
        <v>-1700.07</v>
      </c>
    </row>
    <row r="48" customFormat="false" ht="15" hidden="false" customHeight="false" outlineLevel="0" collapsed="false">
      <c r="B48" s="14" t="str">
        <f aca="false">'Data BoP'!B47</f>
        <v>2016-Q2</v>
      </c>
      <c r="C48" s="10" t="n">
        <f aca="false">('Data BoP'!E44)+('Data BoP'!E45)+('Data BoP'!E46)+('Data BoP'!E47)</f>
        <v>-17436.1638411193</v>
      </c>
      <c r="D48" s="10" t="n">
        <f aca="false">('Data BoP'!T44)+('Data BoP'!T45)+('Data BoP'!T46)+('Data BoP'!T47)</f>
        <v>157.317724573917</v>
      </c>
      <c r="E48" s="15" t="n">
        <f aca="false">('Data BoP'!E44+'Data BoP'!T44)+('Data BoP'!E45+'Data BoP'!T45)+('Data BoP'!E46+'Data BoP'!T46)+('Data BoP'!E47+'Data BoP'!T47)</f>
        <v>-17278.8461165453</v>
      </c>
      <c r="F48" s="10" t="n">
        <f aca="false">('Data BoP'!Y44+'Data BoP'!Z44)+('Data BoP'!Y45+'Data BoP'!Z45)+('Data BoP'!Y46+'Data BoP'!Z46)+('Data BoP'!Y47+'Data BoP'!Z47)</f>
        <v>7688.31590027172</v>
      </c>
      <c r="G48" s="10" t="n">
        <f aca="false">('Data BoP'!AD44+'Data BoP'!AE44)+('Data BoP'!AD45+'Data BoP'!AE45)+('Data BoP'!AD46+'Data BoP'!AE46)+('Data BoP'!AD47+'Data BoP'!AE47)</f>
        <v>15351.8394211754</v>
      </c>
      <c r="H48" s="10" t="n">
        <f aca="false">('Data BoP'!AL44)+('Data BoP'!AL45)+('Data BoP'!AL46)+('Data BoP'!AL47)</f>
        <v>3804.95397278423</v>
      </c>
      <c r="I48" s="15" t="n">
        <f aca="false">('Data BoP'!Y44+'Data BoP'!Z44+'Data BoP'!AD44+'Data BoP'!AE44+'Data BoP'!AL44)+('Data BoP'!Y45+'Data BoP'!Z45+'Data BoP'!AD45+'Data BoP'!AE45+'Data BoP'!AL45)+('Data BoP'!Y46+'Data BoP'!Z46+'Data BoP'!AD46+'Data BoP'!AE46+'Data BoP'!AL46)+('Data BoP'!Y47+'Data BoP'!Z47+'Data BoP'!AD47+'Data BoP'!AE47+'Data BoP'!AL47)</f>
        <v>26845.1092942313</v>
      </c>
      <c r="J48" s="10" t="n">
        <f aca="false">(-('Data BoP'!W44+'Data BoP'!X44))+(-('Data BoP'!W45+'Data BoP'!X45))+(-('Data BoP'!W46+'Data BoP'!X46))+(-('Data BoP'!W47+'Data BoP'!X47))</f>
        <v>-1808.01006318205</v>
      </c>
      <c r="K48" s="10" t="n">
        <f aca="false">(-('Data BoP'!AB44+'Data BoP'!AC44))+(-('Data BoP'!AB45+'Data BoP'!AC45))+(-('Data BoP'!AB46+'Data BoP'!AC46))+(-('Data BoP'!AB47+'Data BoP'!AC47))</f>
        <v>-2038.16938800186</v>
      </c>
      <c r="L48" s="10" t="n">
        <f aca="false">(-'Data BoP'!AH44)+(-'Data BoP'!AH45)+(-'Data BoP'!AH46)+(-'Data BoP'!AH47)</f>
        <v>-7311.58070689753</v>
      </c>
      <c r="M48" s="15" t="n">
        <f aca="false">(-('Data BoP'!W44+'Data BoP'!X44+'Data BoP'!AB44+'Data BoP'!AC44+'Data BoP'!AH44))+(-('Data BoP'!W45+'Data BoP'!X45+'Data BoP'!AB45+'Data BoP'!AC45+'Data BoP'!AH45))+(-('Data BoP'!W46+'Data BoP'!X46+'Data BoP'!AB46+'Data BoP'!AC46+'Data BoP'!AH46))+(-('Data BoP'!W47+'Data BoP'!X47+'Data BoP'!AB47+'Data BoP'!AC47+'Data BoP'!AH47))</f>
        <v>-11157.7601580814</v>
      </c>
      <c r="N48" s="10" t="n">
        <f aca="false">(-'Data BoP'!AF44)+(-'Data BoP'!AF45)+(-'Data BoP'!AF46)+(-'Data BoP'!AF47)</f>
        <v>-390.517657255216</v>
      </c>
      <c r="O48" s="15" t="n">
        <f aca="false">(-('Data BoP'!U44-'Data BoP'!AJ44))+(-('Data BoP'!U45-'Data BoP'!AJ45))+(-('Data BoP'!U46-'Data BoP'!AJ46))+(-('Data BoP'!U47-'Data BoP'!AJ47))</f>
        <v>15296.8314788947</v>
      </c>
      <c r="P48" s="10" t="n">
        <f aca="false">('Data BoP'!AK44)+('Data BoP'!AK45)+('Data BoP'!AK46)+('Data BoP'!AK47)</f>
        <v>-942.387696555809</v>
      </c>
      <c r="Q48" s="17" t="n">
        <f aca="false">('Data BoP'!AJ44)+('Data BoP'!AJ45)+('Data BoP'!AJ46)+('Data BoP'!AJ47)</f>
        <v>-2926.36</v>
      </c>
    </row>
    <row r="49" customFormat="false" ht="15" hidden="false" customHeight="false" outlineLevel="0" collapsed="false">
      <c r="B49" s="14" t="str">
        <f aca="false">'Data BoP'!B48</f>
        <v>2016-Q3</v>
      </c>
      <c r="C49" s="10" t="n">
        <f aca="false">('Data BoP'!E45)+('Data BoP'!E46)+('Data BoP'!E47)+('Data BoP'!E48)</f>
        <v>-15895.3566387233</v>
      </c>
      <c r="D49" s="10" t="n">
        <f aca="false">('Data BoP'!T45)+('Data BoP'!T46)+('Data BoP'!T47)+('Data BoP'!T48)</f>
        <v>229.150938041127</v>
      </c>
      <c r="E49" s="15" t="n">
        <f aca="false">('Data BoP'!E45+'Data BoP'!T45)+('Data BoP'!E46+'Data BoP'!T46)+('Data BoP'!E47+'Data BoP'!T47)+('Data BoP'!E48+'Data BoP'!T48)</f>
        <v>-15666.2057006821</v>
      </c>
      <c r="F49" s="10" t="n">
        <f aca="false">('Data BoP'!Y45+'Data BoP'!Z45)+('Data BoP'!Y46+'Data BoP'!Z46)+('Data BoP'!Y47+'Data BoP'!Z47)+('Data BoP'!Y48+'Data BoP'!Z48)</f>
        <v>5868.43630085371</v>
      </c>
      <c r="G49" s="10" t="n">
        <f aca="false">('Data BoP'!AD45+'Data BoP'!AE45)+('Data BoP'!AD46+'Data BoP'!AE46)+('Data BoP'!AD47+'Data BoP'!AE47)+('Data BoP'!AD48+'Data BoP'!AE48)</f>
        <v>22074.6177683839</v>
      </c>
      <c r="H49" s="10" t="n">
        <f aca="false">('Data BoP'!AL45)+('Data BoP'!AL46)+('Data BoP'!AL47)+('Data BoP'!AL48)</f>
        <v>-1714.59241169306</v>
      </c>
      <c r="I49" s="15" t="n">
        <f aca="false">('Data BoP'!Y45+'Data BoP'!Z45+'Data BoP'!AD45+'Data BoP'!AE45+'Data BoP'!AL45)+('Data BoP'!Y46+'Data BoP'!Z46+'Data BoP'!AD46+'Data BoP'!AE46+'Data BoP'!AL46)+('Data BoP'!Y47+'Data BoP'!Z47+'Data BoP'!AD47+'Data BoP'!AE47+'Data BoP'!AL47)+('Data BoP'!Y48+'Data BoP'!Z48+'Data BoP'!AD48+'Data BoP'!AE48+'Data BoP'!AL48)</f>
        <v>26228.4616575446</v>
      </c>
      <c r="J49" s="10" t="n">
        <f aca="false">(-('Data BoP'!W45+'Data BoP'!X45))+(-('Data BoP'!W46+'Data BoP'!X46))+(-('Data BoP'!W47+'Data BoP'!X47))+(-('Data BoP'!W48+'Data BoP'!X48))</f>
        <v>-1735.15797999865</v>
      </c>
      <c r="K49" s="10" t="n">
        <f aca="false">(-('Data BoP'!AB45+'Data BoP'!AC45))+(-('Data BoP'!AB46+'Data BoP'!AC46))+(-('Data BoP'!AB47+'Data BoP'!AC47))+(-('Data BoP'!AB48+'Data BoP'!AC48))</f>
        <v>-1467.63929422559</v>
      </c>
      <c r="L49" s="10" t="n">
        <f aca="false">(-'Data BoP'!AH45)+(-'Data BoP'!AH46)+(-'Data BoP'!AH47)+(-'Data BoP'!AH48)</f>
        <v>-8460.27061094285</v>
      </c>
      <c r="M49" s="15" t="n">
        <f aca="false">(-('Data BoP'!W45+'Data BoP'!X45+'Data BoP'!AB45+'Data BoP'!AC45+'Data BoP'!AH45))+(-('Data BoP'!W46+'Data BoP'!X46+'Data BoP'!AB46+'Data BoP'!AC46+'Data BoP'!AH46))+(-('Data BoP'!W47+'Data BoP'!X47+'Data BoP'!AB47+'Data BoP'!AC47+'Data BoP'!AH47))+(-('Data BoP'!W48+'Data BoP'!X48+'Data BoP'!AB48+'Data BoP'!AC48+'Data BoP'!AH48))</f>
        <v>-11663.0678851671</v>
      </c>
      <c r="N49" s="10" t="n">
        <f aca="false">(-'Data BoP'!AF45)+(-'Data BoP'!AF46)+(-'Data BoP'!AF47)+(-'Data BoP'!AF48)</f>
        <v>-359.361204306566</v>
      </c>
      <c r="O49" s="15" t="n">
        <f aca="false">(-('Data BoP'!U45-'Data BoP'!AJ45))+(-('Data BoP'!U46-'Data BoP'!AJ46))+(-('Data BoP'!U47-'Data BoP'!AJ47))+(-('Data BoP'!U48-'Data BoP'!AJ48))</f>
        <v>14206.0325680709</v>
      </c>
      <c r="P49" s="10" t="n">
        <f aca="false">('Data BoP'!AK45)+('Data BoP'!AK46)+('Data BoP'!AK47)+('Data BoP'!AK48)</f>
        <v>-1805.56484824785</v>
      </c>
      <c r="Q49" s="17" t="n">
        <f aca="false">('Data BoP'!AJ45)+('Data BoP'!AJ46)+('Data BoP'!AJ47)+('Data BoP'!AJ48)</f>
        <v>-3268.67447954937</v>
      </c>
    </row>
    <row r="50" customFormat="false" ht="15" hidden="false" customHeight="false" outlineLevel="0" collapsed="false">
      <c r="B50" s="14" t="str">
        <f aca="false">'Data BoP'!B49</f>
        <v>2016-Q4</v>
      </c>
      <c r="C50" s="10" t="n">
        <f aca="false">('Data BoP'!E46)+('Data BoP'!E47)+('Data BoP'!E48)+('Data BoP'!E49)</f>
        <v>-15104.7865245601</v>
      </c>
      <c r="D50" s="10" t="n">
        <f aca="false">('Data BoP'!T46)+('Data BoP'!T47)+('Data BoP'!T48)+('Data BoP'!T49)</f>
        <v>370.804546257024</v>
      </c>
      <c r="E50" s="15" t="n">
        <f aca="false">('Data BoP'!E46+'Data BoP'!T46)+('Data BoP'!E47+'Data BoP'!T47)+('Data BoP'!E48+'Data BoP'!T48)+('Data BoP'!E49+'Data BoP'!T49)</f>
        <v>-14733.9819783031</v>
      </c>
      <c r="F50" s="10" t="n">
        <f aca="false">('Data BoP'!Y46+'Data BoP'!Z46)+('Data BoP'!Y47+'Data BoP'!Z47)+('Data BoP'!Y48+'Data BoP'!Z48)+('Data BoP'!Y49+'Data BoP'!Z49)</f>
        <v>3260.16434177394</v>
      </c>
      <c r="G50" s="10" t="n">
        <f aca="false">('Data BoP'!AD46+'Data BoP'!AE46)+('Data BoP'!AD47+'Data BoP'!AE47)+('Data BoP'!AD48+'Data BoP'!AE48)+('Data BoP'!AD49+'Data BoP'!AE49)</f>
        <v>36053.1334188413</v>
      </c>
      <c r="H50" s="10" t="n">
        <f aca="false">('Data BoP'!AL46)+('Data BoP'!AL47)+('Data BoP'!AL48)+('Data BoP'!AL49)</f>
        <v>-5542.20337474742</v>
      </c>
      <c r="I50" s="15" t="n">
        <f aca="false">('Data BoP'!Y46+'Data BoP'!Z46+'Data BoP'!AD46+'Data BoP'!AE46+'Data BoP'!AL46)+('Data BoP'!Y47+'Data BoP'!Z47+'Data BoP'!AD47+'Data BoP'!AE47+'Data BoP'!AL47)+('Data BoP'!Y48+'Data BoP'!Z48+'Data BoP'!AD48+'Data BoP'!AE48+'Data BoP'!AL48)+('Data BoP'!Y49+'Data BoP'!Z49+'Data BoP'!AD49+'Data BoP'!AE49+'Data BoP'!AL49)</f>
        <v>33771.0943858679</v>
      </c>
      <c r="J50" s="10" t="n">
        <f aca="false">(-('Data BoP'!W46+'Data BoP'!X46))+(-('Data BoP'!W47+'Data BoP'!X47))+(-('Data BoP'!W48+'Data BoP'!X48))+(-('Data BoP'!W49+'Data BoP'!X49))</f>
        <v>-1786.53093474804</v>
      </c>
      <c r="K50" s="10" t="n">
        <f aca="false">(-('Data BoP'!AB46+'Data BoP'!AC46))+(-('Data BoP'!AB47+'Data BoP'!AC47))+(-('Data BoP'!AB48+'Data BoP'!AC48))+(-('Data BoP'!AB49+'Data BoP'!AC49))</f>
        <v>-797.8395638185</v>
      </c>
      <c r="L50" s="10" t="n">
        <f aca="false">(-'Data BoP'!AH46)+(-'Data BoP'!AH47)+(-'Data BoP'!AH48)+(-'Data BoP'!AH49)</f>
        <v>-2689.38716871354</v>
      </c>
      <c r="M50" s="15" t="n">
        <f aca="false">(-('Data BoP'!W46+'Data BoP'!X46+'Data BoP'!AB46+'Data BoP'!AC46+'Data BoP'!AH46))+(-('Data BoP'!W47+'Data BoP'!X47+'Data BoP'!AB47+'Data BoP'!AC47+'Data BoP'!AH47))+(-('Data BoP'!W48+'Data BoP'!X48+'Data BoP'!AB48+'Data BoP'!AC48+'Data BoP'!AH48))+(-('Data BoP'!W49+'Data BoP'!X49+'Data BoP'!AB49+'Data BoP'!AC49+'Data BoP'!AH49))</f>
        <v>-5273.75766728008</v>
      </c>
      <c r="N50" s="10" t="n">
        <f aca="false">(-'Data BoP'!AF46)+(-'Data BoP'!AF47)+(-'Data BoP'!AF48)+(-'Data BoP'!AF49)</f>
        <v>-222.045038350332</v>
      </c>
      <c r="O50" s="15" t="n">
        <f aca="false">(-('Data BoP'!U46-'Data BoP'!AJ46))+(-('Data BoP'!U47-'Data BoP'!AJ47))+(-('Data BoP'!U48-'Data BoP'!AJ48))+(-('Data BoP'!U49-'Data BoP'!AJ49))</f>
        <v>28275.2916802374</v>
      </c>
      <c r="P50" s="10" t="n">
        <f aca="false">('Data BoP'!AK46)+('Data BoP'!AK47)+('Data BoP'!AK48)+('Data BoP'!AK49)</f>
        <v>774.915755131614</v>
      </c>
      <c r="Q50" s="17" t="n">
        <f aca="false">('Data BoP'!AJ46)+('Data BoP'!AJ47)+('Data BoP'!AJ48)+('Data BoP'!AJ49)</f>
        <v>14311.2354955464</v>
      </c>
    </row>
    <row r="51" customFormat="false" ht="15" hidden="false" customHeight="false" outlineLevel="0" collapsed="false">
      <c r="B51" s="14" t="str">
        <f aca="false">'Data BoP'!B50</f>
        <v>2017-Q1</v>
      </c>
      <c r="C51" s="10" t="n">
        <f aca="false">('Data BoP'!E47)+('Data BoP'!E48)+('Data BoP'!E49)+('Data BoP'!E50)</f>
        <v>-17442.944731041</v>
      </c>
      <c r="D51" s="10" t="n">
        <f aca="false">('Data BoP'!T47)+('Data BoP'!T48)+('Data BoP'!T49)+('Data BoP'!T50)</f>
        <v>331.760926424929</v>
      </c>
      <c r="E51" s="15" t="n">
        <f aca="false">('Data BoP'!E47+'Data BoP'!T47)+('Data BoP'!E48+'Data BoP'!T48)+('Data BoP'!E49+'Data BoP'!T49)+('Data BoP'!E50+'Data BoP'!T50)</f>
        <v>-17111.1838046161</v>
      </c>
      <c r="F51" s="10" t="n">
        <f aca="false">('Data BoP'!Y47+'Data BoP'!Z47)+('Data BoP'!Y48+'Data BoP'!Z48)+('Data BoP'!Y49+'Data BoP'!Z49)+('Data BoP'!Y50+'Data BoP'!Z50)</f>
        <v>4660.39172902886</v>
      </c>
      <c r="G51" s="10" t="n">
        <f aca="false">('Data BoP'!AD47+'Data BoP'!AE47)+('Data BoP'!AD48+'Data BoP'!AE48)+('Data BoP'!AD49+'Data BoP'!AE49)+('Data BoP'!AD50+'Data BoP'!AE50)</f>
        <v>46897.7224667787</v>
      </c>
      <c r="H51" s="10" t="n">
        <f aca="false">('Data BoP'!AL47)+('Data BoP'!AL48)+('Data BoP'!AL49)+('Data BoP'!AL50)</f>
        <v>-8585.99207770524</v>
      </c>
      <c r="I51" s="15" t="n">
        <f aca="false">('Data BoP'!Y47+'Data BoP'!Z47+'Data BoP'!AD47+'Data BoP'!AE47+'Data BoP'!AL47)+('Data BoP'!Y48+'Data BoP'!Z48+'Data BoP'!AD48+'Data BoP'!AE48+'Data BoP'!AL48)+('Data BoP'!Y49+'Data BoP'!Z49+'Data BoP'!AD49+'Data BoP'!AE49+'Data BoP'!AL49)+('Data BoP'!Y50+'Data BoP'!Z50+'Data BoP'!AD50+'Data BoP'!AE50+'Data BoP'!AL50)</f>
        <v>42972.1221181024</v>
      </c>
      <c r="J51" s="10" t="n">
        <f aca="false">(-('Data BoP'!W47+'Data BoP'!X47))+(-('Data BoP'!W48+'Data BoP'!X48))+(-('Data BoP'!W49+'Data BoP'!X49))+(-('Data BoP'!W50+'Data BoP'!X50))</f>
        <v>-1864.91525726511</v>
      </c>
      <c r="K51" s="10" t="n">
        <f aca="false">(-('Data BoP'!AB47+'Data BoP'!AC47))+(-('Data BoP'!AB48+'Data BoP'!AC48))+(-('Data BoP'!AB49+'Data BoP'!AC49))+(-('Data BoP'!AB50+'Data BoP'!AC50))</f>
        <v>-2277.62962361518</v>
      </c>
      <c r="L51" s="10" t="n">
        <f aca="false">(-'Data BoP'!AH47)+(-'Data BoP'!AH48)+(-'Data BoP'!AH49)+(-'Data BoP'!AH50)</f>
        <v>-1617.72067995636</v>
      </c>
      <c r="M51" s="15" t="n">
        <f aca="false">(-('Data BoP'!W47+'Data BoP'!X47+'Data BoP'!AB47+'Data BoP'!AC47+'Data BoP'!AH47))+(-('Data BoP'!W48+'Data BoP'!X48+'Data BoP'!AB48+'Data BoP'!AC48+'Data BoP'!AH48))+(-('Data BoP'!W49+'Data BoP'!X49+'Data BoP'!AB49+'Data BoP'!AC49+'Data BoP'!AH49))+(-('Data BoP'!W50+'Data BoP'!X50+'Data BoP'!AB50+'Data BoP'!AC50+'Data BoP'!AH50))</f>
        <v>-5760.26556083666</v>
      </c>
      <c r="N51" s="10" t="n">
        <f aca="false">(-'Data BoP'!AF47)+(-'Data BoP'!AF48)+(-'Data BoP'!AF49)+(-'Data BoP'!AF50)</f>
        <v>-50.2739431625066</v>
      </c>
      <c r="O51" s="15" t="n">
        <f aca="false">(-('Data BoP'!U47-'Data BoP'!AJ47))+(-('Data BoP'!U48-'Data BoP'!AJ48))+(-('Data BoP'!U49-'Data BoP'!AJ49))+(-('Data BoP'!U50-'Data BoP'!AJ50))</f>
        <v>37161.5826141032</v>
      </c>
      <c r="P51" s="10" t="n">
        <f aca="false">('Data BoP'!AK47)+('Data BoP'!AK48)+('Data BoP'!AK49)+('Data BoP'!AK50)</f>
        <v>1658.06107651784</v>
      </c>
      <c r="Q51" s="17" t="n">
        <f aca="false">('Data BoP'!AJ47)+('Data BoP'!AJ48)+('Data BoP'!AJ49)+('Data BoP'!AJ50)</f>
        <v>21704.4487573822</v>
      </c>
    </row>
    <row r="52" customFormat="false" ht="15" hidden="false" customHeight="false" outlineLevel="0" collapsed="false">
      <c r="B52" s="14" t="str">
        <f aca="false">'Data BoP'!B51</f>
        <v>2017-Q2</v>
      </c>
      <c r="C52" s="10" t="n">
        <f aca="false">('Data BoP'!E48)+('Data BoP'!E49)+('Data BoP'!E50)+('Data BoP'!E51)</f>
        <v>-21117.6640418004</v>
      </c>
      <c r="D52" s="10" t="n">
        <f aca="false">('Data BoP'!T48)+('Data BoP'!T49)+('Data BoP'!T50)+('Data BoP'!T51)</f>
        <v>341.960285113858</v>
      </c>
      <c r="E52" s="15" t="n">
        <f aca="false">('Data BoP'!E48+'Data BoP'!T48)+('Data BoP'!E49+'Data BoP'!T49)+('Data BoP'!E50+'Data BoP'!T50)+('Data BoP'!E51+'Data BoP'!T51)</f>
        <v>-20775.7037566866</v>
      </c>
      <c r="F52" s="10" t="n">
        <f aca="false">('Data BoP'!Y48+'Data BoP'!Z48)+('Data BoP'!Y49+'Data BoP'!Z49)+('Data BoP'!Y50+'Data BoP'!Z50)+('Data BoP'!Y51+'Data BoP'!Z51)</f>
        <v>6252.40201971161</v>
      </c>
      <c r="G52" s="10" t="n">
        <f aca="false">('Data BoP'!AD48+'Data BoP'!AE48)+('Data BoP'!AD49+'Data BoP'!AE49)+('Data BoP'!AD50+'Data BoP'!AE50)+('Data BoP'!AD51+'Data BoP'!AE51)</f>
        <v>39495.189757305</v>
      </c>
      <c r="H52" s="10" t="n">
        <f aca="false">('Data BoP'!AL48)+('Data BoP'!AL49)+('Data BoP'!AL50)+('Data BoP'!AL51)</f>
        <v>-3920.69161623487</v>
      </c>
      <c r="I52" s="15" t="n">
        <f aca="false">('Data BoP'!Y48+'Data BoP'!Z48+'Data BoP'!AD48+'Data BoP'!AE48+'Data BoP'!AL48)+('Data BoP'!Y49+'Data BoP'!Z49+'Data BoP'!AD49+'Data BoP'!AE49+'Data BoP'!AL49)+('Data BoP'!Y50+'Data BoP'!Z50+'Data BoP'!AD50+'Data BoP'!AE50+'Data BoP'!AL50)+('Data BoP'!Y51+'Data BoP'!Z51+'Data BoP'!AD51+'Data BoP'!AE51+'Data BoP'!AL51)</f>
        <v>41826.9001607817</v>
      </c>
      <c r="J52" s="10" t="n">
        <f aca="false">(-('Data BoP'!W48+'Data BoP'!X48))+(-('Data BoP'!W49+'Data BoP'!X49))+(-('Data BoP'!W50+'Data BoP'!X50))+(-('Data BoP'!W51+'Data BoP'!X51))</f>
        <v>-1029.28327920685</v>
      </c>
      <c r="K52" s="10" t="n">
        <f aca="false">(-('Data BoP'!AB48+'Data BoP'!AC48))+(-('Data BoP'!AB49+'Data BoP'!AC49))+(-('Data BoP'!AB50+'Data BoP'!AC50))+(-('Data BoP'!AB51+'Data BoP'!AC51))</f>
        <v>-1806.40465873385</v>
      </c>
      <c r="L52" s="10" t="n">
        <f aca="false">(-'Data BoP'!AH48)+(-'Data BoP'!AH49)+(-'Data BoP'!AH50)+(-'Data BoP'!AH51)</f>
        <v>-2149.25321617879</v>
      </c>
      <c r="M52" s="15" t="n">
        <f aca="false">(-('Data BoP'!W48+'Data BoP'!X48+'Data BoP'!AB48+'Data BoP'!AC48+'Data BoP'!AH48))+(-('Data BoP'!W49+'Data BoP'!X49+'Data BoP'!AB49+'Data BoP'!AC49+'Data BoP'!AH49))+(-('Data BoP'!W50+'Data BoP'!X50+'Data BoP'!AB50+'Data BoP'!AC50+'Data BoP'!AH50))+(-('Data BoP'!W51+'Data BoP'!X51+'Data BoP'!AB51+'Data BoP'!AC51+'Data BoP'!AH51))</f>
        <v>-4984.9411541195</v>
      </c>
      <c r="N52" s="10" t="n">
        <f aca="false">(-'Data BoP'!AF48)+(-'Data BoP'!AF49)+(-'Data BoP'!AF50)+(-'Data BoP'!AF51)</f>
        <v>308.892119212159</v>
      </c>
      <c r="O52" s="15" t="n">
        <f aca="false">(-('Data BoP'!U48-'Data BoP'!AJ48))+(-('Data BoP'!U49-'Data BoP'!AJ49))+(-('Data BoP'!U50-'Data BoP'!AJ50))+(-('Data BoP'!U51-'Data BoP'!AJ51))</f>
        <v>37150.8511258744</v>
      </c>
      <c r="P52" s="10" t="n">
        <f aca="false">('Data BoP'!AK48)+('Data BoP'!AK49)+('Data BoP'!AK50)+('Data BoP'!AK51)</f>
        <v>1454.1506334672</v>
      </c>
      <c r="Q52" s="17" t="n">
        <f aca="false">('Data BoP'!AJ48)+('Data BoP'!AJ49)+('Data BoP'!AJ50)+('Data BoP'!AJ51)</f>
        <v>17826.265706929</v>
      </c>
    </row>
    <row r="53" customFormat="false" ht="15" hidden="false" customHeight="false" outlineLevel="0" collapsed="false">
      <c r="B53" s="14" t="str">
        <f aca="false">'Data BoP'!B52</f>
        <v>2017-Q3</v>
      </c>
      <c r="C53" s="10" t="n">
        <f aca="false">('Data BoP'!E49)+('Data BoP'!E50)+('Data BoP'!E51)+('Data BoP'!E52)</f>
        <v>-26299.2485744139</v>
      </c>
      <c r="D53" s="10" t="n">
        <f aca="false">('Data BoP'!T49)+('Data BoP'!T50)+('Data BoP'!T51)+('Data BoP'!T52)</f>
        <v>310.780725235417</v>
      </c>
      <c r="E53" s="15" t="n">
        <f aca="false">('Data BoP'!E49+'Data BoP'!T49)+('Data BoP'!E50+'Data BoP'!T50)+('Data BoP'!E51+'Data BoP'!T51)+('Data BoP'!E52+'Data BoP'!T52)</f>
        <v>-25988.4678491785</v>
      </c>
      <c r="F53" s="10" t="n">
        <f aca="false">('Data BoP'!Y49+'Data BoP'!Z49)+('Data BoP'!Y50+'Data BoP'!Z50)+('Data BoP'!Y51+'Data BoP'!Z51)+('Data BoP'!Y52+'Data BoP'!Z52)</f>
        <v>8700.61642259474</v>
      </c>
      <c r="G53" s="10" t="n">
        <f aca="false">('Data BoP'!AD49+'Data BoP'!AE49)+('Data BoP'!AD50+'Data BoP'!AE50)+('Data BoP'!AD51+'Data BoP'!AE51)+('Data BoP'!AD52+'Data BoP'!AE52)</f>
        <v>39974.3230593305</v>
      </c>
      <c r="H53" s="10" t="n">
        <f aca="false">('Data BoP'!AL49)+('Data BoP'!AL50)+('Data BoP'!AL51)+('Data BoP'!AL52)</f>
        <v>4134.77982810454</v>
      </c>
      <c r="I53" s="15" t="n">
        <f aca="false">('Data BoP'!Y49+'Data BoP'!Z49+'Data BoP'!AD49+'Data BoP'!AE49+'Data BoP'!AL49)+('Data BoP'!Y50+'Data BoP'!Z50+'Data BoP'!AD50+'Data BoP'!AE50+'Data BoP'!AL50)+('Data BoP'!Y51+'Data BoP'!Z51+'Data BoP'!AD51+'Data BoP'!AE51+'Data BoP'!AL51)+('Data BoP'!Y52+'Data BoP'!Z52+'Data BoP'!AD52+'Data BoP'!AE52+'Data BoP'!AL52)</f>
        <v>52809.7193100298</v>
      </c>
      <c r="J53" s="10" t="n">
        <f aca="false">(-('Data BoP'!W49+'Data BoP'!X49))+(-('Data BoP'!W50+'Data BoP'!X50))+(-('Data BoP'!W51+'Data BoP'!X51))+(-('Data BoP'!W52+'Data BoP'!X52))</f>
        <v>-1137.5038802962</v>
      </c>
      <c r="K53" s="10" t="n">
        <f aca="false">(-('Data BoP'!AB49+'Data BoP'!AC49))+(-('Data BoP'!AB50+'Data BoP'!AC50))+(-('Data BoP'!AB51+'Data BoP'!AC51))+(-('Data BoP'!AB52+'Data BoP'!AC52))</f>
        <v>-2784.72470257648</v>
      </c>
      <c r="L53" s="10" t="n">
        <f aca="false">(-'Data BoP'!AH49)+(-'Data BoP'!AH50)+(-'Data BoP'!AH51)+(-'Data BoP'!AH52)</f>
        <v>-5325.91457097923</v>
      </c>
      <c r="M53" s="15" t="n">
        <f aca="false">(-('Data BoP'!W49+'Data BoP'!X49+'Data BoP'!AB49+'Data BoP'!AC49+'Data BoP'!AH49))+(-('Data BoP'!W50+'Data BoP'!X50+'Data BoP'!AB50+'Data BoP'!AC50+'Data BoP'!AH50))+(-('Data BoP'!W51+'Data BoP'!X51+'Data BoP'!AB51+'Data BoP'!AC51+'Data BoP'!AH51))+(-('Data BoP'!W52+'Data BoP'!X52+'Data BoP'!AB52+'Data BoP'!AC52+'Data BoP'!AH52))</f>
        <v>-9248.14315385191</v>
      </c>
      <c r="N53" s="10" t="n">
        <f aca="false">(-'Data BoP'!AF49)+(-'Data BoP'!AF50)+(-'Data BoP'!AF51)+(-'Data BoP'!AF52)</f>
        <v>266.052119212159</v>
      </c>
      <c r="O53" s="15" t="n">
        <f aca="false">(-('Data BoP'!U49-'Data BoP'!AJ49))+(-('Data BoP'!U50-'Data BoP'!AJ50))+(-('Data BoP'!U51-'Data BoP'!AJ51))+(-('Data BoP'!U52-'Data BoP'!AJ52))</f>
        <v>43827.62827539</v>
      </c>
      <c r="P53" s="10" t="n">
        <f aca="false">('Data BoP'!AK49)+('Data BoP'!AK50)+('Data BoP'!AK51)+('Data BoP'!AK52)</f>
        <v>2443.79007893874</v>
      </c>
      <c r="Q53" s="17" t="n">
        <f aca="false">('Data BoP'!AJ49)+('Data BoP'!AJ50)+('Data BoP'!AJ51)+('Data BoP'!AJ52)</f>
        <v>20280.897042321</v>
      </c>
    </row>
    <row r="54" customFormat="false" ht="15" hidden="false" customHeight="false" outlineLevel="0" collapsed="false">
      <c r="B54" s="14" t="str">
        <f aca="false">'Data BoP'!B53</f>
        <v>2017-Q4</v>
      </c>
      <c r="C54" s="10" t="n">
        <f aca="false">('Data BoP'!E50)+('Data BoP'!E51)+('Data BoP'!E52)+('Data BoP'!E53)</f>
        <v>-31151.3517507624</v>
      </c>
      <c r="D54" s="10" t="n">
        <f aca="false">('Data BoP'!T50)+('Data BoP'!T51)+('Data BoP'!T52)+('Data BoP'!T53)</f>
        <v>173.495467403954</v>
      </c>
      <c r="E54" s="15" t="n">
        <f aca="false">('Data BoP'!E50+'Data BoP'!T50)+('Data BoP'!E51+'Data BoP'!T51)+('Data BoP'!E52+'Data BoP'!T52)+('Data BoP'!E53+'Data BoP'!T53)</f>
        <v>-30977.8562833584</v>
      </c>
      <c r="F54" s="10" t="n">
        <f aca="false">('Data BoP'!Y50+'Data BoP'!Z50)+('Data BoP'!Y51+'Data BoP'!Z51)+('Data BoP'!Y52+'Data BoP'!Z52)+('Data BoP'!Y53+'Data BoP'!Z53)</f>
        <v>11516.8614622845</v>
      </c>
      <c r="G54" s="10" t="n">
        <f aca="false">('Data BoP'!AD50+'Data BoP'!AE50)+('Data BoP'!AD51+'Data BoP'!AE51)+('Data BoP'!AD52+'Data BoP'!AE52)+('Data BoP'!AD53+'Data BoP'!AE53)</f>
        <v>41424.0777754188</v>
      </c>
      <c r="H54" s="10" t="n">
        <f aca="false">('Data BoP'!AL50)+('Data BoP'!AL51)+('Data BoP'!AL52)+('Data BoP'!AL53)</f>
        <v>11955.780116436</v>
      </c>
      <c r="I54" s="15" t="n">
        <f aca="false">('Data BoP'!Y50+'Data BoP'!Z50+'Data BoP'!AD50+'Data BoP'!AE50+'Data BoP'!AL50)+('Data BoP'!Y51+'Data BoP'!Z51+'Data BoP'!AD51+'Data BoP'!AE51+'Data BoP'!AL51)+('Data BoP'!Y52+'Data BoP'!Z52+'Data BoP'!AD52+'Data BoP'!AE52+'Data BoP'!AL52)+('Data BoP'!Y53+'Data BoP'!Z53+'Data BoP'!AD53+'Data BoP'!AE53+'Data BoP'!AL53)</f>
        <v>64896.7193541392</v>
      </c>
      <c r="J54" s="10" t="n">
        <f aca="false">(-('Data BoP'!W50+'Data BoP'!X50))+(-('Data BoP'!W51+'Data BoP'!X51))+(-('Data BoP'!W52+'Data BoP'!X52))+(-('Data BoP'!W53+'Data BoP'!X53))</f>
        <v>-1155.63021802453</v>
      </c>
      <c r="K54" s="10" t="n">
        <f aca="false">(-('Data BoP'!AB50+'Data BoP'!AC50))+(-('Data BoP'!AB51+'Data BoP'!AC51))+(-('Data BoP'!AB52+'Data BoP'!AC52))+(-('Data BoP'!AB53+'Data BoP'!AC53))</f>
        <v>-5502.33828379592</v>
      </c>
      <c r="L54" s="10" t="n">
        <f aca="false">(-'Data BoP'!AH50)+(-'Data BoP'!AH51)+(-'Data BoP'!AH52)+(-'Data BoP'!AH53)</f>
        <v>-12506.0829972336</v>
      </c>
      <c r="M54" s="15" t="n">
        <f aca="false">(-('Data BoP'!W50+'Data BoP'!X50+'Data BoP'!AB50+'Data BoP'!AC50+'Data BoP'!AH50))+(-('Data BoP'!W51+'Data BoP'!X51+'Data BoP'!AB51+'Data BoP'!AC51+'Data BoP'!AH51))+(-('Data BoP'!W52+'Data BoP'!X52+'Data BoP'!AB52+'Data BoP'!AC52+'Data BoP'!AH52))+(-('Data BoP'!W53+'Data BoP'!X53+'Data BoP'!AB53+'Data BoP'!AC53+'Data BoP'!AH53))</f>
        <v>-19164.051499054</v>
      </c>
      <c r="N54" s="10" t="n">
        <f aca="false">(-'Data BoP'!AF50)+(-'Data BoP'!AF51)+(-'Data BoP'!AF52)+(-'Data BoP'!AF53)</f>
        <v>96.2256</v>
      </c>
      <c r="O54" s="15" t="n">
        <f aca="false">(-('Data BoP'!U50-'Data BoP'!AJ50))+(-('Data BoP'!U51-'Data BoP'!AJ51))+(-('Data BoP'!U52-'Data BoP'!AJ52))+(-('Data BoP'!U53-'Data BoP'!AJ53))</f>
        <v>45828.8934550852</v>
      </c>
      <c r="P54" s="10" t="n">
        <f aca="false">('Data BoP'!AK50)+('Data BoP'!AK51)+('Data BoP'!AK52)+('Data BoP'!AK53)</f>
        <v>-295.331647652765</v>
      </c>
      <c r="Q54" s="17" t="n">
        <f aca="false">('Data BoP'!AJ50)+('Data BoP'!AJ51)+('Data BoP'!AJ52)+('Data BoP'!AJ53)</f>
        <v>14555.705524074</v>
      </c>
    </row>
    <row r="55" customFormat="false" ht="15" hidden="false" customHeight="false" outlineLevel="0" collapsed="false">
      <c r="B55" s="14" t="str">
        <f aca="false">'Data BoP'!B54</f>
        <v>2018-Q1</v>
      </c>
      <c r="C55" s="10" t="n">
        <f aca="false">('Data BoP'!E51)+('Data BoP'!E52)+('Data BoP'!E53)+('Data BoP'!E54)</f>
        <v>-33313.0846588572</v>
      </c>
      <c r="D55" s="10" t="n">
        <f aca="false">('Data BoP'!T51)+('Data BoP'!T52)+('Data BoP'!T53)+('Data BoP'!T54)</f>
        <v>152.147022085454</v>
      </c>
      <c r="E55" s="15" t="n">
        <f aca="false">('Data BoP'!E51+'Data BoP'!T51)+('Data BoP'!E52+'Data BoP'!T52)+('Data BoP'!E53+'Data BoP'!T53)+('Data BoP'!E54+'Data BoP'!T54)</f>
        <v>-33160.9376367717</v>
      </c>
      <c r="F55" s="10" t="n">
        <f aca="false">('Data BoP'!Y51+'Data BoP'!Z51)+('Data BoP'!Y52+'Data BoP'!Z52)+('Data BoP'!Y53+'Data BoP'!Z53)+('Data BoP'!Y54+'Data BoP'!Z54)</f>
        <v>10959.2441433913</v>
      </c>
      <c r="G55" s="10" t="n">
        <f aca="false">('Data BoP'!AD51+'Data BoP'!AE51)+('Data BoP'!AD52+'Data BoP'!AE52)+('Data BoP'!AD53+'Data BoP'!AE53)+('Data BoP'!AD54+'Data BoP'!AE54)</f>
        <v>42352.7248222245</v>
      </c>
      <c r="H55" s="10" t="n">
        <f aca="false">('Data BoP'!AL51)+('Data BoP'!AL52)+('Data BoP'!AL53)+('Data BoP'!AL54)</f>
        <v>14944.0724359785</v>
      </c>
      <c r="I55" s="15" t="n">
        <f aca="false">('Data BoP'!Y51+'Data BoP'!Z51+'Data BoP'!AD51+'Data BoP'!AE51+'Data BoP'!AL51)+('Data BoP'!Y52+'Data BoP'!Z52+'Data BoP'!AD52+'Data BoP'!AE52+'Data BoP'!AL52)+('Data BoP'!Y53+'Data BoP'!Z53+'Data BoP'!AD53+'Data BoP'!AE53+'Data BoP'!AL53)+('Data BoP'!Y54+'Data BoP'!Z54+'Data BoP'!AD54+'Data BoP'!AE54+'Data BoP'!AL54)</f>
        <v>68256.0414015943</v>
      </c>
      <c r="J55" s="10" t="n">
        <f aca="false">(-('Data BoP'!W51+'Data BoP'!X51))+(-('Data BoP'!W52+'Data BoP'!X52))+(-('Data BoP'!W53+'Data BoP'!X53))+(-('Data BoP'!W54+'Data BoP'!X54))</f>
        <v>-1301.26373930841</v>
      </c>
      <c r="K55" s="10" t="n">
        <f aca="false">(-('Data BoP'!AB51+'Data BoP'!AC51))+(-('Data BoP'!AB52+'Data BoP'!AC52))+(-('Data BoP'!AB53+'Data BoP'!AC53))+(-('Data BoP'!AB54+'Data BoP'!AC54))</f>
        <v>-7520.48089033891</v>
      </c>
      <c r="L55" s="10" t="n">
        <f aca="false">(-'Data BoP'!AH51)+(-'Data BoP'!AH52)+(-'Data BoP'!AH53)+(-'Data BoP'!AH54)</f>
        <v>-15050.7113946611</v>
      </c>
      <c r="M55" s="15" t="n">
        <f aca="false">(-('Data BoP'!W51+'Data BoP'!X51+'Data BoP'!AB51+'Data BoP'!AC51+'Data BoP'!AH51))+(-('Data BoP'!W52+'Data BoP'!X52+'Data BoP'!AB52+'Data BoP'!AC52+'Data BoP'!AH52))+(-('Data BoP'!W53+'Data BoP'!X53+'Data BoP'!AB53+'Data BoP'!AC53+'Data BoP'!AH53))+(-('Data BoP'!W54+'Data BoP'!X54+'Data BoP'!AB54+'Data BoP'!AC54+'Data BoP'!AH54))</f>
        <v>-23872.4560243084</v>
      </c>
      <c r="N55" s="10" t="n">
        <f aca="false">(-'Data BoP'!AF51)+(-'Data BoP'!AF52)+(-'Data BoP'!AF53)+(-'Data BoP'!AF54)</f>
        <v>-17.1392488956</v>
      </c>
      <c r="O55" s="15" t="n">
        <f aca="false">(-('Data BoP'!U51-'Data BoP'!AJ51))+(-('Data BoP'!U52-'Data BoP'!AJ52))+(-('Data BoP'!U53-'Data BoP'!AJ53))+(-('Data BoP'!U54-'Data BoP'!AJ54))</f>
        <v>44366.4461283903</v>
      </c>
      <c r="P55" s="10" t="n">
        <f aca="false">('Data BoP'!AK51)+('Data BoP'!AK52)+('Data BoP'!AK53)+('Data BoP'!AK54)</f>
        <v>-1434.98501797813</v>
      </c>
      <c r="Q55" s="17" t="n">
        <f aca="false">('Data BoP'!AJ51)+('Data BoP'!AJ52)+('Data BoP'!AJ53)+('Data BoP'!AJ54)</f>
        <v>9770.52347364045</v>
      </c>
    </row>
    <row r="56" customFormat="false" ht="15" hidden="false" customHeight="false" outlineLevel="0" collapsed="false">
      <c r="B56" s="14" t="str">
        <f aca="false">'Data BoP'!B55</f>
        <v>2018-Q2</v>
      </c>
      <c r="C56" s="10" t="n">
        <f aca="false">('Data BoP'!E52)+('Data BoP'!E53)+('Data BoP'!E54)+('Data BoP'!E55)</f>
        <v>-35142.1616143303</v>
      </c>
      <c r="D56" s="10" t="n">
        <f aca="false">('Data BoP'!T52)+('Data BoP'!T53)+('Data BoP'!T54)+('Data BoP'!T55)</f>
        <v>129.638344717273</v>
      </c>
      <c r="E56" s="15" t="n">
        <f aca="false">('Data BoP'!E52+'Data BoP'!T52)+('Data BoP'!E53+'Data BoP'!T53)+('Data BoP'!E54+'Data BoP'!T54)+('Data BoP'!E55+'Data BoP'!T55)</f>
        <v>-35012.523269613</v>
      </c>
      <c r="F56" s="10" t="n">
        <f aca="false">('Data BoP'!Y52+'Data BoP'!Z52)+('Data BoP'!Y53+'Data BoP'!Z53)+('Data BoP'!Y54+'Data BoP'!Z54)+('Data BoP'!Y55+'Data BoP'!Z55)</f>
        <v>11330.2062383381</v>
      </c>
      <c r="G56" s="10" t="n">
        <f aca="false">('Data BoP'!AD52+'Data BoP'!AE52)+('Data BoP'!AD53+'Data BoP'!AE53)+('Data BoP'!AD54+'Data BoP'!AE54)+('Data BoP'!AD55+'Data BoP'!AE55)</f>
        <v>35793.5181584058</v>
      </c>
      <c r="H56" s="10" t="n">
        <f aca="false">('Data BoP'!AL52)+('Data BoP'!AL53)+('Data BoP'!AL54)+('Data BoP'!AL55)</f>
        <v>34108.3413657069</v>
      </c>
      <c r="I56" s="15" t="n">
        <f aca="false">('Data BoP'!Y52+'Data BoP'!Z52+'Data BoP'!AD52+'Data BoP'!AE52+'Data BoP'!AL52)+('Data BoP'!Y53+'Data BoP'!Z53+'Data BoP'!AD53+'Data BoP'!AE53+'Data BoP'!AL53)+('Data BoP'!Y54+'Data BoP'!Z54+'Data BoP'!AD54+'Data BoP'!AE54+'Data BoP'!AL54)+('Data BoP'!Y55+'Data BoP'!Z55+'Data BoP'!AD55+'Data BoP'!AE55+'Data BoP'!AL55)</f>
        <v>81232.0657624508</v>
      </c>
      <c r="J56" s="10" t="n">
        <f aca="false">(-('Data BoP'!W52+'Data BoP'!X52))+(-('Data BoP'!W53+'Data BoP'!X53))+(-('Data BoP'!W54+'Data BoP'!X54))+(-('Data BoP'!W55+'Data BoP'!X55))</f>
        <v>-1482.51530023592</v>
      </c>
      <c r="K56" s="10" t="n">
        <f aca="false">(-('Data BoP'!AB52+'Data BoP'!AC52))+(-('Data BoP'!AB53+'Data BoP'!AC53))+(-('Data BoP'!AB54+'Data BoP'!AC54))+(-('Data BoP'!AB55+'Data BoP'!AC55))</f>
        <v>-6595.52705701857</v>
      </c>
      <c r="L56" s="10" t="n">
        <f aca="false">(-'Data BoP'!AH52)+(-'Data BoP'!AH53)+(-'Data BoP'!AH54)+(-'Data BoP'!AH55)</f>
        <v>-23206.0371600055</v>
      </c>
      <c r="M56" s="15" t="n">
        <f aca="false">(-('Data BoP'!W52+'Data BoP'!X52+'Data BoP'!AB52+'Data BoP'!AC52+'Data BoP'!AH52))+(-('Data BoP'!W53+'Data BoP'!X53+'Data BoP'!AB53+'Data BoP'!AC53+'Data BoP'!AH53))+(-('Data BoP'!W54+'Data BoP'!X54+'Data BoP'!AB54+'Data BoP'!AC54+'Data BoP'!AH54))+(-('Data BoP'!W55+'Data BoP'!X55+'Data BoP'!AB55+'Data BoP'!AC55+'Data BoP'!AH55))</f>
        <v>-31284.07951726</v>
      </c>
      <c r="N56" s="10" t="n">
        <f aca="false">(-'Data BoP'!AF52)+(-'Data BoP'!AF53)+(-'Data BoP'!AF54)+(-'Data BoP'!AF55)</f>
        <v>-5.89492049398147</v>
      </c>
      <c r="O56" s="15" t="n">
        <f aca="false">(-('Data BoP'!U52-'Data BoP'!AJ52))+(-('Data BoP'!U53-'Data BoP'!AJ53))+(-('Data BoP'!U54-'Data BoP'!AJ54))+(-('Data BoP'!U55-'Data BoP'!AJ55))</f>
        <v>49942.0913246968</v>
      </c>
      <c r="P56" s="10" t="n">
        <f aca="false">('Data BoP'!AK52)+('Data BoP'!AK53)+('Data BoP'!AK54)+('Data BoP'!AK55)</f>
        <v>-1613.79491365104</v>
      </c>
      <c r="Q56" s="17" t="n">
        <f aca="false">('Data BoP'!AJ52)+('Data BoP'!AJ53)+('Data BoP'!AJ54)+('Data BoP'!AJ55)</f>
        <v>13315.7731414328</v>
      </c>
    </row>
    <row r="57" customFormat="false" ht="15" hidden="false" customHeight="false" outlineLevel="0" collapsed="false">
      <c r="B57" s="14" t="str">
        <f aca="false">'Data BoP'!B56</f>
        <v>2018-Q3</v>
      </c>
      <c r="C57" s="10" t="n">
        <f aca="false">('Data BoP'!E53)+('Data BoP'!E54)+('Data BoP'!E55)+('Data BoP'!E56)</f>
        <v>-34352.1763705979</v>
      </c>
      <c r="D57" s="10" t="n">
        <f aca="false">('Data BoP'!T53)+('Data BoP'!T54)+('Data BoP'!T55)+('Data BoP'!T56)</f>
        <v>97.7461867157706</v>
      </c>
      <c r="E57" s="15" t="n">
        <f aca="false">('Data BoP'!E53+'Data BoP'!T53)+('Data BoP'!E54+'Data BoP'!T54)+('Data BoP'!E55+'Data BoP'!T55)+('Data BoP'!E56+'Data BoP'!T56)</f>
        <v>-34254.4301838821</v>
      </c>
      <c r="F57" s="10" t="n">
        <f aca="false">('Data BoP'!Y53+'Data BoP'!Z53)+('Data BoP'!Y54+'Data BoP'!Z54)+('Data BoP'!Y55+'Data BoP'!Z55)+('Data BoP'!Y56+'Data BoP'!Z56)</f>
        <v>11152.907495785</v>
      </c>
      <c r="G57" s="10" t="n">
        <f aca="false">('Data BoP'!AD53+'Data BoP'!AE53)+('Data BoP'!AD54+'Data BoP'!AE54)+('Data BoP'!AD55+'Data BoP'!AE55)+('Data BoP'!AD56+'Data BoP'!AE56)</f>
        <v>26821.6866863261</v>
      </c>
      <c r="H57" s="10" t="n">
        <f aca="false">('Data BoP'!AL53)+('Data BoP'!AL54)+('Data BoP'!AL55)+('Data BoP'!AL56)</f>
        <v>31080.6666595748</v>
      </c>
      <c r="I57" s="15" t="n">
        <f aca="false">('Data BoP'!Y53+'Data BoP'!Z53+'Data BoP'!AD53+'Data BoP'!AE53+'Data BoP'!AL53)+('Data BoP'!Y54+'Data BoP'!Z54+'Data BoP'!AD54+'Data BoP'!AE54+'Data BoP'!AL54)+('Data BoP'!Y55+'Data BoP'!Z55+'Data BoP'!AD55+'Data BoP'!AE55+'Data BoP'!AL55)+('Data BoP'!Y56+'Data BoP'!Z56+'Data BoP'!AD56+'Data BoP'!AE56+'Data BoP'!AL56)</f>
        <v>69055.2608416859</v>
      </c>
      <c r="J57" s="10" t="n">
        <f aca="false">(-('Data BoP'!W53+'Data BoP'!X53))+(-('Data BoP'!W54+'Data BoP'!X54))+(-('Data BoP'!W55+'Data BoP'!X55))+(-('Data BoP'!W56+'Data BoP'!X56))</f>
        <v>-1692.1886202778</v>
      </c>
      <c r="K57" s="10" t="n">
        <f aca="false">(-('Data BoP'!AB53+'Data BoP'!AC53))+(-('Data BoP'!AB54+'Data BoP'!AC54))+(-('Data BoP'!AB55+'Data BoP'!AC55))+(-('Data BoP'!AB56+'Data BoP'!AC56))</f>
        <v>-6734.43141336571</v>
      </c>
      <c r="L57" s="10" t="n">
        <f aca="false">(-'Data BoP'!AH53)+(-'Data BoP'!AH54)+(-'Data BoP'!AH55)+(-'Data BoP'!AH56)</f>
        <v>-25858.6131358674</v>
      </c>
      <c r="M57" s="15" t="n">
        <f aca="false">(-('Data BoP'!W53+'Data BoP'!X53+'Data BoP'!AB53+'Data BoP'!AC53+'Data BoP'!AH53))+(-('Data BoP'!W54+'Data BoP'!X54+'Data BoP'!AB54+'Data BoP'!AC54+'Data BoP'!AH54))+(-('Data BoP'!W55+'Data BoP'!X55+'Data BoP'!AB55+'Data BoP'!AC55+'Data BoP'!AH55))+(-('Data BoP'!W56+'Data BoP'!X56+'Data BoP'!AB56+'Data BoP'!AC56+'Data BoP'!AH56))</f>
        <v>-34285.2331695109</v>
      </c>
      <c r="N57" s="10" t="n">
        <f aca="false">(-'Data BoP'!AF53)+(-'Data BoP'!AF54)+(-'Data BoP'!AF55)+(-'Data BoP'!AF56)</f>
        <v>-25.2424706193265</v>
      </c>
      <c r="O57" s="15" t="n">
        <f aca="false">(-('Data BoP'!U53-'Data BoP'!AJ53))+(-('Data BoP'!U54-'Data BoP'!AJ54))+(-('Data BoP'!U55-'Data BoP'!AJ55))+(-('Data BoP'!U56-'Data BoP'!AJ56))</f>
        <v>34744.7852015556</v>
      </c>
      <c r="P57" s="10" t="n">
        <f aca="false">('Data BoP'!AK53)+('Data BoP'!AK54)+('Data BoP'!AK55)+('Data BoP'!AK56)</f>
        <v>-1346.44343399738</v>
      </c>
      <c r="Q57" s="17" t="n">
        <f aca="false">('Data BoP'!AJ53)+('Data BoP'!AJ54)+('Data BoP'!AJ55)+('Data BoP'!AJ56)</f>
        <v>-856.088416323857</v>
      </c>
    </row>
    <row r="58" customFormat="false" ht="15" hidden="false" customHeight="false" outlineLevel="0" collapsed="false">
      <c r="B58" s="14" t="str">
        <f aca="false">'Data BoP'!B57</f>
        <v>2018-Q4</v>
      </c>
      <c r="C58" s="10" t="n">
        <f aca="false">('Data BoP'!E54)+('Data BoP'!E55)+('Data BoP'!E56)+('Data BoP'!E57)</f>
        <v>-27083.606451057</v>
      </c>
      <c r="D58" s="10" t="n">
        <f aca="false">('Data BoP'!T54)+('Data BoP'!T55)+('Data BoP'!T56)+('Data BoP'!T57)</f>
        <v>111.075518039001</v>
      </c>
      <c r="E58" s="15" t="n">
        <f aca="false">('Data BoP'!E54+'Data BoP'!T54)+('Data BoP'!E55+'Data BoP'!T55)+('Data BoP'!E56+'Data BoP'!T56)+('Data BoP'!E57+'Data BoP'!T57)</f>
        <v>-26972.530933018</v>
      </c>
      <c r="F58" s="10" t="n">
        <f aca="false">('Data BoP'!Y54+'Data BoP'!Z54)+('Data BoP'!Y55+'Data BoP'!Z55)+('Data BoP'!Y56+'Data BoP'!Z56)+('Data BoP'!Y57+'Data BoP'!Z57)</f>
        <v>11716.7698187543</v>
      </c>
      <c r="G58" s="10" t="n">
        <f aca="false">('Data BoP'!AD54+'Data BoP'!AE54)+('Data BoP'!AD55+'Data BoP'!AE55)+('Data BoP'!AD56+'Data BoP'!AE56)+('Data BoP'!AD57+'Data BoP'!AE57)</f>
        <v>13090.6268036964</v>
      </c>
      <c r="H58" s="10" t="n">
        <f aca="false">('Data BoP'!AL54)+('Data BoP'!AL55)+('Data BoP'!AL56)+('Data BoP'!AL57)</f>
        <v>47982.6833892522</v>
      </c>
      <c r="I58" s="15" t="n">
        <f aca="false">('Data BoP'!Y54+'Data BoP'!Z54+'Data BoP'!AD54+'Data BoP'!AE54+'Data BoP'!AL54)+('Data BoP'!Y55+'Data BoP'!Z55+'Data BoP'!AD55+'Data BoP'!AE55+'Data BoP'!AL55)+('Data BoP'!Y56+'Data BoP'!Z56+'Data BoP'!AD56+'Data BoP'!AE56+'Data BoP'!AL56)+('Data BoP'!Y57+'Data BoP'!Z57+'Data BoP'!AD57+'Data BoP'!AE57+'Data BoP'!AL57)</f>
        <v>72790.0800117029</v>
      </c>
      <c r="J58" s="10" t="n">
        <f aca="false">(-('Data BoP'!W54+'Data BoP'!X54))+(-('Data BoP'!W55+'Data BoP'!X55))+(-('Data BoP'!W56+'Data BoP'!X56))+(-('Data BoP'!W57+'Data BoP'!X57))</f>
        <v>-1725.98157270571</v>
      </c>
      <c r="K58" s="10" t="n">
        <f aca="false">(-('Data BoP'!AB54+'Data BoP'!AC54))+(-('Data BoP'!AB55+'Data BoP'!AC55))+(-('Data BoP'!AB56+'Data BoP'!AC56))+(-('Data BoP'!AB57+'Data BoP'!AC57))</f>
        <v>-6166.70147773464</v>
      </c>
      <c r="L58" s="10" t="n">
        <f aca="false">(-'Data BoP'!AH54)+(-'Data BoP'!AH55)+(-'Data BoP'!AH56)+(-'Data BoP'!AH57)</f>
        <v>-25616.7922885781</v>
      </c>
      <c r="M58" s="15" t="n">
        <f aca="false">(-('Data BoP'!W54+'Data BoP'!X54+'Data BoP'!AB54+'Data BoP'!AC54+'Data BoP'!AH54))+(-('Data BoP'!W55+'Data BoP'!X55+'Data BoP'!AB55+'Data BoP'!AC55+'Data BoP'!AH55))+(-('Data BoP'!W56+'Data BoP'!X56+'Data BoP'!AB56+'Data BoP'!AC56+'Data BoP'!AH56))+(-('Data BoP'!W57+'Data BoP'!X57+'Data BoP'!AB57+'Data BoP'!AC57+'Data BoP'!AH57))</f>
        <v>-33509.4753390184</v>
      </c>
      <c r="N58" s="10" t="n">
        <f aca="false">(-'Data BoP'!AF54)+(-'Data BoP'!AF55)+(-'Data BoP'!AF56)+(-'Data BoP'!AF57)</f>
        <v>32.1088890072798</v>
      </c>
      <c r="O58" s="15" t="n">
        <f aca="false">(-('Data BoP'!U54-'Data BoP'!AJ54))+(-('Data BoP'!U55-'Data BoP'!AJ55))+(-('Data BoP'!U56-'Data BoP'!AJ56))+(-('Data BoP'!U57-'Data BoP'!AJ57))</f>
        <v>39312.7135616918</v>
      </c>
      <c r="P58" s="10" t="n">
        <f aca="false">('Data BoP'!AK54)+('Data BoP'!AK55)+('Data BoP'!AK56)+('Data BoP'!AK57)</f>
        <v>-1063.28985182095</v>
      </c>
      <c r="Q58" s="17" t="n">
        <f aca="false">('Data BoP'!AJ54)+('Data BoP'!AJ55)+('Data BoP'!AJ56)+('Data BoP'!AJ57)</f>
        <v>11276.8927768528</v>
      </c>
    </row>
    <row r="59" customFormat="false" ht="15" hidden="false" customHeight="false" outlineLevel="0" collapsed="false">
      <c r="B59" s="14" t="str">
        <f aca="false">'Data BoP'!B58</f>
        <v>2019-Q1</v>
      </c>
      <c r="C59" s="10" t="n">
        <f aca="false">('Data BoP'!E55)+('Data BoP'!E56)+('Data BoP'!E57)+('Data BoP'!E58)</f>
        <v>-21120.8806087083</v>
      </c>
      <c r="D59" s="10" t="n">
        <f aca="false">('Data BoP'!T55)+('Data BoP'!T56)+('Data BoP'!T57)+('Data BoP'!T58)</f>
        <v>124.470551057855</v>
      </c>
      <c r="E59" s="15" t="n">
        <f aca="false">('Data BoP'!E55+'Data BoP'!T55)+('Data BoP'!E56+'Data BoP'!T56)+('Data BoP'!E57+'Data BoP'!T57)+('Data BoP'!E58+'Data BoP'!T58)</f>
        <v>-20996.4100576504</v>
      </c>
      <c r="F59" s="10" t="n">
        <f aca="false">('Data BoP'!Y55+'Data BoP'!Z55)+('Data BoP'!Y56+'Data BoP'!Z56)+('Data BoP'!Y57+'Data BoP'!Z57)+('Data BoP'!Y58+'Data BoP'!Z58)</f>
        <v>11142.256049834</v>
      </c>
      <c r="G59" s="10" t="n">
        <f aca="false">('Data BoP'!AD55+'Data BoP'!AE55)+('Data BoP'!AD56+'Data BoP'!AE56)+('Data BoP'!AD57+'Data BoP'!AE57)+('Data BoP'!AD58+'Data BoP'!AE58)</f>
        <v>-2577.02105401537</v>
      </c>
      <c r="H59" s="10" t="n">
        <f aca="false">('Data BoP'!AL55)+('Data BoP'!AL56)+('Data BoP'!AL57)+('Data BoP'!AL58)</f>
        <v>46453.9695245558</v>
      </c>
      <c r="I59" s="15" t="n">
        <f aca="false">('Data BoP'!Y55+'Data BoP'!Z55+'Data BoP'!AD55+'Data BoP'!AE55+'Data BoP'!AL55)+('Data BoP'!Y56+'Data BoP'!Z56+'Data BoP'!AD56+'Data BoP'!AE56+'Data BoP'!AL56)+('Data BoP'!Y57+'Data BoP'!Z57+'Data BoP'!AD57+'Data BoP'!AE57+'Data BoP'!AL57)+('Data BoP'!Y58+'Data BoP'!Z58+'Data BoP'!AD58+'Data BoP'!AE58+'Data BoP'!AL58)</f>
        <v>55019.2045203744</v>
      </c>
      <c r="J59" s="10" t="n">
        <f aca="false">(-('Data BoP'!W55+'Data BoP'!X55))+(-('Data BoP'!W56+'Data BoP'!X56))+(-('Data BoP'!W57+'Data BoP'!X57))+(-('Data BoP'!W58+'Data BoP'!X58))</f>
        <v>-1653.43234924325</v>
      </c>
      <c r="K59" s="10" t="n">
        <f aca="false">(-('Data BoP'!AB55+'Data BoP'!AC55))+(-('Data BoP'!AB56+'Data BoP'!AC56))+(-('Data BoP'!AB57+'Data BoP'!AC57))+(-('Data BoP'!AB58+'Data BoP'!AC58))</f>
        <v>-3814.62412003574</v>
      </c>
      <c r="L59" s="10" t="n">
        <f aca="false">(-'Data BoP'!AH55)+(-'Data BoP'!AH56)+(-'Data BoP'!AH57)+(-'Data BoP'!AH58)</f>
        <v>-22373.8714106582</v>
      </c>
      <c r="M59" s="15" t="n">
        <f aca="false">(-('Data BoP'!W55+'Data BoP'!X55+'Data BoP'!AB55+'Data BoP'!AC55+'Data BoP'!AH55))+(-('Data BoP'!W56+'Data BoP'!X56+'Data BoP'!AB56+'Data BoP'!AC56+'Data BoP'!AH56))+(-('Data BoP'!W57+'Data BoP'!X57+'Data BoP'!AB57+'Data BoP'!AC57+'Data BoP'!AH57))+(-('Data BoP'!W58+'Data BoP'!X58+'Data BoP'!AB58+'Data BoP'!AC58+'Data BoP'!AH58))</f>
        <v>-27841.9278799372</v>
      </c>
      <c r="N59" s="10" t="n">
        <f aca="false">(-'Data BoP'!AF55)+(-'Data BoP'!AF56)+(-'Data BoP'!AF57)+(-'Data BoP'!AF58)</f>
        <v>29.2756162374003</v>
      </c>
      <c r="O59" s="15" t="n">
        <f aca="false">(-('Data BoP'!U55-'Data BoP'!AJ55))+(-('Data BoP'!U56-'Data BoP'!AJ56))+(-('Data BoP'!U57-'Data BoP'!AJ57))+(-('Data BoP'!U58-'Data BoP'!AJ58))</f>
        <v>27206.5522566746</v>
      </c>
      <c r="P59" s="10" t="n">
        <f aca="false">('Data BoP'!AK55)+('Data BoP'!AK56)+('Data BoP'!AK57)+('Data BoP'!AK58)</f>
        <v>-1131.39170936294</v>
      </c>
      <c r="Q59" s="17" t="n">
        <f aca="false">('Data BoP'!AJ55)+('Data BoP'!AJ56)+('Data BoP'!AJ57)+('Data BoP'!AJ58)</f>
        <v>5078.75048966118</v>
      </c>
    </row>
    <row r="60" customFormat="false" ht="15" hidden="false" customHeight="false" outlineLevel="0" collapsed="false">
      <c r="B60" s="14" t="str">
        <f aca="false">'Data BoP'!B59</f>
        <v>2019-Q2</v>
      </c>
      <c r="C60" s="10" t="n">
        <f aca="false">('Data BoP'!E56)+('Data BoP'!E57)+('Data BoP'!E58)+('Data BoP'!E59)</f>
        <v>-14498.388013171</v>
      </c>
      <c r="D60" s="10" t="n">
        <f aca="false">('Data BoP'!T56)+('Data BoP'!T57)+('Data BoP'!T58)+('Data BoP'!T59)</f>
        <v>242.651062143371</v>
      </c>
      <c r="E60" s="15" t="n">
        <f aca="false">('Data BoP'!E56+'Data BoP'!T56)+('Data BoP'!E57+'Data BoP'!T57)+('Data BoP'!E58+'Data BoP'!T58)+('Data BoP'!E59+'Data BoP'!T59)</f>
        <v>-14255.7369510276</v>
      </c>
      <c r="F60" s="10" t="n">
        <f aca="false">('Data BoP'!Y56+'Data BoP'!Z56)+('Data BoP'!Y57+'Data BoP'!Z57)+('Data BoP'!Y58+'Data BoP'!Z58)+('Data BoP'!Y59+'Data BoP'!Z59)</f>
        <v>9198.05956156757</v>
      </c>
      <c r="G60" s="10" t="n">
        <f aca="false">('Data BoP'!AD56+'Data BoP'!AE56)+('Data BoP'!AD57+'Data BoP'!AE57)+('Data BoP'!AD58+'Data BoP'!AE58)+('Data BoP'!AD59+'Data BoP'!AE59)</f>
        <v>-5960.40831182591</v>
      </c>
      <c r="H60" s="10" t="n">
        <f aca="false">('Data BoP'!AL56)+('Data BoP'!AL57)+('Data BoP'!AL58)+('Data BoP'!AL59)</f>
        <v>38303.0067050585</v>
      </c>
      <c r="I60" s="15" t="n">
        <f aca="false">('Data BoP'!Y56+'Data BoP'!Z56+'Data BoP'!AD56+'Data BoP'!AE56+'Data BoP'!AL56)+('Data BoP'!Y57+'Data BoP'!Z57+'Data BoP'!AD57+'Data BoP'!AE57+'Data BoP'!AL57)+('Data BoP'!Y58+'Data BoP'!Z58+'Data BoP'!AD58+'Data BoP'!AE58+'Data BoP'!AL58)+('Data BoP'!Y59+'Data BoP'!Z59+'Data BoP'!AD59+'Data BoP'!AE59+'Data BoP'!AL59)</f>
        <v>41540.6579548001</v>
      </c>
      <c r="J60" s="10" t="n">
        <f aca="false">(-('Data BoP'!W56+'Data BoP'!X56))+(-('Data BoP'!W57+'Data BoP'!X57))+(-('Data BoP'!W58+'Data BoP'!X58))+(-('Data BoP'!W59+'Data BoP'!X59))</f>
        <v>-1539.06175398653</v>
      </c>
      <c r="K60" s="10" t="n">
        <f aca="false">(-('Data BoP'!AB56+'Data BoP'!AC56))+(-('Data BoP'!AB57+'Data BoP'!AC57))+(-('Data BoP'!AB58+'Data BoP'!AC58))+(-('Data BoP'!AB59+'Data BoP'!AC59))</f>
        <v>-4583.64904308889</v>
      </c>
      <c r="L60" s="10" t="n">
        <f aca="false">(-'Data BoP'!AH56)+(-'Data BoP'!AH57)+(-'Data BoP'!AH58)+(-'Data BoP'!AH59)</f>
        <v>-17424.2629663935</v>
      </c>
      <c r="M60" s="15" t="n">
        <f aca="false">(-('Data BoP'!W56+'Data BoP'!X56+'Data BoP'!AB56+'Data BoP'!AC56+'Data BoP'!AH56))+(-('Data BoP'!W57+'Data BoP'!X57+'Data BoP'!AB57+'Data BoP'!AC57+'Data BoP'!AH57))+(-('Data BoP'!W58+'Data BoP'!X58+'Data BoP'!AB58+'Data BoP'!AC58+'Data BoP'!AH58))+(-('Data BoP'!W59+'Data BoP'!X59+'Data BoP'!AB59+'Data BoP'!AC59+'Data BoP'!AH59))</f>
        <v>-23546.9737634689</v>
      </c>
      <c r="N60" s="10" t="n">
        <f aca="false">(-'Data BoP'!AF56)+(-'Data BoP'!AF57)+(-'Data BoP'!AF58)+(-'Data BoP'!AF59)</f>
        <v>69.8338090121157</v>
      </c>
      <c r="O60" s="15" t="n">
        <f aca="false">(-('Data BoP'!U56-'Data BoP'!AJ56))+(-('Data BoP'!U57-'Data BoP'!AJ57))+(-('Data BoP'!U58-'Data BoP'!AJ58))+(-('Data BoP'!U59-'Data BoP'!AJ59))</f>
        <v>18063.5180003434</v>
      </c>
      <c r="P60" s="10" t="n">
        <f aca="false">('Data BoP'!AK56)+('Data BoP'!AK57)+('Data BoP'!AK58)+('Data BoP'!AK59)</f>
        <v>-1243.28265847146</v>
      </c>
      <c r="Q60" s="17" t="n">
        <f aca="false">('Data BoP'!AJ56)+('Data BoP'!AJ57)+('Data BoP'!AJ58)+('Data BoP'!AJ59)</f>
        <v>2564.49839084426</v>
      </c>
    </row>
    <row r="61" customFormat="false" ht="15" hidden="false" customHeight="false" outlineLevel="0" collapsed="false">
      <c r="B61" s="14" t="str">
        <f aca="false">'Data BoP'!B60</f>
        <v>2019-Q3</v>
      </c>
      <c r="C61" s="10" t="n">
        <f aca="false">('Data BoP'!E57)+('Data BoP'!E58)+('Data BoP'!E59)+('Data BoP'!E60)</f>
        <v>-7948.06605148448</v>
      </c>
      <c r="D61" s="10" t="n">
        <f aca="false">('Data BoP'!T57)+('Data BoP'!T58)+('Data BoP'!T59)+('Data BoP'!T60)</f>
        <v>275.315024768887</v>
      </c>
      <c r="E61" s="15" t="n">
        <f aca="false">('Data BoP'!E57+'Data BoP'!T57)+('Data BoP'!E58+'Data BoP'!T58)+('Data BoP'!E59+'Data BoP'!T59)+('Data BoP'!E60+'Data BoP'!T60)</f>
        <v>-7672.75102671559</v>
      </c>
      <c r="F61" s="10" t="n">
        <f aca="false">('Data BoP'!Y57+'Data BoP'!Z57)+('Data BoP'!Y58+'Data BoP'!Z58)+('Data BoP'!Y59+'Data BoP'!Z59)+('Data BoP'!Y60+'Data BoP'!Z60)</f>
        <v>7646.9890715874</v>
      </c>
      <c r="G61" s="10" t="n">
        <f aca="false">('Data BoP'!AD57+'Data BoP'!AE57)+('Data BoP'!AD58+'Data BoP'!AE58)+('Data BoP'!AD59+'Data BoP'!AE59)+('Data BoP'!AD60+'Data BoP'!AE60)</f>
        <v>-5437.82215003486</v>
      </c>
      <c r="H61" s="10" t="n">
        <f aca="false">('Data BoP'!AL57)+('Data BoP'!AL58)+('Data BoP'!AL59)+('Data BoP'!AL60)</f>
        <v>38114.9319010014</v>
      </c>
      <c r="I61" s="15" t="n">
        <f aca="false">('Data BoP'!Y57+'Data BoP'!Z57+'Data BoP'!AD57+'Data BoP'!AE57+'Data BoP'!AL57)+('Data BoP'!Y58+'Data BoP'!Z58+'Data BoP'!AD58+'Data BoP'!AE58+'Data BoP'!AL58)+('Data BoP'!Y59+'Data BoP'!Z59+'Data BoP'!AD59+'Data BoP'!AE59+'Data BoP'!AL59)+('Data BoP'!Y60+'Data BoP'!Z60+'Data BoP'!AD60+'Data BoP'!AE60+'Data BoP'!AL60)</f>
        <v>40324.098822554</v>
      </c>
      <c r="J61" s="10" t="n">
        <f aca="false">(-('Data BoP'!W57+'Data BoP'!X57))+(-('Data BoP'!W58+'Data BoP'!X58))+(-('Data BoP'!W59+'Data BoP'!X59))+(-('Data BoP'!W60+'Data BoP'!X60))</f>
        <v>-1412.53984458643</v>
      </c>
      <c r="K61" s="10" t="n">
        <f aca="false">(-('Data BoP'!AB57+'Data BoP'!AC57))+(-('Data BoP'!AB58+'Data BoP'!AC58))+(-('Data BoP'!AB59+'Data BoP'!AC59))+(-('Data BoP'!AB60+'Data BoP'!AC60))</f>
        <v>-3093.21307581283</v>
      </c>
      <c r="L61" s="10" t="n">
        <f aca="false">(-'Data BoP'!AH57)+(-'Data BoP'!AH58)+(-'Data BoP'!AH59)+(-'Data BoP'!AH60)</f>
        <v>-26672.6368780459</v>
      </c>
      <c r="M61" s="15" t="n">
        <f aca="false">(-('Data BoP'!W57+'Data BoP'!X57+'Data BoP'!AB57+'Data BoP'!AC57+'Data BoP'!AH57))+(-('Data BoP'!W58+'Data BoP'!X58+'Data BoP'!AB58+'Data BoP'!AC58+'Data BoP'!AH58))+(-('Data BoP'!W59+'Data BoP'!X59+'Data BoP'!AB59+'Data BoP'!AC59+'Data BoP'!AH59))+(-('Data BoP'!W60+'Data BoP'!X60+'Data BoP'!AB60+'Data BoP'!AC60+'Data BoP'!AH60))</f>
        <v>-31178.3897984452</v>
      </c>
      <c r="N61" s="10" t="n">
        <f aca="false">(-'Data BoP'!AF57)+(-'Data BoP'!AF58)+(-'Data BoP'!AF59)+(-'Data BoP'!AF60)</f>
        <v>66.9183266125509</v>
      </c>
      <c r="O61" s="15" t="n">
        <f aca="false">(-('Data BoP'!U57-'Data BoP'!AJ57))+(-('Data BoP'!U58-'Data BoP'!AJ58))+(-('Data BoP'!U59-'Data BoP'!AJ59))+(-('Data BoP'!U60-'Data BoP'!AJ60))</f>
        <v>9212.62735072132</v>
      </c>
      <c r="P61" s="10" t="n">
        <f aca="false">('Data BoP'!AK57)+('Data BoP'!AK58)+('Data BoP'!AK59)+('Data BoP'!AK60)</f>
        <v>-1511.79989055095</v>
      </c>
      <c r="Q61" s="17" t="n">
        <f aca="false">('Data BoP'!AJ57)+('Data BoP'!AJ58)+('Data BoP'!AJ59)+('Data BoP'!AJ60)</f>
        <v>28.0764334547766</v>
      </c>
    </row>
    <row r="62" customFormat="false" ht="15" hidden="false" customHeight="false" outlineLevel="0" collapsed="false">
      <c r="B62" s="14" t="str">
        <f aca="false">'Data BoP'!B61</f>
        <v>2019-Q4</v>
      </c>
      <c r="C62" s="10" t="n">
        <f aca="false">('Data BoP'!E58)+('Data BoP'!E59)+('Data BoP'!E60)+('Data BoP'!E61)</f>
        <v>-3492.4795810842</v>
      </c>
      <c r="D62" s="10" t="n">
        <f aca="false">('Data BoP'!T58)+('Data BoP'!T59)+('Data BoP'!T60)+('Data BoP'!T61)</f>
        <v>283.947300397874</v>
      </c>
      <c r="E62" s="15" t="n">
        <f aca="false">('Data BoP'!E58+'Data BoP'!T58)+('Data BoP'!E59+'Data BoP'!T59)+('Data BoP'!E60+'Data BoP'!T60)+('Data BoP'!E61+'Data BoP'!T61)</f>
        <v>-3208.53228068633</v>
      </c>
      <c r="F62" s="10" t="n">
        <f aca="false">('Data BoP'!Y58+'Data BoP'!Z58)+('Data BoP'!Y59+'Data BoP'!Z59)+('Data BoP'!Y60+'Data BoP'!Z60)+('Data BoP'!Y61+'Data BoP'!Z61)</f>
        <v>6649.18783798606</v>
      </c>
      <c r="G62" s="10" t="n">
        <f aca="false">('Data BoP'!AD58+'Data BoP'!AE58)+('Data BoP'!AD59+'Data BoP'!AE59)+('Data BoP'!AD60+'Data BoP'!AE60)+('Data BoP'!AD61+'Data BoP'!AE61)</f>
        <v>-5004.20905378533</v>
      </c>
      <c r="H62" s="10" t="n">
        <f aca="false">('Data BoP'!AL58)+('Data BoP'!AL59)+('Data BoP'!AL60)+('Data BoP'!AL61)</f>
        <v>16955.7360755269</v>
      </c>
      <c r="I62" s="15" t="n">
        <f aca="false">('Data BoP'!Y58+'Data BoP'!Z58+'Data BoP'!AD58+'Data BoP'!AE58+'Data BoP'!AL58)+('Data BoP'!Y59+'Data BoP'!Z59+'Data BoP'!AD59+'Data BoP'!AE59+'Data BoP'!AL59)+('Data BoP'!Y60+'Data BoP'!Z60+'Data BoP'!AD60+'Data BoP'!AE60+'Data BoP'!AL60)+('Data BoP'!Y61+'Data BoP'!Z61+'Data BoP'!AD61+'Data BoP'!AE61+'Data BoP'!AL61)</f>
        <v>18600.7148597277</v>
      </c>
      <c r="J62" s="10" t="n">
        <f aca="false">(-('Data BoP'!W58+'Data BoP'!X58))+(-('Data BoP'!W59+'Data BoP'!X59))+(-('Data BoP'!W60+'Data BoP'!X60))+(-('Data BoP'!W61+'Data BoP'!X61))</f>
        <v>-1522.72815179532</v>
      </c>
      <c r="K62" s="10" t="n">
        <f aca="false">(-('Data BoP'!AB58+'Data BoP'!AC58))+(-('Data BoP'!AB59+'Data BoP'!AC59))+(-('Data BoP'!AB60+'Data BoP'!AC60))+(-('Data BoP'!AB61+'Data BoP'!AC61))</f>
        <v>-2104.37267153015</v>
      </c>
      <c r="L62" s="10" t="n">
        <f aca="false">(-'Data BoP'!AH58)+(-'Data BoP'!AH59)+(-'Data BoP'!AH60)+(-'Data BoP'!AH61)</f>
        <v>-31253.2060767701</v>
      </c>
      <c r="M62" s="15" t="n">
        <f aca="false">(-('Data BoP'!W58+'Data BoP'!X58+'Data BoP'!AB58+'Data BoP'!AC58+'Data BoP'!AH58))+(-('Data BoP'!W59+'Data BoP'!X59+'Data BoP'!AB59+'Data BoP'!AC59+'Data BoP'!AH59))+(-('Data BoP'!W60+'Data BoP'!X60+'Data BoP'!AB60+'Data BoP'!AC60+'Data BoP'!AH60))+(-('Data BoP'!W61+'Data BoP'!X61+'Data BoP'!AB61+'Data BoP'!AC61+'Data BoP'!AH61))</f>
        <v>-34880.3069000955</v>
      </c>
      <c r="N62" s="10" t="n">
        <f aca="false">(-'Data BoP'!AF58)+(-'Data BoP'!AF59)+(-'Data BoP'!AF60)+(-'Data BoP'!AF61)</f>
        <v>24.3003298529818</v>
      </c>
      <c r="O62" s="15" t="n">
        <f aca="false">(-('Data BoP'!U58-'Data BoP'!AJ58))+(-('Data BoP'!U59-'Data BoP'!AJ59))+(-('Data BoP'!U60-'Data BoP'!AJ60))+(-('Data BoP'!U61-'Data BoP'!AJ61))</f>
        <v>-16255.2917105149</v>
      </c>
      <c r="P62" s="10" t="n">
        <f aca="false">('Data BoP'!AK58)+('Data BoP'!AK59)+('Data BoP'!AK60)+('Data BoP'!AK61)</f>
        <v>-1910.73327653712</v>
      </c>
      <c r="Q62" s="17" t="n">
        <f aca="false">('Data BoP'!AJ58)+('Data BoP'!AJ59)+('Data BoP'!AJ60)+('Data BoP'!AJ61)</f>
        <v>-21374.5572677384</v>
      </c>
    </row>
    <row r="63" customFormat="false" ht="15" hidden="false" customHeight="false" outlineLevel="0" collapsed="false">
      <c r="B63" s="14" t="str">
        <f aca="false">'Data BoP'!B62</f>
        <v>2020-Q1</v>
      </c>
      <c r="C63" s="10" t="n">
        <f aca="false">('Data BoP'!E59)+('Data BoP'!E60)+('Data BoP'!E61)+('Data BoP'!E62)</f>
        <v>58.3202931740239</v>
      </c>
      <c r="D63" s="10" t="n">
        <f aca="false">('Data BoP'!T59)+('Data BoP'!T60)+('Data BoP'!T61)+('Data BoP'!T62)</f>
        <v>289.02309090696</v>
      </c>
      <c r="E63" s="15" t="n">
        <f aca="false">('Data BoP'!E59+'Data BoP'!T59)+('Data BoP'!E60+'Data BoP'!T60)+('Data BoP'!E61+'Data BoP'!T61)+('Data BoP'!E62+'Data BoP'!T62)</f>
        <v>347.343384080984</v>
      </c>
      <c r="F63" s="10" t="n">
        <f aca="false">('Data BoP'!Y59+'Data BoP'!Z59)+('Data BoP'!Y60+'Data BoP'!Z60)+('Data BoP'!Y61+'Data BoP'!Z61)+('Data BoP'!Y62+'Data BoP'!Z62)</f>
        <v>6113.00331351992</v>
      </c>
      <c r="G63" s="10" t="n">
        <f aca="false">('Data BoP'!AD59+'Data BoP'!AE59)+('Data BoP'!AD60+'Data BoP'!AE60)+('Data BoP'!AD61+'Data BoP'!AE61)+('Data BoP'!AD62+'Data BoP'!AE62)</f>
        <v>-6988.76324418482</v>
      </c>
      <c r="H63" s="10" t="n">
        <f aca="false">('Data BoP'!AL59)+('Data BoP'!AL60)+('Data BoP'!AL61)+('Data BoP'!AL62)</f>
        <v>12849.706069025</v>
      </c>
      <c r="I63" s="15" t="n">
        <f aca="false">('Data BoP'!Y59+'Data BoP'!Z59+'Data BoP'!AD59+'Data BoP'!AE59+'Data BoP'!AL59)+('Data BoP'!Y60+'Data BoP'!Z60+'Data BoP'!AD60+'Data BoP'!AE60+'Data BoP'!AL60)+('Data BoP'!Y61+'Data BoP'!Z61+'Data BoP'!AD61+'Data BoP'!AE61+'Data BoP'!AL61)+('Data BoP'!Y62+'Data BoP'!Z62+'Data BoP'!AD62+'Data BoP'!AE62+'Data BoP'!AL62)</f>
        <v>11973.9461383601</v>
      </c>
      <c r="J63" s="10" t="n">
        <f aca="false">(-('Data BoP'!W59+'Data BoP'!X59))+(-('Data BoP'!W60+'Data BoP'!X60))+(-('Data BoP'!W61+'Data BoP'!X61))+(-('Data BoP'!W62+'Data BoP'!X62))</f>
        <v>-1361.10776218553</v>
      </c>
      <c r="K63" s="10" t="n">
        <f aca="false">(-('Data BoP'!AB59+'Data BoP'!AC59))+(-('Data BoP'!AB60+'Data BoP'!AC60))+(-('Data BoP'!AB61+'Data BoP'!AC61))+(-('Data BoP'!AB62+'Data BoP'!AC62))</f>
        <v>918.010986425119</v>
      </c>
      <c r="L63" s="10" t="n">
        <f aca="false">(-'Data BoP'!AH59)+(-'Data BoP'!AH60)+(-'Data BoP'!AH61)+(-'Data BoP'!AH62)</f>
        <v>-31957.637764204</v>
      </c>
      <c r="M63" s="15" t="n">
        <f aca="false">(-('Data BoP'!W59+'Data BoP'!X59+'Data BoP'!AB59+'Data BoP'!AC59+'Data BoP'!AH59))+(-('Data BoP'!W60+'Data BoP'!X60+'Data BoP'!AB60+'Data BoP'!AC60+'Data BoP'!AH60))+(-('Data BoP'!W61+'Data BoP'!X61+'Data BoP'!AB61+'Data BoP'!AC61+'Data BoP'!AH61))+(-('Data BoP'!W62+'Data BoP'!X62+'Data BoP'!AB62+'Data BoP'!AC62+'Data BoP'!AH62))</f>
        <v>-32400.7345399644</v>
      </c>
      <c r="N63" s="10" t="n">
        <f aca="false">(-'Data BoP'!AF59)+(-'Data BoP'!AF60)+(-'Data BoP'!AF61)+(-'Data BoP'!AF62)</f>
        <v>0.045254265963301</v>
      </c>
      <c r="O63" s="15" t="n">
        <f aca="false">(-('Data BoP'!U59-'Data BoP'!AJ59))+(-('Data BoP'!U60-'Data BoP'!AJ60))+(-('Data BoP'!U61-'Data BoP'!AJ61))+(-('Data BoP'!U62-'Data BoP'!AJ62))</f>
        <v>-20426.7431473383</v>
      </c>
      <c r="P63" s="10" t="n">
        <f aca="false">('Data BoP'!AK59)+('Data BoP'!AK60)+('Data BoP'!AK61)+('Data BoP'!AK62)</f>
        <v>-2339.07872390657</v>
      </c>
      <c r="Q63" s="17" t="n">
        <f aca="false">('Data BoP'!AJ59)+('Data BoP'!AJ60)+('Data BoP'!AJ61)+('Data BoP'!AJ62)</f>
        <v>-22418.4784871639</v>
      </c>
    </row>
    <row r="64" customFormat="false" ht="15" hidden="false" customHeight="false" outlineLevel="0" collapsed="false">
      <c r="B64" s="14" t="str">
        <f aca="false">'Data BoP'!B63</f>
        <v>2020-Q2</v>
      </c>
      <c r="C64" s="10" t="n">
        <f aca="false">('Data BoP'!E60)+('Data BoP'!E61)+('Data BoP'!E62)+('Data BoP'!E63)</f>
        <v>4733.53941512048</v>
      </c>
      <c r="D64" s="10" t="n">
        <f aca="false">('Data BoP'!T60)+('Data BoP'!T61)+('Data BoP'!T62)+('Data BoP'!T63)</f>
        <v>181.471508306629</v>
      </c>
      <c r="E64" s="15" t="n">
        <f aca="false">('Data BoP'!E60+'Data BoP'!T60)+('Data BoP'!E61+'Data BoP'!T61)+('Data BoP'!E62+'Data BoP'!T62)+('Data BoP'!E63+'Data BoP'!T63)</f>
        <v>4915.0109234271</v>
      </c>
      <c r="F64" s="10" t="n">
        <f aca="false">('Data BoP'!Y60+'Data BoP'!Z60)+('Data BoP'!Y61+'Data BoP'!Z61)+('Data BoP'!Y62+'Data BoP'!Z62)+('Data BoP'!Y63+'Data BoP'!Z63)</f>
        <v>5278.00991135214</v>
      </c>
      <c r="G64" s="10" t="n">
        <f aca="false">('Data BoP'!AD60+'Data BoP'!AE60)+('Data BoP'!AD61+'Data BoP'!AE61)+('Data BoP'!AD62+'Data BoP'!AE62)+('Data BoP'!AD63+'Data BoP'!AE63)</f>
        <v>-4235.30039870098</v>
      </c>
      <c r="H64" s="10" t="n">
        <f aca="false">('Data BoP'!AL60)+('Data BoP'!AL61)+('Data BoP'!AL62)+('Data BoP'!AL63)</f>
        <v>598.117730070421</v>
      </c>
      <c r="I64" s="15" t="n">
        <f aca="false">('Data BoP'!Y60+'Data BoP'!Z60+'Data BoP'!AD60+'Data BoP'!AE60+'Data BoP'!AL60)+('Data BoP'!Y61+'Data BoP'!Z61+'Data BoP'!AD61+'Data BoP'!AE61+'Data BoP'!AL61)+('Data BoP'!Y62+'Data BoP'!Z62+'Data BoP'!AD62+'Data BoP'!AE62+'Data BoP'!AL62)+('Data BoP'!Y63+'Data BoP'!Z63+'Data BoP'!AD63+'Data BoP'!AE63+'Data BoP'!AL63)</f>
        <v>1640.82724272158</v>
      </c>
      <c r="J64" s="10" t="n">
        <f aca="false">(-('Data BoP'!W60+'Data BoP'!X60))+(-('Data BoP'!W61+'Data BoP'!X61))+(-('Data BoP'!W62+'Data BoP'!X62))+(-('Data BoP'!W63+'Data BoP'!X63))</f>
        <v>-1294.21342518603</v>
      </c>
      <c r="K64" s="10" t="n">
        <f aca="false">(-('Data BoP'!AB60+'Data BoP'!AC60))+(-('Data BoP'!AB61+'Data BoP'!AC61))+(-('Data BoP'!AB62+'Data BoP'!AC62))+(-('Data BoP'!AB63+'Data BoP'!AC63))</f>
        <v>2931.7532782204</v>
      </c>
      <c r="L64" s="10" t="n">
        <f aca="false">(-'Data BoP'!AH60)+(-'Data BoP'!AH61)+(-'Data BoP'!AH62)+(-'Data BoP'!AH63)</f>
        <v>-28874.0123536134</v>
      </c>
      <c r="M64" s="15" t="n">
        <f aca="false">(-('Data BoP'!W60+'Data BoP'!X60+'Data BoP'!AB60+'Data BoP'!AC60+'Data BoP'!AH60))+(-('Data BoP'!W61+'Data BoP'!X61+'Data BoP'!AB61+'Data BoP'!AC61+'Data BoP'!AH61))+(-('Data BoP'!W62+'Data BoP'!X62+'Data BoP'!AB62+'Data BoP'!AC62+'Data BoP'!AH62))+(-('Data BoP'!W63+'Data BoP'!X63+'Data BoP'!AB63+'Data BoP'!AC63+'Data BoP'!AH63))</f>
        <v>-27236.472500579</v>
      </c>
      <c r="N64" s="10" t="n">
        <f aca="false">(-'Data BoP'!AF60)+(-'Data BoP'!AF61)+(-'Data BoP'!AF62)+(-'Data BoP'!AF63)</f>
        <v>-48.3492300298273</v>
      </c>
      <c r="O64" s="15" t="n">
        <f aca="false">(-('Data BoP'!U60-'Data BoP'!AJ60))+(-('Data BoP'!U61-'Data BoP'!AJ61))+(-('Data BoP'!U62-'Data BoP'!AJ62))+(-('Data BoP'!U63-'Data BoP'!AJ63))</f>
        <v>-25643.9944878873</v>
      </c>
      <c r="P64" s="10" t="n">
        <f aca="false">('Data BoP'!AK60)+('Data BoP'!AK61)+('Data BoP'!AK62)+('Data BoP'!AK63)</f>
        <v>-708.822916796276</v>
      </c>
      <c r="Q64" s="17" t="n">
        <f aca="false">('Data BoP'!AJ60)+('Data BoP'!AJ61)+('Data BoP'!AJ62)+('Data BoP'!AJ63)</f>
        <v>-21437.8064812565</v>
      </c>
    </row>
    <row r="65" customFormat="false" ht="15" hidden="false" customHeight="false" outlineLevel="0" collapsed="false">
      <c r="B65" s="14" t="str">
        <f aca="false">'Data BoP'!B64</f>
        <v>2020-Q3</v>
      </c>
      <c r="C65" s="10" t="n">
        <f aca="false">('Data BoP'!E61)+('Data BoP'!E62)+('Data BoP'!E63)+('Data BoP'!E64)</f>
        <v>6692.34211862423</v>
      </c>
      <c r="D65" s="10" t="n">
        <f aca="false">('Data BoP'!T61)+('Data BoP'!T62)+('Data BoP'!T63)+('Data BoP'!T64)</f>
        <v>141.872881182895</v>
      </c>
      <c r="E65" s="15" t="n">
        <f aca="false">('Data BoP'!E61+'Data BoP'!T61)+('Data BoP'!E62+'Data BoP'!T62)+('Data BoP'!E63+'Data BoP'!T63)+('Data BoP'!E64+'Data BoP'!T64)</f>
        <v>6834.21499980712</v>
      </c>
      <c r="F65" s="10" t="n">
        <f aca="false">('Data BoP'!Y61+'Data BoP'!Z61)+('Data BoP'!Y62+'Data BoP'!Z62)+('Data BoP'!Y63+'Data BoP'!Z63)+('Data BoP'!Y64+'Data BoP'!Z64)</f>
        <v>5249.70006351599</v>
      </c>
      <c r="G65" s="10" t="n">
        <f aca="false">('Data BoP'!AD61+'Data BoP'!AE61)+('Data BoP'!AD62+'Data BoP'!AE62)+('Data BoP'!AD63+'Data BoP'!AE63)+('Data BoP'!AD64+'Data BoP'!AE64)</f>
        <v>-5809.85032825928</v>
      </c>
      <c r="H65" s="10" t="n">
        <f aca="false">('Data BoP'!AL61)+('Data BoP'!AL62)+('Data BoP'!AL63)+('Data BoP'!AL64)</f>
        <v>-3418.92362882426</v>
      </c>
      <c r="I65" s="15" t="n">
        <f aca="false">('Data BoP'!Y61+'Data BoP'!Z61+'Data BoP'!AD61+'Data BoP'!AE61+'Data BoP'!AL61)+('Data BoP'!Y62+'Data BoP'!Z62+'Data BoP'!AD62+'Data BoP'!AE62+'Data BoP'!AL62)+('Data BoP'!Y63+'Data BoP'!Z63+'Data BoP'!AD63+'Data BoP'!AE63+'Data BoP'!AL63)+('Data BoP'!Y64+'Data BoP'!Z64+'Data BoP'!AD64+'Data BoP'!AE64+'Data BoP'!AL64)</f>
        <v>-3979.07389356755</v>
      </c>
      <c r="J65" s="10" t="n">
        <f aca="false">(-('Data BoP'!W61+'Data BoP'!X61))+(-('Data BoP'!W62+'Data BoP'!X62))+(-('Data BoP'!W63+'Data BoP'!X63))+(-('Data BoP'!W64+'Data BoP'!X64))</f>
        <v>-1247.4131583007</v>
      </c>
      <c r="K65" s="10" t="n">
        <f aca="false">(-('Data BoP'!AB61+'Data BoP'!AC61))+(-('Data BoP'!AB62+'Data BoP'!AC62))+(-('Data BoP'!AB63+'Data BoP'!AC63))+(-('Data BoP'!AB64+'Data BoP'!AC64))</f>
        <v>2127.24926281139</v>
      </c>
      <c r="L65" s="10" t="n">
        <f aca="false">(-'Data BoP'!AH61)+(-'Data BoP'!AH62)+(-'Data BoP'!AH63)+(-'Data BoP'!AH64)</f>
        <v>-11905.9653118818</v>
      </c>
      <c r="M65" s="15" t="n">
        <f aca="false">(-('Data BoP'!W61+'Data BoP'!X61+'Data BoP'!AB61+'Data BoP'!AC61+'Data BoP'!AH61))+(-('Data BoP'!W62+'Data BoP'!X62+'Data BoP'!AB62+'Data BoP'!AC62+'Data BoP'!AH62))+(-('Data BoP'!W63+'Data BoP'!X63+'Data BoP'!AB63+'Data BoP'!AC63+'Data BoP'!AH63))+(-('Data BoP'!W64+'Data BoP'!X64+'Data BoP'!AB64+'Data BoP'!AC64+'Data BoP'!AH64))</f>
        <v>-11026.1292073711</v>
      </c>
      <c r="N65" s="10" t="n">
        <f aca="false">(-'Data BoP'!AF61)+(-'Data BoP'!AF62)+(-'Data BoP'!AF63)+(-'Data BoP'!AF64)</f>
        <v>-14.3784071193189</v>
      </c>
      <c r="O65" s="15" t="n">
        <f aca="false">(-('Data BoP'!U61-'Data BoP'!AJ61))+(-('Data BoP'!U62-'Data BoP'!AJ62))+(-('Data BoP'!U63-'Data BoP'!AJ63))+(-('Data BoP'!U64-'Data BoP'!AJ64))</f>
        <v>-15019.581508058</v>
      </c>
      <c r="P65" s="10" t="n">
        <f aca="false">('Data BoP'!AK61)+('Data BoP'!AK62)+('Data BoP'!AK63)+('Data BoP'!AK64)</f>
        <v>-1465.51394489109</v>
      </c>
      <c r="Q65" s="17" t="n">
        <f aca="false">('Data BoP'!AJ61)+('Data BoP'!AJ62)+('Data BoP'!AJ63)+('Data BoP'!AJ64)</f>
        <v>-9650.88045314198</v>
      </c>
    </row>
    <row r="66" customFormat="false" ht="15" hidden="false" customHeight="false" outlineLevel="0" collapsed="false">
      <c r="B66" s="14" t="str">
        <f aca="false">'Data BoP'!B65</f>
        <v>2020-Q4</v>
      </c>
      <c r="C66" s="10" t="n">
        <f aca="false">('Data BoP'!E62)+('Data BoP'!E63)+('Data BoP'!E64)+('Data BoP'!E65)</f>
        <v>2688.36200552312</v>
      </c>
      <c r="D66" s="10" t="n">
        <f aca="false">('Data BoP'!T62)+('Data BoP'!T63)+('Data BoP'!T64)+('Data BoP'!T65)</f>
        <v>164.762473553326</v>
      </c>
      <c r="E66" s="15" t="n">
        <f aca="false">('Data BoP'!E62+'Data BoP'!T62)+('Data BoP'!E63+'Data BoP'!T63)+('Data BoP'!E64+'Data BoP'!T64)+('Data BoP'!E65+'Data BoP'!T65)</f>
        <v>2853.12447907644</v>
      </c>
      <c r="F66" s="10" t="n">
        <f aca="false">('Data BoP'!Y62+'Data BoP'!Z62)+('Data BoP'!Y63+'Data BoP'!Z63)+('Data BoP'!Y64+'Data BoP'!Z64)+('Data BoP'!Y65+'Data BoP'!Z65)</f>
        <v>4884.12767595707</v>
      </c>
      <c r="G66" s="10" t="n">
        <f aca="false">('Data BoP'!AD62+'Data BoP'!AE62)+('Data BoP'!AD63+'Data BoP'!AE63)+('Data BoP'!AD64+'Data BoP'!AE64)+('Data BoP'!AD65+'Data BoP'!AE65)</f>
        <v>-4550.59843102815</v>
      </c>
      <c r="H66" s="10" t="n">
        <f aca="false">('Data BoP'!AL62)+('Data BoP'!AL63)+('Data BoP'!AL64)+('Data BoP'!AL65)</f>
        <v>-3676.33745527029</v>
      </c>
      <c r="I66" s="15" t="n">
        <f aca="false">('Data BoP'!Y62+'Data BoP'!Z62+'Data BoP'!AD62+'Data BoP'!AE62+'Data BoP'!AL62)+('Data BoP'!Y63+'Data BoP'!Z63+'Data BoP'!AD63+'Data BoP'!AE63+'Data BoP'!AL63)+('Data BoP'!Y64+'Data BoP'!Z64+'Data BoP'!AD64+'Data BoP'!AE64+'Data BoP'!AL64)+('Data BoP'!Y65+'Data BoP'!Z65+'Data BoP'!AD65+'Data BoP'!AE65+'Data BoP'!AL65)</f>
        <v>-3342.80821034138</v>
      </c>
      <c r="J66" s="10" t="n">
        <f aca="false">(-('Data BoP'!W62+'Data BoP'!X62))+(-('Data BoP'!W63+'Data BoP'!X63))+(-('Data BoP'!W64+'Data BoP'!X64))+(-('Data BoP'!W65+'Data BoP'!X65))</f>
        <v>-1177.17690860546</v>
      </c>
      <c r="K66" s="10" t="n">
        <f aca="false">(-('Data BoP'!AB62+'Data BoP'!AC62))+(-('Data BoP'!AB63+'Data BoP'!AC63))+(-('Data BoP'!AB64+'Data BoP'!AC64))+(-('Data BoP'!AB65+'Data BoP'!AC65))</f>
        <v>2979.89665396598</v>
      </c>
      <c r="L66" s="10" t="n">
        <f aca="false">(-'Data BoP'!AH62)+(-'Data BoP'!AH63)+(-'Data BoP'!AH64)+(-'Data BoP'!AH65)</f>
        <v>-7538.78902796988</v>
      </c>
      <c r="M66" s="15" t="n">
        <f aca="false">(-('Data BoP'!W62+'Data BoP'!X62+'Data BoP'!AB62+'Data BoP'!AC62+'Data BoP'!AH62))+(-('Data BoP'!W63+'Data BoP'!X63+'Data BoP'!AB63+'Data BoP'!AC63+'Data BoP'!AH63))+(-('Data BoP'!W64+'Data BoP'!X64+'Data BoP'!AB64+'Data BoP'!AC64+'Data BoP'!AH64))+(-('Data BoP'!W65+'Data BoP'!X65+'Data BoP'!AB65+'Data BoP'!AC65+'Data BoP'!AH65))</f>
        <v>-5736.06928260935</v>
      </c>
      <c r="N66" s="10" t="n">
        <f aca="false">(-'Data BoP'!AF62)+(-'Data BoP'!AF63)+(-'Data BoP'!AF64)+(-'Data BoP'!AF65)</f>
        <v>-10.4133695074656</v>
      </c>
      <c r="O66" s="15" t="n">
        <f aca="false">(-('Data BoP'!U62-'Data BoP'!AJ62))+(-('Data BoP'!U63-'Data BoP'!AJ63))+(-('Data BoP'!U64-'Data BoP'!AJ64))+(-('Data BoP'!U65-'Data BoP'!AJ65))</f>
        <v>-9089.29086245819</v>
      </c>
      <c r="P66" s="10" t="n">
        <f aca="false">('Data BoP'!AK62)+('Data BoP'!AK63)+('Data BoP'!AK64)+('Data BoP'!AK65)</f>
        <v>-1491.00447234746</v>
      </c>
      <c r="Q66" s="17" t="n">
        <f aca="false">('Data BoP'!AJ62)+('Data BoP'!AJ63)+('Data BoP'!AJ64)+('Data BoP'!AJ65)</f>
        <v>-7727.1708557292</v>
      </c>
    </row>
    <row r="67" customFormat="false" ht="15" hidden="false" customHeight="false" outlineLevel="0" collapsed="false">
      <c r="B67" s="14" t="str">
        <f aca="false">'Data BoP'!B66</f>
        <v>2021-Q1</v>
      </c>
      <c r="C67" s="10" t="n">
        <f aca="false">('Data BoP'!E63)+('Data BoP'!E64)+('Data BoP'!E65)+('Data BoP'!E66)</f>
        <v>2966.65996275671</v>
      </c>
      <c r="D67" s="10" t="n">
        <f aca="false">('Data BoP'!T63)+('Data BoP'!T64)+('Data BoP'!T65)+('Data BoP'!T66)</f>
        <v>168.113865745084</v>
      </c>
      <c r="E67" s="15" t="n">
        <f aca="false">('Data BoP'!E63+'Data BoP'!T63)+('Data BoP'!E64+'Data BoP'!T64)+('Data BoP'!E65+'Data BoP'!T65)+('Data BoP'!E66+'Data BoP'!T66)</f>
        <v>3134.77382850179</v>
      </c>
      <c r="F67" s="10" t="n">
        <f aca="false">('Data BoP'!Y63+'Data BoP'!Z63)+('Data BoP'!Y64+'Data BoP'!Z64)+('Data BoP'!Y65+'Data BoP'!Z65)+('Data BoP'!Y66+'Data BoP'!Z66)</f>
        <v>5594.42936502806</v>
      </c>
      <c r="G67" s="10" t="n">
        <f aca="false">('Data BoP'!AD63+'Data BoP'!AE63)+('Data BoP'!AD64+'Data BoP'!AE64)+('Data BoP'!AD65+'Data BoP'!AE65)+('Data BoP'!AD66+'Data BoP'!AE66)</f>
        <v>-4652.70548722212</v>
      </c>
      <c r="H67" s="10" t="n">
        <f aca="false">('Data BoP'!AL63)+('Data BoP'!AL64)+('Data BoP'!AL65)+('Data BoP'!AL66)</f>
        <v>-1750.72922710974</v>
      </c>
      <c r="I67" s="15" t="n">
        <f aca="false">('Data BoP'!Y63+'Data BoP'!Z63+'Data BoP'!AD63+'Data BoP'!AE63+'Data BoP'!AL63)+('Data BoP'!Y64+'Data BoP'!Z64+'Data BoP'!AD64+'Data BoP'!AE64+'Data BoP'!AL64)+('Data BoP'!Y65+'Data BoP'!Z65+'Data BoP'!AD65+'Data BoP'!AE65+'Data BoP'!AL65)+('Data BoP'!Y66+'Data BoP'!Z66+'Data BoP'!AD66+'Data BoP'!AE66+'Data BoP'!AL66)</f>
        <v>-809.005349303804</v>
      </c>
      <c r="J67" s="10" t="n">
        <f aca="false">(-('Data BoP'!W63+'Data BoP'!X63))+(-('Data BoP'!W64+'Data BoP'!X64))+(-('Data BoP'!W65+'Data BoP'!X65))+(-('Data BoP'!W66+'Data BoP'!X66))</f>
        <v>-1267.58027694841</v>
      </c>
      <c r="K67" s="10" t="n">
        <f aca="false">(-('Data BoP'!AB63+'Data BoP'!AC63))+(-('Data BoP'!AB64+'Data BoP'!AC64))+(-('Data BoP'!AB65+'Data BoP'!AC65))+(-('Data BoP'!AB66+'Data BoP'!AC66))</f>
        <v>514.803249419906</v>
      </c>
      <c r="L67" s="10" t="n">
        <f aca="false">(-'Data BoP'!AH63)+(-'Data BoP'!AH64)+(-'Data BoP'!AH65)+(-'Data BoP'!AH66)</f>
        <v>-7673.16574158162</v>
      </c>
      <c r="M67" s="15" t="n">
        <f aca="false">(-('Data BoP'!W63+'Data BoP'!X63+'Data BoP'!AB63+'Data BoP'!AC63+'Data BoP'!AH63))+(-('Data BoP'!W64+'Data BoP'!X64+'Data BoP'!AB64+'Data BoP'!AC64+'Data BoP'!AH64))+(-('Data BoP'!W65+'Data BoP'!X65+'Data BoP'!AB65+'Data BoP'!AC65+'Data BoP'!AH65))+(-('Data BoP'!W66+'Data BoP'!X66+'Data BoP'!AB66+'Data BoP'!AC66+'Data BoP'!AH66))</f>
        <v>-8425.94276911012</v>
      </c>
      <c r="N67" s="10" t="n">
        <f aca="false">(-'Data BoP'!AF63)+(-'Data BoP'!AF64)+(-'Data BoP'!AF65)+(-'Data BoP'!AF66)</f>
        <v>-6.80861996239232</v>
      </c>
      <c r="O67" s="15" t="n">
        <f aca="false">(-('Data BoP'!U63-'Data BoP'!AJ63))+(-('Data BoP'!U64-'Data BoP'!AJ64))+(-('Data BoP'!U65-'Data BoP'!AJ65))+(-('Data BoP'!U66-'Data BoP'!AJ66))</f>
        <v>-9241.75673837631</v>
      </c>
      <c r="P67" s="10" t="n">
        <f aca="false">('Data BoP'!AK63)+('Data BoP'!AK64)+('Data BoP'!AK65)+('Data BoP'!AK66)</f>
        <v>148.500956424266</v>
      </c>
      <c r="Q67" s="17" t="n">
        <f aca="false">('Data BoP'!AJ63)+('Data BoP'!AJ64)+('Data BoP'!AJ65)+('Data BoP'!AJ66)</f>
        <v>-5958.48195345025</v>
      </c>
    </row>
    <row r="68" customFormat="false" ht="15" hidden="false" customHeight="false" outlineLevel="0" collapsed="false">
      <c r="B68" s="14" t="str">
        <f aca="false">'Data BoP'!B67</f>
        <v>2021-Q2</v>
      </c>
      <c r="C68" s="10" t="n">
        <f aca="false">('Data BoP'!E64)+('Data BoP'!E65)+('Data BoP'!E66)+('Data BoP'!E67)</f>
        <v>2650.03659268607</v>
      </c>
      <c r="D68" s="10" t="n">
        <f aca="false">('Data BoP'!T64)+('Data BoP'!T65)+('Data BoP'!T66)+('Data BoP'!T67)</f>
        <v>230.392187024352</v>
      </c>
      <c r="E68" s="15" t="n">
        <f aca="false">('Data BoP'!E64+'Data BoP'!T64)+('Data BoP'!E65+'Data BoP'!T65)+('Data BoP'!E66+'Data BoP'!T66)+('Data BoP'!E67+'Data BoP'!T67)</f>
        <v>2880.42877971042</v>
      </c>
      <c r="F68" s="10" t="n">
        <f aca="false">('Data BoP'!Y64+'Data BoP'!Z64)+('Data BoP'!Y65+'Data BoP'!Z65)+('Data BoP'!Y66+'Data BoP'!Z66)+('Data BoP'!Y67+'Data BoP'!Z67)</f>
        <v>7678.30570175526</v>
      </c>
      <c r="G68" s="10" t="n">
        <f aca="false">('Data BoP'!AD64+'Data BoP'!AE64)+('Data BoP'!AD65+'Data BoP'!AE65)+('Data BoP'!AD66+'Data BoP'!AE66)+('Data BoP'!AD67+'Data BoP'!AE67)</f>
        <v>-3545.36261340316</v>
      </c>
      <c r="H68" s="10" t="n">
        <f aca="false">('Data BoP'!AL64)+('Data BoP'!AL65)+('Data BoP'!AL66)+('Data BoP'!AL67)</f>
        <v>507.796587006444</v>
      </c>
      <c r="I68" s="15" t="n">
        <f aca="false">('Data BoP'!Y64+'Data BoP'!Z64+'Data BoP'!AD64+'Data BoP'!AE64+'Data BoP'!AL64)+('Data BoP'!Y65+'Data BoP'!Z65+'Data BoP'!AD65+'Data BoP'!AE65+'Data BoP'!AL65)+('Data BoP'!Y66+'Data BoP'!Z66+'Data BoP'!AD66+'Data BoP'!AE66+'Data BoP'!AL66)+('Data BoP'!Y67+'Data BoP'!Z67+'Data BoP'!AD67+'Data BoP'!AE67+'Data BoP'!AL67)</f>
        <v>4640.73967535855</v>
      </c>
      <c r="J68" s="10" t="n">
        <f aca="false">(-('Data BoP'!W64+'Data BoP'!X64))+(-('Data BoP'!W65+'Data BoP'!X65))+(-('Data BoP'!W66+'Data BoP'!X66))+(-('Data BoP'!W67+'Data BoP'!X67))</f>
        <v>-1381.03164950229</v>
      </c>
      <c r="K68" s="10" t="n">
        <f aca="false">(-('Data BoP'!AB64+'Data BoP'!AC64))+(-('Data BoP'!AB65+'Data BoP'!AC65))+(-('Data BoP'!AB66+'Data BoP'!AC66))+(-('Data BoP'!AB67+'Data BoP'!AC67))</f>
        <v>-578.908733691252</v>
      </c>
      <c r="L68" s="10" t="n">
        <f aca="false">(-'Data BoP'!AH64)+(-'Data BoP'!AH65)+(-'Data BoP'!AH66)+(-'Data BoP'!AH67)</f>
        <v>-6203.549263263</v>
      </c>
      <c r="M68" s="15" t="n">
        <f aca="false">(-('Data BoP'!W64+'Data BoP'!X64+'Data BoP'!AB64+'Data BoP'!AC64+'Data BoP'!AH64))+(-('Data BoP'!W65+'Data BoP'!X65+'Data BoP'!AB65+'Data BoP'!AC65+'Data BoP'!AH65))+(-('Data BoP'!W66+'Data BoP'!X66+'Data BoP'!AB66+'Data BoP'!AC66+'Data BoP'!AH66))+(-('Data BoP'!W67+'Data BoP'!X67+'Data BoP'!AB67+'Data BoP'!AC67+'Data BoP'!AH67))</f>
        <v>-8163.48964645653</v>
      </c>
      <c r="N68" s="10" t="n">
        <f aca="false">(-'Data BoP'!AF64)+(-'Data BoP'!AF65)+(-'Data BoP'!AF66)+(-'Data BoP'!AF67)</f>
        <v>-3.30557575203215</v>
      </c>
      <c r="O68" s="15" t="n">
        <f aca="false">(-('Data BoP'!U64-'Data BoP'!AJ64))+(-('Data BoP'!U65-'Data BoP'!AJ65))+(-('Data BoP'!U66-'Data BoP'!AJ66))+(-('Data BoP'!U67-'Data BoP'!AJ67))</f>
        <v>-3526.05554685002</v>
      </c>
      <c r="P68" s="10" t="n">
        <f aca="false">('Data BoP'!AK64)+('Data BoP'!AK65)+('Data BoP'!AK66)+('Data BoP'!AK67)</f>
        <v>-2117.38355947877</v>
      </c>
      <c r="Q68" s="17" t="n">
        <f aca="false">('Data BoP'!AJ64)+('Data BoP'!AJ65)+('Data BoP'!AJ66)+('Data BoP'!AJ67)</f>
        <v>-2763.01032661837</v>
      </c>
    </row>
    <row r="69" customFormat="false" ht="15" hidden="false" customHeight="false" outlineLevel="0" collapsed="false">
      <c r="B69" s="14" t="str">
        <f aca="false">'Data BoP'!B68</f>
        <v>2021-Q3</v>
      </c>
      <c r="C69" s="10" t="n">
        <f aca="false">('Data BoP'!E65)+('Data BoP'!E66)+('Data BoP'!E67)+('Data BoP'!E68)</f>
        <v>4848.19988224014</v>
      </c>
      <c r="D69" s="10" t="n">
        <f aca="false">('Data BoP'!T65)+('Data BoP'!T66)+('Data BoP'!T67)+('Data BoP'!T68)</f>
        <v>260.307904842748</v>
      </c>
      <c r="E69" s="15" t="n">
        <f aca="false">('Data BoP'!E65+'Data BoP'!T65)+('Data BoP'!E66+'Data BoP'!T66)+('Data BoP'!E67+'Data BoP'!T67)+('Data BoP'!E68+'Data BoP'!T68)</f>
        <v>5108.50778708288</v>
      </c>
      <c r="F69" s="10" t="n">
        <f aca="false">('Data BoP'!Y65+'Data BoP'!Z65)+('Data BoP'!Y66+'Data BoP'!Z66)+('Data BoP'!Y67+'Data BoP'!Z67)+('Data BoP'!Y68+'Data BoP'!Z68)</f>
        <v>6845.31674173999</v>
      </c>
      <c r="G69" s="10" t="n">
        <f aca="false">('Data BoP'!AD65+'Data BoP'!AE65)+('Data BoP'!AD66+'Data BoP'!AE66)+('Data BoP'!AD67+'Data BoP'!AE67)+('Data BoP'!AD68+'Data BoP'!AE68)</f>
        <v>-2054.1614697719</v>
      </c>
      <c r="H69" s="10" t="n">
        <f aca="false">('Data BoP'!AL65)+('Data BoP'!AL66)+('Data BoP'!AL67)+('Data BoP'!AL68)</f>
        <v>3268.01407774158</v>
      </c>
      <c r="I69" s="15" t="n">
        <f aca="false">('Data BoP'!Y65+'Data BoP'!Z65+'Data BoP'!AD65+'Data BoP'!AE65+'Data BoP'!AL65)+('Data BoP'!Y66+'Data BoP'!Z66+'Data BoP'!AD66+'Data BoP'!AE66+'Data BoP'!AL66)+('Data BoP'!Y67+'Data BoP'!Z67+'Data BoP'!AD67+'Data BoP'!AE67+'Data BoP'!AL67)+('Data BoP'!Y68+'Data BoP'!Z68+'Data BoP'!AD68+'Data BoP'!AE68+'Data BoP'!AL68)</f>
        <v>8059.16934970968</v>
      </c>
      <c r="J69" s="10" t="n">
        <f aca="false">(-('Data BoP'!W65+'Data BoP'!X65))+(-('Data BoP'!W66+'Data BoP'!X66))+(-('Data BoP'!W67+'Data BoP'!X67))+(-('Data BoP'!W68+'Data BoP'!X68))</f>
        <v>-1459.22549629798</v>
      </c>
      <c r="K69" s="10" t="n">
        <f aca="false">(-('Data BoP'!AB65+'Data BoP'!AC65))+(-('Data BoP'!AB66+'Data BoP'!AC66))+(-('Data BoP'!AB67+'Data BoP'!AC67))+(-('Data BoP'!AB68+'Data BoP'!AC68))</f>
        <v>-787.205824817358</v>
      </c>
      <c r="L69" s="10" t="n">
        <f aca="false">(-'Data BoP'!AH65)+(-'Data BoP'!AH66)+(-'Data BoP'!AH67)+(-'Data BoP'!AH68)</f>
        <v>-7437.50068536634</v>
      </c>
      <c r="M69" s="15" t="n">
        <f aca="false">(-('Data BoP'!W65+'Data BoP'!X65+'Data BoP'!AB65+'Data BoP'!AC65+'Data BoP'!AH65))+(-('Data BoP'!W66+'Data BoP'!X66+'Data BoP'!AB66+'Data BoP'!AC66+'Data BoP'!AH66))+(-('Data BoP'!W67+'Data BoP'!X67+'Data BoP'!AB67+'Data BoP'!AC67+'Data BoP'!AH67))+(-('Data BoP'!W68+'Data BoP'!X68+'Data BoP'!AB68+'Data BoP'!AC68+'Data BoP'!AH68))</f>
        <v>-9683.93200648167</v>
      </c>
      <c r="N69" s="10" t="n">
        <f aca="false">(-'Data BoP'!AF65)+(-'Data BoP'!AF66)+(-'Data BoP'!AF67)+(-'Data BoP'!AF68)</f>
        <v>-4.14155377105097</v>
      </c>
      <c r="O69" s="15" t="n">
        <f aca="false">(-('Data BoP'!U65-'Data BoP'!AJ65))+(-('Data BoP'!U66-'Data BoP'!AJ66))+(-('Data BoP'!U67-'Data BoP'!AJ67))+(-('Data BoP'!U68-'Data BoP'!AJ68))</f>
        <v>-1628.90421054305</v>
      </c>
      <c r="P69" s="10" t="n">
        <f aca="false">('Data BoP'!AK65)+('Data BoP'!AK66)+('Data BoP'!AK67)+('Data BoP'!AK68)</f>
        <v>-2754.62067084921</v>
      </c>
      <c r="Q69" s="17" t="n">
        <f aca="false">('Data BoP'!AJ65)+('Data BoP'!AJ66)+('Data BoP'!AJ67)+('Data BoP'!AJ68)</f>
        <v>724.982905690632</v>
      </c>
    </row>
    <row r="70" customFormat="false" ht="15" hidden="false" customHeight="false" outlineLevel="0" collapsed="false">
      <c r="B70" s="14" t="str">
        <f aca="false">'Data BoP'!B69</f>
        <v>2021-Q4</v>
      </c>
      <c r="C70" s="10" t="n">
        <f aca="false">('Data BoP'!E66)+('Data BoP'!E67)+('Data BoP'!E68)+('Data BoP'!E69)</f>
        <v>6624.785192348</v>
      </c>
      <c r="D70" s="10" t="n">
        <f aca="false">('Data BoP'!T66)+('Data BoP'!T67)+('Data BoP'!T68)+('Data BoP'!T69)</f>
        <v>252.988020207825</v>
      </c>
      <c r="E70" s="15" t="n">
        <f aca="false">('Data BoP'!E66+'Data BoP'!T66)+('Data BoP'!E67+'Data BoP'!T67)+('Data BoP'!E68+'Data BoP'!T68)+('Data BoP'!E69+'Data BoP'!T69)</f>
        <v>6877.77321255582</v>
      </c>
      <c r="F70" s="10" t="n">
        <f aca="false">('Data BoP'!Y66+'Data BoP'!Z66)+('Data BoP'!Y67+'Data BoP'!Z67)+('Data BoP'!Y68+'Data BoP'!Z68)+('Data BoP'!Y69+'Data BoP'!Z69)</f>
        <v>6658.04967927729</v>
      </c>
      <c r="G70" s="10" t="n">
        <f aca="false">('Data BoP'!AD66+'Data BoP'!AE66)+('Data BoP'!AD67+'Data BoP'!AE67)+('Data BoP'!AD68+'Data BoP'!AE68)+('Data BoP'!AD69+'Data BoP'!AE69)</f>
        <v>-3445.56416827442</v>
      </c>
      <c r="H70" s="10" t="n">
        <f aca="false">('Data BoP'!AL66)+('Data BoP'!AL67)+('Data BoP'!AL68)+('Data BoP'!AL69)</f>
        <v>1165.02391668803</v>
      </c>
      <c r="I70" s="15" t="n">
        <f aca="false">('Data BoP'!Y66+'Data BoP'!Z66+'Data BoP'!AD66+'Data BoP'!AE66+'Data BoP'!AL66)+('Data BoP'!Y67+'Data BoP'!Z67+'Data BoP'!AD67+'Data BoP'!AE67+'Data BoP'!AL67)+('Data BoP'!Y68+'Data BoP'!Z68+'Data BoP'!AD68+'Data BoP'!AE68+'Data BoP'!AL68)+('Data BoP'!Y69+'Data BoP'!Z69+'Data BoP'!AD69+'Data BoP'!AE69+'Data BoP'!AL69)</f>
        <v>4377.50942769089</v>
      </c>
      <c r="J70" s="10" t="n">
        <f aca="false">(-('Data BoP'!W66+'Data BoP'!X66))+(-('Data BoP'!W67+'Data BoP'!X67))+(-('Data BoP'!W68+'Data BoP'!X68))+(-('Data BoP'!W69+'Data BoP'!X69))</f>
        <v>-1543.86173775887</v>
      </c>
      <c r="K70" s="10" t="n">
        <f aca="false">(-('Data BoP'!AB66+'Data BoP'!AC66))+(-('Data BoP'!AB67+'Data BoP'!AC67))+(-('Data BoP'!AB68+'Data BoP'!AC68))+(-('Data BoP'!AB69+'Data BoP'!AC69))</f>
        <v>-1494.87394936051</v>
      </c>
      <c r="L70" s="10" t="n">
        <f aca="false">(-'Data BoP'!AH66)+(-'Data BoP'!AH67)+(-'Data BoP'!AH68)+(-'Data BoP'!AH69)</f>
        <v>-5961.86839625988</v>
      </c>
      <c r="M70" s="15" t="n">
        <f aca="false">(-('Data BoP'!W66+'Data BoP'!X66+'Data BoP'!AB66+'Data BoP'!AC66+'Data BoP'!AH66))+(-('Data BoP'!W67+'Data BoP'!X67+'Data BoP'!AB67+'Data BoP'!AC67+'Data BoP'!AH67))+(-('Data BoP'!W68+'Data BoP'!X68+'Data BoP'!AB68+'Data BoP'!AC68+'Data BoP'!AH68))+(-('Data BoP'!W69+'Data BoP'!X69+'Data BoP'!AB69+'Data BoP'!AC69+'Data BoP'!AH69))</f>
        <v>-9000.60408337926</v>
      </c>
      <c r="N70" s="10" t="n">
        <f aca="false">(-'Data BoP'!AF66)+(-'Data BoP'!AF67)+(-'Data BoP'!AF68)+(-'Data BoP'!AF69)</f>
        <v>15.5737277655788</v>
      </c>
      <c r="O70" s="15" t="n">
        <f aca="false">(-('Data BoP'!U66-'Data BoP'!AJ66))+(-('Data BoP'!U67-'Data BoP'!AJ67))+(-('Data BoP'!U68-'Data BoP'!AJ68))+(-('Data BoP'!U69-'Data BoP'!AJ69))</f>
        <v>-4607.52092792279</v>
      </c>
      <c r="P70" s="10" t="n">
        <f aca="false">('Data BoP'!AK66)+('Data BoP'!AK67)+('Data BoP'!AK68)+('Data BoP'!AK69)</f>
        <v>-2376.06511016302</v>
      </c>
      <c r="Q70" s="17" t="n">
        <f aca="false">('Data BoP'!AJ66)+('Data BoP'!AJ67)+('Data BoP'!AJ68)+('Data BoP'!AJ69)</f>
        <v>-105.812825529981</v>
      </c>
    </row>
    <row r="71" customFormat="false" ht="15" hidden="false" customHeight="false" outlineLevel="0" collapsed="false">
      <c r="B71" s="14" t="str">
        <f aca="false">'Data BoP'!B70</f>
        <v>2022-Q1</v>
      </c>
      <c r="C71" s="10" t="n">
        <f aca="false">('Data BoP'!E67)+('Data BoP'!E68)+('Data BoP'!E69)+('Data BoP'!E70)</f>
        <v>4986.75848802318</v>
      </c>
      <c r="D71" s="10" t="n">
        <f aca="false">('Data BoP'!T67)+('Data BoP'!T68)+('Data BoP'!T69)+('Data BoP'!T70)</f>
        <v>241.455121341612</v>
      </c>
      <c r="E71" s="15" t="n">
        <f aca="false">('Data BoP'!E67+'Data BoP'!T67)+('Data BoP'!E68+'Data BoP'!T68)+('Data BoP'!E69+'Data BoP'!T69)+('Data BoP'!E70+'Data BoP'!T70)</f>
        <v>5228.21360936479</v>
      </c>
      <c r="F71" s="10" t="n">
        <f aca="false">('Data BoP'!Y67+'Data BoP'!Z67)+('Data BoP'!Y68+'Data BoP'!Z68)+('Data BoP'!Y69+'Data BoP'!Z69)+('Data BoP'!Y70+'Data BoP'!Z70)</f>
        <v>7599.39090475427</v>
      </c>
      <c r="G71" s="10" t="n">
        <f aca="false">('Data BoP'!AD67+'Data BoP'!AE67)+('Data BoP'!AD68+'Data BoP'!AE68)+('Data BoP'!AD69+'Data BoP'!AE69)+('Data BoP'!AD70+'Data BoP'!AE70)</f>
        <v>-3687.38095239515</v>
      </c>
      <c r="H71" s="10" t="n">
        <f aca="false">('Data BoP'!AL67)+('Data BoP'!AL68)+('Data BoP'!AL69)+('Data BoP'!AL70)</f>
        <v>8839.18494207061</v>
      </c>
      <c r="I71" s="15" t="n">
        <f aca="false">('Data BoP'!Y67+'Data BoP'!Z67+'Data BoP'!AD67+'Data BoP'!AE67+'Data BoP'!AL67)+('Data BoP'!Y68+'Data BoP'!Z68+'Data BoP'!AD68+'Data BoP'!AE68+'Data BoP'!AL68)+('Data BoP'!Y69+'Data BoP'!Z69+'Data BoP'!AD69+'Data BoP'!AE69+'Data BoP'!AL69)+('Data BoP'!Y70+'Data BoP'!Z70+'Data BoP'!AD70+'Data BoP'!AE70+'Data BoP'!AL70)</f>
        <v>12751.1948944297</v>
      </c>
      <c r="J71" s="10" t="n">
        <f aca="false">(-('Data BoP'!W67+'Data BoP'!X67))+(-('Data BoP'!W68+'Data BoP'!X68))+(-('Data BoP'!W69+'Data BoP'!X69))+(-('Data BoP'!W70+'Data BoP'!X70))</f>
        <v>-1643.61594459284</v>
      </c>
      <c r="K71" s="10" t="n">
        <f aca="false">(-('Data BoP'!AB67+'Data BoP'!AC67))+(-('Data BoP'!AB68+'Data BoP'!AC68))+(-('Data BoP'!AB69+'Data BoP'!AC69))+(-('Data BoP'!AB70+'Data BoP'!AC70))</f>
        <v>-1694.45920330437</v>
      </c>
      <c r="L71" s="10" t="n">
        <f aca="false">(-'Data BoP'!AH67)+(-'Data BoP'!AH68)+(-'Data BoP'!AH69)+(-'Data BoP'!AH70)</f>
        <v>-8370.38929268917</v>
      </c>
      <c r="M71" s="15" t="n">
        <f aca="false">(-('Data BoP'!W67+'Data BoP'!X67+'Data BoP'!AB67+'Data BoP'!AC67+'Data BoP'!AH67))+(-('Data BoP'!W68+'Data BoP'!X68+'Data BoP'!AB68+'Data BoP'!AC68+'Data BoP'!AH68))+(-('Data BoP'!W69+'Data BoP'!X69+'Data BoP'!AB69+'Data BoP'!AC69+'Data BoP'!AH69))+(-('Data BoP'!W70+'Data BoP'!X70+'Data BoP'!AB70+'Data BoP'!AC70+'Data BoP'!AH70))</f>
        <v>-11708.4644405864</v>
      </c>
      <c r="N71" s="10" t="n">
        <f aca="false">(-'Data BoP'!AF67)+(-'Data BoP'!AF68)+(-'Data BoP'!AF69)+(-'Data BoP'!AF70)</f>
        <v>11.2536611371019</v>
      </c>
      <c r="O71" s="15" t="n">
        <f aca="false">(-('Data BoP'!U67-'Data BoP'!AJ67))+(-('Data BoP'!U68-'Data BoP'!AJ68))+(-('Data BoP'!U69-'Data BoP'!AJ69))+(-('Data BoP'!U70-'Data BoP'!AJ70))</f>
        <v>1053.98411498046</v>
      </c>
      <c r="P71" s="10" t="n">
        <f aca="false">('Data BoP'!AK67)+('Data BoP'!AK68)+('Data BoP'!AK69)+('Data BoP'!AK70)</f>
        <v>-3875.26928625919</v>
      </c>
      <c r="Q71" s="17" t="n">
        <f aca="false">('Data BoP'!AJ67)+('Data BoP'!AJ68)+('Data BoP'!AJ69)+('Data BoP'!AJ70)</f>
        <v>2406.92843808606</v>
      </c>
    </row>
    <row r="72" customFormat="false" ht="15" hidden="false" customHeight="false" outlineLevel="0" collapsed="false">
      <c r="B72" s="14" t="str">
        <f aca="false">'Data BoP'!B71</f>
        <v>2022-Q2</v>
      </c>
      <c r="C72" s="10" t="n">
        <f aca="false">('Data BoP'!E68)+('Data BoP'!E69)+('Data BoP'!E70)+('Data BoP'!E71)</f>
        <v>1487.3739226203</v>
      </c>
      <c r="D72" s="10" t="n">
        <f aca="false">('Data BoP'!T68)+('Data BoP'!T69)+('Data BoP'!T70)+('Data BoP'!T71)</f>
        <v>174.462322044904</v>
      </c>
      <c r="E72" s="15" t="n">
        <f aca="false">('Data BoP'!E68+'Data BoP'!T68)+('Data BoP'!E69+'Data BoP'!T69)+('Data BoP'!E70+'Data BoP'!T70)+('Data BoP'!E71+'Data BoP'!T71)</f>
        <v>1661.83624466521</v>
      </c>
      <c r="F72" s="10" t="n">
        <f aca="false">('Data BoP'!Y68+'Data BoP'!Z68)+('Data BoP'!Y69+'Data BoP'!Z69)+('Data BoP'!Y70+'Data BoP'!Z70)+('Data BoP'!Y71+'Data BoP'!Z71)</f>
        <v>10440.1573531116</v>
      </c>
      <c r="G72" s="10" t="n">
        <f aca="false">('Data BoP'!AD68+'Data BoP'!AE68)+('Data BoP'!AD69+'Data BoP'!AE69)+('Data BoP'!AD70+'Data BoP'!AE70)+('Data BoP'!AD71+'Data BoP'!AE71)</f>
        <v>-3932.52580446997</v>
      </c>
      <c r="H72" s="10" t="n">
        <f aca="false">('Data BoP'!AL68)+('Data BoP'!AL69)+('Data BoP'!AL70)+('Data BoP'!AL71)</f>
        <v>9369.03791041833</v>
      </c>
      <c r="I72" s="15" t="n">
        <f aca="false">('Data BoP'!Y68+'Data BoP'!Z68+'Data BoP'!AD68+'Data BoP'!AE68+'Data BoP'!AL68)+('Data BoP'!Y69+'Data BoP'!Z69+'Data BoP'!AD69+'Data BoP'!AE69+'Data BoP'!AL69)+('Data BoP'!Y70+'Data BoP'!Z70+'Data BoP'!AD70+'Data BoP'!AE70+'Data BoP'!AL70)+('Data BoP'!Y71+'Data BoP'!Z71+'Data BoP'!AD71+'Data BoP'!AE71+'Data BoP'!AL71)</f>
        <v>15876.6694590599</v>
      </c>
      <c r="J72" s="10" t="n">
        <f aca="false">(-('Data BoP'!W68+'Data BoP'!X68))+(-('Data BoP'!W69+'Data BoP'!X69))+(-('Data BoP'!W70+'Data BoP'!X70))+(-('Data BoP'!W71+'Data BoP'!X71))</f>
        <v>-1777.43994888107</v>
      </c>
      <c r="K72" s="10" t="n">
        <f aca="false">(-('Data BoP'!AB68+'Data BoP'!AC68))+(-('Data BoP'!AB69+'Data BoP'!AC69))+(-('Data BoP'!AB70+'Data BoP'!AC70))+(-('Data BoP'!AB71+'Data BoP'!AC71))</f>
        <v>-2057.32184510653</v>
      </c>
      <c r="L72" s="10" t="n">
        <f aca="false">(-'Data BoP'!AH68)+(-'Data BoP'!AH69)+(-'Data BoP'!AH70)+(-'Data BoP'!AH71)</f>
        <v>-7693.23432574672</v>
      </c>
      <c r="M72" s="15" t="n">
        <f aca="false">(-('Data BoP'!W68+'Data BoP'!X68+'Data BoP'!AB68+'Data BoP'!AC68+'Data BoP'!AH68))+(-('Data BoP'!W69+'Data BoP'!X69+'Data BoP'!AB69+'Data BoP'!AC69+'Data BoP'!AH69))+(-('Data BoP'!W70+'Data BoP'!X70+'Data BoP'!AB70+'Data BoP'!AC70+'Data BoP'!AH70))+(-('Data BoP'!W71+'Data BoP'!X71+'Data BoP'!AB71+'Data BoP'!AC71+'Data BoP'!AH71))</f>
        <v>-11527.9961197343</v>
      </c>
      <c r="N72" s="10" t="n">
        <f aca="false">(-'Data BoP'!AF68)+(-'Data BoP'!AF69)+(-'Data BoP'!AF70)+(-'Data BoP'!AF71)</f>
        <v>9.17498275982139</v>
      </c>
      <c r="O72" s="15" t="n">
        <f aca="false">(-('Data BoP'!U68-'Data BoP'!AJ68))+(-('Data BoP'!U69-'Data BoP'!AJ69))+(-('Data BoP'!U70-'Data BoP'!AJ70))+(-('Data BoP'!U71-'Data BoP'!AJ71))</f>
        <v>4357.84832208545</v>
      </c>
      <c r="P72" s="10" t="n">
        <f aca="false">('Data BoP'!AK68)+('Data BoP'!AK69)+('Data BoP'!AK70)+('Data BoP'!AK71)</f>
        <v>-4732.11427992615</v>
      </c>
      <c r="Q72" s="17" t="n">
        <f aca="false">('Data BoP'!AJ68)+('Data BoP'!AJ69)+('Data BoP'!AJ70)+('Data BoP'!AJ71)</f>
        <v>1287.5702868245</v>
      </c>
    </row>
    <row r="73" customFormat="false" ht="15" hidden="false" customHeight="false" outlineLevel="0" collapsed="false">
      <c r="B73" s="14" t="str">
        <f aca="false">'Data BoP'!B72</f>
        <v>2022-Q3</v>
      </c>
      <c r="C73" s="10" t="n">
        <f aca="false">('Data BoP'!E69)+('Data BoP'!E70)+('Data BoP'!E71)+('Data BoP'!E72)</f>
        <v>-5466.91783994029</v>
      </c>
      <c r="D73" s="10" t="n">
        <f aca="false">('Data BoP'!T69)+('Data BoP'!T70)+('Data BoP'!T71)+('Data BoP'!T72)</f>
        <v>185.471002612017</v>
      </c>
      <c r="E73" s="15" t="n">
        <f aca="false">('Data BoP'!E69+'Data BoP'!T69)+('Data BoP'!E70+'Data BoP'!T70)+('Data BoP'!E71+'Data BoP'!T71)+('Data BoP'!E72+'Data BoP'!T72)</f>
        <v>-5281.44683732828</v>
      </c>
      <c r="F73" s="10" t="n">
        <f aca="false">('Data BoP'!Y69+'Data BoP'!Z69)+('Data BoP'!Y70+'Data BoP'!Z70)+('Data BoP'!Y71+'Data BoP'!Z71)+('Data BoP'!Y72+'Data BoP'!Z72)</f>
        <v>15675.079257814</v>
      </c>
      <c r="G73" s="10" t="n">
        <f aca="false">('Data BoP'!AD69+'Data BoP'!AE69)+('Data BoP'!AD70+'Data BoP'!AE70)+('Data BoP'!AD71+'Data BoP'!AE71)+('Data BoP'!AD72+'Data BoP'!AE72)</f>
        <v>-4455.52715933725</v>
      </c>
      <c r="H73" s="10" t="n">
        <f aca="false">('Data BoP'!AL69)+('Data BoP'!AL70)+('Data BoP'!AL71)+('Data BoP'!AL72)</f>
        <v>7971.9646571657</v>
      </c>
      <c r="I73" s="15" t="n">
        <f aca="false">('Data BoP'!Y69+'Data BoP'!Z69+'Data BoP'!AD69+'Data BoP'!AE69+'Data BoP'!AL69)+('Data BoP'!Y70+'Data BoP'!Z70+'Data BoP'!AD70+'Data BoP'!AE70+'Data BoP'!AL70)+('Data BoP'!Y71+'Data BoP'!Z71+'Data BoP'!AD71+'Data BoP'!AE71+'Data BoP'!AL71)+('Data BoP'!Y72+'Data BoP'!Z72+'Data BoP'!AD72+'Data BoP'!AE72+'Data BoP'!AL72)</f>
        <v>19191.5167556425</v>
      </c>
      <c r="J73" s="10" t="n">
        <f aca="false">(-('Data BoP'!W69+'Data BoP'!X69))+(-('Data BoP'!W70+'Data BoP'!X70))+(-('Data BoP'!W71+'Data BoP'!X71))+(-('Data BoP'!W72+'Data BoP'!X72))</f>
        <v>-1929.59100462885</v>
      </c>
      <c r="K73" s="10" t="n">
        <f aca="false">(-('Data BoP'!AB69+'Data BoP'!AC69))+(-('Data BoP'!AB70+'Data BoP'!AC70))+(-('Data BoP'!AB71+'Data BoP'!AC71))+(-('Data BoP'!AB72+'Data BoP'!AC72))</f>
        <v>-2606.25164249387</v>
      </c>
      <c r="L73" s="10" t="n">
        <f aca="false">(-'Data BoP'!AH69)+(-'Data BoP'!AH70)+(-'Data BoP'!AH71)+(-'Data BoP'!AH72)</f>
        <v>-9617.93683855082</v>
      </c>
      <c r="M73" s="15" t="n">
        <f aca="false">(-('Data BoP'!W69+'Data BoP'!X69+'Data BoP'!AB69+'Data BoP'!AC69+'Data BoP'!AH69))+(-('Data BoP'!W70+'Data BoP'!X70+'Data BoP'!AB70+'Data BoP'!AC70+'Data BoP'!AH70))+(-('Data BoP'!W71+'Data BoP'!X71+'Data BoP'!AB71+'Data BoP'!AC71+'Data BoP'!AH71))+(-('Data BoP'!W72+'Data BoP'!X72+'Data BoP'!AB72+'Data BoP'!AC72+'Data BoP'!AH72))</f>
        <v>-14153.7794856735</v>
      </c>
      <c r="N73" s="10" t="n">
        <f aca="false">(-'Data BoP'!AF69)+(-'Data BoP'!AF70)+(-'Data BoP'!AF71)+(-'Data BoP'!AF72)</f>
        <v>14.2874524911112</v>
      </c>
      <c r="O73" s="15" t="n">
        <f aca="false">(-('Data BoP'!U69-'Data BoP'!AJ69))+(-('Data BoP'!U70-'Data BoP'!AJ70))+(-('Data BoP'!U71-'Data BoP'!AJ71))+(-('Data BoP'!U72-'Data BoP'!AJ72))</f>
        <v>5052.02472246002</v>
      </c>
      <c r="P73" s="10" t="n">
        <f aca="false">('Data BoP'!AK69)+('Data BoP'!AK70)+('Data BoP'!AK71)+('Data BoP'!AK72)</f>
        <v>-2460.18480497174</v>
      </c>
      <c r="Q73" s="17" t="n">
        <f aca="false">('Data BoP'!AJ69)+('Data BoP'!AJ70)+('Data BoP'!AJ71)+('Data BoP'!AJ72)</f>
        <v>-2689.60691984</v>
      </c>
    </row>
    <row r="74" customFormat="false" ht="15" hidden="false" customHeight="false" outlineLevel="0" collapsed="false">
      <c r="B74" s="14" t="str">
        <f aca="false">'Data BoP'!B73</f>
        <v>2022-Q4</v>
      </c>
      <c r="C74" s="10" t="n">
        <f aca="false">('Data BoP'!E70)+('Data BoP'!E71)+('Data BoP'!E72)+('Data BoP'!E73)</f>
        <v>-3964.07491528094</v>
      </c>
      <c r="D74" s="10" t="n">
        <f aca="false">('Data BoP'!T70)+('Data BoP'!T71)+('Data BoP'!T72)+('Data BoP'!T73)</f>
        <v>191.514531168748</v>
      </c>
      <c r="E74" s="15" t="n">
        <f aca="false">('Data BoP'!E70+'Data BoP'!T70)+('Data BoP'!E71+'Data BoP'!T71)+('Data BoP'!E72+'Data BoP'!T72)+('Data BoP'!E73+'Data BoP'!T73)</f>
        <v>-3772.56038411219</v>
      </c>
      <c r="F74" s="10" t="n">
        <f aca="false">('Data BoP'!Y70+'Data BoP'!Z70)+('Data BoP'!Y71+'Data BoP'!Z71)+('Data BoP'!Y72+'Data BoP'!Z72)+('Data BoP'!Y73+'Data BoP'!Z73)</f>
        <v>15206.0873973003</v>
      </c>
      <c r="G74" s="10" t="n">
        <f aca="false">('Data BoP'!AD70+'Data BoP'!AE70)+('Data BoP'!AD71+'Data BoP'!AE71)+('Data BoP'!AD72+'Data BoP'!AE72)+('Data BoP'!AD73+'Data BoP'!AE73)</f>
        <v>-5395.90729913386</v>
      </c>
      <c r="H74" s="10" t="n">
        <f aca="false">('Data BoP'!AL70)+('Data BoP'!AL71)+('Data BoP'!AL72)+('Data BoP'!AL73)</f>
        <v>15560.0340962372</v>
      </c>
      <c r="I74" s="15" t="n">
        <f aca="false">('Data BoP'!Y70+'Data BoP'!Z70+'Data BoP'!AD70+'Data BoP'!AE70+'Data BoP'!AL70)+('Data BoP'!Y71+'Data BoP'!Z71+'Data BoP'!AD71+'Data BoP'!AE71+'Data BoP'!AL71)+('Data BoP'!Y72+'Data BoP'!Z72+'Data BoP'!AD72+'Data BoP'!AE72+'Data BoP'!AL72)+('Data BoP'!Y73+'Data BoP'!Z73+'Data BoP'!AD73+'Data BoP'!AE73+'Data BoP'!AL73)</f>
        <v>25370.2141944037</v>
      </c>
      <c r="J74" s="10" t="n">
        <f aca="false">(-('Data BoP'!W70+'Data BoP'!X70))+(-('Data BoP'!W71+'Data BoP'!X71))+(-('Data BoP'!W72+'Data BoP'!X72))+(-('Data BoP'!W73+'Data BoP'!X73))</f>
        <v>-2089.83658305669</v>
      </c>
      <c r="K74" s="10" t="n">
        <f aca="false">(-('Data BoP'!AB70+'Data BoP'!AC70))+(-('Data BoP'!AB71+'Data BoP'!AC71))+(-('Data BoP'!AB72+'Data BoP'!AC72))+(-('Data BoP'!AB73+'Data BoP'!AC73))</f>
        <v>-2066.71602859154</v>
      </c>
      <c r="L74" s="10" t="n">
        <f aca="false">(-'Data BoP'!AH70)+(-'Data BoP'!AH71)+(-'Data BoP'!AH72)+(-'Data BoP'!AH73)</f>
        <v>-6852.28099264665</v>
      </c>
      <c r="M74" s="15" t="n">
        <f aca="false">(-('Data BoP'!W70+'Data BoP'!X70+'Data BoP'!AB70+'Data BoP'!AC70+'Data BoP'!AH70))+(-('Data BoP'!W71+'Data BoP'!X71+'Data BoP'!AB71+'Data BoP'!AC71+'Data BoP'!AH71))+(-('Data BoP'!W72+'Data BoP'!X72+'Data BoP'!AB72+'Data BoP'!AC72+'Data BoP'!AH72))+(-('Data BoP'!W73+'Data BoP'!X73+'Data BoP'!AB73+'Data BoP'!AC73+'Data BoP'!AH73))</f>
        <v>-11008.8336042949</v>
      </c>
      <c r="N74" s="10" t="n">
        <f aca="false">(-'Data BoP'!AF70)+(-'Data BoP'!AF71)+(-'Data BoP'!AF72)+(-'Data BoP'!AF73)</f>
        <v>-4.44979952731973</v>
      </c>
      <c r="O74" s="15" t="n">
        <f aca="false">(-('Data BoP'!U70-'Data BoP'!AJ70))+(-('Data BoP'!U71-'Data BoP'!AJ71))+(-('Data BoP'!U72-'Data BoP'!AJ72))+(-('Data BoP'!U73-'Data BoP'!AJ73))</f>
        <v>14356.9307905815</v>
      </c>
      <c r="P74" s="10" t="n">
        <f aca="false">('Data BoP'!AK70)+('Data BoP'!AK71)+('Data BoP'!AK72)+('Data BoP'!AK73)</f>
        <v>-3664.60111382926</v>
      </c>
      <c r="Q74" s="17" t="n">
        <f aca="false">('Data BoP'!AJ70)+('Data BoP'!AJ71)+('Data BoP'!AJ72)+('Data BoP'!AJ73)</f>
        <v>6919.76929264</v>
      </c>
    </row>
    <row r="75" customFormat="false" ht="15" hidden="false" customHeight="false" outlineLevel="0" collapsed="false">
      <c r="B75" s="14" t="str">
        <f aca="false">'Data BoP'!B74</f>
        <v>2023-Q1</v>
      </c>
      <c r="C75" s="10" t="n">
        <f aca="false">('Data BoP'!E71)+('Data BoP'!E72)+('Data BoP'!E73)+('Data BoP'!E74)</f>
        <v>-8595.90993839898</v>
      </c>
      <c r="D75" s="10" t="n">
        <f aca="false">('Data BoP'!T71)+('Data BoP'!T72)+('Data BoP'!T73)+('Data BoP'!T74)</f>
        <v>183.956245848958</v>
      </c>
      <c r="E75" s="15" t="n">
        <f aca="false">('Data BoP'!E71+'Data BoP'!T71)+('Data BoP'!E72+'Data BoP'!T72)+('Data BoP'!E73+'Data BoP'!T73)+('Data BoP'!E74+'Data BoP'!T74)</f>
        <v>-8411.95369255002</v>
      </c>
      <c r="F75" s="10" t="n">
        <f aca="false">('Data BoP'!Y71+'Data BoP'!Z71)+('Data BoP'!Y72+'Data BoP'!Z72)+('Data BoP'!Y73+'Data BoP'!Z73)+('Data BoP'!Y74+'Data BoP'!Z74)</f>
        <v>16473.9803374723</v>
      </c>
      <c r="G75" s="10" t="n">
        <f aca="false">('Data BoP'!AD71+'Data BoP'!AE71)+('Data BoP'!AD72+'Data BoP'!AE72)+('Data BoP'!AD73+'Data BoP'!AE73)+('Data BoP'!AD74+'Data BoP'!AE74)</f>
        <v>-5642.06984351133</v>
      </c>
      <c r="H75" s="10" t="n">
        <f aca="false">('Data BoP'!AL71)+('Data BoP'!AL72)+('Data BoP'!AL73)+('Data BoP'!AL74)</f>
        <v>8367.53148030404</v>
      </c>
      <c r="I75" s="15" t="n">
        <f aca="false">('Data BoP'!Y71+'Data BoP'!Z71+'Data BoP'!AD71+'Data BoP'!AE71+'Data BoP'!AL71)+('Data BoP'!Y72+'Data BoP'!Z72+'Data BoP'!AD72+'Data BoP'!AE72+'Data BoP'!AL72)+('Data BoP'!Y73+'Data BoP'!Z73+'Data BoP'!AD73+'Data BoP'!AE73+'Data BoP'!AL73)+('Data BoP'!Y74+'Data BoP'!Z74+'Data BoP'!AD74+'Data BoP'!AE74+'Data BoP'!AL74)</f>
        <v>19199.4419742651</v>
      </c>
      <c r="J75" s="10" t="n">
        <f aca="false">(-('Data BoP'!W71+'Data BoP'!X71))+(-('Data BoP'!W72+'Data BoP'!X72))+(-('Data BoP'!W73+'Data BoP'!X73))+(-('Data BoP'!W74+'Data BoP'!X74))</f>
        <v>-2407.16253896004</v>
      </c>
      <c r="K75" s="10" t="n">
        <f aca="false">(-('Data BoP'!AB71+'Data BoP'!AC71))+(-('Data BoP'!AB72+'Data BoP'!AC72))+(-('Data BoP'!AB73+'Data BoP'!AC73))+(-('Data BoP'!AB74+'Data BoP'!AC74))</f>
        <v>-2488.77000951359</v>
      </c>
      <c r="L75" s="10" t="n">
        <f aca="false">(-'Data BoP'!AH71)+(-'Data BoP'!AH72)+(-'Data BoP'!AH73)+(-'Data BoP'!AH74)</f>
        <v>-3337.54715119476</v>
      </c>
      <c r="M75" s="15" t="n">
        <f aca="false">(-('Data BoP'!W71+'Data BoP'!X71+'Data BoP'!AB71+'Data BoP'!AC71+'Data BoP'!AH71))+(-('Data BoP'!W72+'Data BoP'!X72+'Data BoP'!AB72+'Data BoP'!AC72+'Data BoP'!AH72))+(-('Data BoP'!W73+'Data BoP'!X73+'Data BoP'!AB73+'Data BoP'!AC73+'Data BoP'!AH73))+(-('Data BoP'!W74+'Data BoP'!X74+'Data BoP'!AB74+'Data BoP'!AC74+'Data BoP'!AH74))</f>
        <v>-8233.47969966839</v>
      </c>
      <c r="N75" s="10" t="n">
        <f aca="false">(-'Data BoP'!AF71)+(-'Data BoP'!AF72)+(-'Data BoP'!AF73)+(-'Data BoP'!AF74)</f>
        <v>-6.36941812247039</v>
      </c>
      <c r="O75" s="15" t="n">
        <f aca="false">(-('Data BoP'!U71-'Data BoP'!AJ71))+(-('Data BoP'!U72-'Data BoP'!AJ72))+(-('Data BoP'!U73-'Data BoP'!AJ73))+(-('Data BoP'!U74-'Data BoP'!AJ74))</f>
        <v>10959.5928564742</v>
      </c>
      <c r="P75" s="10" t="n">
        <f aca="false">('Data BoP'!AK71)+('Data BoP'!AK72)+('Data BoP'!AK73)+('Data BoP'!AK74)</f>
        <v>-4823.77645016417</v>
      </c>
      <c r="Q75" s="17" t="n">
        <f aca="false">('Data BoP'!AJ71)+('Data BoP'!AJ72)+('Data BoP'!AJ73)+('Data BoP'!AJ74)</f>
        <v>-2276.13728624</v>
      </c>
    </row>
    <row r="76" customFormat="false" ht="15" hidden="false" customHeight="false" outlineLevel="0" collapsed="false">
      <c r="B76" s="14" t="str">
        <f aca="false">'Data BoP'!B75</f>
        <v>2023-Q2</v>
      </c>
      <c r="C76" s="10" t="n">
        <f aca="false">('Data BoP'!E72)+('Data BoP'!E73)+('Data BoP'!E74)+('Data BoP'!E75)</f>
        <v>-14463.4727346439</v>
      </c>
      <c r="D76" s="10" t="n">
        <f aca="false">('Data BoP'!T72)+('Data BoP'!T73)+('Data BoP'!T74)+('Data BoP'!T75)</f>
        <v>205.834351602377</v>
      </c>
      <c r="E76" s="15" t="n">
        <f aca="false">('Data BoP'!E72+'Data BoP'!T72)+('Data BoP'!E73+'Data BoP'!T73)+('Data BoP'!E74+'Data BoP'!T74)+('Data BoP'!E75+'Data BoP'!T75)</f>
        <v>-14257.6383830415</v>
      </c>
      <c r="F76" s="10" t="n">
        <f aca="false">('Data BoP'!Y72+'Data BoP'!Z72)+('Data BoP'!Y73+'Data BoP'!Z73)+('Data BoP'!Y74+'Data BoP'!Z74)+('Data BoP'!Y75+'Data BoP'!Z75)</f>
        <v>18028.5914508863</v>
      </c>
      <c r="G76" s="10" t="n">
        <f aca="false">('Data BoP'!AD72+'Data BoP'!AE72)+('Data BoP'!AD73+'Data BoP'!AE73)+('Data BoP'!AD74+'Data BoP'!AE74)+('Data BoP'!AD75+'Data BoP'!AE75)</f>
        <v>-4664.33507455433</v>
      </c>
      <c r="H76" s="10" t="n">
        <f aca="false">('Data BoP'!AL72)+('Data BoP'!AL73)+('Data BoP'!AL74)+('Data BoP'!AL75)</f>
        <v>4129.08389555031</v>
      </c>
      <c r="I76" s="15" t="n">
        <f aca="false">('Data BoP'!Y72+'Data BoP'!Z72+'Data BoP'!AD72+'Data BoP'!AE72+'Data BoP'!AL72)+('Data BoP'!Y73+'Data BoP'!Z73+'Data BoP'!AD73+'Data BoP'!AE73+'Data BoP'!AL73)+('Data BoP'!Y74+'Data BoP'!Z74+'Data BoP'!AD74+'Data BoP'!AE74+'Data BoP'!AL74)+('Data BoP'!Y75+'Data BoP'!Z75+'Data BoP'!AD75+'Data BoP'!AE75+'Data BoP'!AL75)</f>
        <v>17493.3402718822</v>
      </c>
      <c r="J76" s="10" t="n">
        <f aca="false">(-('Data BoP'!W72+'Data BoP'!X72))+(-('Data BoP'!W73+'Data BoP'!X73))+(-('Data BoP'!W74+'Data BoP'!X74))+(-('Data BoP'!W75+'Data BoP'!X75))</f>
        <v>-2621.1560580646</v>
      </c>
      <c r="K76" s="10" t="n">
        <f aca="false">(-('Data BoP'!AB72+'Data BoP'!AC72))+(-('Data BoP'!AB73+'Data BoP'!AC73))+(-('Data BoP'!AB74+'Data BoP'!AC74))+(-('Data BoP'!AB75+'Data BoP'!AC75))</f>
        <v>-2579.21843205037</v>
      </c>
      <c r="L76" s="10" t="n">
        <f aca="false">(-'Data BoP'!AH72)+(-'Data BoP'!AH73)+(-'Data BoP'!AH74)+(-'Data BoP'!AH75)</f>
        <v>-8787.58164610191</v>
      </c>
      <c r="M76" s="15" t="n">
        <f aca="false">(-('Data BoP'!W72+'Data BoP'!X72+'Data BoP'!AB72+'Data BoP'!AC72+'Data BoP'!AH72))+(-('Data BoP'!W73+'Data BoP'!X73+'Data BoP'!AB73+'Data BoP'!AC73+'Data BoP'!AH73))+(-('Data BoP'!W74+'Data BoP'!X74+'Data BoP'!AB74+'Data BoP'!AC74+'Data BoP'!AH74))+(-('Data BoP'!W75+'Data BoP'!X75+'Data BoP'!AB75+'Data BoP'!AC75+'Data BoP'!AH75))</f>
        <v>-13987.9561362169</v>
      </c>
      <c r="N76" s="10" t="n">
        <f aca="false">(-'Data BoP'!AF72)+(-'Data BoP'!AF73)+(-'Data BoP'!AF74)+(-'Data BoP'!AF75)</f>
        <v>-2.45925876189674</v>
      </c>
      <c r="O76" s="15" t="n">
        <f aca="false">(-('Data BoP'!U72-'Data BoP'!AJ72))+(-('Data BoP'!U73-'Data BoP'!AJ73))+(-('Data BoP'!U74-'Data BoP'!AJ74))+(-('Data BoP'!U75-'Data BoP'!AJ75))</f>
        <v>3502.92487690347</v>
      </c>
      <c r="P76" s="10" t="n">
        <f aca="false">('Data BoP'!AK72)+('Data BoP'!AK73)+('Data BoP'!AK74)+('Data BoP'!AK75)</f>
        <v>-2863.2772265847</v>
      </c>
      <c r="Q76" s="17" t="n">
        <f aca="false">('Data BoP'!AJ72)+('Data BoP'!AJ73)+('Data BoP'!AJ74)+('Data BoP'!AJ75)</f>
        <v>-13617.9907327227</v>
      </c>
    </row>
    <row r="77" customFormat="false" ht="15" hidden="false" customHeight="false" outlineLevel="0" collapsed="false">
      <c r="B77" s="14" t="str">
        <f aca="false">'Data BoP'!B76</f>
        <v>2023-Q3</v>
      </c>
      <c r="C77" s="10" t="n">
        <f aca="false">('Data BoP'!E73)+('Data BoP'!E74)+('Data BoP'!E75)+('Data BoP'!E76)</f>
        <v>-17258.8078329025</v>
      </c>
      <c r="D77" s="10" t="n">
        <f aca="false">('Data BoP'!T73)+('Data BoP'!T74)+('Data BoP'!T75)+('Data BoP'!T76)</f>
        <v>162.246959290263</v>
      </c>
      <c r="E77" s="15" t="n">
        <f aca="false">('Data BoP'!E73+'Data BoP'!T73)+('Data BoP'!E74+'Data BoP'!T74)+('Data BoP'!E75+'Data BoP'!T75)+('Data BoP'!E76+'Data BoP'!T76)</f>
        <v>-17096.5608736123</v>
      </c>
      <c r="F77" s="10" t="n">
        <f aca="false">('Data BoP'!Y73+'Data BoP'!Z73)+('Data BoP'!Y74+'Data BoP'!Z74)+('Data BoP'!Y75+'Data BoP'!Z75)+('Data BoP'!Y76+'Data BoP'!Z76)</f>
        <v>19380.2477561892</v>
      </c>
      <c r="G77" s="10" t="n">
        <f aca="false">('Data BoP'!AD73+'Data BoP'!AE73)+('Data BoP'!AD74+'Data BoP'!AE74)+('Data BoP'!AD75+'Data BoP'!AE75)+('Data BoP'!AD76+'Data BoP'!AE76)</f>
        <v>-5255.01324683911</v>
      </c>
      <c r="H77" s="10" t="n">
        <f aca="false">('Data BoP'!AL73)+('Data BoP'!AL74)+('Data BoP'!AL75)+('Data BoP'!AL76)</f>
        <v>11019.7993373098</v>
      </c>
      <c r="I77" s="15" t="n">
        <f aca="false">('Data BoP'!Y73+'Data BoP'!Z73+'Data BoP'!AD73+'Data BoP'!AE73+'Data BoP'!AL73)+('Data BoP'!Y74+'Data BoP'!Z74+'Data BoP'!AD74+'Data BoP'!AE74+'Data BoP'!AL74)+('Data BoP'!Y75+'Data BoP'!Z75+'Data BoP'!AD75+'Data BoP'!AE75+'Data BoP'!AL75)+('Data BoP'!Y76+'Data BoP'!Z76+'Data BoP'!AD76+'Data BoP'!AE76+'Data BoP'!AL76)</f>
        <v>25145.0338466599</v>
      </c>
      <c r="J77" s="10" t="n">
        <f aca="false">(-('Data BoP'!W73+'Data BoP'!X73))+(-('Data BoP'!W74+'Data BoP'!X74))+(-('Data BoP'!W75+'Data BoP'!X75))+(-('Data BoP'!W76+'Data BoP'!X76))</f>
        <v>-2596.35489095546</v>
      </c>
      <c r="K77" s="10" t="n">
        <f aca="false">(-('Data BoP'!AB73+'Data BoP'!AC73))+(-('Data BoP'!AB74+'Data BoP'!AC74))+(-('Data BoP'!AB75+'Data BoP'!AC75))+(-('Data BoP'!AB76+'Data BoP'!AC76))</f>
        <v>-2353.51445598892</v>
      </c>
      <c r="L77" s="10" t="n">
        <f aca="false">(-'Data BoP'!AH73)+(-'Data BoP'!AH74)+(-'Data BoP'!AH75)+(-'Data BoP'!AH76)</f>
        <v>-10199.71288867</v>
      </c>
      <c r="M77" s="15" t="n">
        <f aca="false">(-('Data BoP'!W73+'Data BoP'!X73+'Data BoP'!AB73+'Data BoP'!AC73+'Data BoP'!AH73))+(-('Data BoP'!W74+'Data BoP'!X74+'Data BoP'!AB74+'Data BoP'!AC74+'Data BoP'!AH74))+(-('Data BoP'!W75+'Data BoP'!X75+'Data BoP'!AB75+'Data BoP'!AC75+'Data BoP'!AH75))+(-('Data BoP'!W76+'Data BoP'!X76+'Data BoP'!AB76+'Data BoP'!AC76+'Data BoP'!AH76))</f>
        <v>-15149.5822356144</v>
      </c>
      <c r="N77" s="10" t="n">
        <f aca="false">(-'Data BoP'!AF73)+(-'Data BoP'!AF74)+(-'Data BoP'!AF75)+(-'Data BoP'!AF76)</f>
        <v>-5.31806249205849</v>
      </c>
      <c r="O77" s="15" t="n">
        <f aca="false">(-('Data BoP'!U73-'Data BoP'!AJ73))+(-('Data BoP'!U74-'Data BoP'!AJ74))+(-('Data BoP'!U75-'Data BoP'!AJ75))+(-('Data BoP'!U76-'Data BoP'!AJ76))</f>
        <v>9990.13354855343</v>
      </c>
      <c r="P77" s="10" t="n">
        <f aca="false">('Data BoP'!AK73)+('Data BoP'!AK74)+('Data BoP'!AK75)+('Data BoP'!AK76)</f>
        <v>-3875.06470625679</v>
      </c>
      <c r="Q77" s="17" t="n">
        <f aca="false">('Data BoP'!AJ73)+('Data BoP'!AJ74)+('Data BoP'!AJ75)+('Data BoP'!AJ76)</f>
        <v>-10981.4920313156</v>
      </c>
    </row>
    <row r="78" customFormat="false" ht="15" hidden="false" customHeight="false" outlineLevel="0" collapsed="false">
      <c r="B78" s="14" t="str">
        <f aca="false">'Data BoP'!B77</f>
        <v>2023-Q4</v>
      </c>
      <c r="C78" s="10" t="n">
        <f aca="false">('Data BoP'!E74)+('Data BoP'!E75)+('Data BoP'!E76)+('Data BoP'!E77)</f>
        <v>-22354.6872895608</v>
      </c>
      <c r="D78" s="10" t="n">
        <f aca="false">('Data BoP'!T74)+('Data BoP'!T75)+('Data BoP'!T76)+('Data BoP'!T77)</f>
        <v>190.388551302001</v>
      </c>
      <c r="E78" s="15" t="n">
        <f aca="false">('Data BoP'!E74+'Data BoP'!T74)+('Data BoP'!E75+'Data BoP'!T75)+('Data BoP'!E76+'Data BoP'!T76)+('Data BoP'!E77+'Data BoP'!T77)</f>
        <v>-22164.2987382588</v>
      </c>
      <c r="F78" s="10" t="n">
        <f aca="false">('Data BoP'!Y74+'Data BoP'!Z74)+('Data BoP'!Y75+'Data BoP'!Z75)+('Data BoP'!Y76+'Data BoP'!Z76)+('Data BoP'!Y77+'Data BoP'!Z77)</f>
        <v>26267.3801697267</v>
      </c>
      <c r="G78" s="10" t="n">
        <f aca="false">('Data BoP'!AD74+'Data BoP'!AE74)+('Data BoP'!AD75+'Data BoP'!AE75)+('Data BoP'!AD76+'Data BoP'!AE76)+('Data BoP'!AD77+'Data BoP'!AE77)</f>
        <v>-3841.02361481269</v>
      </c>
      <c r="H78" s="10" t="n">
        <f aca="false">('Data BoP'!AL74)+('Data BoP'!AL75)+('Data BoP'!AL76)+('Data BoP'!AL77)</f>
        <v>4510.81915727472</v>
      </c>
      <c r="I78" s="15" t="n">
        <f aca="false">('Data BoP'!Y74+'Data BoP'!Z74+'Data BoP'!AD74+'Data BoP'!AE74+'Data BoP'!AL74)+('Data BoP'!Y75+'Data BoP'!Z75+'Data BoP'!AD75+'Data BoP'!AE75+'Data BoP'!AL75)+('Data BoP'!Y76+'Data BoP'!Z76+'Data BoP'!AD76+'Data BoP'!AE76+'Data BoP'!AL76)+('Data BoP'!Y77+'Data BoP'!Z77+'Data BoP'!AD77+'Data BoP'!AE77+'Data BoP'!AL77)</f>
        <v>26937.1757121887</v>
      </c>
      <c r="J78" s="10" t="n">
        <f aca="false">(-('Data BoP'!W74+'Data BoP'!X74))+(-('Data BoP'!W75+'Data BoP'!X75))+(-('Data BoP'!W76+'Data BoP'!X76))+(-('Data BoP'!W77+'Data BoP'!X77))</f>
        <v>-3023.32933417089</v>
      </c>
      <c r="K78" s="10" t="n">
        <f aca="false">(-('Data BoP'!AB74+'Data BoP'!AC74))+(-('Data BoP'!AB75+'Data BoP'!AC75))+(-('Data BoP'!AB76+'Data BoP'!AC76))+(-('Data BoP'!AB77+'Data BoP'!AC77))</f>
        <v>-3069.07241208665</v>
      </c>
      <c r="L78" s="10" t="n">
        <f aca="false">(-'Data BoP'!AH74)+(-'Data BoP'!AH75)+(-'Data BoP'!AH76)+(-'Data BoP'!AH77)</f>
        <v>-16595.8510559155</v>
      </c>
      <c r="M78" s="15" t="n">
        <f aca="false">(-('Data BoP'!W74+'Data BoP'!X74+'Data BoP'!AB74+'Data BoP'!AC74+'Data BoP'!AH74))+(-('Data BoP'!W75+'Data BoP'!X75+'Data BoP'!AB75+'Data BoP'!AC75+'Data BoP'!AH75))+(-('Data BoP'!W76+'Data BoP'!X76+'Data BoP'!AB76+'Data BoP'!AC76+'Data BoP'!AH76))+(-('Data BoP'!W77+'Data BoP'!X77+'Data BoP'!AB77+'Data BoP'!AC77+'Data BoP'!AH77))</f>
        <v>-22688.252802173</v>
      </c>
      <c r="N78" s="10" t="n">
        <f aca="false">(-'Data BoP'!AF74)+(-'Data BoP'!AF75)+(-'Data BoP'!AF76)+(-'Data BoP'!AF77)</f>
        <v>-9.58547796723004</v>
      </c>
      <c r="O78" s="15" t="n">
        <f aca="false">(-('Data BoP'!U74-'Data BoP'!AJ74))+(-('Data BoP'!U75-'Data BoP'!AJ75))+(-('Data BoP'!U76-'Data BoP'!AJ76))+(-('Data BoP'!U77-'Data BoP'!AJ77))</f>
        <v>4239.33743204847</v>
      </c>
      <c r="P78" s="10" t="n">
        <f aca="false">('Data BoP'!AK74)+('Data BoP'!AK75)+('Data BoP'!AK76)+('Data BoP'!AK77)</f>
        <v>-3750.01037831532</v>
      </c>
      <c r="Q78" s="17" t="n">
        <f aca="false">('Data BoP'!AJ74)+('Data BoP'!AJ75)+('Data BoP'!AJ76)+('Data BoP'!AJ77)</f>
        <v>-21674.9716845256</v>
      </c>
    </row>
    <row r="79" customFormat="false" ht="15" hidden="false" customHeight="false" outlineLevel="0" collapsed="false">
      <c r="B79" s="14" t="str">
        <f aca="false">'Data BoP'!B78</f>
        <v>2024-Q1</v>
      </c>
      <c r="C79" s="10" t="n">
        <f aca="false">('Data BoP'!E75)+('Data BoP'!E76)+('Data BoP'!E77)+('Data BoP'!E78)</f>
        <v>-16422.4706770259</v>
      </c>
      <c r="D79" s="10" t="n">
        <f aca="false">('Data BoP'!T75)+('Data BoP'!T76)+('Data BoP'!T77)+('Data BoP'!T78)</f>
        <v>258.23168568969</v>
      </c>
      <c r="E79" s="15" t="n">
        <f aca="false">('Data BoP'!E75+'Data BoP'!T75)+('Data BoP'!E76+'Data BoP'!T76)+('Data BoP'!E77+'Data BoP'!T77)+('Data BoP'!E78+'Data BoP'!T78)</f>
        <v>-16164.2389913362</v>
      </c>
      <c r="F79" s="10" t="n">
        <f aca="false">('Data BoP'!Y75+'Data BoP'!Z75)+('Data BoP'!Y76+'Data BoP'!Z76)+('Data BoP'!Y77+'Data BoP'!Z77)+('Data BoP'!Y78+'Data BoP'!Z78)</f>
        <v>27102.226168654</v>
      </c>
      <c r="G79" s="10" t="n">
        <f aca="false">('Data BoP'!AD75+'Data BoP'!AE75)+('Data BoP'!AD76+'Data BoP'!AE76)+('Data BoP'!AD77+'Data BoP'!AE77)+('Data BoP'!AD78+'Data BoP'!AE78)</f>
        <v>-1744.07879423515</v>
      </c>
      <c r="H79" s="10" t="n">
        <f aca="false">('Data BoP'!AL75)+('Data BoP'!AL76)+('Data BoP'!AL77)+('Data BoP'!AL78)</f>
        <v>2621.50227784222</v>
      </c>
      <c r="I79" s="15" t="n">
        <f aca="false">('Data BoP'!Y75+'Data BoP'!Z75+'Data BoP'!AD75+'Data BoP'!AE75+'Data BoP'!AL75)+('Data BoP'!Y76+'Data BoP'!Z76+'Data BoP'!AD76+'Data BoP'!AE76+'Data BoP'!AL76)+('Data BoP'!Y77+'Data BoP'!Z77+'Data BoP'!AD77+'Data BoP'!AE77+'Data BoP'!AL77)+('Data BoP'!Y78+'Data BoP'!Z78+'Data BoP'!AD78+'Data BoP'!AE78+'Data BoP'!AL78)</f>
        <v>27979.6496522611</v>
      </c>
      <c r="J79" s="10" t="n">
        <f aca="false">(-('Data BoP'!W75+'Data BoP'!X75))+(-('Data BoP'!W76+'Data BoP'!X76))+(-('Data BoP'!W77+'Data BoP'!X77))+(-('Data BoP'!W78+'Data BoP'!X78))</f>
        <v>-2842.1206958849</v>
      </c>
      <c r="K79" s="10" t="n">
        <f aca="false">(-('Data BoP'!AB75+'Data BoP'!AC75))+(-('Data BoP'!AB76+'Data BoP'!AC76))+(-('Data BoP'!AB77+'Data BoP'!AC77))+(-('Data BoP'!AB78+'Data BoP'!AC78))</f>
        <v>589.691836533898</v>
      </c>
      <c r="L79" s="10" t="n">
        <f aca="false">(-'Data BoP'!AH75)+(-'Data BoP'!AH76)+(-'Data BoP'!AH77)+(-'Data BoP'!AH78)</f>
        <v>-18103.3723519108</v>
      </c>
      <c r="M79" s="15" t="n">
        <f aca="false">(-('Data BoP'!W75+'Data BoP'!X75+'Data BoP'!AB75+'Data BoP'!AC75+'Data BoP'!AH75))+(-('Data BoP'!W76+'Data BoP'!X76+'Data BoP'!AB76+'Data BoP'!AC76+'Data BoP'!AH76))+(-('Data BoP'!W77+'Data BoP'!X77+'Data BoP'!AB77+'Data BoP'!AC77+'Data BoP'!AH77))+(-('Data BoP'!W78+'Data BoP'!X78+'Data BoP'!AB78+'Data BoP'!AC78+'Data BoP'!AH78))</f>
        <v>-20355.8012112618</v>
      </c>
      <c r="N79" s="10" t="n">
        <f aca="false">(-'Data BoP'!AF75)+(-'Data BoP'!AF76)+(-'Data BoP'!AF77)+(-'Data BoP'!AF78)</f>
        <v>-7.21119446789202</v>
      </c>
      <c r="O79" s="15" t="n">
        <f aca="false">(-('Data BoP'!U75-'Data BoP'!AJ75))+(-('Data BoP'!U76-'Data BoP'!AJ76))+(-('Data BoP'!U77-'Data BoP'!AJ77))+(-('Data BoP'!U78-'Data BoP'!AJ78))</f>
        <v>7616.63724653143</v>
      </c>
      <c r="P79" s="10" t="n">
        <f aca="false">('Data BoP'!AK75)+('Data BoP'!AK76)+('Data BoP'!AK77)+('Data BoP'!AK78)</f>
        <v>-3045.73655105242</v>
      </c>
      <c r="Q79" s="17" t="n">
        <f aca="false">('Data BoP'!AJ75)+('Data BoP'!AJ76)+('Data BoP'!AJ77)+('Data BoP'!AJ78)</f>
        <v>-11593.3382958572</v>
      </c>
    </row>
    <row r="80" customFormat="false" ht="15" hidden="false" customHeight="false" outlineLevel="0" collapsed="false">
      <c r="B80" s="14" t="str">
        <f aca="false">'Data BoP'!B79</f>
        <v>2024-Q2</v>
      </c>
      <c r="C80" s="10" t="n">
        <f aca="false">('Data BoP'!E76)+('Data BoP'!E77)+('Data BoP'!E78)+('Data BoP'!E79)</f>
        <v>-6099.51341355133</v>
      </c>
      <c r="D80" s="10" t="n">
        <f aca="false">('Data BoP'!T76)+('Data BoP'!T77)+('Data BoP'!T78)+('Data BoP'!T79)</f>
        <v>266.498354524321</v>
      </c>
      <c r="E80" s="15" t="n">
        <f aca="false">('Data BoP'!E76+'Data BoP'!T76)+('Data BoP'!E77+'Data BoP'!T77)+('Data BoP'!E78+'Data BoP'!T78)+('Data BoP'!E79+'Data BoP'!T79)</f>
        <v>-5833.01505902701</v>
      </c>
      <c r="F80" s="10" t="n">
        <f aca="false">('Data BoP'!Y76+'Data BoP'!Z76)+('Data BoP'!Y77+'Data BoP'!Z77)+('Data BoP'!Y78+'Data BoP'!Z78)+('Data BoP'!Y79+'Data BoP'!Z79)</f>
        <v>23175.1526218376</v>
      </c>
      <c r="G80" s="10" t="n">
        <f aca="false">('Data BoP'!AD76+'Data BoP'!AE76)+('Data BoP'!AD77+'Data BoP'!AE77)+('Data BoP'!AD78+'Data BoP'!AE78)+('Data BoP'!AD79+'Data BoP'!AE79)</f>
        <v>-559.486086661811</v>
      </c>
      <c r="H80" s="10" t="n">
        <f aca="false">('Data BoP'!AL76)+('Data BoP'!AL77)+('Data BoP'!AL78)+('Data BoP'!AL79)</f>
        <v>1067.47211703467</v>
      </c>
      <c r="I80" s="15" t="n">
        <f aca="false">('Data BoP'!Y76+'Data BoP'!Z76+'Data BoP'!AD76+'Data BoP'!AE76+'Data BoP'!AL76)+('Data BoP'!Y77+'Data BoP'!Z77+'Data BoP'!AD77+'Data BoP'!AE77+'Data BoP'!AL77)+('Data BoP'!Y78+'Data BoP'!Z78+'Data BoP'!AD78+'Data BoP'!AE78+'Data BoP'!AL78)+('Data BoP'!Y79+'Data BoP'!Z79+'Data BoP'!AD79+'Data BoP'!AE79+'Data BoP'!AL79)</f>
        <v>23683.1386522105</v>
      </c>
      <c r="J80" s="10" t="n">
        <f aca="false">(-('Data BoP'!W76+'Data BoP'!X76))+(-('Data BoP'!W77+'Data BoP'!X77))+(-('Data BoP'!W78+'Data BoP'!X78))+(-('Data BoP'!W79+'Data BoP'!X79))</f>
        <v>-2875.76109173275</v>
      </c>
      <c r="K80" s="10" t="n">
        <f aca="false">(-('Data BoP'!AB76+'Data BoP'!AC76))+(-('Data BoP'!AB77+'Data BoP'!AC77))+(-('Data BoP'!AB78+'Data BoP'!AC78))+(-('Data BoP'!AB79+'Data BoP'!AC79))</f>
        <v>954.324111987831</v>
      </c>
      <c r="L80" s="10" t="n">
        <f aca="false">(-'Data BoP'!AH76)+(-'Data BoP'!AH77)+(-'Data BoP'!AH78)+(-'Data BoP'!AH79)</f>
        <v>-11971.3507555116</v>
      </c>
      <c r="M80" s="15" t="n">
        <f aca="false">(-('Data BoP'!W76+'Data BoP'!X76+'Data BoP'!AB76+'Data BoP'!AC76+'Data BoP'!AH76))+(-('Data BoP'!W77+'Data BoP'!X77+'Data BoP'!AB77+'Data BoP'!AC77+'Data BoP'!AH77))+(-('Data BoP'!W78+'Data BoP'!X78+'Data BoP'!AB78+'Data BoP'!AC78+'Data BoP'!AH78))+(-('Data BoP'!W79+'Data BoP'!X79+'Data BoP'!AB79+'Data BoP'!AC79+'Data BoP'!AH79))</f>
        <v>-13892.7877352566</v>
      </c>
      <c r="N80" s="10" t="n">
        <f aca="false">(-'Data BoP'!AF76)+(-'Data BoP'!AF77)+(-'Data BoP'!AF78)+(-'Data BoP'!AF79)</f>
        <v>-3.0299296530991</v>
      </c>
      <c r="O80" s="15" t="n">
        <f aca="false">(-('Data BoP'!U76-'Data BoP'!AJ76))+(-('Data BoP'!U77-'Data BoP'!AJ77))+(-('Data BoP'!U78-'Data BoP'!AJ78))+(-('Data BoP'!U79-'Data BoP'!AJ79))</f>
        <v>9787.32098730081</v>
      </c>
      <c r="P80" s="10" t="n">
        <f aca="false">('Data BoP'!AK76)+('Data BoP'!AK77)+('Data BoP'!AK78)+('Data BoP'!AK79)</f>
        <v>-3795.13216565063</v>
      </c>
      <c r="Q80" s="17" t="n">
        <f aca="false">('Data BoP'!AJ76)+('Data BoP'!AJ77)+('Data BoP'!AJ78)+('Data BoP'!AJ79)</f>
        <v>159.173762623171</v>
      </c>
    </row>
    <row r="81" customFormat="false" ht="15" hidden="false" customHeight="false" outlineLevel="0" collapsed="false">
      <c r="B81" s="14" t="str">
        <f aca="false">'Data BoP'!B80</f>
        <v>2024-Q3</v>
      </c>
      <c r="C81" s="10" t="n">
        <f aca="false">('Data BoP'!E77)+('Data BoP'!E78)+('Data BoP'!E79)+('Data BoP'!E80)</f>
        <v>926.991533776657</v>
      </c>
      <c r="D81" s="10" t="n">
        <f aca="false">('Data BoP'!T77)+('Data BoP'!T78)+('Data BoP'!T79)+('Data BoP'!T80)</f>
        <v>273.932531152009</v>
      </c>
      <c r="E81" s="15" t="n">
        <f aca="false">('Data BoP'!E77+'Data BoP'!T77)+('Data BoP'!E78+'Data BoP'!T78)+('Data BoP'!E79+'Data BoP'!T79)+('Data BoP'!E80+'Data BoP'!T80)</f>
        <v>1200.92406492867</v>
      </c>
      <c r="F81" s="10" t="n">
        <f aca="false">('Data BoP'!Y77+'Data BoP'!Z77)+('Data BoP'!Y78+'Data BoP'!Z78)+('Data BoP'!Y79+'Data BoP'!Z79)+('Data BoP'!Y80+'Data BoP'!Z80)</f>
        <v>19538.3027418376</v>
      </c>
      <c r="G81" s="10" t="n">
        <f aca="false">('Data BoP'!AD77+'Data BoP'!AE77)+('Data BoP'!AD78+'Data BoP'!AE78)+('Data BoP'!AD79+'Data BoP'!AE79)+('Data BoP'!AD80+'Data BoP'!AE80)</f>
        <v>-1152.0410844385</v>
      </c>
      <c r="H81" s="10" t="n">
        <f aca="false">('Data BoP'!AL77)+('Data BoP'!AL78)+('Data BoP'!AL79)+('Data BoP'!AL80)</f>
        <v>-7301.8196250606</v>
      </c>
      <c r="I81" s="15" t="n">
        <f aca="false">('Data BoP'!Y77+'Data BoP'!Z77+'Data BoP'!AD77+'Data BoP'!AE77+'Data BoP'!AL77)+('Data BoP'!Y78+'Data BoP'!Z78+'Data BoP'!AD78+'Data BoP'!AE78+'Data BoP'!AL78)+('Data BoP'!Y79+'Data BoP'!Z79+'Data BoP'!AD79+'Data BoP'!AE79+'Data BoP'!AL79)+('Data BoP'!Y80+'Data BoP'!Z80+'Data BoP'!AD80+'Data BoP'!AE80+'Data BoP'!AL80)</f>
        <v>11084.4420323385</v>
      </c>
      <c r="J81" s="10" t="n">
        <f aca="false">(-('Data BoP'!W77+'Data BoP'!X77))+(-('Data BoP'!W78+'Data BoP'!X78))+(-('Data BoP'!W79+'Data BoP'!X79))+(-('Data BoP'!W80+'Data BoP'!X80))</f>
        <v>-2920.20885028573</v>
      </c>
      <c r="K81" s="10" t="n">
        <f aca="false">(-('Data BoP'!AB77+'Data BoP'!AC77))+(-('Data BoP'!AB78+'Data BoP'!AC78))+(-('Data BoP'!AB79+'Data BoP'!AC79))+(-('Data BoP'!AB80+'Data BoP'!AC80))</f>
        <v>-166.273201988218</v>
      </c>
      <c r="L81" s="10" t="n">
        <f aca="false">(-'Data BoP'!AH77)+(-'Data BoP'!AH78)+(-'Data BoP'!AH79)+(-'Data BoP'!AH80)</f>
        <v>-6761.71825595517</v>
      </c>
      <c r="M81" s="15" t="n">
        <f aca="false">(-('Data BoP'!W77+'Data BoP'!X77+'Data BoP'!AB77+'Data BoP'!AC77+'Data BoP'!AH77))+(-('Data BoP'!W78+'Data BoP'!X78+'Data BoP'!AB78+'Data BoP'!AC78+'Data BoP'!AH78))+(-('Data BoP'!W79+'Data BoP'!X79+'Data BoP'!AB79+'Data BoP'!AC79+'Data BoP'!AH79))+(-('Data BoP'!W80+'Data BoP'!X80+'Data BoP'!AB80+'Data BoP'!AC80+'Data BoP'!AH80))</f>
        <v>-9848.20030822912</v>
      </c>
      <c r="N81" s="10" t="n">
        <f aca="false">(-'Data BoP'!AF77)+(-'Data BoP'!AF78)+(-'Data BoP'!AF79)+(-'Data BoP'!AF80)</f>
        <v>-23.2950402465592</v>
      </c>
      <c r="O81" s="15" t="n">
        <f aca="false">(-('Data BoP'!U77-'Data BoP'!AJ77))+(-('Data BoP'!U78-'Data BoP'!AJ78))+(-('Data BoP'!U79-'Data BoP'!AJ79))+(-('Data BoP'!U80-'Data BoP'!AJ80))</f>
        <v>1212.9466838628</v>
      </c>
      <c r="P81" s="10" t="n">
        <f aca="false">('Data BoP'!AK77)+('Data BoP'!AK78)+('Data BoP'!AK79)+('Data BoP'!AK80)</f>
        <v>-4336.42221784911</v>
      </c>
      <c r="Q81" s="17" t="n">
        <f aca="false">('Data BoP'!AJ77)+('Data BoP'!AJ78)+('Data BoP'!AJ79)+('Data BoP'!AJ80)</f>
        <v>-1922.55146905765</v>
      </c>
    </row>
    <row r="82" customFormat="false" ht="15" hidden="false" customHeight="false" outlineLevel="0" collapsed="false">
      <c r="B82" s="14" t="str">
        <f aca="false">'Data BoP'!B81</f>
        <v>2024-Q4</v>
      </c>
      <c r="C82" s="10" t="n">
        <f aca="false">('Data BoP'!E78)+('Data BoP'!E79)+('Data BoP'!E80)+('Data BoP'!E81)</f>
        <v>5891.4047816786</v>
      </c>
      <c r="D82" s="10" t="n">
        <f aca="false">('Data BoP'!T78)+('Data BoP'!T79)+('Data BoP'!T80)+('Data BoP'!T81)</f>
        <v>277.578348254865</v>
      </c>
      <c r="E82" s="15" t="n">
        <f aca="false">('Data BoP'!E78+'Data BoP'!T78)+('Data BoP'!E79+'Data BoP'!T79)+('Data BoP'!E80+'Data BoP'!T80)+('Data BoP'!E81+'Data BoP'!T81)</f>
        <v>6168.98312993347</v>
      </c>
      <c r="F82" s="10" t="n">
        <f aca="false">('Data BoP'!Y78+'Data BoP'!Z78)+('Data BoP'!Y79+'Data BoP'!Z79)+('Data BoP'!Y80+'Data BoP'!Z80)+('Data BoP'!Y81+'Data BoP'!Z81)</f>
        <v>12364.5051394496</v>
      </c>
      <c r="G82" s="10" t="n">
        <f aca="false">('Data BoP'!AD78+'Data BoP'!AE78)+('Data BoP'!AD79+'Data BoP'!AE79)+('Data BoP'!AD80+'Data BoP'!AE80)+('Data BoP'!AD81+'Data BoP'!AE81)</f>
        <v>-578.464894033786</v>
      </c>
      <c r="H82" s="10" t="n">
        <f aca="false">('Data BoP'!AL78)+('Data BoP'!AL79)+('Data BoP'!AL80)+('Data BoP'!AL81)</f>
        <v>-4575.81158049206</v>
      </c>
      <c r="I82" s="15" t="n">
        <f aca="false">('Data BoP'!Y78+'Data BoP'!Z78+'Data BoP'!AD78+'Data BoP'!AE78+'Data BoP'!AL78)+('Data BoP'!Y79+'Data BoP'!Z79+'Data BoP'!AD79+'Data BoP'!AE79+'Data BoP'!AL79)+('Data BoP'!Y80+'Data BoP'!Z80+'Data BoP'!AD80+'Data BoP'!AE80+'Data BoP'!AL80)+('Data BoP'!Y81+'Data BoP'!Z81+'Data BoP'!AD81+'Data BoP'!AE81+'Data BoP'!AL81)</f>
        <v>7210.2286649238</v>
      </c>
      <c r="J82" s="10" t="n">
        <f aca="false">(-('Data BoP'!W78+'Data BoP'!X78))+(-('Data BoP'!W79+'Data BoP'!X79))+(-('Data BoP'!W80+'Data BoP'!X80))+(-('Data BoP'!W81+'Data BoP'!X81))</f>
        <v>-2774.24077799598</v>
      </c>
      <c r="K82" s="10" t="n">
        <f aca="false">(-('Data BoP'!AB78+'Data BoP'!AC78))+(-('Data BoP'!AB79+'Data BoP'!AC79))+(-('Data BoP'!AB80+'Data BoP'!AC80))+(-('Data BoP'!AB81+'Data BoP'!AC81))</f>
        <v>-3551.23773469737</v>
      </c>
      <c r="L82" s="10" t="n">
        <f aca="false">(-'Data BoP'!AH78)+(-'Data BoP'!AH79)+(-'Data BoP'!AH80)+(-'Data BoP'!AH81)</f>
        <v>2908.72136625306</v>
      </c>
      <c r="M82" s="15" t="n">
        <f aca="false">(-('Data BoP'!W78+'Data BoP'!X78+'Data BoP'!AB78+'Data BoP'!AC78+'Data BoP'!AH78))+(-('Data BoP'!W79+'Data BoP'!X79+'Data BoP'!AB79+'Data BoP'!AC79+'Data BoP'!AH79))+(-('Data BoP'!W80+'Data BoP'!X80+'Data BoP'!AB80+'Data BoP'!AC80+'Data BoP'!AH80))+(-('Data BoP'!W81+'Data BoP'!X81+'Data BoP'!AB81+'Data BoP'!AC81+'Data BoP'!AH81))</f>
        <v>-3416.7571464403</v>
      </c>
      <c r="N82" s="10" t="n">
        <f aca="false">(-'Data BoP'!AF78)+(-'Data BoP'!AF79)+(-'Data BoP'!AF80)+(-'Data BoP'!AF81)</f>
        <v>-19.2458371486411</v>
      </c>
      <c r="O82" s="15" t="n">
        <f aca="false">(-('Data BoP'!U78-'Data BoP'!AJ78))+(-('Data BoP'!U79-'Data BoP'!AJ79))+(-('Data BoP'!U80-'Data BoP'!AJ80))+(-('Data BoP'!U81-'Data BoP'!AJ81))</f>
        <v>3774.22568133486</v>
      </c>
      <c r="P82" s="10" t="n">
        <f aca="false">('Data BoP'!AK78)+('Data BoP'!AK79)+('Data BoP'!AK80)+('Data BoP'!AK81)</f>
        <v>-3849.94550286667</v>
      </c>
      <c r="Q82" s="17" t="n">
        <f aca="false">('Data BoP'!AJ78)+('Data BoP'!AJ79)+('Data BoP'!AJ80)+('Data BoP'!AJ81)</f>
        <v>6093.26330840165</v>
      </c>
    </row>
    <row r="83" customFormat="false" ht="15" hidden="false" customHeight="false" outlineLevel="0" collapsed="false">
      <c r="B83" s="14" t="str">
        <f aca="false">'Data BoP'!B82</f>
        <v>2025-Q1</v>
      </c>
      <c r="C83" s="10" t="n">
        <f aca="false">('Data BoP'!E79)+('Data BoP'!E80)+('Data BoP'!E81)+('Data BoP'!E82)</f>
        <v>676.07530977895</v>
      </c>
      <c r="D83" s="10" t="n">
        <f aca="false">('Data BoP'!T79)+('Data BoP'!T80)+('Data BoP'!T81)+('Data BoP'!T82)</f>
        <v>242.16816237741</v>
      </c>
      <c r="E83" s="15" t="n">
        <f aca="false">('Data BoP'!E79+'Data BoP'!T79)+('Data BoP'!E80+'Data BoP'!T80)+('Data BoP'!E81+'Data BoP'!T81)+('Data BoP'!E82+'Data BoP'!T82)</f>
        <v>918.243472156361</v>
      </c>
      <c r="F83" s="10" t="n">
        <f aca="false">('Data BoP'!Y79+'Data BoP'!Z79)+('Data BoP'!Y80+'Data BoP'!Z80)+('Data BoP'!Y81+'Data BoP'!Z81)+('Data BoP'!Y82+'Data BoP'!Z82)</f>
        <v>7635.13641579966</v>
      </c>
      <c r="G83" s="10" t="n">
        <f aca="false">('Data BoP'!AD79+'Data BoP'!AE79)+('Data BoP'!AD80+'Data BoP'!AE80)+('Data BoP'!AD81+'Data BoP'!AE81)+('Data BoP'!AD82+'Data BoP'!AE82)</f>
        <v>-1594.56335710136</v>
      </c>
      <c r="H83" s="10" t="n">
        <f aca="false">('Data BoP'!AL79)+('Data BoP'!AL80)+('Data BoP'!AL81)+('Data BoP'!AL82)</f>
        <v>-1559.19512737843</v>
      </c>
      <c r="I83" s="15" t="n">
        <f aca="false">('Data BoP'!Y79+'Data BoP'!Z79+'Data BoP'!AD79+'Data BoP'!AE79+'Data BoP'!AL79)+('Data BoP'!Y80+'Data BoP'!Z80+'Data BoP'!AD80+'Data BoP'!AE80+'Data BoP'!AL80)+('Data BoP'!Y81+'Data BoP'!Z81+'Data BoP'!AD81+'Data BoP'!AE81+'Data BoP'!AL81)+('Data BoP'!Y82+'Data BoP'!Z82+'Data BoP'!AD82+'Data BoP'!AE82+'Data BoP'!AL82)</f>
        <v>4481.37793131987</v>
      </c>
      <c r="J83" s="10" t="n">
        <f aca="false">(-('Data BoP'!W79+'Data BoP'!X79))+(-('Data BoP'!W80+'Data BoP'!X80))+(-('Data BoP'!W81+'Data BoP'!X81))+(-('Data BoP'!W82+'Data BoP'!X82))</f>
        <v>-2754.00484175716</v>
      </c>
      <c r="K83" s="10" t="n">
        <f aca="false">(-('Data BoP'!AB79+'Data BoP'!AC79))+(-('Data BoP'!AB80+'Data BoP'!AC80))+(-('Data BoP'!AB81+'Data BoP'!AC81))+(-('Data BoP'!AB82+'Data BoP'!AC82))</f>
        <v>-8540.51748743312</v>
      </c>
      <c r="L83" s="10" t="n">
        <f aca="false">(-'Data BoP'!AH79)+(-'Data BoP'!AH80)+(-'Data BoP'!AH81)+(-'Data BoP'!AH82)</f>
        <v>7246.87583844117</v>
      </c>
      <c r="M83" s="15" t="n">
        <f aca="false">(-('Data BoP'!W79+'Data BoP'!X79+'Data BoP'!AB79+'Data BoP'!AC79+'Data BoP'!AH79))+(-('Data BoP'!W80+'Data BoP'!X80+'Data BoP'!AB80+'Data BoP'!AC80+'Data BoP'!AH80))+(-('Data BoP'!W81+'Data BoP'!X81+'Data BoP'!AB81+'Data BoP'!AC81+'Data BoP'!AH81))+(-('Data BoP'!W82+'Data BoP'!X82+'Data BoP'!AB82+'Data BoP'!AC82+'Data BoP'!AH82))</f>
        <v>-4047.64649074911</v>
      </c>
      <c r="N83" s="10" t="n">
        <f aca="false">(-'Data BoP'!AF79)+(-'Data BoP'!AF80)+(-'Data BoP'!AF81)+(-'Data BoP'!AF82)</f>
        <v>-9.40760453698353</v>
      </c>
      <c r="O83" s="15" t="n">
        <f aca="false">(-('Data BoP'!U79-'Data BoP'!AJ79))+(-('Data BoP'!U80-'Data BoP'!AJ80))+(-('Data BoP'!U81-'Data BoP'!AJ81))+(-('Data BoP'!U82-'Data BoP'!AJ82))</f>
        <v>424.323836033779</v>
      </c>
      <c r="P83" s="10" t="n">
        <f aca="false">('Data BoP'!AK79)+('Data BoP'!AK80)+('Data BoP'!AK81)+('Data BoP'!AK82)</f>
        <v>-4954.92991868647</v>
      </c>
      <c r="Q83" s="17" t="n">
        <f aca="false">('Data BoP'!AJ79)+('Data BoP'!AJ80)+('Data BoP'!AJ81)+('Data BoP'!AJ82)</f>
        <v>-3612.36261049634</v>
      </c>
    </row>
    <row r="84" customFormat="false" ht="15" hidden="false" customHeight="false" outlineLevel="0" collapsed="false">
      <c r="B84" s="14" t="str">
        <f aca="false">'Data BoP'!B83</f>
        <v>2025-Q2</v>
      </c>
      <c r="C84" s="10" t="n">
        <f aca="false">('Data BoP'!E80)+('Data BoP'!E81)+('Data BoP'!E82)+('Data BoP'!E83)</f>
        <v>-5278.83836884675</v>
      </c>
      <c r="D84" s="10" t="n">
        <f aca="false">('Data BoP'!T80)+('Data BoP'!T81)+('Data BoP'!T82)+('Data BoP'!T83)</f>
        <v>357.090630130097</v>
      </c>
      <c r="E84" s="15" t="n">
        <f aca="false">('Data BoP'!E80+'Data BoP'!T80)+('Data BoP'!E81+'Data BoP'!T81)+('Data BoP'!E82+'Data BoP'!T82)+('Data BoP'!E83+'Data BoP'!T83)</f>
        <v>-4921.74773871665</v>
      </c>
      <c r="F84" s="10" t="n">
        <f aca="false">('Data BoP'!Y80+'Data BoP'!Z80)+('Data BoP'!Y81+'Data BoP'!Z81)+('Data BoP'!Y82+'Data BoP'!Z82)+('Data BoP'!Y83+'Data BoP'!Z83)</f>
        <v>7879.21765990762</v>
      </c>
      <c r="G84" s="10" t="n">
        <f aca="false">('Data BoP'!AD80+'Data BoP'!AE80)+('Data BoP'!AD81+'Data BoP'!AE81)+('Data BoP'!AD82+'Data BoP'!AE82)+('Data BoP'!AD83+'Data BoP'!AE83)</f>
        <v>-600.566918832776</v>
      </c>
      <c r="H84" s="10" t="n">
        <f aca="false">('Data BoP'!AL80)+('Data BoP'!AL81)+('Data BoP'!AL82)+('Data BoP'!AL83)</f>
        <v>19550.5451347507</v>
      </c>
      <c r="I84" s="15" t="n">
        <f aca="false">('Data BoP'!Y80+'Data BoP'!Z80+'Data BoP'!AD80+'Data BoP'!AE80+'Data BoP'!AL80)+('Data BoP'!Y81+'Data BoP'!Z81+'Data BoP'!AD81+'Data BoP'!AE81+'Data BoP'!AL81)+('Data BoP'!Y82+'Data BoP'!Z82+'Data BoP'!AD82+'Data BoP'!AE82+'Data BoP'!AL82)+('Data BoP'!Y83+'Data BoP'!Z83+'Data BoP'!AD83+'Data BoP'!AE83+'Data BoP'!AL83)</f>
        <v>26829.1958758255</v>
      </c>
      <c r="J84" s="10" t="n">
        <f aca="false">(-('Data BoP'!W80+'Data BoP'!X80))+(-('Data BoP'!W81+'Data BoP'!X81))+(-('Data BoP'!W82+'Data BoP'!X82))+(-('Data BoP'!W83+'Data BoP'!X83))</f>
        <v>-2684.15409383865</v>
      </c>
      <c r="K84" s="10" t="n">
        <f aca="false">(-('Data BoP'!AB80+'Data BoP'!AC80))+(-('Data BoP'!AB81+'Data BoP'!AC81))+(-('Data BoP'!AB82+'Data BoP'!AC82))+(-('Data BoP'!AB83+'Data BoP'!AC83))</f>
        <v>-8141.80644889355</v>
      </c>
      <c r="L84" s="10" t="n">
        <f aca="false">(-'Data BoP'!AH80)+(-'Data BoP'!AH81)+(-'Data BoP'!AH82)+(-'Data BoP'!AH83)</f>
        <v>2934.82163242227</v>
      </c>
      <c r="M84" s="15" t="n">
        <f aca="false">(-('Data BoP'!W80+'Data BoP'!X80+'Data BoP'!AB80+'Data BoP'!AC80+'Data BoP'!AH80))+(-('Data BoP'!W81+'Data BoP'!X81+'Data BoP'!AB81+'Data BoP'!AC81+'Data BoP'!AH81))+(-('Data BoP'!W82+'Data BoP'!X82+'Data BoP'!AB82+'Data BoP'!AC82+'Data BoP'!AH82))+(-('Data BoP'!W83+'Data BoP'!X83+'Data BoP'!AB83+'Data BoP'!AC83+'Data BoP'!AH83))</f>
        <v>-7891.13891030993</v>
      </c>
      <c r="N84" s="10" t="n">
        <f aca="false">(-'Data BoP'!AF80)+(-'Data BoP'!AF81)+(-'Data BoP'!AF82)+(-'Data BoP'!AF83)</f>
        <v>-9.60788790992884</v>
      </c>
      <c r="O84" s="15" t="n">
        <f aca="false">(-('Data BoP'!U80-'Data BoP'!AJ80))+(-('Data BoP'!U81-'Data BoP'!AJ81))+(-('Data BoP'!U82-'Data BoP'!AJ82))+(-('Data BoP'!U83-'Data BoP'!AJ83))</f>
        <v>18928.4490776057</v>
      </c>
      <c r="P84" s="10" t="n">
        <f aca="false">('Data BoP'!AK80)+('Data BoP'!AK81)+('Data BoP'!AK82)+('Data BoP'!AK83)</f>
        <v>-5041.70887263413</v>
      </c>
      <c r="Q84" s="17" t="n">
        <f aca="false">('Data BoP'!AJ80)+('Data BoP'!AJ81)+('Data BoP'!AJ82)+('Data BoP'!AJ83)</f>
        <v>8964.99246625489</v>
      </c>
    </row>
    <row r="85" customFormat="false" ht="15" hidden="false" customHeight="false" outlineLevel="0" collapsed="false">
      <c r="B85" s="14" t="str">
        <f aca="false">'Data BoP'!B84</f>
        <v>2025-Q3</v>
      </c>
      <c r="C85" s="10" t="n">
        <f aca="false">('Data BoP'!E81)+('Data BoP'!E82)+('Data BoP'!E83)+('Data BoP'!E84)</f>
        <v>-8004.76630505813</v>
      </c>
      <c r="D85" s="10" t="n">
        <f aca="false">('Data BoP'!T81)+('Data BoP'!T82)+('Data BoP'!T83)+('Data BoP'!T84)</f>
        <v>448.802429261102</v>
      </c>
      <c r="E85" s="15" t="n">
        <f aca="false">('Data BoP'!E81+'Data BoP'!T81)+('Data BoP'!E82+'Data BoP'!T82)+('Data BoP'!E83+'Data BoP'!T83)+('Data BoP'!E84+'Data BoP'!T84)</f>
        <v>-7555.96387579703</v>
      </c>
      <c r="F85" s="10" t="n">
        <f aca="false">('Data BoP'!Y81+'Data BoP'!Z81)+('Data BoP'!Y82+'Data BoP'!Z82)+('Data BoP'!Y83+'Data BoP'!Z83)+('Data BoP'!Y84+'Data BoP'!Z84)</f>
        <v>9113.12211054137</v>
      </c>
      <c r="G85" s="10" t="n">
        <f aca="false">('Data BoP'!AD81+'Data BoP'!AE81)+('Data BoP'!AD82+'Data BoP'!AE82)+('Data BoP'!AD83+'Data BoP'!AE83)+('Data BoP'!AD84+'Data BoP'!AE84)</f>
        <v>-280.895497125987</v>
      </c>
      <c r="H85" s="10" t="n">
        <f aca="false">('Data BoP'!AL81)+('Data BoP'!AL82)+('Data BoP'!AL83)+('Data BoP'!AL84)</f>
        <v>29451.4849925973</v>
      </c>
      <c r="I85" s="15" t="n">
        <f aca="false">('Data BoP'!Y81+'Data BoP'!Z81+'Data BoP'!AD81+'Data BoP'!AE81+'Data BoP'!AL81)+('Data BoP'!Y82+'Data BoP'!Z82+'Data BoP'!AD82+'Data BoP'!AE82+'Data BoP'!AL82)+('Data BoP'!Y83+'Data BoP'!Z83+'Data BoP'!AD83+'Data BoP'!AE83+'Data BoP'!AL83)+('Data BoP'!Y84+'Data BoP'!Z84+'Data BoP'!AD84+'Data BoP'!AE84+'Data BoP'!AL84)</f>
        <v>38283.7116060127</v>
      </c>
      <c r="J85" s="10" t="n">
        <f aca="false">(-('Data BoP'!W81+'Data BoP'!X81))+(-('Data BoP'!W82+'Data BoP'!X82))+(-('Data BoP'!W83+'Data BoP'!X83))+(-('Data BoP'!W84+'Data BoP'!X84))</f>
        <v>-2732.32941018816</v>
      </c>
      <c r="K85" s="10" t="n">
        <f aca="false">(-('Data BoP'!AB81+'Data BoP'!AC81))+(-('Data BoP'!AB82+'Data BoP'!AC82))+(-('Data BoP'!AB83+'Data BoP'!AC83))+(-('Data BoP'!AB84+'Data BoP'!AC84))</f>
        <v>-7796.68078787161</v>
      </c>
      <c r="L85" s="10" t="n">
        <f aca="false">(-'Data BoP'!AH81)+(-'Data BoP'!AH82)+(-'Data BoP'!AH83)+(-'Data BoP'!AH84)</f>
        <v>-3496.01315379538</v>
      </c>
      <c r="M85" s="15" t="n">
        <f aca="false">(-('Data BoP'!W81+'Data BoP'!X81+'Data BoP'!AB81+'Data BoP'!AC81+'Data BoP'!AH81))+(-('Data BoP'!W82+'Data BoP'!X82+'Data BoP'!AB82+'Data BoP'!AC82+'Data BoP'!AH82))+(-('Data BoP'!W83+'Data BoP'!X83+'Data BoP'!AB83+'Data BoP'!AC83+'Data BoP'!AH83))+(-('Data BoP'!W84+'Data BoP'!X84+'Data BoP'!AB84+'Data BoP'!AC84+'Data BoP'!AH84))</f>
        <v>-14025.0233518551</v>
      </c>
      <c r="N85" s="10" t="n">
        <f aca="false">(-'Data BoP'!AF81)+(-'Data BoP'!AF82)+(-'Data BoP'!AF83)+(-'Data BoP'!AF84)</f>
        <v>29.7746130516636</v>
      </c>
      <c r="O85" s="15" t="n">
        <f aca="false">(-('Data BoP'!U81-'Data BoP'!AJ81))+(-('Data BoP'!U82-'Data BoP'!AJ82))+(-('Data BoP'!U83-'Data BoP'!AJ83))+(-('Data BoP'!U84-'Data BoP'!AJ84))</f>
        <v>24288.4628672093</v>
      </c>
      <c r="P85" s="10" t="n">
        <f aca="false">('Data BoP'!AK81)+('Data BoP'!AK82)+('Data BoP'!AK83)+('Data BoP'!AK84)</f>
        <v>-5251.41002503788</v>
      </c>
      <c r="Q85" s="17" t="n">
        <f aca="false">('Data BoP'!AJ81)+('Data BoP'!AJ82)+('Data BoP'!AJ83)+('Data BoP'!AJ84)</f>
        <v>11481.0889663743</v>
      </c>
    </row>
    <row r="86" customFormat="false" ht="15" hidden="false" customHeight="false" outlineLevel="0" collapsed="false">
      <c r="B86" s="14" t="str">
        <f aca="false">'Data BoP'!B85</f>
        <v>2025-Q4</v>
      </c>
      <c r="C86" s="10" t="n">
        <f aca="false">('Data BoP'!E82)+('Data BoP'!E83)+('Data BoP'!E84)+('Data BoP'!E85)</f>
        <v>-7788.12555895449</v>
      </c>
      <c r="D86" s="10" t="n">
        <f aca="false">('Data BoP'!T82)+('Data BoP'!T83)+('Data BoP'!T84)+('Data BoP'!T85)</f>
        <v>454.140141347056</v>
      </c>
      <c r="E86" s="15" t="n">
        <f aca="false">('Data BoP'!E82+'Data BoP'!T82)+('Data BoP'!E83+'Data BoP'!T83)+('Data BoP'!E84+'Data BoP'!T84)+('Data BoP'!E85+'Data BoP'!T85)</f>
        <v>-7333.98541760744</v>
      </c>
      <c r="F86" s="10" t="n">
        <f aca="false">('Data BoP'!Y82+'Data BoP'!Z82)+('Data BoP'!Y83+'Data BoP'!Z83)+('Data BoP'!Y84+'Data BoP'!Z84)+('Data BoP'!Y85+'Data BoP'!Z85)</f>
        <v>4361.72862688856</v>
      </c>
      <c r="G86" s="10" t="n">
        <f aca="false">('Data BoP'!AD82+'Data BoP'!AE82)+('Data BoP'!AD83+'Data BoP'!AE83)+('Data BoP'!AD84+'Data BoP'!AE84)+('Data BoP'!AD85+'Data BoP'!AE85)</f>
        <v>5720.73464319858</v>
      </c>
      <c r="H86" s="10" t="n">
        <f aca="false">('Data BoP'!AL82)+('Data BoP'!AL83)+('Data BoP'!AL84)+('Data BoP'!AL85)</f>
        <v>27961.9134940853</v>
      </c>
      <c r="I86" s="15" t="n">
        <f aca="false">('Data BoP'!Y82+'Data BoP'!Z82+'Data BoP'!AD82+'Data BoP'!AE82+'Data BoP'!AL82)+('Data BoP'!Y83+'Data BoP'!Z83+'Data BoP'!AD83+'Data BoP'!AE83+'Data BoP'!AL83)+('Data BoP'!Y84+'Data BoP'!Z84+'Data BoP'!AD84+'Data BoP'!AE84+'Data BoP'!AL84)+('Data BoP'!Y85+'Data BoP'!Z85+'Data BoP'!AD85+'Data BoP'!AE85+'Data BoP'!AL85)</f>
        <v>38044.3767641724</v>
      </c>
      <c r="J86" s="10" t="n">
        <f aca="false">(-('Data BoP'!W82+'Data BoP'!X82))+(-('Data BoP'!W83+'Data BoP'!X83))+(-('Data BoP'!W84+'Data BoP'!X84))+(-('Data BoP'!W85+'Data BoP'!X85))</f>
        <v>-2743.33134082928</v>
      </c>
      <c r="K86" s="10" t="n">
        <f aca="false">(-('Data BoP'!AB82+'Data BoP'!AC82))+(-('Data BoP'!AB83+'Data BoP'!AC83))+(-('Data BoP'!AB84+'Data BoP'!AC84))+(-('Data BoP'!AB85+'Data BoP'!AC85))</f>
        <v>-5998.89698334729</v>
      </c>
      <c r="L86" s="10" t="n">
        <f aca="false">(-'Data BoP'!AH82)+(-'Data BoP'!AH83)+(-'Data BoP'!AH84)+(-'Data BoP'!AH85)</f>
        <v>-10075.2504315026</v>
      </c>
      <c r="M86" s="15" t="n">
        <f aca="false">(-('Data BoP'!W82+'Data BoP'!X82+'Data BoP'!AB82+'Data BoP'!AC82+'Data BoP'!AH82))+(-('Data BoP'!W83+'Data BoP'!X83+'Data BoP'!AB83+'Data BoP'!AC83+'Data BoP'!AH83))+(-('Data BoP'!W84+'Data BoP'!X84+'Data BoP'!AB84+'Data BoP'!AC84+'Data BoP'!AH84))+(-('Data BoP'!W85+'Data BoP'!X85+'Data BoP'!AB85+'Data BoP'!AC85+'Data BoP'!AH85))</f>
        <v>-18817.4787556791</v>
      </c>
      <c r="N86" s="10" t="n">
        <f aca="false">(-'Data BoP'!AF82)+(-'Data BoP'!AF83)+(-'Data BoP'!AF84)+(-'Data BoP'!AF85)</f>
        <v>-2.72033646292213</v>
      </c>
      <c r="O86" s="15" t="n">
        <f aca="false">(-('Data BoP'!U82-'Data BoP'!AJ82))+(-('Data BoP'!U83-'Data BoP'!AJ83))+(-('Data BoP'!U84-'Data BoP'!AJ84))+(-('Data BoP'!U85-'Data BoP'!AJ85))</f>
        <v>19224.1776720304</v>
      </c>
      <c r="P86" s="10" t="n">
        <f aca="false">('Data BoP'!AK82)+('Data BoP'!AK83)+('Data BoP'!AK84)+('Data BoP'!AK85)</f>
        <v>-4669.1182466558</v>
      </c>
      <c r="Q86" s="17" t="n">
        <f aca="false">('Data BoP'!AJ82)+('Data BoP'!AJ83)+('Data BoP'!AJ84)+('Data BoP'!AJ85)</f>
        <v>7221.07400776715</v>
      </c>
    </row>
    <row r="87" customFormat="false" ht="15" hidden="false" customHeight="false" outlineLevel="0" collapsed="false">
      <c r="B87" s="14" t="str">
        <f aca="false">'Data BoP'!B86</f>
        <v>2026-Q1</v>
      </c>
      <c r="C87" s="10" t="n">
        <f aca="false">('Data BoP'!E83)+('Data BoP'!E84)+('Data BoP'!E85)+('Data BoP'!E86)</f>
        <v>-4281.09874635343</v>
      </c>
      <c r="D87" s="10" t="n">
        <f aca="false">('Data BoP'!T83)+('Data BoP'!T84)+('Data BoP'!T85)+('Data BoP'!T86)</f>
        <v>458.396502460876</v>
      </c>
      <c r="E87" s="15" t="n">
        <f aca="false">('Data BoP'!E83+'Data BoP'!T83)+('Data BoP'!E84+'Data BoP'!T84)+('Data BoP'!E85+'Data BoP'!T85)+('Data BoP'!E86+'Data BoP'!T86)</f>
        <v>-3822.70224389256</v>
      </c>
      <c r="F87" s="10" t="n">
        <f aca="false">('Data BoP'!Y83+'Data BoP'!Z83)+('Data BoP'!Y84+'Data BoP'!Z84)+('Data BoP'!Y85+'Data BoP'!Z85)+('Data BoP'!Y86+'Data BoP'!Z86)</f>
        <v>5290.59168182116</v>
      </c>
      <c r="G87" s="10" t="n">
        <f aca="false">('Data BoP'!AD83+'Data BoP'!AE83)+('Data BoP'!AD84+'Data BoP'!AE84)+('Data BoP'!AD85+'Data BoP'!AE85)+('Data BoP'!AD86+'Data BoP'!AE86)</f>
        <v>7137.66967574248</v>
      </c>
      <c r="H87" s="10" t="n">
        <f aca="false">('Data BoP'!AL83)+('Data BoP'!AL84)+('Data BoP'!AL85)+('Data BoP'!AL86)</f>
        <v>27762.1782165621</v>
      </c>
      <c r="I87" s="15" t="n">
        <f aca="false">('Data BoP'!Y83+'Data BoP'!Z83+'Data BoP'!AD83+'Data BoP'!AE83+'Data BoP'!AL83)+('Data BoP'!Y84+'Data BoP'!Z84+'Data BoP'!AD84+'Data BoP'!AE84+'Data BoP'!AL84)+('Data BoP'!Y85+'Data BoP'!Z85+'Data BoP'!AD85+'Data BoP'!AE85+'Data BoP'!AL85)+('Data BoP'!Y86+'Data BoP'!Z86+'Data BoP'!AD86+'Data BoP'!AE86+'Data BoP'!AL86)</f>
        <v>40190.4395741258</v>
      </c>
      <c r="J87" s="10" t="n">
        <f aca="false">(-('Data BoP'!W83+'Data BoP'!X83))+(-('Data BoP'!W84+'Data BoP'!X84))+(-('Data BoP'!W85+'Data BoP'!X85))+(-('Data BoP'!W86+'Data BoP'!X86))</f>
        <v>-2694.48864637641</v>
      </c>
      <c r="K87" s="10" t="n">
        <f aca="false">(-('Data BoP'!AB83+'Data BoP'!AC83))+(-('Data BoP'!AB84+'Data BoP'!AC84))+(-('Data BoP'!AB85+'Data BoP'!AC85))+(-('Data BoP'!AB86+'Data BoP'!AC86))</f>
        <v>-4821.5748923348</v>
      </c>
      <c r="L87" s="10" t="n">
        <f aca="false">(-'Data BoP'!AH83)+(-'Data BoP'!AH84)+(-'Data BoP'!AH85)+(-'Data BoP'!AH86)</f>
        <v>-12601.4792935512</v>
      </c>
      <c r="M87" s="15" t="n">
        <f aca="false">(-('Data BoP'!W83+'Data BoP'!X83+'Data BoP'!AB83+'Data BoP'!AC83+'Data BoP'!AH83))+(-('Data BoP'!W84+'Data BoP'!X84+'Data BoP'!AB84+'Data BoP'!AC84+'Data BoP'!AH84))+(-('Data BoP'!W85+'Data BoP'!X85+'Data BoP'!AB85+'Data BoP'!AC85+'Data BoP'!AH85))+(-('Data BoP'!W86+'Data BoP'!X86+'Data BoP'!AB86+'Data BoP'!AC86+'Data BoP'!AH86))</f>
        <v>-20117.5428322624</v>
      </c>
      <c r="N87" s="10" t="n">
        <f aca="false">(-'Data BoP'!AF83)+(-'Data BoP'!AF84)+(-'Data BoP'!AF85)+(-'Data BoP'!AF86)</f>
        <v>-1.49424803996012</v>
      </c>
      <c r="O87" s="15" t="n">
        <f aca="false">(-('Data BoP'!U83-'Data BoP'!AJ83))+(-('Data BoP'!U84-'Data BoP'!AJ84))+(-('Data BoP'!U85-'Data BoP'!AJ85))+(-('Data BoP'!U86-'Data BoP'!AJ86))</f>
        <v>20071.4024938234</v>
      </c>
      <c r="P87" s="10" t="n">
        <f aca="false">('Data BoP'!AK83)+('Data BoP'!AK84)+('Data BoP'!AK85)+('Data BoP'!AK86)</f>
        <v>-3389.54079753808</v>
      </c>
      <c r="Q87" s="17" t="n">
        <f aca="false">('Data BoP'!AJ83)+('Data BoP'!AJ84)+('Data BoP'!AJ85)+('Data BoP'!AJ86)</f>
        <v>12859.1594523927</v>
      </c>
    </row>
    <row r="89" customFormat="false" ht="15" hidden="false" customHeight="false" outlineLevel="0" collapsed="false">
      <c r="B89" s="12" t="s">
        <v>221</v>
      </c>
    </row>
    <row r="90" customFormat="false" ht="15" hidden="false" customHeight="false" outlineLevel="0" collapsed="false">
      <c r="B90" s="12" t="s">
        <v>222</v>
      </c>
    </row>
    <row r="91" customFormat="false" ht="15" hidden="false" customHeight="false" outlineLevel="0" collapsed="false">
      <c r="B91" s="12"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O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15" min="3" style="0" width="14"/>
  </cols>
  <sheetData>
    <row r="2" customFormat="false" ht="25.5" hidden="false" customHeight="true" outlineLevel="0" collapsed="false">
      <c r="B2" s="1" t="s">
        <v>224</v>
      </c>
    </row>
    <row r="3" customFormat="false" ht="15" hidden="false" customHeight="false" outlineLevel="0" collapsed="false">
      <c r="B3" s="2" t="s">
        <v>225</v>
      </c>
    </row>
    <row r="6" customFormat="false" ht="43.5" hidden="false" customHeight="true" outlineLevel="0" collapsed="false">
      <c r="B6" s="13" t="s">
        <v>39</v>
      </c>
      <c r="C6" s="6" t="s">
        <v>209</v>
      </c>
      <c r="D6" s="6" t="s">
        <v>171</v>
      </c>
      <c r="E6" s="6" t="s">
        <v>174</v>
      </c>
      <c r="F6" s="6" t="s">
        <v>177</v>
      </c>
      <c r="G6" s="6" t="s">
        <v>184</v>
      </c>
      <c r="H6" s="6" t="s">
        <v>18</v>
      </c>
      <c r="I6" s="6" t="s">
        <v>226</v>
      </c>
      <c r="J6" s="6" t="s">
        <v>227</v>
      </c>
      <c r="K6" s="6" t="s">
        <v>228</v>
      </c>
      <c r="L6" s="6" t="s">
        <v>229</v>
      </c>
      <c r="M6" s="6" t="s">
        <v>205</v>
      </c>
      <c r="N6" s="6" t="s">
        <v>230</v>
      </c>
      <c r="O6" s="6" t="s">
        <v>231</v>
      </c>
    </row>
    <row r="7" customFormat="false" ht="15" hidden="false" customHeight="false" outlineLevel="0" collapsed="false">
      <c r="B7" s="14" t="str">
        <f aca="false">'Data BoP'!B6</f>
        <v>2006-Q1</v>
      </c>
    </row>
    <row r="8" customFormat="false" ht="15" hidden="false" customHeight="false" outlineLevel="0" collapsed="false">
      <c r="B8" s="14" t="str">
        <f aca="false">'Data BoP'!B7</f>
        <v>2006-Q2</v>
      </c>
    </row>
    <row r="9" customFormat="false" ht="15" hidden="false" customHeight="false" outlineLevel="0" collapsed="false">
      <c r="B9" s="14" t="str">
        <f aca="false">'Data BoP'!B8</f>
        <v>2006-Q3</v>
      </c>
    </row>
    <row r="10" customFormat="false" ht="15" hidden="false" customHeight="false" outlineLevel="0" collapsed="false">
      <c r="B10" s="14" t="str">
        <f aca="false">'Data BoP'!B9</f>
        <v>2006-Q4</v>
      </c>
      <c r="C10" s="18" t="n">
        <f aca="false">IF('Data BoP'!$AQ9=0,"",(('Data BoP'!E6)+('Data BoP'!E7)+('Data BoP'!E8)+('Data BoP'!E9))/'Data BoP'!$AQ9)</f>
        <v>0.0279078473490778</v>
      </c>
      <c r="D10" s="18" t="n">
        <f aca="false">IF('Data BoP'!$AQ9=0,"",(('Data BoP'!G6)+('Data BoP'!G7)+('Data BoP'!G8)+('Data BoP'!G9))/'Data BoP'!$AQ9)</f>
        <v>0.0602473969552623</v>
      </c>
      <c r="E10" s="18" t="n">
        <f aca="false">IF('Data BoP'!$AQ9=0,"",(('Data BoP'!J6)+('Data BoP'!J7)+('Data BoP'!J8)+('Data BoP'!J9))/'Data BoP'!$AQ9)</f>
        <v>-0.00327637273727247</v>
      </c>
      <c r="F10" s="18" t="n">
        <f aca="false">IF('Data BoP'!$AQ9=0,"",(('Data BoP'!M6)+('Data BoP'!M7)+('Data BoP'!M8)+('Data BoP'!M9))/'Data BoP'!$AQ9)</f>
        <v>-0.0331632512096239</v>
      </c>
      <c r="G10" s="18" t="n">
        <f aca="false">IF('Data BoP'!$AQ9=0,"",(('Data BoP'!S6)+('Data BoP'!S7)+('Data BoP'!S8)+('Data BoP'!S9))/'Data BoP'!$AQ9)</f>
        <v>0.00410007434071181</v>
      </c>
      <c r="H10" s="18" t="n">
        <f aca="false">IF('Data BoP'!$AQ9=0,"",(('Data BoP'!U6)+('Data BoP'!U7)+('Data BoP'!U8)+('Data BoP'!U9))/'Data BoP'!$AQ9)</f>
        <v>0.0321232600433217</v>
      </c>
      <c r="I10" s="18" t="n">
        <f aca="false">IF('Data BoP'!$AQ9=0,"",(('Data BoP'!Y6+'Data BoP'!Z6)+('Data BoP'!Y7+'Data BoP'!Z7)+('Data BoP'!Y8+'Data BoP'!Z8)+('Data BoP'!Y9+'Data BoP'!Z9))/'Data BoP'!$AQ9)</f>
        <v>0.0237790664134495</v>
      </c>
      <c r="J10" s="18" t="n">
        <f aca="false">IF('Data BoP'!$AQ9=0,"",(('Data BoP'!AD6+'Data BoP'!AE6)+('Data BoP'!AD7+'Data BoP'!AE7)+('Data BoP'!AD8+'Data BoP'!AE8)+('Data BoP'!AD9+'Data BoP'!AE9))/'Data BoP'!$AQ9)</f>
        <v>0.0365032783561204</v>
      </c>
      <c r="K10" s="18" t="n">
        <f aca="false">IF('Data BoP'!$AQ9=0,"",(('Data BoP'!AL6)+('Data BoP'!AL7)+('Data BoP'!AL8)+('Data BoP'!AL9))/'Data BoP'!$AQ9)</f>
        <v>-0.0468998848551364</v>
      </c>
      <c r="L10" s="18" t="n">
        <f aca="false">IF('Data BoP'!$AQ9=0,"",(('Data BoP'!W6+'Data BoP'!X6+'Data BoP'!AB6+'Data BoP'!AC6+'Data BoP'!AH6)+('Data BoP'!W7+'Data BoP'!X7+'Data BoP'!AB7+'Data BoP'!AC7+'Data BoP'!AH7)+('Data BoP'!W8+'Data BoP'!X8+'Data BoP'!AB8+'Data BoP'!AC8+'Data BoP'!AH8)+('Data BoP'!W9+'Data BoP'!X9+'Data BoP'!AB9+'Data BoP'!AC9+'Data BoP'!AH9))/'Data BoP'!$AQ9)</f>
        <v>0.0298036990316098</v>
      </c>
      <c r="M10" s="18" t="n">
        <f aca="false">IF('Data BoP'!$AQ9=0,"",(('Data BoP'!AK6)+('Data BoP'!AK7)+('Data BoP'!AK8)+('Data BoP'!AK9))/'Data BoP'!$AQ9)</f>
        <v>0.0037961839471844</v>
      </c>
      <c r="N10" s="18" t="n">
        <f aca="false">IF('Data BoP'!$AQ9=0,"",(('Data BoP'!AJ6)+('Data BoP'!AJ7)+('Data BoP'!AJ8)+('Data BoP'!AJ9))/'Data BoP'!$AQ9)</f>
        <v>0.01515817052479</v>
      </c>
      <c r="O10" s="19" t="n">
        <f aca="false">'Data BoP'!$AQ9</f>
        <v>232866.49231365</v>
      </c>
    </row>
    <row r="11" customFormat="false" ht="15" hidden="false" customHeight="false" outlineLevel="0" collapsed="false">
      <c r="B11" s="14" t="str">
        <f aca="false">'Data BoP'!B10</f>
        <v>2007-Q1</v>
      </c>
      <c r="C11" s="18" t="n">
        <f aca="false">IF('Data BoP'!$AQ10=0,"",(('Data BoP'!E7)+('Data BoP'!E8)+('Data BoP'!E9)+('Data BoP'!E10))/'Data BoP'!$AQ10)</f>
        <v>0.0263400588350796</v>
      </c>
      <c r="D11" s="18" t="n">
        <f aca="false">IF('Data BoP'!$AQ10=0,"",(('Data BoP'!G7)+('Data BoP'!G8)+('Data BoP'!G9)+('Data BoP'!G10))/'Data BoP'!$AQ10)</f>
        <v>0.0557809926438774</v>
      </c>
      <c r="E11" s="18" t="n">
        <f aca="false">IF('Data BoP'!$AQ10=0,"",(('Data BoP'!J7)+('Data BoP'!J8)+('Data BoP'!J9)+('Data BoP'!J10))/'Data BoP'!$AQ10)</f>
        <v>-0.00265348246829632</v>
      </c>
      <c r="F11" s="18" t="n">
        <f aca="false">IF('Data BoP'!$AQ10=0,"",(('Data BoP'!M7)+('Data BoP'!M8)+('Data BoP'!M9)+('Data BoP'!M10))/'Data BoP'!$AQ10)</f>
        <v>-0.030890490044021</v>
      </c>
      <c r="G11" s="18" t="n">
        <f aca="false">IF('Data BoP'!$AQ10=0,"",(('Data BoP'!S7)+('Data BoP'!S8)+('Data BoP'!S9)+('Data BoP'!S10))/'Data BoP'!$AQ10)</f>
        <v>0.00410303870351954</v>
      </c>
      <c r="H11" s="18" t="n">
        <f aca="false">IF('Data BoP'!$AQ10=0,"",(('Data BoP'!U7)+('Data BoP'!U8)+('Data BoP'!U9)+('Data BoP'!U10))/'Data BoP'!$AQ10)</f>
        <v>0.0336621564232676</v>
      </c>
      <c r="I11" s="18" t="n">
        <f aca="false">IF('Data BoP'!$AQ10=0,"",(('Data BoP'!Y7+'Data BoP'!Z7)+('Data BoP'!Y8+'Data BoP'!Z8)+('Data BoP'!Y9+'Data BoP'!Z9)+('Data BoP'!Y10+'Data BoP'!Z10))/'Data BoP'!$AQ10)</f>
        <v>0.0202221264660834</v>
      </c>
      <c r="J11" s="18" t="n">
        <f aca="false">IF('Data BoP'!$AQ10=0,"",(('Data BoP'!AD7+'Data BoP'!AE7)+('Data BoP'!AD8+'Data BoP'!AE8)+('Data BoP'!AD9+'Data BoP'!AE9)+('Data BoP'!AD10+'Data BoP'!AE10))/'Data BoP'!$AQ10)</f>
        <v>0.0332354640439485</v>
      </c>
      <c r="K11" s="18" t="n">
        <f aca="false">IF('Data BoP'!$AQ10=0,"",(('Data BoP'!AL7)+('Data BoP'!AL8)+('Data BoP'!AL9)+('Data BoP'!AL10))/'Data BoP'!$AQ10)</f>
        <v>0.000512826139487935</v>
      </c>
      <c r="L11" s="18" t="n">
        <f aca="false">IF('Data BoP'!$AQ10=0,"",(('Data BoP'!W7+'Data BoP'!X7+'Data BoP'!AB7+'Data BoP'!AC7+'Data BoP'!AH7)+('Data BoP'!W8+'Data BoP'!X8+'Data BoP'!AB8+'Data BoP'!AC8+'Data BoP'!AH8)+('Data BoP'!W9+'Data BoP'!X9+'Data BoP'!AB9+'Data BoP'!AC9+'Data BoP'!AH9)+('Data BoP'!W10+'Data BoP'!X10+'Data BoP'!AB10+'Data BoP'!AC10+'Data BoP'!AH10))/'Data BoP'!$AQ10)</f>
        <v>0.0259796280618228</v>
      </c>
      <c r="M11" s="18" t="n">
        <f aca="false">IF('Data BoP'!$AQ10=0,"",(('Data BoP'!AK7)+('Data BoP'!AK8)+('Data BoP'!AK9)+('Data BoP'!AK10))/'Data BoP'!$AQ10)</f>
        <v>0.00691561528087235</v>
      </c>
      <c r="N11" s="18" t="n">
        <f aca="false">IF('Data BoP'!$AQ10=0,"",(('Data BoP'!AJ7)+('Data BoP'!AJ8)+('Data BoP'!AJ9)+('Data BoP'!AJ10))/'Data BoP'!$AQ10)</f>
        <v>0.0610333274197146</v>
      </c>
      <c r="O11" s="19" t="n">
        <f aca="false">'Data BoP'!$AQ10</f>
        <v>242874.846033903</v>
      </c>
    </row>
    <row r="12" customFormat="false" ht="15" hidden="false" customHeight="false" outlineLevel="0" collapsed="false">
      <c r="B12" s="14" t="str">
        <f aca="false">'Data BoP'!B11</f>
        <v>2007-Q2</v>
      </c>
      <c r="C12" s="18" t="n">
        <f aca="false">IF('Data BoP'!$AQ11=0,"",(('Data BoP'!E8)+('Data BoP'!E9)+('Data BoP'!E10)+('Data BoP'!E11))/'Data BoP'!$AQ11)</f>
        <v>0.0253319781765755</v>
      </c>
      <c r="D12" s="18" t="n">
        <f aca="false">IF('Data BoP'!$AQ11=0,"",(('Data BoP'!G8)+('Data BoP'!G9)+('Data BoP'!G10)+('Data BoP'!G11))/'Data BoP'!$AQ11)</f>
        <v>0.0522002893885381</v>
      </c>
      <c r="E12" s="18" t="n">
        <f aca="false">IF('Data BoP'!$AQ11=0,"",(('Data BoP'!J8)+('Data BoP'!J9)+('Data BoP'!J10)+('Data BoP'!J11))/'Data BoP'!$AQ11)</f>
        <v>-0.00267112348615768</v>
      </c>
      <c r="F12" s="18" t="n">
        <f aca="false">IF('Data BoP'!$AQ11=0,"",(('Data BoP'!M8)+('Data BoP'!M9)+('Data BoP'!M10)+('Data BoP'!M11))/'Data BoP'!$AQ11)</f>
        <v>-0.0281267309293948</v>
      </c>
      <c r="G12" s="18" t="n">
        <f aca="false">IF('Data BoP'!$AQ11=0,"",(('Data BoP'!S8)+('Data BoP'!S9)+('Data BoP'!S10)+('Data BoP'!S11))/'Data BoP'!$AQ11)</f>
        <v>0.00392954320358987</v>
      </c>
      <c r="H12" s="18" t="n">
        <f aca="false">IF('Data BoP'!$AQ11=0,"",(('Data BoP'!U8)+('Data BoP'!U9)+('Data BoP'!U10)+('Data BoP'!U11))/'Data BoP'!$AQ11)</f>
        <v>0.0278604005608871</v>
      </c>
      <c r="I12" s="18" t="n">
        <f aca="false">IF('Data BoP'!$AQ11=0,"",(('Data BoP'!Y8+'Data BoP'!Z8)+('Data BoP'!Y9+'Data BoP'!Z9)+('Data BoP'!Y10+'Data BoP'!Z10)+('Data BoP'!Y11+'Data BoP'!Z11))/'Data BoP'!$AQ11)</f>
        <v>0.0165374933401881</v>
      </c>
      <c r="J12" s="18" t="n">
        <f aca="false">IF('Data BoP'!$AQ11=0,"",(('Data BoP'!AD8+'Data BoP'!AE8)+('Data BoP'!AD9+'Data BoP'!AE9)+('Data BoP'!AD10+'Data BoP'!AE10)+('Data BoP'!AD11+'Data BoP'!AE11))/'Data BoP'!$AQ11)</f>
        <v>0.0464029931766629</v>
      </c>
      <c r="K12" s="18" t="n">
        <f aca="false">IF('Data BoP'!$AQ11=0,"",(('Data BoP'!AL8)+('Data BoP'!AL9)+('Data BoP'!AL10)+('Data BoP'!AL11))/'Data BoP'!$AQ11)</f>
        <v>0.00595399956386884</v>
      </c>
      <c r="L12" s="18" t="n">
        <f aca="false">IF('Data BoP'!$AQ11=0,"",(('Data BoP'!W8+'Data BoP'!X8+'Data BoP'!AB8+'Data BoP'!AC8+'Data BoP'!AH8)+('Data BoP'!W9+'Data BoP'!X9+'Data BoP'!AB9+'Data BoP'!AC9+'Data BoP'!AH9)+('Data BoP'!W10+'Data BoP'!X10+'Data BoP'!AB10+'Data BoP'!AC10+'Data BoP'!AH10)+('Data BoP'!W11+'Data BoP'!X11+'Data BoP'!AB11+'Data BoP'!AC11+'Data BoP'!AH11))/'Data BoP'!$AQ11)</f>
        <v>0.0285100788757432</v>
      </c>
      <c r="M12" s="18" t="n">
        <f aca="false">IF('Data BoP'!$AQ11=0,"",(('Data BoP'!AK8)+('Data BoP'!AK9)+('Data BoP'!AK10)+('Data BoP'!AK11))/'Data BoP'!$AQ11)</f>
        <v>0.00227339671231348</v>
      </c>
      <c r="N12" s="18" t="n">
        <f aca="false">IF('Data BoP'!$AQ11=0,"",(('Data BoP'!AJ8)+('Data BoP'!AJ9)+('Data BoP'!AJ10)+('Data BoP'!AJ11))/'Data BoP'!$AQ11)</f>
        <v>0.0674284006589495</v>
      </c>
      <c r="O12" s="19" t="n">
        <f aca="false">'Data BoP'!$AQ11</f>
        <v>256866.392065332</v>
      </c>
    </row>
    <row r="13" customFormat="false" ht="15" hidden="false" customHeight="false" outlineLevel="0" collapsed="false">
      <c r="B13" s="14" t="str">
        <f aca="false">'Data BoP'!B12</f>
        <v>2007-Q3</v>
      </c>
      <c r="C13" s="18" t="n">
        <f aca="false">IF('Data BoP'!$AQ12=0,"",(('Data BoP'!E9)+('Data BoP'!E10)+('Data BoP'!E11)+('Data BoP'!E12))/'Data BoP'!$AQ12)</f>
        <v>0.0200972072071525</v>
      </c>
      <c r="D13" s="18" t="n">
        <f aca="false">IF('Data BoP'!$AQ12=0,"",(('Data BoP'!G9)+('Data BoP'!G10)+('Data BoP'!G11)+('Data BoP'!G12))/'Data BoP'!$AQ12)</f>
        <v>0.0461821874047008</v>
      </c>
      <c r="E13" s="18" t="n">
        <f aca="false">IF('Data BoP'!$AQ12=0,"",(('Data BoP'!J9)+('Data BoP'!J10)+('Data BoP'!J11)+('Data BoP'!J12))/'Data BoP'!$AQ12)</f>
        <v>-0.00332520334706506</v>
      </c>
      <c r="F13" s="18" t="n">
        <f aca="false">IF('Data BoP'!$AQ12=0,"",(('Data BoP'!M9)+('Data BoP'!M10)+('Data BoP'!M11)+('Data BoP'!M12))/'Data BoP'!$AQ12)</f>
        <v>-0.0266013587929808</v>
      </c>
      <c r="G13" s="18" t="n">
        <f aca="false">IF('Data BoP'!$AQ12=0,"",(('Data BoP'!S9)+('Data BoP'!S10)+('Data BoP'!S11)+('Data BoP'!S12))/'Data BoP'!$AQ12)</f>
        <v>0.00384158194249758</v>
      </c>
      <c r="H13" s="18" t="n">
        <f aca="false">IF('Data BoP'!$AQ12=0,"",(('Data BoP'!U9)+('Data BoP'!U10)+('Data BoP'!U11)+('Data BoP'!U12))/'Data BoP'!$AQ12)</f>
        <v>0.0244623992317834</v>
      </c>
      <c r="I13" s="18" t="n">
        <f aca="false">IF('Data BoP'!$AQ12=0,"",(('Data BoP'!Y9+'Data BoP'!Z9)+('Data BoP'!Y10+'Data BoP'!Z10)+('Data BoP'!Y11+'Data BoP'!Z11)+('Data BoP'!Y12+'Data BoP'!Z12))/'Data BoP'!$AQ12)</f>
        <v>0.0169879300855727</v>
      </c>
      <c r="J13" s="18" t="n">
        <f aca="false">IF('Data BoP'!$AQ12=0,"",(('Data BoP'!AD9+'Data BoP'!AE9)+('Data BoP'!AD10+'Data BoP'!AE10)+('Data BoP'!AD11+'Data BoP'!AE11)+('Data BoP'!AD12+'Data BoP'!AE12))/'Data BoP'!$AQ12)</f>
        <v>0.035692714405019</v>
      </c>
      <c r="K13" s="18" t="n">
        <f aca="false">IF('Data BoP'!$AQ12=0,"",(('Data BoP'!AL9)+('Data BoP'!AL10)+('Data BoP'!AL11)+('Data BoP'!AL12))/'Data BoP'!$AQ12)</f>
        <v>0.0160048615761488</v>
      </c>
      <c r="L13" s="18" t="n">
        <f aca="false">IF('Data BoP'!$AQ12=0,"",(('Data BoP'!W9+'Data BoP'!X9+'Data BoP'!AB9+'Data BoP'!AC9+'Data BoP'!AH9)+('Data BoP'!W10+'Data BoP'!X10+'Data BoP'!AB10+'Data BoP'!AC10+'Data BoP'!AH10)+('Data BoP'!W11+'Data BoP'!X11+'Data BoP'!AB11+'Data BoP'!AC11+'Data BoP'!AH11)+('Data BoP'!W12+'Data BoP'!X12+'Data BoP'!AB12+'Data BoP'!AC12+'Data BoP'!AH12))/'Data BoP'!$AQ12)</f>
        <v>0.0407626502506105</v>
      </c>
      <c r="M13" s="18" t="n">
        <f aca="false">IF('Data BoP'!$AQ12=0,"",(('Data BoP'!AK9)+('Data BoP'!AK10)+('Data BoP'!AK11)+('Data BoP'!AK12))/'Data BoP'!$AQ12)</f>
        <v>0.00391336379870816</v>
      </c>
      <c r="N13" s="18" t="n">
        <f aca="false">IF('Data BoP'!$AQ12=0,"",(('Data BoP'!AJ9)+('Data BoP'!AJ10)+('Data BoP'!AJ11)+('Data BoP'!AJ12))/'Data BoP'!$AQ12)</f>
        <v>0.0515363786399533</v>
      </c>
      <c r="O13" s="19" t="n">
        <f aca="false">'Data BoP'!$AQ12</f>
        <v>270651.147172118</v>
      </c>
    </row>
    <row r="14" customFormat="false" ht="15" hidden="false" customHeight="false" outlineLevel="0" collapsed="false">
      <c r="B14" s="14" t="str">
        <f aca="false">'Data BoP'!B13</f>
        <v>2007-Q4</v>
      </c>
      <c r="C14" s="18" t="n">
        <f aca="false">IF('Data BoP'!$AQ13=0,"",(('Data BoP'!E10)+('Data BoP'!E11)+('Data BoP'!E12)+('Data BoP'!E13))/'Data BoP'!$AQ13)</f>
        <v>0.0210174749714352</v>
      </c>
      <c r="D14" s="18" t="n">
        <f aca="false">IF('Data BoP'!$AQ13=0,"",(('Data BoP'!G10)+('Data BoP'!G11)+('Data BoP'!G12)+('Data BoP'!G13))/'Data BoP'!$AQ13)</f>
        <v>0.0470907397689133</v>
      </c>
      <c r="E14" s="18" t="n">
        <f aca="false">IF('Data BoP'!$AQ13=0,"",(('Data BoP'!J10)+('Data BoP'!J11)+('Data BoP'!J12)+('Data BoP'!J13))/'Data BoP'!$AQ13)</f>
        <v>-0.0034104562513405</v>
      </c>
      <c r="F14" s="18" t="n">
        <f aca="false">IF('Data BoP'!$AQ13=0,"",(('Data BoP'!M10)+('Data BoP'!M11)+('Data BoP'!M12)+('Data BoP'!M13))/'Data BoP'!$AQ13)</f>
        <v>-0.0263899293104622</v>
      </c>
      <c r="G14" s="18" t="n">
        <f aca="false">IF('Data BoP'!$AQ13=0,"",(('Data BoP'!S10)+('Data BoP'!S11)+('Data BoP'!S12)+('Data BoP'!S13))/'Data BoP'!$AQ13)</f>
        <v>0.00372712076432469</v>
      </c>
      <c r="H14" s="18" t="n">
        <f aca="false">IF('Data BoP'!$AQ13=0,"",(('Data BoP'!U10)+('Data BoP'!U11)+('Data BoP'!U12)+('Data BoP'!U13))/'Data BoP'!$AQ13)</f>
        <v>0.0204994131366087</v>
      </c>
      <c r="I14" s="18" t="n">
        <f aca="false">IF('Data BoP'!$AQ13=0,"",(('Data BoP'!Y10+'Data BoP'!Z10)+('Data BoP'!Y11+'Data BoP'!Z11)+('Data BoP'!Y12+'Data BoP'!Z12)+('Data BoP'!Y13+'Data BoP'!Z13))/'Data BoP'!$AQ13)</f>
        <v>0.0224929451812975</v>
      </c>
      <c r="J14" s="18" t="n">
        <f aca="false">IF('Data BoP'!$AQ13=0,"",(('Data BoP'!AD10+'Data BoP'!AE10)+('Data BoP'!AD11+'Data BoP'!AE11)+('Data BoP'!AD12+'Data BoP'!AE12)+('Data BoP'!AD13+'Data BoP'!AE13))/'Data BoP'!$AQ13)</f>
        <v>0.0300275469934829</v>
      </c>
      <c r="K14" s="18" t="n">
        <f aca="false">IF('Data BoP'!$AQ13=0,"",(('Data BoP'!AL10)+('Data BoP'!AL11)+('Data BoP'!AL12)+('Data BoP'!AL13))/'Data BoP'!$AQ13)</f>
        <v>0.0204132359153641</v>
      </c>
      <c r="L14" s="18" t="n">
        <f aca="false">IF('Data BoP'!$AQ13=0,"",(('Data BoP'!W10+'Data BoP'!X10+'Data BoP'!AB10+'Data BoP'!AC10+'Data BoP'!AH10)+('Data BoP'!W11+'Data BoP'!X11+'Data BoP'!AB11+'Data BoP'!AC11+'Data BoP'!AH11)+('Data BoP'!W12+'Data BoP'!X12+'Data BoP'!AB12+'Data BoP'!AC12+'Data BoP'!AH12)+('Data BoP'!W13+'Data BoP'!X13+'Data BoP'!AB13+'Data BoP'!AC13+'Data BoP'!AH13))/'Data BoP'!$AQ13)</f>
        <v>0.0459871188505571</v>
      </c>
      <c r="M14" s="18" t="n">
        <f aca="false">IF('Data BoP'!$AQ13=0,"",(('Data BoP'!AK10)+('Data BoP'!AK11)+('Data BoP'!AK12)+('Data BoP'!AK13))/'Data BoP'!$AQ13)</f>
        <v>-0.000939019880286551</v>
      </c>
      <c r="N14" s="18" t="n">
        <f aca="false">IF('Data BoP'!$AQ13=0,"",(('Data BoP'!AJ10)+('Data BoP'!AJ11)+('Data BoP'!AJ12)+('Data BoP'!AJ13))/'Data BoP'!$AQ13)</f>
        <v>0.0454841926024201</v>
      </c>
      <c r="O14" s="19" t="n">
        <f aca="false">'Data BoP'!$AQ13</f>
        <v>287786.135161681</v>
      </c>
    </row>
    <row r="15" customFormat="false" ht="15" hidden="false" customHeight="false" outlineLevel="0" collapsed="false">
      <c r="B15" s="14" t="str">
        <f aca="false">'Data BoP'!B14</f>
        <v>2008-Q1</v>
      </c>
      <c r="C15" s="18" t="n">
        <f aca="false">IF('Data BoP'!$AQ14=0,"",(('Data BoP'!E11)+('Data BoP'!E12)+('Data BoP'!E13)+('Data BoP'!E14))/'Data BoP'!$AQ14)</f>
        <v>0.0220426227321985</v>
      </c>
      <c r="D15" s="18" t="n">
        <f aca="false">IF('Data BoP'!$AQ14=0,"",(('Data BoP'!G11)+('Data BoP'!G12)+('Data BoP'!G13)+('Data BoP'!G14))/'Data BoP'!$AQ14)</f>
        <v>0.0488000611307867</v>
      </c>
      <c r="E15" s="18" t="n">
        <f aca="false">IF('Data BoP'!$AQ14=0,"",(('Data BoP'!J11)+('Data BoP'!J12)+('Data BoP'!J13)+('Data BoP'!J14))/'Data BoP'!$AQ14)</f>
        <v>-0.00469352906473509</v>
      </c>
      <c r="F15" s="18" t="n">
        <f aca="false">IF('Data BoP'!$AQ14=0,"",(('Data BoP'!M11)+('Data BoP'!M12)+('Data BoP'!M13)+('Data BoP'!M14))/'Data BoP'!$AQ14)</f>
        <v>-0.0256944380413228</v>
      </c>
      <c r="G15" s="18" t="n">
        <f aca="false">IF('Data BoP'!$AQ14=0,"",(('Data BoP'!S11)+('Data BoP'!S12)+('Data BoP'!S13)+('Data BoP'!S14))/'Data BoP'!$AQ14)</f>
        <v>0.00363052870746971</v>
      </c>
      <c r="H15" s="18" t="n">
        <f aca="false">IF('Data BoP'!$AQ14=0,"",(('Data BoP'!U11)+('Data BoP'!U12)+('Data BoP'!U13)+('Data BoP'!U14))/'Data BoP'!$AQ14)</f>
        <v>0.022902635038959</v>
      </c>
      <c r="I15" s="18" t="n">
        <f aca="false">IF('Data BoP'!$AQ14=0,"",(('Data BoP'!Y11+'Data BoP'!Z11)+('Data BoP'!Y12+'Data BoP'!Z12)+('Data BoP'!Y13+'Data BoP'!Z13)+('Data BoP'!Y14+'Data BoP'!Z14))/'Data BoP'!$AQ14)</f>
        <v>0.0287471266946252</v>
      </c>
      <c r="J15" s="18" t="n">
        <f aca="false">IF('Data BoP'!$AQ14=0,"",(('Data BoP'!AD11+'Data BoP'!AE11)+('Data BoP'!AD12+'Data BoP'!AE12)+('Data BoP'!AD13+'Data BoP'!AE13)+('Data BoP'!AD14+'Data BoP'!AE14))/'Data BoP'!$AQ14)</f>
        <v>0.0187220047823368</v>
      </c>
      <c r="K15" s="18" t="n">
        <f aca="false">IF('Data BoP'!$AQ14=0,"",(('Data BoP'!AL11)+('Data BoP'!AL12)+('Data BoP'!AL13)+('Data BoP'!AL14))/'Data BoP'!$AQ14)</f>
        <v>0.0219019412712851</v>
      </c>
      <c r="L15" s="18" t="n">
        <f aca="false">IF('Data BoP'!$AQ14=0,"",(('Data BoP'!W11+'Data BoP'!X11+'Data BoP'!AB11+'Data BoP'!AC11+'Data BoP'!AH11)+('Data BoP'!W12+'Data BoP'!X12+'Data BoP'!AB12+'Data BoP'!AC12+'Data BoP'!AH12)+('Data BoP'!W13+'Data BoP'!X13+'Data BoP'!AB13+'Data BoP'!AC13+'Data BoP'!AH13)+('Data BoP'!W14+'Data BoP'!X14+'Data BoP'!AB14+'Data BoP'!AC14+'Data BoP'!AH14))/'Data BoP'!$AQ14)</f>
        <v>0.0515465242420508</v>
      </c>
      <c r="M15" s="18" t="n">
        <f aca="false">IF('Data BoP'!$AQ14=0,"",(('Data BoP'!AK11)+('Data BoP'!AK12)+('Data BoP'!AK13)+('Data BoP'!AK14))/'Data BoP'!$AQ14)</f>
        <v>0.00036095035613748</v>
      </c>
      <c r="N15" s="18" t="n">
        <f aca="false">IF('Data BoP'!$AQ14=0,"",(('Data BoP'!AJ11)+('Data BoP'!AJ12)+('Data BoP'!AJ13)+('Data BoP'!AJ14))/'Data BoP'!$AQ14)</f>
        <v>0.0389549722226013</v>
      </c>
      <c r="O15" s="19" t="n">
        <f aca="false">'Data BoP'!$AQ14</f>
        <v>307129.984116853</v>
      </c>
    </row>
    <row r="16" customFormat="false" ht="15" hidden="false" customHeight="false" outlineLevel="0" collapsed="false">
      <c r="B16" s="14" t="str">
        <f aca="false">'Data BoP'!B15</f>
        <v>2008-Q2</v>
      </c>
      <c r="C16" s="18" t="n">
        <f aca="false">IF('Data BoP'!$AQ15=0,"",(('Data BoP'!E12)+('Data BoP'!E13)+('Data BoP'!E14)+('Data BoP'!E15))/'Data BoP'!$AQ15)</f>
        <v>0.0152938386100734</v>
      </c>
      <c r="D16" s="18" t="n">
        <f aca="false">IF('Data BoP'!$AQ15=0,"",(('Data BoP'!G12)+('Data BoP'!G13)+('Data BoP'!G14)+('Data BoP'!G15))/'Data BoP'!$AQ15)</f>
        <v>0.0421268013895399</v>
      </c>
      <c r="E16" s="18" t="n">
        <f aca="false">IF('Data BoP'!$AQ15=0,"",(('Data BoP'!J12)+('Data BoP'!J13)+('Data BoP'!J14)+('Data BoP'!J15))/'Data BoP'!$AQ15)</f>
        <v>-0.00539620381333498</v>
      </c>
      <c r="F16" s="18" t="n">
        <f aca="false">IF('Data BoP'!$AQ15=0,"",(('Data BoP'!M12)+('Data BoP'!M13)+('Data BoP'!M14)+('Data BoP'!M15))/'Data BoP'!$AQ15)</f>
        <v>-0.0248906269169096</v>
      </c>
      <c r="G16" s="18" t="n">
        <f aca="false">IF('Data BoP'!$AQ15=0,"",(('Data BoP'!S12)+('Data BoP'!S13)+('Data BoP'!S14)+('Data BoP'!S15))/'Data BoP'!$AQ15)</f>
        <v>0.00345386795077813</v>
      </c>
      <c r="H16" s="18" t="n">
        <f aca="false">IF('Data BoP'!$AQ15=0,"",(('Data BoP'!U12)+('Data BoP'!U13)+('Data BoP'!U14)+('Data BoP'!U15))/'Data BoP'!$AQ15)</f>
        <v>0.0163254430589661</v>
      </c>
      <c r="I16" s="18" t="n">
        <f aca="false">IF('Data BoP'!$AQ15=0,"",(('Data BoP'!Y12+'Data BoP'!Z12)+('Data BoP'!Y13+'Data BoP'!Z13)+('Data BoP'!Y14+'Data BoP'!Z14)+('Data BoP'!Y15+'Data BoP'!Z15))/'Data BoP'!$AQ15)</f>
        <v>0.0301890993943756</v>
      </c>
      <c r="J16" s="18" t="n">
        <f aca="false">IF('Data BoP'!$AQ15=0,"",(('Data BoP'!AD12+'Data BoP'!AE12)+('Data BoP'!AD13+'Data BoP'!AE13)+('Data BoP'!AD14+'Data BoP'!AE14)+('Data BoP'!AD15+'Data BoP'!AE15))/'Data BoP'!$AQ15)</f>
        <v>-0.00475601907039872</v>
      </c>
      <c r="K16" s="18" t="n">
        <f aca="false">IF('Data BoP'!$AQ15=0,"",(('Data BoP'!AL12)+('Data BoP'!AL13)+('Data BoP'!AL14)+('Data BoP'!AL15))/'Data BoP'!$AQ15)</f>
        <v>0.0284287081232323</v>
      </c>
      <c r="L16" s="18" t="n">
        <f aca="false">IF('Data BoP'!$AQ15=0,"",(('Data BoP'!W12+'Data BoP'!X12+'Data BoP'!AB12+'Data BoP'!AC12+'Data BoP'!AH12)+('Data BoP'!W13+'Data BoP'!X13+'Data BoP'!AB13+'Data BoP'!AC13+'Data BoP'!AH13)+('Data BoP'!W14+'Data BoP'!X14+'Data BoP'!AB14+'Data BoP'!AC14+'Data BoP'!AH14)+('Data BoP'!W15+'Data BoP'!X15+'Data BoP'!AB15+'Data BoP'!AC15+'Data BoP'!AH15))/'Data BoP'!$AQ15)</f>
        <v>0.0593701029597748</v>
      </c>
      <c r="M16" s="18" t="n">
        <f aca="false">IF('Data BoP'!$AQ15=0,"",(('Data BoP'!AK12)+('Data BoP'!AK13)+('Data BoP'!AK14)+('Data BoP'!AK15))/'Data BoP'!$AQ15)</f>
        <v>0.000544230886607777</v>
      </c>
      <c r="N16" s="18" t="n">
        <f aca="false">IF('Data BoP'!$AQ15=0,"",(('Data BoP'!AJ12)+('Data BoP'!AJ13)+('Data BoP'!AJ14)+('Data BoP'!AJ15))/'Data BoP'!$AQ15)</f>
        <v>0.00907314109615356</v>
      </c>
      <c r="O16" s="19" t="n">
        <f aca="false">'Data BoP'!$AQ15</f>
        <v>331049.629689256</v>
      </c>
    </row>
    <row r="17" customFormat="false" ht="15" hidden="false" customHeight="false" outlineLevel="0" collapsed="false">
      <c r="B17" s="14" t="str">
        <f aca="false">'Data BoP'!B16</f>
        <v>2008-Q3</v>
      </c>
      <c r="C17" s="18" t="n">
        <f aca="false">IF('Data BoP'!$AQ16=0,"",(('Data BoP'!E13)+('Data BoP'!E14)+('Data BoP'!E15)+('Data BoP'!E16))/'Data BoP'!$AQ16)</f>
        <v>0.0214039082405306</v>
      </c>
      <c r="D17" s="18" t="n">
        <f aca="false">IF('Data BoP'!$AQ16=0,"",(('Data BoP'!G13)+('Data BoP'!G14)+('Data BoP'!G15)+('Data BoP'!G16))/'Data BoP'!$AQ16)</f>
        <v>0.0485682780525283</v>
      </c>
      <c r="E17" s="18" t="n">
        <f aca="false">IF('Data BoP'!$AQ16=0,"",(('Data BoP'!J13)+('Data BoP'!J14)+('Data BoP'!J15)+('Data BoP'!J16))/'Data BoP'!$AQ16)</f>
        <v>-0.00563824539354832</v>
      </c>
      <c r="F17" s="18" t="n">
        <f aca="false">IF('Data BoP'!$AQ16=0,"",(('Data BoP'!M13)+('Data BoP'!M14)+('Data BoP'!M15)+('Data BoP'!M16))/'Data BoP'!$AQ16)</f>
        <v>-0.0247675277408365</v>
      </c>
      <c r="G17" s="18" t="n">
        <f aca="false">IF('Data BoP'!$AQ16=0,"",(('Data BoP'!S13)+('Data BoP'!S14)+('Data BoP'!S15)+('Data BoP'!S16))/'Data BoP'!$AQ16)</f>
        <v>0.00324140332238722</v>
      </c>
      <c r="H17" s="18" t="n">
        <f aca="false">IF('Data BoP'!$AQ16=0,"",(('Data BoP'!U13)+('Data BoP'!U14)+('Data BoP'!U15)+('Data BoP'!U16))/'Data BoP'!$AQ16)</f>
        <v>0.0260124353986794</v>
      </c>
      <c r="I17" s="18" t="n">
        <f aca="false">IF('Data BoP'!$AQ16=0,"",(('Data BoP'!Y13+'Data BoP'!Z13)+('Data BoP'!Y14+'Data BoP'!Z14)+('Data BoP'!Y15+'Data BoP'!Z15)+('Data BoP'!Y16+'Data BoP'!Z16))/'Data BoP'!$AQ16)</f>
        <v>0.0294224665927064</v>
      </c>
      <c r="J17" s="18" t="n">
        <f aca="false">IF('Data BoP'!$AQ16=0,"",(('Data BoP'!AD13+'Data BoP'!AE13)+('Data BoP'!AD14+'Data BoP'!AE14)+('Data BoP'!AD15+'Data BoP'!AE15)+('Data BoP'!AD16+'Data BoP'!AE16))/'Data BoP'!$AQ16)</f>
        <v>-0.0071362012588138</v>
      </c>
      <c r="K17" s="18" t="n">
        <f aca="false">IF('Data BoP'!$AQ16=0,"",(('Data BoP'!AL13)+('Data BoP'!AL14)+('Data BoP'!AL15)+('Data BoP'!AL16))/'Data BoP'!$AQ16)</f>
        <v>0.026006301439372</v>
      </c>
      <c r="L17" s="18" t="n">
        <f aca="false">IF('Data BoP'!$AQ16=0,"",(('Data BoP'!W13+'Data BoP'!X13+'Data BoP'!AB13+'Data BoP'!AC13+'Data BoP'!AH13)+('Data BoP'!W14+'Data BoP'!X14+'Data BoP'!AB14+'Data BoP'!AC14+'Data BoP'!AH14)+('Data BoP'!W15+'Data BoP'!X15+'Data BoP'!AB15+'Data BoP'!AC15+'Data BoP'!AH15)+('Data BoP'!W16+'Data BoP'!X16+'Data BoP'!AB16+'Data BoP'!AC16+'Data BoP'!AH16))/'Data BoP'!$AQ16)</f>
        <v>0.0619138419371577</v>
      </c>
      <c r="M17" s="18" t="n">
        <f aca="false">IF('Data BoP'!$AQ16=0,"",(('Data BoP'!AK13)+('Data BoP'!AK14)+('Data BoP'!AK15)+('Data BoP'!AK16))/'Data BoP'!$AQ16)</f>
        <v>0.0040937134333165</v>
      </c>
      <c r="N17" s="18" t="n">
        <f aca="false">IF('Data BoP'!$AQ16=0,"",(('Data BoP'!AJ13)+('Data BoP'!AJ14)+('Data BoP'!AJ15)+('Data BoP'!AJ16))/'Data BoP'!$AQ16)</f>
        <v>0.0106826576914442</v>
      </c>
      <c r="O17" s="19" t="n">
        <f aca="false">'Data BoP'!$AQ16</f>
        <v>355340.413372996</v>
      </c>
    </row>
    <row r="18" customFormat="false" ht="15" hidden="false" customHeight="false" outlineLevel="0" collapsed="false">
      <c r="B18" s="14" t="str">
        <f aca="false">'Data BoP'!B17</f>
        <v>2008-Q4</v>
      </c>
      <c r="C18" s="18" t="n">
        <f aca="false">IF('Data BoP'!$AQ17=0,"",(('Data BoP'!E14)+('Data BoP'!E15)+('Data BoP'!E16)+('Data BoP'!E17))/'Data BoP'!$AQ17)</f>
        <v>0.0148984021550951</v>
      </c>
      <c r="D18" s="18" t="n">
        <f aca="false">IF('Data BoP'!$AQ17=0,"",(('Data BoP'!G14)+('Data BoP'!G15)+('Data BoP'!G16)+('Data BoP'!G17))/'Data BoP'!$AQ17)</f>
        <v>0.0427705331710883</v>
      </c>
      <c r="E18" s="18" t="n">
        <f aca="false">IF('Data BoP'!$AQ17=0,"",(('Data BoP'!J14)+('Data BoP'!J15)+('Data BoP'!J16)+('Data BoP'!J17))/'Data BoP'!$AQ17)</f>
        <v>-0.00610735672915583</v>
      </c>
      <c r="F18" s="18" t="n">
        <f aca="false">IF('Data BoP'!$AQ17=0,"",(('Data BoP'!M14)+('Data BoP'!M15)+('Data BoP'!M16)+('Data BoP'!M17))/'Data BoP'!$AQ17)</f>
        <v>-0.0248275011199399</v>
      </c>
      <c r="G18" s="18" t="n">
        <f aca="false">IF('Data BoP'!$AQ17=0,"",(('Data BoP'!S14)+('Data BoP'!S15)+('Data BoP'!S16)+('Data BoP'!S17))/'Data BoP'!$AQ17)</f>
        <v>0.00306272683310257</v>
      </c>
      <c r="H18" s="18" t="n">
        <f aca="false">IF('Data BoP'!$AQ17=0,"",(('Data BoP'!U14)+('Data BoP'!U15)+('Data BoP'!U16)+('Data BoP'!U17))/'Data BoP'!$AQ17)</f>
        <v>0.0180113869868584</v>
      </c>
      <c r="I18" s="18" t="n">
        <f aca="false">IF('Data BoP'!$AQ17=0,"",(('Data BoP'!Y14+'Data BoP'!Z14)+('Data BoP'!Y15+'Data BoP'!Z15)+('Data BoP'!Y16+'Data BoP'!Z16)+('Data BoP'!Y17+'Data BoP'!Z17))/'Data BoP'!$AQ17)</f>
        <v>0.0267274833167162</v>
      </c>
      <c r="J18" s="18" t="n">
        <f aca="false">IF('Data BoP'!$AQ17=0,"",(('Data BoP'!AD14+'Data BoP'!AE14)+('Data BoP'!AD15+'Data BoP'!AE15)+('Data BoP'!AD16+'Data BoP'!AE16)+('Data BoP'!AD17+'Data BoP'!AE17))/'Data BoP'!$AQ17)</f>
        <v>-0.0157278520710681</v>
      </c>
      <c r="K18" s="18" t="n">
        <f aca="false">IF('Data BoP'!$AQ17=0,"",(('Data BoP'!AL14)+('Data BoP'!AL15)+('Data BoP'!AL16)+('Data BoP'!AL17))/'Data BoP'!$AQ17)</f>
        <v>0.0169908734589145</v>
      </c>
      <c r="L18" s="18" t="n">
        <f aca="false">IF('Data BoP'!$AQ17=0,"",(('Data BoP'!W14+'Data BoP'!X14+'Data BoP'!AB14+'Data BoP'!AC14+'Data BoP'!AH14)+('Data BoP'!W15+'Data BoP'!X15+'Data BoP'!AB15+'Data BoP'!AC15+'Data BoP'!AH15)+('Data BoP'!W16+'Data BoP'!X16+'Data BoP'!AB16+'Data BoP'!AC16+'Data BoP'!AH16)+('Data BoP'!W17+'Data BoP'!X17+'Data BoP'!AB17+'Data BoP'!AC17+'Data BoP'!AH17))/'Data BoP'!$AQ17)</f>
        <v>0.0433854130215418</v>
      </c>
      <c r="M18" s="18" t="n">
        <f aca="false">IF('Data BoP'!$AQ17=0,"",(('Data BoP'!AK14)+('Data BoP'!AK15)+('Data BoP'!AK16)+('Data BoP'!AK17))/'Data BoP'!$AQ17)</f>
        <v>0.00260440825583129</v>
      </c>
      <c r="N18" s="18" t="n">
        <f aca="false">IF('Data BoP'!$AQ17=0,"",(('Data BoP'!AJ14)+('Data BoP'!AJ15)+('Data BoP'!AJ16)+('Data BoP'!AJ17))/'Data BoP'!$AQ17)</f>
        <v>4.77632124217763E-005</v>
      </c>
      <c r="O18" s="19" t="n">
        <f aca="false">'Data BoP'!$AQ17</f>
        <v>363878.372470707</v>
      </c>
    </row>
    <row r="19" customFormat="false" ht="15" hidden="false" customHeight="false" outlineLevel="0" collapsed="false">
      <c r="B19" s="14" t="str">
        <f aca="false">'Data BoP'!B18</f>
        <v>2009-Q1</v>
      </c>
      <c r="C19" s="18" t="n">
        <f aca="false">IF('Data BoP'!$AQ18=0,"",(('Data BoP'!E15)+('Data BoP'!E16)+('Data BoP'!E17)+('Data BoP'!E18))/'Data BoP'!$AQ18)</f>
        <v>0.0146703806848225</v>
      </c>
      <c r="D19" s="18" t="n">
        <f aca="false">IF('Data BoP'!$AQ18=0,"",(('Data BoP'!G15)+('Data BoP'!G16)+('Data BoP'!G17)+('Data BoP'!G18))/'Data BoP'!$AQ18)</f>
        <v>0.043554893478102</v>
      </c>
      <c r="E19" s="18" t="n">
        <f aca="false">IF('Data BoP'!$AQ18=0,"",(('Data BoP'!J15)+('Data BoP'!J16)+('Data BoP'!J17)+('Data BoP'!J18))/'Data BoP'!$AQ18)</f>
        <v>-0.00636994812287496</v>
      </c>
      <c r="F19" s="18" t="n">
        <f aca="false">IF('Data BoP'!$AQ18=0,"",(('Data BoP'!M15)+('Data BoP'!M16)+('Data BoP'!M17)+('Data BoP'!M18))/'Data BoP'!$AQ18)</f>
        <v>-0.025387838258809</v>
      </c>
      <c r="G19" s="18" t="n">
        <f aca="false">IF('Data BoP'!$AQ18=0,"",(('Data BoP'!S15)+('Data BoP'!S16)+('Data BoP'!S17)+('Data BoP'!S18))/'Data BoP'!$AQ18)</f>
        <v>0.00287327358840444</v>
      </c>
      <c r="H19" s="18" t="n">
        <f aca="false">IF('Data BoP'!$AQ18=0,"",(('Data BoP'!U15)+('Data BoP'!U16)+('Data BoP'!U17)+('Data BoP'!U18))/'Data BoP'!$AQ18)</f>
        <v>0.0138879189484933</v>
      </c>
      <c r="I19" s="18" t="n">
        <f aca="false">IF('Data BoP'!$AQ18=0,"",(('Data BoP'!Y15+'Data BoP'!Z15)+('Data BoP'!Y16+'Data BoP'!Z16)+('Data BoP'!Y17+'Data BoP'!Z17)+('Data BoP'!Y18+'Data BoP'!Z18))/'Data BoP'!$AQ18)</f>
        <v>0.0219501044255884</v>
      </c>
      <c r="J19" s="18" t="n">
        <f aca="false">IF('Data BoP'!$AQ18=0,"",(('Data BoP'!AD15+'Data BoP'!AE15)+('Data BoP'!AD16+'Data BoP'!AE16)+('Data BoP'!AD17+'Data BoP'!AE17)+('Data BoP'!AD18+'Data BoP'!AE18))/'Data BoP'!$AQ18)</f>
        <v>-0.0149252101574181</v>
      </c>
      <c r="K19" s="18" t="n">
        <f aca="false">IF('Data BoP'!$AQ18=0,"",(('Data BoP'!AL15)+('Data BoP'!AL16)+('Data BoP'!AL17)+('Data BoP'!AL18))/'Data BoP'!$AQ18)</f>
        <v>0.0143926627346111</v>
      </c>
      <c r="L19" s="18" t="n">
        <f aca="false">IF('Data BoP'!$AQ18=0,"",(('Data BoP'!W15+'Data BoP'!X15+'Data BoP'!AB15+'Data BoP'!AC15+'Data BoP'!AH15)+('Data BoP'!W16+'Data BoP'!X16+'Data BoP'!AB16+'Data BoP'!AC16+'Data BoP'!AH16)+('Data BoP'!W17+'Data BoP'!X17+'Data BoP'!AB17+'Data BoP'!AC17+'Data BoP'!AH17)+('Data BoP'!W18+'Data BoP'!X18+'Data BoP'!AB18+'Data BoP'!AC18+'Data BoP'!AH18))/'Data BoP'!$AQ18)</f>
        <v>0.0416952267785003</v>
      </c>
      <c r="M19" s="18" t="n">
        <f aca="false">IF('Data BoP'!$AQ18=0,"",(('Data BoP'!AK15)+('Data BoP'!AK16)+('Data BoP'!AK17)+('Data BoP'!AK18))/'Data BoP'!$AQ18)</f>
        <v>-0.00123599008836062</v>
      </c>
      <c r="N19" s="18" t="n">
        <f aca="false">IF('Data BoP'!$AQ18=0,"",(('Data BoP'!AJ15)+('Data BoP'!AJ16)+('Data BoP'!AJ17)+('Data BoP'!AJ18))/'Data BoP'!$AQ18)</f>
        <v>-0.00901443326086857</v>
      </c>
      <c r="O19" s="19" t="n">
        <f aca="false">'Data BoP'!$AQ18</f>
        <v>360500.755394896</v>
      </c>
    </row>
    <row r="20" customFormat="false" ht="15" hidden="false" customHeight="false" outlineLevel="0" collapsed="false">
      <c r="B20" s="14" t="str">
        <f aca="false">'Data BoP'!B19</f>
        <v>2009-Q2</v>
      </c>
      <c r="C20" s="18" t="n">
        <f aca="false">IF('Data BoP'!$AQ19=0,"",(('Data BoP'!E16)+('Data BoP'!E17)+('Data BoP'!E18)+('Data BoP'!E19))/'Data BoP'!$AQ19)</f>
        <v>0.0266943512495481</v>
      </c>
      <c r="D20" s="18" t="n">
        <f aca="false">IF('Data BoP'!$AQ19=0,"",(('Data BoP'!G16)+('Data BoP'!G17)+('Data BoP'!G18)+('Data BoP'!G19))/'Data BoP'!$AQ19)</f>
        <v>0.0563389548739121</v>
      </c>
      <c r="E20" s="18" t="n">
        <f aca="false">IF('Data BoP'!$AQ19=0,"",(('Data BoP'!J16)+('Data BoP'!J17)+('Data BoP'!J18)+('Data BoP'!J19))/'Data BoP'!$AQ19)</f>
        <v>-0.00558693430196988</v>
      </c>
      <c r="F20" s="18" t="n">
        <f aca="false">IF('Data BoP'!$AQ19=0,"",(('Data BoP'!M16)+('Data BoP'!M17)+('Data BoP'!M18)+('Data BoP'!M19))/'Data BoP'!$AQ19)</f>
        <v>-0.0269098487200743</v>
      </c>
      <c r="G20" s="18" t="n">
        <f aca="false">IF('Data BoP'!$AQ19=0,"",(('Data BoP'!S16)+('Data BoP'!S17)+('Data BoP'!S18)+('Data BoP'!S19))/'Data BoP'!$AQ19)</f>
        <v>0.00285217939768023</v>
      </c>
      <c r="H20" s="18" t="n">
        <f aca="false">IF('Data BoP'!$AQ19=0,"",(('Data BoP'!U16)+('Data BoP'!U17)+('Data BoP'!U18)+('Data BoP'!U19))/'Data BoP'!$AQ19)</f>
        <v>0.0251996107523663</v>
      </c>
      <c r="I20" s="18" t="n">
        <f aca="false">IF('Data BoP'!$AQ19=0,"",(('Data BoP'!Y16+'Data BoP'!Z16)+('Data BoP'!Y17+'Data BoP'!Z17)+('Data BoP'!Y18+'Data BoP'!Z18)+('Data BoP'!Y19+'Data BoP'!Z19))/'Data BoP'!$AQ19)</f>
        <v>0.0172658879605195</v>
      </c>
      <c r="J20" s="18" t="n">
        <f aca="false">IF('Data BoP'!$AQ19=0,"",(('Data BoP'!AD16+'Data BoP'!AE16)+('Data BoP'!AD17+'Data BoP'!AE17)+('Data BoP'!AD18+'Data BoP'!AE18)+('Data BoP'!AD19+'Data BoP'!AE19))/'Data BoP'!$AQ19)</f>
        <v>-0.0121281549238535</v>
      </c>
      <c r="K20" s="18" t="n">
        <f aca="false">IF('Data BoP'!$AQ19=0,"",(('Data BoP'!AL16)+('Data BoP'!AL17)+('Data BoP'!AL18)+('Data BoP'!AL19))/'Data BoP'!$AQ19)</f>
        <v>0.00531097550747728</v>
      </c>
      <c r="L20" s="18" t="n">
        <f aca="false">IF('Data BoP'!$AQ19=0,"",(('Data BoP'!W16+'Data BoP'!X16+'Data BoP'!AB16+'Data BoP'!AC16+'Data BoP'!AH16)+('Data BoP'!W17+'Data BoP'!X17+'Data BoP'!AB17+'Data BoP'!AC17+'Data BoP'!AH17)+('Data BoP'!W18+'Data BoP'!X18+'Data BoP'!AB18+'Data BoP'!AC18+'Data BoP'!AH18)+('Data BoP'!W19+'Data BoP'!X19+'Data BoP'!AB19+'Data BoP'!AC19+'Data BoP'!AH19))/'Data BoP'!$AQ19)</f>
        <v>0.0369102395089772</v>
      </c>
      <c r="M20" s="18" t="n">
        <f aca="false">IF('Data BoP'!$AQ19=0,"",(('Data BoP'!AK16)+('Data BoP'!AK17)+('Data BoP'!AK18)+('Data BoP'!AK19))/'Data BoP'!$AQ19)</f>
        <v>-0.00192493280686167</v>
      </c>
      <c r="N20" s="18" t="n">
        <f aca="false">IF('Data BoP'!$AQ19=0,"",(('Data BoP'!AJ16)+('Data BoP'!AJ17)+('Data BoP'!AJ18)+('Data BoP'!AJ19))/'Data BoP'!$AQ19)</f>
        <v>-0.00382384090677396</v>
      </c>
      <c r="O20" s="19" t="n">
        <f aca="false">'Data BoP'!$AQ19</f>
        <v>347161.409787826</v>
      </c>
    </row>
    <row r="21" customFormat="false" ht="15" hidden="false" customHeight="false" outlineLevel="0" collapsed="false">
      <c r="B21" s="14" t="str">
        <f aca="false">'Data BoP'!B20</f>
        <v>2009-Q3</v>
      </c>
      <c r="C21" s="18" t="n">
        <f aca="false">IF('Data BoP'!$AQ20=0,"",(('Data BoP'!E17)+('Data BoP'!E18)+('Data BoP'!E19)+('Data BoP'!E20))/'Data BoP'!$AQ20)</f>
        <v>0.0209678119945069</v>
      </c>
      <c r="D21" s="18" t="n">
        <f aca="false">IF('Data BoP'!$AQ20=0,"",(('Data BoP'!G17)+('Data BoP'!G18)+('Data BoP'!G19)+('Data BoP'!G20))/'Data BoP'!$AQ20)</f>
        <v>0.0530641736094663</v>
      </c>
      <c r="E21" s="18" t="n">
        <f aca="false">IF('Data BoP'!$AQ20=0,"",(('Data BoP'!J17)+('Data BoP'!J18)+('Data BoP'!J19)+('Data BoP'!J20))/'Data BoP'!$AQ20)</f>
        <v>-0.00589621379477784</v>
      </c>
      <c r="F21" s="18" t="n">
        <f aca="false">IF('Data BoP'!$AQ20=0,"",(('Data BoP'!M17)+('Data BoP'!M18)+('Data BoP'!M19)+('Data BoP'!M20))/'Data BoP'!$AQ20)</f>
        <v>-0.0289713615135838</v>
      </c>
      <c r="G21" s="18" t="n">
        <f aca="false">IF('Data BoP'!$AQ20=0,"",(('Data BoP'!S17)+('Data BoP'!S18)+('Data BoP'!S19)+('Data BoP'!S20))/'Data BoP'!$AQ20)</f>
        <v>0.00277121369340228</v>
      </c>
      <c r="H21" s="18" t="n">
        <f aca="false">IF('Data BoP'!$AQ20=0,"",(('Data BoP'!U17)+('Data BoP'!U18)+('Data BoP'!U19)+('Data BoP'!U20))/'Data BoP'!$AQ20)</f>
        <v>0.0143275384247637</v>
      </c>
      <c r="I21" s="18" t="n">
        <f aca="false">IF('Data BoP'!$AQ20=0,"",(('Data BoP'!Y17+'Data BoP'!Z17)+('Data BoP'!Y18+'Data BoP'!Z18)+('Data BoP'!Y19+'Data BoP'!Z19)+('Data BoP'!Y20+'Data BoP'!Z20))/'Data BoP'!$AQ20)</f>
        <v>0.0129960664614952</v>
      </c>
      <c r="J21" s="18" t="n">
        <f aca="false">IF('Data BoP'!$AQ20=0,"",(('Data BoP'!AD17+'Data BoP'!AE17)+('Data BoP'!AD18+'Data BoP'!AE18)+('Data BoP'!AD19+'Data BoP'!AE19)+('Data BoP'!AD20+'Data BoP'!AE20))/'Data BoP'!$AQ20)</f>
        <v>-0.00798129133472533</v>
      </c>
      <c r="K21" s="18" t="n">
        <f aca="false">IF('Data BoP'!$AQ20=0,"",(('Data BoP'!AL17)+('Data BoP'!AL18)+('Data BoP'!AL19)+('Data BoP'!AL20))/'Data BoP'!$AQ20)</f>
        <v>0.00474244875925695</v>
      </c>
      <c r="L21" s="18" t="n">
        <f aca="false">IF('Data BoP'!$AQ20=0,"",(('Data BoP'!W17+'Data BoP'!X17+'Data BoP'!AB17+'Data BoP'!AC17+'Data BoP'!AH17)+('Data BoP'!W18+'Data BoP'!X18+'Data BoP'!AB18+'Data BoP'!AC18+'Data BoP'!AH18)+('Data BoP'!W19+'Data BoP'!X19+'Data BoP'!AB19+'Data BoP'!AC19+'Data BoP'!AH19)+('Data BoP'!W20+'Data BoP'!X20+'Data BoP'!AB20+'Data BoP'!AC20+'Data BoP'!AH20))/'Data BoP'!$AQ20)</f>
        <v>0.0197860021680295</v>
      </c>
      <c r="M21" s="18" t="n">
        <f aca="false">IF('Data BoP'!$AQ20=0,"",(('Data BoP'!AK17)+('Data BoP'!AK18)+('Data BoP'!AK19)+('Data BoP'!AK20))/'Data BoP'!$AQ20)</f>
        <v>-0.00688138029569706</v>
      </c>
      <c r="N21" s="18" t="n">
        <f aca="false">IF('Data BoP'!$AQ20=0,"",(('Data BoP'!AJ17)+('Data BoP'!AJ18)+('Data BoP'!AJ19)+('Data BoP'!AJ20))/'Data BoP'!$AQ20)</f>
        <v>0.00160120201456009</v>
      </c>
      <c r="O21" s="19" t="n">
        <f aca="false">'Data BoP'!$AQ20</f>
        <v>332893.660608119</v>
      </c>
    </row>
    <row r="22" customFormat="false" ht="15" hidden="false" customHeight="false" outlineLevel="0" collapsed="false">
      <c r="B22" s="14" t="str">
        <f aca="false">'Data BoP'!B21</f>
        <v>2009-Q4</v>
      </c>
      <c r="C22" s="18" t="n">
        <f aca="false">IF('Data BoP'!$AQ21=0,"",(('Data BoP'!E18)+('Data BoP'!E19)+('Data BoP'!E20)+('Data BoP'!E21))/'Data BoP'!$AQ21)</f>
        <v>0.021700604043809</v>
      </c>
      <c r="D22" s="18" t="n">
        <f aca="false">IF('Data BoP'!$AQ21=0,"",(('Data BoP'!G18)+('Data BoP'!G19)+('Data BoP'!G20)+('Data BoP'!G21))/'Data BoP'!$AQ21)</f>
        <v>0.0557758553812614</v>
      </c>
      <c r="E22" s="18" t="n">
        <f aca="false">IF('Data BoP'!$AQ21=0,"",(('Data BoP'!J18)+('Data BoP'!J19)+('Data BoP'!J20)+('Data BoP'!J21))/'Data BoP'!$AQ21)</f>
        <v>-0.00595913940198427</v>
      </c>
      <c r="F22" s="18" t="n">
        <f aca="false">IF('Data BoP'!$AQ21=0,"",(('Data BoP'!M18)+('Data BoP'!M19)+('Data BoP'!M20)+('Data BoP'!M21))/'Data BoP'!$AQ21)</f>
        <v>-0.0308687964657827</v>
      </c>
      <c r="G22" s="18" t="n">
        <f aca="false">IF('Data BoP'!$AQ21=0,"",(('Data BoP'!S18)+('Data BoP'!S19)+('Data BoP'!S20)+('Data BoP'!S21))/'Data BoP'!$AQ21)</f>
        <v>0.00275268453031446</v>
      </c>
      <c r="H22" s="18" t="n">
        <f aca="false">IF('Data BoP'!$AQ21=0,"",(('Data BoP'!U18)+('Data BoP'!U19)+('Data BoP'!U20)+('Data BoP'!U21))/'Data BoP'!$AQ21)</f>
        <v>0.0200812123707816</v>
      </c>
      <c r="I22" s="18" t="n">
        <f aca="false">IF('Data BoP'!$AQ21=0,"",(('Data BoP'!Y18+'Data BoP'!Z18)+('Data BoP'!Y19+'Data BoP'!Z19)+('Data BoP'!Y20+'Data BoP'!Z20)+('Data BoP'!Y21+'Data BoP'!Z21))/'Data BoP'!$AQ21)</f>
        <v>0.0120172849466677</v>
      </c>
      <c r="J22" s="18" t="n">
        <f aca="false">IF('Data BoP'!$AQ21=0,"",(('Data BoP'!AD18+'Data BoP'!AE18)+('Data BoP'!AD19+'Data BoP'!AE19)+('Data BoP'!AD20+'Data BoP'!AE20)+('Data BoP'!AD21+'Data BoP'!AE21))/'Data BoP'!$AQ21)</f>
        <v>-0.00450999573369489</v>
      </c>
      <c r="K22" s="18" t="n">
        <f aca="false">IF('Data BoP'!$AQ21=0,"",(('Data BoP'!AL18)+('Data BoP'!AL19)+('Data BoP'!AL20)+('Data BoP'!AL21))/'Data BoP'!$AQ21)</f>
        <v>0.00271800388791243</v>
      </c>
      <c r="L22" s="18" t="n">
        <f aca="false">IF('Data BoP'!$AQ21=0,"",(('Data BoP'!W18+'Data BoP'!X18+'Data BoP'!AB18+'Data BoP'!AC18+'Data BoP'!AH18)+('Data BoP'!W19+'Data BoP'!X19+'Data BoP'!AB19+'Data BoP'!AC19+'Data BoP'!AH19)+('Data BoP'!W20+'Data BoP'!X20+'Data BoP'!AB20+'Data BoP'!AC20+'Data BoP'!AH20)+('Data BoP'!W21+'Data BoP'!X21+'Data BoP'!AB21+'Data BoP'!AC21+'Data BoP'!AH21))/'Data BoP'!$AQ21)</f>
        <v>0.0225450585013111</v>
      </c>
      <c r="M22" s="18" t="n">
        <f aca="false">IF('Data BoP'!$AQ21=0,"",(('Data BoP'!AK18)+('Data BoP'!AK19)+('Data BoP'!AK20)+('Data BoP'!AK21))/'Data BoP'!$AQ21)</f>
        <v>-0.00185866357560953</v>
      </c>
      <c r="N22" s="18" t="n">
        <f aca="false">IF('Data BoP'!$AQ21=0,"",(('Data BoP'!AJ18)+('Data BoP'!AJ19)+('Data BoP'!AJ20)+('Data BoP'!AJ21))/'Data BoP'!$AQ21)</f>
        <v>0.00402717180737887</v>
      </c>
      <c r="O22" s="19" t="n">
        <f aca="false">'Data BoP'!$AQ21</f>
        <v>334281.740236008</v>
      </c>
    </row>
    <row r="23" customFormat="false" ht="15" hidden="false" customHeight="false" outlineLevel="0" collapsed="false">
      <c r="B23" s="14" t="str">
        <f aca="false">'Data BoP'!B22</f>
        <v>2010-Q1</v>
      </c>
      <c r="C23" s="18" t="n">
        <f aca="false">IF('Data BoP'!$AQ22=0,"",(('Data BoP'!E19)+('Data BoP'!E20)+('Data BoP'!E21)+('Data BoP'!E22))/'Data BoP'!$AQ22)</f>
        <v>0.0127264521824956</v>
      </c>
      <c r="D23" s="18" t="n">
        <f aca="false">IF('Data BoP'!$AQ22=0,"",(('Data BoP'!G19)+('Data BoP'!G20)+('Data BoP'!G21)+('Data BoP'!G22))/'Data BoP'!$AQ22)</f>
        <v>0.0493074661931901</v>
      </c>
      <c r="E23" s="18" t="n">
        <f aca="false">IF('Data BoP'!$AQ22=0,"",(('Data BoP'!J19)+('Data BoP'!J20)+('Data BoP'!J21)+('Data BoP'!J22))/'Data BoP'!$AQ22)</f>
        <v>-0.00554860905744669</v>
      </c>
      <c r="F23" s="18" t="n">
        <f aca="false">IF('Data BoP'!$AQ22=0,"",(('Data BoP'!M19)+('Data BoP'!M20)+('Data BoP'!M21)+('Data BoP'!M22))/'Data BoP'!$AQ22)</f>
        <v>-0.0335159200691078</v>
      </c>
      <c r="G23" s="18" t="n">
        <f aca="false">IF('Data BoP'!$AQ22=0,"",(('Data BoP'!S19)+('Data BoP'!S20)+('Data BoP'!S21)+('Data BoP'!S22))/'Data BoP'!$AQ22)</f>
        <v>0.00248351511586</v>
      </c>
      <c r="H23" s="18" t="n">
        <f aca="false">IF('Data BoP'!$AQ22=0,"",(('Data BoP'!U19)+('Data BoP'!U20)+('Data BoP'!U21)+('Data BoP'!U22))/'Data BoP'!$AQ22)</f>
        <v>0.0114537707014779</v>
      </c>
      <c r="I23" s="18" t="n">
        <f aca="false">IF('Data BoP'!$AQ22=0,"",(('Data BoP'!Y19+'Data BoP'!Z19)+('Data BoP'!Y20+'Data BoP'!Z20)+('Data BoP'!Y21+'Data BoP'!Z21)+('Data BoP'!Y22+'Data BoP'!Z22))/'Data BoP'!$AQ22)</f>
        <v>0.0170443228100518</v>
      </c>
      <c r="J23" s="18" t="n">
        <f aca="false">IF('Data BoP'!$AQ22=0,"",(('Data BoP'!AD19+'Data BoP'!AE19)+('Data BoP'!AD20+'Data BoP'!AE20)+('Data BoP'!AD21+'Data BoP'!AE21)+('Data BoP'!AD22+'Data BoP'!AE22))/'Data BoP'!$AQ22)</f>
        <v>-0.00385116558412599</v>
      </c>
      <c r="K23" s="18" t="n">
        <f aca="false">IF('Data BoP'!$AQ22=0,"",(('Data BoP'!AL19)+('Data BoP'!AL20)+('Data BoP'!AL21)+('Data BoP'!AL22))/'Data BoP'!$AQ22)</f>
        <v>0.00454719801159867</v>
      </c>
      <c r="L23" s="18" t="n">
        <f aca="false">IF('Data BoP'!$AQ22=0,"",(('Data BoP'!W19+'Data BoP'!X19+'Data BoP'!AB19+'Data BoP'!AC19+'Data BoP'!AH19)+('Data BoP'!W20+'Data BoP'!X20+'Data BoP'!AB20+'Data BoP'!AC20+'Data BoP'!AH20)+('Data BoP'!W21+'Data BoP'!X21+'Data BoP'!AB21+'Data BoP'!AC21+'Data BoP'!AH21)+('Data BoP'!W22+'Data BoP'!X22+'Data BoP'!AB22+'Data BoP'!AC22+'Data BoP'!AH22))/'Data BoP'!$AQ22)</f>
        <v>0.0233115977393718</v>
      </c>
      <c r="M23" s="18" t="n">
        <f aca="false">IF('Data BoP'!$AQ22=0,"",(('Data BoP'!AK19)+('Data BoP'!AK20)+('Data BoP'!AK21)+('Data BoP'!AK22))/'Data BoP'!$AQ22)</f>
        <v>-0.00148864728605278</v>
      </c>
      <c r="N23" s="18" t="n">
        <f aca="false">IF('Data BoP'!$AQ22=0,"",(('Data BoP'!AJ19)+('Data BoP'!AJ20)+('Data BoP'!AJ21)+('Data BoP'!AJ22))/'Data BoP'!$AQ22)</f>
        <v>0.00222736393104381</v>
      </c>
      <c r="O23" s="19" t="n">
        <f aca="false">'Data BoP'!$AQ22</f>
        <v>348164.926796035</v>
      </c>
    </row>
    <row r="24" customFormat="false" ht="15" hidden="false" customHeight="false" outlineLevel="0" collapsed="false">
      <c r="B24" s="14" t="str">
        <f aca="false">'Data BoP'!B23</f>
        <v>2010-Q2</v>
      </c>
      <c r="C24" s="18" t="n">
        <f aca="false">IF('Data BoP'!$AQ23=0,"",(('Data BoP'!E20)+('Data BoP'!E21)+('Data BoP'!E22)+('Data BoP'!E23))/'Data BoP'!$AQ23)</f>
        <v>0.00600149597603175</v>
      </c>
      <c r="D24" s="18" t="n">
        <f aca="false">IF('Data BoP'!$AQ23=0,"",(('Data BoP'!G20)+('Data BoP'!G21)+('Data BoP'!G22)+('Data BoP'!G23))/'Data BoP'!$AQ23)</f>
        <v>0.0437917244418496</v>
      </c>
      <c r="E24" s="18" t="n">
        <f aca="false">IF('Data BoP'!$AQ23=0,"",(('Data BoP'!J20)+('Data BoP'!J21)+('Data BoP'!J22)+('Data BoP'!J23))/'Data BoP'!$AQ23)</f>
        <v>-0.00576384057354358</v>
      </c>
      <c r="F24" s="18" t="n">
        <f aca="false">IF('Data BoP'!$AQ23=0,"",(('Data BoP'!M20)+('Data BoP'!M21)+('Data BoP'!M22)+('Data BoP'!M23))/'Data BoP'!$AQ23)</f>
        <v>-0.0342071030150931</v>
      </c>
      <c r="G24" s="18" t="n">
        <f aca="false">IF('Data BoP'!$AQ23=0,"",(('Data BoP'!S20)+('Data BoP'!S21)+('Data BoP'!S22)+('Data BoP'!S23))/'Data BoP'!$AQ23)</f>
        <v>0.00218071512281885</v>
      </c>
      <c r="H24" s="18" t="n">
        <f aca="false">IF('Data BoP'!$AQ23=0,"",(('Data BoP'!U20)+('Data BoP'!U21)+('Data BoP'!U22)+('Data BoP'!U23))/'Data BoP'!$AQ23)</f>
        <v>0.00497296971966411</v>
      </c>
      <c r="I24" s="18" t="n">
        <f aca="false">IF('Data BoP'!$AQ23=0,"",(('Data BoP'!Y20+'Data BoP'!Z20)+('Data BoP'!Y21+'Data BoP'!Z21)+('Data BoP'!Y22+'Data BoP'!Z22)+('Data BoP'!Y23+'Data BoP'!Z23))/'Data BoP'!$AQ23)</f>
        <v>0.0201204577361187</v>
      </c>
      <c r="J24" s="18" t="n">
        <f aca="false">IF('Data BoP'!$AQ23=0,"",(('Data BoP'!AD20+'Data BoP'!AE20)+('Data BoP'!AD21+'Data BoP'!AE21)+('Data BoP'!AD22+'Data BoP'!AE22)+('Data BoP'!AD23+'Data BoP'!AE23))/'Data BoP'!$AQ23)</f>
        <v>-0.00266646748884858</v>
      </c>
      <c r="K24" s="18" t="n">
        <f aca="false">IF('Data BoP'!$AQ23=0,"",(('Data BoP'!AL20)+('Data BoP'!AL21)+('Data BoP'!AL22)+('Data BoP'!AL23))/'Data BoP'!$AQ23)</f>
        <v>0.005945641029062</v>
      </c>
      <c r="L24" s="18" t="n">
        <f aca="false">IF('Data BoP'!$AQ23=0,"",(('Data BoP'!W20+'Data BoP'!X20+'Data BoP'!AB20+'Data BoP'!AC20+'Data BoP'!AH20)+('Data BoP'!W21+'Data BoP'!X21+'Data BoP'!AB21+'Data BoP'!AC21+'Data BoP'!AH21)+('Data BoP'!W22+'Data BoP'!X22+'Data BoP'!AB22+'Data BoP'!AC22+'Data BoP'!AH22)+('Data BoP'!W23+'Data BoP'!X23+'Data BoP'!AB23+'Data BoP'!AC23+'Data BoP'!AH23))/'Data BoP'!$AQ23)</f>
        <v>0.0151254571931959</v>
      </c>
      <c r="M24" s="18" t="n">
        <f aca="false">IF('Data BoP'!$AQ23=0,"",(('Data BoP'!AK20)+('Data BoP'!AK21)+('Data BoP'!AK22)+('Data BoP'!AK23))/'Data BoP'!$AQ23)</f>
        <v>-0.00123934550124495</v>
      </c>
      <c r="N24" s="18" t="n">
        <f aca="false">IF('Data BoP'!$AQ23=0,"",(('Data BoP'!AJ20)+('Data BoP'!AJ21)+('Data BoP'!AJ22)+('Data BoP'!AJ23))/'Data BoP'!$AQ23)</f>
        <v>0.00961173966621659</v>
      </c>
      <c r="O24" s="19" t="n">
        <f aca="false">'Data BoP'!$AQ23</f>
        <v>372317.616193681</v>
      </c>
    </row>
    <row r="25" customFormat="false" ht="15" hidden="false" customHeight="false" outlineLevel="0" collapsed="false">
      <c r="B25" s="14" t="str">
        <f aca="false">'Data BoP'!B24</f>
        <v>2010-Q3</v>
      </c>
      <c r="C25" s="18" t="n">
        <f aca="false">IF('Data BoP'!$AQ24=0,"",(('Data BoP'!E21)+('Data BoP'!E22)+('Data BoP'!E23)+('Data BoP'!E24))/'Data BoP'!$AQ24)</f>
        <v>0.00251323678651105</v>
      </c>
      <c r="D25" s="18" t="n">
        <f aca="false">IF('Data BoP'!$AQ24=0,"",(('Data BoP'!G21)+('Data BoP'!G22)+('Data BoP'!G23)+('Data BoP'!G24))/'Data BoP'!$AQ24)</f>
        <v>0.0403725528673672</v>
      </c>
      <c r="E25" s="18" t="n">
        <f aca="false">IF('Data BoP'!$AQ24=0,"",(('Data BoP'!J21)+('Data BoP'!J22)+('Data BoP'!J23)+('Data BoP'!J24))/'Data BoP'!$AQ24)</f>
        <v>-0.0049161445279269</v>
      </c>
      <c r="F25" s="18" t="n">
        <f aca="false">IF('Data BoP'!$AQ24=0,"",(('Data BoP'!M21)+('Data BoP'!M22)+('Data BoP'!M23)+('Data BoP'!M24))/'Data BoP'!$AQ24)</f>
        <v>-0.0348076872888438</v>
      </c>
      <c r="G25" s="18" t="n">
        <f aca="false">IF('Data BoP'!$AQ24=0,"",(('Data BoP'!S21)+('Data BoP'!S22)+('Data BoP'!S23)+('Data BoP'!S24))/'Data BoP'!$AQ24)</f>
        <v>0.0018645157359145</v>
      </c>
      <c r="H25" s="18" t="n">
        <f aca="false">IF('Data BoP'!$AQ24=0,"",(('Data BoP'!U21)+('Data BoP'!U22)+('Data BoP'!U23)+('Data BoP'!U24))/'Data BoP'!$AQ24)</f>
        <v>0.00120129140946355</v>
      </c>
      <c r="I25" s="18" t="n">
        <f aca="false">IF('Data BoP'!$AQ24=0,"",(('Data BoP'!Y21+'Data BoP'!Z21)+('Data BoP'!Y22+'Data BoP'!Z22)+('Data BoP'!Y23+'Data BoP'!Z23)+('Data BoP'!Y24+'Data BoP'!Z24))/'Data BoP'!$AQ24)</f>
        <v>0.025035914824085</v>
      </c>
      <c r="J25" s="18" t="n">
        <f aca="false">IF('Data BoP'!$AQ24=0,"",(('Data BoP'!AD21+'Data BoP'!AE21)+('Data BoP'!AD22+'Data BoP'!AE22)+('Data BoP'!AD23+'Data BoP'!AE23)+('Data BoP'!AD24+'Data BoP'!AE24))/'Data BoP'!$AQ24)</f>
        <v>0.000307423634039364</v>
      </c>
      <c r="K25" s="18" t="n">
        <f aca="false">IF('Data BoP'!$AQ24=0,"",(('Data BoP'!AL21)+('Data BoP'!AL22)+('Data BoP'!AL23)+('Data BoP'!AL24))/'Data BoP'!$AQ24)</f>
        <v>0.00250907162924566</v>
      </c>
      <c r="L25" s="18" t="n">
        <f aca="false">IF('Data BoP'!$AQ24=0,"",(('Data BoP'!W21+'Data BoP'!X21+'Data BoP'!AB21+'Data BoP'!AC21+'Data BoP'!AH21)+('Data BoP'!W22+'Data BoP'!X22+'Data BoP'!AB22+'Data BoP'!AC22+'Data BoP'!AH22)+('Data BoP'!W23+'Data BoP'!X23+'Data BoP'!AB23+'Data BoP'!AC23+'Data BoP'!AH23)+('Data BoP'!W24+'Data BoP'!X24+'Data BoP'!AB24+'Data BoP'!AC24+'Data BoP'!AH24))/'Data BoP'!$AQ24)</f>
        <v>0.0200589606533453</v>
      </c>
      <c r="M25" s="18" t="n">
        <f aca="false">IF('Data BoP'!$AQ24=0,"",(('Data BoP'!AK21)+('Data BoP'!AK22)+('Data BoP'!AK23)+('Data BoP'!AK24))/'Data BoP'!$AQ24)</f>
        <v>-0.00150915992665223</v>
      </c>
      <c r="N25" s="18" t="n">
        <f aca="false">IF('Data BoP'!$AQ24=0,"",(('Data BoP'!AJ21)+('Data BoP'!AJ22)+('Data BoP'!AJ23)+('Data BoP'!AJ24))/'Data BoP'!$AQ24)</f>
        <v>0.00765228250974522</v>
      </c>
      <c r="O25" s="19" t="n">
        <f aca="false">'Data BoP'!$AQ24</f>
        <v>398094.293581096</v>
      </c>
    </row>
    <row r="26" customFormat="false" ht="15" hidden="false" customHeight="false" outlineLevel="0" collapsed="false">
      <c r="B26" s="14" t="str">
        <f aca="false">'Data BoP'!B25</f>
        <v>2010-Q4</v>
      </c>
      <c r="C26" s="18" t="n">
        <f aca="false">IF('Data BoP'!$AQ25=0,"",(('Data BoP'!E22)+('Data BoP'!E23)+('Data BoP'!E24)+('Data BoP'!E25))/'Data BoP'!$AQ25)</f>
        <v>-0.00382471018549719</v>
      </c>
      <c r="D26" s="18" t="n">
        <f aca="false">IF('Data BoP'!$AQ25=0,"",(('Data BoP'!G22)+('Data BoP'!G23)+('Data BoP'!G24)+('Data BoP'!G25))/'Data BoP'!$AQ25)</f>
        <v>0.033338712678043</v>
      </c>
      <c r="E26" s="18" t="n">
        <f aca="false">IF('Data BoP'!$AQ25=0,"",(('Data BoP'!J22)+('Data BoP'!J23)+('Data BoP'!J24)+('Data BoP'!J25))/'Data BoP'!$AQ25)</f>
        <v>-0.00425029046712768</v>
      </c>
      <c r="F26" s="18" t="n">
        <f aca="false">IF('Data BoP'!$AQ25=0,"",(('Data BoP'!M22)+('Data BoP'!M23)+('Data BoP'!M24)+('Data BoP'!M25))/'Data BoP'!$AQ25)</f>
        <v>-0.0342823413198703</v>
      </c>
      <c r="G26" s="18" t="n">
        <f aca="false">IF('Data BoP'!$AQ25=0,"",(('Data BoP'!S22)+('Data BoP'!S23)+('Data BoP'!S24)+('Data BoP'!S25))/'Data BoP'!$AQ25)</f>
        <v>0.00136920892345775</v>
      </c>
      <c r="H26" s="18" t="n">
        <f aca="false">IF('Data BoP'!$AQ25=0,"",(('Data BoP'!U22)+('Data BoP'!U23)+('Data BoP'!U24)+('Data BoP'!U25))/'Data BoP'!$AQ25)</f>
        <v>-0.00895993848617746</v>
      </c>
      <c r="I26" s="18" t="n">
        <f aca="false">IF('Data BoP'!$AQ25=0,"",(('Data BoP'!Y22+'Data BoP'!Z22)+('Data BoP'!Y23+'Data BoP'!Z23)+('Data BoP'!Y24+'Data BoP'!Z24)+('Data BoP'!Y25+'Data BoP'!Z25))/'Data BoP'!$AQ25)</f>
        <v>0.0267063922513224</v>
      </c>
      <c r="J26" s="18" t="n">
        <f aca="false">IF('Data BoP'!$AQ25=0,"",(('Data BoP'!AD22+'Data BoP'!AE22)+('Data BoP'!AD23+'Data BoP'!AE23)+('Data BoP'!AD24+'Data BoP'!AE24)+('Data BoP'!AD25+'Data BoP'!AE25))/'Data BoP'!$AQ25)</f>
        <v>0.00630567622228274</v>
      </c>
      <c r="K26" s="18" t="n">
        <f aca="false">IF('Data BoP'!$AQ25=0,"",(('Data BoP'!AL22)+('Data BoP'!AL23)+('Data BoP'!AL24)+('Data BoP'!AL25))/'Data BoP'!$AQ25)</f>
        <v>0.0055004246527787</v>
      </c>
      <c r="L26" s="18" t="n">
        <f aca="false">IF('Data BoP'!$AQ25=0,"",(('Data BoP'!W22+'Data BoP'!X22+'Data BoP'!AB22+'Data BoP'!AC22+'Data BoP'!AH22)+('Data BoP'!W23+'Data BoP'!X23+'Data BoP'!AB23+'Data BoP'!AC23+'Data BoP'!AH23)+('Data BoP'!W24+'Data BoP'!X24+'Data BoP'!AB24+'Data BoP'!AC24+'Data BoP'!AH24)+('Data BoP'!W25+'Data BoP'!X25+'Data BoP'!AB25+'Data BoP'!AC25+'Data BoP'!AH25))/'Data BoP'!$AQ25)</f>
        <v>0.0214339396624664</v>
      </c>
      <c r="M26" s="18" t="n">
        <f aca="false">IF('Data BoP'!$AQ25=0,"",(('Data BoP'!AK22)+('Data BoP'!AK23)+('Data BoP'!AK24)+('Data BoP'!AK25))/'Data BoP'!$AQ25)</f>
        <v>-0.00532016725857033</v>
      </c>
      <c r="N26" s="18" t="n">
        <f aca="false">IF('Data BoP'!$AQ25=0,"",(('Data BoP'!AJ22)+('Data BoP'!AJ23)+('Data BoP'!AJ24)+('Data BoP'!AJ25))/'Data BoP'!$AQ25)</f>
        <v>0.00979710372117189</v>
      </c>
      <c r="O26" s="19" t="n">
        <f aca="false">'Data BoP'!$AQ25</f>
        <v>424344.798046367</v>
      </c>
    </row>
    <row r="27" customFormat="false" ht="15" hidden="false" customHeight="false" outlineLevel="0" collapsed="false">
      <c r="B27" s="14" t="str">
        <f aca="false">'Data BoP'!B26</f>
        <v>2011-Q1</v>
      </c>
      <c r="C27" s="18" t="n">
        <f aca="false">IF('Data BoP'!$AQ26=0,"",(('Data BoP'!E23)+('Data BoP'!E24)+('Data BoP'!E25)+('Data BoP'!E26))/'Data BoP'!$AQ26)</f>
        <v>-0.00496552074789485</v>
      </c>
      <c r="D27" s="18" t="n">
        <f aca="false">IF('Data BoP'!$AQ26=0,"",(('Data BoP'!G23)+('Data BoP'!G24)+('Data BoP'!G25)+('Data BoP'!G26))/'Data BoP'!$AQ26)</f>
        <v>0.0304901743289892</v>
      </c>
      <c r="E27" s="18" t="n">
        <f aca="false">IF('Data BoP'!$AQ26=0,"",(('Data BoP'!J23)+('Data BoP'!J24)+('Data BoP'!J25)+('Data BoP'!J26))/'Data BoP'!$AQ26)</f>
        <v>-0.00463657018674011</v>
      </c>
      <c r="F27" s="18" t="n">
        <f aca="false">IF('Data BoP'!$AQ26=0,"",(('Data BoP'!M23)+('Data BoP'!M24)+('Data BoP'!M25)+('Data BoP'!M26))/'Data BoP'!$AQ26)</f>
        <v>-0.0318549179246368</v>
      </c>
      <c r="G27" s="18" t="n">
        <f aca="false">IF('Data BoP'!$AQ26=0,"",(('Data BoP'!S23)+('Data BoP'!S24)+('Data BoP'!S25)+('Data BoP'!S26))/'Data BoP'!$AQ26)</f>
        <v>0.00103579303449289</v>
      </c>
      <c r="H27" s="18" t="n">
        <f aca="false">IF('Data BoP'!$AQ26=0,"",(('Data BoP'!U23)+('Data BoP'!U24)+('Data BoP'!U25)+('Data BoP'!U26))/'Data BoP'!$AQ26)</f>
        <v>-0.00893422702653155</v>
      </c>
      <c r="I27" s="18" t="n">
        <f aca="false">IF('Data BoP'!$AQ26=0,"",(('Data BoP'!Y23+'Data BoP'!Z23)+('Data BoP'!Y24+'Data BoP'!Z24)+('Data BoP'!Y25+'Data BoP'!Z25)+('Data BoP'!Y26+'Data BoP'!Z26))/'Data BoP'!$AQ26)</f>
        <v>0.0253300198684259</v>
      </c>
      <c r="J27" s="18" t="n">
        <f aca="false">IF('Data BoP'!$AQ26=0,"",(('Data BoP'!AD23+'Data BoP'!AE23)+('Data BoP'!AD24+'Data BoP'!AE24)+('Data BoP'!AD25+'Data BoP'!AE25)+('Data BoP'!AD26+'Data BoP'!AE26))/'Data BoP'!$AQ26)</f>
        <v>0.00718801174115431</v>
      </c>
      <c r="K27" s="18" t="n">
        <f aca="false">IF('Data BoP'!$AQ26=0,"",(('Data BoP'!AL23)+('Data BoP'!AL24)+('Data BoP'!AL25)+('Data BoP'!AL26))/'Data BoP'!$AQ26)</f>
        <v>0.00600743168764421</v>
      </c>
      <c r="L27" s="18" t="n">
        <f aca="false">IF('Data BoP'!$AQ26=0,"",(('Data BoP'!W23+'Data BoP'!X23+'Data BoP'!AB23+'Data BoP'!AC23+'Data BoP'!AH23)+('Data BoP'!W24+'Data BoP'!X24+'Data BoP'!AB24+'Data BoP'!AC24+'Data BoP'!AH24)+('Data BoP'!W25+'Data BoP'!X25+'Data BoP'!AB25+'Data BoP'!AC25+'Data BoP'!AH25)+('Data BoP'!W26+'Data BoP'!X26+'Data BoP'!AB26+'Data BoP'!AC26+'Data BoP'!AH26))/'Data BoP'!$AQ26)</f>
        <v>0.0238048043372596</v>
      </c>
      <c r="M27" s="18" t="n">
        <f aca="false">IF('Data BoP'!$AQ26=0,"",(('Data BoP'!AK23)+('Data BoP'!AK24)+('Data BoP'!AK25)+('Data BoP'!AK26))/'Data BoP'!$AQ26)</f>
        <v>-0.00414141317801601</v>
      </c>
      <c r="N27" s="18" t="n">
        <f aca="false">IF('Data BoP'!$AQ26=0,"",(('Data BoP'!AJ23)+('Data BoP'!AJ24)+('Data BoP'!AJ25)+('Data BoP'!AJ26))/'Data BoP'!$AQ26)</f>
        <v>0.00734275743451599</v>
      </c>
      <c r="O27" s="19" t="n">
        <f aca="false">'Data BoP'!$AQ26</f>
        <v>449621.280485295</v>
      </c>
    </row>
    <row r="28" customFormat="false" ht="15" hidden="false" customHeight="false" outlineLevel="0" collapsed="false">
      <c r="B28" s="14" t="str">
        <f aca="false">'Data BoP'!B27</f>
        <v>2011-Q2</v>
      </c>
      <c r="C28" s="18" t="n">
        <f aca="false">IF('Data BoP'!$AQ27=0,"",(('Data BoP'!E24)+('Data BoP'!E25)+('Data BoP'!E26)+('Data BoP'!E27))/'Data BoP'!$AQ27)</f>
        <v>-0.00799226957155909</v>
      </c>
      <c r="D28" s="18" t="n">
        <f aca="false">IF('Data BoP'!$AQ27=0,"",(('Data BoP'!G24)+('Data BoP'!G25)+('Data BoP'!G26)+('Data BoP'!G27))/'Data BoP'!$AQ27)</f>
        <v>0.0264776005265969</v>
      </c>
      <c r="E28" s="18" t="n">
        <f aca="false">IF('Data BoP'!$AQ27=0,"",(('Data BoP'!J24)+('Data BoP'!J25)+('Data BoP'!J26)+('Data BoP'!J27))/'Data BoP'!$AQ27)</f>
        <v>-0.00481068592272229</v>
      </c>
      <c r="F28" s="18" t="n">
        <f aca="false">IF('Data BoP'!$AQ27=0,"",(('Data BoP'!M24)+('Data BoP'!M25)+('Data BoP'!M26)+('Data BoP'!M27))/'Data BoP'!$AQ27)</f>
        <v>-0.0305117207702143</v>
      </c>
      <c r="G28" s="18" t="n">
        <f aca="false">IF('Data BoP'!$AQ27=0,"",(('Data BoP'!S24)+('Data BoP'!S25)+('Data BoP'!S26)+('Data BoP'!S27))/'Data BoP'!$AQ27)</f>
        <v>0.000852536594780501</v>
      </c>
      <c r="H28" s="18" t="n">
        <f aca="false">IF('Data BoP'!$AQ27=0,"",(('Data BoP'!U24)+('Data BoP'!U25)+('Data BoP'!U26)+('Data BoP'!U27))/'Data BoP'!$AQ27)</f>
        <v>-0.0100010420221496</v>
      </c>
      <c r="I28" s="18" t="n">
        <f aca="false">IF('Data BoP'!$AQ27=0,"",(('Data BoP'!Y24+'Data BoP'!Z24)+('Data BoP'!Y25+'Data BoP'!Z25)+('Data BoP'!Y26+'Data BoP'!Z26)+('Data BoP'!Y27+'Data BoP'!Z27))/'Data BoP'!$AQ27)</f>
        <v>0.0219847717980131</v>
      </c>
      <c r="J28" s="18" t="n">
        <f aca="false">IF('Data BoP'!$AQ27=0,"",(('Data BoP'!AD24+'Data BoP'!AE24)+('Data BoP'!AD25+'Data BoP'!AE25)+('Data BoP'!AD26+'Data BoP'!AE26)+('Data BoP'!AD27+'Data BoP'!AE27))/'Data BoP'!$AQ27)</f>
        <v>0.00740159147981646</v>
      </c>
      <c r="K28" s="18" t="n">
        <f aca="false">IF('Data BoP'!$AQ27=0,"",(('Data BoP'!AL24)+('Data BoP'!AL25)+('Data BoP'!AL26)+('Data BoP'!AL27))/'Data BoP'!$AQ27)</f>
        <v>0.0121214023970284</v>
      </c>
      <c r="L28" s="18" t="n">
        <f aca="false">IF('Data BoP'!$AQ27=0,"",(('Data BoP'!W24+'Data BoP'!X24+'Data BoP'!AB24+'Data BoP'!AC24+'Data BoP'!AH24)+('Data BoP'!W25+'Data BoP'!X25+'Data BoP'!AB25+'Data BoP'!AC25+'Data BoP'!AH25)+('Data BoP'!W26+'Data BoP'!X26+'Data BoP'!AB26+'Data BoP'!AC26+'Data BoP'!AH26)+('Data BoP'!W27+'Data BoP'!X27+'Data BoP'!AB27+'Data BoP'!AC27+'Data BoP'!AH27))/'Data BoP'!$AQ27)</f>
        <v>0.0298346274622936</v>
      </c>
      <c r="M28" s="18" t="n">
        <f aca="false">IF('Data BoP'!$AQ27=0,"",(('Data BoP'!AK24)+('Data BoP'!AK25)+('Data BoP'!AK26)+('Data BoP'!AK27))/'Data BoP'!$AQ27)</f>
        <v>-0.00216528034518063</v>
      </c>
      <c r="N28" s="18" t="n">
        <f aca="false">IF('Data BoP'!$AQ27=0,"",(('Data BoP'!AJ24)+('Data BoP'!AJ25)+('Data BoP'!AJ26)+('Data BoP'!AJ27))/'Data BoP'!$AQ27)</f>
        <v>0.00297285338670709</v>
      </c>
      <c r="O28" s="19" t="n">
        <f aca="false">'Data BoP'!$AQ27</f>
        <v>478587.341831864</v>
      </c>
    </row>
    <row r="29" customFormat="false" ht="15" hidden="false" customHeight="false" outlineLevel="0" collapsed="false">
      <c r="B29" s="14" t="str">
        <f aca="false">'Data BoP'!B28</f>
        <v>2011-Q3</v>
      </c>
      <c r="C29" s="18" t="n">
        <f aca="false">IF('Data BoP'!$AQ28=0,"",(('Data BoP'!E25)+('Data BoP'!E26)+('Data BoP'!E27)+('Data BoP'!E28))/'Data BoP'!$AQ28)</f>
        <v>-0.00952937907801059</v>
      </c>
      <c r="D29" s="18" t="n">
        <f aca="false">IF('Data BoP'!$AQ28=0,"",(('Data BoP'!G25)+('Data BoP'!G26)+('Data BoP'!G27)+('Data BoP'!G28))/'Data BoP'!$AQ28)</f>
        <v>0.0236645484787595</v>
      </c>
      <c r="E29" s="18" t="n">
        <f aca="false">IF('Data BoP'!$AQ28=0,"",(('Data BoP'!J25)+('Data BoP'!J26)+('Data BoP'!J27)+('Data BoP'!J28))/'Data BoP'!$AQ28)</f>
        <v>-0.00525041057715904</v>
      </c>
      <c r="F29" s="18" t="n">
        <f aca="false">IF('Data BoP'!$AQ28=0,"",(('Data BoP'!M25)+('Data BoP'!M26)+('Data BoP'!M27)+('Data BoP'!M28))/'Data BoP'!$AQ28)</f>
        <v>-0.0289283580964122</v>
      </c>
      <c r="G29" s="18" t="n">
        <f aca="false">IF('Data BoP'!$AQ28=0,"",(('Data BoP'!S25)+('Data BoP'!S26)+('Data BoP'!S27)+('Data BoP'!S28))/'Data BoP'!$AQ28)</f>
        <v>0.000984841116801228</v>
      </c>
      <c r="H29" s="18" t="n">
        <f aca="false">IF('Data BoP'!$AQ28=0,"",(('Data BoP'!U25)+('Data BoP'!U26)+('Data BoP'!U27)+('Data BoP'!U28))/'Data BoP'!$AQ28)</f>
        <v>-0.0147476244733207</v>
      </c>
      <c r="I29" s="18" t="n">
        <f aca="false">IF('Data BoP'!$AQ28=0,"",(('Data BoP'!Y25+'Data BoP'!Z25)+('Data BoP'!Y26+'Data BoP'!Z26)+('Data BoP'!Y27+'Data BoP'!Z27)+('Data BoP'!Y28+'Data BoP'!Z28))/'Data BoP'!$AQ28)</f>
        <v>0.0179831883087048</v>
      </c>
      <c r="J29" s="18" t="n">
        <f aca="false">IF('Data BoP'!$AQ28=0,"",(('Data BoP'!AD25+'Data BoP'!AE25)+('Data BoP'!AD26+'Data BoP'!AE26)+('Data BoP'!AD27+'Data BoP'!AE27)+('Data BoP'!AD28+'Data BoP'!AE28))/'Data BoP'!$AQ28)</f>
        <v>0.00593981551345478</v>
      </c>
      <c r="K29" s="18" t="n">
        <f aca="false">IF('Data BoP'!$AQ28=0,"",(('Data BoP'!AL25)+('Data BoP'!AL26)+('Data BoP'!AL27)+('Data BoP'!AL28))/'Data BoP'!$AQ28)</f>
        <v>0.0184807267879423</v>
      </c>
      <c r="L29" s="18" t="n">
        <f aca="false">IF('Data BoP'!$AQ28=0,"",(('Data BoP'!W25+'Data BoP'!X25+'Data BoP'!AB25+'Data BoP'!AC25+'Data BoP'!AH25)+('Data BoP'!W26+'Data BoP'!X26+'Data BoP'!AB26+'Data BoP'!AC26+'Data BoP'!AH26)+('Data BoP'!W27+'Data BoP'!X27+'Data BoP'!AB27+'Data BoP'!AC27+'Data BoP'!AH27)+('Data BoP'!W28+'Data BoP'!X28+'Data BoP'!AB28+'Data BoP'!AC28+'Data BoP'!AH28))/'Data BoP'!$AQ28)</f>
        <v>0.033202043316477</v>
      </c>
      <c r="M29" s="18" t="n">
        <f aca="false">IF('Data BoP'!$AQ28=0,"",(('Data BoP'!AK25)+('Data BoP'!AK26)+('Data BoP'!AK27)+('Data BoP'!AK28))/'Data BoP'!$AQ28)</f>
        <v>-0.00534655417235604</v>
      </c>
      <c r="N29" s="18" t="n">
        <f aca="false">IF('Data BoP'!$AQ28=0,"",(('Data BoP'!AJ25)+('Data BoP'!AJ26)+('Data BoP'!AJ27)+('Data BoP'!AJ28))/'Data BoP'!$AQ28)</f>
        <v>-0.00596007847487036</v>
      </c>
      <c r="O29" s="19" t="n">
        <f aca="false">'Data BoP'!$AQ28</f>
        <v>504951.40503422</v>
      </c>
    </row>
    <row r="30" customFormat="false" ht="15" hidden="false" customHeight="false" outlineLevel="0" collapsed="false">
      <c r="B30" s="14" t="str">
        <f aca="false">'Data BoP'!B29</f>
        <v>2011-Q4</v>
      </c>
      <c r="C30" s="18" t="n">
        <f aca="false">IF('Data BoP'!$AQ29=0,"",(('Data BoP'!E26)+('Data BoP'!E27)+('Data BoP'!E28)+('Data BoP'!E29))/'Data BoP'!$AQ29)</f>
        <v>-0.0101309664476852</v>
      </c>
      <c r="D30" s="18" t="n">
        <f aca="false">IF('Data BoP'!$AQ29=0,"",(('Data BoP'!G26)+('Data BoP'!G27)+('Data BoP'!G28)+('Data BoP'!G29))/'Data BoP'!$AQ29)</f>
        <v>0.0234312027869263</v>
      </c>
      <c r="E30" s="18" t="n">
        <f aca="false">IF('Data BoP'!$AQ29=0,"",(('Data BoP'!J26)+('Data BoP'!J27)+('Data BoP'!J28)+('Data BoP'!J29))/'Data BoP'!$AQ29)</f>
        <v>-0.00598064922887493</v>
      </c>
      <c r="F30" s="18" t="n">
        <f aca="false">IF('Data BoP'!$AQ29=0,"",(('Data BoP'!M26)+('Data BoP'!M27)+('Data BoP'!M28)+('Data BoP'!M29))/'Data BoP'!$AQ29)</f>
        <v>-0.0285954224305652</v>
      </c>
      <c r="G30" s="18" t="n">
        <f aca="false">IF('Data BoP'!$AQ29=0,"",(('Data BoP'!S26)+('Data BoP'!S27)+('Data BoP'!S28)+('Data BoP'!S29))/'Data BoP'!$AQ29)</f>
        <v>0.00101390242482852</v>
      </c>
      <c r="H30" s="18" t="n">
        <f aca="false">IF('Data BoP'!$AQ29=0,"",(('Data BoP'!U26)+('Data BoP'!U27)+('Data BoP'!U28)+('Data BoP'!U29))/'Data BoP'!$AQ29)</f>
        <v>-0.00996406118095519</v>
      </c>
      <c r="I30" s="18" t="n">
        <f aca="false">IF('Data BoP'!$AQ29=0,"",(('Data BoP'!Y26+'Data BoP'!Z26)+('Data BoP'!Y27+'Data BoP'!Z27)+('Data BoP'!Y28+'Data BoP'!Z28)+('Data BoP'!Y29+'Data BoP'!Z29))/'Data BoP'!$AQ29)</f>
        <v>0.0205646536586031</v>
      </c>
      <c r="J30" s="18" t="n">
        <f aca="false">IF('Data BoP'!$AQ29=0,"",(('Data BoP'!AD26+'Data BoP'!AE26)+('Data BoP'!AD27+'Data BoP'!AE27)+('Data BoP'!AD28+'Data BoP'!AE28)+('Data BoP'!AD29+'Data BoP'!AE29))/'Data BoP'!$AQ29)</f>
        <v>-0.000471217679521794</v>
      </c>
      <c r="K30" s="18" t="n">
        <f aca="false">IF('Data BoP'!$AQ29=0,"",(('Data BoP'!AL26)+('Data BoP'!AL27)+('Data BoP'!AL28)+('Data BoP'!AL29))/'Data BoP'!$AQ29)</f>
        <v>0.0209039034778344</v>
      </c>
      <c r="L30" s="18" t="n">
        <f aca="false">IF('Data BoP'!$AQ29=0,"",(('Data BoP'!W26+'Data BoP'!X26+'Data BoP'!AB26+'Data BoP'!AC26+'Data BoP'!AH26)+('Data BoP'!W27+'Data BoP'!X27+'Data BoP'!AB27+'Data BoP'!AC27+'Data BoP'!AH27)+('Data BoP'!W28+'Data BoP'!X28+'Data BoP'!AB28+'Data BoP'!AC28+'Data BoP'!AH28)+('Data BoP'!W29+'Data BoP'!X29+'Data BoP'!AB29+'Data BoP'!AC29+'Data BoP'!AH29))/'Data BoP'!$AQ29)</f>
        <v>0.0381507589746627</v>
      </c>
      <c r="M30" s="18" t="n">
        <f aca="false">IF('Data BoP'!$AQ29=0,"",(('Data BoP'!AK26)+('Data BoP'!AK27)+('Data BoP'!AK28)+('Data BoP'!AK29))/'Data BoP'!$AQ29)</f>
        <v>4.79105812190711E-005</v>
      </c>
      <c r="N30" s="18" t="n">
        <f aca="false">IF('Data BoP'!$AQ29=0,"",(('Data BoP'!AJ26)+('Data BoP'!AJ27)+('Data BoP'!AJ28)+('Data BoP'!AJ29))/'Data BoP'!$AQ29)</f>
        <v>-0.0115874403968916</v>
      </c>
      <c r="O30" s="19" t="n">
        <f aca="false">'Data BoP'!$AQ29</f>
        <v>527114.685451885</v>
      </c>
    </row>
    <row r="31" customFormat="false" ht="15" hidden="false" customHeight="false" outlineLevel="0" collapsed="false">
      <c r="B31" s="14" t="str">
        <f aca="false">'Data BoP'!B30</f>
        <v>2012-Q1</v>
      </c>
      <c r="C31" s="18" t="n">
        <f aca="false">IF('Data BoP'!$AQ30=0,"",(('Data BoP'!E27)+('Data BoP'!E28)+('Data BoP'!E29)+('Data BoP'!E30))/'Data BoP'!$AQ30)</f>
        <v>-0.00896264939592554</v>
      </c>
      <c r="D31" s="18" t="n">
        <f aca="false">IF('Data BoP'!$AQ30=0,"",(('Data BoP'!G27)+('Data BoP'!G28)+('Data BoP'!G29)+('Data BoP'!G30))/'Data BoP'!$AQ30)</f>
        <v>0.0244523747438319</v>
      </c>
      <c r="E31" s="18" t="n">
        <f aca="false">IF('Data BoP'!$AQ30=0,"",(('Data BoP'!J27)+('Data BoP'!J28)+('Data BoP'!J29)+('Data BoP'!J30))/'Data BoP'!$AQ30)</f>
        <v>-0.00647156393818079</v>
      </c>
      <c r="F31" s="18" t="n">
        <f aca="false">IF('Data BoP'!$AQ30=0,"",(('Data BoP'!M27)+('Data BoP'!M28)+('Data BoP'!M29)+('Data BoP'!M30))/'Data BoP'!$AQ30)</f>
        <v>-0.0281550828004997</v>
      </c>
      <c r="G31" s="18" t="n">
        <f aca="false">IF('Data BoP'!$AQ30=0,"",(('Data BoP'!S27)+('Data BoP'!S28)+('Data BoP'!S29)+('Data BoP'!S30))/'Data BoP'!$AQ30)</f>
        <v>0.00121162259892302</v>
      </c>
      <c r="H31" s="18" t="n">
        <f aca="false">IF('Data BoP'!$AQ30=0,"",(('Data BoP'!U27)+('Data BoP'!U28)+('Data BoP'!U29)+('Data BoP'!U30))/'Data BoP'!$AQ30)</f>
        <v>-0.00988114702424142</v>
      </c>
      <c r="I31" s="18" t="n">
        <f aca="false">IF('Data BoP'!$AQ30=0,"",(('Data BoP'!Y27+'Data BoP'!Z27)+('Data BoP'!Y28+'Data BoP'!Z28)+('Data BoP'!Y29+'Data BoP'!Z29)+('Data BoP'!Y30+'Data BoP'!Z30))/'Data BoP'!$AQ30)</f>
        <v>0.0217904703715095</v>
      </c>
      <c r="J31" s="18" t="n">
        <f aca="false">IF('Data BoP'!$AQ30=0,"",(('Data BoP'!AD27+'Data BoP'!AE27)+('Data BoP'!AD28+'Data BoP'!AE28)+('Data BoP'!AD29+'Data BoP'!AE29)+('Data BoP'!AD30+'Data BoP'!AE30))/'Data BoP'!$AQ30)</f>
        <v>0.000972565831497885</v>
      </c>
      <c r="K31" s="18" t="n">
        <f aca="false">IF('Data BoP'!$AQ30=0,"",(('Data BoP'!AL27)+('Data BoP'!AL28)+('Data BoP'!AL29)+('Data BoP'!AL30))/'Data BoP'!$AQ30)</f>
        <v>0.0169260554069244</v>
      </c>
      <c r="L31" s="18" t="n">
        <f aca="false">IF('Data BoP'!$AQ30=0,"",(('Data BoP'!W27+'Data BoP'!X27+'Data BoP'!AB27+'Data BoP'!AC27+'Data BoP'!AH27)+('Data BoP'!W28+'Data BoP'!X28+'Data BoP'!AB28+'Data BoP'!AC28+'Data BoP'!AH28)+('Data BoP'!W29+'Data BoP'!X29+'Data BoP'!AB29+'Data BoP'!AC29+'Data BoP'!AH29)+('Data BoP'!W30+'Data BoP'!X30+'Data BoP'!AB30+'Data BoP'!AC30+'Data BoP'!AH30))/'Data BoP'!$AQ30)</f>
        <v>0.03338764087764</v>
      </c>
      <c r="M31" s="18" t="n">
        <f aca="false">IF('Data BoP'!$AQ30=0,"",(('Data BoP'!AK27)+('Data BoP'!AK28)+('Data BoP'!AK29)+('Data BoP'!AK30))/'Data BoP'!$AQ30)</f>
        <v>-0.00100503531096555</v>
      </c>
      <c r="N31" s="18" t="n">
        <f aca="false">IF('Data BoP'!$AQ30=0,"",(('Data BoP'!AJ27)+('Data BoP'!AJ28)+('Data BoP'!AJ29)+('Data BoP'!AJ30))/'Data BoP'!$AQ30)</f>
        <v>-0.00785730800424693</v>
      </c>
      <c r="O31" s="19" t="n">
        <f aca="false">'Data BoP'!$AQ30</f>
        <v>544540.190824565</v>
      </c>
    </row>
    <row r="32" customFormat="false" ht="15" hidden="false" customHeight="false" outlineLevel="0" collapsed="false">
      <c r="B32" s="14" t="str">
        <f aca="false">'Data BoP'!B31</f>
        <v>2012-Q2</v>
      </c>
      <c r="C32" s="18" t="n">
        <f aca="false">IF('Data BoP'!$AQ31=0,"",(('Data BoP'!E28)+('Data BoP'!E29)+('Data BoP'!E30)+('Data BoP'!E31))/'Data BoP'!$AQ31)</f>
        <v>-0.00878880069668267</v>
      </c>
      <c r="D32" s="18" t="n">
        <f aca="false">IF('Data BoP'!$AQ31=0,"",(('Data BoP'!G28)+('Data BoP'!G29)+('Data BoP'!G30)+('Data BoP'!G31))/'Data BoP'!$AQ31)</f>
        <v>0.0233925802038858</v>
      </c>
      <c r="E32" s="18" t="n">
        <f aca="false">IF('Data BoP'!$AQ31=0,"",(('Data BoP'!J28)+('Data BoP'!J29)+('Data BoP'!J30)+('Data BoP'!J31))/'Data BoP'!$AQ31)</f>
        <v>-0.00677675843209603</v>
      </c>
      <c r="F32" s="18" t="n">
        <f aca="false">IF('Data BoP'!$AQ31=0,"",(('Data BoP'!M28)+('Data BoP'!M29)+('Data BoP'!M30)+('Data BoP'!M31))/'Data BoP'!$AQ31)</f>
        <v>-0.0266628481566551</v>
      </c>
      <c r="G32" s="18" t="n">
        <f aca="false">IF('Data BoP'!$AQ31=0,"",(('Data BoP'!S28)+('Data BoP'!S29)+('Data BoP'!S30)+('Data BoP'!S31))/'Data BoP'!$AQ31)</f>
        <v>0.00125822568818265</v>
      </c>
      <c r="H32" s="18" t="n">
        <f aca="false">IF('Data BoP'!$AQ31=0,"",(('Data BoP'!U28)+('Data BoP'!U29)+('Data BoP'!U30)+('Data BoP'!U31))/'Data BoP'!$AQ31)</f>
        <v>-0.00950644634914869</v>
      </c>
      <c r="I32" s="18" t="n">
        <f aca="false">IF('Data BoP'!$AQ31=0,"",(('Data BoP'!Y28+'Data BoP'!Z28)+('Data BoP'!Y29+'Data BoP'!Z29)+('Data BoP'!Y30+'Data BoP'!Z30)+('Data BoP'!Y31+'Data BoP'!Z31))/'Data BoP'!$AQ31)</f>
        <v>0.02636707794826</v>
      </c>
      <c r="J32" s="18" t="n">
        <f aca="false">IF('Data BoP'!$AQ31=0,"",(('Data BoP'!AD28+'Data BoP'!AE28)+('Data BoP'!AD29+'Data BoP'!AE29)+('Data BoP'!AD30+'Data BoP'!AE30)+('Data BoP'!AD31+'Data BoP'!AE31))/'Data BoP'!$AQ31)</f>
        <v>0.000310777932487403</v>
      </c>
      <c r="K32" s="18" t="n">
        <f aca="false">IF('Data BoP'!$AQ31=0,"",(('Data BoP'!AL28)+('Data BoP'!AL29)+('Data BoP'!AL30)+('Data BoP'!AL31))/'Data BoP'!$AQ31)</f>
        <v>0.0105440867015288</v>
      </c>
      <c r="L32" s="18" t="n">
        <f aca="false">IF('Data BoP'!$AQ31=0,"",(('Data BoP'!W28+'Data BoP'!X28+'Data BoP'!AB28+'Data BoP'!AC28+'Data BoP'!AH28)+('Data BoP'!W29+'Data BoP'!X29+'Data BoP'!AB29+'Data BoP'!AC29+'Data BoP'!AH29)+('Data BoP'!W30+'Data BoP'!X30+'Data BoP'!AB30+'Data BoP'!AC30+'Data BoP'!AH30)+('Data BoP'!W31+'Data BoP'!X31+'Data BoP'!AB31+'Data BoP'!AC31+'Data BoP'!AH31))/'Data BoP'!$AQ31)</f>
        <v>0.0331687452362123</v>
      </c>
      <c r="M32" s="18" t="n">
        <f aca="false">IF('Data BoP'!$AQ31=0,"",(('Data BoP'!AK28)+('Data BoP'!AK29)+('Data BoP'!AK30)+('Data BoP'!AK31))/'Data BoP'!$AQ31)</f>
        <v>-0.000840140948169723</v>
      </c>
      <c r="N32" s="18" t="n">
        <f aca="false">IF('Data BoP'!$AQ31=0,"",(('Data BoP'!AJ28)+('Data BoP'!AJ29)+('Data BoP'!AJ30)+('Data BoP'!AJ31))/'Data BoP'!$AQ31)</f>
        <v>-0.0093505089903617</v>
      </c>
      <c r="O32" s="19" t="n">
        <f aca="false">'Data BoP'!$AQ31</f>
        <v>556458.477860758</v>
      </c>
    </row>
    <row r="33" customFormat="false" ht="15" hidden="false" customHeight="false" outlineLevel="0" collapsed="false">
      <c r="B33" s="14" t="str">
        <f aca="false">'Data BoP'!B32</f>
        <v>2012-Q3</v>
      </c>
      <c r="C33" s="18" t="n">
        <f aca="false">IF('Data BoP'!$AQ32=0,"",(('Data BoP'!E29)+('Data BoP'!E30)+('Data BoP'!E31)+('Data BoP'!E32))/'Data BoP'!$AQ32)</f>
        <v>-0.00582295008633295</v>
      </c>
      <c r="D33" s="18" t="n">
        <f aca="false">IF('Data BoP'!$AQ32=0,"",(('Data BoP'!G29)+('Data BoP'!G30)+('Data BoP'!G31)+('Data BoP'!G32))/'Data BoP'!$AQ32)</f>
        <v>0.0254386314163542</v>
      </c>
      <c r="E33" s="18" t="n">
        <f aca="false">IF('Data BoP'!$AQ32=0,"",(('Data BoP'!J29)+('Data BoP'!J30)+('Data BoP'!J31)+('Data BoP'!J32))/'Data BoP'!$AQ32)</f>
        <v>-0.0068726777570123</v>
      </c>
      <c r="F33" s="18" t="n">
        <f aca="false">IF('Data BoP'!$AQ32=0,"",(('Data BoP'!M29)+('Data BoP'!M30)+('Data BoP'!M31)+('Data BoP'!M32))/'Data BoP'!$AQ32)</f>
        <v>-0.0255431413163856</v>
      </c>
      <c r="G33" s="18" t="n">
        <f aca="false">IF('Data BoP'!$AQ32=0,"",(('Data BoP'!S29)+('Data BoP'!S30)+('Data BoP'!S31)+('Data BoP'!S32))/'Data BoP'!$AQ32)</f>
        <v>0.00115423757071067</v>
      </c>
      <c r="H33" s="18" t="n">
        <f aca="false">IF('Data BoP'!$AQ32=0,"",(('Data BoP'!U29)+('Data BoP'!U30)+('Data BoP'!U31)+('Data BoP'!U32))/'Data BoP'!$AQ32)</f>
        <v>-0.00410536999970279</v>
      </c>
      <c r="I33" s="18" t="n">
        <f aca="false">IF('Data BoP'!$AQ32=0,"",(('Data BoP'!Y29+'Data BoP'!Z29)+('Data BoP'!Y30+'Data BoP'!Z30)+('Data BoP'!Y31+'Data BoP'!Z31)+('Data BoP'!Y32+'Data BoP'!Z32))/'Data BoP'!$AQ32)</f>
        <v>0.0283642840271575</v>
      </c>
      <c r="J33" s="18" t="n">
        <f aca="false">IF('Data BoP'!$AQ32=0,"",(('Data BoP'!AD29+'Data BoP'!AE29)+('Data BoP'!AD30+'Data BoP'!AE30)+('Data BoP'!AD31+'Data BoP'!AE31)+('Data BoP'!AD32+'Data BoP'!AE32))/'Data BoP'!$AQ32)</f>
        <v>-0.00226680235030241</v>
      </c>
      <c r="K33" s="18" t="n">
        <f aca="false">IF('Data BoP'!$AQ32=0,"",(('Data BoP'!AL29)+('Data BoP'!AL30)+('Data BoP'!AL31)+('Data BoP'!AL32))/'Data BoP'!$AQ32)</f>
        <v>0.00160577829767315</v>
      </c>
      <c r="L33" s="18" t="n">
        <f aca="false">IF('Data BoP'!$AQ32=0,"",(('Data BoP'!W29+'Data BoP'!X29+'Data BoP'!AB29+'Data BoP'!AC29+'Data BoP'!AH29)+('Data BoP'!W30+'Data BoP'!X30+'Data BoP'!AB30+'Data BoP'!AC30+'Data BoP'!AH30)+('Data BoP'!W31+'Data BoP'!X31+'Data BoP'!AB31+'Data BoP'!AC31+'Data BoP'!AH31)+('Data BoP'!W32+'Data BoP'!X32+'Data BoP'!AB32+'Data BoP'!AC32+'Data BoP'!AH32))/'Data BoP'!$AQ32)</f>
        <v>0.0264395349096269</v>
      </c>
      <c r="M33" s="18" t="n">
        <f aca="false">IF('Data BoP'!$AQ32=0,"",(('Data BoP'!AK29)+('Data BoP'!AK30)+('Data BoP'!AK31)+('Data BoP'!AK32))/'Data BoP'!$AQ32)</f>
        <v>0.00162598582764687</v>
      </c>
      <c r="N33" s="18" t="n">
        <f aca="false">IF('Data BoP'!$AQ32=0,"",(('Data BoP'!AJ29)+('Data BoP'!AJ30)+('Data BoP'!AJ31)+('Data BoP'!AJ32))/'Data BoP'!$AQ32)</f>
        <v>-0.00664672759981234</v>
      </c>
      <c r="O33" s="19" t="n">
        <f aca="false">'Data BoP'!$AQ32</f>
        <v>568120.167901361</v>
      </c>
    </row>
    <row r="34" customFormat="false" ht="15" hidden="false" customHeight="false" outlineLevel="0" collapsed="false">
      <c r="B34" s="14" t="str">
        <f aca="false">'Data BoP'!B33</f>
        <v>2012-Q4</v>
      </c>
      <c r="C34" s="18" t="n">
        <f aca="false">IF('Data BoP'!$AQ33=0,"",(('Data BoP'!E30)+('Data BoP'!E31)+('Data BoP'!E32)+('Data BoP'!E33))/'Data BoP'!$AQ33)</f>
        <v>-0.00369212247352157</v>
      </c>
      <c r="D34" s="18" t="n">
        <f aca="false">IF('Data BoP'!$AQ33=0,"",(('Data BoP'!G30)+('Data BoP'!G31)+('Data BoP'!G32)+('Data BoP'!G33))/'Data BoP'!$AQ33)</f>
        <v>0.0259737342424241</v>
      </c>
      <c r="E34" s="18" t="n">
        <f aca="false">IF('Data BoP'!$AQ33=0,"",(('Data BoP'!J30)+('Data BoP'!J31)+('Data BoP'!J32)+('Data BoP'!J33))/'Data BoP'!$AQ33)</f>
        <v>-0.00707538349714844</v>
      </c>
      <c r="F34" s="18" t="n">
        <f aca="false">IF('Data BoP'!$AQ33=0,"",(('Data BoP'!M30)+('Data BoP'!M31)+('Data BoP'!M32)+('Data BoP'!M33))/'Data BoP'!$AQ33)</f>
        <v>-0.0237511251032198</v>
      </c>
      <c r="G34" s="18" t="n">
        <f aca="false">IF('Data BoP'!$AQ33=0,"",(('Data BoP'!S30)+('Data BoP'!S31)+('Data BoP'!S32)+('Data BoP'!S33))/'Data BoP'!$AQ33)</f>
        <v>0.00116065188442261</v>
      </c>
      <c r="H34" s="18" t="n">
        <f aca="false">IF('Data BoP'!$AQ33=0,"",(('Data BoP'!U30)+('Data BoP'!U31)+('Data BoP'!U32)+('Data BoP'!U33))/'Data BoP'!$AQ33)</f>
        <v>-0.0048147538977102</v>
      </c>
      <c r="I34" s="18" t="n">
        <f aca="false">IF('Data BoP'!$AQ33=0,"",(('Data BoP'!Y30+'Data BoP'!Z30)+('Data BoP'!Y31+'Data BoP'!Z31)+('Data BoP'!Y32+'Data BoP'!Z32)+('Data BoP'!Y33+'Data BoP'!Z33))/'Data BoP'!$AQ33)</f>
        <v>0.0264624755659938</v>
      </c>
      <c r="J34" s="18" t="n">
        <f aca="false">IF('Data BoP'!$AQ33=0,"",(('Data BoP'!AD30+'Data BoP'!AE30)+('Data BoP'!AD31+'Data BoP'!AE31)+('Data BoP'!AD32+'Data BoP'!AE32)+('Data BoP'!AD33+'Data BoP'!AE33))/'Data BoP'!$AQ33)</f>
        <v>0.000198601683340422</v>
      </c>
      <c r="K34" s="18" t="n">
        <f aca="false">IF('Data BoP'!$AQ33=0,"",(('Data BoP'!AL30)+('Data BoP'!AL31)+('Data BoP'!AL32)+('Data BoP'!AL33))/'Data BoP'!$AQ33)</f>
        <v>-0.00346326211576875</v>
      </c>
      <c r="L34" s="18" t="n">
        <f aca="false">IF('Data BoP'!$AQ33=0,"",(('Data BoP'!W30+'Data BoP'!X30+'Data BoP'!AB30+'Data BoP'!AC30+'Data BoP'!AH30)+('Data BoP'!W31+'Data BoP'!X31+'Data BoP'!AB31+'Data BoP'!AC31+'Data BoP'!AH31)+('Data BoP'!W32+'Data BoP'!X32+'Data BoP'!AB32+'Data BoP'!AC32+'Data BoP'!AH32)+('Data BoP'!W33+'Data BoP'!X33+'Data BoP'!AB33+'Data BoP'!AC33+'Data BoP'!AH33))/'Data BoP'!$AQ33)</f>
        <v>0.019067832608735</v>
      </c>
      <c r="M34" s="18" t="n">
        <f aca="false">IF('Data BoP'!$AQ33=0,"",(('Data BoP'!AK30)+('Data BoP'!AK31)+('Data BoP'!AK32)+('Data BoP'!AK33))/'Data BoP'!$AQ33)</f>
        <v>-0.00120532104986055</v>
      </c>
      <c r="N34" s="18" t="n">
        <f aca="false">IF('Data BoP'!$AQ33=0,"",(('Data BoP'!AJ30)+('Data BoP'!AJ31)+('Data BoP'!AJ32)+('Data BoP'!AJ33))/'Data BoP'!$AQ33)</f>
        <v>-0.00570682911627794</v>
      </c>
      <c r="O34" s="19" t="n">
        <f aca="false">'Data BoP'!$AQ33</f>
        <v>579081.646333818</v>
      </c>
    </row>
    <row r="35" customFormat="false" ht="15" hidden="false" customHeight="false" outlineLevel="0" collapsed="false">
      <c r="B35" s="14" t="str">
        <f aca="false">'Data BoP'!B34</f>
        <v>2013-Q1</v>
      </c>
      <c r="C35" s="18" t="n">
        <f aca="false">IF('Data BoP'!$AQ34=0,"",(('Data BoP'!E31)+('Data BoP'!E32)+('Data BoP'!E33)+('Data BoP'!E34))/'Data BoP'!$AQ34)</f>
        <v>-0.00721287287780869</v>
      </c>
      <c r="D35" s="18" t="n">
        <f aca="false">IF('Data BoP'!$AQ34=0,"",(('Data BoP'!G31)+('Data BoP'!G32)+('Data BoP'!G33)+('Data BoP'!G34))/'Data BoP'!$AQ34)</f>
        <v>0.0221165880617165</v>
      </c>
      <c r="E35" s="18" t="n">
        <f aca="false">IF('Data BoP'!$AQ34=0,"",(('Data BoP'!J31)+('Data BoP'!J32)+('Data BoP'!J33)+('Data BoP'!J34))/'Data BoP'!$AQ34)</f>
        <v>-0.00782992371352097</v>
      </c>
      <c r="F35" s="18" t="n">
        <f aca="false">IF('Data BoP'!$AQ34=0,"",(('Data BoP'!M31)+('Data BoP'!M32)+('Data BoP'!M33)+('Data BoP'!M34))/'Data BoP'!$AQ34)</f>
        <v>-0.0226861505830507</v>
      </c>
      <c r="G35" s="18" t="n">
        <f aca="false">IF('Data BoP'!$AQ34=0,"",(('Data BoP'!S31)+('Data BoP'!S32)+('Data BoP'!S33)+('Data BoP'!S34))/'Data BoP'!$AQ34)</f>
        <v>0.00118661335704647</v>
      </c>
      <c r="H35" s="18" t="n">
        <f aca="false">IF('Data BoP'!$AQ34=0,"",(('Data BoP'!U31)+('Data BoP'!U32)+('Data BoP'!U33)+('Data BoP'!U34))/'Data BoP'!$AQ34)</f>
        <v>-0.00926987958792946</v>
      </c>
      <c r="I35" s="18" t="n">
        <f aca="false">IF('Data BoP'!$AQ34=0,"",(('Data BoP'!Y31+'Data BoP'!Z31)+('Data BoP'!Y32+'Data BoP'!Z32)+('Data BoP'!Y33+'Data BoP'!Z33)+('Data BoP'!Y34+'Data BoP'!Z34))/'Data BoP'!$AQ34)</f>
        <v>0.02183458224169</v>
      </c>
      <c r="J35" s="18" t="n">
        <f aca="false">IF('Data BoP'!$AQ34=0,"",(('Data BoP'!AD31+'Data BoP'!AE31)+('Data BoP'!AD32+'Data BoP'!AE32)+('Data BoP'!AD33+'Data BoP'!AE33)+('Data BoP'!AD34+'Data BoP'!AE34))/'Data BoP'!$AQ34)</f>
        <v>-0.00197398728339319</v>
      </c>
      <c r="K35" s="18" t="n">
        <f aca="false">IF('Data BoP'!$AQ34=0,"",(('Data BoP'!AL31)+('Data BoP'!AL32)+('Data BoP'!AL33)+('Data BoP'!AL34))/'Data BoP'!$AQ34)</f>
        <v>-0.00222245496402329</v>
      </c>
      <c r="L35" s="18" t="n">
        <f aca="false">IF('Data BoP'!$AQ34=0,"",(('Data BoP'!W31+'Data BoP'!X31+'Data BoP'!AB31+'Data BoP'!AC31+'Data BoP'!AH31)+('Data BoP'!W32+'Data BoP'!X32+'Data BoP'!AB32+'Data BoP'!AC32+'Data BoP'!AH32)+('Data BoP'!W33+'Data BoP'!X33+'Data BoP'!AB33+'Data BoP'!AC33+'Data BoP'!AH33)+('Data BoP'!W34+'Data BoP'!X34+'Data BoP'!AB34+'Data BoP'!AC34+'Data BoP'!AH34))/'Data BoP'!$AQ34)</f>
        <v>0.0146112222209791</v>
      </c>
      <c r="M35" s="18" t="n">
        <f aca="false">IF('Data BoP'!$AQ34=0,"",(('Data BoP'!AK31)+('Data BoP'!AK32)+('Data BoP'!AK33)+('Data BoP'!AK34))/'Data BoP'!$AQ34)</f>
        <v>-0.00213871966732562</v>
      </c>
      <c r="N35" s="18" t="n">
        <f aca="false">IF('Data BoP'!$AQ34=0,"",(('Data BoP'!AJ31)+('Data BoP'!AJ32)+('Data BoP'!AJ33)+('Data BoP'!AJ34))/'Data BoP'!$AQ34)</f>
        <v>-0.0111523768865171</v>
      </c>
      <c r="O35" s="19" t="n">
        <f aca="false">'Data BoP'!$AQ34</f>
        <v>588031.597813767</v>
      </c>
    </row>
    <row r="36" customFormat="false" ht="15" hidden="false" customHeight="false" outlineLevel="0" collapsed="false">
      <c r="B36" s="14" t="str">
        <f aca="false">'Data BoP'!B35</f>
        <v>2013-Q2</v>
      </c>
      <c r="C36" s="18" t="n">
        <f aca="false">IF('Data BoP'!$AQ35=0,"",(('Data BoP'!E32)+('Data BoP'!E33)+('Data BoP'!E34)+('Data BoP'!E35))/'Data BoP'!$AQ35)</f>
        <v>-0.00843307411864061</v>
      </c>
      <c r="D36" s="18" t="n">
        <f aca="false">IF('Data BoP'!$AQ35=0,"",(('Data BoP'!G32)+('Data BoP'!G33)+('Data BoP'!G34)+('Data BoP'!G35))/'Data BoP'!$AQ35)</f>
        <v>0.0202810552675165</v>
      </c>
      <c r="E36" s="18" t="n">
        <f aca="false">IF('Data BoP'!$AQ35=0,"",(('Data BoP'!J32)+('Data BoP'!J33)+('Data BoP'!J34)+('Data BoP'!J35))/'Data BoP'!$AQ35)</f>
        <v>-0.00807744909655376</v>
      </c>
      <c r="F36" s="18" t="n">
        <f aca="false">IF('Data BoP'!$AQ35=0,"",(('Data BoP'!M32)+('Data BoP'!M33)+('Data BoP'!M34)+('Data BoP'!M35))/'Data BoP'!$AQ35)</f>
        <v>-0.0222218936646622</v>
      </c>
      <c r="G36" s="18" t="n">
        <f aca="false">IF('Data BoP'!$AQ35=0,"",(('Data BoP'!S32)+('Data BoP'!S33)+('Data BoP'!S34)+('Data BoP'!S35))/'Data BoP'!$AQ35)</f>
        <v>0.00158521337505888</v>
      </c>
      <c r="H36" s="18" t="n">
        <f aca="false">IF('Data BoP'!$AQ35=0,"",(('Data BoP'!U32)+('Data BoP'!U33)+('Data BoP'!U34)+('Data BoP'!U35))/'Data BoP'!$AQ35)</f>
        <v>-0.0107273508475582</v>
      </c>
      <c r="I36" s="18" t="n">
        <f aca="false">IF('Data BoP'!$AQ35=0,"",(('Data BoP'!Y32+'Data BoP'!Z32)+('Data BoP'!Y33+'Data BoP'!Z33)+('Data BoP'!Y34+'Data BoP'!Z34)+('Data BoP'!Y35+'Data BoP'!Z35))/'Data BoP'!$AQ35)</f>
        <v>0.0203900216395579</v>
      </c>
      <c r="J36" s="18" t="n">
        <f aca="false">IF('Data BoP'!$AQ35=0,"",(('Data BoP'!AD32+'Data BoP'!AE32)+('Data BoP'!AD33+'Data BoP'!AE33)+('Data BoP'!AD34+'Data BoP'!AE34)+('Data BoP'!AD35+'Data BoP'!AE35))/'Data BoP'!$AQ35)</f>
        <v>-0.00285906310620194</v>
      </c>
      <c r="K36" s="18" t="n">
        <f aca="false">IF('Data BoP'!$AQ35=0,"",(('Data BoP'!AL32)+('Data BoP'!AL33)+('Data BoP'!AL34)+('Data BoP'!AL35))/'Data BoP'!$AQ35)</f>
        <v>-0.00455004833188058</v>
      </c>
      <c r="L36" s="18" t="n">
        <f aca="false">IF('Data BoP'!$AQ35=0,"",(('Data BoP'!W32+'Data BoP'!X32+'Data BoP'!AB32+'Data BoP'!AC32+'Data BoP'!AH32)+('Data BoP'!W33+'Data BoP'!X33+'Data BoP'!AB33+'Data BoP'!AC33+'Data BoP'!AH33)+('Data BoP'!W34+'Data BoP'!X34+'Data BoP'!AB34+'Data BoP'!AC34+'Data BoP'!AH34)+('Data BoP'!W35+'Data BoP'!X35+'Data BoP'!AB35+'Data BoP'!AC35+'Data BoP'!AH35))/'Data BoP'!$AQ35)</f>
        <v>0.0117384721139116</v>
      </c>
      <c r="M36" s="18" t="n">
        <f aca="false">IF('Data BoP'!$AQ35=0,"",(('Data BoP'!AK32)+('Data BoP'!AK33)+('Data BoP'!AK34)+('Data BoP'!AK35))/'Data BoP'!$AQ35)</f>
        <v>-0.00233776894299225</v>
      </c>
      <c r="N36" s="18" t="n">
        <f aca="false">IF('Data BoP'!$AQ35=0,"",(('Data BoP'!AJ32)+('Data BoP'!AJ33)+('Data BoP'!AJ34)+('Data BoP'!AJ35))/'Data BoP'!$AQ35)</f>
        <v>-0.014265517629465</v>
      </c>
      <c r="O36" s="19" t="n">
        <f aca="false">'Data BoP'!$AQ35</f>
        <v>600736.000094332</v>
      </c>
    </row>
    <row r="37" customFormat="false" ht="15" hidden="false" customHeight="false" outlineLevel="0" collapsed="false">
      <c r="B37" s="14" t="str">
        <f aca="false">'Data BoP'!B36</f>
        <v>2013-Q3</v>
      </c>
      <c r="C37" s="18" t="n">
        <f aca="false">IF('Data BoP'!$AQ36=0,"",(('Data BoP'!E33)+('Data BoP'!E34)+('Data BoP'!E35)+('Data BoP'!E36))/'Data BoP'!$AQ36)</f>
        <v>-0.0134151038916565</v>
      </c>
      <c r="D37" s="18" t="n">
        <f aca="false">IF('Data BoP'!$AQ36=0,"",(('Data BoP'!G33)+('Data BoP'!G34)+('Data BoP'!G35)+('Data BoP'!G36))/'Data BoP'!$AQ36)</f>
        <v>0.0153022700037406</v>
      </c>
      <c r="E37" s="18" t="n">
        <f aca="false">IF('Data BoP'!$AQ36=0,"",(('Data BoP'!J33)+('Data BoP'!J34)+('Data BoP'!J35)+('Data BoP'!J36))/'Data BoP'!$AQ36)</f>
        <v>-0.00853818718957054</v>
      </c>
      <c r="F37" s="18" t="n">
        <f aca="false">IF('Data BoP'!$AQ36=0,"",(('Data BoP'!M33)+('Data BoP'!M34)+('Data BoP'!M35)+('Data BoP'!M36))/'Data BoP'!$AQ36)</f>
        <v>-0.0218515047172624</v>
      </c>
      <c r="G37" s="18" t="n">
        <f aca="false">IF('Data BoP'!$AQ36=0,"",(('Data BoP'!S33)+('Data BoP'!S34)+('Data BoP'!S35)+('Data BoP'!S36))/'Data BoP'!$AQ36)</f>
        <v>0.00167231801143581</v>
      </c>
      <c r="H37" s="18" t="n">
        <f aca="false">IF('Data BoP'!$AQ36=0,"",(('Data BoP'!U33)+('Data BoP'!U34)+('Data BoP'!U35)+('Data BoP'!U36))/'Data BoP'!$AQ36)</f>
        <v>-0.0167200162188005</v>
      </c>
      <c r="I37" s="18" t="n">
        <f aca="false">IF('Data BoP'!$AQ36=0,"",(('Data BoP'!Y33+'Data BoP'!Z33)+('Data BoP'!Y34+'Data BoP'!Z34)+('Data BoP'!Y35+'Data BoP'!Z35)+('Data BoP'!Y36+'Data BoP'!Z36))/'Data BoP'!$AQ36)</f>
        <v>0.0196092921171777</v>
      </c>
      <c r="J37" s="18" t="n">
        <f aca="false">IF('Data BoP'!$AQ36=0,"",(('Data BoP'!AD33+'Data BoP'!AE33)+('Data BoP'!AD34+'Data BoP'!AE34)+('Data BoP'!AD35+'Data BoP'!AE35)+('Data BoP'!AD36+'Data BoP'!AE36))/'Data BoP'!$AQ36)</f>
        <v>-0.000666012242735812</v>
      </c>
      <c r="K37" s="18" t="n">
        <f aca="false">IF('Data BoP'!$AQ36=0,"",(('Data BoP'!AL33)+('Data BoP'!AL34)+('Data BoP'!AL35)+('Data BoP'!AL36))/'Data BoP'!$AQ36)</f>
        <v>-0.00375583831008766</v>
      </c>
      <c r="L37" s="18" t="n">
        <f aca="false">IF('Data BoP'!$AQ36=0,"",(('Data BoP'!W33+'Data BoP'!X33+'Data BoP'!AB33+'Data BoP'!AC33+'Data BoP'!AH33)+('Data BoP'!W34+'Data BoP'!X34+'Data BoP'!AB34+'Data BoP'!AC34+'Data BoP'!AH34)+('Data BoP'!W35+'Data BoP'!X35+'Data BoP'!AB35+'Data BoP'!AC35+'Data BoP'!AH35)+('Data BoP'!W36+'Data BoP'!X36+'Data BoP'!AB36+'Data BoP'!AC36+'Data BoP'!AH36))/'Data BoP'!$AQ36)</f>
        <v>0.00929358004568388</v>
      </c>
      <c r="M37" s="18" t="n">
        <f aca="false">IF('Data BoP'!$AQ36=0,"",(('Data BoP'!AK33)+('Data BoP'!AK34)+('Data BoP'!AK35)+('Data BoP'!AK36))/'Data BoP'!$AQ36)</f>
        <v>-0.00335472244108295</v>
      </c>
      <c r="N37" s="18" t="n">
        <f aca="false">IF('Data BoP'!$AQ36=0,"",(('Data BoP'!AJ33)+('Data BoP'!AJ34)+('Data BoP'!AJ35)+('Data BoP'!AJ36))/'Data BoP'!$AQ36)</f>
        <v>-0.015510496736549</v>
      </c>
      <c r="O37" s="19" t="n">
        <f aca="false">'Data BoP'!$AQ36</f>
        <v>607860.609504741</v>
      </c>
    </row>
    <row r="38" customFormat="false" ht="15" hidden="false" customHeight="false" outlineLevel="0" collapsed="false">
      <c r="B38" s="14" t="str">
        <f aca="false">'Data BoP'!B37</f>
        <v>2013-Q4</v>
      </c>
      <c r="C38" s="18" t="n">
        <f aca="false">IF('Data BoP'!$AQ37=0,"",(('Data BoP'!E34)+('Data BoP'!E35)+('Data BoP'!E36)+('Data BoP'!E37))/'Data BoP'!$AQ37)</f>
        <v>-0.0214749623412678</v>
      </c>
      <c r="D38" s="18" t="n">
        <f aca="false">IF('Data BoP'!$AQ37=0,"",(('Data BoP'!G34)+('Data BoP'!G35)+('Data BoP'!G36)+('Data BoP'!G37))/'Data BoP'!$AQ37)</f>
        <v>0.00758447632363822</v>
      </c>
      <c r="E38" s="18" t="n">
        <f aca="false">IF('Data BoP'!$AQ37=0,"",(('Data BoP'!J34)+('Data BoP'!J35)+('Data BoP'!J36)+('Data BoP'!J37))/'Data BoP'!$AQ37)</f>
        <v>-0.00871952252837698</v>
      </c>
      <c r="F38" s="18" t="n">
        <f aca="false">IF('Data BoP'!$AQ37=0,"",(('Data BoP'!M34)+('Data BoP'!M35)+('Data BoP'!M36)+('Data BoP'!M37))/'Data BoP'!$AQ37)</f>
        <v>-0.0215411554876299</v>
      </c>
      <c r="G38" s="18" t="n">
        <f aca="false">IF('Data BoP'!$AQ37=0,"",(('Data BoP'!S34)+('Data BoP'!S35)+('Data BoP'!S36)+('Data BoP'!S37))/'Data BoP'!$AQ37)</f>
        <v>0.00120123935110088</v>
      </c>
      <c r="H38" s="18" t="n">
        <f aca="false">IF('Data BoP'!$AQ37=0,"",(('Data BoP'!U34)+('Data BoP'!U35)+('Data BoP'!U36)+('Data BoP'!U37))/'Data BoP'!$AQ37)</f>
        <v>-0.0264500652803772</v>
      </c>
      <c r="I38" s="18" t="n">
        <f aca="false">IF('Data BoP'!$AQ37=0,"",(('Data BoP'!Y34+'Data BoP'!Z34)+('Data BoP'!Y35+'Data BoP'!Z35)+('Data BoP'!Y36+'Data BoP'!Z36)+('Data BoP'!Y37+'Data BoP'!Z37))/'Data BoP'!$AQ37)</f>
        <v>0.0160708481771385</v>
      </c>
      <c r="J38" s="18" t="n">
        <f aca="false">IF('Data BoP'!$AQ37=0,"",(('Data BoP'!AD34+'Data BoP'!AE34)+('Data BoP'!AD35+'Data BoP'!AE35)+('Data BoP'!AD36+'Data BoP'!AE36)+('Data BoP'!AD37+'Data BoP'!AE37))/'Data BoP'!$AQ37)</f>
        <v>0.00152032767462478</v>
      </c>
      <c r="K38" s="18" t="n">
        <f aca="false">IF('Data BoP'!$AQ37=0,"",(('Data BoP'!AL34)+('Data BoP'!AL35)+('Data BoP'!AL36)+('Data BoP'!AL37))/'Data BoP'!$AQ37)</f>
        <v>-0.001902754224597</v>
      </c>
      <c r="L38" s="18" t="n">
        <f aca="false">IF('Data BoP'!$AQ37=0,"",(('Data BoP'!W34+'Data BoP'!X34+'Data BoP'!AB34+'Data BoP'!AC34+'Data BoP'!AH34)+('Data BoP'!W35+'Data BoP'!X35+'Data BoP'!AB35+'Data BoP'!AC35+'Data BoP'!AH35)+('Data BoP'!W36+'Data BoP'!X36+'Data BoP'!AB36+'Data BoP'!AC36+'Data BoP'!AH36)+('Data BoP'!W37+'Data BoP'!X37+'Data BoP'!AB37+'Data BoP'!AC37+'Data BoP'!AH37))/'Data BoP'!$AQ37)</f>
        <v>0.00863814582920849</v>
      </c>
      <c r="M38" s="18" t="n">
        <f aca="false">IF('Data BoP'!$AQ37=0,"",(('Data BoP'!AK34)+('Data BoP'!AK35)+('Data BoP'!AK36)+('Data BoP'!AK37))/'Data BoP'!$AQ37)</f>
        <v>-0.00502977527750244</v>
      </c>
      <c r="N38" s="18" t="n">
        <f aca="false">IF('Data BoP'!$AQ37=0,"",(('Data BoP'!AJ34)+('Data BoP'!AJ35)+('Data BoP'!AJ36)+('Data BoP'!AJ37))/'Data BoP'!$AQ37)</f>
        <v>-0.0193468126460776</v>
      </c>
      <c r="O38" s="19" t="n">
        <f aca="false">'Data BoP'!$AQ37</f>
        <v>611147.697364878</v>
      </c>
    </row>
    <row r="39" customFormat="false" ht="15" hidden="false" customHeight="false" outlineLevel="0" collapsed="false">
      <c r="B39" s="14" t="str">
        <f aca="false">'Data BoP'!B38</f>
        <v>2014-Q1</v>
      </c>
      <c r="C39" s="18" t="n">
        <f aca="false">IF('Data BoP'!$AQ38=0,"",(('Data BoP'!E35)+('Data BoP'!E36)+('Data BoP'!E37)+('Data BoP'!E38))/'Data BoP'!$AQ38)</f>
        <v>-0.0256590570080471</v>
      </c>
      <c r="D39" s="18" t="n">
        <f aca="false">IF('Data BoP'!$AQ38=0,"",(('Data BoP'!G35)+('Data BoP'!G36)+('Data BoP'!G37)+('Data BoP'!G38))/'Data BoP'!$AQ38)</f>
        <v>0.00269703774951046</v>
      </c>
      <c r="E39" s="18" t="n">
        <f aca="false">IF('Data BoP'!$AQ38=0,"",(('Data BoP'!J35)+('Data BoP'!J36)+('Data BoP'!J37)+('Data BoP'!J38))/'Data BoP'!$AQ38)</f>
        <v>-0.00864376750616525</v>
      </c>
      <c r="F39" s="18" t="n">
        <f aca="false">IF('Data BoP'!$AQ38=0,"",(('Data BoP'!M35)+('Data BoP'!M36)+('Data BoP'!M37)+('Data BoP'!M38))/'Data BoP'!$AQ38)</f>
        <v>-0.0211578654408619</v>
      </c>
      <c r="G39" s="18" t="n">
        <f aca="false">IF('Data BoP'!$AQ38=0,"",(('Data BoP'!S35)+('Data BoP'!S36)+('Data BoP'!S37)+('Data BoP'!S38))/'Data BoP'!$AQ38)</f>
        <v>0.00144553818946953</v>
      </c>
      <c r="H39" s="18" t="n">
        <f aca="false">IF('Data BoP'!$AQ38=0,"",(('Data BoP'!U35)+('Data BoP'!U36)+('Data BoP'!U37)+('Data BoP'!U38))/'Data BoP'!$AQ38)</f>
        <v>-0.0268570586863241</v>
      </c>
      <c r="I39" s="18" t="n">
        <f aca="false">IF('Data BoP'!$AQ38=0,"",(('Data BoP'!Y35+'Data BoP'!Z35)+('Data BoP'!Y36+'Data BoP'!Z36)+('Data BoP'!Y37+'Data BoP'!Z37)+('Data BoP'!Y38+'Data BoP'!Z38))/'Data BoP'!$AQ38)</f>
        <v>0.0147129277553569</v>
      </c>
      <c r="J39" s="18" t="n">
        <f aca="false">IF('Data BoP'!$AQ38=0,"",(('Data BoP'!AD35+'Data BoP'!AE35)+('Data BoP'!AD36+'Data BoP'!AE36)+('Data BoP'!AD37+'Data BoP'!AE37)+('Data BoP'!AD38+'Data BoP'!AE38))/'Data BoP'!$AQ38)</f>
        <v>0.00311893947828242</v>
      </c>
      <c r="K39" s="18" t="n">
        <f aca="false">IF('Data BoP'!$AQ38=0,"",(('Data BoP'!AL35)+('Data BoP'!AL36)+('Data BoP'!AL37)+('Data BoP'!AL38))/'Data BoP'!$AQ38)</f>
        <v>-0.00338320204913469</v>
      </c>
      <c r="L39" s="18" t="n">
        <f aca="false">IF('Data BoP'!$AQ38=0,"",(('Data BoP'!W35+'Data BoP'!X35+'Data BoP'!AB35+'Data BoP'!AC35+'Data BoP'!AH35)+('Data BoP'!W36+'Data BoP'!X36+'Data BoP'!AB36+'Data BoP'!AC36+'Data BoP'!AH36)+('Data BoP'!W37+'Data BoP'!X37+'Data BoP'!AB37+'Data BoP'!AC37+'Data BoP'!AH37)+('Data BoP'!W38+'Data BoP'!X38+'Data BoP'!AB38+'Data BoP'!AC38+'Data BoP'!AH38))/'Data BoP'!$AQ38)</f>
        <v>0.00934244436561222</v>
      </c>
      <c r="M39" s="18" t="n">
        <f aca="false">IF('Data BoP'!$AQ38=0,"",(('Data BoP'!AK35)+('Data BoP'!AK36)+('Data BoP'!AK37)+('Data BoP'!AK38))/'Data BoP'!$AQ38)</f>
        <v>-0.00125528368871318</v>
      </c>
      <c r="N39" s="18" t="n">
        <f aca="false">IF('Data BoP'!$AQ38=0,"",(('Data BoP'!AJ35)+('Data BoP'!AJ36)+('Data BoP'!AJ37)+('Data BoP'!AJ38))/'Data BoP'!$AQ38)</f>
        <v>-0.0217770683190034</v>
      </c>
      <c r="O39" s="19" t="n">
        <f aca="false">'Data BoP'!$AQ38</f>
        <v>595739.050360553</v>
      </c>
    </row>
    <row r="40" customFormat="false" ht="15" hidden="false" customHeight="false" outlineLevel="0" collapsed="false">
      <c r="B40" s="14" t="str">
        <f aca="false">'Data BoP'!B39</f>
        <v>2014-Q2</v>
      </c>
      <c r="C40" s="18" t="n">
        <f aca="false">IF('Data BoP'!$AQ39=0,"",(('Data BoP'!E36)+('Data BoP'!E37)+('Data BoP'!E38)+('Data BoP'!E39))/'Data BoP'!$AQ39)</f>
        <v>-0.0246773829208668</v>
      </c>
      <c r="D40" s="18" t="n">
        <f aca="false">IF('Data BoP'!$AQ39=0,"",(('Data BoP'!G36)+('Data BoP'!G37)+('Data BoP'!G38)+('Data BoP'!G39))/'Data BoP'!$AQ39)</f>
        <v>0.0036727228464127</v>
      </c>
      <c r="E40" s="18" t="n">
        <f aca="false">IF('Data BoP'!$AQ39=0,"",(('Data BoP'!J36)+('Data BoP'!J37)+('Data BoP'!J38)+('Data BoP'!J39))/'Data BoP'!$AQ39)</f>
        <v>-0.00873685027371591</v>
      </c>
      <c r="F40" s="18" t="n">
        <f aca="false">IF('Data BoP'!$AQ39=0,"",(('Data BoP'!M36)+('Data BoP'!M37)+('Data BoP'!M38)+('Data BoP'!M39))/'Data BoP'!$AQ39)</f>
        <v>-0.0212196625841348</v>
      </c>
      <c r="G40" s="18" t="n">
        <f aca="false">IF('Data BoP'!$AQ39=0,"",(('Data BoP'!S36)+('Data BoP'!S37)+('Data BoP'!S38)+('Data BoP'!S39))/'Data BoP'!$AQ39)</f>
        <v>0.00160640709057127</v>
      </c>
      <c r="H40" s="18" t="n">
        <f aca="false">IF('Data BoP'!$AQ39=0,"",(('Data BoP'!U36)+('Data BoP'!U37)+('Data BoP'!U38)+('Data BoP'!U39))/'Data BoP'!$AQ39)</f>
        <v>-0.0255733713112906</v>
      </c>
      <c r="I40" s="18" t="n">
        <f aca="false">IF('Data BoP'!$AQ39=0,"",(('Data BoP'!Y36+'Data BoP'!Z36)+('Data BoP'!Y37+'Data BoP'!Z37)+('Data BoP'!Y38+'Data BoP'!Z38)+('Data BoP'!Y39+'Data BoP'!Z39))/'Data BoP'!$AQ39)</f>
        <v>0.0069248004701309</v>
      </c>
      <c r="J40" s="18" t="n">
        <f aca="false">IF('Data BoP'!$AQ39=0,"",(('Data BoP'!AD36+'Data BoP'!AE36)+('Data BoP'!AD37+'Data BoP'!AE37)+('Data BoP'!AD38+'Data BoP'!AE38)+('Data BoP'!AD39+'Data BoP'!AE39))/'Data BoP'!$AQ39)</f>
        <v>-0.0029633745487058</v>
      </c>
      <c r="K40" s="18" t="n">
        <f aca="false">IF('Data BoP'!$AQ39=0,"",(('Data BoP'!AL36)+('Data BoP'!AL37)+('Data BoP'!AL38)+('Data BoP'!AL39))/'Data BoP'!$AQ39)</f>
        <v>0.0157197470679527</v>
      </c>
      <c r="L40" s="18" t="n">
        <f aca="false">IF('Data BoP'!$AQ39=0,"",(('Data BoP'!W36+'Data BoP'!X36+'Data BoP'!AB36+'Data BoP'!AC36+'Data BoP'!AH36)+('Data BoP'!W37+'Data BoP'!X37+'Data BoP'!AB37+'Data BoP'!AC37+'Data BoP'!AH37)+('Data BoP'!W38+'Data BoP'!X38+'Data BoP'!AB38+'Data BoP'!AC38+'Data BoP'!AH38)+('Data BoP'!W39+'Data BoP'!X39+'Data BoP'!AB39+'Data BoP'!AC39+'Data BoP'!AH39))/'Data BoP'!$AQ39)</f>
        <v>0.00826492827384228</v>
      </c>
      <c r="M40" s="18" t="n">
        <f aca="false">IF('Data BoP'!$AQ39=0,"",(('Data BoP'!AK36)+('Data BoP'!AK37)+('Data BoP'!AK38)+('Data BoP'!AK39))/'Data BoP'!$AQ39)</f>
        <v>-0.000981971721761454</v>
      </c>
      <c r="N40" s="18" t="n">
        <f aca="false">IF('Data BoP'!$AQ39=0,"",(('Data BoP'!AJ36)+('Data BoP'!AJ37)+('Data BoP'!AJ38)+('Data BoP'!AJ39))/'Data BoP'!$AQ39)</f>
        <v>-0.0139277712914667</v>
      </c>
      <c r="O40" s="19" t="n">
        <f aca="false">'Data BoP'!$AQ39</f>
        <v>580046.141693159</v>
      </c>
    </row>
    <row r="41" customFormat="false" ht="15" hidden="false" customHeight="false" outlineLevel="0" collapsed="false">
      <c r="B41" s="14" t="str">
        <f aca="false">'Data BoP'!B40</f>
        <v>2014-Q3</v>
      </c>
      <c r="C41" s="18" t="n">
        <f aca="false">IF('Data BoP'!$AQ40=0,"",(('Data BoP'!E37)+('Data BoP'!E38)+('Data BoP'!E39)+('Data BoP'!E40))/'Data BoP'!$AQ40)</f>
        <v>-0.0231436449279255</v>
      </c>
      <c r="D41" s="18" t="n">
        <f aca="false">IF('Data BoP'!$AQ40=0,"",(('Data BoP'!G37)+('Data BoP'!G38)+('Data BoP'!G39)+('Data BoP'!G40))/'Data BoP'!$AQ40)</f>
        <v>0.00461207012617468</v>
      </c>
      <c r="E41" s="18" t="n">
        <f aca="false">IF('Data BoP'!$AQ40=0,"",(('Data BoP'!J37)+('Data BoP'!J38)+('Data BoP'!J39)+('Data BoP'!J40))/'Data BoP'!$AQ40)</f>
        <v>-0.00852026107119771</v>
      </c>
      <c r="F41" s="18" t="n">
        <f aca="false">IF('Data BoP'!$AQ40=0,"",(('Data BoP'!M37)+('Data BoP'!M38)+('Data BoP'!M39)+('Data BoP'!M40))/'Data BoP'!$AQ40)</f>
        <v>-0.0212158389905312</v>
      </c>
      <c r="G41" s="18" t="n">
        <f aca="false">IF('Data BoP'!$AQ40=0,"",(('Data BoP'!S37)+('Data BoP'!S38)+('Data BoP'!S39)+('Data BoP'!S40))/'Data BoP'!$AQ40)</f>
        <v>0.00198038500762871</v>
      </c>
      <c r="H41" s="18" t="n">
        <f aca="false">IF('Data BoP'!$AQ40=0,"",(('Data BoP'!U37)+('Data BoP'!U38)+('Data BoP'!U39)+('Data BoP'!U40))/'Data BoP'!$AQ40)</f>
        <v>-0.0224922491816486</v>
      </c>
      <c r="I41" s="18" t="n">
        <f aca="false">IF('Data BoP'!$AQ40=0,"",(('Data BoP'!Y37+'Data BoP'!Z37)+('Data BoP'!Y38+'Data BoP'!Z38)+('Data BoP'!Y39+'Data BoP'!Z39)+('Data BoP'!Y40+'Data BoP'!Z40))/'Data BoP'!$AQ40)</f>
        <v>0.00637505207182114</v>
      </c>
      <c r="J41" s="18" t="n">
        <f aca="false">IF('Data BoP'!$AQ40=0,"",(('Data BoP'!AD37+'Data BoP'!AE37)+('Data BoP'!AD38+'Data BoP'!AE38)+('Data BoP'!AD39+'Data BoP'!AE39)+('Data BoP'!AD40+'Data BoP'!AE40))/'Data BoP'!$AQ40)</f>
        <v>-0.00150513893712723</v>
      </c>
      <c r="K41" s="18" t="n">
        <f aca="false">IF('Data BoP'!$AQ40=0,"",(('Data BoP'!AL37)+('Data BoP'!AL38)+('Data BoP'!AL39)+('Data BoP'!AL40))/'Data BoP'!$AQ40)</f>
        <v>0.0125530701172295</v>
      </c>
      <c r="L41" s="18" t="n">
        <f aca="false">IF('Data BoP'!$AQ40=0,"",(('Data BoP'!W37+'Data BoP'!X37+'Data BoP'!AB37+'Data BoP'!AC37+'Data BoP'!AH37)+('Data BoP'!W38+'Data BoP'!X38+'Data BoP'!AB38+'Data BoP'!AC38+'Data BoP'!AH38)+('Data BoP'!W39+'Data BoP'!X39+'Data BoP'!AB39+'Data BoP'!AC39+'Data BoP'!AH39)+('Data BoP'!W40+'Data BoP'!X40+'Data BoP'!AB40+'Data BoP'!AC40+'Data BoP'!AH40))/'Data BoP'!$AQ40)</f>
        <v>0.00664330895075602</v>
      </c>
      <c r="M41" s="18" t="n">
        <f aca="false">IF('Data BoP'!$AQ40=0,"",(('Data BoP'!AK37)+('Data BoP'!AK38)+('Data BoP'!AK39)+('Data BoP'!AK40))/'Data BoP'!$AQ40)</f>
        <v>0.000551066744676189</v>
      </c>
      <c r="N41" s="18" t="n">
        <f aca="false">IF('Data BoP'!$AQ40=0,"",(('Data BoP'!AJ37)+('Data BoP'!AJ38)+('Data BoP'!AJ39)+('Data BoP'!AJ40))/'Data BoP'!$AQ40)</f>
        <v>-0.0114145950607798</v>
      </c>
      <c r="O41" s="19" t="n">
        <f aca="false">'Data BoP'!$AQ40</f>
        <v>567401.643730104</v>
      </c>
    </row>
    <row r="42" customFormat="false" ht="15" hidden="false" customHeight="false" outlineLevel="0" collapsed="false">
      <c r="B42" s="14" t="str">
        <f aca="false">'Data BoP'!B41</f>
        <v>2014-Q4</v>
      </c>
      <c r="C42" s="18" t="n">
        <f aca="false">IF('Data BoP'!$AQ41=0,"",(('Data BoP'!E38)+('Data BoP'!E39)+('Data BoP'!E40)+('Data BoP'!E41))/'Data BoP'!$AQ41)</f>
        <v>-0.0163082231820791</v>
      </c>
      <c r="D42" s="18" t="n">
        <f aca="false">IF('Data BoP'!$AQ41=0,"",(('Data BoP'!G38)+('Data BoP'!G39)+('Data BoP'!G40)+('Data BoP'!G41))/'Data BoP'!$AQ41)</f>
        <v>0.00984543717797738</v>
      </c>
      <c r="E42" s="18" t="n">
        <f aca="false">IF('Data BoP'!$AQ41=0,"",(('Data BoP'!J38)+('Data BoP'!J39)+('Data BoP'!J40)+('Data BoP'!J41))/'Data BoP'!$AQ41)</f>
        <v>-0.00824610651393905</v>
      </c>
      <c r="F42" s="18" t="n">
        <f aca="false">IF('Data BoP'!$AQ41=0,"",(('Data BoP'!M38)+('Data BoP'!M39)+('Data BoP'!M40)+('Data BoP'!M41))/'Data BoP'!$AQ41)</f>
        <v>-0.0206341295056153</v>
      </c>
      <c r="G42" s="18" t="n">
        <f aca="false">IF('Data BoP'!$AQ41=0,"",(('Data BoP'!S38)+('Data BoP'!S39)+('Data BoP'!S40)+('Data BoP'!S41))/'Data BoP'!$AQ41)</f>
        <v>0.00272657565949791</v>
      </c>
      <c r="H42" s="18" t="n">
        <f aca="false">IF('Data BoP'!$AQ41=0,"",(('Data BoP'!U38)+('Data BoP'!U39)+('Data BoP'!U40)+('Data BoP'!U41))/'Data BoP'!$AQ41)</f>
        <v>-0.0165598833396257</v>
      </c>
      <c r="I42" s="18" t="n">
        <f aca="false">IF('Data BoP'!$AQ41=0,"",(('Data BoP'!Y38+'Data BoP'!Z38)+('Data BoP'!Y39+'Data BoP'!Z39)+('Data BoP'!Y40+'Data BoP'!Z40)+('Data BoP'!Y41+'Data BoP'!Z41))/'Data BoP'!$AQ41)</f>
        <v>0.00899949734413379</v>
      </c>
      <c r="J42" s="18" t="n">
        <f aca="false">IF('Data BoP'!$AQ41=0,"",(('Data BoP'!AD38+'Data BoP'!AE38)+('Data BoP'!AD39+'Data BoP'!AE39)+('Data BoP'!AD40+'Data BoP'!AE40)+('Data BoP'!AD41+'Data BoP'!AE41))/'Data BoP'!$AQ41)</f>
        <v>-0.00420122111818734</v>
      </c>
      <c r="K42" s="18" t="n">
        <f aca="false">IF('Data BoP'!$AQ41=0,"",(('Data BoP'!AL38)+('Data BoP'!AL39)+('Data BoP'!AL40)+('Data BoP'!AL41))/'Data BoP'!$AQ41)</f>
        <v>0.0194799427642984</v>
      </c>
      <c r="L42" s="18" t="n">
        <f aca="false">IF('Data BoP'!$AQ41=0,"",(('Data BoP'!W38+'Data BoP'!X38+'Data BoP'!AB38+'Data BoP'!AC38+'Data BoP'!AH38)+('Data BoP'!W39+'Data BoP'!X39+'Data BoP'!AB39+'Data BoP'!AC39+'Data BoP'!AH39)+('Data BoP'!W40+'Data BoP'!X40+'Data BoP'!AB40+'Data BoP'!AC40+'Data BoP'!AH40)+('Data BoP'!W41+'Data BoP'!X41+'Data BoP'!AB41+'Data BoP'!AC41+'Data BoP'!AH41))/'Data BoP'!$AQ41)</f>
        <v>0.0058938540071605</v>
      </c>
      <c r="M42" s="18" t="n">
        <f aca="false">IF('Data BoP'!$AQ41=0,"",(('Data BoP'!AK38)+('Data BoP'!AK39)+('Data BoP'!AK40)+('Data BoP'!AK41))/'Data BoP'!$AQ41)</f>
        <v>-0.000352570628841317</v>
      </c>
      <c r="N42" s="18" t="n">
        <f aca="false">IF('Data BoP'!$AQ41=0,"",(('Data BoP'!AJ38)+('Data BoP'!AJ39)+('Data BoP'!AJ40)+('Data BoP'!AJ41))/'Data BoP'!$AQ41)</f>
        <v>0.00212333204421354</v>
      </c>
      <c r="O42" s="19" t="n">
        <f aca="false">'Data BoP'!$AQ41</f>
        <v>562846.495561959</v>
      </c>
    </row>
    <row r="43" customFormat="false" ht="15" hidden="false" customHeight="false" outlineLevel="0" collapsed="false">
      <c r="B43" s="14" t="str">
        <f aca="false">'Data BoP'!B42</f>
        <v>2015-Q1</v>
      </c>
      <c r="C43" s="18" t="n">
        <f aca="false">IF('Data BoP'!$AQ42=0,"",(('Data BoP'!E39)+('Data BoP'!E40)+('Data BoP'!E41)+('Data BoP'!E42))/'Data BoP'!$AQ42)</f>
        <v>-0.0149377301294897</v>
      </c>
      <c r="D43" s="18" t="n">
        <f aca="false">IF('Data BoP'!$AQ42=0,"",(('Data BoP'!G39)+('Data BoP'!G40)+('Data BoP'!G41)+('Data BoP'!G42))/'Data BoP'!$AQ42)</f>
        <v>0.0115237560512966</v>
      </c>
      <c r="E43" s="18" t="n">
        <f aca="false">IF('Data BoP'!$AQ42=0,"",(('Data BoP'!J39)+('Data BoP'!J40)+('Data BoP'!J41)+('Data BoP'!J42))/'Data BoP'!$AQ42)</f>
        <v>-0.00796583943157832</v>
      </c>
      <c r="F43" s="18" t="n">
        <f aca="false">IF('Data BoP'!$AQ42=0,"",(('Data BoP'!M39)+('Data BoP'!M40)+('Data BoP'!M41)+('Data BoP'!M42))/'Data BoP'!$AQ42)</f>
        <v>-0.0207559123775956</v>
      </c>
      <c r="G43" s="18" t="n">
        <f aca="false">IF('Data BoP'!$AQ42=0,"",(('Data BoP'!S39)+('Data BoP'!S40)+('Data BoP'!S41)+('Data BoP'!S42))/'Data BoP'!$AQ42)</f>
        <v>0.00226026562838769</v>
      </c>
      <c r="H43" s="18" t="n">
        <f aca="false">IF('Data BoP'!$AQ42=0,"",(('Data BoP'!U39)+('Data BoP'!U40)+('Data BoP'!U41)+('Data BoP'!U42))/'Data BoP'!$AQ42)</f>
        <v>-0.0179587029597575</v>
      </c>
      <c r="I43" s="18" t="n">
        <f aca="false">IF('Data BoP'!$AQ42=0,"",(('Data BoP'!Y39+'Data BoP'!Z39)+('Data BoP'!Y40+'Data BoP'!Z40)+('Data BoP'!Y41+'Data BoP'!Z41)+('Data BoP'!Y42+'Data BoP'!Z42))/'Data BoP'!$AQ42)</f>
        <v>0.012829803548635</v>
      </c>
      <c r="J43" s="18" t="n">
        <f aca="false">IF('Data BoP'!$AQ42=0,"",(('Data BoP'!AD39+'Data BoP'!AE39)+('Data BoP'!AD40+'Data BoP'!AE40)+('Data BoP'!AD41+'Data BoP'!AE41)+('Data BoP'!AD42+'Data BoP'!AE42))/'Data BoP'!$AQ42)</f>
        <v>-0.00407357172146051</v>
      </c>
      <c r="K43" s="18" t="n">
        <f aca="false">IF('Data BoP'!$AQ42=0,"",(('Data BoP'!AL39)+('Data BoP'!AL40)+('Data BoP'!AL41)+('Data BoP'!AL42))/'Data BoP'!$AQ42)</f>
        <v>0.0255794765510117</v>
      </c>
      <c r="L43" s="18" t="n">
        <f aca="false">IF('Data BoP'!$AQ42=0,"",(('Data BoP'!W39+'Data BoP'!X39+'Data BoP'!AB39+'Data BoP'!AC39+'Data BoP'!AH39)+('Data BoP'!W40+'Data BoP'!X40+'Data BoP'!AB40+'Data BoP'!AC40+'Data BoP'!AH40)+('Data BoP'!W41+'Data BoP'!X41+'Data BoP'!AB41+'Data BoP'!AC41+'Data BoP'!AH41)+('Data BoP'!W42+'Data BoP'!X42+'Data BoP'!AB42+'Data BoP'!AC42+'Data BoP'!AH42))/'Data BoP'!$AQ42)</f>
        <v>0.00767968979736055</v>
      </c>
      <c r="M43" s="18" t="n">
        <f aca="false">IF('Data BoP'!$AQ42=0,"",(('Data BoP'!AK39)+('Data BoP'!AK40)+('Data BoP'!AK41)+('Data BoP'!AK42))/'Data BoP'!$AQ42)</f>
        <v>-0.00313224278367943</v>
      </c>
      <c r="N43" s="18" t="n">
        <f aca="false">IF('Data BoP'!$AQ42=0,"",(('Data BoP'!AJ39)+('Data BoP'!AJ40)+('Data BoP'!AJ41)+('Data BoP'!AJ42))/'Data BoP'!$AQ42)</f>
        <v>0.00906961737640172</v>
      </c>
      <c r="O43" s="19" t="n">
        <f aca="false">'Data BoP'!$AQ42</f>
        <v>580766.506611965</v>
      </c>
    </row>
    <row r="44" customFormat="false" ht="15" hidden="false" customHeight="false" outlineLevel="0" collapsed="false">
      <c r="B44" s="14" t="str">
        <f aca="false">'Data BoP'!B43</f>
        <v>2015-Q2</v>
      </c>
      <c r="C44" s="18" t="n">
        <f aca="false">IF('Data BoP'!$AQ43=0,"",(('Data BoP'!E40)+('Data BoP'!E41)+('Data BoP'!E42)+('Data BoP'!E43))/'Data BoP'!$AQ43)</f>
        <v>-0.0196167349185285</v>
      </c>
      <c r="D44" s="18" t="n">
        <f aca="false">IF('Data BoP'!$AQ43=0,"",(('Data BoP'!G40)+('Data BoP'!G41)+('Data BoP'!G42)+('Data BoP'!G43))/'Data BoP'!$AQ43)</f>
        <v>0.00640874983278037</v>
      </c>
      <c r="E44" s="18" t="n">
        <f aca="false">IF('Data BoP'!$AQ43=0,"",(('Data BoP'!J40)+('Data BoP'!J41)+('Data BoP'!J42)+('Data BoP'!J43))/'Data BoP'!$AQ43)</f>
        <v>-0.00778256287516683</v>
      </c>
      <c r="F44" s="18" t="n">
        <f aca="false">IF('Data BoP'!$AQ43=0,"",(('Data BoP'!M40)+('Data BoP'!M41)+('Data BoP'!M42)+('Data BoP'!M43))/'Data BoP'!$AQ43)</f>
        <v>-0.0202277144301553</v>
      </c>
      <c r="G44" s="18" t="n">
        <f aca="false">IF('Data BoP'!$AQ43=0,"",(('Data BoP'!S40)+('Data BoP'!S41)+('Data BoP'!S42)+('Data BoP'!S43))/'Data BoP'!$AQ43)</f>
        <v>0.00198479255401327</v>
      </c>
      <c r="H44" s="18" t="n">
        <f aca="false">IF('Data BoP'!$AQ43=0,"",(('Data BoP'!U40)+('Data BoP'!U41)+('Data BoP'!U42)+('Data BoP'!U43))/'Data BoP'!$AQ43)</f>
        <v>-0.0222265896492942</v>
      </c>
      <c r="I44" s="18" t="n">
        <f aca="false">IF('Data BoP'!$AQ43=0,"",(('Data BoP'!Y40+'Data BoP'!Z40)+('Data BoP'!Y41+'Data BoP'!Z41)+('Data BoP'!Y42+'Data BoP'!Z42)+('Data BoP'!Y43+'Data BoP'!Z43))/'Data BoP'!$AQ43)</f>
        <v>0.0204787143115282</v>
      </c>
      <c r="J44" s="18" t="n">
        <f aca="false">IF('Data BoP'!$AQ43=0,"",(('Data BoP'!AD40+'Data BoP'!AE40)+('Data BoP'!AD41+'Data BoP'!AE41)+('Data BoP'!AD42+'Data BoP'!AE42)+('Data BoP'!AD43+'Data BoP'!AE43))/'Data BoP'!$AQ43)</f>
        <v>0.00522736431927878</v>
      </c>
      <c r="K44" s="18" t="n">
        <f aca="false">IF('Data BoP'!$AQ43=0,"",(('Data BoP'!AL40)+('Data BoP'!AL41)+('Data BoP'!AL42)+('Data BoP'!AL43))/'Data BoP'!$AQ43)</f>
        <v>0.0131717557065796</v>
      </c>
      <c r="L44" s="18" t="n">
        <f aca="false">IF('Data BoP'!$AQ43=0,"",(('Data BoP'!W40+'Data BoP'!X40+'Data BoP'!AB40+'Data BoP'!AC40+'Data BoP'!AH40)+('Data BoP'!W41+'Data BoP'!X41+'Data BoP'!AB41+'Data BoP'!AC41+'Data BoP'!AH41)+('Data BoP'!W42+'Data BoP'!X42+'Data BoP'!AB42+'Data BoP'!AC42+'Data BoP'!AH42)+('Data BoP'!W43+'Data BoP'!X43+'Data BoP'!AB43+'Data BoP'!AC43+'Data BoP'!AH43))/'Data BoP'!$AQ43)</f>
        <v>0.00779205650901297</v>
      </c>
      <c r="M44" s="18" t="n">
        <f aca="false">IF('Data BoP'!$AQ43=0,"",(('Data BoP'!AK40)+('Data BoP'!AK41)+('Data BoP'!AK42)+('Data BoP'!AK43))/'Data BoP'!$AQ43)</f>
        <v>-0.00269523011158562</v>
      </c>
      <c r="N44" s="18" t="n">
        <f aca="false">IF('Data BoP'!$AQ43=0,"",(('Data BoP'!AJ40)+('Data BoP'!AJ41)+('Data BoP'!AJ42)+('Data BoP'!AJ43))/'Data BoP'!$AQ43)</f>
        <v>0.00895660581049178</v>
      </c>
      <c r="O44" s="19" t="n">
        <f aca="false">'Data BoP'!$AQ43</f>
        <v>601054.697940805</v>
      </c>
    </row>
    <row r="45" customFormat="false" ht="15" hidden="false" customHeight="false" outlineLevel="0" collapsed="false">
      <c r="B45" s="14" t="str">
        <f aca="false">'Data BoP'!B44</f>
        <v>2015-Q3</v>
      </c>
      <c r="C45" s="18" t="n">
        <f aca="false">IF('Data BoP'!$AQ44=0,"",(('Data BoP'!E41)+('Data BoP'!E42)+('Data BoP'!E43)+('Data BoP'!E44))/'Data BoP'!$AQ44)</f>
        <v>-0.0230209491364467</v>
      </c>
      <c r="D45" s="18" t="n">
        <f aca="false">IF('Data BoP'!$AQ44=0,"",(('Data BoP'!G41)+('Data BoP'!G42)+('Data BoP'!G43)+('Data BoP'!G44))/'Data BoP'!$AQ44)</f>
        <v>0.0027410831479001</v>
      </c>
      <c r="E45" s="18" t="n">
        <f aca="false">IF('Data BoP'!$AQ44=0,"",(('Data BoP'!J41)+('Data BoP'!J42)+('Data BoP'!J43)+('Data BoP'!J44))/'Data BoP'!$AQ44)</f>
        <v>-0.00812129006928544</v>
      </c>
      <c r="F45" s="18" t="n">
        <f aca="false">IF('Data BoP'!$AQ44=0,"",(('Data BoP'!M41)+('Data BoP'!M42)+('Data BoP'!M43)+('Data BoP'!M44))/'Data BoP'!$AQ44)</f>
        <v>-0.0191891536104022</v>
      </c>
      <c r="G45" s="18" t="n">
        <f aca="false">IF('Data BoP'!$AQ44=0,"",(('Data BoP'!S41)+('Data BoP'!S42)+('Data BoP'!S43)+('Data BoP'!S44))/'Data BoP'!$AQ44)</f>
        <v>0.00154841139534082</v>
      </c>
      <c r="H45" s="18" t="n">
        <f aca="false">IF('Data BoP'!$AQ44=0,"",(('Data BoP'!U41)+('Data BoP'!U42)+('Data BoP'!U43)+('Data BoP'!U44))/'Data BoP'!$AQ44)</f>
        <v>-0.0264250046454554</v>
      </c>
      <c r="I45" s="18" t="n">
        <f aca="false">IF('Data BoP'!$AQ44=0,"",(('Data BoP'!Y41+'Data BoP'!Z41)+('Data BoP'!Y42+'Data BoP'!Z42)+('Data BoP'!Y43+'Data BoP'!Z43)+('Data BoP'!Y44+'Data BoP'!Z44))/'Data BoP'!$AQ44)</f>
        <v>0.0200270861443604</v>
      </c>
      <c r="J45" s="18" t="n">
        <f aca="false">IF('Data BoP'!$AQ44=0,"",(('Data BoP'!AD41+'Data BoP'!AE41)+('Data BoP'!AD42+'Data BoP'!AE42)+('Data BoP'!AD43+'Data BoP'!AE43)+('Data BoP'!AD44+'Data BoP'!AE44))/'Data BoP'!$AQ44)</f>
        <v>0.00495001609043847</v>
      </c>
      <c r="K45" s="18" t="n">
        <f aca="false">IF('Data BoP'!$AQ44=0,"",(('Data BoP'!AL41)+('Data BoP'!AL42)+('Data BoP'!AL43)+('Data BoP'!AL44))/'Data BoP'!$AQ44)</f>
        <v>0.0212984926721316</v>
      </c>
      <c r="L45" s="18" t="n">
        <f aca="false">IF('Data BoP'!$AQ44=0,"",(('Data BoP'!W41+'Data BoP'!X41+'Data BoP'!AB41+'Data BoP'!AC41+'Data BoP'!AH41)+('Data BoP'!W42+'Data BoP'!X42+'Data BoP'!AB42+'Data BoP'!AC42+'Data BoP'!AH42)+('Data BoP'!W43+'Data BoP'!X43+'Data BoP'!AB43+'Data BoP'!AC43+'Data BoP'!AH43)+('Data BoP'!W44+'Data BoP'!X44+'Data BoP'!AB44+'Data BoP'!AC44+'Data BoP'!AH44))/'Data BoP'!$AQ44)</f>
        <v>0.0101153500318446</v>
      </c>
      <c r="M45" s="18" t="n">
        <f aca="false">IF('Data BoP'!$AQ44=0,"",(('Data BoP'!AK41)+('Data BoP'!AK42)+('Data BoP'!AK43)+('Data BoP'!AK44))/'Data BoP'!$AQ44)</f>
        <v>-0.00348389045415209</v>
      </c>
      <c r="N45" s="18" t="n">
        <f aca="false">IF('Data BoP'!$AQ44=0,"",(('Data BoP'!AJ41)+('Data BoP'!AJ42)+('Data BoP'!AJ43)+('Data BoP'!AJ44))/'Data BoP'!$AQ44)</f>
        <v>0.00977453957459514</v>
      </c>
      <c r="O45" s="19" t="n">
        <f aca="false">'Data BoP'!$AQ44</f>
        <v>628072.808786877</v>
      </c>
    </row>
    <row r="46" customFormat="false" ht="15" hidden="false" customHeight="false" outlineLevel="0" collapsed="false">
      <c r="B46" s="14" t="str">
        <f aca="false">'Data BoP'!B45</f>
        <v>2015-Q4</v>
      </c>
      <c r="C46" s="18" t="n">
        <f aca="false">IF('Data BoP'!$AQ45=0,"",(('Data BoP'!E42)+('Data BoP'!E43)+('Data BoP'!E44)+('Data BoP'!E45))/'Data BoP'!$AQ45)</f>
        <v>-0.0274460071850608</v>
      </c>
      <c r="D46" s="18" t="n">
        <f aca="false">IF('Data BoP'!$AQ45=0,"",(('Data BoP'!G42)+('Data BoP'!G43)+('Data BoP'!G44)+('Data BoP'!G45))/'Data BoP'!$AQ45)</f>
        <v>-0.00122290177342022</v>
      </c>
      <c r="E46" s="18" t="n">
        <f aca="false">IF('Data BoP'!$AQ45=0,"",(('Data BoP'!J42)+('Data BoP'!J43)+('Data BoP'!J44)+('Data BoP'!J45))/'Data BoP'!$AQ45)</f>
        <v>-0.00905685465676988</v>
      </c>
      <c r="F46" s="18" t="n">
        <f aca="false">IF('Data BoP'!$AQ45=0,"",(('Data BoP'!M42)+('Data BoP'!M43)+('Data BoP'!M44)+('Data BoP'!M45))/'Data BoP'!$AQ45)</f>
        <v>-0.0188527510600782</v>
      </c>
      <c r="G46" s="18" t="n">
        <f aca="false">IF('Data BoP'!$AQ45=0,"",(('Data BoP'!S42)+('Data BoP'!S43)+('Data BoP'!S44)+('Data BoP'!S45))/'Data BoP'!$AQ45)</f>
        <v>0.00168650030520753</v>
      </c>
      <c r="H46" s="18" t="n">
        <f aca="false">IF('Data BoP'!$AQ45=0,"",(('Data BoP'!U42)+('Data BoP'!U43)+('Data BoP'!U44)+('Data BoP'!U45))/'Data BoP'!$AQ45)</f>
        <v>-0.028810153782774</v>
      </c>
      <c r="I46" s="18" t="n">
        <f aca="false">IF('Data BoP'!$AQ45=0,"",(('Data BoP'!Y42+'Data BoP'!Z42)+('Data BoP'!Y43+'Data BoP'!Z43)+('Data BoP'!Y44+'Data BoP'!Z44)+('Data BoP'!Y45+'Data BoP'!Z45))/'Data BoP'!$AQ45)</f>
        <v>0.0183144765497284</v>
      </c>
      <c r="J46" s="18" t="n">
        <f aca="false">IF('Data BoP'!$AQ45=0,"",(('Data BoP'!AD42+'Data BoP'!AE42)+('Data BoP'!AD43+'Data BoP'!AE43)+('Data BoP'!AD44+'Data BoP'!AE44)+('Data BoP'!AD45+'Data BoP'!AE45))/'Data BoP'!$AQ45)</f>
        <v>0.000825345529230311</v>
      </c>
      <c r="K46" s="18" t="n">
        <f aca="false">IF('Data BoP'!$AQ45=0,"",(('Data BoP'!AL42)+('Data BoP'!AL43)+('Data BoP'!AL44)+('Data BoP'!AL45))/'Data BoP'!$AQ45)</f>
        <v>0.0172250875931806</v>
      </c>
      <c r="L46" s="18" t="n">
        <f aca="false">IF('Data BoP'!$AQ45=0,"",(('Data BoP'!W42+'Data BoP'!X42+'Data BoP'!AB42+'Data BoP'!AC42+'Data BoP'!AH42)+('Data BoP'!W43+'Data BoP'!X43+'Data BoP'!AB43+'Data BoP'!AC43+'Data BoP'!AH43)+('Data BoP'!W44+'Data BoP'!X44+'Data BoP'!AB44+'Data BoP'!AC44+'Data BoP'!AH44)+('Data BoP'!W45+'Data BoP'!X45+'Data BoP'!AB45+'Data BoP'!AC45+'Data BoP'!AH45))/'Data BoP'!$AQ45)</f>
        <v>0.0152346624850109</v>
      </c>
      <c r="M46" s="18" t="n">
        <f aca="false">IF('Data BoP'!$AQ45=0,"",(('Data BoP'!AK42)+('Data BoP'!AK43)+('Data BoP'!AK44)+('Data BoP'!AK45))/'Data BoP'!$AQ45)</f>
        <v>-0.00144502563468631</v>
      </c>
      <c r="N46" s="18" t="n">
        <f aca="false">IF('Data BoP'!$AQ45=0,"",(('Data BoP'!AJ42)+('Data BoP'!AJ43)+('Data BoP'!AJ44)+('Data BoP'!AJ45))/'Data BoP'!$AQ45)</f>
        <v>-0.00764098293037949</v>
      </c>
      <c r="O46" s="19" t="n">
        <f aca="false">'Data BoP'!$AQ45</f>
        <v>642060.065400035</v>
      </c>
    </row>
    <row r="47" customFormat="false" ht="15" hidden="false" customHeight="false" outlineLevel="0" collapsed="false">
      <c r="B47" s="14" t="str">
        <f aca="false">'Data BoP'!B46</f>
        <v>2016-Q1</v>
      </c>
      <c r="C47" s="18" t="n">
        <f aca="false">IF('Data BoP'!$AQ46=0,"",(('Data BoP'!E43)+('Data BoP'!E44)+('Data BoP'!E45)+('Data BoP'!E46))/'Data BoP'!$AQ46)</f>
        <v>-0.0275191204770668</v>
      </c>
      <c r="D47" s="18" t="n">
        <f aca="false">IF('Data BoP'!$AQ46=0,"",(('Data BoP'!G43)+('Data BoP'!G44)+('Data BoP'!G45)+('Data BoP'!G46))/'Data BoP'!$AQ46)</f>
        <v>0.000416193080801099</v>
      </c>
      <c r="E47" s="18" t="n">
        <f aca="false">IF('Data BoP'!$AQ46=0,"",(('Data BoP'!J43)+('Data BoP'!J44)+('Data BoP'!J45)+('Data BoP'!J46))/'Data BoP'!$AQ46)</f>
        <v>-0.0109879755627609</v>
      </c>
      <c r="F47" s="18" t="n">
        <f aca="false">IF('Data BoP'!$AQ46=0,"",(('Data BoP'!M43)+('Data BoP'!M44)+('Data BoP'!M45)+('Data BoP'!M46))/'Data BoP'!$AQ46)</f>
        <v>-0.0190916501022077</v>
      </c>
      <c r="G47" s="18" t="n">
        <f aca="false">IF('Data BoP'!$AQ46=0,"",(('Data BoP'!S43)+('Data BoP'!S44)+('Data BoP'!S45)+('Data BoP'!S46))/'Data BoP'!$AQ46)</f>
        <v>0.00214431210710076</v>
      </c>
      <c r="H47" s="18" t="n">
        <f aca="false">IF('Data BoP'!$AQ46=0,"",(('Data BoP'!U43)+('Data BoP'!U44)+('Data BoP'!U45)+('Data BoP'!U46))/'Data BoP'!$AQ46)</f>
        <v>-0.0285612552081513</v>
      </c>
      <c r="I47" s="18" t="n">
        <f aca="false">IF('Data BoP'!$AQ46=0,"",(('Data BoP'!Y43+'Data BoP'!Z43)+('Data BoP'!Y44+'Data BoP'!Z44)+('Data BoP'!Y45+'Data BoP'!Z45)+('Data BoP'!Y46+'Data BoP'!Z46))/'Data BoP'!$AQ46)</f>
        <v>0.0167836300991735</v>
      </c>
      <c r="J47" s="18" t="n">
        <f aca="false">IF('Data BoP'!$AQ46=0,"",(('Data BoP'!AD43+'Data BoP'!AE43)+('Data BoP'!AD44+'Data BoP'!AE44)+('Data BoP'!AD45+'Data BoP'!AE45)+('Data BoP'!AD46+'Data BoP'!AE46))/'Data BoP'!$AQ46)</f>
        <v>0.0066671928074978</v>
      </c>
      <c r="K47" s="18" t="n">
        <f aca="false">IF('Data BoP'!$AQ46=0,"",(('Data BoP'!AL43)+('Data BoP'!AL44)+('Data BoP'!AL45)+('Data BoP'!AL46))/'Data BoP'!$AQ46)</f>
        <v>0.0181494661885131</v>
      </c>
      <c r="L47" s="18" t="n">
        <f aca="false">IF('Data BoP'!$AQ46=0,"",(('Data BoP'!W43+'Data BoP'!X43+'Data BoP'!AB43+'Data BoP'!AC43+'Data BoP'!AH43)+('Data BoP'!W44+'Data BoP'!X44+'Data BoP'!AB44+'Data BoP'!AC44+'Data BoP'!AH44)+('Data BoP'!W45+'Data BoP'!X45+'Data BoP'!AB45+'Data BoP'!AC45+'Data BoP'!AH45)+('Data BoP'!W46+'Data BoP'!X46+'Data BoP'!AB46+'Data BoP'!AC46+'Data BoP'!AH46))/'Data BoP'!$AQ46)</f>
        <v>0.0157643215054425</v>
      </c>
      <c r="M47" s="18" t="n">
        <f aca="false">IF('Data BoP'!$AQ46=0,"",(('Data BoP'!AK43)+('Data BoP'!AK44)+('Data BoP'!AK45)+('Data BoP'!AK46))/'Data BoP'!$AQ46)</f>
        <v>-0.00124599128888592</v>
      </c>
      <c r="N47" s="18" t="n">
        <f aca="false">IF('Data BoP'!$AQ46=0,"",(('Data BoP'!AJ43)+('Data BoP'!AJ44)+('Data BoP'!AJ45)+('Data BoP'!AJ46))/'Data BoP'!$AQ46)</f>
        <v>-0.00275613783246821</v>
      </c>
      <c r="O47" s="19" t="n">
        <f aca="false">'Data BoP'!$AQ46</f>
        <v>616830.544529602</v>
      </c>
    </row>
    <row r="48" customFormat="false" ht="15" hidden="false" customHeight="false" outlineLevel="0" collapsed="false">
      <c r="B48" s="14" t="str">
        <f aca="false">'Data BoP'!B47</f>
        <v>2016-Q2</v>
      </c>
      <c r="C48" s="18" t="n">
        <f aca="false">IF('Data BoP'!$AQ47=0,"",(('Data BoP'!E44)+('Data BoP'!E45)+('Data BoP'!E46)+('Data BoP'!E47))/'Data BoP'!$AQ47)</f>
        <v>-0.0291307930478411</v>
      </c>
      <c r="D48" s="18" t="n">
        <f aca="false">IF('Data BoP'!$AQ47=0,"",(('Data BoP'!G44)+('Data BoP'!G45)+('Data BoP'!G46)+('Data BoP'!G47))/'Data BoP'!$AQ47)</f>
        <v>0.000787811688206772</v>
      </c>
      <c r="E48" s="18" t="n">
        <f aca="false">IF('Data BoP'!$AQ47=0,"",(('Data BoP'!J44)+('Data BoP'!J45)+('Data BoP'!J46)+('Data BoP'!J47))/'Data BoP'!$AQ47)</f>
        <v>-0.0124595910315657</v>
      </c>
      <c r="F48" s="18" t="n">
        <f aca="false">IF('Data BoP'!$AQ47=0,"",(('Data BoP'!M44)+('Data BoP'!M45)+('Data BoP'!M46)+('Data BoP'!M47))/'Data BoP'!$AQ47)</f>
        <v>-0.0195054855906317</v>
      </c>
      <c r="G48" s="18" t="n">
        <f aca="false">IF('Data BoP'!$AQ47=0,"",(('Data BoP'!S44)+('Data BoP'!S45)+('Data BoP'!S46)+('Data BoP'!S47))/'Data BoP'!$AQ47)</f>
        <v>0.00204647188614951</v>
      </c>
      <c r="H48" s="18" t="n">
        <f aca="false">IF('Data BoP'!$AQ47=0,"",(('Data BoP'!U44)+('Data BoP'!U45)+('Data BoP'!U46)+('Data BoP'!U47))/'Data BoP'!$AQ47)</f>
        <v>-0.0304456888843266</v>
      </c>
      <c r="I48" s="18" t="n">
        <f aca="false">IF('Data BoP'!$AQ47=0,"",(('Data BoP'!Y44+'Data BoP'!Z44)+('Data BoP'!Y45+'Data BoP'!Z45)+('Data BoP'!Y46+'Data BoP'!Z46)+('Data BoP'!Y47+'Data BoP'!Z47))/'Data BoP'!$AQ47)</f>
        <v>0.0128449549693417</v>
      </c>
      <c r="J48" s="18" t="n">
        <f aca="false">IF('Data BoP'!$AQ47=0,"",(('Data BoP'!AD44+'Data BoP'!AE44)+('Data BoP'!AD45+'Data BoP'!AE45)+('Data BoP'!AD46+'Data BoP'!AE46)+('Data BoP'!AD47+'Data BoP'!AE47))/'Data BoP'!$AQ47)</f>
        <v>0.0256484890344573</v>
      </c>
      <c r="K48" s="18" t="n">
        <f aca="false">IF('Data BoP'!$AQ47=0,"",(('Data BoP'!AL44)+('Data BoP'!AL45)+('Data BoP'!AL46)+('Data BoP'!AL47))/'Data BoP'!$AQ47)</f>
        <v>0.00635697896324786</v>
      </c>
      <c r="L48" s="18" t="n">
        <f aca="false">IF('Data BoP'!$AQ47=0,"",(('Data BoP'!W44+'Data BoP'!X44+'Data BoP'!AB44+'Data BoP'!AC44+'Data BoP'!AH44)+('Data BoP'!W45+'Data BoP'!X45+'Data BoP'!AB45+'Data BoP'!AC45+'Data BoP'!AH45)+('Data BoP'!W46+'Data BoP'!X46+'Data BoP'!AB46+'Data BoP'!AC46+'Data BoP'!AH46)+('Data BoP'!W47+'Data BoP'!X47+'Data BoP'!AB47+'Data BoP'!AC47+'Data BoP'!AH47))/'Data BoP'!$AQ47)</f>
        <v>0.0186413941165199</v>
      </c>
      <c r="M48" s="18" t="n">
        <f aca="false">IF('Data BoP'!$AQ47=0,"",(('Data BoP'!AK44)+('Data BoP'!AK45)+('Data BoP'!AK46)+('Data BoP'!AK47))/'Data BoP'!$AQ47)</f>
        <v>-0.00157445761632834</v>
      </c>
      <c r="N48" s="18" t="n">
        <f aca="false">IF('Data BoP'!$AQ47=0,"",(('Data BoP'!AJ44)+('Data BoP'!AJ45)+('Data BoP'!AJ46)+('Data BoP'!AJ47))/'Data BoP'!$AQ47)</f>
        <v>-0.00488910223144634</v>
      </c>
      <c r="O48" s="19" t="n">
        <f aca="false">'Data BoP'!$AQ47</f>
        <v>598547.516797229</v>
      </c>
    </row>
    <row r="49" customFormat="false" ht="15" hidden="false" customHeight="false" outlineLevel="0" collapsed="false">
      <c r="B49" s="14" t="str">
        <f aca="false">'Data BoP'!B48</f>
        <v>2016-Q3</v>
      </c>
      <c r="C49" s="18" t="n">
        <f aca="false">IF('Data BoP'!$AQ48=0,"",(('Data BoP'!E45)+('Data BoP'!E46)+('Data BoP'!E47)+('Data BoP'!E48))/'Data BoP'!$AQ48)</f>
        <v>-0.0277402151937837</v>
      </c>
      <c r="D49" s="18" t="n">
        <f aca="false">IF('Data BoP'!$AQ48=0,"",(('Data BoP'!G45)+('Data BoP'!G46)+('Data BoP'!G47)+('Data BoP'!G48))/'Data BoP'!$AQ48)</f>
        <v>0.00450055090583127</v>
      </c>
      <c r="E49" s="18" t="n">
        <f aca="false">IF('Data BoP'!$AQ48=0,"",(('Data BoP'!J45)+('Data BoP'!J46)+('Data BoP'!J47)+('Data BoP'!J48))/'Data BoP'!$AQ48)</f>
        <v>-0.0142042698316689</v>
      </c>
      <c r="F49" s="18" t="n">
        <f aca="false">IF('Data BoP'!$AQ48=0,"",(('Data BoP'!M45)+('Data BoP'!M46)+('Data BoP'!M47)+('Data BoP'!M48))/'Data BoP'!$AQ48)</f>
        <v>-0.0203335829847001</v>
      </c>
      <c r="G49" s="18" t="n">
        <f aca="false">IF('Data BoP'!$AQ48=0,"",(('Data BoP'!S45)+('Data BoP'!S46)+('Data BoP'!S47)+('Data BoP'!S48))/'Data BoP'!$AQ48)</f>
        <v>0.00229708671675394</v>
      </c>
      <c r="H49" s="18" t="n">
        <f aca="false">IF('Data BoP'!$AQ48=0,"",(('Data BoP'!U45)+('Data BoP'!U46)+('Data BoP'!U47)+('Data BoP'!U48))/'Data BoP'!$AQ48)</f>
        <v>-0.0304964616376328</v>
      </c>
      <c r="I49" s="18" t="n">
        <f aca="false">IF('Data BoP'!$AQ48=0,"",(('Data BoP'!Y45+'Data BoP'!Z45)+('Data BoP'!Y46+'Data BoP'!Z46)+('Data BoP'!Y47+'Data BoP'!Z47)+('Data BoP'!Y48+'Data BoP'!Z48))/'Data BoP'!$AQ48)</f>
        <v>0.0102414616756765</v>
      </c>
      <c r="J49" s="18" t="n">
        <f aca="false">IF('Data BoP'!$AQ48=0,"",(('Data BoP'!AD45+'Data BoP'!AE45)+('Data BoP'!AD46+'Data BoP'!AE46)+('Data BoP'!AD47+'Data BoP'!AE47)+('Data BoP'!AD48+'Data BoP'!AE48))/'Data BoP'!$AQ48)</f>
        <v>0.0385241212973927</v>
      </c>
      <c r="K49" s="18" t="n">
        <f aca="false">IF('Data BoP'!$AQ48=0,"",(('Data BoP'!AL45)+('Data BoP'!AL46)+('Data BoP'!AL47)+('Data BoP'!AL48))/'Data BoP'!$AQ48)</f>
        <v>-0.00299226771383812</v>
      </c>
      <c r="L49" s="18" t="n">
        <f aca="false">IF('Data BoP'!$AQ48=0,"",(('Data BoP'!W45+'Data BoP'!X45+'Data BoP'!AB45+'Data BoP'!AC45+'Data BoP'!AH45)+('Data BoP'!W46+'Data BoP'!X46+'Data BoP'!AB46+'Data BoP'!AC46+'Data BoP'!AH46)+('Data BoP'!W47+'Data BoP'!X47+'Data BoP'!AB47+'Data BoP'!AC47+'Data BoP'!AH47)+('Data BoP'!W48+'Data BoP'!X48+'Data BoP'!AB48+'Data BoP'!AC48+'Data BoP'!AH48))/'Data BoP'!$AQ48)</f>
        <v>0.0203541210372132</v>
      </c>
      <c r="M49" s="18" t="n">
        <f aca="false">IF('Data BoP'!$AQ48=0,"",(('Data BoP'!AK45)+('Data BoP'!AK46)+('Data BoP'!AK47)+('Data BoP'!AK48))/'Data BoP'!$AQ48)</f>
        <v>-0.00315103074282138</v>
      </c>
      <c r="N49" s="18" t="n">
        <f aca="false">IF('Data BoP'!$AQ48=0,"",(('Data BoP'!AJ45)+('Data BoP'!AJ46)+('Data BoP'!AJ47)+('Data BoP'!AJ48))/'Data BoP'!$AQ48)</f>
        <v>-0.00570441642311031</v>
      </c>
      <c r="O49" s="19" t="n">
        <f aca="false">'Data BoP'!$AQ48</f>
        <v>573007.690376001</v>
      </c>
    </row>
    <row r="50" customFormat="false" ht="15" hidden="false" customHeight="false" outlineLevel="0" collapsed="false">
      <c r="B50" s="14" t="str">
        <f aca="false">'Data BoP'!B49</f>
        <v>2016-Q4</v>
      </c>
      <c r="C50" s="18" t="n">
        <f aca="false">IF('Data BoP'!$AQ49=0,"",(('Data BoP'!E46)+('Data BoP'!E47)+('Data BoP'!E48)+('Data BoP'!E49))/'Data BoP'!$AQ49)</f>
        <v>-0.0271255487574594</v>
      </c>
      <c r="D50" s="18" t="n">
        <f aca="false">IF('Data BoP'!$AQ49=0,"",(('Data BoP'!G46)+('Data BoP'!G47)+('Data BoP'!G48)+('Data BoP'!G49))/'Data BoP'!$AQ49)</f>
        <v>0.00793064372311294</v>
      </c>
      <c r="E50" s="18" t="n">
        <f aca="false">IF('Data BoP'!$AQ49=0,"",(('Data BoP'!J46)+('Data BoP'!J47)+('Data BoP'!J48)+('Data BoP'!J49))/'Data BoP'!$AQ49)</f>
        <v>-0.0151776911539743</v>
      </c>
      <c r="F50" s="18" t="n">
        <f aca="false">IF('Data BoP'!$AQ49=0,"",(('Data BoP'!M46)+('Data BoP'!M47)+('Data BoP'!M48)+('Data BoP'!M49))/'Data BoP'!$AQ49)</f>
        <v>-0.0218950732188581</v>
      </c>
      <c r="G50" s="18" t="n">
        <f aca="false">IF('Data BoP'!$AQ49=0,"",(('Data BoP'!S46)+('Data BoP'!S47)+('Data BoP'!S48)+('Data BoP'!S49))/'Data BoP'!$AQ49)</f>
        <v>0.00201657189226004</v>
      </c>
      <c r="H50" s="18" t="n">
        <f aca="false">IF('Data BoP'!$AQ49=0,"",(('Data BoP'!U46)+('Data BoP'!U47)+('Data BoP'!U48)+('Data BoP'!U49))/'Data BoP'!$AQ49)</f>
        <v>-0.0250769970349363</v>
      </c>
      <c r="I50" s="18" t="n">
        <f aca="false">IF('Data BoP'!$AQ49=0,"",(('Data BoP'!Y46+'Data BoP'!Z46)+('Data BoP'!Y47+'Data BoP'!Z47)+('Data BoP'!Y48+'Data BoP'!Z48)+('Data BoP'!Y49+'Data BoP'!Z49))/'Data BoP'!$AQ49)</f>
        <v>0.00585468365715251</v>
      </c>
      <c r="J50" s="18" t="n">
        <f aca="false">IF('Data BoP'!$AQ49=0,"",(('Data BoP'!AD46+'Data BoP'!AE46)+('Data BoP'!AD47+'Data BoP'!AE47)+('Data BoP'!AD48+'Data BoP'!AE48)+('Data BoP'!AD49+'Data BoP'!AE49))/'Data BoP'!$AQ49)</f>
        <v>0.0647451075738027</v>
      </c>
      <c r="K50" s="18" t="n">
        <f aca="false">IF('Data BoP'!$AQ49=0,"",(('Data BoP'!AL46)+('Data BoP'!AL47)+('Data BoP'!AL48)+('Data BoP'!AL49))/'Data BoP'!$AQ49)</f>
        <v>-0.0099528257232252</v>
      </c>
      <c r="L50" s="18" t="n">
        <f aca="false">IF('Data BoP'!$AQ49=0,"",(('Data BoP'!W46+'Data BoP'!X46+'Data BoP'!AB46+'Data BoP'!AC46+'Data BoP'!AH46)+('Data BoP'!W47+'Data BoP'!X47+'Data BoP'!AB47+'Data BoP'!AC47+'Data BoP'!AH47)+('Data BoP'!W48+'Data BoP'!X48+'Data BoP'!AB48+'Data BoP'!AC48+'Data BoP'!AH48)+('Data BoP'!W49+'Data BoP'!X49+'Data BoP'!AB49+'Data BoP'!AC49+'Data BoP'!AH49))/'Data BoP'!$AQ49)</f>
        <v>0.00947074429064117</v>
      </c>
      <c r="M50" s="18" t="n">
        <f aca="false">IF('Data BoP'!$AQ49=0,"",(('Data BoP'!AK46)+('Data BoP'!AK47)+('Data BoP'!AK48)+('Data BoP'!AK49))/'Data BoP'!$AQ49)</f>
        <v>0.0013916128549429</v>
      </c>
      <c r="N50" s="18" t="n">
        <f aca="false">IF('Data BoP'!$AQ49=0,"",(('Data BoP'!AJ46)+('Data BoP'!AJ47)+('Data BoP'!AJ48)+('Data BoP'!AJ49))/'Data BoP'!$AQ49)</f>
        <v>0.0257004702173527</v>
      </c>
      <c r="O50" s="19" t="n">
        <f aca="false">'Data BoP'!$AQ49</f>
        <v>556847.223981279</v>
      </c>
    </row>
    <row r="51" customFormat="false" ht="15" hidden="false" customHeight="false" outlineLevel="0" collapsed="false">
      <c r="B51" s="14" t="str">
        <f aca="false">'Data BoP'!B50</f>
        <v>2017-Q1</v>
      </c>
      <c r="C51" s="18" t="n">
        <f aca="false">IF('Data BoP'!$AQ50=0,"",(('Data BoP'!E47)+('Data BoP'!E48)+('Data BoP'!E49)+('Data BoP'!E50))/'Data BoP'!$AQ50)</f>
        <v>-0.0299189505794859</v>
      </c>
      <c r="D51" s="18" t="n">
        <f aca="false">IF('Data BoP'!$AQ50=0,"",(('Data BoP'!G47)+('Data BoP'!G48)+('Data BoP'!G49)+('Data BoP'!G50))/'Data BoP'!$AQ50)</f>
        <v>0.00620872538246652</v>
      </c>
      <c r="E51" s="18" t="n">
        <f aca="false">IF('Data BoP'!$AQ50=0,"",(('Data BoP'!J47)+('Data BoP'!J48)+('Data BoP'!J49)+('Data BoP'!J50))/'Data BoP'!$AQ50)</f>
        <v>-0.0154612867929651</v>
      </c>
      <c r="F51" s="18" t="n">
        <f aca="false">IF('Data BoP'!$AQ50=0,"",(('Data BoP'!M47)+('Data BoP'!M48)+('Data BoP'!M49)+('Data BoP'!M50))/'Data BoP'!$AQ50)</f>
        <v>-0.0224274732794727</v>
      </c>
      <c r="G51" s="18" t="n">
        <f aca="false">IF('Data BoP'!$AQ50=0,"",(('Data BoP'!S47)+('Data BoP'!S48)+('Data BoP'!S49)+('Data BoP'!S50))/'Data BoP'!$AQ50)</f>
        <v>0.0017610841104854</v>
      </c>
      <c r="H51" s="18" t="n">
        <f aca="false">IF('Data BoP'!$AQ50=0,"",(('Data BoP'!U47)+('Data BoP'!U48)+('Data BoP'!U49)+('Data BoP'!U50))/'Data BoP'!$AQ50)</f>
        <v>-0.0265127953502456</v>
      </c>
      <c r="I51" s="18" t="n">
        <f aca="false">IF('Data BoP'!$AQ50=0,"",(('Data BoP'!Y47+'Data BoP'!Z47)+('Data BoP'!Y48+'Data BoP'!Z48)+('Data BoP'!Y49+'Data BoP'!Z49)+('Data BoP'!Y50+'Data BoP'!Z50))/'Data BoP'!$AQ50)</f>
        <v>0.00799372078349398</v>
      </c>
      <c r="J51" s="18" t="n">
        <f aca="false">IF('Data BoP'!$AQ50=0,"",(('Data BoP'!AD47+'Data BoP'!AE47)+('Data BoP'!AD48+'Data BoP'!AE48)+('Data BoP'!AD49+'Data BoP'!AE49)+('Data BoP'!AD50+'Data BoP'!AE50))/'Data BoP'!$AQ50)</f>
        <v>0.0804411561470481</v>
      </c>
      <c r="K51" s="18" t="n">
        <f aca="false">IF('Data BoP'!$AQ50=0,"",(('Data BoP'!AL47)+('Data BoP'!AL48)+('Data BoP'!AL49)+('Data BoP'!AL50))/'Data BoP'!$AQ50)</f>
        <v>-0.0147270931949682</v>
      </c>
      <c r="L51" s="18" t="n">
        <f aca="false">IF('Data BoP'!$AQ50=0,"",(('Data BoP'!W47+'Data BoP'!X47+'Data BoP'!AB47+'Data BoP'!AC47+'Data BoP'!AH47)+('Data BoP'!W48+'Data BoP'!X48+'Data BoP'!AB48+'Data BoP'!AC48+'Data BoP'!AH48)+('Data BoP'!W49+'Data BoP'!X49+'Data BoP'!AB49+'Data BoP'!AC49+'Data BoP'!AH49)+('Data BoP'!W50+'Data BoP'!X50+'Data BoP'!AB50+'Data BoP'!AC50+'Data BoP'!AH50))/'Data BoP'!$AQ50)</f>
        <v>0.00988027556681372</v>
      </c>
      <c r="M51" s="18" t="n">
        <f aca="false">IF('Data BoP'!$AQ50=0,"",(('Data BoP'!AK47)+('Data BoP'!AK48)+('Data BoP'!AK49)+('Data BoP'!AK50))/'Data BoP'!$AQ50)</f>
        <v>0.00284398352290977</v>
      </c>
      <c r="N51" s="18" t="n">
        <f aca="false">IF('Data BoP'!$AQ50=0,"",(('Data BoP'!AJ47)+('Data BoP'!AJ48)+('Data BoP'!AJ49)+('Data BoP'!AJ50))/'Data BoP'!$AQ50)</f>
        <v>0.0372284806115043</v>
      </c>
      <c r="O51" s="19" t="n">
        <f aca="false">'Data BoP'!$AQ50</f>
        <v>583006.569187653</v>
      </c>
    </row>
    <row r="52" customFormat="false" ht="15" hidden="false" customHeight="false" outlineLevel="0" collapsed="false">
      <c r="B52" s="14" t="str">
        <f aca="false">'Data BoP'!B51</f>
        <v>2017-Q2</v>
      </c>
      <c r="C52" s="18" t="n">
        <f aca="false">IF('Data BoP'!$AQ51=0,"",(('Data BoP'!E48)+('Data BoP'!E49)+('Data BoP'!E50)+('Data BoP'!E51))/'Data BoP'!$AQ51)</f>
        <v>-0.0350162724955718</v>
      </c>
      <c r="D52" s="18" t="n">
        <f aca="false">IF('Data BoP'!$AQ51=0,"",(('Data BoP'!G48)+('Data BoP'!G49)+('Data BoP'!G50)+('Data BoP'!G51))/'Data BoP'!$AQ51)</f>
        <v>0.00203970060963695</v>
      </c>
      <c r="E52" s="18" t="n">
        <f aca="false">IF('Data BoP'!$AQ51=0,"",(('Data BoP'!J48)+('Data BoP'!J49)+('Data BoP'!J50)+('Data BoP'!J51))/'Data BoP'!$AQ51)</f>
        <v>-0.0151820843456224</v>
      </c>
      <c r="F52" s="18" t="n">
        <f aca="false">IF('Data BoP'!$AQ51=0,"",(('Data BoP'!M48)+('Data BoP'!M49)+('Data BoP'!M50)+('Data BoP'!M51))/'Data BoP'!$AQ51)</f>
        <v>-0.0234157943484631</v>
      </c>
      <c r="G52" s="18" t="n">
        <f aca="false">IF('Data BoP'!$AQ51=0,"",(('Data BoP'!S48)+('Data BoP'!S49)+('Data BoP'!S50)+('Data BoP'!S51))/'Data BoP'!$AQ51)</f>
        <v>0.00154190558887682</v>
      </c>
      <c r="H52" s="18" t="n">
        <f aca="false">IF('Data BoP'!$AQ51=0,"",(('Data BoP'!U48)+('Data BoP'!U49)+('Data BoP'!U50)+('Data BoP'!U51))/'Data BoP'!$AQ51)</f>
        <v>-0.0320430776602152</v>
      </c>
      <c r="I52" s="18" t="n">
        <f aca="false">IF('Data BoP'!$AQ51=0,"",(('Data BoP'!Y48+'Data BoP'!Z48)+('Data BoP'!Y49+'Data BoP'!Z49)+('Data BoP'!Y50+'Data BoP'!Z50)+('Data BoP'!Y51+'Data BoP'!Z51))/'Data BoP'!$AQ51)</f>
        <v>0.0103674256982554</v>
      </c>
      <c r="J52" s="18" t="n">
        <f aca="false">IF('Data BoP'!$AQ51=0,"",(('Data BoP'!AD48+'Data BoP'!AE48)+('Data BoP'!AD49+'Data BoP'!AE49)+('Data BoP'!AD50+'Data BoP'!AE50)+('Data BoP'!AD51+'Data BoP'!AE51))/'Data BoP'!$AQ51)</f>
        <v>0.0654889823073537</v>
      </c>
      <c r="K52" s="18" t="n">
        <f aca="false">IF('Data BoP'!$AQ51=0,"",(('Data BoP'!AL48)+('Data BoP'!AL49)+('Data BoP'!AL50)+('Data BoP'!AL51))/'Data BoP'!$AQ51)</f>
        <v>-0.00650109812020094</v>
      </c>
      <c r="L52" s="18" t="n">
        <f aca="false">IF('Data BoP'!$AQ51=0,"",(('Data BoP'!W48+'Data BoP'!X48+'Data BoP'!AB48+'Data BoP'!AC48+'Data BoP'!AH48)+('Data BoP'!W49+'Data BoP'!X49+'Data BoP'!AB49+'Data BoP'!AC49+'Data BoP'!AH49)+('Data BoP'!W50+'Data BoP'!X50+'Data BoP'!AB50+'Data BoP'!AC50+'Data BoP'!AH50)+('Data BoP'!W51+'Data BoP'!X51+'Data BoP'!AB51+'Data BoP'!AC51+'Data BoP'!AH51))/'Data BoP'!$AQ51)</f>
        <v>0.00826578439175493</v>
      </c>
      <c r="M52" s="18" t="n">
        <f aca="false">IF('Data BoP'!$AQ51=0,"",(('Data BoP'!AK48)+('Data BoP'!AK49)+('Data BoP'!AK50)+('Data BoP'!AK51))/'Data BoP'!$AQ51)</f>
        <v>0.00241120110303424</v>
      </c>
      <c r="N52" s="18" t="n">
        <f aca="false">IF('Data BoP'!$AQ51=0,"",(('Data BoP'!AJ48)+('Data BoP'!AJ49)+('Data BoP'!AJ50)+('Data BoP'!AJ51))/'Data BoP'!$AQ51)</f>
        <v>0.0295586375622194</v>
      </c>
      <c r="O52" s="19" t="n">
        <f aca="false">'Data BoP'!$AQ51</f>
        <v>603081.440049652</v>
      </c>
    </row>
    <row r="53" customFormat="false" ht="15" hidden="false" customHeight="false" outlineLevel="0" collapsed="false">
      <c r="B53" s="14" t="str">
        <f aca="false">'Data BoP'!B52</f>
        <v>2017-Q3</v>
      </c>
      <c r="C53" s="18" t="n">
        <f aca="false">IF('Data BoP'!$AQ52=0,"",(('Data BoP'!E49)+('Data BoP'!E50)+('Data BoP'!E51)+('Data BoP'!E52))/'Data BoP'!$AQ52)</f>
        <v>-0.0423239742770725</v>
      </c>
      <c r="D53" s="18" t="n">
        <f aca="false">IF('Data BoP'!$AQ52=0,"",(('Data BoP'!G49)+('Data BoP'!G50)+('Data BoP'!G51)+('Data BoP'!G52))/'Data BoP'!$AQ52)</f>
        <v>-0.00366241921538499</v>
      </c>
      <c r="E53" s="18" t="n">
        <f aca="false">IF('Data BoP'!$AQ52=0,"",(('Data BoP'!J49)+('Data BoP'!J50)+('Data BoP'!J51)+('Data BoP'!J52))/'Data BoP'!$AQ52)</f>
        <v>-0.0152567107528345</v>
      </c>
      <c r="F53" s="18" t="n">
        <f aca="false">IF('Data BoP'!$AQ52=0,"",(('Data BoP'!M49)+('Data BoP'!M50)+('Data BoP'!M51)+('Data BoP'!M52))/'Data BoP'!$AQ52)</f>
        <v>-0.0243040573970425</v>
      </c>
      <c r="G53" s="18" t="n">
        <f aca="false">IF('Data BoP'!$AQ52=0,"",(('Data BoP'!S49)+('Data BoP'!S50)+('Data BoP'!S51)+('Data BoP'!S52))/'Data BoP'!$AQ52)</f>
        <v>0.000899213088189419</v>
      </c>
      <c r="H53" s="18" t="n">
        <f aca="false">IF('Data BoP'!$AQ52=0,"",(('Data BoP'!U49)+('Data BoP'!U50)+('Data BoP'!U51)+('Data BoP'!U52))/'Data BoP'!$AQ52)</f>
        <v>-0.0378942859982365</v>
      </c>
      <c r="I53" s="18" t="n">
        <f aca="false">IF('Data BoP'!$AQ52=0,"",(('Data BoP'!Y49+'Data BoP'!Z49)+('Data BoP'!Y50+'Data BoP'!Z50)+('Data BoP'!Y51+'Data BoP'!Z51)+('Data BoP'!Y52+'Data BoP'!Z52))/'Data BoP'!$AQ52)</f>
        <v>0.0140020983726065</v>
      </c>
      <c r="J53" s="18" t="n">
        <f aca="false">IF('Data BoP'!$AQ52=0,"",(('Data BoP'!AD49+'Data BoP'!AE49)+('Data BoP'!AD50+'Data BoP'!AE50)+('Data BoP'!AD51+'Data BoP'!AE51)+('Data BoP'!AD52+'Data BoP'!AE52))/'Data BoP'!$AQ52)</f>
        <v>0.0643315802776391</v>
      </c>
      <c r="K53" s="18" t="n">
        <f aca="false">IF('Data BoP'!$AQ52=0,"",(('Data BoP'!AL49)+('Data BoP'!AL50)+('Data BoP'!AL51)+('Data BoP'!AL52))/'Data BoP'!$AQ52)</f>
        <v>0.00665419449498302</v>
      </c>
      <c r="L53" s="18" t="n">
        <f aca="false">IF('Data BoP'!$AQ52=0,"",(('Data BoP'!W49+'Data BoP'!X49+'Data BoP'!AB49+'Data BoP'!AC49+'Data BoP'!AH49)+('Data BoP'!W50+'Data BoP'!X50+'Data BoP'!AB50+'Data BoP'!AC50+'Data BoP'!AH50)+('Data BoP'!W51+'Data BoP'!X51+'Data BoP'!AB51+'Data BoP'!AC51+'Data BoP'!AH51)+('Data BoP'!W52+'Data BoP'!X52+'Data BoP'!AB52+'Data BoP'!AC52+'Data BoP'!AH52))/'Data BoP'!$AQ52)</f>
        <v>0.0148832454983188</v>
      </c>
      <c r="M53" s="18" t="n">
        <f aca="false">IF('Data BoP'!$AQ52=0,"",(('Data BoP'!AK49)+('Data BoP'!AK50)+('Data BoP'!AK51)+('Data BoP'!AK52))/'Data BoP'!$AQ52)</f>
        <v>0.00393284652779754</v>
      </c>
      <c r="N53" s="18" t="n">
        <f aca="false">IF('Data BoP'!$AQ52=0,"",(('Data BoP'!AJ49)+('Data BoP'!AJ50)+('Data BoP'!AJ51)+('Data BoP'!AJ52))/'Data BoP'!$AQ52)</f>
        <v>0.0326385053286368</v>
      </c>
      <c r="O53" s="19" t="n">
        <f aca="false">'Data BoP'!$AQ52</f>
        <v>621379.466924507</v>
      </c>
    </row>
    <row r="54" customFormat="false" ht="15" hidden="false" customHeight="false" outlineLevel="0" collapsed="false">
      <c r="B54" s="14" t="str">
        <f aca="false">'Data BoP'!B53</f>
        <v>2017-Q4</v>
      </c>
      <c r="C54" s="18" t="n">
        <f aca="false">IF('Data BoP'!$AQ53=0,"",(('Data BoP'!E50)+('Data BoP'!E51)+('Data BoP'!E52)+('Data BoP'!E53))/'Data BoP'!$AQ53)</f>
        <v>-0.0484180003101394</v>
      </c>
      <c r="D54" s="18" t="n">
        <f aca="false">IF('Data BoP'!$AQ53=0,"",(('Data BoP'!G50)+('Data BoP'!G51)+('Data BoP'!G52)+('Data BoP'!G53))/'Data BoP'!$AQ53)</f>
        <v>-0.00846627476522817</v>
      </c>
      <c r="E54" s="18" t="n">
        <f aca="false">IF('Data BoP'!$AQ53=0,"",(('Data BoP'!J50)+('Data BoP'!J51)+('Data BoP'!J52)+('Data BoP'!J53))/'Data BoP'!$AQ53)</f>
        <v>-0.0150694503571187</v>
      </c>
      <c r="F54" s="18" t="n">
        <f aca="false">IF('Data BoP'!$AQ53=0,"",(('Data BoP'!M50)+('Data BoP'!M51)+('Data BoP'!M52)+('Data BoP'!M53))/'Data BoP'!$AQ53)</f>
        <v>-0.025459588010186</v>
      </c>
      <c r="G54" s="18" t="n">
        <f aca="false">IF('Data BoP'!$AQ53=0,"",(('Data BoP'!S50)+('Data BoP'!S51)+('Data BoP'!S52)+('Data BoP'!S53))/'Data BoP'!$AQ53)</f>
        <v>0.000577312822393408</v>
      </c>
      <c r="H54" s="18" t="n">
        <f aca="false">IF('Data BoP'!$AQ53=0,"",(('Data BoP'!U50)+('Data BoP'!U51)+('Data BoP'!U52)+('Data BoP'!U53))/'Data BoP'!$AQ53)</f>
        <v>-0.0486073681507478</v>
      </c>
      <c r="I54" s="18" t="n">
        <f aca="false">IF('Data BoP'!$AQ53=0,"",(('Data BoP'!Y50+'Data BoP'!Z50)+('Data BoP'!Y51+'Data BoP'!Z51)+('Data BoP'!Y52+'Data BoP'!Z52)+('Data BoP'!Y53+'Data BoP'!Z53))/'Data BoP'!$AQ53)</f>
        <v>0.0179004560159761</v>
      </c>
      <c r="J54" s="18" t="n">
        <f aca="false">IF('Data BoP'!$AQ53=0,"",(('Data BoP'!AD50+'Data BoP'!AE50)+('Data BoP'!AD51+'Data BoP'!AE51)+('Data BoP'!AD52+'Data BoP'!AE52)+('Data BoP'!AD53+'Data BoP'!AE53))/'Data BoP'!$AQ53)</f>
        <v>0.064384718410442</v>
      </c>
      <c r="K54" s="18" t="n">
        <f aca="false">IF('Data BoP'!$AQ53=0,"",(('Data BoP'!AL50)+('Data BoP'!AL51)+('Data BoP'!AL52)+('Data BoP'!AL53))/'Data BoP'!$AQ53)</f>
        <v>0.0185826595910525</v>
      </c>
      <c r="L54" s="18" t="n">
        <f aca="false">IF('Data BoP'!$AQ53=0,"",(('Data BoP'!W50+'Data BoP'!X50+'Data BoP'!AB50+'Data BoP'!AC50+'Data BoP'!AH50)+('Data BoP'!W51+'Data BoP'!X51+'Data BoP'!AB51+'Data BoP'!AC51+'Data BoP'!AH51)+('Data BoP'!W52+'Data BoP'!X52+'Data BoP'!AB52+'Data BoP'!AC52+'Data BoP'!AH52)+('Data BoP'!W53+'Data BoP'!X53+'Data BoP'!AB53+'Data BoP'!AC53+'Data BoP'!AH53))/'Data BoP'!$AQ53)</f>
        <v>0.0297863495250095</v>
      </c>
      <c r="M54" s="18" t="n">
        <f aca="false">IF('Data BoP'!$AQ53=0,"",(('Data BoP'!AK50)+('Data BoP'!AK51)+('Data BoP'!AK52)+('Data BoP'!AK53))/'Data BoP'!$AQ53)</f>
        <v>-0.00045902880626346</v>
      </c>
      <c r="N54" s="18" t="n">
        <f aca="false">IF('Data BoP'!$AQ53=0,"",(('Data BoP'!AJ50)+('Data BoP'!AJ51)+('Data BoP'!AJ52)+('Data BoP'!AJ53))/'Data BoP'!$AQ53)</f>
        <v>0.0226236781060926</v>
      </c>
      <c r="O54" s="19" t="n">
        <f aca="false">'Data BoP'!$AQ53</f>
        <v>643383.691007967</v>
      </c>
    </row>
    <row r="55" customFormat="false" ht="15" hidden="false" customHeight="false" outlineLevel="0" collapsed="false">
      <c r="B55" s="14" t="str">
        <f aca="false">'Data BoP'!B54</f>
        <v>2018-Q1</v>
      </c>
      <c r="C55" s="18" t="n">
        <f aca="false">IF('Data BoP'!$AQ54=0,"",(('Data BoP'!E51)+('Data BoP'!E52)+('Data BoP'!E53)+('Data BoP'!E54))/'Data BoP'!$AQ54)</f>
        <v>-0.0509378565111618</v>
      </c>
      <c r="D55" s="18" t="n">
        <f aca="false">IF('Data BoP'!$AQ54=0,"",(('Data BoP'!G51)+('Data BoP'!G52)+('Data BoP'!G53)+('Data BoP'!G54))/'Data BoP'!$AQ54)</f>
        <v>-0.00992673461991503</v>
      </c>
      <c r="E55" s="18" t="n">
        <f aca="false">IF('Data BoP'!$AQ54=0,"",(('Data BoP'!J51)+('Data BoP'!J52)+('Data BoP'!J53)+('Data BoP'!J54))/'Data BoP'!$AQ54)</f>
        <v>-0.0153385044332844</v>
      </c>
      <c r="F55" s="18" t="n">
        <f aca="false">IF('Data BoP'!$AQ54=0,"",(('Data BoP'!M51)+('Data BoP'!M52)+('Data BoP'!M53)+('Data BoP'!M54))/'Data BoP'!$AQ54)</f>
        <v>-0.0261358818473521</v>
      </c>
      <c r="G55" s="18" t="n">
        <f aca="false">IF('Data BoP'!$AQ54=0,"",(('Data BoP'!S51)+('Data BoP'!S52)+('Data BoP'!S53)+('Data BoP'!S54))/'Data BoP'!$AQ54)</f>
        <v>0.00046326438938976</v>
      </c>
      <c r="H55" s="18" t="n">
        <f aca="false">IF('Data BoP'!$AQ54=0,"",(('Data BoP'!U51)+('Data BoP'!U52)+('Data BoP'!U53)+('Data BoP'!U54))/'Data BoP'!$AQ54)</f>
        <v>-0.0528993986028358</v>
      </c>
      <c r="I55" s="18" t="n">
        <f aca="false">IF('Data BoP'!$AQ54=0,"",(('Data BoP'!Y51+'Data BoP'!Z51)+('Data BoP'!Y52+'Data BoP'!Z52)+('Data BoP'!Y53+'Data BoP'!Z53)+('Data BoP'!Y54+'Data BoP'!Z54))/'Data BoP'!$AQ54)</f>
        <v>0.0167573916184442</v>
      </c>
      <c r="J55" s="18" t="n">
        <f aca="false">IF('Data BoP'!$AQ54=0,"",(('Data BoP'!AD51+'Data BoP'!AE51)+('Data BoP'!AD52+'Data BoP'!AE52)+('Data BoP'!AD53+'Data BoP'!AE53)+('Data BoP'!AD54+'Data BoP'!AE54))/'Data BoP'!$AQ54)</f>
        <v>0.0647600497505296</v>
      </c>
      <c r="K55" s="18" t="n">
        <f aca="false">IF('Data BoP'!$AQ54=0,"",(('Data BoP'!AL51)+('Data BoP'!AL52)+('Data BoP'!AL53)+('Data BoP'!AL54))/'Data BoP'!$AQ54)</f>
        <v>0.0228504512635665</v>
      </c>
      <c r="L55" s="18" t="n">
        <f aca="false">IF('Data BoP'!$AQ54=0,"",(('Data BoP'!W51+'Data BoP'!X51+'Data BoP'!AB51+'Data BoP'!AC51+'Data BoP'!AH51)+('Data BoP'!W52+'Data BoP'!X52+'Data BoP'!AB52+'Data BoP'!AC52+'Data BoP'!AH52)+('Data BoP'!W53+'Data BoP'!X53+'Data BoP'!AB53+'Data BoP'!AC53+'Data BoP'!AH53)+('Data BoP'!W54+'Data BoP'!X54+'Data BoP'!AB54+'Data BoP'!AC54+'Data BoP'!AH54))/'Data BoP'!$AQ54)</f>
        <v>0.0365025260190648</v>
      </c>
      <c r="M55" s="18" t="n">
        <f aca="false">IF('Data BoP'!$AQ54=0,"",(('Data BoP'!AK51)+('Data BoP'!AK52)+('Data BoP'!AK53)+('Data BoP'!AK54))/'Data BoP'!$AQ54)</f>
        <v>-0.00219418470820002</v>
      </c>
      <c r="N55" s="18" t="n">
        <f aca="false">IF('Data BoP'!$AQ54=0,"",(('Data BoP'!AJ51)+('Data BoP'!AJ52)+('Data BoP'!AJ53)+('Data BoP'!AJ54))/'Data BoP'!$AQ54)</f>
        <v>0.01493976099289</v>
      </c>
      <c r="O55" s="19" t="n">
        <f aca="false">'Data BoP'!$AQ54</f>
        <v>653994.630723368</v>
      </c>
    </row>
    <row r="56" customFormat="false" ht="15" hidden="false" customHeight="false" outlineLevel="0" collapsed="false">
      <c r="B56" s="14" t="str">
        <f aca="false">'Data BoP'!B55</f>
        <v>2018-Q2</v>
      </c>
      <c r="C56" s="18" t="n">
        <f aca="false">IF('Data BoP'!$AQ55=0,"",(('Data BoP'!E52)+('Data BoP'!E53)+('Data BoP'!E54)+('Data BoP'!E55))/'Data BoP'!$AQ55)</f>
        <v>-0.0549421257058042</v>
      </c>
      <c r="D56" s="18" t="n">
        <f aca="false">IF('Data BoP'!$AQ55=0,"",(('Data BoP'!G52)+('Data BoP'!G53)+('Data BoP'!G54)+('Data BoP'!G55))/'Data BoP'!$AQ55)</f>
        <v>-0.011688529172851</v>
      </c>
      <c r="E56" s="18" t="n">
        <f aca="false">IF('Data BoP'!$AQ55=0,"",(('Data BoP'!J52)+('Data BoP'!J53)+('Data BoP'!J54)+('Data BoP'!J55))/'Data BoP'!$AQ55)</f>
        <v>-0.0164150492672654</v>
      </c>
      <c r="F56" s="18" t="n">
        <f aca="false">IF('Data BoP'!$AQ55=0,"",(('Data BoP'!M52)+('Data BoP'!M53)+('Data BoP'!M54)+('Data BoP'!M55))/'Data BoP'!$AQ55)</f>
        <v>-0.0276931965193502</v>
      </c>
      <c r="G56" s="18" t="n">
        <f aca="false">IF('Data BoP'!$AQ55=0,"",(('Data BoP'!S52)+('Data BoP'!S53)+('Data BoP'!S54)+('Data BoP'!S55))/'Data BoP'!$AQ55)</f>
        <v>0.00085464925366244</v>
      </c>
      <c r="H56" s="18" t="n">
        <f aca="false">IF('Data BoP'!$AQ55=0,"",(('Data BoP'!U52)+('Data BoP'!U53)+('Data BoP'!U54)+('Data BoP'!U55))/'Data BoP'!$AQ55)</f>
        <v>-0.057262492838377</v>
      </c>
      <c r="I56" s="18" t="n">
        <f aca="false">IF('Data BoP'!$AQ55=0,"",(('Data BoP'!Y52+'Data BoP'!Z52)+('Data BoP'!Y53+'Data BoP'!Z53)+('Data BoP'!Y54+'Data BoP'!Z54)+('Data BoP'!Y55+'Data BoP'!Z55))/'Data BoP'!$AQ55)</f>
        <v>0.0177139250069812</v>
      </c>
      <c r="J56" s="18" t="n">
        <f aca="false">IF('Data BoP'!$AQ55=0,"",(('Data BoP'!AD52+'Data BoP'!AE52)+('Data BoP'!AD53+'Data BoP'!AE53)+('Data BoP'!AD54+'Data BoP'!AE54)+('Data BoP'!AD55+'Data BoP'!AE55))/'Data BoP'!$AQ55)</f>
        <v>0.0559604726565876</v>
      </c>
      <c r="K56" s="18" t="n">
        <f aca="false">IF('Data BoP'!$AQ55=0,"",(('Data BoP'!AL52)+('Data BoP'!AL53)+('Data BoP'!AL54)+('Data BoP'!AL55))/'Data BoP'!$AQ55)</f>
        <v>0.0533258255282446</v>
      </c>
      <c r="L56" s="18" t="n">
        <f aca="false">IF('Data BoP'!$AQ55=0,"",(('Data BoP'!W52+'Data BoP'!X52+'Data BoP'!AB52+'Data BoP'!AC52+'Data BoP'!AH52)+('Data BoP'!W53+'Data BoP'!X53+'Data BoP'!AB53+'Data BoP'!AC53+'Data BoP'!AH53)+('Data BoP'!W54+'Data BoP'!X54+'Data BoP'!AB54+'Data BoP'!AC54+'Data BoP'!AH54)+('Data BoP'!W55+'Data BoP'!X55+'Data BoP'!AB55+'Data BoP'!AC55+'Data BoP'!AH55))/'Data BoP'!$AQ55)</f>
        <v>0.0489103046161729</v>
      </c>
      <c r="M56" s="18" t="n">
        <f aca="false">IF('Data BoP'!$AQ55=0,"",(('Data BoP'!AK52)+('Data BoP'!AK53)+('Data BoP'!AK54)+('Data BoP'!AK55))/'Data BoP'!$AQ55)</f>
        <v>-0.00252304693098465</v>
      </c>
      <c r="N56" s="18" t="n">
        <f aca="false">IF('Data BoP'!$AQ55=0,"",(('Data BoP'!AJ52)+('Data BoP'!AJ53)+('Data BoP'!AJ54)+('Data BoP'!AJ55))/'Data BoP'!$AQ55)</f>
        <v>0.0208182094725851</v>
      </c>
      <c r="O56" s="19" t="n">
        <f aca="false">'Data BoP'!$AQ55</f>
        <v>639621.440977808</v>
      </c>
    </row>
    <row r="57" customFormat="false" ht="15" hidden="false" customHeight="false" outlineLevel="0" collapsed="false">
      <c r="B57" s="14" t="str">
        <f aca="false">'Data BoP'!B56</f>
        <v>2018-Q3</v>
      </c>
      <c r="C57" s="18" t="n">
        <f aca="false">IF('Data BoP'!$AQ56=0,"",(('Data BoP'!E53)+('Data BoP'!E54)+('Data BoP'!E55)+('Data BoP'!E56))/'Data BoP'!$AQ56)</f>
        <v>-0.0574536976443979</v>
      </c>
      <c r="D57" s="18" t="n">
        <f aca="false">IF('Data BoP'!$AQ56=0,"",(('Data BoP'!G53)+('Data BoP'!G54)+('Data BoP'!G55)+('Data BoP'!G56))/'Data BoP'!$AQ56)</f>
        <v>-0.0109424508144218</v>
      </c>
      <c r="E57" s="18" t="n">
        <f aca="false">IF('Data BoP'!$AQ56=0,"",(('Data BoP'!J53)+('Data BoP'!J54)+('Data BoP'!J55)+('Data BoP'!J56))/'Data BoP'!$AQ56)</f>
        <v>-0.0165629539488501</v>
      </c>
      <c r="F57" s="18" t="n">
        <f aca="false">IF('Data BoP'!$AQ56=0,"",(('Data BoP'!M53)+('Data BoP'!M54)+('Data BoP'!M55)+('Data BoP'!M56))/'Data BoP'!$AQ56)</f>
        <v>-0.0313892411581208</v>
      </c>
      <c r="G57" s="18" t="n">
        <f aca="false">IF('Data BoP'!$AQ56=0,"",(('Data BoP'!S53)+('Data BoP'!S54)+('Data BoP'!S55)+('Data BoP'!S56))/'Data BoP'!$AQ56)</f>
        <v>0.00144094827699482</v>
      </c>
      <c r="H57" s="18" t="n">
        <f aca="false">IF('Data BoP'!$AQ56=0,"",(('Data BoP'!U53)+('Data BoP'!U54)+('Data BoP'!U55)+('Data BoP'!U56))/'Data BoP'!$AQ56)</f>
        <v>-0.0595421322553739</v>
      </c>
      <c r="I57" s="18" t="n">
        <f aca="false">IF('Data BoP'!$AQ56=0,"",(('Data BoP'!Y53+'Data BoP'!Z53)+('Data BoP'!Y54+'Data BoP'!Z54)+('Data BoP'!Y55+'Data BoP'!Z55)+('Data BoP'!Y56+'Data BoP'!Z56))/'Data BoP'!$AQ56)</f>
        <v>0.0186531347593805</v>
      </c>
      <c r="J57" s="18" t="n">
        <f aca="false">IF('Data BoP'!$AQ56=0,"",(('Data BoP'!AD53+'Data BoP'!AE53)+('Data BoP'!AD54+'Data BoP'!AE54)+('Data BoP'!AD55+'Data BoP'!AE55)+('Data BoP'!AD56+'Data BoP'!AE56))/'Data BoP'!$AQ56)</f>
        <v>0.0448590232119296</v>
      </c>
      <c r="K57" s="18" t="n">
        <f aca="false">IF('Data BoP'!$AQ56=0,"",(('Data BoP'!AL53)+('Data BoP'!AL54)+('Data BoP'!AL55)+('Data BoP'!AL56))/'Data BoP'!$AQ56)</f>
        <v>0.0519821278739682</v>
      </c>
      <c r="L57" s="18" t="n">
        <f aca="false">IF('Data BoP'!$AQ56=0,"",(('Data BoP'!W53+'Data BoP'!X53+'Data BoP'!AB53+'Data BoP'!AC53+'Data BoP'!AH53)+('Data BoP'!W54+'Data BoP'!X54+'Data BoP'!AB54+'Data BoP'!AC54+'Data BoP'!AH54)+('Data BoP'!W55+'Data BoP'!X55+'Data BoP'!AB55+'Data BoP'!AC55+'Data BoP'!AH55)+('Data BoP'!W56+'Data BoP'!X56+'Data BoP'!AB56+'Data BoP'!AC56+'Data BoP'!AH56))/'Data BoP'!$AQ56)</f>
        <v>0.0573417357589817</v>
      </c>
      <c r="M57" s="18" t="n">
        <f aca="false">IF('Data BoP'!$AQ56=0,"",(('Data BoP'!AK53)+('Data BoP'!AK54)+('Data BoP'!AK55)+('Data BoP'!AK56))/'Data BoP'!$AQ56)</f>
        <v>-0.00225191420530728</v>
      </c>
      <c r="N57" s="18" t="n">
        <f aca="false">IF('Data BoP'!$AQ56=0,"",(('Data BoP'!AJ53)+('Data BoP'!AJ54)+('Data BoP'!AJ55)+('Data BoP'!AJ56))/'Data BoP'!$AQ56)</f>
        <v>-0.00143179996800553</v>
      </c>
      <c r="O57" s="19" t="n">
        <f aca="false">'Data BoP'!$AQ56</f>
        <v>597910.626801014</v>
      </c>
    </row>
    <row r="58" customFormat="false" ht="15" hidden="false" customHeight="false" outlineLevel="0" collapsed="false">
      <c r="B58" s="14" t="str">
        <f aca="false">'Data BoP'!B57</f>
        <v>2018-Q4</v>
      </c>
      <c r="C58" s="18" t="n">
        <f aca="false">IF('Data BoP'!$AQ57=0,"",(('Data BoP'!E54)+('Data BoP'!E55)+('Data BoP'!E56)+('Data BoP'!E57))/'Data BoP'!$AQ57)</f>
        <v>-0.0497591786842153</v>
      </c>
      <c r="D58" s="18" t="n">
        <f aca="false">IF('Data BoP'!$AQ57=0,"",(('Data BoP'!G54)+('Data BoP'!G55)+('Data BoP'!G56)+('Data BoP'!G57))/'Data BoP'!$AQ57)</f>
        <v>-0.00136549018717086</v>
      </c>
      <c r="E58" s="18" t="n">
        <f aca="false">IF('Data BoP'!$AQ57=0,"",(('Data BoP'!J54)+('Data BoP'!J55)+('Data BoP'!J56)+('Data BoP'!J57))/'Data BoP'!$AQ57)</f>
        <v>-0.0164162622566742</v>
      </c>
      <c r="F58" s="18" t="n">
        <f aca="false">IF('Data BoP'!$AQ57=0,"",(('Data BoP'!M54)+('Data BoP'!M55)+('Data BoP'!M56)+('Data BoP'!M57))/'Data BoP'!$AQ57)</f>
        <v>-0.0342650135949366</v>
      </c>
      <c r="G58" s="18" t="n">
        <f aca="false">IF('Data BoP'!$AQ57=0,"",(('Data BoP'!S54)+('Data BoP'!S55)+('Data BoP'!S56)+('Data BoP'!S57))/'Data BoP'!$AQ57)</f>
        <v>0.00228758735456634</v>
      </c>
      <c r="H58" s="18" t="n">
        <f aca="false">IF('Data BoP'!$AQ57=0,"",(('Data BoP'!U54)+('Data BoP'!U55)+('Data BoP'!U56)+('Data BoP'!U57))/'Data BoP'!$AQ57)</f>
        <v>-0.05150862823651</v>
      </c>
      <c r="I58" s="18" t="n">
        <f aca="false">IF('Data BoP'!$AQ57=0,"",(('Data BoP'!Y54+'Data BoP'!Z54)+('Data BoP'!Y55+'Data BoP'!Z55)+('Data BoP'!Y56+'Data BoP'!Z56)+('Data BoP'!Y57+'Data BoP'!Z57))/'Data BoP'!$AQ57)</f>
        <v>0.0215265586607452</v>
      </c>
      <c r="J58" s="18" t="n">
        <f aca="false">IF('Data BoP'!$AQ57=0,"",(('Data BoP'!AD54+'Data BoP'!AE54)+('Data BoP'!AD55+'Data BoP'!AE55)+('Data BoP'!AD56+'Data BoP'!AE56)+('Data BoP'!AD57+'Data BoP'!AE57))/'Data BoP'!$AQ57)</f>
        <v>0.0240506684141426</v>
      </c>
      <c r="K58" s="18" t="n">
        <f aca="false">IF('Data BoP'!$AQ57=0,"",(('Data BoP'!AL54)+('Data BoP'!AL55)+('Data BoP'!AL56)+('Data BoP'!AL57))/'Data BoP'!$AQ57)</f>
        <v>0.0881558709999919</v>
      </c>
      <c r="L58" s="18" t="n">
        <f aca="false">IF('Data BoP'!$AQ57=0,"",(('Data BoP'!W54+'Data BoP'!X54+'Data BoP'!AB54+'Data BoP'!AC54+'Data BoP'!AH54)+('Data BoP'!W55+'Data BoP'!X55+'Data BoP'!AB55+'Data BoP'!AC55+'Data BoP'!AH55)+('Data BoP'!W56+'Data BoP'!X56+'Data BoP'!AB56+'Data BoP'!AC56+'Data BoP'!AH56)+('Data BoP'!W57+'Data BoP'!X57+'Data BoP'!AB57+'Data BoP'!AC57+'Data BoP'!AH57))/'Data BoP'!$AQ57)</f>
        <v>0.061565064239938</v>
      </c>
      <c r="M58" s="18" t="n">
        <f aca="false">IF('Data BoP'!$AQ57=0,"",(('Data BoP'!AK54)+('Data BoP'!AK55)+('Data BoP'!AK56)+('Data BoP'!AK57))/'Data BoP'!$AQ57)</f>
        <v>-0.00195352232079884</v>
      </c>
      <c r="N58" s="18" t="n">
        <f aca="false">IF('Data BoP'!$AQ57=0,"",(('Data BoP'!AJ54)+('Data BoP'!AJ55)+('Data BoP'!AJ56)+('Data BoP'!AJ57))/'Data BoP'!$AQ57)</f>
        <v>0.0207183974446009</v>
      </c>
      <c r="O58" s="19" t="n">
        <f aca="false">'Data BoP'!$AQ57</f>
        <v>544293.679422175</v>
      </c>
    </row>
    <row r="59" customFormat="false" ht="15" hidden="false" customHeight="false" outlineLevel="0" collapsed="false">
      <c r="B59" s="14" t="str">
        <f aca="false">'Data BoP'!B58</f>
        <v>2019-Q1</v>
      </c>
      <c r="C59" s="18" t="n">
        <f aca="false">IF('Data BoP'!$AQ58=0,"",(('Data BoP'!E55)+('Data BoP'!E56)+('Data BoP'!E57)+('Data BoP'!E58))/'Data BoP'!$AQ58)</f>
        <v>-0.0423809082818251</v>
      </c>
      <c r="D59" s="18" t="n">
        <f aca="false">IF('Data BoP'!$AQ58=0,"",(('Data BoP'!G55)+('Data BoP'!G56)+('Data BoP'!G57)+('Data BoP'!G58))/'Data BoP'!$AQ58)</f>
        <v>0.00696643318523149</v>
      </c>
      <c r="E59" s="18" t="n">
        <f aca="false">IF('Data BoP'!$AQ58=0,"",(('Data BoP'!J55)+('Data BoP'!J56)+('Data BoP'!J57)+('Data BoP'!J58))/'Data BoP'!$AQ58)</f>
        <v>-0.0145449129977635</v>
      </c>
      <c r="F59" s="18" t="n">
        <f aca="false">IF('Data BoP'!$AQ58=0,"",(('Data BoP'!M55)+('Data BoP'!M56)+('Data BoP'!M57)+('Data BoP'!M58))/'Data BoP'!$AQ58)</f>
        <v>-0.0375589981086202</v>
      </c>
      <c r="G59" s="18" t="n">
        <f aca="false">IF('Data BoP'!$AQ58=0,"",(('Data BoP'!S55)+('Data BoP'!S56)+('Data BoP'!S57)+('Data BoP'!S58))/'Data BoP'!$AQ58)</f>
        <v>0.00275656963932705</v>
      </c>
      <c r="H59" s="18" t="n">
        <f aca="false">IF('Data BoP'!$AQ58=0,"",(('Data BoP'!U55)+('Data BoP'!U56)+('Data BoP'!U57)+('Data BoP'!U58))/'Data BoP'!$AQ58)</f>
        <v>-0.0444013843238876</v>
      </c>
      <c r="I59" s="18" t="n">
        <f aca="false">IF('Data BoP'!$AQ58=0,"",(('Data BoP'!Y55+'Data BoP'!Z55)+('Data BoP'!Y56+'Data BoP'!Z56)+('Data BoP'!Y57+'Data BoP'!Z57)+('Data BoP'!Y58+'Data BoP'!Z58))/'Data BoP'!$AQ58)</f>
        <v>0.0223579187084617</v>
      </c>
      <c r="J59" s="18" t="n">
        <f aca="false">IF('Data BoP'!$AQ58=0,"",(('Data BoP'!AD55+'Data BoP'!AE55)+('Data BoP'!AD56+'Data BoP'!AE56)+('Data BoP'!AD57+'Data BoP'!AE57)+('Data BoP'!AD58+'Data BoP'!AE58))/'Data BoP'!$AQ58)</f>
        <v>-0.00517101985253054</v>
      </c>
      <c r="K59" s="18" t="n">
        <f aca="false">IF('Data BoP'!$AQ58=0,"",(('Data BoP'!AL55)+('Data BoP'!AL56)+('Data BoP'!AL57)+('Data BoP'!AL58))/'Data BoP'!$AQ58)</f>
        <v>0.0932139837453161</v>
      </c>
      <c r="L59" s="18" t="n">
        <f aca="false">IF('Data BoP'!$AQ58=0,"",(('Data BoP'!W55+'Data BoP'!X55+'Data BoP'!AB55+'Data BoP'!AC55+'Data BoP'!AH55)+('Data BoP'!W56+'Data BoP'!X56+'Data BoP'!AB56+'Data BoP'!AC56+'Data BoP'!AH56)+('Data BoP'!W57+'Data BoP'!X57+'Data BoP'!AB57+'Data BoP'!AC57+'Data BoP'!AH57)+('Data BoP'!W58+'Data BoP'!X58+'Data BoP'!AB58+'Data BoP'!AC58+'Data BoP'!AH58))/'Data BoP'!$AQ58)</f>
        <v>0.0558672819438362</v>
      </c>
      <c r="M59" s="18" t="n">
        <f aca="false">IF('Data BoP'!$AQ58=0,"",(('Data BoP'!AK55)+('Data BoP'!AK56)+('Data BoP'!AK57)+('Data BoP'!AK58))/'Data BoP'!$AQ58)</f>
        <v>-0.00227023717209776</v>
      </c>
      <c r="N59" s="18" t="n">
        <f aca="false">IF('Data BoP'!$AQ58=0,"",(('Data BoP'!AJ55)+('Data BoP'!AJ56)+('Data BoP'!AJ57)+('Data BoP'!AJ58))/'Data BoP'!$AQ58)</f>
        <v>0.0101909604375046</v>
      </c>
      <c r="O59" s="19" t="n">
        <f aca="false">'Data BoP'!$AQ58</f>
        <v>498358.375621834</v>
      </c>
    </row>
    <row r="60" customFormat="false" ht="15" hidden="false" customHeight="false" outlineLevel="0" collapsed="false">
      <c r="B60" s="14" t="str">
        <f aca="false">'Data BoP'!B59</f>
        <v>2019-Q2</v>
      </c>
      <c r="C60" s="18" t="n">
        <f aca="false">IF('Data BoP'!$AQ59=0,"",(('Data BoP'!E56)+('Data BoP'!E57)+('Data BoP'!E58)+('Data BoP'!E59))/'Data BoP'!$AQ59)</f>
        <v>-0.0311418454180893</v>
      </c>
      <c r="D60" s="18" t="n">
        <f aca="false">IF('Data BoP'!$AQ59=0,"",(('Data BoP'!G56)+('Data BoP'!G57)+('Data BoP'!G58)+('Data BoP'!G59))/'Data BoP'!$AQ59)</f>
        <v>0.0201716229827065</v>
      </c>
      <c r="E60" s="18" t="n">
        <f aca="false">IF('Data BoP'!$AQ59=0,"",(('Data BoP'!J56)+('Data BoP'!J57)+('Data BoP'!J58)+('Data BoP'!J59))/'Data BoP'!$AQ59)</f>
        <v>-0.012894027619215</v>
      </c>
      <c r="F60" s="18" t="n">
        <f aca="false">IF('Data BoP'!$AQ59=0,"",(('Data BoP'!M56)+('Data BoP'!M57)+('Data BoP'!M58)+('Data BoP'!M59))/'Data BoP'!$AQ59)</f>
        <v>-0.0406052616964929</v>
      </c>
      <c r="G60" s="18" t="n">
        <f aca="false">IF('Data BoP'!$AQ59=0,"",(('Data BoP'!S56)+('Data BoP'!S57)+('Data BoP'!S58)+('Data BoP'!S59))/'Data BoP'!$AQ59)</f>
        <v>0.00218582091491207</v>
      </c>
      <c r="H60" s="18" t="n">
        <f aca="false">IF('Data BoP'!$AQ59=0,"",(('Data BoP'!U56)+('Data BoP'!U57)+('Data BoP'!U58)+('Data BoP'!U59))/'Data BoP'!$AQ59)</f>
        <v>-0.0332911543250517</v>
      </c>
      <c r="I60" s="18" t="n">
        <f aca="false">IF('Data BoP'!$AQ59=0,"",(('Data BoP'!Y56+'Data BoP'!Z56)+('Data BoP'!Y57+'Data BoP'!Z57)+('Data BoP'!Y58+'Data BoP'!Z58)+('Data BoP'!Y59+'Data BoP'!Z59))/'Data BoP'!$AQ59)</f>
        <v>0.0197569928982792</v>
      </c>
      <c r="J60" s="18" t="n">
        <f aca="false">IF('Data BoP'!$AQ59=0,"",(('Data BoP'!AD56+'Data BoP'!AE56)+('Data BoP'!AD57+'Data BoP'!AE57)+('Data BoP'!AD58+'Data BoP'!AE58)+('Data BoP'!AD59+'Data BoP'!AE59))/'Data BoP'!$AQ59)</f>
        <v>-0.0128026725527661</v>
      </c>
      <c r="K60" s="18" t="n">
        <f aca="false">IF('Data BoP'!$AQ59=0,"",(('Data BoP'!AL56)+('Data BoP'!AL57)+('Data BoP'!AL58)+('Data BoP'!AL59))/'Data BoP'!$AQ59)</f>
        <v>0.0822730301308913</v>
      </c>
      <c r="L60" s="18" t="n">
        <f aca="false">IF('Data BoP'!$AQ59=0,"",(('Data BoP'!W56+'Data BoP'!X56+'Data BoP'!AB56+'Data BoP'!AC56+'Data BoP'!AH56)+('Data BoP'!W57+'Data BoP'!X57+'Data BoP'!AB57+'Data BoP'!AC57+'Data BoP'!AH57)+('Data BoP'!W58+'Data BoP'!X58+'Data BoP'!AB58+'Data BoP'!AC58+'Data BoP'!AH58)+('Data BoP'!W59+'Data BoP'!X59+'Data BoP'!AB59+'Data BoP'!AC59+'Data BoP'!AH59))/'Data BoP'!$AQ59)</f>
        <v>0.0505777757044159</v>
      </c>
      <c r="M60" s="18" t="n">
        <f aca="false">IF('Data BoP'!$AQ59=0,"",(('Data BoP'!AK56)+('Data BoP'!AK57)+('Data BoP'!AK58)+('Data BoP'!AK59))/'Data BoP'!$AQ59)</f>
        <v>-0.00267051180627365</v>
      </c>
      <c r="N60" s="18" t="n">
        <f aca="false">IF('Data BoP'!$AQ59=0,"",(('Data BoP'!AJ56)+('Data BoP'!AJ57)+('Data BoP'!AJ58)+('Data BoP'!AJ59))/'Data BoP'!$AQ59)</f>
        <v>0.00550842013540123</v>
      </c>
      <c r="O60" s="19" t="n">
        <f aca="false">'Data BoP'!$AQ59</f>
        <v>465559.693670219</v>
      </c>
    </row>
    <row r="61" customFormat="false" ht="15" hidden="false" customHeight="false" outlineLevel="0" collapsed="false">
      <c r="B61" s="14" t="str">
        <f aca="false">'Data BoP'!B60</f>
        <v>2019-Q3</v>
      </c>
      <c r="C61" s="18" t="n">
        <f aca="false">IF('Data BoP'!$AQ60=0,"",(('Data BoP'!E57)+('Data BoP'!E58)+('Data BoP'!E59)+('Data BoP'!E60))/'Data BoP'!$AQ60)</f>
        <v>-0.0174013304177181</v>
      </c>
      <c r="D61" s="18" t="n">
        <f aca="false">IF('Data BoP'!$AQ60=0,"",(('Data BoP'!G57)+('Data BoP'!G58)+('Data BoP'!G59)+('Data BoP'!G60))/'Data BoP'!$AQ60)</f>
        <v>0.0319829084935058</v>
      </c>
      <c r="E61" s="18" t="n">
        <f aca="false">IF('Data BoP'!$AQ60=0,"",(('Data BoP'!J57)+('Data BoP'!J58)+('Data BoP'!J59)+('Data BoP'!J60))/'Data BoP'!$AQ60)</f>
        <v>-0.0116807546213825</v>
      </c>
      <c r="F61" s="18" t="n">
        <f aca="false">IF('Data BoP'!$AQ60=0,"",(('Data BoP'!M57)+('Data BoP'!M58)+('Data BoP'!M59)+('Data BoP'!M60))/'Data BoP'!$AQ60)</f>
        <v>-0.0399019181203606</v>
      </c>
      <c r="G61" s="18" t="n">
        <f aca="false">IF('Data BoP'!$AQ60=0,"",(('Data BoP'!S57)+('Data BoP'!S58)+('Data BoP'!S59)+('Data BoP'!S60))/'Data BoP'!$AQ60)</f>
        <v>0.00219843383051919</v>
      </c>
      <c r="H61" s="18" t="n">
        <f aca="false">IF('Data BoP'!$AQ60=0,"",(('Data BoP'!U57)+('Data BoP'!U58)+('Data BoP'!U59)+('Data BoP'!U60))/'Data BoP'!$AQ60)</f>
        <v>-0.0201084646522106</v>
      </c>
      <c r="I61" s="18" t="n">
        <f aca="false">IF('Data BoP'!$AQ60=0,"",(('Data BoP'!Y57+'Data BoP'!Z57)+('Data BoP'!Y58+'Data BoP'!Z58)+('Data BoP'!Y59+'Data BoP'!Z59)+('Data BoP'!Y60+'Data BoP'!Z60))/'Data BoP'!$AQ60)</f>
        <v>0.0167421587431975</v>
      </c>
      <c r="J61" s="18" t="n">
        <f aca="false">IF('Data BoP'!$AQ60=0,"",(('Data BoP'!AD57+'Data BoP'!AE57)+('Data BoP'!AD58+'Data BoP'!AE58)+('Data BoP'!AD59+'Data BoP'!AE59)+('Data BoP'!AD60+'Data BoP'!AE60))/'Data BoP'!$AQ60)</f>
        <v>-0.0119054546568431</v>
      </c>
      <c r="K61" s="18" t="n">
        <f aca="false">IF('Data BoP'!$AQ60=0,"",(('Data BoP'!AL57)+('Data BoP'!AL58)+('Data BoP'!AL59)+('Data BoP'!AL60))/'Data BoP'!$AQ60)</f>
        <v>0.0834480387507944</v>
      </c>
      <c r="L61" s="18" t="n">
        <f aca="false">IF('Data BoP'!$AQ60=0,"",(('Data BoP'!W57+'Data BoP'!X57+'Data BoP'!AB57+'Data BoP'!AC57+'Data BoP'!AH57)+('Data BoP'!W58+'Data BoP'!X58+'Data BoP'!AB58+'Data BoP'!AC58+'Data BoP'!AH58)+('Data BoP'!W59+'Data BoP'!X59+'Data BoP'!AB59+'Data BoP'!AC59+'Data BoP'!AH59)+('Data BoP'!W60+'Data BoP'!X60+'Data BoP'!AB60+'Data BoP'!AC60+'Data BoP'!AH60))/'Data BoP'!$AQ60)</f>
        <v>0.0682613178175367</v>
      </c>
      <c r="M61" s="18" t="n">
        <f aca="false">IF('Data BoP'!$AQ60=0,"",(('Data BoP'!AK57)+('Data BoP'!AK58)+('Data BoP'!AK59)+('Data BoP'!AK60))/'Data BoP'!$AQ60)</f>
        <v>-0.00330990322054931</v>
      </c>
      <c r="N61" s="18" t="n">
        <f aca="false">IF('Data BoP'!$AQ60=0,"",(('Data BoP'!AJ57)+('Data BoP'!AJ58)+('Data BoP'!AJ59)+('Data BoP'!AJ60))/'Data BoP'!$AQ60)</f>
        <v>6.14699591489167E-005</v>
      </c>
      <c r="O61" s="19" t="n">
        <f aca="false">'Data BoP'!$AQ60</f>
        <v>456750.481755793</v>
      </c>
    </row>
    <row r="62" customFormat="false" ht="15" hidden="false" customHeight="false" outlineLevel="0" collapsed="false">
      <c r="B62" s="14" t="str">
        <f aca="false">'Data BoP'!B61</f>
        <v>2019-Q4</v>
      </c>
      <c r="C62" s="18" t="n">
        <f aca="false">IF('Data BoP'!$AQ61=0,"",(('Data BoP'!E58)+('Data BoP'!E59)+('Data BoP'!E60)+('Data BoP'!E61))/'Data BoP'!$AQ61)</f>
        <v>-0.00776836037296342</v>
      </c>
      <c r="D62" s="18" t="n">
        <f aca="false">IF('Data BoP'!$AQ61=0,"",(('Data BoP'!G58)+('Data BoP'!G59)+('Data BoP'!G60)+('Data BoP'!G61))/'Data BoP'!$AQ61)</f>
        <v>0.0405574696935125</v>
      </c>
      <c r="E62" s="18" t="n">
        <f aca="false">IF('Data BoP'!$AQ61=0,"",(('Data BoP'!J58)+('Data BoP'!J59)+('Data BoP'!J60)+('Data BoP'!J61))/'Data BoP'!$AQ61)</f>
        <v>-0.010772723385137</v>
      </c>
      <c r="F62" s="18" t="n">
        <f aca="false">IF('Data BoP'!$AQ61=0,"",(('Data BoP'!M58)+('Data BoP'!M59)+('Data BoP'!M60)+('Data BoP'!M61))/'Data BoP'!$AQ61)</f>
        <v>-0.0394418467772148</v>
      </c>
      <c r="G62" s="18" t="n">
        <f aca="false">IF('Data BoP'!$AQ61=0,"",(('Data BoP'!S58)+('Data BoP'!S59)+('Data BoP'!S60)+('Data BoP'!S61))/'Data BoP'!$AQ61)</f>
        <v>0.00188874009587588</v>
      </c>
      <c r="H62" s="18" t="n">
        <f aca="false">IF('Data BoP'!$AQ61=0,"",(('Data BoP'!U58)+('Data BoP'!U59)+('Data BoP'!U60)+('Data BoP'!U61))/'Data BoP'!$AQ61)</f>
        <v>-0.011386838138955</v>
      </c>
      <c r="I62" s="18" t="n">
        <f aca="false">IF('Data BoP'!$AQ61=0,"",(('Data BoP'!Y58+'Data BoP'!Z58)+('Data BoP'!Y59+'Data BoP'!Z59)+('Data BoP'!Y60+'Data BoP'!Z60)+('Data BoP'!Y61+'Data BoP'!Z61))/'Data BoP'!$AQ61)</f>
        <v>0.0147898609322623</v>
      </c>
      <c r="J62" s="18" t="n">
        <f aca="false">IF('Data BoP'!$AQ61=0,"",(('Data BoP'!AD58+'Data BoP'!AE58)+('Data BoP'!AD59+'Data BoP'!AE59)+('Data BoP'!AD60+'Data BoP'!AE60)+('Data BoP'!AD61+'Data BoP'!AE61))/'Data BoP'!$AQ61)</f>
        <v>-0.0111309167051401</v>
      </c>
      <c r="K62" s="18" t="n">
        <f aca="false">IF('Data BoP'!$AQ61=0,"",(('Data BoP'!AL58)+('Data BoP'!AL59)+('Data BoP'!AL60)+('Data BoP'!AL61))/'Data BoP'!$AQ61)</f>
        <v>0.0377148284379258</v>
      </c>
      <c r="L62" s="18" t="n">
        <f aca="false">IF('Data BoP'!$AQ61=0,"",(('Data BoP'!W58+'Data BoP'!X58+'Data BoP'!AB58+'Data BoP'!AC58+'Data BoP'!AH58)+('Data BoP'!W59+'Data BoP'!X59+'Data BoP'!AB59+'Data BoP'!AC59+'Data BoP'!AH59)+('Data BoP'!W60+'Data BoP'!X60+'Data BoP'!AB60+'Data BoP'!AC60+'Data BoP'!AH60)+('Data BoP'!W61+'Data BoP'!X61+'Data BoP'!AB61+'Data BoP'!AC61+'Data BoP'!AH61))/'Data BoP'!$AQ61)</f>
        <v>0.077584646560879</v>
      </c>
      <c r="M62" s="18" t="n">
        <f aca="false">IF('Data BoP'!$AQ61=0,"",(('Data BoP'!AK58)+('Data BoP'!AK59)+('Data BoP'!AK60)+('Data BoP'!AK61))/'Data BoP'!$AQ61)</f>
        <v>-0.00425006483907504</v>
      </c>
      <c r="N62" s="18" t="n">
        <f aca="false">IF('Data BoP'!$AQ61=0,"",(('Data BoP'!AJ58)+('Data BoP'!AJ59)+('Data BoP'!AJ60)+('Data BoP'!AJ61))/'Data BoP'!$AQ61)</f>
        <v>-0.0475436605464101</v>
      </c>
      <c r="O62" s="19" t="n">
        <f aca="false">'Data BoP'!$AQ61</f>
        <v>449577.441494506</v>
      </c>
    </row>
    <row r="63" customFormat="false" ht="15" hidden="false" customHeight="false" outlineLevel="0" collapsed="false">
      <c r="B63" s="14" t="str">
        <f aca="false">'Data BoP'!B62</f>
        <v>2020-Q1</v>
      </c>
      <c r="C63" s="18" t="n">
        <f aca="false">IF('Data BoP'!$AQ62=0,"",(('Data BoP'!E59)+('Data BoP'!E60)+('Data BoP'!E61)+('Data BoP'!E62))/'Data BoP'!$AQ62)</f>
        <v>0.000132844733003676</v>
      </c>
      <c r="D63" s="18" t="n">
        <f aca="false">IF('Data BoP'!$AQ62=0,"",(('Data BoP'!G59)+('Data BoP'!G60)+('Data BoP'!G61)+('Data BoP'!G62))/'Data BoP'!$AQ62)</f>
        <v>0.0446680000470967</v>
      </c>
      <c r="E63" s="18" t="n">
        <f aca="false">IF('Data BoP'!$AQ62=0,"",(('Data BoP'!J59)+('Data BoP'!J60)+('Data BoP'!J61)+('Data BoP'!J62))/'Data BoP'!$AQ62)</f>
        <v>-0.00938244715915877</v>
      </c>
      <c r="F63" s="18" t="n">
        <f aca="false">IF('Data BoP'!$AQ62=0,"",(('Data BoP'!M59)+('Data BoP'!M60)+('Data BoP'!M61)+('Data BoP'!M62))/'Data BoP'!$AQ62)</f>
        <v>-0.0370419397032943</v>
      </c>
      <c r="G63" s="18" t="n">
        <f aca="false">IF('Data BoP'!$AQ62=0,"",(('Data BoP'!S59)+('Data BoP'!S60)+('Data BoP'!S61)+('Data BoP'!S62))/'Data BoP'!$AQ62)</f>
        <v>0.00188923154836003</v>
      </c>
      <c r="H63" s="18" t="n">
        <f aca="false">IF('Data BoP'!$AQ62=0,"",(('Data BoP'!U59)+('Data BoP'!U60)+('Data BoP'!U61)+('Data BoP'!U62))/'Data BoP'!$AQ62)</f>
        <v>-0.00453686933026196</v>
      </c>
      <c r="I63" s="18" t="n">
        <f aca="false">IF('Data BoP'!$AQ62=0,"",(('Data BoP'!Y59+'Data BoP'!Z59)+('Data BoP'!Y60+'Data BoP'!Z60)+('Data BoP'!Y61+'Data BoP'!Z61)+('Data BoP'!Y62+'Data BoP'!Z62))/'Data BoP'!$AQ62)</f>
        <v>0.0139244892101613</v>
      </c>
      <c r="J63" s="18" t="n">
        <f aca="false">IF('Data BoP'!$AQ62=0,"",(('Data BoP'!AD59+'Data BoP'!AE59)+('Data BoP'!AD60+'Data BoP'!AE60)+('Data BoP'!AD61+'Data BoP'!AE61)+('Data BoP'!AD62+'Data BoP'!AE62))/'Data BoP'!$AQ62)</f>
        <v>-0.0159193367637795</v>
      </c>
      <c r="K63" s="18" t="n">
        <f aca="false">IF('Data BoP'!$AQ62=0,"",(('Data BoP'!AL59)+('Data BoP'!AL60)+('Data BoP'!AL61)+('Data BoP'!AL62))/'Data BoP'!$AQ62)</f>
        <v>0.0292696706242837</v>
      </c>
      <c r="L63" s="18" t="n">
        <f aca="false">IF('Data BoP'!$AQ62=0,"",(('Data BoP'!W59+'Data BoP'!X59+'Data BoP'!AB59+'Data BoP'!AC59+'Data BoP'!AH59)+('Data BoP'!W60+'Data BoP'!X60+'Data BoP'!AB60+'Data BoP'!AC60+'Data BoP'!AH60)+('Data BoP'!W61+'Data BoP'!X61+'Data BoP'!AB61+'Data BoP'!AC61+'Data BoP'!AH61)+('Data BoP'!W62+'Data BoP'!X62+'Data BoP'!AB62+'Data BoP'!AC62+'Data BoP'!AH62))/'Data BoP'!$AQ62)</f>
        <v>0.073803931613322</v>
      </c>
      <c r="M63" s="18" t="n">
        <f aca="false">IF('Data BoP'!$AQ62=0,"",(('Data BoP'!AK59)+('Data BoP'!AK60)+('Data BoP'!AK61)+('Data BoP'!AK62))/'Data BoP'!$AQ62)</f>
        <v>-0.00532806458336442</v>
      </c>
      <c r="N63" s="18" t="n">
        <f aca="false">IF('Data BoP'!$AQ62=0,"",(('Data BoP'!AJ59)+('Data BoP'!AJ60)+('Data BoP'!AJ61)+('Data BoP'!AJ62))/'Data BoP'!$AQ62)</f>
        <v>-0.0510658747906026</v>
      </c>
      <c r="O63" s="19" t="n">
        <f aca="false">'Data BoP'!$AQ62</f>
        <v>439010.95553717</v>
      </c>
    </row>
    <row r="64" customFormat="false" ht="15" hidden="false" customHeight="false" outlineLevel="0" collapsed="false">
      <c r="B64" s="14" t="str">
        <f aca="false">'Data BoP'!B63</f>
        <v>2020-Q2</v>
      </c>
      <c r="C64" s="18" t="n">
        <f aca="false">IF('Data BoP'!$AQ63=0,"",(('Data BoP'!E60)+('Data BoP'!E61)+('Data BoP'!E62)+('Data BoP'!E63))/'Data BoP'!$AQ63)</f>
        <v>0.0116317426225548</v>
      </c>
      <c r="D64" s="18" t="n">
        <f aca="false">IF('Data BoP'!$AQ63=0,"",(('Data BoP'!G60)+('Data BoP'!G61)+('Data BoP'!G62)+('Data BoP'!G63))/'Data BoP'!$AQ63)</f>
        <v>0.0509340443364326</v>
      </c>
      <c r="E64" s="18" t="n">
        <f aca="false">IF('Data BoP'!$AQ63=0,"",(('Data BoP'!J60)+('Data BoP'!J61)+('Data BoP'!J62)+('Data BoP'!J63))/'Data BoP'!$AQ63)</f>
        <v>-0.00767422465840019</v>
      </c>
      <c r="F64" s="18" t="n">
        <f aca="false">IF('Data BoP'!$AQ63=0,"",(('Data BoP'!M60)+('Data BoP'!M61)+('Data BoP'!M62)+('Data BoP'!M63))/'Data BoP'!$AQ63)</f>
        <v>-0.0343931631729864</v>
      </c>
      <c r="G64" s="18" t="n">
        <f aca="false">IF('Data BoP'!$AQ63=0,"",(('Data BoP'!S60)+('Data BoP'!S61)+('Data BoP'!S62)+('Data BoP'!S63))/'Data BoP'!$AQ63)</f>
        <v>0.00276508611750871</v>
      </c>
      <c r="H64" s="18" t="n">
        <f aca="false">IF('Data BoP'!$AQ63=0,"",(('Data BoP'!U60)+('Data BoP'!U61)+('Data BoP'!U62)+('Data BoP'!U63))/'Data BoP'!$AQ63)</f>
        <v>0.0103358801996922</v>
      </c>
      <c r="I64" s="18" t="n">
        <f aca="false">IF('Data BoP'!$AQ63=0,"",(('Data BoP'!Y60+'Data BoP'!Z60)+('Data BoP'!Y61+'Data BoP'!Z61)+('Data BoP'!Y62+'Data BoP'!Z62)+('Data BoP'!Y63+'Data BoP'!Z63))/'Data BoP'!$AQ63)</f>
        <v>0.0129696718383782</v>
      </c>
      <c r="J64" s="18" t="n">
        <f aca="false">IF('Data BoP'!$AQ63=0,"",(('Data BoP'!AD60+'Data BoP'!AE60)+('Data BoP'!AD61+'Data BoP'!AE61)+('Data BoP'!AD62+'Data BoP'!AE62)+('Data BoP'!AD63+'Data BoP'!AE63))/'Data BoP'!$AQ63)</f>
        <v>-0.0104074181804694</v>
      </c>
      <c r="K64" s="18" t="n">
        <f aca="false">IF('Data BoP'!$AQ63=0,"",(('Data BoP'!AL60)+('Data BoP'!AL61)+('Data BoP'!AL62)+('Data BoP'!AL63))/'Data BoP'!$AQ63)</f>
        <v>0.00146975674733845</v>
      </c>
      <c r="L64" s="18" t="n">
        <f aca="false">IF('Data BoP'!$AQ63=0,"",(('Data BoP'!W60+'Data BoP'!X60+'Data BoP'!AB60+'Data BoP'!AC60+'Data BoP'!AH60)+('Data BoP'!W61+'Data BoP'!X61+'Data BoP'!AB61+'Data BoP'!AC61+'Data BoP'!AH61)+('Data BoP'!W62+'Data BoP'!X62+'Data BoP'!AB62+'Data BoP'!AC62+'Data BoP'!AH62)+('Data BoP'!W63+'Data BoP'!X63+'Data BoP'!AB63+'Data BoP'!AC63+'Data BoP'!AH63))/'Data BoP'!$AQ63)</f>
        <v>0.0669282771917012</v>
      </c>
      <c r="M64" s="18" t="n">
        <f aca="false">IF('Data BoP'!$AQ63=0,"",(('Data BoP'!AK60)+('Data BoP'!AK61)+('Data BoP'!AK62)+('Data BoP'!AK63))/'Data BoP'!$AQ63)</f>
        <v>-0.00174179298197161</v>
      </c>
      <c r="N64" s="18" t="n">
        <f aca="false">IF('Data BoP'!$AQ63=0,"",(('Data BoP'!AJ60)+('Data BoP'!AJ61)+('Data BoP'!AJ62)+('Data BoP'!AJ63))/'Data BoP'!$AQ63)</f>
        <v>-0.0526791953153654</v>
      </c>
      <c r="O64" s="19" t="n">
        <f aca="false">'Data BoP'!$AQ63</f>
        <v>406950.150869209</v>
      </c>
    </row>
    <row r="65" customFormat="false" ht="15" hidden="false" customHeight="false" outlineLevel="0" collapsed="false">
      <c r="B65" s="14" t="str">
        <f aca="false">'Data BoP'!B64</f>
        <v>2020-Q3</v>
      </c>
      <c r="C65" s="18" t="n">
        <f aca="false">IF('Data BoP'!$AQ64=0,"",(('Data BoP'!E61)+('Data BoP'!E62)+('Data BoP'!E63)+('Data BoP'!E64))/'Data BoP'!$AQ64)</f>
        <v>0.0171382017677691</v>
      </c>
      <c r="D65" s="18" t="n">
        <f aca="false">IF('Data BoP'!$AQ64=0,"",(('Data BoP'!G61)+('Data BoP'!G62)+('Data BoP'!G63)+('Data BoP'!G64))/'Data BoP'!$AQ64)</f>
        <v>0.0520501574307064</v>
      </c>
      <c r="E65" s="18" t="n">
        <f aca="false">IF('Data BoP'!$AQ64=0,"",(('Data BoP'!J61)+('Data BoP'!J62)+('Data BoP'!J63)+('Data BoP'!J64))/'Data BoP'!$AQ64)</f>
        <v>-0.00624725816291655</v>
      </c>
      <c r="F65" s="18" t="n">
        <f aca="false">IF('Data BoP'!$AQ64=0,"",(('Data BoP'!M61)+('Data BoP'!M62)+('Data BoP'!M63)+('Data BoP'!M64))/'Data BoP'!$AQ64)</f>
        <v>-0.0316768077649007</v>
      </c>
      <c r="G65" s="18" t="n">
        <f aca="false">IF('Data BoP'!$AQ64=0,"",(('Data BoP'!S61)+('Data BoP'!S62)+('Data BoP'!S63)+('Data BoP'!S64))/'Data BoP'!$AQ64)</f>
        <v>0.00301211026487991</v>
      </c>
      <c r="H65" s="18" t="n">
        <f aca="false">IF('Data BoP'!$AQ64=0,"",(('Data BoP'!U61)+('Data BoP'!U62)+('Data BoP'!U63)+('Data BoP'!U64))/'Data BoP'!$AQ64)</f>
        <v>0.01374853231934</v>
      </c>
      <c r="I65" s="18" t="n">
        <f aca="false">IF('Data BoP'!$AQ64=0,"",(('Data BoP'!Y61+'Data BoP'!Z61)+('Data BoP'!Y62+'Data BoP'!Z62)+('Data BoP'!Y63+'Data BoP'!Z63)+('Data BoP'!Y64+'Data BoP'!Z64))/'Data BoP'!$AQ64)</f>
        <v>0.0134437865419981</v>
      </c>
      <c r="J65" s="18" t="n">
        <f aca="false">IF('Data BoP'!$AQ64=0,"",(('Data BoP'!AD61+'Data BoP'!AE61)+('Data BoP'!AD62+'Data BoP'!AE62)+('Data BoP'!AD63+'Data BoP'!AE63)+('Data BoP'!AD64+'Data BoP'!AE64))/'Data BoP'!$AQ64)</f>
        <v>-0.0148782571783279</v>
      </c>
      <c r="K65" s="18" t="n">
        <f aca="false">IF('Data BoP'!$AQ64=0,"",(('Data BoP'!AL61)+('Data BoP'!AL62)+('Data BoP'!AL63)+('Data BoP'!AL64))/'Data BoP'!$AQ64)</f>
        <v>-0.00875541057835652</v>
      </c>
      <c r="L65" s="18" t="n">
        <f aca="false">IF('Data BoP'!$AQ64=0,"",(('Data BoP'!W61+'Data BoP'!X61+'Data BoP'!AB61+'Data BoP'!AC61+'Data BoP'!AH61)+('Data BoP'!W62+'Data BoP'!X62+'Data BoP'!AB62+'Data BoP'!AC62+'Data BoP'!AH62)+('Data BoP'!W63+'Data BoP'!X63+'Data BoP'!AB63+'Data BoP'!AC63+'Data BoP'!AH63)+('Data BoP'!W64+'Data BoP'!X64+'Data BoP'!AB64+'Data BoP'!AC64+'Data BoP'!AH64))/'Data BoP'!$AQ64)</f>
        <v>0.0282364564936895</v>
      </c>
      <c r="M65" s="18" t="n">
        <f aca="false">IF('Data BoP'!$AQ64=0,"",(('Data BoP'!AK61)+('Data BoP'!AK62)+('Data BoP'!AK63)+('Data BoP'!AK64))/'Data BoP'!$AQ64)</f>
        <v>-0.00375298710613229</v>
      </c>
      <c r="N65" s="18" t="n">
        <f aca="false">IF('Data BoP'!$AQ64=0,"",(('Data BoP'!AJ61)+('Data BoP'!AJ62)+('Data BoP'!AJ63)+('Data BoP'!AJ64))/'Data BoP'!$AQ64)</f>
        <v>-0.0247146265852541</v>
      </c>
      <c r="O65" s="19" t="n">
        <f aca="false">'Data BoP'!$AQ64</f>
        <v>390492.667160108</v>
      </c>
    </row>
    <row r="66" customFormat="false" ht="15" hidden="false" customHeight="false" outlineLevel="0" collapsed="false">
      <c r="B66" s="14" t="str">
        <f aca="false">'Data BoP'!B65</f>
        <v>2020-Q4</v>
      </c>
      <c r="C66" s="18" t="n">
        <f aca="false">IF('Data BoP'!$AQ65=0,"",(('Data BoP'!E62)+('Data BoP'!E63)+('Data BoP'!E64)+('Data BoP'!E65))/'Data BoP'!$AQ65)</f>
        <v>0.00697970500030937</v>
      </c>
      <c r="D66" s="18" t="n">
        <f aca="false">IF('Data BoP'!$AQ65=0,"",(('Data BoP'!G62)+('Data BoP'!G63)+('Data BoP'!G64)+('Data BoP'!G65))/'Data BoP'!$AQ65)</f>
        <v>0.0379851958236482</v>
      </c>
      <c r="E66" s="18" t="n">
        <f aca="false">IF('Data BoP'!$AQ65=0,"",(('Data BoP'!J62)+('Data BoP'!J63)+('Data BoP'!J64)+('Data BoP'!J65))/'Data BoP'!$AQ65)</f>
        <v>-0.00658486672216051</v>
      </c>
      <c r="F66" s="18" t="n">
        <f aca="false">IF('Data BoP'!$AQ65=0,"",(('Data BoP'!M62)+('Data BoP'!M63)+('Data BoP'!M64)+('Data BoP'!M65))/'Data BoP'!$AQ65)</f>
        <v>-0.0272752826427734</v>
      </c>
      <c r="G66" s="18" t="n">
        <f aca="false">IF('Data BoP'!$AQ65=0,"",(('Data BoP'!S62)+('Data BoP'!S63)+('Data BoP'!S64)+('Data BoP'!S65))/'Data BoP'!$AQ65)</f>
        <v>0.00285465854159514</v>
      </c>
      <c r="H66" s="18" t="n">
        <f aca="false">IF('Data BoP'!$AQ65=0,"",(('Data BoP'!U62)+('Data BoP'!U63)+('Data BoP'!U64)+('Data BoP'!U65))/'Data BoP'!$AQ65)</f>
        <v>0.00353642694044019</v>
      </c>
      <c r="I66" s="18" t="n">
        <f aca="false">IF('Data BoP'!$AQ65=0,"",(('Data BoP'!Y62+'Data BoP'!Z62)+('Data BoP'!Y63+'Data BoP'!Z63)+('Data BoP'!Y64+'Data BoP'!Z64)+('Data BoP'!Y65+'Data BoP'!Z65))/'Data BoP'!$AQ65)</f>
        <v>0.0126804984938751</v>
      </c>
      <c r="J66" s="18" t="n">
        <f aca="false">IF('Data BoP'!$AQ65=0,"",(('Data BoP'!AD62+'Data BoP'!AE62)+('Data BoP'!AD63+'Data BoP'!AE63)+('Data BoP'!AD64+'Data BoP'!AE64)+('Data BoP'!AD65+'Data BoP'!AE65))/'Data BoP'!$AQ65)</f>
        <v>-0.0118145675910439</v>
      </c>
      <c r="K66" s="18" t="n">
        <f aca="false">IF('Data BoP'!$AQ65=0,"",(('Data BoP'!AL62)+('Data BoP'!AL63)+('Data BoP'!AL64)+('Data BoP'!AL65))/'Data BoP'!$AQ65)</f>
        <v>-0.00954475285198121</v>
      </c>
      <c r="L66" s="18" t="n">
        <f aca="false">IF('Data BoP'!$AQ65=0,"",(('Data BoP'!W62+'Data BoP'!X62+'Data BoP'!AB62+'Data BoP'!AC62+'Data BoP'!AH62)+('Data BoP'!W63+'Data BoP'!X63+'Data BoP'!AB63+'Data BoP'!AC63+'Data BoP'!AH63)+('Data BoP'!W64+'Data BoP'!X64+'Data BoP'!AB64+'Data BoP'!AC64+'Data BoP'!AH64)+('Data BoP'!W65+'Data BoP'!X65+'Data BoP'!AB65+'Data BoP'!AC65+'Data BoP'!AH65))/'Data BoP'!$AQ65)</f>
        <v>0.0148923661961065</v>
      </c>
      <c r="M66" s="18" t="n">
        <f aca="false">IF('Data BoP'!$AQ65=0,"",(('Data BoP'!AK62)+('Data BoP'!AK63)+('Data BoP'!AK64)+('Data BoP'!AK65))/'Data BoP'!$AQ65)</f>
        <v>-0.00387104539855382</v>
      </c>
      <c r="N66" s="18" t="n">
        <f aca="false">IF('Data BoP'!$AQ65=0,"",(('Data BoP'!AJ62)+('Data BoP'!AJ63)+('Data BoP'!AJ64)+('Data BoP'!AJ65))/'Data BoP'!$AQ65)</f>
        <v>-0.0200617970902632</v>
      </c>
      <c r="O66" s="19" t="n">
        <f aca="false">'Data BoP'!$AQ65</f>
        <v>385168.428379703</v>
      </c>
    </row>
    <row r="67" customFormat="false" ht="15" hidden="false" customHeight="false" outlineLevel="0" collapsed="false">
      <c r="B67" s="14" t="str">
        <f aca="false">'Data BoP'!B66</f>
        <v>2021-Q1</v>
      </c>
      <c r="C67" s="18" t="n">
        <f aca="false">IF('Data BoP'!$AQ66=0,"",(('Data BoP'!E63)+('Data BoP'!E64)+('Data BoP'!E65)+('Data BoP'!E66))/'Data BoP'!$AQ66)</f>
        <v>0.00765719858749574</v>
      </c>
      <c r="D67" s="18" t="n">
        <f aca="false">IF('Data BoP'!$AQ66=0,"",(('Data BoP'!G63)+('Data BoP'!G64)+('Data BoP'!G65)+('Data BoP'!G66))/'Data BoP'!$AQ66)</f>
        <v>0.035995829766771</v>
      </c>
      <c r="E67" s="18" t="n">
        <f aca="false">IF('Data BoP'!$AQ66=0,"",(('Data BoP'!J63)+('Data BoP'!J64)+('Data BoP'!J65)+('Data BoP'!J66))/'Data BoP'!$AQ66)</f>
        <v>-0.00570154104426009</v>
      </c>
      <c r="F67" s="18" t="n">
        <f aca="false">IF('Data BoP'!$AQ66=0,"",(('Data BoP'!M63)+('Data BoP'!M64)+('Data BoP'!M65)+('Data BoP'!M66))/'Data BoP'!$AQ66)</f>
        <v>-0.0256072936813648</v>
      </c>
      <c r="G67" s="18" t="n">
        <f aca="false">IF('Data BoP'!$AQ66=0,"",(('Data BoP'!S63)+('Data BoP'!S64)+('Data BoP'!S65)+('Data BoP'!S66))/'Data BoP'!$AQ66)</f>
        <v>0.00297020354634962</v>
      </c>
      <c r="H67" s="18" t="n">
        <f aca="false">IF('Data BoP'!$AQ66=0,"",(('Data BoP'!U63)+('Data BoP'!U64)+('Data BoP'!U65)+('Data BoP'!U66))/'Data BoP'!$AQ66)</f>
        <v>0.00847440804174091</v>
      </c>
      <c r="I67" s="18" t="n">
        <f aca="false">IF('Data BoP'!$AQ66=0,"",(('Data BoP'!Y63+'Data BoP'!Z63)+('Data BoP'!Y64+'Data BoP'!Z64)+('Data BoP'!Y65+'Data BoP'!Z65)+('Data BoP'!Y66+'Data BoP'!Z66))/'Data BoP'!$AQ66)</f>
        <v>0.0144396921688091</v>
      </c>
      <c r="J67" s="18" t="n">
        <f aca="false">IF('Data BoP'!$AQ66=0,"",(('Data BoP'!AD63+'Data BoP'!AE63)+('Data BoP'!AD64+'Data BoP'!AE64)+('Data BoP'!AD65+'Data BoP'!AE65)+('Data BoP'!AD66+'Data BoP'!AE66))/'Data BoP'!$AQ66)</f>
        <v>-0.0120090237277094</v>
      </c>
      <c r="K67" s="18" t="n">
        <f aca="false">IF('Data BoP'!$AQ66=0,"",(('Data BoP'!AL63)+('Data BoP'!AL64)+('Data BoP'!AL65)+('Data BoP'!AL66))/'Data BoP'!$AQ66)</f>
        <v>-0.00451877921069702</v>
      </c>
      <c r="L67" s="18" t="n">
        <f aca="false">IF('Data BoP'!$AQ66=0,"",(('Data BoP'!W63+'Data BoP'!X63+'Data BoP'!AB63+'Data BoP'!AC63+'Data BoP'!AH63)+('Data BoP'!W64+'Data BoP'!X64+'Data BoP'!AB64+'Data BoP'!AC64+'Data BoP'!AH64)+('Data BoP'!W65+'Data BoP'!X65+'Data BoP'!AB65+'Data BoP'!AC65+'Data BoP'!AH65)+('Data BoP'!W66+'Data BoP'!X66+'Data BoP'!AB66+'Data BoP'!AC66+'Data BoP'!AH66))/'Data BoP'!$AQ66)</f>
        <v>0.0217480661349529</v>
      </c>
      <c r="M67" s="18" t="n">
        <f aca="false">IF('Data BoP'!$AQ66=0,"",(('Data BoP'!AK63)+('Data BoP'!AK64)+('Data BoP'!AK65)+('Data BoP'!AK66))/'Data BoP'!$AQ66)</f>
        <v>0.000383293443821931</v>
      </c>
      <c r="N67" s="18" t="n">
        <f aca="false">IF('Data BoP'!$AQ66=0,"",(('Data BoP'!AJ63)+('Data BoP'!AJ64)+('Data BoP'!AJ65)+('Data BoP'!AJ66))/'Data BoP'!$AQ66)</f>
        <v>-0.0153793424829119</v>
      </c>
      <c r="O67" s="19" t="n">
        <f aca="false">'Data BoP'!$AQ66</f>
        <v>387434.115604797</v>
      </c>
    </row>
    <row r="68" customFormat="false" ht="15" hidden="false" customHeight="false" outlineLevel="0" collapsed="false">
      <c r="B68" s="14" t="str">
        <f aca="false">'Data BoP'!B67</f>
        <v>2021-Q2</v>
      </c>
      <c r="C68" s="18" t="n">
        <f aca="false">IF('Data BoP'!$AQ67=0,"",(('Data BoP'!E64)+('Data BoP'!E65)+('Data BoP'!E66)+('Data BoP'!E67))/'Data BoP'!$AQ67)</f>
        <v>0.00628196508787179</v>
      </c>
      <c r="D68" s="18" t="n">
        <f aca="false">IF('Data BoP'!$AQ67=0,"",(('Data BoP'!G64)+('Data BoP'!G65)+('Data BoP'!G66)+('Data BoP'!G67))/'Data BoP'!$AQ67)</f>
        <v>0.0326501042825989</v>
      </c>
      <c r="E68" s="18" t="n">
        <f aca="false">IF('Data BoP'!$AQ67=0,"",(('Data BoP'!J64)+('Data BoP'!J65)+('Data BoP'!J66)+('Data BoP'!J67))/'Data BoP'!$AQ67)</f>
        <v>-0.00605535540121302</v>
      </c>
      <c r="F68" s="18" t="n">
        <f aca="false">IF('Data BoP'!$AQ67=0,"",(('Data BoP'!M64)+('Data BoP'!M65)+('Data BoP'!M66)+('Data BoP'!M67))/'Data BoP'!$AQ67)</f>
        <v>-0.0231384440592804</v>
      </c>
      <c r="G68" s="18" t="n">
        <f aca="false">IF('Data BoP'!$AQ67=0,"",(('Data BoP'!S64)+('Data BoP'!S65)+('Data BoP'!S66)+('Data BoP'!S67))/'Data BoP'!$AQ67)</f>
        <v>0.00282566026576624</v>
      </c>
      <c r="H68" s="18" t="n">
        <f aca="false">IF('Data BoP'!$AQ67=0,"",(('Data BoP'!U64)+('Data BoP'!U65)+('Data BoP'!U66)+('Data BoP'!U67))/'Data BoP'!$AQ67)</f>
        <v>0.00180881405456522</v>
      </c>
      <c r="I68" s="18" t="n">
        <f aca="false">IF('Data BoP'!$AQ67=0,"",(('Data BoP'!Y64+'Data BoP'!Z64)+('Data BoP'!Y65+'Data BoP'!Z65)+('Data BoP'!Y66+'Data BoP'!Z66)+('Data BoP'!Y67+'Data BoP'!Z67))/'Data BoP'!$AQ67)</f>
        <v>0.0182015782293567</v>
      </c>
      <c r="J68" s="18" t="n">
        <f aca="false">IF('Data BoP'!$AQ67=0,"",(('Data BoP'!AD64+'Data BoP'!AE64)+('Data BoP'!AD65+'Data BoP'!AE65)+('Data BoP'!AD66+'Data BoP'!AE66)+('Data BoP'!AD67+'Data BoP'!AE67))/'Data BoP'!$AQ67)</f>
        <v>-0.00840435344278392</v>
      </c>
      <c r="K68" s="18" t="n">
        <f aca="false">IF('Data BoP'!$AQ67=0,"",(('Data BoP'!AL64)+('Data BoP'!AL65)+('Data BoP'!AL66)+('Data BoP'!AL67))/'Data BoP'!$AQ67)</f>
        <v>0.00120374203138138</v>
      </c>
      <c r="L68" s="18" t="n">
        <f aca="false">IF('Data BoP'!$AQ67=0,"",(('Data BoP'!W64+'Data BoP'!X64+'Data BoP'!AB64+'Data BoP'!AC64+'Data BoP'!AH64)+('Data BoP'!W65+'Data BoP'!X65+'Data BoP'!AB65+'Data BoP'!AC65+'Data BoP'!AH65)+('Data BoP'!W66+'Data BoP'!X66+'Data BoP'!AB66+'Data BoP'!AC66+'Data BoP'!AH66)+('Data BoP'!W67+'Data BoP'!X67+'Data BoP'!AB67+'Data BoP'!AC67+'Data BoP'!AH67))/'Data BoP'!$AQ67)</f>
        <v>0.019351716536964</v>
      </c>
      <c r="M68" s="18" t="n">
        <f aca="false">IF('Data BoP'!$AQ67=0,"",(('Data BoP'!AK64)+('Data BoP'!AK65)+('Data BoP'!AK66)+('Data BoP'!AK67))/'Data BoP'!$AQ67)</f>
        <v>-0.0050193003504141</v>
      </c>
      <c r="N68" s="18" t="n">
        <f aca="false">IF('Data BoP'!$AQ67=0,"",(('Data BoP'!AJ64)+('Data BoP'!AJ65)+('Data BoP'!AJ66)+('Data BoP'!AJ67))/'Data BoP'!$AQ67)</f>
        <v>-0.00654977159830562</v>
      </c>
      <c r="O68" s="19" t="n">
        <f aca="false">'Data BoP'!$AQ67</f>
        <v>421848.347709276</v>
      </c>
    </row>
    <row r="69" customFormat="false" ht="15" hidden="false" customHeight="false" outlineLevel="0" collapsed="false">
      <c r="B69" s="14" t="str">
        <f aca="false">'Data BoP'!B68</f>
        <v>2021-Q3</v>
      </c>
      <c r="C69" s="18" t="n">
        <f aca="false">IF('Data BoP'!$AQ68=0,"",(('Data BoP'!E65)+('Data BoP'!E66)+('Data BoP'!E67)+('Data BoP'!E68))/'Data BoP'!$AQ68)</f>
        <v>0.0107753088829701</v>
      </c>
      <c r="D69" s="18" t="n">
        <f aca="false">IF('Data BoP'!$AQ68=0,"",(('Data BoP'!G65)+('Data BoP'!G66)+('Data BoP'!G67)+('Data BoP'!G68))/'Data BoP'!$AQ68)</f>
        <v>0.0363688021186387</v>
      </c>
      <c r="E69" s="18" t="n">
        <f aca="false">IF('Data BoP'!$AQ68=0,"",(('Data BoP'!J65)+('Data BoP'!J66)+('Data BoP'!J67)+('Data BoP'!J68))/'Data BoP'!$AQ68)</f>
        <v>-0.00662523002386905</v>
      </c>
      <c r="F69" s="18" t="n">
        <f aca="false">IF('Data BoP'!$AQ68=0,"",(('Data BoP'!M65)+('Data BoP'!M66)+('Data BoP'!M67)+('Data BoP'!M68))/'Data BoP'!$AQ68)</f>
        <v>-0.0217261322544259</v>
      </c>
      <c r="G69" s="18" t="n">
        <f aca="false">IF('Data BoP'!$AQ68=0,"",(('Data BoP'!S65)+('Data BoP'!S66)+('Data BoP'!S67)+('Data BoP'!S68))/'Data BoP'!$AQ68)</f>
        <v>0.00275786904262635</v>
      </c>
      <c r="H69" s="18" t="n">
        <f aca="false">IF('Data BoP'!$AQ68=0,"",(('Data BoP'!U65)+('Data BoP'!U66)+('Data BoP'!U67)+('Data BoP'!U68))/'Data BoP'!$AQ68)</f>
        <v>0.00523160376410516</v>
      </c>
      <c r="I69" s="18" t="n">
        <f aca="false">IF('Data BoP'!$AQ68=0,"",(('Data BoP'!Y65+'Data BoP'!Z65)+('Data BoP'!Y66+'Data BoP'!Z66)+('Data BoP'!Y67+'Data BoP'!Z67)+('Data BoP'!Y68+'Data BoP'!Z68))/'Data BoP'!$AQ68)</f>
        <v>0.0152139771638156</v>
      </c>
      <c r="J69" s="18" t="n">
        <f aca="false">IF('Data BoP'!$AQ68=0,"",(('Data BoP'!AD65+'Data BoP'!AE65)+('Data BoP'!AD66+'Data BoP'!AE66)+('Data BoP'!AD67+'Data BoP'!AE67)+('Data BoP'!AD68+'Data BoP'!AE68))/'Data BoP'!$AQ68)</f>
        <v>-0.00456545209973084</v>
      </c>
      <c r="K69" s="18" t="n">
        <f aca="false">IF('Data BoP'!$AQ68=0,"",(('Data BoP'!AL65)+('Data BoP'!AL66)+('Data BoP'!AL67)+('Data BoP'!AL68))/'Data BoP'!$AQ68)</f>
        <v>0.00726328575077013</v>
      </c>
      <c r="L69" s="18" t="n">
        <f aca="false">IF('Data BoP'!$AQ68=0,"",(('Data BoP'!W65+'Data BoP'!X65+'Data BoP'!AB65+'Data BoP'!AC65+'Data BoP'!AH65)+('Data BoP'!W66+'Data BoP'!X66+'Data BoP'!AB66+'Data BoP'!AC66+'Data BoP'!AH66)+('Data BoP'!W67+'Data BoP'!X67+'Data BoP'!AB67+'Data BoP'!AC67+'Data BoP'!AH67)+('Data BoP'!W68+'Data BoP'!X68+'Data BoP'!AB68+'Data BoP'!AC68+'Data BoP'!AH68))/'Data BoP'!$AQ68)</f>
        <v>0.0215229076989512</v>
      </c>
      <c r="M69" s="18" t="n">
        <f aca="false">IF('Data BoP'!$AQ68=0,"",(('Data BoP'!AK65)+('Data BoP'!AK66)+('Data BoP'!AK67)+('Data BoP'!AK68))/'Data BoP'!$AQ68)</f>
        <v>-0.00612224935125816</v>
      </c>
      <c r="N69" s="18" t="n">
        <f aca="false">IF('Data BoP'!$AQ68=0,"",(('Data BoP'!AJ65)+('Data BoP'!AJ66)+('Data BoP'!AJ67)+('Data BoP'!AJ68))/'Data BoP'!$AQ68)</f>
        <v>0.00161130211902076</v>
      </c>
      <c r="O69" s="19" t="n">
        <f aca="false">'Data BoP'!$AQ68</f>
        <v>449936.046835975</v>
      </c>
    </row>
    <row r="70" customFormat="false" ht="15" hidden="false" customHeight="false" outlineLevel="0" collapsed="false">
      <c r="B70" s="14" t="str">
        <f aca="false">'Data BoP'!B69</f>
        <v>2021-Q4</v>
      </c>
      <c r="C70" s="18" t="n">
        <f aca="false">IF('Data BoP'!$AQ69=0,"",(('Data BoP'!E66)+('Data BoP'!E67)+('Data BoP'!E68)+('Data BoP'!E69))/'Data BoP'!$AQ69)</f>
        <v>0.0136824336799295</v>
      </c>
      <c r="D70" s="18" t="n">
        <f aca="false">IF('Data BoP'!$AQ69=0,"",(('Data BoP'!G66)+('Data BoP'!G67)+('Data BoP'!G68)+('Data BoP'!G69))/'Data BoP'!$AQ69)</f>
        <v>0.0386124924757586</v>
      </c>
      <c r="E70" s="18" t="n">
        <f aca="false">IF('Data BoP'!$AQ69=0,"",(('Data BoP'!J66)+('Data BoP'!J67)+('Data BoP'!J68)+('Data BoP'!J69))/'Data BoP'!$AQ69)</f>
        <v>-0.00764194688028456</v>
      </c>
      <c r="F70" s="18" t="n">
        <f aca="false">IF('Data BoP'!$AQ69=0,"",(('Data BoP'!M66)+('Data BoP'!M67)+('Data BoP'!M68)+('Data BoP'!M69))/'Data BoP'!$AQ69)</f>
        <v>-0.020183812423434</v>
      </c>
      <c r="G70" s="18" t="n">
        <f aca="false">IF('Data BoP'!$AQ69=0,"",(('Data BoP'!S66)+('Data BoP'!S67)+('Data BoP'!S68)+('Data BoP'!S69))/'Data BoP'!$AQ69)</f>
        <v>0.00289570050788938</v>
      </c>
      <c r="H70" s="18" t="n">
        <f aca="false">IF('Data BoP'!$AQ69=0,"",(('Data BoP'!U66)+('Data BoP'!U67)+('Data BoP'!U68)+('Data BoP'!U69))/'Data BoP'!$AQ69)</f>
        <v>0.00929755769719685</v>
      </c>
      <c r="I70" s="18" t="n">
        <f aca="false">IF('Data BoP'!$AQ69=0,"",(('Data BoP'!Y66+'Data BoP'!Z66)+('Data BoP'!Y67+'Data BoP'!Z67)+('Data BoP'!Y68+'Data BoP'!Z68)+('Data BoP'!Y69+'Data BoP'!Z69))/'Data BoP'!$AQ69)</f>
        <v>0.0137511361545143</v>
      </c>
      <c r="J70" s="18" t="n">
        <f aca="false">IF('Data BoP'!$AQ69=0,"",(('Data BoP'!AD66+'Data BoP'!AE66)+('Data BoP'!AD67+'Data BoP'!AE67)+('Data BoP'!AD68+'Data BoP'!AE68)+('Data BoP'!AD69+'Data BoP'!AE69))/'Data BoP'!$AQ69)</f>
        <v>-0.00711626141128468</v>
      </c>
      <c r="K70" s="18" t="n">
        <f aca="false">IF('Data BoP'!$AQ69=0,"",(('Data BoP'!AL66)+('Data BoP'!AL67)+('Data BoP'!AL68)+('Data BoP'!AL69))/'Data BoP'!$AQ69)</f>
        <v>0.00240617046633114</v>
      </c>
      <c r="L70" s="18" t="n">
        <f aca="false">IF('Data BoP'!$AQ69=0,"",(('Data BoP'!W66+'Data BoP'!X66+'Data BoP'!AB66+'Data BoP'!AC66+'Data BoP'!AH66)+('Data BoP'!W67+'Data BoP'!X67+'Data BoP'!AB67+'Data BoP'!AC67+'Data BoP'!AH67)+('Data BoP'!W68+'Data BoP'!X68+'Data BoP'!AB68+'Data BoP'!AC68+'Data BoP'!AH68)+('Data BoP'!W69+'Data BoP'!X69+'Data BoP'!AB69+'Data BoP'!AC69+'Data BoP'!AH69))/'Data BoP'!$AQ69)</f>
        <v>0.0185893074076401</v>
      </c>
      <c r="M70" s="18" t="n">
        <f aca="false">IF('Data BoP'!$AQ69=0,"",(('Data BoP'!AK66)+('Data BoP'!AK67)+('Data BoP'!AK68)+('Data BoP'!AK69))/'Data BoP'!$AQ69)</f>
        <v>-0.00490738225392593</v>
      </c>
      <c r="N70" s="18" t="n">
        <f aca="false">IF('Data BoP'!$AQ69=0,"",(('Data BoP'!AJ66)+('Data BoP'!AJ67)+('Data BoP'!AJ68)+('Data BoP'!AJ69))/'Data BoP'!$AQ69)</f>
        <v>-0.000218539458377033</v>
      </c>
      <c r="O70" s="19" t="n">
        <f aca="false">'Data BoP'!$AQ69</f>
        <v>484181.787196657</v>
      </c>
    </row>
    <row r="71" customFormat="false" ht="15" hidden="false" customHeight="false" outlineLevel="0" collapsed="false">
      <c r="B71" s="14" t="str">
        <f aca="false">'Data BoP'!B70</f>
        <v>2022-Q1</v>
      </c>
      <c r="C71" s="18" t="n">
        <f aca="false">IF('Data BoP'!$AQ70=0,"",(('Data BoP'!E67)+('Data BoP'!E68)+('Data BoP'!E69)+('Data BoP'!E70))/'Data BoP'!$AQ70)</f>
        <v>0.00955485101946781</v>
      </c>
      <c r="D71" s="18" t="n">
        <f aca="false">IF('Data BoP'!$AQ70=0,"",(('Data BoP'!G67)+('Data BoP'!G68)+('Data BoP'!G69)+('Data BoP'!G70))/'Data BoP'!$AQ70)</f>
        <v>0.0349334169436436</v>
      </c>
      <c r="E71" s="18" t="n">
        <f aca="false">IF('Data BoP'!$AQ70=0,"",(('Data BoP'!J67)+('Data BoP'!J68)+('Data BoP'!J69)+('Data BoP'!J70))/'Data BoP'!$AQ70)</f>
        <v>-0.00946368653291289</v>
      </c>
      <c r="F71" s="18" t="n">
        <f aca="false">IF('Data BoP'!$AQ70=0,"",(('Data BoP'!M67)+('Data BoP'!M68)+('Data BoP'!M69)+('Data BoP'!M70))/'Data BoP'!$AQ70)</f>
        <v>-0.0188540663423751</v>
      </c>
      <c r="G71" s="18" t="n">
        <f aca="false">IF('Data BoP'!$AQ70=0,"",(('Data BoP'!S67)+('Data BoP'!S68)+('Data BoP'!S69)+('Data BoP'!S70))/'Data BoP'!$AQ70)</f>
        <v>0.00293918695111225</v>
      </c>
      <c r="H71" s="18" t="n">
        <f aca="false">IF('Data BoP'!$AQ70=0,"",(('Data BoP'!U67)+('Data BoP'!U68)+('Data BoP'!U69)+('Data BoP'!U70))/'Data BoP'!$AQ70)</f>
        <v>0.00259230148721985</v>
      </c>
      <c r="I71" s="18" t="n">
        <f aca="false">IF('Data BoP'!$AQ70=0,"",(('Data BoP'!Y67+'Data BoP'!Z67)+('Data BoP'!Y68+'Data BoP'!Z68)+('Data BoP'!Y69+'Data BoP'!Z69)+('Data BoP'!Y70+'Data BoP'!Z70))/'Data BoP'!$AQ70)</f>
        <v>0.0145607709112077</v>
      </c>
      <c r="J71" s="18" t="n">
        <f aca="false">IF('Data BoP'!$AQ70=0,"",(('Data BoP'!AD67+'Data BoP'!AE67)+('Data BoP'!AD68+'Data BoP'!AE68)+('Data BoP'!AD69+'Data BoP'!AE69)+('Data BoP'!AD70+'Data BoP'!AE70))/'Data BoP'!$AQ70)</f>
        <v>-0.00706518587911915</v>
      </c>
      <c r="K71" s="18" t="n">
        <f aca="false">IF('Data BoP'!$AQ70=0,"",(('Data BoP'!AL67)+('Data BoP'!AL68)+('Data BoP'!AL69)+('Data BoP'!AL70))/'Data BoP'!$AQ70)</f>
        <v>0.0169362714191695</v>
      </c>
      <c r="L71" s="18" t="n">
        <f aca="false">IF('Data BoP'!$AQ70=0,"",(('Data BoP'!W67+'Data BoP'!X67+'Data BoP'!AB67+'Data BoP'!AC67+'Data BoP'!AH67)+('Data BoP'!W68+'Data BoP'!X68+'Data BoP'!AB68+'Data BoP'!AC68+'Data BoP'!AH68)+('Data BoP'!W69+'Data BoP'!X69+'Data BoP'!AB69+'Data BoP'!AC69+'Data BoP'!AH69)+('Data BoP'!W70+'Data BoP'!X70+'Data BoP'!AB70+'Data BoP'!AC70+'Data BoP'!AH70))/'Data BoP'!$AQ70)</f>
        <v>0.0224339385324608</v>
      </c>
      <c r="M71" s="18" t="n">
        <f aca="false">IF('Data BoP'!$AQ70=0,"",(('Data BoP'!AK67)+('Data BoP'!AK68)+('Data BoP'!AK69)+('Data BoP'!AK70))/'Data BoP'!$AQ70)</f>
        <v>-0.00742518828201848</v>
      </c>
      <c r="N71" s="18" t="n">
        <f aca="false">IF('Data BoP'!$AQ70=0,"",(('Data BoP'!AJ67)+('Data BoP'!AJ68)+('Data BoP'!AJ69)+('Data BoP'!AJ70))/'Data BoP'!$AQ70)</f>
        <v>0.00461178192119532</v>
      </c>
      <c r="O71" s="19" t="n">
        <f aca="false">'Data BoP'!$AQ70</f>
        <v>521908.554917577</v>
      </c>
    </row>
    <row r="72" customFormat="false" ht="15" hidden="false" customHeight="false" outlineLevel="0" collapsed="false">
      <c r="B72" s="14" t="str">
        <f aca="false">'Data BoP'!B71</f>
        <v>2022-Q2</v>
      </c>
      <c r="C72" s="18" t="n">
        <f aca="false">IF('Data BoP'!$AQ71=0,"",(('Data BoP'!E68)+('Data BoP'!E69)+('Data BoP'!E70)+('Data BoP'!E71))/'Data BoP'!$AQ71)</f>
        <v>0.0026298804039459</v>
      </c>
      <c r="D72" s="18" t="n">
        <f aca="false">IF('Data BoP'!$AQ71=0,"",(('Data BoP'!G68)+('Data BoP'!G69)+('Data BoP'!G70)+('Data BoP'!G71))/'Data BoP'!$AQ71)</f>
        <v>0.0287815435766154</v>
      </c>
      <c r="E72" s="18" t="n">
        <f aca="false">IF('Data BoP'!$AQ71=0,"",(('Data BoP'!J68)+('Data BoP'!J69)+('Data BoP'!J70)+('Data BoP'!J71))/'Data BoP'!$AQ71)</f>
        <v>-0.0107495620481369</v>
      </c>
      <c r="F72" s="18" t="n">
        <f aca="false">IF('Data BoP'!$AQ71=0,"",(('Data BoP'!M68)+('Data BoP'!M69)+('Data BoP'!M70)+('Data BoP'!M71))/'Data BoP'!$AQ71)</f>
        <v>-0.0183854674791825</v>
      </c>
      <c r="G72" s="18" t="n">
        <f aca="false">IF('Data BoP'!$AQ71=0,"",(('Data BoP'!S68)+('Data BoP'!S69)+('Data BoP'!S70)+('Data BoP'!S71))/'Data BoP'!$AQ71)</f>
        <v>0.00298336635464984</v>
      </c>
      <c r="H72" s="18" t="n">
        <f aca="false">IF('Data BoP'!$AQ71=0,"",(('Data BoP'!U68)+('Data BoP'!U69)+('Data BoP'!U70)+('Data BoP'!U71))/'Data BoP'!$AQ71)</f>
        <v>-0.00542867124184452</v>
      </c>
      <c r="I72" s="18" t="n">
        <f aca="false">IF('Data BoP'!$AQ71=0,"",(('Data BoP'!Y68+'Data BoP'!Z68)+('Data BoP'!Y69+'Data BoP'!Z69)+('Data BoP'!Y70+'Data BoP'!Z70)+('Data BoP'!Y71+'Data BoP'!Z71))/'Data BoP'!$AQ71)</f>
        <v>0.0184596252626845</v>
      </c>
      <c r="J72" s="18" t="n">
        <f aca="false">IF('Data BoP'!$AQ71=0,"",(('Data BoP'!AD68+'Data BoP'!AE68)+('Data BoP'!AD69+'Data BoP'!AE69)+('Data BoP'!AD70+'Data BoP'!AE70)+('Data BoP'!AD71+'Data BoP'!AE71))/'Data BoP'!$AQ71)</f>
        <v>-0.00695324315822853</v>
      </c>
      <c r="K72" s="18" t="n">
        <f aca="false">IF('Data BoP'!$AQ71=0,"",(('Data BoP'!AL68)+('Data BoP'!AL69)+('Data BoP'!AL70)+('Data BoP'!AL71))/'Data BoP'!$AQ71)</f>
        <v>0.0165657396769658</v>
      </c>
      <c r="L72" s="18" t="n">
        <f aca="false">IF('Data BoP'!$AQ71=0,"",(('Data BoP'!W68+'Data BoP'!X68+'Data BoP'!AB68+'Data BoP'!AC68+'Data BoP'!AH68)+('Data BoP'!W69+'Data BoP'!X69+'Data BoP'!AB69+'Data BoP'!AC69+'Data BoP'!AH69)+('Data BoP'!W70+'Data BoP'!X70+'Data BoP'!AB70+'Data BoP'!AC70+'Data BoP'!AH70)+('Data BoP'!W71+'Data BoP'!X71+'Data BoP'!AB71+'Data BoP'!AC71+'Data BoP'!AH71))/'Data BoP'!$AQ71)</f>
        <v>0.0203830728984705</v>
      </c>
      <c r="M72" s="18" t="n">
        <f aca="false">IF('Data BoP'!$AQ71=0,"",(('Data BoP'!AK68)+('Data BoP'!AK69)+('Data BoP'!AK70)+('Data BoP'!AK71))/'Data BoP'!$AQ71)</f>
        <v>-0.00836702487837505</v>
      </c>
      <c r="N72" s="18" t="n">
        <f aca="false">IF('Data BoP'!$AQ71=0,"",(('Data BoP'!AJ68)+('Data BoP'!AJ69)+('Data BoP'!AJ70)+('Data BoP'!AJ71))/'Data BoP'!$AQ71)</f>
        <v>0.0022766002647521</v>
      </c>
      <c r="O72" s="19" t="n">
        <f aca="false">'Data BoP'!$AQ71</f>
        <v>565567.133923136</v>
      </c>
    </row>
    <row r="73" customFormat="false" ht="15" hidden="false" customHeight="false" outlineLevel="0" collapsed="false">
      <c r="B73" s="14" t="str">
        <f aca="false">'Data BoP'!B72</f>
        <v>2022-Q3</v>
      </c>
      <c r="C73" s="18" t="n">
        <f aca="false">IF('Data BoP'!$AQ72=0,"",(('Data BoP'!E69)+('Data BoP'!E70)+('Data BoP'!E71)+('Data BoP'!E72))/'Data BoP'!$AQ72)</f>
        <v>-0.00902846454901742</v>
      </c>
      <c r="D73" s="18" t="n">
        <f aca="false">IF('Data BoP'!$AQ72=0,"",(('Data BoP'!G69)+('Data BoP'!G70)+('Data BoP'!G71)+('Data BoP'!G72))/'Data BoP'!$AQ72)</f>
        <v>0.0174127080548737</v>
      </c>
      <c r="E73" s="18" t="n">
        <f aca="false">IF('Data BoP'!$AQ72=0,"",(('Data BoP'!J69)+('Data BoP'!J70)+('Data BoP'!J71)+('Data BoP'!J72))/'Data BoP'!$AQ72)</f>
        <v>-0.0116249786536335</v>
      </c>
      <c r="F73" s="18" t="n">
        <f aca="false">IF('Data BoP'!$AQ72=0,"",(('Data BoP'!M69)+('Data BoP'!M70)+('Data BoP'!M71)+('Data BoP'!M72))/'Data BoP'!$AQ72)</f>
        <v>-0.0177710870028795</v>
      </c>
      <c r="G73" s="18" t="n">
        <f aca="false">IF('Data BoP'!$AQ72=0,"",(('Data BoP'!S69)+('Data BoP'!S70)+('Data BoP'!S71)+('Data BoP'!S72))/'Data BoP'!$AQ72)</f>
        <v>0.00295489305262191</v>
      </c>
      <c r="H73" s="18" t="n">
        <f aca="false">IF('Data BoP'!$AQ72=0,"",(('Data BoP'!U69)+('Data BoP'!U70)+('Data BoP'!U71)+('Data BoP'!U72))/'Data BoP'!$AQ72)</f>
        <v>-0.0127850918708558</v>
      </c>
      <c r="I73" s="18" t="n">
        <f aca="false">IF('Data BoP'!$AQ72=0,"",(('Data BoP'!Y69+'Data BoP'!Z69)+('Data BoP'!Y70+'Data BoP'!Z70)+('Data BoP'!Y71+'Data BoP'!Z71)+('Data BoP'!Y72+'Data BoP'!Z72))/'Data BoP'!$AQ72)</f>
        <v>0.0258869625492228</v>
      </c>
      <c r="J73" s="18" t="n">
        <f aca="false">IF('Data BoP'!$AQ72=0,"",(('Data BoP'!AD69+'Data BoP'!AE69)+('Data BoP'!AD70+'Data BoP'!AE70)+('Data BoP'!AD71+'Data BoP'!AE71)+('Data BoP'!AD72+'Data BoP'!AE72))/'Data BoP'!$AQ72)</f>
        <v>-0.00735818063907469</v>
      </c>
      <c r="K73" s="18" t="n">
        <f aca="false">IF('Data BoP'!$AQ72=0,"",(('Data BoP'!AL69)+('Data BoP'!AL70)+('Data BoP'!AL71)+('Data BoP'!AL72))/'Data BoP'!$AQ72)</f>
        <v>0.0131654805139757</v>
      </c>
      <c r="L73" s="18" t="n">
        <f aca="false">IF('Data BoP'!$AQ72=0,"",(('Data BoP'!W69+'Data BoP'!X69+'Data BoP'!AB69+'Data BoP'!AC69+'Data BoP'!AH69)+('Data BoP'!W70+'Data BoP'!X70+'Data BoP'!AB70+'Data BoP'!AC70+'Data BoP'!AH70)+('Data BoP'!W71+'Data BoP'!X71+'Data BoP'!AB71+'Data BoP'!AC71+'Data BoP'!AH71)+('Data BoP'!W72+'Data BoP'!X72+'Data BoP'!AB72+'Data BoP'!AC72+'Data BoP'!AH72))/'Data BoP'!$AQ72)</f>
        <v>0.0233745777899617</v>
      </c>
      <c r="M73" s="18" t="n">
        <f aca="false">IF('Data BoP'!$AQ72=0,"",(('Data BoP'!AK69)+('Data BoP'!AK70)+('Data BoP'!AK71)+('Data BoP'!AK72))/'Data BoP'!$AQ72)</f>
        <v>-0.00406292758479818</v>
      </c>
      <c r="N73" s="18" t="n">
        <f aca="false">IF('Data BoP'!$AQ72=0,"",(('Data BoP'!AJ69)+('Data BoP'!AJ70)+('Data BoP'!AJ71)+('Data BoP'!AJ72))/'Data BoP'!$AQ72)</f>
        <v>-0.00444181190160937</v>
      </c>
      <c r="O73" s="19" t="n">
        <f aca="false">'Data BoP'!$AQ72</f>
        <v>605520.219995244</v>
      </c>
    </row>
    <row r="74" customFormat="false" ht="15" hidden="false" customHeight="false" outlineLevel="0" collapsed="false">
      <c r="B74" s="14" t="str">
        <f aca="false">'Data BoP'!B73</f>
        <v>2022-Q4</v>
      </c>
      <c r="C74" s="18" t="n">
        <f aca="false">IF('Data BoP'!$AQ73=0,"",(('Data BoP'!E70)+('Data BoP'!E71)+('Data BoP'!E72)+('Data BoP'!E73))/'Data BoP'!$AQ73)</f>
        <v>-0.0062794259137992</v>
      </c>
      <c r="D74" s="18" t="n">
        <f aca="false">IF('Data BoP'!$AQ73=0,"",(('Data BoP'!G70)+('Data BoP'!G71)+('Data BoP'!G72)+('Data BoP'!G73))/'Data BoP'!$AQ73)</f>
        <v>0.0196688597536818</v>
      </c>
      <c r="E74" s="18" t="n">
        <f aca="false">IF('Data BoP'!$AQ73=0,"",(('Data BoP'!J70)+('Data BoP'!J71)+('Data BoP'!J72)+('Data BoP'!J73))/'Data BoP'!$AQ73)</f>
        <v>-0.0107319413455478</v>
      </c>
      <c r="F74" s="18" t="n">
        <f aca="false">IF('Data BoP'!$AQ73=0,"",(('Data BoP'!M70)+('Data BoP'!M71)+('Data BoP'!M72)+('Data BoP'!M73))/'Data BoP'!$AQ73)</f>
        <v>-0.0183382276939293</v>
      </c>
      <c r="G74" s="18" t="n">
        <f aca="false">IF('Data BoP'!$AQ73=0,"",(('Data BoP'!S70)+('Data BoP'!S71)+('Data BoP'!S72)+('Data BoP'!S73))/'Data BoP'!$AQ73)</f>
        <v>0.00312188337199621</v>
      </c>
      <c r="H74" s="18" t="n">
        <f aca="false">IF('Data BoP'!$AQ73=0,"",(('Data BoP'!U70)+('Data BoP'!U71)+('Data BoP'!U72)+('Data BoP'!U73))/'Data BoP'!$AQ73)</f>
        <v>-0.0117810852805171</v>
      </c>
      <c r="I74" s="18" t="n">
        <f aca="false">IF('Data BoP'!$AQ73=0,"",(('Data BoP'!Y70+'Data BoP'!Z70)+('Data BoP'!Y71+'Data BoP'!Z71)+('Data BoP'!Y72+'Data BoP'!Z72)+('Data BoP'!Y73+'Data BoP'!Z73))/'Data BoP'!$AQ73)</f>
        <v>0.0240877130959408</v>
      </c>
      <c r="J74" s="18" t="n">
        <f aca="false">IF('Data BoP'!$AQ73=0,"",(('Data BoP'!AD70+'Data BoP'!AE70)+('Data BoP'!AD71+'Data BoP'!AE71)+('Data BoP'!AD72+'Data BoP'!AE72)+('Data BoP'!AD73+'Data BoP'!AE73))/'Data BoP'!$AQ73)</f>
        <v>-0.00854756805731005</v>
      </c>
      <c r="K74" s="18" t="n">
        <f aca="false">IF('Data BoP'!$AQ73=0,"",(('Data BoP'!AL70)+('Data BoP'!AL71)+('Data BoP'!AL72)+('Data BoP'!AL73))/'Data BoP'!$AQ73)</f>
        <v>0.0246483942437265</v>
      </c>
      <c r="L74" s="18" t="n">
        <f aca="false">IF('Data BoP'!$AQ73=0,"",(('Data BoP'!W70+'Data BoP'!X70+'Data BoP'!AB70+'Data BoP'!AC70+'Data BoP'!AH70)+('Data BoP'!W71+'Data BoP'!X71+'Data BoP'!AB71+'Data BoP'!AC71+'Data BoP'!AH71)+('Data BoP'!W72+'Data BoP'!X72+'Data BoP'!AB72+'Data BoP'!AC72+'Data BoP'!AH72)+('Data BoP'!W73+'Data BoP'!X73+'Data BoP'!AB73+'Data BoP'!AC73+'Data BoP'!AH73))/'Data BoP'!$AQ73)</f>
        <v>0.017438912354817</v>
      </c>
      <c r="M74" s="18" t="n">
        <f aca="false">IF('Data BoP'!$AQ73=0,"",(('Data BoP'!AK70)+('Data BoP'!AK71)+('Data BoP'!AK72)+('Data BoP'!AK73))/'Data BoP'!$AQ73)</f>
        <v>-0.00580503438752141</v>
      </c>
      <c r="N74" s="18" t="n">
        <f aca="false">IF('Data BoP'!$AQ73=0,"",(('Data BoP'!AJ70)+('Data BoP'!AJ71)+('Data BoP'!AJ72)+('Data BoP'!AJ73))/'Data BoP'!$AQ73)</f>
        <v>0.0109614927927355</v>
      </c>
      <c r="O74" s="19" t="n">
        <f aca="false">'Data BoP'!$AQ73</f>
        <v>631279.828713288</v>
      </c>
    </row>
    <row r="75" customFormat="false" ht="15" hidden="false" customHeight="false" outlineLevel="0" collapsed="false">
      <c r="B75" s="14" t="str">
        <f aca="false">'Data BoP'!B74</f>
        <v>2023-Q1</v>
      </c>
      <c r="C75" s="18" t="n">
        <f aca="false">IF('Data BoP'!$AQ74=0,"",(('Data BoP'!E71)+('Data BoP'!E72)+('Data BoP'!E73)+('Data BoP'!E74))/'Data BoP'!$AQ74)</f>
        <v>-0.0132525959065108</v>
      </c>
      <c r="D75" s="18" t="n">
        <f aca="false">IF('Data BoP'!$AQ74=0,"",(('Data BoP'!G71)+('Data BoP'!G72)+('Data BoP'!G73)+('Data BoP'!G74))/'Data BoP'!$AQ74)</f>
        <v>0.0143798585410329</v>
      </c>
      <c r="E75" s="18" t="n">
        <f aca="false">IF('Data BoP'!$AQ74=0,"",(('Data BoP'!J71)+('Data BoP'!J72)+('Data BoP'!J73)+('Data BoP'!J74))/'Data BoP'!$AQ74)</f>
        <v>-0.0110916375973828</v>
      </c>
      <c r="F75" s="18" t="n">
        <f aca="false">IF('Data BoP'!$AQ74=0,"",(('Data BoP'!M71)+('Data BoP'!M72)+('Data BoP'!M73)+('Data BoP'!M74))/'Data BoP'!$AQ74)</f>
        <v>-0.0196177784514159</v>
      </c>
      <c r="G75" s="18" t="n">
        <f aca="false">IF('Data BoP'!$AQ74=0,"",(('Data BoP'!S71)+('Data BoP'!S72)+('Data BoP'!S73)+('Data BoP'!S74))/'Data BoP'!$AQ74)</f>
        <v>0.00307696160125494</v>
      </c>
      <c r="H75" s="18" t="n">
        <f aca="false">IF('Data BoP'!$AQ74=0,"",(('Data BoP'!U71)+('Data BoP'!U72)+('Data BoP'!U73)+('Data BoP'!U74))/'Data BoP'!$AQ74)</f>
        <v>-0.0204059586903589</v>
      </c>
      <c r="I75" s="18" t="n">
        <f aca="false">IF('Data BoP'!$AQ74=0,"",(('Data BoP'!Y71+'Data BoP'!Z71)+('Data BoP'!Y72+'Data BoP'!Z72)+('Data BoP'!Y73+'Data BoP'!Z73)+('Data BoP'!Y74+'Data BoP'!Z74))/'Data BoP'!$AQ74)</f>
        <v>0.025398475082789</v>
      </c>
      <c r="J75" s="18" t="n">
        <f aca="false">IF('Data BoP'!$AQ74=0,"",(('Data BoP'!AD71+'Data BoP'!AE71)+('Data BoP'!AD72+'Data BoP'!AE72)+('Data BoP'!AD73+'Data BoP'!AE73)+('Data BoP'!AD74+'Data BoP'!AE74))/'Data BoP'!$AQ74)</f>
        <v>-0.00869856388075335</v>
      </c>
      <c r="K75" s="18" t="n">
        <f aca="false">IF('Data BoP'!$AQ74=0,"",(('Data BoP'!AL71)+('Data BoP'!AL72)+('Data BoP'!AL73)+('Data BoP'!AL74))/'Data BoP'!$AQ74)</f>
        <v>0.0129004973572503</v>
      </c>
      <c r="L75" s="18" t="n">
        <f aca="false">IF('Data BoP'!$AQ74=0,"",(('Data BoP'!W71+'Data BoP'!X71+'Data BoP'!AB71+'Data BoP'!AC71+'Data BoP'!AH71)+('Data BoP'!W72+'Data BoP'!X72+'Data BoP'!AB72+'Data BoP'!AC72+'Data BoP'!AH72)+('Data BoP'!W73+'Data BoP'!X73+'Data BoP'!AB73+'Data BoP'!AC73+'Data BoP'!AH73)+('Data BoP'!W74+'Data BoP'!X74+'Data BoP'!AB74+'Data BoP'!AC74+'Data BoP'!AH74))/'Data BoP'!$AQ74)</f>
        <v>0.0126938253362491</v>
      </c>
      <c r="M75" s="18" t="n">
        <f aca="false">IF('Data BoP'!$AQ74=0,"",(('Data BoP'!AK71)+('Data BoP'!AK72)+('Data BoP'!AK73)+('Data BoP'!AK74))/'Data BoP'!$AQ74)</f>
        <v>-0.00743697415346296</v>
      </c>
      <c r="N75" s="18" t="n">
        <f aca="false">IF('Data BoP'!$AQ74=0,"",(('Data BoP'!AJ71)+('Data BoP'!AJ72)+('Data BoP'!AJ73)+('Data BoP'!AJ74))/'Data BoP'!$AQ74)</f>
        <v>-0.00350919540786848</v>
      </c>
      <c r="O75" s="19" t="n">
        <f aca="false">'Data BoP'!$AQ74</f>
        <v>648620.843722849</v>
      </c>
    </row>
    <row r="76" customFormat="false" ht="15" hidden="false" customHeight="false" outlineLevel="0" collapsed="false">
      <c r="B76" s="14" t="str">
        <f aca="false">'Data BoP'!B75</f>
        <v>2023-Q2</v>
      </c>
      <c r="C76" s="18" t="n">
        <f aca="false">IF('Data BoP'!$AQ75=0,"",(('Data BoP'!E72)+('Data BoP'!E73)+('Data BoP'!E74)+('Data BoP'!E75))/'Data BoP'!$AQ75)</f>
        <v>-0.0220982629721639</v>
      </c>
      <c r="D76" s="18" t="n">
        <f aca="false">IF('Data BoP'!$AQ75=0,"",(('Data BoP'!G72)+('Data BoP'!G73)+('Data BoP'!G74)+('Data BoP'!G75))/'Data BoP'!$AQ75)</f>
        <v>0.00613270171641557</v>
      </c>
      <c r="E76" s="18" t="n">
        <f aca="false">IF('Data BoP'!$AQ75=0,"",(('Data BoP'!J72)+('Data BoP'!J73)+('Data BoP'!J74)+('Data BoP'!J75))/'Data BoP'!$AQ75)</f>
        <v>-0.0106328408047788</v>
      </c>
      <c r="F76" s="18" t="n">
        <f aca="false">IF('Data BoP'!$AQ75=0,"",(('Data BoP'!M72)+('Data BoP'!M73)+('Data BoP'!M74)+('Data BoP'!M75))/'Data BoP'!$AQ75)</f>
        <v>-0.0207181098515564</v>
      </c>
      <c r="G76" s="18" t="n">
        <f aca="false">IF('Data BoP'!$AQ75=0,"",(('Data BoP'!S72)+('Data BoP'!S73)+('Data BoP'!S74)+('Data BoP'!S75))/'Data BoP'!$AQ75)</f>
        <v>0.00311998596775569</v>
      </c>
      <c r="H76" s="18" t="n">
        <f aca="false">IF('Data BoP'!$AQ75=0,"",(('Data BoP'!U72)+('Data BoP'!U73)+('Data BoP'!U74)+('Data BoP'!U75))/'Data BoP'!$AQ75)</f>
        <v>-0.0261584822958538</v>
      </c>
      <c r="I76" s="18" t="n">
        <f aca="false">IF('Data BoP'!$AQ75=0,"",(('Data BoP'!Y72+'Data BoP'!Z72)+('Data BoP'!Y73+'Data BoP'!Z73)+('Data BoP'!Y74+'Data BoP'!Z74)+('Data BoP'!Y75+'Data BoP'!Z75))/'Data BoP'!$AQ75)</f>
        <v>0.0275452902777018</v>
      </c>
      <c r="J76" s="18" t="n">
        <f aca="false">IF('Data BoP'!$AQ75=0,"",(('Data BoP'!AD72+'Data BoP'!AE72)+('Data BoP'!AD73+'Data BoP'!AE73)+('Data BoP'!AD74+'Data BoP'!AE74)+('Data BoP'!AD75+'Data BoP'!AE75))/'Data BoP'!$AQ75)</f>
        <v>-0.00712648372620084</v>
      </c>
      <c r="K76" s="18" t="n">
        <f aca="false">IF('Data BoP'!$AQ75=0,"",(('Data BoP'!AL72)+('Data BoP'!AL73)+('Data BoP'!AL74)+('Data BoP'!AL75))/'Data BoP'!$AQ75)</f>
        <v>0.00630869110289399</v>
      </c>
      <c r="L76" s="18" t="n">
        <f aca="false">IF('Data BoP'!$AQ75=0,"",(('Data BoP'!W72+'Data BoP'!X72+'Data BoP'!AB72+'Data BoP'!AC72+'Data BoP'!AH72)+('Data BoP'!W73+'Data BoP'!X73+'Data BoP'!AB73+'Data BoP'!AC73+'Data BoP'!AH73)+('Data BoP'!W74+'Data BoP'!X74+'Data BoP'!AB74+'Data BoP'!AC74+'Data BoP'!AH74)+('Data BoP'!W75+'Data BoP'!X75+'Data BoP'!AB75+'Data BoP'!AC75+'Data BoP'!AH75))/'Data BoP'!$AQ75)</f>
        <v>0.0213717368444174</v>
      </c>
      <c r="M76" s="18" t="n">
        <f aca="false">IF('Data BoP'!$AQ75=0,"",(('Data BoP'!AK72)+('Data BoP'!AK73)+('Data BoP'!AK74)+('Data BoP'!AK75))/'Data BoP'!$AQ75)</f>
        <v>-0.00437470684089029</v>
      </c>
      <c r="N76" s="18" t="n">
        <f aca="false">IF('Data BoP'!$AQ75=0,"",(('Data BoP'!AJ72)+('Data BoP'!AJ73)+('Data BoP'!AJ74)+('Data BoP'!AJ75))/'Data BoP'!$AQ75)</f>
        <v>-0.0208064789062298</v>
      </c>
      <c r="O76" s="19" t="n">
        <f aca="false">'Data BoP'!$AQ75</f>
        <v>654507.223163323</v>
      </c>
    </row>
    <row r="77" customFormat="false" ht="15" hidden="false" customHeight="false" outlineLevel="0" collapsed="false">
      <c r="B77" s="14" t="str">
        <f aca="false">'Data BoP'!B76</f>
        <v>2023-Q3</v>
      </c>
      <c r="C77" s="18" t="n">
        <f aca="false">IF('Data BoP'!$AQ76=0,"",(('Data BoP'!E73)+('Data BoP'!E74)+('Data BoP'!E75)+('Data BoP'!E76))/'Data BoP'!$AQ76)</f>
        <v>-0.0261780108406284</v>
      </c>
      <c r="D77" s="18" t="n">
        <f aca="false">IF('Data BoP'!$AQ76=0,"",(('Data BoP'!G73)+('Data BoP'!G74)+('Data BoP'!G75)+('Data BoP'!G76))/'Data BoP'!$AQ76)</f>
        <v>0.00273810849036614</v>
      </c>
      <c r="E77" s="18" t="n">
        <f aca="false">IF('Data BoP'!$AQ76=0,"",(('Data BoP'!J73)+('Data BoP'!J74)+('Data BoP'!J75)+('Data BoP'!J76))/'Data BoP'!$AQ76)</f>
        <v>-0.0100258423371629</v>
      </c>
      <c r="F77" s="18" t="n">
        <f aca="false">IF('Data BoP'!$AQ76=0,"",(('Data BoP'!M73)+('Data BoP'!M74)+('Data BoP'!M75)+('Data BoP'!M76))/'Data BoP'!$AQ76)</f>
        <v>-0.0220817093534116</v>
      </c>
      <c r="G77" s="18" t="n">
        <f aca="false">IF('Data BoP'!$AQ76=0,"",(('Data BoP'!S73)+('Data BoP'!S74)+('Data BoP'!S75)+('Data BoP'!S76))/'Data BoP'!$AQ76)</f>
        <v>0.00319143235957993</v>
      </c>
      <c r="H77" s="18" t="n">
        <f aca="false">IF('Data BoP'!$AQ76=0,"",(('Data BoP'!U73)+('Data BoP'!U74)+('Data BoP'!U75)+('Data BoP'!U76))/'Data BoP'!$AQ76)</f>
        <v>-0.0318095807712046</v>
      </c>
      <c r="I77" s="18" t="n">
        <f aca="false">IF('Data BoP'!$AQ76=0,"",(('Data BoP'!Y73+'Data BoP'!Z73)+('Data BoP'!Y74+'Data BoP'!Z74)+('Data BoP'!Y75+'Data BoP'!Z75)+('Data BoP'!Y76+'Data BoP'!Z76))/'Data BoP'!$AQ76)</f>
        <v>0.0293957926160108</v>
      </c>
      <c r="J77" s="18" t="n">
        <f aca="false">IF('Data BoP'!$AQ76=0,"",(('Data BoP'!AD73+'Data BoP'!AE73)+('Data BoP'!AD74+'Data BoP'!AE74)+('Data BoP'!AD75+'Data BoP'!AE75)+('Data BoP'!AD76+'Data BoP'!AE76))/'Data BoP'!$AQ76)</f>
        <v>-0.00797075876128256</v>
      </c>
      <c r="K77" s="18" t="n">
        <f aca="false">IF('Data BoP'!$AQ76=0,"",(('Data BoP'!AL73)+('Data BoP'!AL74)+('Data BoP'!AL75)+('Data BoP'!AL76))/'Data BoP'!$AQ76)</f>
        <v>0.0167147365743124</v>
      </c>
      <c r="L77" s="18" t="n">
        <f aca="false">IF('Data BoP'!$AQ76=0,"",(('Data BoP'!W73+'Data BoP'!X73+'Data BoP'!AB73+'Data BoP'!AC73+'Data BoP'!AH73)+('Data BoP'!W74+'Data BoP'!X74+'Data BoP'!AB74+'Data BoP'!AC74+'Data BoP'!AH74)+('Data BoP'!W75+'Data BoP'!X75+'Data BoP'!AB75+'Data BoP'!AC75+'Data BoP'!AH75)+('Data BoP'!W76+'Data BoP'!X76+'Data BoP'!AB76+'Data BoP'!AC76+'Data BoP'!AH76))/'Data BoP'!$AQ76)</f>
        <v>0.0229787556495557</v>
      </c>
      <c r="M77" s="18" t="n">
        <f aca="false">IF('Data BoP'!$AQ76=0,"",(('Data BoP'!AK73)+('Data BoP'!AK74)+('Data BoP'!AK75)+('Data BoP'!AK76))/'Data BoP'!$AQ76)</f>
        <v>-0.0058776647188305</v>
      </c>
      <c r="N77" s="18" t="n">
        <f aca="false">IF('Data BoP'!$AQ76=0,"",(('Data BoP'!AJ73)+('Data BoP'!AJ74)+('Data BoP'!AJ75)+('Data BoP'!AJ76))/'Data BoP'!$AQ76)</f>
        <v>-0.0166566323830322</v>
      </c>
      <c r="O77" s="19" t="n">
        <f aca="false">'Data BoP'!$AQ76</f>
        <v>659286.449913024</v>
      </c>
    </row>
    <row r="78" customFormat="false" ht="15" hidden="false" customHeight="false" outlineLevel="0" collapsed="false">
      <c r="B78" s="14" t="str">
        <f aca="false">'Data BoP'!B77</f>
        <v>2023-Q4</v>
      </c>
      <c r="C78" s="18" t="n">
        <f aca="false">IF('Data BoP'!$AQ77=0,"",(('Data BoP'!E74)+('Data BoP'!E75)+('Data BoP'!E76)+('Data BoP'!E77))/'Data BoP'!$AQ77)</f>
        <v>-0.0339622563956869</v>
      </c>
      <c r="D78" s="18" t="n">
        <f aca="false">IF('Data BoP'!$AQ77=0,"",(('Data BoP'!G74)+('Data BoP'!G75)+('Data BoP'!G76)+('Data BoP'!G77))/'Data BoP'!$AQ77)</f>
        <v>-0.0041893053609049</v>
      </c>
      <c r="E78" s="18" t="n">
        <f aca="false">IF('Data BoP'!$AQ77=0,"",(('Data BoP'!J74)+('Data BoP'!J75)+('Data BoP'!J76)+('Data BoP'!J77))/'Data BoP'!$AQ77)</f>
        <v>-0.00968698219269454</v>
      </c>
      <c r="F78" s="18" t="n">
        <f aca="false">IF('Data BoP'!$AQ77=0,"",(('Data BoP'!M74)+('Data BoP'!M75)+('Data BoP'!M76)+('Data BoP'!M77))/'Data BoP'!$AQ77)</f>
        <v>-0.0232465337648465</v>
      </c>
      <c r="G78" s="18" t="n">
        <f aca="false">IF('Data BoP'!$AQ77=0,"",(('Data BoP'!S74)+('Data BoP'!S75)+('Data BoP'!S76)+('Data BoP'!S77))/'Data BoP'!$AQ77)</f>
        <v>0.00316056492275905</v>
      </c>
      <c r="H78" s="18" t="n">
        <f aca="false">IF('Data BoP'!$AQ77=0,"",(('Data BoP'!U74)+('Data BoP'!U75)+('Data BoP'!U76)+('Data BoP'!U77))/'Data BoP'!$AQ77)</f>
        <v>-0.0393701955716987</v>
      </c>
      <c r="I78" s="18" t="n">
        <f aca="false">IF('Data BoP'!$AQ77=0,"",(('Data BoP'!Y74+'Data BoP'!Z74)+('Data BoP'!Y75+'Data BoP'!Z75)+('Data BoP'!Y76+'Data BoP'!Z76)+('Data BoP'!Y77+'Data BoP'!Z77))/'Data BoP'!$AQ77)</f>
        <v>0.0399065971539594</v>
      </c>
      <c r="J78" s="18" t="n">
        <f aca="false">IF('Data BoP'!$AQ77=0,"",(('Data BoP'!AD74+'Data BoP'!AE74)+('Data BoP'!AD75+'Data BoP'!AE75)+('Data BoP'!AD76+'Data BoP'!AE76)+('Data BoP'!AD77+'Data BoP'!AE77))/'Data BoP'!$AQ77)</f>
        <v>-0.00583545755475964</v>
      </c>
      <c r="K78" s="18" t="n">
        <f aca="false">IF('Data BoP'!$AQ77=0,"",(('Data BoP'!AL74)+('Data BoP'!AL75)+('Data BoP'!AL76)+('Data BoP'!AL77))/'Data BoP'!$AQ77)</f>
        <v>0.00685304136844181</v>
      </c>
      <c r="L78" s="18" t="n">
        <f aca="false">IF('Data BoP'!$AQ77=0,"",(('Data BoP'!W74+'Data BoP'!X74+'Data BoP'!AB74+'Data BoP'!AC74+'Data BoP'!AH74)+('Data BoP'!W75+'Data BoP'!X75+'Data BoP'!AB75+'Data BoP'!AC75+'Data BoP'!AH75)+('Data BoP'!W76+'Data BoP'!X76+'Data BoP'!AB76+'Data BoP'!AC76+'Data BoP'!AH76)+('Data BoP'!W77+'Data BoP'!X77+'Data BoP'!AB77+'Data BoP'!AC77+'Data BoP'!AH77))/'Data BoP'!$AQ77)</f>
        <v>0.0344690242747163</v>
      </c>
      <c r="M78" s="18" t="n">
        <f aca="false">IF('Data BoP'!$AQ77=0,"",(('Data BoP'!AK74)+('Data BoP'!AK75)+('Data BoP'!AK76)+('Data BoP'!AK77))/'Data BoP'!$AQ77)</f>
        <v>-0.00569718611158144</v>
      </c>
      <c r="N78" s="18" t="n">
        <f aca="false">IF('Data BoP'!$AQ77=0,"",(('Data BoP'!AJ74)+('Data BoP'!AJ75)+('Data BoP'!AJ76)+('Data BoP'!AJ77))/'Data BoP'!$AQ77)</f>
        <v>-0.0329296015723232</v>
      </c>
      <c r="O78" s="19" t="n">
        <f aca="false">'Data BoP'!$AQ77</f>
        <v>658221.498274766</v>
      </c>
    </row>
    <row r="79" customFormat="false" ht="15" hidden="false" customHeight="false" outlineLevel="0" collapsed="false">
      <c r="B79" s="14" t="str">
        <f aca="false">'Data BoP'!B78</f>
        <v>2024-Q1</v>
      </c>
      <c r="C79" s="18" t="n">
        <f aca="false">IF('Data BoP'!$AQ78=0,"",(('Data BoP'!E75)+('Data BoP'!E76)+('Data BoP'!E77)+('Data BoP'!E78))/'Data BoP'!$AQ78)</f>
        <v>-0.0261210586942253</v>
      </c>
      <c r="D79" s="18" t="n">
        <f aca="false">IF('Data BoP'!$AQ78=0,"",(('Data BoP'!G75)+('Data BoP'!G76)+('Data BoP'!G77)+('Data BoP'!G78))/'Data BoP'!$AQ78)</f>
        <v>0.0041734437121216</v>
      </c>
      <c r="E79" s="18" t="n">
        <f aca="false">IF('Data BoP'!$AQ78=0,"",(('Data BoP'!J75)+('Data BoP'!J76)+('Data BoP'!J77)+('Data BoP'!J78))/'Data BoP'!$AQ78)</f>
        <v>-0.00863233879891417</v>
      </c>
      <c r="F79" s="18" t="n">
        <f aca="false">IF('Data BoP'!$AQ78=0,"",(('Data BoP'!M75)+('Data BoP'!M76)+('Data BoP'!M77)+('Data BoP'!M78))/'Data BoP'!$AQ78)</f>
        <v>-0.0250080579373194</v>
      </c>
      <c r="G79" s="18" t="n">
        <f aca="false">IF('Data BoP'!$AQ78=0,"",(('Data BoP'!S75)+('Data BoP'!S76)+('Data BoP'!S77)+('Data BoP'!S78))/'Data BoP'!$AQ78)</f>
        <v>0.00334589432988666</v>
      </c>
      <c r="H79" s="18" t="n">
        <f aca="false">IF('Data BoP'!$AQ78=0,"",(('Data BoP'!U75)+('Data BoP'!U76)+('Data BoP'!U77)+('Data BoP'!U78))/'Data BoP'!$AQ78)</f>
        <v>-0.0305547751325466</v>
      </c>
      <c r="I79" s="18" t="n">
        <f aca="false">IF('Data BoP'!$AQ78=0,"",(('Data BoP'!Y75+'Data BoP'!Z75)+('Data BoP'!Y76+'Data BoP'!Z76)+('Data BoP'!Y77+'Data BoP'!Z77)+('Data BoP'!Y78+'Data BoP'!Z78))/'Data BoP'!$AQ78)</f>
        <v>0.0431079375581379</v>
      </c>
      <c r="J79" s="18" t="n">
        <f aca="false">IF('Data BoP'!$AQ78=0,"",(('Data BoP'!AD75+'Data BoP'!AE75)+('Data BoP'!AD76+'Data BoP'!AE76)+('Data BoP'!AD77+'Data BoP'!AE77)+('Data BoP'!AD78+'Data BoP'!AE78))/'Data BoP'!$AQ78)</f>
        <v>-0.0027740761696291</v>
      </c>
      <c r="K79" s="18" t="n">
        <f aca="false">IF('Data BoP'!$AQ78=0,"",(('Data BoP'!AL75)+('Data BoP'!AL76)+('Data BoP'!AL77)+('Data BoP'!AL78))/'Data BoP'!$AQ78)</f>
        <v>0.00416967801089496</v>
      </c>
      <c r="L79" s="18" t="n">
        <f aca="false">IF('Data BoP'!$AQ78=0,"",(('Data BoP'!W75+'Data BoP'!X75+'Data BoP'!AB75+'Data BoP'!AC75+'Data BoP'!AH75)+('Data BoP'!W76+'Data BoP'!X76+'Data BoP'!AB76+'Data BoP'!AC76+'Data BoP'!AH76)+('Data BoP'!W77+'Data BoP'!X77+'Data BoP'!AB77+'Data BoP'!AC77+'Data BoP'!AH77)+('Data BoP'!W78+'Data BoP'!X78+'Data BoP'!AB78+'Data BoP'!AC78+'Data BoP'!AH78))/'Data BoP'!$AQ78)</f>
        <v>0.0323772889393063</v>
      </c>
      <c r="M79" s="18" t="n">
        <f aca="false">IF('Data BoP'!$AQ78=0,"",(('Data BoP'!AK75)+('Data BoP'!AK76)+('Data BoP'!AK77)+('Data BoP'!AK78))/'Data BoP'!$AQ78)</f>
        <v>-0.00484445153118677</v>
      </c>
      <c r="N79" s="18" t="n">
        <f aca="false">IF('Data BoP'!$AQ78=0,"",(('Data BoP'!AJ75)+('Data BoP'!AJ76)+('Data BoP'!AJ77)+('Data BoP'!AJ78))/'Data BoP'!$AQ78)</f>
        <v>-0.0184399945686454</v>
      </c>
      <c r="O79" s="19" t="n">
        <f aca="false">'Data BoP'!$AQ78</f>
        <v>628706.166517533</v>
      </c>
    </row>
    <row r="80" customFormat="false" ht="15" hidden="false" customHeight="false" outlineLevel="0" collapsed="false">
      <c r="B80" s="14" t="str">
        <f aca="false">'Data BoP'!B79</f>
        <v>2024-Q2</v>
      </c>
      <c r="C80" s="18" t="n">
        <f aca="false">IF('Data BoP'!$AQ79=0,"",(('Data BoP'!E76)+('Data BoP'!E77)+('Data BoP'!E78)+('Data BoP'!E79))/'Data BoP'!$AQ79)</f>
        <v>-0.00993647355417098</v>
      </c>
      <c r="D80" s="18" t="n">
        <f aca="false">IF('Data BoP'!$AQ79=0,"",(('Data BoP'!G76)+('Data BoP'!G77)+('Data BoP'!G78)+('Data BoP'!G79))/'Data BoP'!$AQ79)</f>
        <v>0.0192758457038774</v>
      </c>
      <c r="E80" s="18" t="n">
        <f aca="false">IF('Data BoP'!$AQ79=0,"",(('Data BoP'!J76)+('Data BoP'!J77)+('Data BoP'!J78)+('Data BoP'!J79))/'Data BoP'!$AQ79)</f>
        <v>-0.00803990213381348</v>
      </c>
      <c r="F80" s="18" t="n">
        <f aca="false">IF('Data BoP'!$AQ79=0,"",(('Data BoP'!M76)+('Data BoP'!M77)+('Data BoP'!M78)+('Data BoP'!M79))/'Data BoP'!$AQ79)</f>
        <v>-0.0248328148156679</v>
      </c>
      <c r="G80" s="18" t="n">
        <f aca="false">IF('Data BoP'!$AQ79=0,"",(('Data BoP'!S76)+('Data BoP'!S77)+('Data BoP'!S78)+('Data BoP'!S79))/'Data BoP'!$AQ79)</f>
        <v>0.003660397691433</v>
      </c>
      <c r="H80" s="18" t="n">
        <f aca="false">IF('Data BoP'!$AQ79=0,"",(('Data BoP'!U76)+('Data BoP'!U77)+('Data BoP'!U78)+('Data BoP'!U79))/'Data BoP'!$AQ79)</f>
        <v>-0.0156848298851387</v>
      </c>
      <c r="I80" s="18" t="n">
        <f aca="false">IF('Data BoP'!$AQ79=0,"",(('Data BoP'!Y76+'Data BoP'!Z76)+('Data BoP'!Y77+'Data BoP'!Z77)+('Data BoP'!Y78+'Data BoP'!Z78)+('Data BoP'!Y79+'Data BoP'!Z79))/'Data BoP'!$AQ79)</f>
        <v>0.0377537150142424</v>
      </c>
      <c r="J80" s="18" t="n">
        <f aca="false">IF('Data BoP'!$AQ79=0,"",(('Data BoP'!AD76+'Data BoP'!AE76)+('Data BoP'!AD77+'Data BoP'!AE77)+('Data BoP'!AD78+'Data BoP'!AE78)+('Data BoP'!AD79+'Data BoP'!AE79))/'Data BoP'!$AQ79)</f>
        <v>-0.000911436425681189</v>
      </c>
      <c r="K80" s="18" t="n">
        <f aca="false">IF('Data BoP'!$AQ79=0,"",(('Data BoP'!AL76)+('Data BoP'!AL77)+('Data BoP'!AL78)+('Data BoP'!AL79))/'Data BoP'!$AQ79)</f>
        <v>0.00173897616769961</v>
      </c>
      <c r="L80" s="18" t="n">
        <f aca="false">IF('Data BoP'!$AQ79=0,"",(('Data BoP'!W76+'Data BoP'!X76+'Data BoP'!AB76+'Data BoP'!AC76+'Data BoP'!AH76)+('Data BoP'!W77+'Data BoP'!X77+'Data BoP'!AB77+'Data BoP'!AC77+'Data BoP'!AH77)+('Data BoP'!W78+'Data BoP'!X78+'Data BoP'!AB78+'Data BoP'!AC78+'Data BoP'!AH78)+('Data BoP'!W79+'Data BoP'!X79+'Data BoP'!AB79+'Data BoP'!AC79+'Data BoP'!AH79))/'Data BoP'!$AQ79)</f>
        <v>0.0226321853179946</v>
      </c>
      <c r="M80" s="18" t="n">
        <f aca="false">IF('Data BoP'!$AQ79=0,"",(('Data BoP'!AK76)+('Data BoP'!AK77)+('Data BoP'!AK78)+('Data BoP'!AK79))/'Data BoP'!$AQ79)</f>
        <v>-0.00618249815055575</v>
      </c>
      <c r="N80" s="18" t="n">
        <f aca="false">IF('Data BoP'!$AQ79=0,"",(('Data BoP'!AJ76)+('Data BoP'!AJ77)+('Data BoP'!AJ78)+('Data BoP'!AJ79))/'Data BoP'!$AQ79)</f>
        <v>0.000259303615811241</v>
      </c>
      <c r="O80" s="19" t="n">
        <f aca="false">'Data BoP'!$AQ79</f>
        <v>613850.918064485</v>
      </c>
    </row>
    <row r="81" customFormat="false" ht="15" hidden="false" customHeight="false" outlineLevel="0" collapsed="false">
      <c r="B81" s="14" t="str">
        <f aca="false">'Data BoP'!B80</f>
        <v>2024-Q3</v>
      </c>
      <c r="C81" s="18" t="n">
        <f aca="false">IF('Data BoP'!$AQ80=0,"",(('Data BoP'!E77)+('Data BoP'!E78)+('Data BoP'!E79)+('Data BoP'!E80))/'Data BoP'!$AQ80)</f>
        <v>0.00150453507254616</v>
      </c>
      <c r="D81" s="18" t="n">
        <f aca="false">IF('Data BoP'!$AQ80=0,"",(('Data BoP'!G77)+('Data BoP'!G78)+('Data BoP'!G79)+('Data BoP'!G80))/'Data BoP'!$AQ80)</f>
        <v>0.0298997642364972</v>
      </c>
      <c r="E81" s="18" t="n">
        <f aca="false">IF('Data BoP'!$AQ80=0,"",(('Data BoP'!J77)+('Data BoP'!J78)+('Data BoP'!J79)+('Data BoP'!J80))/'Data BoP'!$AQ80)</f>
        <v>-0.00785809448975069</v>
      </c>
      <c r="F81" s="18" t="n">
        <f aca="false">IF('Data BoP'!$AQ80=0,"",(('Data BoP'!M77)+('Data BoP'!M78)+('Data BoP'!M79)+('Data BoP'!M80))/'Data BoP'!$AQ80)</f>
        <v>-0.0239871367230663</v>
      </c>
      <c r="G81" s="18" t="n">
        <f aca="false">IF('Data BoP'!$AQ80=0,"",(('Data BoP'!S77)+('Data BoP'!S78)+('Data BoP'!S79)+('Data BoP'!S80))/'Data BoP'!$AQ80)</f>
        <v>0.00345000204886596</v>
      </c>
      <c r="H81" s="18" t="n">
        <f aca="false">IF('Data BoP'!$AQ80=0,"",(('Data BoP'!U77)+('Data BoP'!U78)+('Data BoP'!U79)+('Data BoP'!U80))/'Data BoP'!$AQ80)</f>
        <v>-0.00508900757890754</v>
      </c>
      <c r="I81" s="18" t="n">
        <f aca="false">IF('Data BoP'!$AQ80=0,"",(('Data BoP'!Y77+'Data BoP'!Z77)+('Data BoP'!Y78+'Data BoP'!Z78)+('Data BoP'!Y79+'Data BoP'!Z79)+('Data BoP'!Y80+'Data BoP'!Z80))/'Data BoP'!$AQ80)</f>
        <v>0.0317112515724464</v>
      </c>
      <c r="J81" s="18" t="n">
        <f aca="false">IF('Data BoP'!$AQ80=0,"",(('Data BoP'!AD77+'Data BoP'!AE77)+('Data BoP'!AD78+'Data BoP'!AE78)+('Data BoP'!AD79+'Data BoP'!AE79)+('Data BoP'!AD80+'Data BoP'!AE80))/'Data BoP'!$AQ80)</f>
        <v>-0.00186979724560187</v>
      </c>
      <c r="K81" s="18" t="n">
        <f aca="false">IF('Data BoP'!$AQ80=0,"",(('Data BoP'!AL77)+('Data BoP'!AL78)+('Data BoP'!AL79)+('Data BoP'!AL80))/'Data BoP'!$AQ80)</f>
        <v>-0.0118510723334787</v>
      </c>
      <c r="L81" s="18" t="n">
        <f aca="false">IF('Data BoP'!$AQ80=0,"",(('Data BoP'!W77+'Data BoP'!X77+'Data BoP'!AB77+'Data BoP'!AC77+'Data BoP'!AH77)+('Data BoP'!W78+'Data BoP'!X78+'Data BoP'!AB78+'Data BoP'!AC78+'Data BoP'!AH78)+('Data BoP'!W79+'Data BoP'!X79+'Data BoP'!AB79+'Data BoP'!AC79+'Data BoP'!AH79)+('Data BoP'!W80+'Data BoP'!X80+'Data BoP'!AB80+'Data BoP'!AC80+'Data BoP'!AH80))/'Data BoP'!$AQ80)</f>
        <v>0.0159839245832428</v>
      </c>
      <c r="M81" s="18" t="n">
        <f aca="false">IF('Data BoP'!$AQ80=0,"",(('Data BoP'!AK77)+('Data BoP'!AK78)+('Data BoP'!AK79)+('Data BoP'!AK80))/'Data BoP'!$AQ80)</f>
        <v>-0.00703814336851789</v>
      </c>
      <c r="N81" s="18" t="n">
        <f aca="false">IF('Data BoP'!$AQ80=0,"",(('Data BoP'!AJ77)+('Data BoP'!AJ78)+('Data BoP'!AJ79)+('Data BoP'!AJ80))/'Data BoP'!$AQ80)</f>
        <v>-0.00312035871804337</v>
      </c>
      <c r="O81" s="19" t="n">
        <f aca="false">'Data BoP'!$AQ80</f>
        <v>616131.554984548</v>
      </c>
    </row>
    <row r="82" customFormat="false" ht="15" hidden="false" customHeight="false" outlineLevel="0" collapsed="false">
      <c r="B82" s="14" t="str">
        <f aca="false">'Data BoP'!B81</f>
        <v>2024-Q4</v>
      </c>
      <c r="C82" s="18" t="n">
        <f aca="false">IF('Data BoP'!$AQ81=0,"",(('Data BoP'!E78)+('Data BoP'!E79)+('Data BoP'!E80)+('Data BoP'!E81))/'Data BoP'!$AQ81)</f>
        <v>0.00930425546099193</v>
      </c>
      <c r="D82" s="18" t="n">
        <f aca="false">IF('Data BoP'!$AQ81=0,"",(('Data BoP'!G78)+('Data BoP'!G79)+('Data BoP'!G80)+('Data BoP'!G81))/'Data BoP'!$AQ81)</f>
        <v>0.0353822414432965</v>
      </c>
      <c r="E82" s="18" t="n">
        <f aca="false">IF('Data BoP'!$AQ81=0,"",(('Data BoP'!J78)+('Data BoP'!J79)+('Data BoP'!J80)+('Data BoP'!J81))/'Data BoP'!$AQ81)</f>
        <v>-0.0077987899362557</v>
      </c>
      <c r="F82" s="18" t="n">
        <f aca="false">IF('Data BoP'!$AQ81=0,"",(('Data BoP'!M78)+('Data BoP'!M79)+('Data BoP'!M80)+('Data BoP'!M81))/'Data BoP'!$AQ81)</f>
        <v>-0.0218257556349913</v>
      </c>
      <c r="G82" s="18" t="n">
        <f aca="false">IF('Data BoP'!$AQ81=0,"",(('Data BoP'!S78)+('Data BoP'!S79)+('Data BoP'!S80)+('Data BoP'!S81))/'Data BoP'!$AQ81)</f>
        <v>0.00354655958894246</v>
      </c>
      <c r="H82" s="18" t="n">
        <f aca="false">IF('Data BoP'!$AQ81=0,"",(('Data BoP'!U78)+('Data BoP'!U79)+('Data BoP'!U80)+('Data BoP'!U81))/'Data BoP'!$AQ81)</f>
        <v>0.0036624403356196</v>
      </c>
      <c r="I82" s="18" t="n">
        <f aca="false">IF('Data BoP'!$AQ81=0,"",(('Data BoP'!Y78+'Data BoP'!Z78)+('Data BoP'!Y79+'Data BoP'!Z79)+('Data BoP'!Y80+'Data BoP'!Z80)+('Data BoP'!Y81+'Data BoP'!Z81))/'Data BoP'!$AQ81)</f>
        <v>0.0195271787849228</v>
      </c>
      <c r="J82" s="18" t="n">
        <f aca="false">IF('Data BoP'!$AQ81=0,"",(('Data BoP'!AD78+'Data BoP'!AE78)+('Data BoP'!AD79+'Data BoP'!AE79)+('Data BoP'!AD80+'Data BoP'!AE80)+('Data BoP'!AD81+'Data BoP'!AE81))/'Data BoP'!$AQ81)</f>
        <v>-0.000913565668759303</v>
      </c>
      <c r="K82" s="18" t="n">
        <f aca="false">IF('Data BoP'!$AQ81=0,"",(('Data BoP'!AL78)+('Data BoP'!AL79)+('Data BoP'!AL80)+('Data BoP'!AL81))/'Data BoP'!$AQ81)</f>
        <v>-0.0072265480753697</v>
      </c>
      <c r="L82" s="18" t="n">
        <f aca="false">IF('Data BoP'!$AQ81=0,"",(('Data BoP'!W78+'Data BoP'!X78+'Data BoP'!AB78+'Data BoP'!AC78+'Data BoP'!AH78)+('Data BoP'!W79+'Data BoP'!X79+'Data BoP'!AB79+'Data BoP'!AC79+'Data BoP'!AH79)+('Data BoP'!W80+'Data BoP'!X80+'Data BoP'!AB80+'Data BoP'!AC80+'Data BoP'!AH80)+('Data BoP'!W81+'Data BoP'!X81+'Data BoP'!AB81+'Data BoP'!AC81+'Data BoP'!AH81))/'Data BoP'!$AQ81)</f>
        <v>0.00539606129891359</v>
      </c>
      <c r="M82" s="18" t="n">
        <f aca="false">IF('Data BoP'!$AQ81=0,"",(('Data BoP'!AK78)+('Data BoP'!AK79)+('Data BoP'!AK80)+('Data BoP'!AK81))/'Data BoP'!$AQ81)</f>
        <v>-0.00608019272092221</v>
      </c>
      <c r="N82" s="18" t="n">
        <f aca="false">IF('Data BoP'!$AQ81=0,"",(('Data BoP'!AJ78)+('Data BoP'!AJ79)+('Data BoP'!AJ80)+('Data BoP'!AJ81))/'Data BoP'!$AQ81)</f>
        <v>0.00962304925792325</v>
      </c>
      <c r="O82" s="19" t="n">
        <f aca="false">'Data BoP'!$AQ81</f>
        <v>633194.650166078</v>
      </c>
    </row>
    <row r="83" customFormat="false" ht="15" hidden="false" customHeight="false" outlineLevel="0" collapsed="false">
      <c r="B83" s="14" t="str">
        <f aca="false">'Data BoP'!B82</f>
        <v>2025-Q1</v>
      </c>
      <c r="C83" s="18" t="n">
        <f aca="false">IF('Data BoP'!$AQ82=0,"",(('Data BoP'!E79)+('Data BoP'!E80)+('Data BoP'!E81)+('Data BoP'!E82))/'Data BoP'!$AQ82)</f>
        <v>0.000999439688142534</v>
      </c>
      <c r="D83" s="18" t="n">
        <f aca="false">IF('Data BoP'!$AQ82=0,"",(('Data BoP'!G79)+('Data BoP'!G80)+('Data BoP'!G81)+('Data BoP'!G82))/'Data BoP'!$AQ82)</f>
        <v>0.0286702761205731</v>
      </c>
      <c r="E83" s="18" t="n">
        <f aca="false">IF('Data BoP'!$AQ82=0,"",(('Data BoP'!J79)+('Data BoP'!J80)+('Data BoP'!J81)+('Data BoP'!J82))/'Data BoP'!$AQ82)</f>
        <v>-0.0120184223302847</v>
      </c>
      <c r="F83" s="18" t="n">
        <f aca="false">IF('Data BoP'!$AQ82=0,"",(('Data BoP'!M79)+('Data BoP'!M80)+('Data BoP'!M81)+('Data BoP'!M82))/'Data BoP'!$AQ82)</f>
        <v>-0.0187706689607593</v>
      </c>
      <c r="G83" s="18" t="n">
        <f aca="false">IF('Data BoP'!$AQ82=0,"",(('Data BoP'!S79)+('Data BoP'!S80)+('Data BoP'!S81)+('Data BoP'!S82))/'Data BoP'!$AQ82)</f>
        <v>0.00311825485861347</v>
      </c>
      <c r="H83" s="18" t="n">
        <f aca="false">IF('Data BoP'!$AQ82=0,"",(('Data BoP'!U79)+('Data BoP'!U80)+('Data BoP'!U81)+('Data BoP'!U82))/'Data BoP'!$AQ82)</f>
        <v>-0.00596741899148536</v>
      </c>
      <c r="I83" s="18" t="n">
        <f aca="false">IF('Data BoP'!$AQ82=0,"",(('Data BoP'!Y79+'Data BoP'!Z79)+('Data BoP'!Y80+'Data BoP'!Z80)+('Data BoP'!Y81+'Data BoP'!Z81)+('Data BoP'!Y82+'Data BoP'!Z82))/'Data BoP'!$AQ82)</f>
        <v>0.0112869945817538</v>
      </c>
      <c r="J83" s="18" t="n">
        <f aca="false">IF('Data BoP'!$AQ82=0,"",(('Data BoP'!AD79+'Data BoP'!AE79)+('Data BoP'!AD80+'Data BoP'!AE80)+('Data BoP'!AD81+'Data BoP'!AE81)+('Data BoP'!AD82+'Data BoP'!AE82))/'Data BoP'!$AQ82)</f>
        <v>-0.00235723725048613</v>
      </c>
      <c r="K83" s="18" t="n">
        <f aca="false">IF('Data BoP'!$AQ82=0,"",(('Data BoP'!AL79)+('Data BoP'!AL80)+('Data BoP'!AL81)+('Data BoP'!AL82))/'Data BoP'!$AQ82)</f>
        <v>-0.0023049525242535</v>
      </c>
      <c r="L83" s="18" t="n">
        <f aca="false">IF('Data BoP'!$AQ82=0,"",(('Data BoP'!W79+'Data BoP'!X79+'Data BoP'!AB79+'Data BoP'!AC79+'Data BoP'!AH79)+('Data BoP'!W80+'Data BoP'!X80+'Data BoP'!AB80+'Data BoP'!AC80+'Data BoP'!AH80)+('Data BoP'!W81+'Data BoP'!X81+'Data BoP'!AB81+'Data BoP'!AC81+'Data BoP'!AH81)+('Data BoP'!W82+'Data BoP'!X82+'Data BoP'!AB82+'Data BoP'!AC82+'Data BoP'!AH82))/'Data BoP'!$AQ82)</f>
        <v>0.00598362118526143</v>
      </c>
      <c r="M83" s="18" t="n">
        <f aca="false">IF('Data BoP'!$AQ82=0,"",(('Data BoP'!AK79)+('Data BoP'!AK80)+('Data BoP'!AK81)+('Data BoP'!AK82))/'Data BoP'!$AQ82)</f>
        <v>-0.0073248549992445</v>
      </c>
      <c r="N83" s="18" t="n">
        <f aca="false">IF('Data BoP'!$AQ82=0,"",(('Data BoP'!AJ79)+('Data BoP'!AJ80)+('Data BoP'!AJ81)+('Data BoP'!AJ82))/'Data BoP'!$AQ82)</f>
        <v>-0.00534014259753495</v>
      </c>
      <c r="O83" s="19" t="n">
        <f aca="false">'Data BoP'!$AQ82</f>
        <v>676454.335163977</v>
      </c>
    </row>
    <row r="84" customFormat="false" ht="15" hidden="false" customHeight="false" outlineLevel="0" collapsed="false">
      <c r="B84" s="14" t="str">
        <f aca="false">'Data BoP'!B83</f>
        <v>2025-Q2</v>
      </c>
      <c r="C84" s="18" t="n">
        <f aca="false">IF('Data BoP'!$AQ83=0,"",(('Data BoP'!E80)+('Data BoP'!E81)+('Data BoP'!E82)+('Data BoP'!E83))/'Data BoP'!$AQ83)</f>
        <v>-0.00754200627137837</v>
      </c>
      <c r="D84" s="18" t="n">
        <f aca="false">IF('Data BoP'!$AQ83=0,"",(('Data BoP'!G80)+('Data BoP'!G81)+('Data BoP'!G82)+('Data BoP'!G83))/'Data BoP'!$AQ83)</f>
        <v>0.021363356968133</v>
      </c>
      <c r="E84" s="18" t="n">
        <f aca="false">IF('Data BoP'!$AQ83=0,"",(('Data BoP'!J80)+('Data BoP'!J81)+('Data BoP'!J82)+('Data BoP'!J83))/'Data BoP'!$AQ83)</f>
        <v>-0.0135846548213583</v>
      </c>
      <c r="F84" s="18" t="n">
        <f aca="false">IF('Data BoP'!$AQ83=0,"",(('Data BoP'!M80)+('Data BoP'!M81)+('Data BoP'!M82)+('Data BoP'!M83))/'Data BoP'!$AQ83)</f>
        <v>-0.0184796384461799</v>
      </c>
      <c r="G84" s="18" t="n">
        <f aca="false">IF('Data BoP'!$AQ83=0,"",(('Data BoP'!S80)+('Data BoP'!S81)+('Data BoP'!S82)+('Data BoP'!S83))/'Data BoP'!$AQ83)</f>
        <v>0.00315893002802691</v>
      </c>
      <c r="H84" s="18" t="n">
        <f aca="false">IF('Data BoP'!$AQ83=0,"",(('Data BoP'!U80)+('Data BoP'!U81)+('Data BoP'!U82)+('Data BoP'!U83))/'Data BoP'!$AQ83)</f>
        <v>-0.0142350356265654</v>
      </c>
      <c r="I84" s="18" t="n">
        <f aca="false">IF('Data BoP'!$AQ83=0,"",(('Data BoP'!Y80+'Data BoP'!Z80)+('Data BoP'!Y81+'Data BoP'!Z81)+('Data BoP'!Y82+'Data BoP'!Z82)+('Data BoP'!Y83+'Data BoP'!Z83))/'Data BoP'!$AQ83)</f>
        <v>0.0112572321507849</v>
      </c>
      <c r="J84" s="18" t="n">
        <f aca="false">IF('Data BoP'!$AQ83=0,"",(('Data BoP'!AD80+'Data BoP'!AE80)+('Data BoP'!AD81+'Data BoP'!AE81)+('Data BoP'!AD82+'Data BoP'!AE82)+('Data BoP'!AD83+'Data BoP'!AE83))/'Data BoP'!$AQ83)</f>
        <v>-0.000858044734794318</v>
      </c>
      <c r="K84" s="18" t="n">
        <f aca="false">IF('Data BoP'!$AQ83=0,"",(('Data BoP'!AL80)+('Data BoP'!AL81)+('Data BoP'!AL82)+('Data BoP'!AL83))/'Data BoP'!$AQ83)</f>
        <v>0.027932344904769</v>
      </c>
      <c r="L84" s="18" t="n">
        <f aca="false">IF('Data BoP'!$AQ83=0,"",(('Data BoP'!W80+'Data BoP'!X80+'Data BoP'!AB80+'Data BoP'!AC80+'Data BoP'!AH80)+('Data BoP'!W81+'Data BoP'!X81+'Data BoP'!AB81+'Data BoP'!AC81+'Data BoP'!AH81)+('Data BoP'!W82+'Data BoP'!X82+'Data BoP'!AB82+'Data BoP'!AC82+'Data BoP'!AH82)+('Data BoP'!W83+'Data BoP'!X83+'Data BoP'!AB83+'Data BoP'!AC83+'Data BoP'!AH83))/'Data BoP'!$AQ83)</f>
        <v>0.0112742643345751</v>
      </c>
      <c r="M84" s="18" t="n">
        <f aca="false">IF('Data BoP'!$AQ83=0,"",(('Data BoP'!AK80)+('Data BoP'!AK81)+('Data BoP'!AK82)+('Data BoP'!AK83))/'Data BoP'!$AQ83)</f>
        <v>-0.00720321352520928</v>
      </c>
      <c r="N84" s="18" t="n">
        <f aca="false">IF('Data BoP'!$AQ83=0,"",(('Data BoP'!AJ80)+('Data BoP'!AJ81)+('Data BoP'!AJ82)+('Data BoP'!AJ83))/'Data BoP'!$AQ83)</f>
        <v>0.0128085053337456</v>
      </c>
      <c r="O84" s="19" t="n">
        <f aca="false">'Data BoP'!$AQ83</f>
        <v>699924.950855549</v>
      </c>
    </row>
    <row r="85" customFormat="false" ht="15" hidden="false" customHeight="false" outlineLevel="0" collapsed="false">
      <c r="B85" s="14" t="str">
        <f aca="false">'Data BoP'!B84</f>
        <v>2025-Q3</v>
      </c>
      <c r="C85" s="18" t="n">
        <f aca="false">IF('Data BoP'!$AQ84=0,"",(('Data BoP'!E81)+('Data BoP'!E82)+('Data BoP'!E83)+('Data BoP'!E84))/'Data BoP'!$AQ84)</f>
        <v>-0.0114759774818535</v>
      </c>
      <c r="D85" s="18" t="n">
        <f aca="false">IF('Data BoP'!$AQ84=0,"",(('Data BoP'!G81)+('Data BoP'!G82)+('Data BoP'!G83)+('Data BoP'!G84))/'Data BoP'!$AQ84)</f>
        <v>0.0200640655457909</v>
      </c>
      <c r="E85" s="18" t="n">
        <f aca="false">IF('Data BoP'!$AQ84=0,"",(('Data BoP'!J81)+('Data BoP'!J82)+('Data BoP'!J83)+('Data BoP'!J84))/'Data BoP'!$AQ84)</f>
        <v>-0.0152573799376749</v>
      </c>
      <c r="F85" s="18" t="n">
        <f aca="false">IF('Data BoP'!$AQ84=0,"",(('Data BoP'!M81)+('Data BoP'!M82)+('Data BoP'!M83)+('Data BoP'!M84))/'Data BoP'!$AQ84)</f>
        <v>-0.0196523013528307</v>
      </c>
      <c r="G85" s="18" t="n">
        <f aca="false">IF('Data BoP'!$AQ84=0,"",(('Data BoP'!S81)+('Data BoP'!S82)+('Data BoP'!S83)+('Data BoP'!S84))/'Data BoP'!$AQ84)</f>
        <v>0.00336963826286129</v>
      </c>
      <c r="H85" s="18" t="n">
        <f aca="false">IF('Data BoP'!$AQ84=0,"",(('Data BoP'!U81)+('Data BoP'!U82)+('Data BoP'!U83)+('Data BoP'!U84))/'Data BoP'!$AQ84)</f>
        <v>-0.0183612024244588</v>
      </c>
      <c r="I85" s="18" t="n">
        <f aca="false">IF('Data BoP'!$AQ84=0,"",(('Data BoP'!Y81+'Data BoP'!Z81)+('Data BoP'!Y82+'Data BoP'!Z82)+('Data BoP'!Y83+'Data BoP'!Z83)+('Data BoP'!Y84+'Data BoP'!Z84))/'Data BoP'!$AQ84)</f>
        <v>0.0130649640657054</v>
      </c>
      <c r="J85" s="18" t="n">
        <f aca="false">IF('Data BoP'!$AQ84=0,"",(('Data BoP'!AD81+'Data BoP'!AE81)+('Data BoP'!AD82+'Data BoP'!AE82)+('Data BoP'!AD83+'Data BoP'!AE83)+('Data BoP'!AD84+'Data BoP'!AE84))/'Data BoP'!$AQ84)</f>
        <v>-0.000402703873782666</v>
      </c>
      <c r="K85" s="18" t="n">
        <f aca="false">IF('Data BoP'!$AQ84=0,"",(('Data BoP'!AL81)+('Data BoP'!AL82)+('Data BoP'!AL83)+('Data BoP'!AL84))/'Data BoP'!$AQ84)</f>
        <v>0.0422229164102672</v>
      </c>
      <c r="L85" s="18" t="n">
        <f aca="false">IF('Data BoP'!$AQ84=0,"",(('Data BoP'!W81+'Data BoP'!X81+'Data BoP'!AB81+'Data BoP'!AC81+'Data BoP'!AH81)+('Data BoP'!W82+'Data BoP'!X82+'Data BoP'!AB82+'Data BoP'!AC82+'Data BoP'!AH82)+('Data BoP'!W83+'Data BoP'!X83+'Data BoP'!AB83+'Data BoP'!AC83+'Data BoP'!AH83)+('Data BoP'!W84+'Data BoP'!X84+'Data BoP'!AB84+'Data BoP'!AC84+'Data BoP'!AH84))/'Data BoP'!$AQ84)</f>
        <v>0.0201068770823023</v>
      </c>
      <c r="M85" s="18" t="n">
        <f aca="false">IF('Data BoP'!$AQ84=0,"",(('Data BoP'!AK81)+('Data BoP'!AK82)+('Data BoP'!AK83)+('Data BoP'!AK84))/'Data BoP'!$AQ84)</f>
        <v>-0.00752864742062906</v>
      </c>
      <c r="N85" s="18" t="n">
        <f aca="false">IF('Data BoP'!$AQ84=0,"",(('Data BoP'!AJ81)+('Data BoP'!AJ82)+('Data BoP'!AJ83)+('Data BoP'!AJ84))/'Data BoP'!$AQ84)</f>
        <v>0.0164597832621313</v>
      </c>
      <c r="O85" s="19" t="n">
        <f aca="false">'Data BoP'!$AQ84</f>
        <v>697523.702683781</v>
      </c>
    </row>
    <row r="86" customFormat="false" ht="15" hidden="false" customHeight="false" outlineLevel="0" collapsed="false">
      <c r="B86" s="14" t="str">
        <f aca="false">'Data BoP'!B85</f>
        <v>2025-Q4</v>
      </c>
      <c r="C86" s="18" t="n">
        <f aca="false">IF('Data BoP'!$AQ85=0,"",(('Data BoP'!E82)+('Data BoP'!E83)+('Data BoP'!E84)+('Data BoP'!E85))/'Data BoP'!$AQ85)</f>
        <v>-0.0113615629975955</v>
      </c>
      <c r="D86" s="18" t="n">
        <f aca="false">IF('Data BoP'!$AQ85=0,"",(('Data BoP'!G82)+('Data BoP'!G83)+('Data BoP'!G84)+('Data BoP'!G85))/'Data BoP'!$AQ85)</f>
        <v>0.0224062448665122</v>
      </c>
      <c r="E86" s="18" t="n">
        <f aca="false">IF('Data BoP'!$AQ85=0,"",(('Data BoP'!J82)+('Data BoP'!J83)+('Data BoP'!J84)+('Data BoP'!J85))/'Data BoP'!$AQ85)</f>
        <v>-0.0169238138696529</v>
      </c>
      <c r="F86" s="18" t="n">
        <f aca="false">IF('Data BoP'!$AQ85=0,"",(('Data BoP'!M82)+('Data BoP'!M83)+('Data BoP'!M84)+('Data BoP'!M85))/'Data BoP'!$AQ85)</f>
        <v>-0.0205384262309991</v>
      </c>
      <c r="G86" s="18" t="n">
        <f aca="false">IF('Data BoP'!$AQ85=0,"",(('Data BoP'!S82)+('Data BoP'!S83)+('Data BoP'!S84)+('Data BoP'!S85))/'Data BoP'!$AQ85)</f>
        <v>0.00369443223654437</v>
      </c>
      <c r="H86" s="18" t="n">
        <f aca="false">IF('Data BoP'!$AQ85=0,"",(('Data BoP'!U82)+('Data BoP'!U83)+('Data BoP'!U84)+('Data BoP'!U85))/'Data BoP'!$AQ85)</f>
        <v>-0.0175105058869266</v>
      </c>
      <c r="I86" s="18" t="n">
        <f aca="false">IF('Data BoP'!$AQ85=0,"",(('Data BoP'!Y82+'Data BoP'!Z82)+('Data BoP'!Y83+'Data BoP'!Z83)+('Data BoP'!Y84+'Data BoP'!Z84)+('Data BoP'!Y85+'Data BoP'!Z85))/'Data BoP'!$AQ85)</f>
        <v>0.00636302717485498</v>
      </c>
      <c r="J86" s="18" t="n">
        <f aca="false">IF('Data BoP'!$AQ85=0,"",(('Data BoP'!AD82+'Data BoP'!AE82)+('Data BoP'!AD83+'Data BoP'!AE83)+('Data BoP'!AD84+'Data BoP'!AE84)+('Data BoP'!AD85+'Data BoP'!AE85))/'Data BoP'!$AQ85)</f>
        <v>0.00834558797867571</v>
      </c>
      <c r="K86" s="18" t="n">
        <f aca="false">IF('Data BoP'!$AQ85=0,"",(('Data BoP'!AL82)+('Data BoP'!AL83)+('Data BoP'!AL84)+('Data BoP'!AL85))/'Data BoP'!$AQ85)</f>
        <v>0.0407917205868743</v>
      </c>
      <c r="L86" s="18" t="n">
        <f aca="false">IF('Data BoP'!$AQ85=0,"",(('Data BoP'!W82+'Data BoP'!X82+'Data BoP'!AB82+'Data BoP'!AC82+'Data BoP'!AH82)+('Data BoP'!W83+'Data BoP'!X83+'Data BoP'!AB83+'Data BoP'!AC83+'Data BoP'!AH83)+('Data BoP'!W84+'Data BoP'!X84+'Data BoP'!AB84+'Data BoP'!AC84+'Data BoP'!AH84)+('Data BoP'!W85+'Data BoP'!X85+'Data BoP'!AB85+'Data BoP'!AC85+'Data BoP'!AH85))/'Data BoP'!$AQ85)</f>
        <v>0.0274515310160542</v>
      </c>
      <c r="M86" s="18" t="n">
        <f aca="false">IF('Data BoP'!$AQ85=0,"",(('Data BoP'!AK82)+('Data BoP'!AK83)+('Data BoP'!AK84)+('Data BoP'!AK85))/'Data BoP'!$AQ85)</f>
        <v>-0.00681145683913754</v>
      </c>
      <c r="N86" s="18" t="n">
        <f aca="false">IF('Data BoP'!$AQ85=0,"",(('Data BoP'!AJ82)+('Data BoP'!AJ83)+('Data BoP'!AJ84)+('Data BoP'!AJ85))/'Data BoP'!$AQ85)</f>
        <v>0.0105343303248644</v>
      </c>
      <c r="O86" s="19" t="n">
        <f aca="false">'Data BoP'!$AQ85</f>
        <v>685480.119293686</v>
      </c>
    </row>
    <row r="87" customFormat="false" ht="15" hidden="false" customHeight="false" outlineLevel="0" collapsed="false">
      <c r="B87" s="14" t="str">
        <f aca="false">'Data BoP'!B86</f>
        <v>2026-Q1</v>
      </c>
      <c r="C87" s="18" t="n">
        <f aca="false">IF('Data BoP'!$AQ86=0,"",(('Data BoP'!E83)+('Data BoP'!E84)+('Data BoP'!E85)+('Data BoP'!E86))/'Data BoP'!$AQ86)</f>
        <v>-0.00625432616071124</v>
      </c>
      <c r="D87" s="18" t="n">
        <f aca="false">IF('Data BoP'!$AQ86=0,"",(('Data BoP'!G83)+('Data BoP'!G84)+('Data BoP'!G85)+('Data BoP'!G86))/'Data BoP'!$AQ86)</f>
        <v>0.0286904257420743</v>
      </c>
      <c r="E87" s="18" t="n">
        <f aca="false">IF('Data BoP'!$AQ86=0,"",(('Data BoP'!J83)+('Data BoP'!J84)+('Data BoP'!J85)+('Data BoP'!J86))/'Data BoP'!$AQ86)</f>
        <v>-0.0161711746871808</v>
      </c>
      <c r="F87" s="18" t="n">
        <f aca="false">IF('Data BoP'!$AQ86=0,"",(('Data BoP'!M83)+('Data BoP'!M84)+('Data BoP'!M85)+('Data BoP'!M86))/'Data BoP'!$AQ86)</f>
        <v>-0.0229904476311876</v>
      </c>
      <c r="G87" s="18" t="n">
        <f aca="false">IF('Data BoP'!$AQ86=0,"",(('Data BoP'!S83)+('Data BoP'!S84)+('Data BoP'!S85)+('Data BoP'!S86))/'Data BoP'!$AQ86)</f>
        <v>0.00421687041558285</v>
      </c>
      <c r="H87" s="18" t="n">
        <f aca="false">IF('Data BoP'!$AQ86=0,"",(('Data BoP'!U83)+('Data BoP'!U84)+('Data BoP'!U85)+('Data BoP'!U86))/'Data BoP'!$AQ86)</f>
        <v>-0.010536482105172</v>
      </c>
      <c r="I87" s="18" t="n">
        <f aca="false">IF('Data BoP'!$AQ86=0,"",(('Data BoP'!Y83+'Data BoP'!Z83)+('Data BoP'!Y84+'Data BoP'!Z84)+('Data BoP'!Y85+'Data BoP'!Z85)+('Data BoP'!Y86+'Data BoP'!Z86))/'Data BoP'!$AQ86)</f>
        <v>0.00772911066100498</v>
      </c>
      <c r="J87" s="18" t="n">
        <f aca="false">IF('Data BoP'!$AQ86=0,"",(('Data BoP'!AD83+'Data BoP'!AE83)+('Data BoP'!AD84+'Data BoP'!AE84)+('Data BoP'!AD85+'Data BoP'!AE85)+('Data BoP'!AD86+'Data BoP'!AE86))/'Data BoP'!$AQ86)</f>
        <v>0.0104275366732749</v>
      </c>
      <c r="K87" s="18" t="n">
        <f aca="false">IF('Data BoP'!$AQ86=0,"",(('Data BoP'!AL83)+('Data BoP'!AL84)+('Data BoP'!AL85)+('Data BoP'!AL86))/'Data BoP'!$AQ86)</f>
        <v>0.0405582136235635</v>
      </c>
      <c r="L87" s="18" t="n">
        <f aca="false">IF('Data BoP'!$AQ86=0,"",(('Data BoP'!W83+'Data BoP'!X83+'Data BoP'!AB83+'Data BoP'!AC83+'Data BoP'!AH83)+('Data BoP'!W84+'Data BoP'!X84+'Data BoP'!AB84+'Data BoP'!AC84+'Data BoP'!AH84)+('Data BoP'!W85+'Data BoP'!X85+'Data BoP'!AB85+'Data BoP'!AC85+'Data BoP'!AH85)+('Data BoP'!W86+'Data BoP'!X86+'Data BoP'!AB86+'Data BoP'!AC86+'Data BoP'!AH86))/'Data BoP'!$AQ86)</f>
        <v>0.0293900425754535</v>
      </c>
      <c r="M87" s="18" t="n">
        <f aca="false">IF('Data BoP'!$AQ86=0,"",(('Data BoP'!AK83)+('Data BoP'!AK84)+('Data BoP'!AK85)+('Data BoP'!AK86))/'Data BoP'!$AQ86)</f>
        <v>-0.00495183478327793</v>
      </c>
      <c r="N87" s="18" t="n">
        <f aca="false">IF('Data BoP'!$AQ86=0,"",(('Data BoP'!AJ83)+('Data BoP'!AJ84)+('Data BoP'!AJ85)+('Data BoP'!AJ86))/'Data BoP'!$AQ86)</f>
        <v>0.0187861533061722</v>
      </c>
      <c r="O87" s="19" t="n">
        <f aca="false">'Data BoP'!$AQ86</f>
        <v>684501.996913219</v>
      </c>
    </row>
    <row r="89" customFormat="false" ht="15" hidden="false" customHeight="false" outlineLevel="0" collapsed="false">
      <c r="B89" s="12"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G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7" min="3" style="0" width="16"/>
  </cols>
  <sheetData>
    <row r="2" customFormat="false" ht="25.5" hidden="false" customHeight="true" outlineLevel="0" collapsed="false">
      <c r="B2" s="1" t="s">
        <v>233</v>
      </c>
    </row>
    <row r="3" customFormat="false" ht="15" hidden="false" customHeight="false" outlineLevel="0" collapsed="false">
      <c r="B3" s="2" t="s">
        <v>234</v>
      </c>
    </row>
    <row r="6" customFormat="false" ht="33.75" hidden="false" customHeight="true" outlineLevel="0" collapsed="false">
      <c r="B6" s="13" t="s">
        <v>39</v>
      </c>
      <c r="C6" s="6" t="s">
        <v>168</v>
      </c>
      <c r="D6" s="6" t="s">
        <v>235</v>
      </c>
      <c r="E6" s="6" t="s">
        <v>236</v>
      </c>
      <c r="F6" s="6" t="s">
        <v>237</v>
      </c>
    </row>
    <row r="7" customFormat="false" ht="15" hidden="false" customHeight="false" outlineLevel="0" collapsed="false">
      <c r="B7" s="14" t="str">
        <f aca="false">'Data BoP'!B6</f>
        <v>2006-Q1</v>
      </c>
      <c r="C7" s="10" t="n">
        <f aca="false">'Data BoP'!AJ6</f>
        <v>-6633.94</v>
      </c>
      <c r="E7" s="10" t="n">
        <f aca="false">SUM('Data BoP'!$AJ$6:$AJ6)</f>
        <v>-6633.94</v>
      </c>
    </row>
    <row r="8" customFormat="false" ht="15" hidden="false" customHeight="false" outlineLevel="0" collapsed="false">
      <c r="B8" s="14" t="str">
        <f aca="false">'Data BoP'!B7</f>
        <v>2006-Q2</v>
      </c>
      <c r="C8" s="10" t="n">
        <f aca="false">'Data BoP'!AJ7</f>
        <v>3843.01</v>
      </c>
      <c r="E8" s="10" t="n">
        <f aca="false">SUM('Data BoP'!$AJ$6:$AJ7)</f>
        <v>-2790.93</v>
      </c>
    </row>
    <row r="9" customFormat="false" ht="15" hidden="false" customHeight="false" outlineLevel="0" collapsed="false">
      <c r="B9" s="14" t="str">
        <f aca="false">'Data BoP'!B8</f>
        <v>2006-Q3</v>
      </c>
      <c r="C9" s="10" t="n">
        <f aca="false">'Data BoP'!AJ8</f>
        <v>2529.96</v>
      </c>
      <c r="E9" s="10" t="n">
        <f aca="false">SUM('Data BoP'!$AJ$6:$AJ8)</f>
        <v>-260.970000000002</v>
      </c>
    </row>
    <row r="10" customFormat="false" ht="15" hidden="false" customHeight="false" outlineLevel="0" collapsed="false">
      <c r="B10" s="14" t="str">
        <f aca="false">'Data BoP'!B9</f>
        <v>2006-Q4</v>
      </c>
      <c r="C10" s="10" t="n">
        <f aca="false">'Data BoP'!AJ9</f>
        <v>3790.8</v>
      </c>
      <c r="D10" s="15" t="n">
        <f aca="false">SUM('Data BoP'!AJ6:AJ9)</f>
        <v>3529.83</v>
      </c>
      <c r="E10" s="10" t="n">
        <f aca="false">SUM('Data BoP'!$AJ$6:$AJ9)</f>
        <v>3529.83</v>
      </c>
      <c r="F10" s="18" t="n">
        <f aca="false">IF('Data BoP'!$AQ9=0,"",D10/'Data BoP'!$AQ9)</f>
        <v>0.01515817052479</v>
      </c>
    </row>
    <row r="11" customFormat="false" ht="15" hidden="false" customHeight="false" outlineLevel="0" collapsed="false">
      <c r="B11" s="14" t="str">
        <f aca="false">'Data BoP'!B10</f>
        <v>2007-Q1</v>
      </c>
      <c r="C11" s="10" t="n">
        <f aca="false">'Data BoP'!AJ10</f>
        <v>4659.69</v>
      </c>
      <c r="D11" s="15" t="n">
        <f aca="false">SUM('Data BoP'!AJ7:AJ10)</f>
        <v>14823.46</v>
      </c>
      <c r="E11" s="10" t="n">
        <f aca="false">SUM('Data BoP'!$AJ$6:$AJ10)</f>
        <v>8189.52</v>
      </c>
      <c r="F11" s="18" t="n">
        <f aca="false">IF('Data BoP'!$AQ10=0,"",D11/'Data BoP'!$AQ10)</f>
        <v>0.0610333274197146</v>
      </c>
    </row>
    <row r="12" customFormat="false" ht="15" hidden="false" customHeight="false" outlineLevel="0" collapsed="false">
      <c r="B12" s="14" t="str">
        <f aca="false">'Data BoP'!B11</f>
        <v>2007-Q2</v>
      </c>
      <c r="C12" s="10" t="n">
        <f aca="false">'Data BoP'!AJ11</f>
        <v>6339.64</v>
      </c>
      <c r="D12" s="15" t="n">
        <f aca="false">SUM('Data BoP'!AJ8:AJ11)</f>
        <v>17320.09</v>
      </c>
      <c r="E12" s="10" t="n">
        <f aca="false">SUM('Data BoP'!$AJ$6:$AJ11)</f>
        <v>14529.16</v>
      </c>
      <c r="F12" s="18" t="n">
        <f aca="false">IF('Data BoP'!$AQ11=0,"",D12/'Data BoP'!$AQ11)</f>
        <v>0.0674284006589495</v>
      </c>
    </row>
    <row r="13" customFormat="false" ht="15" hidden="false" customHeight="false" outlineLevel="0" collapsed="false">
      <c r="B13" s="14" t="str">
        <f aca="false">'Data BoP'!B12</f>
        <v>2007-Q3</v>
      </c>
      <c r="C13" s="10" t="n">
        <f aca="false">'Data BoP'!AJ12</f>
        <v>-841.749999999997</v>
      </c>
      <c r="D13" s="15" t="n">
        <f aca="false">SUM('Data BoP'!AJ9:AJ12)</f>
        <v>13948.38</v>
      </c>
      <c r="E13" s="10" t="n">
        <f aca="false">SUM('Data BoP'!$AJ$6:$AJ12)</f>
        <v>13687.41</v>
      </c>
      <c r="F13" s="18" t="n">
        <f aca="false">IF('Data BoP'!$AQ12=0,"",D13/'Data BoP'!$AQ12)</f>
        <v>0.0515363786399533</v>
      </c>
    </row>
    <row r="14" customFormat="false" ht="15" hidden="false" customHeight="false" outlineLevel="0" collapsed="false">
      <c r="B14" s="14" t="str">
        <f aca="false">'Data BoP'!B13</f>
        <v>2007-Q4</v>
      </c>
      <c r="C14" s="10" t="n">
        <f aca="false">'Data BoP'!AJ13</f>
        <v>2932.13999999999</v>
      </c>
      <c r="D14" s="15" t="n">
        <f aca="false">SUM('Data BoP'!AJ10:AJ13)</f>
        <v>13089.72</v>
      </c>
      <c r="E14" s="10" t="n">
        <f aca="false">SUM('Data BoP'!$AJ$6:$AJ13)</f>
        <v>16619.55</v>
      </c>
      <c r="F14" s="18" t="n">
        <f aca="false">IF('Data BoP'!$AQ13=0,"",D14/'Data BoP'!$AQ13)</f>
        <v>0.0454841926024201</v>
      </c>
    </row>
    <row r="15" customFormat="false" ht="15" hidden="false" customHeight="false" outlineLevel="0" collapsed="false">
      <c r="B15" s="14" t="str">
        <f aca="false">'Data BoP'!B14</f>
        <v>2008-Q1</v>
      </c>
      <c r="C15" s="10" t="n">
        <f aca="false">'Data BoP'!AJ14</f>
        <v>3534.21000000001</v>
      </c>
      <c r="D15" s="15" t="n">
        <f aca="false">SUM('Data BoP'!AJ11:AJ14)</f>
        <v>11964.24</v>
      </c>
      <c r="E15" s="10" t="n">
        <f aca="false">SUM('Data BoP'!$AJ$6:$AJ14)</f>
        <v>20153.76</v>
      </c>
      <c r="F15" s="18" t="n">
        <f aca="false">IF('Data BoP'!$AQ14=0,"",D15/'Data BoP'!$AQ14)</f>
        <v>0.0389549722226013</v>
      </c>
    </row>
    <row r="16" customFormat="false" ht="15" hidden="false" customHeight="false" outlineLevel="0" collapsed="false">
      <c r="B16" s="14" t="str">
        <f aca="false">'Data BoP'!B15</f>
        <v>2008-Q2</v>
      </c>
      <c r="C16" s="10" t="n">
        <f aca="false">'Data BoP'!AJ15</f>
        <v>-2620.94</v>
      </c>
      <c r="D16" s="15" t="n">
        <f aca="false">SUM('Data BoP'!AJ12:AJ15)</f>
        <v>3003.66</v>
      </c>
      <c r="E16" s="10" t="n">
        <f aca="false">SUM('Data BoP'!$AJ$6:$AJ15)</f>
        <v>17532.82</v>
      </c>
      <c r="F16" s="18" t="n">
        <f aca="false">IF('Data BoP'!$AQ15=0,"",D16/'Data BoP'!$AQ15)</f>
        <v>0.00907314109615356</v>
      </c>
    </row>
    <row r="17" customFormat="false" ht="15" hidden="false" customHeight="false" outlineLevel="0" collapsed="false">
      <c r="B17" s="14" t="str">
        <f aca="false">'Data BoP'!B16</f>
        <v>2008-Q3</v>
      </c>
      <c r="C17" s="10" t="n">
        <f aca="false">'Data BoP'!AJ16</f>
        <v>-49.4300000000062</v>
      </c>
      <c r="D17" s="15" t="n">
        <f aca="false">SUM('Data BoP'!AJ13:AJ16)</f>
        <v>3795.98</v>
      </c>
      <c r="E17" s="10" t="n">
        <f aca="false">SUM('Data BoP'!$AJ$6:$AJ16)</f>
        <v>17483.39</v>
      </c>
      <c r="F17" s="18" t="n">
        <f aca="false">IF('Data BoP'!$AQ16=0,"",D17/'Data BoP'!$AQ16)</f>
        <v>0.0106826576914442</v>
      </c>
    </row>
    <row r="18" customFormat="false" ht="15" hidden="false" customHeight="false" outlineLevel="0" collapsed="false">
      <c r="B18" s="14" t="str">
        <f aca="false">'Data BoP'!B17</f>
        <v>2008-Q4</v>
      </c>
      <c r="C18" s="10" t="n">
        <f aca="false">'Data BoP'!AJ17</f>
        <v>-846.459999999994</v>
      </c>
      <c r="D18" s="15" t="n">
        <f aca="false">SUM('Data BoP'!AJ14:AJ17)</f>
        <v>17.3800000000087</v>
      </c>
      <c r="E18" s="10" t="n">
        <f aca="false">SUM('Data BoP'!$AJ$6:$AJ17)</f>
        <v>16636.93</v>
      </c>
      <c r="F18" s="18" t="n">
        <f aca="false">IF('Data BoP'!$AQ17=0,"",D18/'Data BoP'!$AQ17)</f>
        <v>4.77632124217764E-005</v>
      </c>
    </row>
    <row r="19" customFormat="false" ht="15" hidden="false" customHeight="false" outlineLevel="0" collapsed="false">
      <c r="B19" s="14" t="str">
        <f aca="false">'Data BoP'!B18</f>
        <v>2009-Q1</v>
      </c>
      <c r="C19" s="10" t="n">
        <f aca="false">'Data BoP'!AJ18</f>
        <v>267.119999999998</v>
      </c>
      <c r="D19" s="15" t="n">
        <f aca="false">SUM('Data BoP'!AJ15:AJ18)</f>
        <v>-3249.71</v>
      </c>
      <c r="E19" s="10" t="n">
        <f aca="false">SUM('Data BoP'!$AJ$6:$AJ18)</f>
        <v>16904.05</v>
      </c>
      <c r="F19" s="18" t="n">
        <f aca="false">IF('Data BoP'!$AQ18=0,"",D19/'Data BoP'!$AQ18)</f>
        <v>-0.00901443326086857</v>
      </c>
    </row>
    <row r="20" customFormat="false" ht="15" hidden="false" customHeight="false" outlineLevel="0" collapsed="false">
      <c r="B20" s="14" t="str">
        <f aca="false">'Data BoP'!B19</f>
        <v>2009-Q2</v>
      </c>
      <c r="C20" s="10" t="n">
        <f aca="false">'Data BoP'!AJ19</f>
        <v>-698.720000000003</v>
      </c>
      <c r="D20" s="15" t="n">
        <f aca="false">SUM('Data BoP'!AJ16:AJ19)</f>
        <v>-1327.49000000001</v>
      </c>
      <c r="E20" s="10" t="n">
        <f aca="false">SUM('Data BoP'!$AJ$6:$AJ19)</f>
        <v>16205.33</v>
      </c>
      <c r="F20" s="18" t="n">
        <f aca="false">IF('Data BoP'!$AQ19=0,"",D20/'Data BoP'!$AQ19)</f>
        <v>-0.00382384090677396</v>
      </c>
    </row>
    <row r="21" customFormat="false" ht="15" hidden="false" customHeight="false" outlineLevel="0" collapsed="false">
      <c r="B21" s="14" t="str">
        <f aca="false">'Data BoP'!B20</f>
        <v>2009-Q3</v>
      </c>
      <c r="C21" s="10" t="n">
        <f aca="false">'Data BoP'!AJ20</f>
        <v>1811.09</v>
      </c>
      <c r="D21" s="15" t="n">
        <f aca="false">SUM('Data BoP'!AJ17:AJ20)</f>
        <v>533.030000000003</v>
      </c>
      <c r="E21" s="10" t="n">
        <f aca="false">SUM('Data BoP'!$AJ$6:$AJ20)</f>
        <v>18016.42</v>
      </c>
      <c r="F21" s="18" t="n">
        <f aca="false">IF('Data BoP'!$AQ20=0,"",D21/'Data BoP'!$AQ20)</f>
        <v>0.00160120201456009</v>
      </c>
    </row>
    <row r="22" customFormat="false" ht="15" hidden="false" customHeight="false" outlineLevel="0" collapsed="false">
      <c r="B22" s="14" t="str">
        <f aca="false">'Data BoP'!B21</f>
        <v>2009-Q4</v>
      </c>
      <c r="C22" s="10" t="n">
        <f aca="false">'Data BoP'!AJ21</f>
        <v>-33.2799999999979</v>
      </c>
      <c r="D22" s="15" t="n">
        <f aca="false">SUM('Data BoP'!AJ18:AJ21)</f>
        <v>1346.21</v>
      </c>
      <c r="E22" s="10" t="n">
        <f aca="false">SUM('Data BoP'!$AJ$6:$AJ21)</f>
        <v>17983.14</v>
      </c>
      <c r="F22" s="18" t="n">
        <f aca="false">IF('Data BoP'!$AQ21=0,"",D22/'Data BoP'!$AQ21)</f>
        <v>0.00402717180737887</v>
      </c>
    </row>
    <row r="23" customFormat="false" ht="15" hidden="false" customHeight="false" outlineLevel="0" collapsed="false">
      <c r="B23" s="14" t="str">
        <f aca="false">'Data BoP'!B22</f>
        <v>2010-Q1</v>
      </c>
      <c r="C23" s="10" t="n">
        <f aca="false">'Data BoP'!AJ22</f>
        <v>-303.600000000005</v>
      </c>
      <c r="D23" s="15" t="n">
        <f aca="false">SUM('Data BoP'!AJ19:AJ22)</f>
        <v>775.489999999997</v>
      </c>
      <c r="E23" s="10" t="n">
        <f aca="false">SUM('Data BoP'!$AJ$6:$AJ22)</f>
        <v>17679.54</v>
      </c>
      <c r="F23" s="18" t="n">
        <f aca="false">IF('Data BoP'!$AQ22=0,"",D23/'Data BoP'!$AQ22)</f>
        <v>0.00222736393104381</v>
      </c>
    </row>
    <row r="24" customFormat="false" ht="15" hidden="false" customHeight="false" outlineLevel="0" collapsed="false">
      <c r="B24" s="14" t="str">
        <f aca="false">'Data BoP'!B23</f>
        <v>2010-Q2</v>
      </c>
      <c r="C24" s="10" t="n">
        <f aca="false">'Data BoP'!AJ23</f>
        <v>2104.41</v>
      </c>
      <c r="D24" s="15" t="n">
        <f aca="false">SUM('Data BoP'!AJ20:AJ23)</f>
        <v>3578.62</v>
      </c>
      <c r="E24" s="10" t="n">
        <f aca="false">SUM('Data BoP'!$AJ$6:$AJ23)</f>
        <v>19783.95</v>
      </c>
      <c r="F24" s="18" t="n">
        <f aca="false">IF('Data BoP'!$AQ23=0,"",D24/'Data BoP'!$AQ23)</f>
        <v>0.00961173966621659</v>
      </c>
    </row>
    <row r="25" customFormat="false" ht="15" hidden="false" customHeight="false" outlineLevel="0" collapsed="false">
      <c r="B25" s="14" t="str">
        <f aca="false">'Data BoP'!B24</f>
        <v>2010-Q3</v>
      </c>
      <c r="C25" s="10" t="n">
        <f aca="false">'Data BoP'!AJ24</f>
        <v>1278.8</v>
      </c>
      <c r="D25" s="15" t="n">
        <f aca="false">SUM('Data BoP'!AJ21:AJ24)</f>
        <v>3046.33</v>
      </c>
      <c r="E25" s="10" t="n">
        <f aca="false">SUM('Data BoP'!$AJ$6:$AJ24)</f>
        <v>21062.75</v>
      </c>
      <c r="F25" s="18" t="n">
        <f aca="false">IF('Data BoP'!$AQ24=0,"",D25/'Data BoP'!$AQ24)</f>
        <v>0.00765228250974522</v>
      </c>
    </row>
    <row r="26" customFormat="false" ht="15" hidden="false" customHeight="false" outlineLevel="0" collapsed="false">
      <c r="B26" s="14" t="str">
        <f aca="false">'Data BoP'!B25</f>
        <v>2010-Q4</v>
      </c>
      <c r="C26" s="10" t="n">
        <f aca="false">'Data BoP'!AJ25</f>
        <v>1077.74</v>
      </c>
      <c r="D26" s="15" t="n">
        <f aca="false">SUM('Data BoP'!AJ22:AJ25)</f>
        <v>4157.35</v>
      </c>
      <c r="E26" s="10" t="n">
        <f aca="false">SUM('Data BoP'!$AJ$6:$AJ25)</f>
        <v>22140.49</v>
      </c>
      <c r="F26" s="18" t="n">
        <f aca="false">IF('Data BoP'!$AQ25=0,"",D26/'Data BoP'!$AQ25)</f>
        <v>0.00979710372117189</v>
      </c>
    </row>
    <row r="27" customFormat="false" ht="15" hidden="false" customHeight="false" outlineLevel="0" collapsed="false">
      <c r="B27" s="14" t="str">
        <f aca="false">'Data BoP'!B26</f>
        <v>2011-Q1</v>
      </c>
      <c r="C27" s="10" t="n">
        <f aca="false">'Data BoP'!AJ26</f>
        <v>-1159.49</v>
      </c>
      <c r="D27" s="15" t="n">
        <f aca="false">SUM('Data BoP'!AJ23:AJ26)</f>
        <v>3301.46</v>
      </c>
      <c r="E27" s="10" t="n">
        <f aca="false">SUM('Data BoP'!$AJ$6:$AJ26)</f>
        <v>20981</v>
      </c>
      <c r="F27" s="18" t="n">
        <f aca="false">IF('Data BoP'!$AQ26=0,"",D27/'Data BoP'!$AQ26)</f>
        <v>0.00734275743451599</v>
      </c>
    </row>
    <row r="28" customFormat="false" ht="15" hidden="false" customHeight="false" outlineLevel="0" collapsed="false">
      <c r="B28" s="14" t="str">
        <f aca="false">'Data BoP'!B27</f>
        <v>2011-Q2</v>
      </c>
      <c r="C28" s="10" t="n">
        <f aca="false">'Data BoP'!AJ27</f>
        <v>225.720000000002</v>
      </c>
      <c r="D28" s="15" t="n">
        <f aca="false">SUM('Data BoP'!AJ24:AJ27)</f>
        <v>1422.77</v>
      </c>
      <c r="E28" s="10" t="n">
        <f aca="false">SUM('Data BoP'!$AJ$6:$AJ27)</f>
        <v>21206.72</v>
      </c>
      <c r="F28" s="18" t="n">
        <f aca="false">IF('Data BoP'!$AQ27=0,"",D28/'Data BoP'!$AQ27)</f>
        <v>0.00297285338670709</v>
      </c>
    </row>
    <row r="29" customFormat="false" ht="15" hidden="false" customHeight="false" outlineLevel="0" collapsed="false">
      <c r="B29" s="14" t="str">
        <f aca="false">'Data BoP'!B28</f>
        <v>2011-Q3</v>
      </c>
      <c r="C29" s="10" t="n">
        <f aca="false">'Data BoP'!AJ28</f>
        <v>-3153.52</v>
      </c>
      <c r="D29" s="15" t="n">
        <f aca="false">SUM('Data BoP'!AJ25:AJ28)</f>
        <v>-3009.55</v>
      </c>
      <c r="E29" s="10" t="n">
        <f aca="false">SUM('Data BoP'!$AJ$6:$AJ28)</f>
        <v>18053.2</v>
      </c>
      <c r="F29" s="18" t="n">
        <f aca="false">IF('Data BoP'!$AQ28=0,"",D29/'Data BoP'!$AQ28)</f>
        <v>-0.00596007847487036</v>
      </c>
    </row>
    <row r="30" customFormat="false" ht="15" hidden="false" customHeight="false" outlineLevel="0" collapsed="false">
      <c r="B30" s="14" t="str">
        <f aca="false">'Data BoP'!B29</f>
        <v>2011-Q4</v>
      </c>
      <c r="C30" s="10" t="n">
        <f aca="false">'Data BoP'!AJ29</f>
        <v>-2020.62</v>
      </c>
      <c r="D30" s="15" t="n">
        <f aca="false">SUM('Data BoP'!AJ26:AJ29)</f>
        <v>-6107.91</v>
      </c>
      <c r="E30" s="10" t="n">
        <f aca="false">SUM('Data BoP'!$AJ$6:$AJ29)</f>
        <v>16032.58</v>
      </c>
      <c r="F30" s="18" t="n">
        <f aca="false">IF('Data BoP'!$AQ29=0,"",D30/'Data BoP'!$AQ29)</f>
        <v>-0.0115874403968916</v>
      </c>
    </row>
    <row r="31" customFormat="false" ht="15" hidden="false" customHeight="false" outlineLevel="0" collapsed="false">
      <c r="B31" s="14" t="str">
        <f aca="false">'Data BoP'!B30</f>
        <v>2012-Q1</v>
      </c>
      <c r="C31" s="10" t="n">
        <f aca="false">'Data BoP'!AJ30</f>
        <v>669.8</v>
      </c>
      <c r="D31" s="15" t="n">
        <f aca="false">SUM('Data BoP'!AJ27:AJ30)</f>
        <v>-4278.62</v>
      </c>
      <c r="E31" s="10" t="n">
        <f aca="false">SUM('Data BoP'!$AJ$6:$AJ30)</f>
        <v>16702.38</v>
      </c>
      <c r="F31" s="18" t="n">
        <f aca="false">IF('Data BoP'!$AQ30=0,"",D31/'Data BoP'!$AQ30)</f>
        <v>-0.00785730800424693</v>
      </c>
    </row>
    <row r="32" customFormat="false" ht="15" hidden="false" customHeight="false" outlineLevel="0" collapsed="false">
      <c r="B32" s="14" t="str">
        <f aca="false">'Data BoP'!B31</f>
        <v>2012-Q2</v>
      </c>
      <c r="C32" s="10" t="n">
        <f aca="false">'Data BoP'!AJ31</f>
        <v>-698.829999999995</v>
      </c>
      <c r="D32" s="15" t="n">
        <f aca="false">SUM('Data BoP'!AJ28:AJ31)</f>
        <v>-5203.17</v>
      </c>
      <c r="E32" s="10" t="n">
        <f aca="false">SUM('Data BoP'!$AJ$6:$AJ31)</f>
        <v>16003.55</v>
      </c>
      <c r="F32" s="18" t="n">
        <f aca="false">IF('Data BoP'!$AQ31=0,"",D32/'Data BoP'!$AQ31)</f>
        <v>-0.0093505089903617</v>
      </c>
    </row>
    <row r="33" customFormat="false" ht="15" hidden="false" customHeight="false" outlineLevel="0" collapsed="false">
      <c r="B33" s="14" t="str">
        <f aca="false">'Data BoP'!B32</f>
        <v>2012-Q3</v>
      </c>
      <c r="C33" s="10" t="n">
        <f aca="false">'Data BoP'!AJ32</f>
        <v>-1726.49</v>
      </c>
      <c r="D33" s="15" t="n">
        <f aca="false">SUM('Data BoP'!AJ29:AJ32)</f>
        <v>-3776.14</v>
      </c>
      <c r="E33" s="10" t="n">
        <f aca="false">SUM('Data BoP'!$AJ$6:$AJ32)</f>
        <v>14277.06</v>
      </c>
      <c r="F33" s="18" t="n">
        <f aca="false">IF('Data BoP'!$AQ32=0,"",D33/'Data BoP'!$AQ32)</f>
        <v>-0.00664672759981234</v>
      </c>
    </row>
    <row r="34" customFormat="false" ht="15" hidden="false" customHeight="false" outlineLevel="0" collapsed="false">
      <c r="B34" s="14" t="str">
        <f aca="false">'Data BoP'!B33</f>
        <v>2012-Q4</v>
      </c>
      <c r="C34" s="10" t="n">
        <f aca="false">'Data BoP'!AJ33</f>
        <v>-1549.2</v>
      </c>
      <c r="D34" s="15" t="n">
        <f aca="false">SUM('Data BoP'!AJ30:AJ33)</f>
        <v>-3304.72</v>
      </c>
      <c r="E34" s="10" t="n">
        <f aca="false">SUM('Data BoP'!$AJ$6:$AJ33)</f>
        <v>12727.86</v>
      </c>
      <c r="F34" s="18" t="n">
        <f aca="false">IF('Data BoP'!$AQ33=0,"",D34/'Data BoP'!$AQ33)</f>
        <v>-0.00570682911627794</v>
      </c>
    </row>
    <row r="35" customFormat="false" ht="15" hidden="false" customHeight="false" outlineLevel="0" collapsed="false">
      <c r="B35" s="14" t="str">
        <f aca="false">'Data BoP'!B34</f>
        <v>2013-Q1</v>
      </c>
      <c r="C35" s="10" t="n">
        <f aca="false">'Data BoP'!AJ34</f>
        <v>-2583.43</v>
      </c>
      <c r="D35" s="15" t="n">
        <f aca="false">SUM('Data BoP'!AJ31:AJ34)</f>
        <v>-6557.95</v>
      </c>
      <c r="E35" s="10" t="n">
        <f aca="false">SUM('Data BoP'!$AJ$6:$AJ34)</f>
        <v>10144.43</v>
      </c>
      <c r="F35" s="18" t="n">
        <f aca="false">IF('Data BoP'!$AQ34=0,"",D35/'Data BoP'!$AQ34)</f>
        <v>-0.0111523768865171</v>
      </c>
    </row>
    <row r="36" customFormat="false" ht="15" hidden="false" customHeight="false" outlineLevel="0" collapsed="false">
      <c r="B36" s="14" t="str">
        <f aca="false">'Data BoP'!B35</f>
        <v>2013-Q2</v>
      </c>
      <c r="C36" s="10" t="n">
        <f aca="false">'Data BoP'!AJ35</f>
        <v>-2710.69</v>
      </c>
      <c r="D36" s="15" t="n">
        <f aca="false">SUM('Data BoP'!AJ32:AJ35)</f>
        <v>-8569.81</v>
      </c>
      <c r="E36" s="10" t="n">
        <f aca="false">SUM('Data BoP'!$AJ$6:$AJ35)</f>
        <v>7433.74</v>
      </c>
      <c r="F36" s="18" t="n">
        <f aca="false">IF('Data BoP'!$AQ35=0,"",D36/'Data BoP'!$AQ35)</f>
        <v>-0.014265517629465</v>
      </c>
    </row>
    <row r="37" customFormat="false" ht="15" hidden="false" customHeight="false" outlineLevel="0" collapsed="false">
      <c r="B37" s="14" t="str">
        <f aca="false">'Data BoP'!B36</f>
        <v>2013-Q3</v>
      </c>
      <c r="C37" s="10" t="n">
        <f aca="false">'Data BoP'!AJ36</f>
        <v>-2584.9</v>
      </c>
      <c r="D37" s="15" t="n">
        <f aca="false">SUM('Data BoP'!AJ33:AJ36)</f>
        <v>-9428.22</v>
      </c>
      <c r="E37" s="10" t="n">
        <f aca="false">SUM('Data BoP'!$AJ$6:$AJ36)</f>
        <v>4848.84</v>
      </c>
      <c r="F37" s="18" t="n">
        <f aca="false">IF('Data BoP'!$AQ36=0,"",D37/'Data BoP'!$AQ36)</f>
        <v>-0.015510496736549</v>
      </c>
    </row>
    <row r="38" customFormat="false" ht="15" hidden="false" customHeight="false" outlineLevel="0" collapsed="false">
      <c r="B38" s="14" t="str">
        <f aca="false">'Data BoP'!B37</f>
        <v>2013-Q4</v>
      </c>
      <c r="C38" s="10" t="n">
        <f aca="false">'Data BoP'!AJ37</f>
        <v>-3944.74</v>
      </c>
      <c r="D38" s="15" t="n">
        <f aca="false">SUM('Data BoP'!AJ34:AJ37)</f>
        <v>-11823.76</v>
      </c>
      <c r="E38" s="10" t="n">
        <f aca="false">SUM('Data BoP'!$AJ$6:$AJ37)</f>
        <v>904.100000000001</v>
      </c>
      <c r="F38" s="18" t="n">
        <f aca="false">IF('Data BoP'!$AQ37=0,"",D38/'Data BoP'!$AQ37)</f>
        <v>-0.0193468126460776</v>
      </c>
    </row>
    <row r="39" customFormat="false" ht="15" hidden="false" customHeight="false" outlineLevel="0" collapsed="false">
      <c r="B39" s="14" t="str">
        <f aca="false">'Data BoP'!B38</f>
        <v>2014-Q1</v>
      </c>
      <c r="C39" s="10" t="n">
        <f aca="false">'Data BoP'!AJ38</f>
        <v>-3733.12</v>
      </c>
      <c r="D39" s="15" t="n">
        <f aca="false">SUM('Data BoP'!AJ35:AJ38)</f>
        <v>-12973.45</v>
      </c>
      <c r="E39" s="10" t="n">
        <f aca="false">SUM('Data BoP'!$AJ$6:$AJ38)</f>
        <v>-2829.02</v>
      </c>
      <c r="F39" s="18" t="n">
        <f aca="false">IF('Data BoP'!$AQ38=0,"",D39/'Data BoP'!$AQ38)</f>
        <v>-0.0217770683190034</v>
      </c>
    </row>
    <row r="40" customFormat="false" ht="15" hidden="false" customHeight="false" outlineLevel="0" collapsed="false">
      <c r="B40" s="14" t="str">
        <f aca="false">'Data BoP'!B39</f>
        <v>2014-Q2</v>
      </c>
      <c r="C40" s="10" t="n">
        <f aca="false">'Data BoP'!AJ39</f>
        <v>2184.01</v>
      </c>
      <c r="D40" s="15" t="n">
        <f aca="false">SUM('Data BoP'!AJ36:AJ39)</f>
        <v>-8078.75</v>
      </c>
      <c r="E40" s="10" t="n">
        <f aca="false">SUM('Data BoP'!$AJ$6:$AJ39)</f>
        <v>-645.01</v>
      </c>
      <c r="F40" s="18" t="n">
        <f aca="false">IF('Data BoP'!$AQ39=0,"",D40/'Data BoP'!$AQ39)</f>
        <v>-0.0139277712914667</v>
      </c>
    </row>
    <row r="41" customFormat="false" ht="15" hidden="false" customHeight="false" outlineLevel="0" collapsed="false">
      <c r="B41" s="14" t="str">
        <f aca="false">'Data BoP'!B40</f>
        <v>2014-Q3</v>
      </c>
      <c r="C41" s="10" t="n">
        <f aca="false">'Data BoP'!AJ40</f>
        <v>-982.809999999999</v>
      </c>
      <c r="D41" s="15" t="n">
        <f aca="false">SUM('Data BoP'!AJ37:AJ40)</f>
        <v>-6476.66</v>
      </c>
      <c r="E41" s="10" t="n">
        <f aca="false">SUM('Data BoP'!$AJ$6:$AJ40)</f>
        <v>-1627.82</v>
      </c>
      <c r="F41" s="18" t="n">
        <f aca="false">IF('Data BoP'!$AQ40=0,"",D41/'Data BoP'!$AQ40)</f>
        <v>-0.0114145950607798</v>
      </c>
    </row>
    <row r="42" customFormat="false" ht="15" hidden="false" customHeight="false" outlineLevel="0" collapsed="false">
      <c r="B42" s="14" t="str">
        <f aca="false">'Data BoP'!B41</f>
        <v>2014-Q4</v>
      </c>
      <c r="C42" s="10" t="n">
        <f aca="false">'Data BoP'!AJ41</f>
        <v>3727.03</v>
      </c>
      <c r="D42" s="15" t="n">
        <f aca="false">SUM('Data BoP'!AJ38:AJ41)</f>
        <v>1195.11</v>
      </c>
      <c r="E42" s="10" t="n">
        <f aca="false">SUM('Data BoP'!$AJ$6:$AJ41)</f>
        <v>2099.21</v>
      </c>
      <c r="F42" s="18" t="n">
        <f aca="false">IF('Data BoP'!$AQ41=0,"",D42/'Data BoP'!$AQ41)</f>
        <v>0.00212333204421354</v>
      </c>
    </row>
    <row r="43" customFormat="false" ht="15" hidden="false" customHeight="false" outlineLevel="0" collapsed="false">
      <c r="B43" s="14" t="str">
        <f aca="false">'Data BoP'!B42</f>
        <v>2015-Q1</v>
      </c>
      <c r="C43" s="10" t="n">
        <f aca="false">'Data BoP'!AJ42</f>
        <v>339.1</v>
      </c>
      <c r="D43" s="15" t="n">
        <f aca="false">SUM('Data BoP'!AJ39:AJ42)</f>
        <v>5267.33</v>
      </c>
      <c r="E43" s="10" t="n">
        <f aca="false">SUM('Data BoP'!$AJ$6:$AJ42)</f>
        <v>2438.31</v>
      </c>
      <c r="F43" s="18" t="n">
        <f aca="false">IF('Data BoP'!$AQ42=0,"",D43/'Data BoP'!$AQ42)</f>
        <v>0.00906961737640172</v>
      </c>
    </row>
    <row r="44" customFormat="false" ht="15" hidden="false" customHeight="false" outlineLevel="0" collapsed="false">
      <c r="B44" s="14" t="str">
        <f aca="false">'Data BoP'!B43</f>
        <v>2015-Q2</v>
      </c>
      <c r="C44" s="10" t="n">
        <f aca="false">'Data BoP'!AJ43</f>
        <v>2300.09</v>
      </c>
      <c r="D44" s="15" t="n">
        <f aca="false">SUM('Data BoP'!AJ40:AJ43)</f>
        <v>5383.41</v>
      </c>
      <c r="E44" s="10" t="n">
        <f aca="false">SUM('Data BoP'!$AJ$6:$AJ43)</f>
        <v>4738.4</v>
      </c>
      <c r="F44" s="18" t="n">
        <f aca="false">IF('Data BoP'!$AQ43=0,"",D44/'Data BoP'!$AQ43)</f>
        <v>0.00895660581049178</v>
      </c>
    </row>
    <row r="45" customFormat="false" ht="15" hidden="false" customHeight="false" outlineLevel="0" collapsed="false">
      <c r="B45" s="14" t="str">
        <f aca="false">'Data BoP'!B44</f>
        <v>2015-Q3</v>
      </c>
      <c r="C45" s="10" t="n">
        <f aca="false">'Data BoP'!AJ44</f>
        <v>-227.097474785542</v>
      </c>
      <c r="D45" s="15" t="n">
        <f aca="false">SUM('Data BoP'!AJ41:AJ44)</f>
        <v>6139.12252521446</v>
      </c>
      <c r="E45" s="10" t="n">
        <f aca="false">SUM('Data BoP'!$AJ$6:$AJ44)</f>
        <v>4511.30252521446</v>
      </c>
      <c r="F45" s="18" t="n">
        <f aca="false">IF('Data BoP'!$AQ44=0,"",D45/'Data BoP'!$AQ44)</f>
        <v>0.00977453957459514</v>
      </c>
    </row>
    <row r="46" customFormat="false" ht="15" hidden="false" customHeight="false" outlineLevel="0" collapsed="false">
      <c r="B46" s="14" t="str">
        <f aca="false">'Data BoP'!B45</f>
        <v>2015-Q4</v>
      </c>
      <c r="C46" s="10" t="n">
        <f aca="false">'Data BoP'!AJ45</f>
        <v>-7318.06252521446</v>
      </c>
      <c r="D46" s="15" t="n">
        <f aca="false">SUM('Data BoP'!AJ42:AJ45)</f>
        <v>-4905.97</v>
      </c>
      <c r="E46" s="10" t="n">
        <f aca="false">SUM('Data BoP'!$AJ$6:$AJ45)</f>
        <v>-2806.76</v>
      </c>
      <c r="F46" s="18" t="n">
        <f aca="false">IF('Data BoP'!$AQ45=0,"",D46/'Data BoP'!$AQ45)</f>
        <v>-0.00764098293037949</v>
      </c>
    </row>
    <row r="47" customFormat="false" ht="15" hidden="false" customHeight="false" outlineLevel="0" collapsed="false">
      <c r="B47" s="14" t="str">
        <f aca="false">'Data BoP'!B46</f>
        <v>2016-Q1</v>
      </c>
      <c r="C47" s="10" t="n">
        <f aca="false">'Data BoP'!AJ46</f>
        <v>3545</v>
      </c>
      <c r="D47" s="15" t="n">
        <f aca="false">SUM('Data BoP'!AJ43:AJ46)</f>
        <v>-1700.07</v>
      </c>
      <c r="E47" s="10" t="n">
        <f aca="false">SUM('Data BoP'!$AJ$6:$AJ46)</f>
        <v>738.239999999999</v>
      </c>
      <c r="F47" s="18" t="n">
        <f aca="false">IF('Data BoP'!$AQ46=0,"",D47/'Data BoP'!$AQ46)</f>
        <v>-0.00275613783246821</v>
      </c>
    </row>
    <row r="48" customFormat="false" ht="15" hidden="false" customHeight="false" outlineLevel="0" collapsed="false">
      <c r="B48" s="14" t="str">
        <f aca="false">'Data BoP'!B47</f>
        <v>2016-Q2</v>
      </c>
      <c r="C48" s="10" t="n">
        <f aca="false">'Data BoP'!AJ47</f>
        <v>1073.8</v>
      </c>
      <c r="D48" s="15" t="n">
        <f aca="false">SUM('Data BoP'!AJ44:AJ47)</f>
        <v>-2926.36</v>
      </c>
      <c r="E48" s="10" t="n">
        <f aca="false">SUM('Data BoP'!$AJ$6:$AJ47)</f>
        <v>1812.04</v>
      </c>
      <c r="F48" s="18" t="n">
        <f aca="false">IF('Data BoP'!$AQ47=0,"",D48/'Data BoP'!$AQ47)</f>
        <v>-0.00488910223144634</v>
      </c>
    </row>
    <row r="49" customFormat="false" ht="15" hidden="false" customHeight="false" outlineLevel="0" collapsed="false">
      <c r="B49" s="14" t="str">
        <f aca="false">'Data BoP'!B48</f>
        <v>2016-Q3</v>
      </c>
      <c r="C49" s="10" t="n">
        <f aca="false">'Data BoP'!AJ48</f>
        <v>-569.411954334913</v>
      </c>
      <c r="D49" s="15" t="n">
        <f aca="false">SUM('Data BoP'!AJ45:AJ48)</f>
        <v>-3268.67447954937</v>
      </c>
      <c r="E49" s="10" t="n">
        <f aca="false">SUM('Data BoP'!$AJ$6:$AJ48)</f>
        <v>1242.62804566509</v>
      </c>
      <c r="F49" s="18" t="n">
        <f aca="false">IF('Data BoP'!$AQ48=0,"",D49/'Data BoP'!$AQ48)</f>
        <v>-0.00570441642311031</v>
      </c>
    </row>
    <row r="50" customFormat="false" ht="15" hidden="false" customHeight="false" outlineLevel="0" collapsed="false">
      <c r="B50" s="14" t="str">
        <f aca="false">'Data BoP'!B49</f>
        <v>2016-Q4</v>
      </c>
      <c r="C50" s="10" t="n">
        <f aca="false">'Data BoP'!AJ49</f>
        <v>10261.8474498813</v>
      </c>
      <c r="D50" s="15" t="n">
        <f aca="false">SUM('Data BoP'!AJ46:AJ49)</f>
        <v>14311.2354955464</v>
      </c>
      <c r="E50" s="10" t="n">
        <f aca="false">SUM('Data BoP'!$AJ$6:$AJ49)</f>
        <v>11504.4754955464</v>
      </c>
      <c r="F50" s="18" t="n">
        <f aca="false">IF('Data BoP'!$AQ49=0,"",D50/'Data BoP'!$AQ49)</f>
        <v>0.0257004702173527</v>
      </c>
    </row>
    <row r="51" customFormat="false" ht="15" hidden="false" customHeight="false" outlineLevel="0" collapsed="false">
      <c r="B51" s="14" t="str">
        <f aca="false">'Data BoP'!B50</f>
        <v>2017-Q1</v>
      </c>
      <c r="C51" s="10" t="n">
        <f aca="false">'Data BoP'!AJ50</f>
        <v>10938.2132618358</v>
      </c>
      <c r="D51" s="15" t="n">
        <f aca="false">SUM('Data BoP'!AJ47:AJ50)</f>
        <v>21704.4487573822</v>
      </c>
      <c r="E51" s="10" t="n">
        <f aca="false">SUM('Data BoP'!$AJ$6:$AJ50)</f>
        <v>22442.6887573822</v>
      </c>
      <c r="F51" s="18" t="n">
        <f aca="false">IF('Data BoP'!$AQ50=0,"",D51/'Data BoP'!$AQ50)</f>
        <v>0.0372284806115043</v>
      </c>
    </row>
    <row r="52" customFormat="false" ht="15" hidden="false" customHeight="false" outlineLevel="0" collapsed="false">
      <c r="B52" s="14" t="str">
        <f aca="false">'Data BoP'!B51</f>
        <v>2017-Q2</v>
      </c>
      <c r="C52" s="10" t="n">
        <f aca="false">'Data BoP'!AJ51</f>
        <v>-2804.38305045317</v>
      </c>
      <c r="D52" s="15" t="n">
        <f aca="false">SUM('Data BoP'!AJ48:AJ51)</f>
        <v>17826.265706929</v>
      </c>
      <c r="E52" s="10" t="n">
        <f aca="false">SUM('Data BoP'!$AJ$6:$AJ51)</f>
        <v>19638.305706929</v>
      </c>
      <c r="F52" s="18" t="n">
        <f aca="false">IF('Data BoP'!$AQ51=0,"",D52/'Data BoP'!$AQ51)</f>
        <v>0.0295586375622194</v>
      </c>
    </row>
    <row r="53" customFormat="false" ht="15" hidden="false" customHeight="false" outlineLevel="0" collapsed="false">
      <c r="B53" s="14" t="str">
        <f aca="false">'Data BoP'!B52</f>
        <v>2017-Q3</v>
      </c>
      <c r="C53" s="10" t="n">
        <f aca="false">'Data BoP'!AJ52</f>
        <v>1885.21938105711</v>
      </c>
      <c r="D53" s="15" t="n">
        <f aca="false">SUM('Data BoP'!AJ49:AJ52)</f>
        <v>20280.897042321</v>
      </c>
      <c r="E53" s="10" t="n">
        <f aca="false">SUM('Data BoP'!$AJ$6:$AJ52)</f>
        <v>21523.5250879861</v>
      </c>
      <c r="F53" s="18" t="n">
        <f aca="false">IF('Data BoP'!$AQ52=0,"",D53/'Data BoP'!$AQ52)</f>
        <v>0.0326385053286368</v>
      </c>
    </row>
    <row r="54" customFormat="false" ht="15" hidden="false" customHeight="false" outlineLevel="0" collapsed="false">
      <c r="B54" s="14" t="str">
        <f aca="false">'Data BoP'!B53</f>
        <v>2017-Q4</v>
      </c>
      <c r="C54" s="10" t="n">
        <f aca="false">'Data BoP'!AJ53</f>
        <v>4536.65593163429</v>
      </c>
      <c r="D54" s="15" t="n">
        <f aca="false">SUM('Data BoP'!AJ50:AJ53)</f>
        <v>14555.705524074</v>
      </c>
      <c r="E54" s="10" t="n">
        <f aca="false">SUM('Data BoP'!$AJ$6:$AJ53)</f>
        <v>26060.1810196204</v>
      </c>
      <c r="F54" s="18" t="n">
        <f aca="false">IF('Data BoP'!$AQ53=0,"",D54/'Data BoP'!$AQ53)</f>
        <v>0.0226236781060926</v>
      </c>
    </row>
    <row r="55" customFormat="false" ht="15" hidden="false" customHeight="false" outlineLevel="0" collapsed="false">
      <c r="B55" s="14" t="str">
        <f aca="false">'Data BoP'!B54</f>
        <v>2018-Q1</v>
      </c>
      <c r="C55" s="10" t="n">
        <f aca="false">'Data BoP'!AJ54</f>
        <v>6153.03121140222</v>
      </c>
      <c r="D55" s="15" t="n">
        <f aca="false">SUM('Data BoP'!AJ51:AJ54)</f>
        <v>9770.52347364045</v>
      </c>
      <c r="E55" s="10" t="n">
        <f aca="false">SUM('Data BoP'!$AJ$6:$AJ54)</f>
        <v>32213.2122310226</v>
      </c>
      <c r="F55" s="18" t="n">
        <f aca="false">IF('Data BoP'!$AQ54=0,"",D55/'Data BoP'!$AQ54)</f>
        <v>0.01493976099289</v>
      </c>
    </row>
    <row r="56" customFormat="false" ht="15" hidden="false" customHeight="false" outlineLevel="0" collapsed="false">
      <c r="B56" s="14" t="str">
        <f aca="false">'Data BoP'!B55</f>
        <v>2018-Q2</v>
      </c>
      <c r="C56" s="10" t="n">
        <f aca="false">'Data BoP'!AJ55</f>
        <v>740.866617339134</v>
      </c>
      <c r="D56" s="15" t="n">
        <f aca="false">SUM('Data BoP'!AJ52:AJ55)</f>
        <v>13315.7731414328</v>
      </c>
      <c r="E56" s="10" t="n">
        <f aca="false">SUM('Data BoP'!$AJ$6:$AJ55)</f>
        <v>32954.0788483617</v>
      </c>
      <c r="F56" s="18" t="n">
        <f aca="false">IF('Data BoP'!$AQ55=0,"",D56/'Data BoP'!$AQ55)</f>
        <v>0.0208182094725851</v>
      </c>
    </row>
    <row r="57" customFormat="false" ht="15" hidden="false" customHeight="false" outlineLevel="0" collapsed="false">
      <c r="B57" s="14" t="str">
        <f aca="false">'Data BoP'!B56</f>
        <v>2018-Q3</v>
      </c>
      <c r="C57" s="10" t="n">
        <f aca="false">'Data BoP'!AJ56</f>
        <v>-12286.6421766995</v>
      </c>
      <c r="D57" s="15" t="n">
        <f aca="false">SUM('Data BoP'!AJ53:AJ56)</f>
        <v>-856.088416323857</v>
      </c>
      <c r="E57" s="10" t="n">
        <f aca="false">SUM('Data BoP'!$AJ$6:$AJ56)</f>
        <v>20667.4366716622</v>
      </c>
      <c r="F57" s="18" t="n">
        <f aca="false">IF('Data BoP'!$AQ56=0,"",D57/'Data BoP'!$AQ56)</f>
        <v>-0.00143179996800553</v>
      </c>
    </row>
    <row r="58" customFormat="false" ht="15" hidden="false" customHeight="false" outlineLevel="0" collapsed="false">
      <c r="B58" s="14" t="str">
        <f aca="false">'Data BoP'!B57</f>
        <v>2018-Q4</v>
      </c>
      <c r="C58" s="10" t="n">
        <f aca="false">'Data BoP'!AJ57</f>
        <v>16669.637124811</v>
      </c>
      <c r="D58" s="15" t="n">
        <f aca="false">SUM('Data BoP'!AJ54:AJ57)</f>
        <v>11276.8927768528</v>
      </c>
      <c r="E58" s="10" t="n">
        <f aca="false">SUM('Data BoP'!$AJ$6:$AJ57)</f>
        <v>37337.0737964732</v>
      </c>
      <c r="F58" s="18" t="n">
        <f aca="false">IF('Data BoP'!$AQ57=0,"",D58/'Data BoP'!$AQ57)</f>
        <v>0.0207183974446009</v>
      </c>
    </row>
    <row r="59" customFormat="false" ht="15" hidden="false" customHeight="false" outlineLevel="0" collapsed="false">
      <c r="B59" s="14" t="str">
        <f aca="false">'Data BoP'!B58</f>
        <v>2019-Q1</v>
      </c>
      <c r="C59" s="10" t="n">
        <f aca="false">'Data BoP'!AJ58</f>
        <v>-45.1110757894112</v>
      </c>
      <c r="D59" s="15" t="n">
        <f aca="false">SUM('Data BoP'!AJ55:AJ58)</f>
        <v>5078.75048966118</v>
      </c>
      <c r="E59" s="10" t="n">
        <f aca="false">SUM('Data BoP'!$AJ$6:$AJ58)</f>
        <v>37291.9627206838</v>
      </c>
      <c r="F59" s="18" t="n">
        <f aca="false">IF('Data BoP'!$AQ58=0,"",D59/'Data BoP'!$AQ58)</f>
        <v>0.0101909604375046</v>
      </c>
    </row>
    <row r="60" customFormat="false" ht="15" hidden="false" customHeight="false" outlineLevel="0" collapsed="false">
      <c r="B60" s="14" t="str">
        <f aca="false">'Data BoP'!B59</f>
        <v>2019-Q2</v>
      </c>
      <c r="C60" s="10" t="n">
        <f aca="false">'Data BoP'!AJ59</f>
        <v>-1773.38548147778</v>
      </c>
      <c r="D60" s="15" t="n">
        <f aca="false">SUM('Data BoP'!AJ56:AJ59)</f>
        <v>2564.49839084426</v>
      </c>
      <c r="E60" s="10" t="n">
        <f aca="false">SUM('Data BoP'!$AJ$6:$AJ59)</f>
        <v>35518.577239206</v>
      </c>
      <c r="F60" s="18" t="n">
        <f aca="false">IF('Data BoP'!$AQ59=0,"",D60/'Data BoP'!$AQ59)</f>
        <v>0.00550842013540123</v>
      </c>
    </row>
    <row r="61" customFormat="false" ht="15" hidden="false" customHeight="false" outlineLevel="0" collapsed="false">
      <c r="B61" s="14" t="str">
        <f aca="false">'Data BoP'!B60</f>
        <v>2019-Q3</v>
      </c>
      <c r="C61" s="10" t="n">
        <f aca="false">'Data BoP'!AJ60</f>
        <v>-14823.064134089</v>
      </c>
      <c r="D61" s="15" t="n">
        <f aca="false">SUM('Data BoP'!AJ57:AJ60)</f>
        <v>28.076433454775</v>
      </c>
      <c r="E61" s="10" t="n">
        <f aca="false">SUM('Data BoP'!$AJ$6:$AJ60)</f>
        <v>20695.513105117</v>
      </c>
      <c r="F61" s="18" t="n">
        <f aca="false">IF('Data BoP'!$AQ60=0,"",D61/'Data BoP'!$AQ60)</f>
        <v>6.14699591489133E-005</v>
      </c>
    </row>
    <row r="62" customFormat="false" ht="15" hidden="false" customHeight="false" outlineLevel="0" collapsed="false">
      <c r="B62" s="14" t="str">
        <f aca="false">'Data BoP'!B61</f>
        <v>2019-Q4</v>
      </c>
      <c r="C62" s="10" t="n">
        <f aca="false">'Data BoP'!AJ61</f>
        <v>-4732.99657638217</v>
      </c>
      <c r="D62" s="15" t="n">
        <f aca="false">SUM('Data BoP'!AJ58:AJ61)</f>
        <v>-21374.5572677384</v>
      </c>
      <c r="E62" s="10" t="n">
        <f aca="false">SUM('Data BoP'!$AJ$6:$AJ61)</f>
        <v>15962.5165287348</v>
      </c>
      <c r="F62" s="18" t="n">
        <f aca="false">IF('Data BoP'!$AQ61=0,"",D62/'Data BoP'!$AQ61)</f>
        <v>-0.0475436605464101</v>
      </c>
    </row>
    <row r="63" customFormat="false" ht="15" hidden="false" customHeight="false" outlineLevel="0" collapsed="false">
      <c r="B63" s="14" t="str">
        <f aca="false">'Data BoP'!B62</f>
        <v>2020-Q1</v>
      </c>
      <c r="C63" s="10" t="n">
        <f aca="false">'Data BoP'!AJ62</f>
        <v>-1089.03229521499</v>
      </c>
      <c r="D63" s="15" t="n">
        <f aca="false">SUM('Data BoP'!AJ59:AJ62)</f>
        <v>-22418.4784871639</v>
      </c>
      <c r="E63" s="10" t="n">
        <f aca="false">SUM('Data BoP'!$AJ$6:$AJ62)</f>
        <v>14873.4842335199</v>
      </c>
      <c r="F63" s="18" t="n">
        <f aca="false">IF('Data BoP'!$AQ62=0,"",D63/'Data BoP'!$AQ62)</f>
        <v>-0.0510658747906026</v>
      </c>
    </row>
    <row r="64" customFormat="false" ht="15" hidden="false" customHeight="false" outlineLevel="0" collapsed="false">
      <c r="B64" s="14" t="str">
        <f aca="false">'Data BoP'!B63</f>
        <v>2020-Q2</v>
      </c>
      <c r="C64" s="10" t="n">
        <f aca="false">'Data BoP'!AJ63</f>
        <v>-792.713475570322</v>
      </c>
      <c r="D64" s="15" t="n">
        <f aca="false">SUM('Data BoP'!AJ60:AJ63)</f>
        <v>-21437.8064812565</v>
      </c>
      <c r="E64" s="10" t="n">
        <f aca="false">SUM('Data BoP'!$AJ$6:$AJ63)</f>
        <v>14080.7707579495</v>
      </c>
      <c r="F64" s="18" t="n">
        <f aca="false">IF('Data BoP'!$AQ63=0,"",D64/'Data BoP'!$AQ63)</f>
        <v>-0.0526791953153654</v>
      </c>
    </row>
    <row r="65" customFormat="false" ht="15" hidden="false" customHeight="false" outlineLevel="0" collapsed="false">
      <c r="B65" s="14" t="str">
        <f aca="false">'Data BoP'!B64</f>
        <v>2020-Q3</v>
      </c>
      <c r="C65" s="10" t="n">
        <f aca="false">'Data BoP'!AJ64</f>
        <v>-3036.1381059745</v>
      </c>
      <c r="D65" s="15" t="n">
        <f aca="false">SUM('Data BoP'!AJ61:AJ64)</f>
        <v>-9650.88045314198</v>
      </c>
      <c r="E65" s="10" t="n">
        <f aca="false">SUM('Data BoP'!$AJ$6:$AJ64)</f>
        <v>11044.632651975</v>
      </c>
      <c r="F65" s="18" t="n">
        <f aca="false">IF('Data BoP'!$AQ64=0,"",D65/'Data BoP'!$AQ64)</f>
        <v>-0.0247146265852541</v>
      </c>
    </row>
    <row r="66" customFormat="false" ht="15" hidden="false" customHeight="false" outlineLevel="0" collapsed="false">
      <c r="B66" s="14" t="str">
        <f aca="false">'Data BoP'!B65</f>
        <v>2020-Q4</v>
      </c>
      <c r="C66" s="10" t="n">
        <f aca="false">'Data BoP'!AJ65</f>
        <v>-2809.28697896939</v>
      </c>
      <c r="D66" s="15" t="n">
        <f aca="false">SUM('Data BoP'!AJ62:AJ65)</f>
        <v>-7727.1708557292</v>
      </c>
      <c r="E66" s="10" t="n">
        <f aca="false">SUM('Data BoP'!$AJ$6:$AJ65)</f>
        <v>8235.34567300565</v>
      </c>
      <c r="F66" s="18" t="n">
        <f aca="false">IF('Data BoP'!$AQ65=0,"",D66/'Data BoP'!$AQ65)</f>
        <v>-0.0200617970902633</v>
      </c>
    </row>
    <row r="67" customFormat="false" ht="15" hidden="false" customHeight="false" outlineLevel="0" collapsed="false">
      <c r="B67" s="14" t="str">
        <f aca="false">'Data BoP'!B66</f>
        <v>2021-Q1</v>
      </c>
      <c r="C67" s="10" t="n">
        <f aca="false">'Data BoP'!AJ66</f>
        <v>679.656607063962</v>
      </c>
      <c r="D67" s="15" t="n">
        <f aca="false">SUM('Data BoP'!AJ63:AJ66)</f>
        <v>-5958.48195345025</v>
      </c>
      <c r="E67" s="10" t="n">
        <f aca="false">SUM('Data BoP'!$AJ$6:$AJ66)</f>
        <v>8915.00228006961</v>
      </c>
      <c r="F67" s="18" t="n">
        <f aca="false">IF('Data BoP'!$AQ66=0,"",D67/'Data BoP'!$AQ66)</f>
        <v>-0.0153793424829119</v>
      </c>
    </row>
    <row r="68" customFormat="false" ht="15" hidden="false" customHeight="false" outlineLevel="0" collapsed="false">
      <c r="B68" s="14" t="str">
        <f aca="false">'Data BoP'!B67</f>
        <v>2021-Q2</v>
      </c>
      <c r="C68" s="10" t="n">
        <f aca="false">'Data BoP'!AJ67</f>
        <v>2402.75815126156</v>
      </c>
      <c r="D68" s="15" t="n">
        <f aca="false">SUM('Data BoP'!AJ64:AJ67)</f>
        <v>-2763.01032661837</v>
      </c>
      <c r="E68" s="10" t="n">
        <f aca="false">SUM('Data BoP'!$AJ$6:$AJ67)</f>
        <v>11317.7604313312</v>
      </c>
      <c r="F68" s="18" t="n">
        <f aca="false">IF('Data BoP'!$AQ67=0,"",D68/'Data BoP'!$AQ67)</f>
        <v>-0.00654977159830562</v>
      </c>
    </row>
    <row r="69" customFormat="false" ht="15" hidden="false" customHeight="false" outlineLevel="0" collapsed="false">
      <c r="B69" s="14" t="str">
        <f aca="false">'Data BoP'!B68</f>
        <v>2021-Q3</v>
      </c>
      <c r="C69" s="10" t="n">
        <f aca="false">'Data BoP'!AJ68</f>
        <v>451.855126334499</v>
      </c>
      <c r="D69" s="15" t="n">
        <f aca="false">SUM('Data BoP'!AJ65:AJ68)</f>
        <v>724.982905690632</v>
      </c>
      <c r="E69" s="10" t="n">
        <f aca="false">SUM('Data BoP'!$AJ$6:$AJ68)</f>
        <v>11769.6155576657</v>
      </c>
      <c r="F69" s="18" t="n">
        <f aca="false">IF('Data BoP'!$AQ68=0,"",D69/'Data BoP'!$AQ68)</f>
        <v>0.00161130211902076</v>
      </c>
    </row>
    <row r="70" customFormat="false" ht="15" hidden="false" customHeight="false" outlineLevel="0" collapsed="false">
      <c r="B70" s="14" t="str">
        <f aca="false">'Data BoP'!B69</f>
        <v>2021-Q4</v>
      </c>
      <c r="C70" s="10" t="n">
        <f aca="false">'Data BoP'!AJ69</f>
        <v>-3640.08271019</v>
      </c>
      <c r="D70" s="15" t="n">
        <f aca="false">SUM('Data BoP'!AJ66:AJ69)</f>
        <v>-105.812825529981</v>
      </c>
      <c r="E70" s="10" t="n">
        <f aca="false">SUM('Data BoP'!$AJ$6:$AJ69)</f>
        <v>8129.53284747567</v>
      </c>
      <c r="F70" s="18" t="n">
        <f aca="false">IF('Data BoP'!$AQ69=0,"",D70/'Data BoP'!$AQ69)</f>
        <v>-0.000218539458377032</v>
      </c>
    </row>
    <row r="71" customFormat="false" ht="15" hidden="false" customHeight="false" outlineLevel="0" collapsed="false">
      <c r="B71" s="14" t="str">
        <f aca="false">'Data BoP'!B70</f>
        <v>2022-Q1</v>
      </c>
      <c r="C71" s="10" t="n">
        <f aca="false">'Data BoP'!AJ70</f>
        <v>3192.39787068</v>
      </c>
      <c r="D71" s="15" t="n">
        <f aca="false">SUM('Data BoP'!AJ67:AJ70)</f>
        <v>2406.92843808606</v>
      </c>
      <c r="E71" s="10" t="n">
        <f aca="false">SUM('Data BoP'!$AJ$6:$AJ70)</f>
        <v>11321.9307181557</v>
      </c>
      <c r="F71" s="18" t="n">
        <f aca="false">IF('Data BoP'!$AQ70=0,"",D71/'Data BoP'!$AQ70)</f>
        <v>0.00461178192119532</v>
      </c>
    </row>
    <row r="72" customFormat="false" ht="15" hidden="false" customHeight="false" outlineLevel="0" collapsed="false">
      <c r="B72" s="14" t="str">
        <f aca="false">'Data BoP'!B71</f>
        <v>2022-Q2</v>
      </c>
      <c r="C72" s="10" t="n">
        <f aca="false">'Data BoP'!AJ71</f>
        <v>1283.4</v>
      </c>
      <c r="D72" s="15" t="n">
        <f aca="false">SUM('Data BoP'!AJ68:AJ71)</f>
        <v>1287.5702868245</v>
      </c>
      <c r="E72" s="10" t="n">
        <f aca="false">SUM('Data BoP'!$AJ$6:$AJ71)</f>
        <v>12605.3307181557</v>
      </c>
      <c r="F72" s="18" t="n">
        <f aca="false">IF('Data BoP'!$AQ71=0,"",D72/'Data BoP'!$AQ71)</f>
        <v>0.0022766002647521</v>
      </c>
    </row>
    <row r="73" customFormat="false" ht="15" hidden="false" customHeight="false" outlineLevel="0" collapsed="false">
      <c r="B73" s="14" t="str">
        <f aca="false">'Data BoP'!B72</f>
        <v>2022-Q3</v>
      </c>
      <c r="C73" s="10" t="n">
        <f aca="false">'Data BoP'!AJ72</f>
        <v>-3525.32208033</v>
      </c>
      <c r="D73" s="15" t="n">
        <f aca="false">SUM('Data BoP'!AJ69:AJ72)</f>
        <v>-2689.60691984</v>
      </c>
      <c r="E73" s="10" t="n">
        <f aca="false">SUM('Data BoP'!$AJ$6:$AJ72)</f>
        <v>9080.00863782567</v>
      </c>
      <c r="F73" s="18" t="n">
        <f aca="false">IF('Data BoP'!$AQ72=0,"",D73/'Data BoP'!$AQ72)</f>
        <v>-0.00444181190160937</v>
      </c>
    </row>
    <row r="74" customFormat="false" ht="15" hidden="false" customHeight="false" outlineLevel="0" collapsed="false">
      <c r="B74" s="14" t="str">
        <f aca="false">'Data BoP'!B73</f>
        <v>2022-Q4</v>
      </c>
      <c r="C74" s="10" t="n">
        <f aca="false">'Data BoP'!AJ73</f>
        <v>5969.29350229</v>
      </c>
      <c r="D74" s="15" t="n">
        <f aca="false">SUM('Data BoP'!AJ70:AJ73)</f>
        <v>6919.76929264</v>
      </c>
      <c r="E74" s="10" t="n">
        <f aca="false">SUM('Data BoP'!$AJ$6:$AJ73)</f>
        <v>15049.3021401157</v>
      </c>
      <c r="F74" s="18" t="n">
        <f aca="false">IF('Data BoP'!$AQ73=0,"",D74/'Data BoP'!$AQ73)</f>
        <v>0.0109614927927355</v>
      </c>
    </row>
    <row r="75" customFormat="false" ht="15" hidden="false" customHeight="false" outlineLevel="0" collapsed="false">
      <c r="B75" s="14" t="str">
        <f aca="false">'Data BoP'!B74</f>
        <v>2023-Q1</v>
      </c>
      <c r="C75" s="10" t="n">
        <f aca="false">'Data BoP'!AJ74</f>
        <v>-6003.5087082</v>
      </c>
      <c r="D75" s="15" t="n">
        <f aca="false">SUM('Data BoP'!AJ71:AJ74)</f>
        <v>-2276.13728624</v>
      </c>
      <c r="E75" s="10" t="n">
        <f aca="false">SUM('Data BoP'!$AJ$6:$AJ74)</f>
        <v>9045.79343191567</v>
      </c>
      <c r="F75" s="18" t="n">
        <f aca="false">IF('Data BoP'!$AQ74=0,"",D75/'Data BoP'!$AQ74)</f>
        <v>-0.00350919540786848</v>
      </c>
    </row>
    <row r="76" customFormat="false" ht="15" hidden="false" customHeight="false" outlineLevel="0" collapsed="false">
      <c r="B76" s="14" t="str">
        <f aca="false">'Data BoP'!B75</f>
        <v>2023-Q2</v>
      </c>
      <c r="C76" s="10" t="n">
        <f aca="false">'Data BoP'!AJ75</f>
        <v>-10058.4534464828</v>
      </c>
      <c r="D76" s="15" t="n">
        <f aca="false">SUM('Data BoP'!AJ72:AJ75)</f>
        <v>-13617.9907327227</v>
      </c>
      <c r="E76" s="10" t="n">
        <f aca="false">SUM('Data BoP'!$AJ$6:$AJ75)</f>
        <v>-1012.66001456708</v>
      </c>
      <c r="F76" s="18" t="n">
        <f aca="false">IF('Data BoP'!$AQ75=0,"",D76/'Data BoP'!$AQ75)</f>
        <v>-0.0208064789062298</v>
      </c>
    </row>
    <row r="77" customFormat="false" ht="15" hidden="false" customHeight="false" outlineLevel="0" collapsed="false">
      <c r="B77" s="14" t="str">
        <f aca="false">'Data BoP'!B76</f>
        <v>2023-Q3</v>
      </c>
      <c r="C77" s="10" t="n">
        <f aca="false">'Data BoP'!AJ76</f>
        <v>-888.823378922871</v>
      </c>
      <c r="D77" s="15" t="n">
        <f aca="false">SUM('Data BoP'!AJ73:AJ76)</f>
        <v>-10981.4920313156</v>
      </c>
      <c r="E77" s="10" t="n">
        <f aca="false">SUM('Data BoP'!$AJ$6:$AJ76)</f>
        <v>-1901.48339348996</v>
      </c>
      <c r="F77" s="18" t="n">
        <f aca="false">IF('Data BoP'!$AQ76=0,"",D77/'Data BoP'!$AQ76)</f>
        <v>-0.0166566323830322</v>
      </c>
    </row>
    <row r="78" customFormat="false" ht="15" hidden="false" customHeight="false" outlineLevel="0" collapsed="false">
      <c r="B78" s="14" t="str">
        <f aca="false">'Data BoP'!B77</f>
        <v>2023-Q4</v>
      </c>
      <c r="C78" s="10" t="n">
        <f aca="false">'Data BoP'!AJ77</f>
        <v>-4724.18615092</v>
      </c>
      <c r="D78" s="15" t="n">
        <f aca="false">SUM('Data BoP'!AJ74:AJ77)</f>
        <v>-21674.9716845256</v>
      </c>
      <c r="E78" s="10" t="n">
        <f aca="false">SUM('Data BoP'!$AJ$6:$AJ77)</f>
        <v>-6625.66954440996</v>
      </c>
      <c r="F78" s="18" t="n">
        <f aca="false">IF('Data BoP'!$AQ77=0,"",D78/'Data BoP'!$AQ77)</f>
        <v>-0.0329296015723232</v>
      </c>
    </row>
    <row r="79" customFormat="false" ht="15" hidden="false" customHeight="false" outlineLevel="0" collapsed="false">
      <c r="B79" s="14" t="str">
        <f aca="false">'Data BoP'!B78</f>
        <v>2024-Q1</v>
      </c>
      <c r="C79" s="10" t="n">
        <f aca="false">'Data BoP'!AJ78</f>
        <v>4078.12468046846</v>
      </c>
      <c r="D79" s="15" t="n">
        <f aca="false">SUM('Data BoP'!AJ75:AJ78)</f>
        <v>-11593.3382958572</v>
      </c>
      <c r="E79" s="10" t="n">
        <f aca="false">SUM('Data BoP'!$AJ$6:$AJ78)</f>
        <v>-2547.5448639415</v>
      </c>
      <c r="F79" s="18" t="n">
        <f aca="false">IF('Data BoP'!$AQ78=0,"",D79/'Data BoP'!$AQ78)</f>
        <v>-0.0184399945686454</v>
      </c>
    </row>
    <row r="80" customFormat="false" ht="15" hidden="false" customHeight="false" outlineLevel="0" collapsed="false">
      <c r="B80" s="14" t="str">
        <f aca="false">'Data BoP'!B79</f>
        <v>2024-Q2</v>
      </c>
      <c r="C80" s="10" t="n">
        <f aca="false">'Data BoP'!AJ79</f>
        <v>1694.05861199759</v>
      </c>
      <c r="D80" s="15" t="n">
        <f aca="false">SUM('Data BoP'!AJ76:AJ79)</f>
        <v>159.173762623171</v>
      </c>
      <c r="E80" s="10" t="n">
        <f aca="false">SUM('Data BoP'!$AJ$6:$AJ79)</f>
        <v>-853.486251943913</v>
      </c>
      <c r="F80" s="18" t="n">
        <f aca="false">IF('Data BoP'!$AQ79=0,"",D80/'Data BoP'!$AQ79)</f>
        <v>0.000259303615811241</v>
      </c>
    </row>
    <row r="81" customFormat="false" ht="15" hidden="false" customHeight="false" outlineLevel="0" collapsed="false">
      <c r="B81" s="14" t="str">
        <f aca="false">'Data BoP'!B80</f>
        <v>2024-Q3</v>
      </c>
      <c r="C81" s="10" t="n">
        <f aca="false">'Data BoP'!AJ80</f>
        <v>-2970.54861060369</v>
      </c>
      <c r="D81" s="15" t="n">
        <f aca="false">SUM('Data BoP'!AJ77:AJ80)</f>
        <v>-1922.55146905765</v>
      </c>
      <c r="E81" s="10" t="n">
        <f aca="false">SUM('Data BoP'!$AJ$6:$AJ80)</f>
        <v>-3824.0348625476</v>
      </c>
      <c r="F81" s="18" t="n">
        <f aca="false">IF('Data BoP'!$AQ80=0,"",D81/'Data BoP'!$AQ80)</f>
        <v>-0.00312035871804337</v>
      </c>
    </row>
    <row r="82" customFormat="false" ht="15" hidden="false" customHeight="false" outlineLevel="0" collapsed="false">
      <c r="B82" s="14" t="str">
        <f aca="false">'Data BoP'!B81</f>
        <v>2024-Q4</v>
      </c>
      <c r="C82" s="10" t="n">
        <f aca="false">'Data BoP'!AJ81</f>
        <v>3291.62862653929</v>
      </c>
      <c r="D82" s="15" t="n">
        <f aca="false">SUM('Data BoP'!AJ78:AJ81)</f>
        <v>6093.26330840165</v>
      </c>
      <c r="E82" s="10" t="n">
        <f aca="false">SUM('Data BoP'!$AJ$6:$AJ81)</f>
        <v>-532.406236008311</v>
      </c>
      <c r="F82" s="18" t="n">
        <f aca="false">IF('Data BoP'!$AQ81=0,"",D82/'Data BoP'!$AQ81)</f>
        <v>0.00962304925792325</v>
      </c>
    </row>
    <row r="83" customFormat="false" ht="15" hidden="false" customHeight="false" outlineLevel="0" collapsed="false">
      <c r="B83" s="14" t="str">
        <f aca="false">'Data BoP'!B82</f>
        <v>2025-Q1</v>
      </c>
      <c r="C83" s="10" t="n">
        <f aca="false">'Data BoP'!AJ82</f>
        <v>-5627.50123842953</v>
      </c>
      <c r="D83" s="15" t="n">
        <f aca="false">SUM('Data BoP'!AJ79:AJ82)</f>
        <v>-3612.36261049634</v>
      </c>
      <c r="E83" s="10" t="n">
        <f aca="false">SUM('Data BoP'!$AJ$6:$AJ82)</f>
        <v>-6159.90747443784</v>
      </c>
      <c r="F83" s="18" t="n">
        <f aca="false">IF('Data BoP'!$AQ82=0,"",D83/'Data BoP'!$AQ82)</f>
        <v>-0.00534014259753495</v>
      </c>
    </row>
    <row r="84" customFormat="false" ht="15" hidden="false" customHeight="false" outlineLevel="0" collapsed="false">
      <c r="B84" s="14" t="str">
        <f aca="false">'Data BoP'!B83</f>
        <v>2025-Q2</v>
      </c>
      <c r="C84" s="10" t="n">
        <f aca="false">'Data BoP'!AJ83</f>
        <v>14271.4136887488</v>
      </c>
      <c r="D84" s="15" t="n">
        <f aca="false">SUM('Data BoP'!AJ80:AJ83)</f>
        <v>8964.99246625489</v>
      </c>
      <c r="E84" s="10" t="n">
        <f aca="false">SUM('Data BoP'!$AJ$6:$AJ83)</f>
        <v>8111.50621431098</v>
      </c>
      <c r="F84" s="18" t="n">
        <f aca="false">IF('Data BoP'!$AQ83=0,"",D84/'Data BoP'!$AQ83)</f>
        <v>0.0128085053337456</v>
      </c>
    </row>
    <row r="85" customFormat="false" ht="15" hidden="false" customHeight="false" outlineLevel="0" collapsed="false">
      <c r="B85" s="14" t="str">
        <f aca="false">'Data BoP'!B84</f>
        <v>2025-Q3</v>
      </c>
      <c r="C85" s="10" t="n">
        <f aca="false">'Data BoP'!AJ84</f>
        <v>-454.452110484241</v>
      </c>
      <c r="D85" s="15" t="n">
        <f aca="false">SUM('Data BoP'!AJ81:AJ84)</f>
        <v>11481.0889663743</v>
      </c>
      <c r="E85" s="10" t="n">
        <f aca="false">SUM('Data BoP'!$AJ$6:$AJ84)</f>
        <v>7657.05410382674</v>
      </c>
      <c r="F85" s="18" t="n">
        <f aca="false">IF('Data BoP'!$AQ84=0,"",D85/'Data BoP'!$AQ84)</f>
        <v>0.0164597832621313</v>
      </c>
    </row>
    <row r="86" customFormat="false" ht="15" hidden="false" customHeight="false" outlineLevel="0" collapsed="false">
      <c r="B86" s="14" t="str">
        <f aca="false">'Data BoP'!B85</f>
        <v>2025-Q4</v>
      </c>
      <c r="C86" s="10" t="n">
        <f aca="false">'Data BoP'!AJ85</f>
        <v>-968.386332067905</v>
      </c>
      <c r="D86" s="15" t="n">
        <f aca="false">SUM('Data BoP'!AJ82:AJ85)</f>
        <v>7221.07400776715</v>
      </c>
      <c r="E86" s="10" t="n">
        <f aca="false">SUM('Data BoP'!$AJ$6:$AJ85)</f>
        <v>6688.66777175883</v>
      </c>
      <c r="F86" s="18" t="n">
        <f aca="false">IF('Data BoP'!$AQ85=0,"",D86/'Data BoP'!$AQ85)</f>
        <v>0.0105343303248644</v>
      </c>
    </row>
    <row r="87" customFormat="false" ht="15" hidden="false" customHeight="false" outlineLevel="0" collapsed="false">
      <c r="B87" s="14" t="str">
        <f aca="false">'Data BoP'!B86</f>
        <v>2026-Q1</v>
      </c>
      <c r="C87" s="10" t="n">
        <f aca="false">'Data BoP'!AJ86</f>
        <v>10.5842061960615</v>
      </c>
      <c r="D87" s="15" t="n">
        <f aca="false">SUM('Data BoP'!AJ83:AJ86)</f>
        <v>12859.1594523927</v>
      </c>
      <c r="E87" s="10" t="n">
        <f aca="false">SUM('Data BoP'!$AJ$6:$AJ86)</f>
        <v>6699.2519779549</v>
      </c>
      <c r="F87" s="18" t="n">
        <f aca="false">IF('Data BoP'!$AQ86=0,"",D87/'Data BoP'!$AQ86)</f>
        <v>0.0187861533061722</v>
      </c>
    </row>
    <row r="90" customFormat="false" ht="15" hidden="false" customHeight="false" outlineLevel="0" collapsed="false">
      <c r="B90" s="3" t="s">
        <v>186</v>
      </c>
    </row>
    <row r="91" customFormat="false" ht="33.75" hidden="false" customHeight="true" outlineLevel="0" collapsed="false">
      <c r="B91" s="13" t="s">
        <v>40</v>
      </c>
      <c r="C91" s="6" t="s">
        <v>238</v>
      </c>
      <c r="D91" s="6" t="s">
        <v>11</v>
      </c>
      <c r="E91" s="6" t="s">
        <v>239</v>
      </c>
      <c r="F91" s="6" t="s">
        <v>240</v>
      </c>
      <c r="G91" s="6" t="s">
        <v>241</v>
      </c>
    </row>
    <row r="92" customFormat="false" ht="15" hidden="false" customHeight="false" outlineLevel="0" collapsed="false">
      <c r="B92" s="16" t="n">
        <v>2006</v>
      </c>
      <c r="C92" s="15" t="n">
        <f aca="false">SUMIFS('Data BoP'!$AJ$6:$AJ$86,'Data BoP'!$C$6:$C$86,$B92)</f>
        <v>3529.83</v>
      </c>
      <c r="D92" s="18" t="n">
        <f aca="false">C92/SUMIFS('Data BoP'!$AP$6:$AP$86,'Data BoP'!$C$6:$C$86,$B92)</f>
        <v>0.01515817052479</v>
      </c>
      <c r="E92" s="10" t="n">
        <f aca="false">SUMIFS('Data BoP'!$E$6:$E$86,'Data BoP'!$C$6:$C$86,$B92)</f>
        <v>6498.80252020454</v>
      </c>
      <c r="F92" s="10" t="n">
        <f aca="false">-(SUMIFS('Data BoP'!$U$6:$U$86,'Data BoP'!$C$6:$C$86,$B92)-C92)</f>
        <v>-3950.60088796755</v>
      </c>
      <c r="G92" s="10" t="n">
        <f aca="false">SUMIFS('Data BoP'!$AK$6:$AK$86,'Data BoP'!$C$6:$C$86,$B92)</f>
        <v>884.004039958215</v>
      </c>
    </row>
    <row r="93" customFormat="false" ht="15" hidden="false" customHeight="false" outlineLevel="0" collapsed="false">
      <c r="B93" s="16" t="n">
        <v>2007</v>
      </c>
      <c r="C93" s="15" t="n">
        <f aca="false">SUMIFS('Data BoP'!$AJ$6:$AJ$86,'Data BoP'!$C$6:$C$86,$B93)</f>
        <v>13089.72</v>
      </c>
      <c r="D93" s="18" t="n">
        <f aca="false">C93/SUMIFS('Data BoP'!$AP$6:$AP$86,'Data BoP'!$C$6:$C$86,$B93)</f>
        <v>0.0454841926024201</v>
      </c>
      <c r="E93" s="10" t="n">
        <f aca="false">SUMIFS('Data BoP'!$E$6:$E$86,'Data BoP'!$C$6:$C$86,$B93)</f>
        <v>6048.53789288669</v>
      </c>
      <c r="F93" s="10" t="n">
        <f aca="false">-(SUMIFS('Data BoP'!$U$6:$U$86,'Data BoP'!$C$6:$C$86,$B93)-C93)</f>
        <v>7190.27312033278</v>
      </c>
      <c r="G93" s="10" t="n">
        <f aca="false">SUMIFS('Data BoP'!$AK$6:$AK$86,'Data BoP'!$C$6:$C$86,$B93)</f>
        <v>-270.236902187651</v>
      </c>
    </row>
    <row r="94" customFormat="false" ht="15" hidden="false" customHeight="false" outlineLevel="0" collapsed="false">
      <c r="B94" s="16" t="n">
        <v>2008</v>
      </c>
      <c r="C94" s="15" t="n">
        <f aca="false">SUMIFS('Data BoP'!$AJ$6:$AJ$86,'Data BoP'!$C$6:$C$86,$B94)</f>
        <v>17.3800000000087</v>
      </c>
      <c r="D94" s="18" t="n">
        <f aca="false">C94/SUMIFS('Data BoP'!$AP$6:$AP$86,'Data BoP'!$C$6:$C$86,$B94)</f>
        <v>4.77632124217764E-005</v>
      </c>
      <c r="E94" s="10" t="n">
        <f aca="false">SUMIFS('Data BoP'!$E$6:$E$86,'Data BoP'!$C$6:$C$86,$B94)</f>
        <v>5421.20632861009</v>
      </c>
      <c r="F94" s="10" t="n">
        <f aca="false">-(SUMIFS('Data BoP'!$U$6:$U$86,'Data BoP'!$C$6:$C$86,$B94)-C94)</f>
        <v>-6536.57418271812</v>
      </c>
      <c r="G94" s="10" t="n">
        <f aca="false">SUMIFS('Data BoP'!$AK$6:$AK$86,'Data BoP'!$C$6:$C$86,$B94)</f>
        <v>947.687837381164</v>
      </c>
    </row>
    <row r="95" customFormat="false" ht="15" hidden="false" customHeight="false" outlineLevel="0" collapsed="false">
      <c r="B95" s="16" t="n">
        <v>2009</v>
      </c>
      <c r="C95" s="15" t="n">
        <f aca="false">SUMIFS('Data BoP'!$AJ$6:$AJ$86,'Data BoP'!$C$6:$C$86,$B95)</f>
        <v>1346.21</v>
      </c>
      <c r="D95" s="18" t="n">
        <f aca="false">C95/SUMIFS('Data BoP'!$AP$6:$AP$86,'Data BoP'!$C$6:$C$86,$B95)</f>
        <v>0.00402717180737887</v>
      </c>
      <c r="E95" s="10" t="n">
        <f aca="false">SUMIFS('Data BoP'!$E$6:$E$86,'Data BoP'!$C$6:$C$86,$B95)</f>
        <v>7254.11568393702</v>
      </c>
      <c r="F95" s="10" t="n">
        <f aca="false">-(SUMIFS('Data BoP'!$U$6:$U$86,'Data BoP'!$C$6:$C$86,$B95)-C95)</f>
        <v>-5366.57261735372</v>
      </c>
      <c r="G95" s="10" t="n">
        <f aca="false">SUMIFS('Data BoP'!$AK$6:$AK$86,'Data BoP'!$C$6:$C$86,$B95)</f>
        <v>-621.317294568036</v>
      </c>
    </row>
    <row r="96" customFormat="false" ht="15" hidden="false" customHeight="false" outlineLevel="0" collapsed="false">
      <c r="B96" s="16" t="n">
        <v>2010</v>
      </c>
      <c r="C96" s="15" t="n">
        <f aca="false">SUMIFS('Data BoP'!$AJ$6:$AJ$86,'Data BoP'!$C$6:$C$86,$B96)</f>
        <v>4157.35</v>
      </c>
      <c r="D96" s="18" t="n">
        <f aca="false">C96/SUMIFS('Data BoP'!$AP$6:$AP$86,'Data BoP'!$C$6:$C$86,$B96)</f>
        <v>0.00979710372117189</v>
      </c>
      <c r="E96" s="10" t="n">
        <f aca="false">SUMIFS('Data BoP'!$E$6:$E$86,'Data BoP'!$C$6:$C$86,$B96)</f>
        <v>-1622.99587125069</v>
      </c>
      <c r="F96" s="10" t="n">
        <f aca="false">-(SUMIFS('Data BoP'!$U$6:$U$86,'Data BoP'!$C$6:$C$86,$B96)-C96)</f>
        <v>7959.45328742484</v>
      </c>
      <c r="G96" s="10" t="n">
        <f aca="false">SUMIFS('Data BoP'!$AK$6:$AK$86,'Data BoP'!$C$6:$C$86,$B96)</f>
        <v>-2257.58530091092</v>
      </c>
    </row>
    <row r="97" customFormat="false" ht="15" hidden="false" customHeight="false" outlineLevel="0" collapsed="false">
      <c r="B97" s="16" t="n">
        <v>2011</v>
      </c>
      <c r="C97" s="15" t="n">
        <f aca="false">SUMIFS('Data BoP'!$AJ$6:$AJ$86,'Data BoP'!$C$6:$C$86,$B97)</f>
        <v>-6107.91</v>
      </c>
      <c r="D97" s="18" t="n">
        <f aca="false">C97/SUMIFS('Data BoP'!$AP$6:$AP$86,'Data BoP'!$C$6:$C$86,$B97)</f>
        <v>-0.0115874403968916</v>
      </c>
      <c r="E97" s="10" t="n">
        <f aca="false">SUMIFS('Data BoP'!$E$6:$E$86,'Data BoP'!$C$6:$C$86,$B97)</f>
        <v>-5340.1811923952</v>
      </c>
      <c r="F97" s="10" t="n">
        <f aca="false">-(SUMIFS('Data BoP'!$U$6:$U$86,'Data BoP'!$C$6:$C$86,$B97)-C97)</f>
        <v>-855.707024777472</v>
      </c>
      <c r="G97" s="10" t="n">
        <f aca="false">SUMIFS('Data BoP'!$AK$6:$AK$86,'Data BoP'!$C$6:$C$86,$B97)</f>
        <v>25.2543709491077</v>
      </c>
    </row>
    <row r="98" customFormat="false" ht="15" hidden="false" customHeight="false" outlineLevel="0" collapsed="false">
      <c r="B98" s="16" t="n">
        <v>2012</v>
      </c>
      <c r="C98" s="15" t="n">
        <f aca="false">SUMIFS('Data BoP'!$AJ$6:$AJ$86,'Data BoP'!$C$6:$C$86,$B98)</f>
        <v>-3304.72</v>
      </c>
      <c r="D98" s="18" t="n">
        <f aca="false">C98/SUMIFS('Data BoP'!$AP$6:$AP$86,'Data BoP'!$C$6:$C$86,$B98)</f>
        <v>-0.00570682911627794</v>
      </c>
      <c r="E98" s="10" t="n">
        <f aca="false">SUMIFS('Data BoP'!$E$6:$E$86,'Data BoP'!$C$6:$C$86,$B98)</f>
        <v>-2138.04036043296</v>
      </c>
      <c r="F98" s="10" t="n">
        <f aca="false">-(SUMIFS('Data BoP'!$U$6:$U$86,'Data BoP'!$C$6:$C$86,$B98)-C98)</f>
        <v>-516.584386221809</v>
      </c>
      <c r="G98" s="10" t="n">
        <f aca="false">SUMIFS('Data BoP'!$AK$6:$AK$86,'Data BoP'!$C$6:$C$86,$B98)</f>
        <v>-697.979297914052</v>
      </c>
    </row>
    <row r="99" customFormat="false" ht="15" hidden="false" customHeight="false" outlineLevel="0" collapsed="false">
      <c r="B99" s="16" t="n">
        <v>2013</v>
      </c>
      <c r="C99" s="15" t="n">
        <f aca="false">SUMIFS('Data BoP'!$AJ$6:$AJ$86,'Data BoP'!$C$6:$C$86,$B99)</f>
        <v>-11823.76</v>
      </c>
      <c r="D99" s="18" t="n">
        <f aca="false">C99/SUMIFS('Data BoP'!$AP$6:$AP$86,'Data BoP'!$C$6:$C$86,$B99)</f>
        <v>-0.0193468126460776</v>
      </c>
      <c r="E99" s="10" t="n">
        <f aca="false">SUMIFS('Data BoP'!$E$6:$E$86,'Data BoP'!$C$6:$C$86,$B99)</f>
        <v>-13124.3737858633</v>
      </c>
      <c r="F99" s="10" t="n">
        <f aca="false">-(SUMIFS('Data BoP'!$U$6:$U$86,'Data BoP'!$C$6:$C$86,$B99)-C99)</f>
        <v>4341.13649125326</v>
      </c>
      <c r="G99" s="10" t="n">
        <f aca="false">SUMIFS('Data BoP'!$AK$6:$AK$86,'Data BoP'!$C$6:$C$86,$B99)</f>
        <v>-3073.9355791084</v>
      </c>
    </row>
    <row r="100" customFormat="false" ht="15" hidden="false" customHeight="false" outlineLevel="0" collapsed="false">
      <c r="B100" s="16" t="n">
        <v>2014</v>
      </c>
      <c r="C100" s="15" t="n">
        <f aca="false">SUMIFS('Data BoP'!$AJ$6:$AJ$86,'Data BoP'!$C$6:$C$86,$B100)</f>
        <v>1195.11</v>
      </c>
      <c r="D100" s="18" t="n">
        <f aca="false">C100/SUMIFS('Data BoP'!$AP$6:$AP$86,'Data BoP'!$C$6:$C$86,$B100)</f>
        <v>0.00212333204421354</v>
      </c>
      <c r="E100" s="10" t="n">
        <f aca="false">SUMIFS('Data BoP'!$E$6:$E$86,'Data BoP'!$C$6:$C$86,$B100)</f>
        <v>-9179.02626687552</v>
      </c>
      <c r="F100" s="10" t="n">
        <f aca="false">-(SUMIFS('Data BoP'!$U$6:$U$86,'Data BoP'!$C$6:$C$86,$B100)-C100)</f>
        <v>10515.7823046232</v>
      </c>
      <c r="G100" s="10" t="n">
        <f aca="false">SUMIFS('Data BoP'!$AK$6:$AK$86,'Data BoP'!$C$6:$C$86,$B100)</f>
        <v>-198.443142881411</v>
      </c>
    </row>
    <row r="101" customFormat="false" ht="15" hidden="false" customHeight="false" outlineLevel="0" collapsed="false">
      <c r="B101" s="16" t="n">
        <v>2015</v>
      </c>
      <c r="C101" s="15" t="n">
        <f aca="false">SUMIFS('Data BoP'!$AJ$6:$AJ$86,'Data BoP'!$C$6:$C$86,$B101)</f>
        <v>-4905.97</v>
      </c>
      <c r="D101" s="18" t="n">
        <f aca="false">C101/SUMIFS('Data BoP'!$AP$6:$AP$86,'Data BoP'!$C$6:$C$86,$B101)</f>
        <v>-0.00764098293037949</v>
      </c>
      <c r="E101" s="10" t="n">
        <f aca="false">SUMIFS('Data BoP'!$E$6:$E$86,'Data BoP'!$C$6:$C$86,$B101)</f>
        <v>-17621.98516821</v>
      </c>
      <c r="F101" s="10" t="n">
        <f aca="false">-(SUMIFS('Data BoP'!$U$6:$U$86,'Data BoP'!$C$6:$C$86,$B101)-C101)</f>
        <v>13591.8792219529</v>
      </c>
      <c r="G101" s="10" t="n">
        <f aca="false">SUMIFS('Data BoP'!$AK$6:$AK$86,'Data BoP'!$C$6:$C$86,$B101)</f>
        <v>-927.793253511421</v>
      </c>
    </row>
    <row r="102" customFormat="false" ht="15" hidden="false" customHeight="false" outlineLevel="0" collapsed="false">
      <c r="B102" s="16" t="n">
        <v>2016</v>
      </c>
      <c r="C102" s="15" t="n">
        <f aca="false">SUMIFS('Data BoP'!$AJ$6:$AJ$86,'Data BoP'!$C$6:$C$86,$B102)</f>
        <v>14311.2354955464</v>
      </c>
      <c r="D102" s="18" t="n">
        <f aca="false">C102/SUMIFS('Data BoP'!$AP$6:$AP$86,'Data BoP'!$C$6:$C$86,$B102)</f>
        <v>0.0257004702173527</v>
      </c>
      <c r="E102" s="10" t="n">
        <f aca="false">SUMIFS('Data BoP'!$E$6:$E$86,'Data BoP'!$C$6:$C$86,$B102)</f>
        <v>-15104.7865245601</v>
      </c>
      <c r="F102" s="10" t="n">
        <f aca="false">-(SUMIFS('Data BoP'!$U$6:$U$86,'Data BoP'!$C$6:$C$86,$B102)-C102)</f>
        <v>28275.2916802374</v>
      </c>
      <c r="G102" s="10" t="n">
        <f aca="false">SUMIFS('Data BoP'!$AK$6:$AK$86,'Data BoP'!$C$6:$C$86,$B102)</f>
        <v>774.915755131614</v>
      </c>
    </row>
    <row r="103" customFormat="false" ht="15" hidden="false" customHeight="false" outlineLevel="0" collapsed="false">
      <c r="B103" s="16" t="n">
        <v>2017</v>
      </c>
      <c r="C103" s="15" t="n">
        <f aca="false">SUMIFS('Data BoP'!$AJ$6:$AJ$86,'Data BoP'!$C$6:$C$86,$B103)</f>
        <v>14555.705524074</v>
      </c>
      <c r="D103" s="18" t="n">
        <f aca="false">C103/SUMIFS('Data BoP'!$AP$6:$AP$86,'Data BoP'!$C$6:$C$86,$B103)</f>
        <v>0.0226236781060926</v>
      </c>
      <c r="E103" s="10" t="n">
        <f aca="false">SUMIFS('Data BoP'!$E$6:$E$86,'Data BoP'!$C$6:$C$86,$B103)</f>
        <v>-31151.3517507624</v>
      </c>
      <c r="F103" s="10" t="n">
        <f aca="false">-(SUMIFS('Data BoP'!$U$6:$U$86,'Data BoP'!$C$6:$C$86,$B103)-C103)</f>
        <v>45828.8934550852</v>
      </c>
      <c r="G103" s="10" t="n">
        <f aca="false">SUMIFS('Data BoP'!$AK$6:$AK$86,'Data BoP'!$C$6:$C$86,$B103)</f>
        <v>-295.331647652765</v>
      </c>
    </row>
    <row r="104" customFormat="false" ht="15" hidden="false" customHeight="false" outlineLevel="0" collapsed="false">
      <c r="B104" s="16" t="n">
        <v>2018</v>
      </c>
      <c r="C104" s="15" t="n">
        <f aca="false">SUMIFS('Data BoP'!$AJ$6:$AJ$86,'Data BoP'!$C$6:$C$86,$B104)</f>
        <v>11276.8927768528</v>
      </c>
      <c r="D104" s="18" t="n">
        <f aca="false">C104/SUMIFS('Data BoP'!$AP$6:$AP$86,'Data BoP'!$C$6:$C$86,$B104)</f>
        <v>0.0207183974446009</v>
      </c>
      <c r="E104" s="10" t="n">
        <f aca="false">SUMIFS('Data BoP'!$E$6:$E$86,'Data BoP'!$C$6:$C$86,$B104)</f>
        <v>-27083.606451057</v>
      </c>
      <c r="F104" s="10" t="n">
        <f aca="false">-(SUMIFS('Data BoP'!$U$6:$U$86,'Data BoP'!$C$6:$C$86,$B104)-C104)</f>
        <v>39312.7135616918</v>
      </c>
      <c r="G104" s="10" t="n">
        <f aca="false">SUMIFS('Data BoP'!$AK$6:$AK$86,'Data BoP'!$C$6:$C$86,$B104)</f>
        <v>-1063.28985182095</v>
      </c>
    </row>
    <row r="105" customFormat="false" ht="15" hidden="false" customHeight="false" outlineLevel="0" collapsed="false">
      <c r="B105" s="16" t="n">
        <v>2019</v>
      </c>
      <c r="C105" s="15" t="n">
        <f aca="false">SUMIFS('Data BoP'!$AJ$6:$AJ$86,'Data BoP'!$C$6:$C$86,$B105)</f>
        <v>-21374.5572677384</v>
      </c>
      <c r="D105" s="18" t="n">
        <f aca="false">C105/SUMIFS('Data BoP'!$AP$6:$AP$86,'Data BoP'!$C$6:$C$86,$B105)</f>
        <v>-0.0475436605464101</v>
      </c>
      <c r="E105" s="10" t="n">
        <f aca="false">SUMIFS('Data BoP'!$E$6:$E$86,'Data BoP'!$C$6:$C$86,$B105)</f>
        <v>-3492.4795810842</v>
      </c>
      <c r="F105" s="10" t="n">
        <f aca="false">-(SUMIFS('Data BoP'!$U$6:$U$86,'Data BoP'!$C$6:$C$86,$B105)-C105)</f>
        <v>-16255.2917105149</v>
      </c>
      <c r="G105" s="10" t="n">
        <f aca="false">SUMIFS('Data BoP'!$AK$6:$AK$86,'Data BoP'!$C$6:$C$86,$B105)</f>
        <v>-1910.73327653712</v>
      </c>
    </row>
    <row r="106" customFormat="false" ht="15" hidden="false" customHeight="false" outlineLevel="0" collapsed="false">
      <c r="B106" s="16" t="n">
        <v>2020</v>
      </c>
      <c r="C106" s="15" t="n">
        <f aca="false">SUMIFS('Data BoP'!$AJ$6:$AJ$86,'Data BoP'!$C$6:$C$86,$B106)</f>
        <v>-7727.1708557292</v>
      </c>
      <c r="D106" s="18" t="n">
        <f aca="false">C106/SUMIFS('Data BoP'!$AP$6:$AP$86,'Data BoP'!$C$6:$C$86,$B106)</f>
        <v>-0.0200617970902633</v>
      </c>
      <c r="E106" s="10" t="n">
        <f aca="false">SUMIFS('Data BoP'!$E$6:$E$86,'Data BoP'!$C$6:$C$86,$B106)</f>
        <v>2688.36200552312</v>
      </c>
      <c r="F106" s="10" t="n">
        <f aca="false">-(SUMIFS('Data BoP'!$U$6:$U$86,'Data BoP'!$C$6:$C$86,$B106)-C106)</f>
        <v>-9089.29086245819</v>
      </c>
      <c r="G106" s="10" t="n">
        <f aca="false">SUMIFS('Data BoP'!$AK$6:$AK$86,'Data BoP'!$C$6:$C$86,$B106)</f>
        <v>-1491.00447234746</v>
      </c>
    </row>
    <row r="107" customFormat="false" ht="15" hidden="false" customHeight="false" outlineLevel="0" collapsed="false">
      <c r="B107" s="16" t="n">
        <v>2021</v>
      </c>
      <c r="C107" s="15" t="n">
        <f aca="false">SUMIFS('Data BoP'!$AJ$6:$AJ$86,'Data BoP'!$C$6:$C$86,$B107)</f>
        <v>-105.812825529981</v>
      </c>
      <c r="D107" s="18" t="n">
        <f aca="false">C107/SUMIFS('Data BoP'!$AP$6:$AP$86,'Data BoP'!$C$6:$C$86,$B107)</f>
        <v>-0.000218539458377032</v>
      </c>
      <c r="E107" s="10" t="n">
        <f aca="false">SUMIFS('Data BoP'!$E$6:$E$86,'Data BoP'!$C$6:$C$86,$B107)</f>
        <v>6624.785192348</v>
      </c>
      <c r="F107" s="10" t="n">
        <f aca="false">-(SUMIFS('Data BoP'!$U$6:$U$86,'Data BoP'!$C$6:$C$86,$B107)-C107)</f>
        <v>-4607.52092792279</v>
      </c>
      <c r="G107" s="10" t="n">
        <f aca="false">SUMIFS('Data BoP'!$AK$6:$AK$86,'Data BoP'!$C$6:$C$86,$B107)</f>
        <v>-2376.06511016302</v>
      </c>
    </row>
    <row r="108" customFormat="false" ht="15" hidden="false" customHeight="false" outlineLevel="0" collapsed="false">
      <c r="B108" s="16" t="n">
        <v>2022</v>
      </c>
      <c r="C108" s="15" t="n">
        <f aca="false">SUMIFS('Data BoP'!$AJ$6:$AJ$86,'Data BoP'!$C$6:$C$86,$B108)</f>
        <v>6919.76929264</v>
      </c>
      <c r="D108" s="18" t="n">
        <f aca="false">C108/SUMIFS('Data BoP'!$AP$6:$AP$86,'Data BoP'!$C$6:$C$86,$B108)</f>
        <v>0.0109614927927355</v>
      </c>
      <c r="E108" s="10" t="n">
        <f aca="false">SUMIFS('Data BoP'!$E$6:$E$86,'Data BoP'!$C$6:$C$86,$B108)</f>
        <v>-3964.07491528094</v>
      </c>
      <c r="F108" s="10" t="n">
        <f aca="false">-(SUMIFS('Data BoP'!$U$6:$U$86,'Data BoP'!$C$6:$C$86,$B108)-C108)</f>
        <v>14356.9307905815</v>
      </c>
      <c r="G108" s="10" t="n">
        <f aca="false">SUMIFS('Data BoP'!$AK$6:$AK$86,'Data BoP'!$C$6:$C$86,$B108)</f>
        <v>-3664.60111382926</v>
      </c>
    </row>
    <row r="109" customFormat="false" ht="15" hidden="false" customHeight="false" outlineLevel="0" collapsed="false">
      <c r="B109" s="16" t="n">
        <v>2023</v>
      </c>
      <c r="C109" s="15" t="n">
        <f aca="false">SUMIFS('Data BoP'!$AJ$6:$AJ$86,'Data BoP'!$C$6:$C$86,$B109)</f>
        <v>-21674.9716845256</v>
      </c>
      <c r="D109" s="18" t="n">
        <f aca="false">C109/SUMIFS('Data BoP'!$AP$6:$AP$86,'Data BoP'!$C$6:$C$86,$B109)</f>
        <v>-0.0329296015723232</v>
      </c>
      <c r="E109" s="10" t="n">
        <f aca="false">SUMIFS('Data BoP'!$E$6:$E$86,'Data BoP'!$C$6:$C$86,$B109)</f>
        <v>-22354.6872895608</v>
      </c>
      <c r="F109" s="10" t="n">
        <f aca="false">-(SUMIFS('Data BoP'!$U$6:$U$86,'Data BoP'!$C$6:$C$86,$B109)-C109)</f>
        <v>4239.33743204847</v>
      </c>
      <c r="G109" s="10" t="n">
        <f aca="false">SUMIFS('Data BoP'!$AK$6:$AK$86,'Data BoP'!$C$6:$C$86,$B109)</f>
        <v>-3750.01037831532</v>
      </c>
    </row>
    <row r="110" customFormat="false" ht="15" hidden="false" customHeight="false" outlineLevel="0" collapsed="false">
      <c r="B110" s="16" t="n">
        <v>2024</v>
      </c>
      <c r="C110" s="15" t="n">
        <f aca="false">SUMIFS('Data BoP'!$AJ$6:$AJ$86,'Data BoP'!$C$6:$C$86,$B110)</f>
        <v>6093.26330840165</v>
      </c>
      <c r="D110" s="18" t="n">
        <f aca="false">C110/SUMIFS('Data BoP'!$AP$6:$AP$86,'Data BoP'!$C$6:$C$86,$B110)</f>
        <v>0.00962304925792325</v>
      </c>
      <c r="E110" s="10" t="n">
        <f aca="false">SUMIFS('Data BoP'!$E$6:$E$86,'Data BoP'!$C$6:$C$86,$B110)</f>
        <v>5891.4047816786</v>
      </c>
      <c r="F110" s="10" t="n">
        <f aca="false">-(SUMIFS('Data BoP'!$U$6:$U$86,'Data BoP'!$C$6:$C$86,$B110)-C110)</f>
        <v>3774.22568133486</v>
      </c>
      <c r="G110" s="10" t="n">
        <f aca="false">SUMIFS('Data BoP'!$AK$6:$AK$86,'Data BoP'!$C$6:$C$86,$B110)</f>
        <v>-3849.94550286667</v>
      </c>
    </row>
    <row r="111" customFormat="false" ht="15" hidden="false" customHeight="false" outlineLevel="0" collapsed="false">
      <c r="B111" s="16" t="n">
        <v>2025</v>
      </c>
      <c r="C111" s="15" t="n">
        <f aca="false">SUMIFS('Data BoP'!$AJ$6:$AJ$86,'Data BoP'!$C$6:$C$86,$B111)</f>
        <v>7221.07400776715</v>
      </c>
      <c r="D111" s="18" t="n">
        <f aca="false">C111/SUMIFS('Data BoP'!$AP$6:$AP$86,'Data BoP'!$C$6:$C$86,$B111)</f>
        <v>0.0105343303248644</v>
      </c>
      <c r="E111" s="10" t="n">
        <f aca="false">SUMIFS('Data BoP'!$E$6:$E$86,'Data BoP'!$C$6:$C$86,$B111)</f>
        <v>-7788.12555895449</v>
      </c>
      <c r="F111" s="10" t="n">
        <f aca="false">-(SUMIFS('Data BoP'!$U$6:$U$86,'Data BoP'!$C$6:$C$86,$B111)-C111)</f>
        <v>19224.1776720304</v>
      </c>
      <c r="G111" s="10" t="n">
        <f aca="false">SUMIFS('Data BoP'!$AK$6:$AK$86,'Data BoP'!$C$6:$C$86,$B111)</f>
        <v>-4669.1182466558</v>
      </c>
    </row>
    <row r="113" customFormat="false" ht="15" hidden="false" customHeight="false" outlineLevel="0" collapsed="false">
      <c r="B113" s="12" t="s">
        <v>242</v>
      </c>
    </row>
    <row r="114" customFormat="false" ht="15" hidden="false" customHeight="false" outlineLevel="0" collapsed="false">
      <c r="B114" s="12" t="s">
        <v>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J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5" min="3" style="0" width="40"/>
    <col collapsed="false" customWidth="true" hidden="false" outlineLevel="0" max="10" min="6" style="0" width="12"/>
  </cols>
  <sheetData>
    <row r="2" customFormat="false" ht="25.5" hidden="false" customHeight="true" outlineLevel="0" collapsed="false">
      <c r="B2" s="1" t="s">
        <v>244</v>
      </c>
    </row>
    <row r="3" customFormat="false" ht="15" hidden="false" customHeight="false" outlineLevel="0" collapsed="false">
      <c r="B3" s="2" t="s">
        <v>245</v>
      </c>
    </row>
    <row r="4" customFormat="false" ht="15" hidden="false" customHeight="false" outlineLevel="0" collapsed="false">
      <c r="B4" s="2" t="s">
        <v>246</v>
      </c>
    </row>
    <row r="7" customFormat="false" ht="33.75" hidden="false" customHeight="true" outlineLevel="0" collapsed="false">
      <c r="B7" s="13" t="s">
        <v>247</v>
      </c>
      <c r="C7" s="6" t="s">
        <v>248</v>
      </c>
      <c r="D7" s="6" t="s">
        <v>249</v>
      </c>
      <c r="E7" s="6" t="s">
        <v>250</v>
      </c>
      <c r="F7" s="6" t="s">
        <v>251</v>
      </c>
      <c r="G7" s="6" t="s">
        <v>252</v>
      </c>
      <c r="H7" s="6" t="s">
        <v>253</v>
      </c>
      <c r="I7" s="6" t="s">
        <v>254</v>
      </c>
      <c r="J7" s="6" t="s">
        <v>255</v>
      </c>
    </row>
    <row r="8" customFormat="false" ht="15" hidden="false" customHeight="false" outlineLevel="0" collapsed="false">
      <c r="B8" s="7" t="s">
        <v>256</v>
      </c>
      <c r="C8" s="19" t="n">
        <f aca="false">SUMIFS('Data BoP'!$H$6:$H$86,'Data BoP'!$C$6:$C$86,2025)</f>
        <v>87151.6832045802</v>
      </c>
      <c r="D8" s="19" t="n">
        <f aca="false">'Data BoP'!H86</f>
        <v>21916.0489203701</v>
      </c>
      <c r="E8" s="9" t="n">
        <v>103000</v>
      </c>
      <c r="F8" s="9" t="n">
        <v>98000</v>
      </c>
      <c r="G8" s="9" t="n">
        <v>94500</v>
      </c>
      <c r="H8" s="9" t="n">
        <v>118000</v>
      </c>
      <c r="I8" s="9" t="n">
        <v>109000</v>
      </c>
      <c r="J8" s="9" t="n">
        <v>101000</v>
      </c>
    </row>
    <row r="9" customFormat="false" ht="15" hidden="false" customHeight="false" outlineLevel="0" collapsed="false">
      <c r="B9" s="7" t="s">
        <v>257</v>
      </c>
      <c r="C9" s="19" t="n">
        <f aca="false">SUMIFS('Data BoP'!$I$6:$I$86,'Data BoP'!$C$6:$C$86,2025)</f>
        <v>71792.6478005599</v>
      </c>
      <c r="D9" s="19" t="n">
        <f aca="false">'Data BoP'!I86</f>
        <v>15576.58931795</v>
      </c>
      <c r="E9" s="9" t="n">
        <v>76000</v>
      </c>
      <c r="F9" s="9" t="n">
        <v>79000</v>
      </c>
      <c r="G9" s="9" t="n">
        <v>81000</v>
      </c>
      <c r="H9" s="9" t="n">
        <v>84000</v>
      </c>
      <c r="I9" s="9" t="n">
        <v>89000</v>
      </c>
      <c r="J9" s="9" t="n">
        <v>89000</v>
      </c>
    </row>
    <row r="10" customFormat="false" ht="15" hidden="false" customHeight="false" outlineLevel="0" collapsed="false">
      <c r="B10" s="7" t="s">
        <v>258</v>
      </c>
      <c r="C10" s="19" t="n">
        <f aca="false">SUMIFS('Data BoP'!$K$6:$K$86,'Data BoP'!$C$6:$C$86,2025)</f>
        <v>18340.8573341391</v>
      </c>
      <c r="D10" s="19" t="n">
        <f aca="false">'Data BoP'!K86</f>
        <v>5208.86949768429</v>
      </c>
      <c r="E10" s="9" t="n">
        <v>21500</v>
      </c>
      <c r="F10" s="9" t="n">
        <v>21000</v>
      </c>
      <c r="G10" s="9" t="n">
        <v>20500</v>
      </c>
      <c r="H10" s="9" t="n">
        <v>23500</v>
      </c>
      <c r="I10" s="9" t="n">
        <v>22500</v>
      </c>
      <c r="J10" s="9" t="n">
        <v>21500</v>
      </c>
    </row>
    <row r="11" customFormat="false" ht="15" hidden="false" customHeight="false" outlineLevel="0" collapsed="false">
      <c r="B11" s="7" t="s">
        <v>259</v>
      </c>
      <c r="C11" s="19" t="n">
        <f aca="false">SUMIFS('Data BoP'!$L$6:$L$86,'Data BoP'!$C$6:$C$86,2025)</f>
        <v>29941.795284413</v>
      </c>
      <c r="D11" s="19" t="n">
        <f aca="false">'Data BoP'!L86</f>
        <v>9236.94244651635</v>
      </c>
      <c r="E11" s="9" t="n">
        <v>32000</v>
      </c>
      <c r="F11" s="9" t="n">
        <v>34500</v>
      </c>
      <c r="G11" s="9" t="n">
        <v>35500</v>
      </c>
      <c r="H11" s="9" t="n">
        <v>33500</v>
      </c>
      <c r="I11" s="9" t="n">
        <v>36500</v>
      </c>
      <c r="J11" s="9" t="n">
        <v>38000</v>
      </c>
    </row>
    <row r="12" customFormat="false" ht="15" hidden="false" customHeight="false" outlineLevel="0" collapsed="false">
      <c r="B12" s="7" t="s">
        <v>177</v>
      </c>
      <c r="C12" s="19" t="n">
        <f aca="false">SUMIFS('Data BoP'!$M$6:$M$86,'Data BoP'!$C$6:$C$86,2025)</f>
        <v>-14078.6828629298</v>
      </c>
      <c r="D12" s="19" t="n">
        <f aca="false">'Data BoP'!M86</f>
        <v>-4675.83316750227</v>
      </c>
      <c r="E12" s="9" t="n">
        <v>-15500</v>
      </c>
      <c r="F12" s="9" t="n">
        <v>-17000</v>
      </c>
      <c r="G12" s="9" t="n">
        <v>-18500</v>
      </c>
      <c r="H12" s="9" t="n">
        <v>-16500</v>
      </c>
      <c r="I12" s="9" t="n">
        <v>-18500</v>
      </c>
      <c r="J12" s="9" t="n">
        <v>-20000</v>
      </c>
    </row>
    <row r="13" customFormat="false" ht="15" hidden="false" customHeight="false" outlineLevel="0" collapsed="false">
      <c r="B13" s="7" t="s">
        <v>184</v>
      </c>
      <c r="C13" s="19" t="n">
        <f aca="false">SUMIFS('Data BoP'!$S$6:$S$86,'Data BoP'!$C$6:$C$86,2025)</f>
        <v>2532.45985022887</v>
      </c>
      <c r="D13" s="19" t="n">
        <f aca="false">'Data BoP'!S86</f>
        <v>713.920666479853</v>
      </c>
      <c r="E13" s="9" t="n">
        <v>2900</v>
      </c>
      <c r="F13" s="9" t="n">
        <v>2800</v>
      </c>
      <c r="G13" s="9" t="n">
        <v>2700</v>
      </c>
      <c r="H13" s="9" t="n">
        <v>3000</v>
      </c>
      <c r="I13" s="9" t="n">
        <v>2900</v>
      </c>
      <c r="J13" s="9" t="n">
        <v>2800</v>
      </c>
    </row>
    <row r="14" customFormat="false" ht="15" hidden="false" customHeight="false" outlineLevel="0" collapsed="false">
      <c r="B14" s="20" t="s">
        <v>171</v>
      </c>
      <c r="C14" s="21" t="n">
        <f aca="false">C8-C9</f>
        <v>15359.0354040203</v>
      </c>
      <c r="D14" s="21" t="n">
        <f aca="false">D8-D9</f>
        <v>6339.4596024201</v>
      </c>
      <c r="E14" s="21" t="n">
        <f aca="false">E8-E9</f>
        <v>27000</v>
      </c>
      <c r="F14" s="21" t="n">
        <f aca="false">F8-F9</f>
        <v>19000</v>
      </c>
      <c r="G14" s="21" t="n">
        <f aca="false">G8-G9</f>
        <v>13500</v>
      </c>
      <c r="H14" s="21" t="n">
        <f aca="false">H8-H9</f>
        <v>34000</v>
      </c>
      <c r="I14" s="21" t="n">
        <f aca="false">I8-I9</f>
        <v>20000</v>
      </c>
      <c r="J14" s="21" t="n">
        <f aca="false">J8-J9</f>
        <v>12000</v>
      </c>
    </row>
    <row r="15" customFormat="false" ht="15" hidden="false" customHeight="false" outlineLevel="0" collapsed="false">
      <c r="B15" s="20" t="s">
        <v>174</v>
      </c>
      <c r="C15" s="21" t="n">
        <f aca="false">C10-C11</f>
        <v>-11600.9379502738</v>
      </c>
      <c r="D15" s="21" t="n">
        <f aca="false">D10-D11</f>
        <v>-4028.07294883206</v>
      </c>
      <c r="E15" s="21" t="n">
        <f aca="false">E10-E11</f>
        <v>-10500</v>
      </c>
      <c r="F15" s="21" t="n">
        <f aca="false">F10-F11</f>
        <v>-13500</v>
      </c>
      <c r="G15" s="21" t="n">
        <f aca="false">G10-G11</f>
        <v>-15000</v>
      </c>
      <c r="H15" s="21" t="n">
        <f aca="false">H10-H11</f>
        <v>-10000</v>
      </c>
      <c r="I15" s="21" t="n">
        <f aca="false">I10-I11</f>
        <v>-14000</v>
      </c>
      <c r="J15" s="21" t="n">
        <f aca="false">J10-J11</f>
        <v>-16500</v>
      </c>
    </row>
    <row r="16" customFormat="false" ht="15" hidden="false" customHeight="false" outlineLevel="0" collapsed="false">
      <c r="B16" s="22" t="s">
        <v>170</v>
      </c>
      <c r="C16" s="23" t="n">
        <f aca="false">C14+C15+C12+C13</f>
        <v>-7788.1255589545</v>
      </c>
      <c r="D16" s="23" t="n">
        <f aca="false">D14+D15+D12+D13</f>
        <v>-1650.52584743437</v>
      </c>
      <c r="E16" s="23" t="n">
        <f aca="false">E14+E15+E12+E13</f>
        <v>3900</v>
      </c>
      <c r="F16" s="23" t="n">
        <f aca="false">F14+F15+F12+F13</f>
        <v>-8700</v>
      </c>
      <c r="G16" s="23" t="n">
        <f aca="false">G14+G15+G12+G13</f>
        <v>-17300</v>
      </c>
      <c r="H16" s="23" t="n">
        <f aca="false">H14+H15+H12+H13</f>
        <v>10500</v>
      </c>
      <c r="I16" s="23" t="n">
        <f aca="false">I14+I15+I12+I13</f>
        <v>-9600</v>
      </c>
      <c r="J16" s="23" t="n">
        <f aca="false">J14+J15+J12+J13</f>
        <v>-21700</v>
      </c>
    </row>
    <row r="17" customFormat="false" ht="15" hidden="false" customHeight="false" outlineLevel="0" collapsed="false">
      <c r="B17" s="20" t="s">
        <v>260</v>
      </c>
      <c r="C17" s="18" t="n">
        <f aca="false">IF(C18=0,"",C16/(C18*1000))</f>
        <v>-0.0113615629975955</v>
      </c>
      <c r="D17" s="18" t="n">
        <f aca="false">IF(D18=0,"",D16/(D18*1000))</f>
        <v>-0.0096138394536859</v>
      </c>
      <c r="E17" s="18" t="n">
        <f aca="false">IF(E18=0,"",E16/(E18*1000))</f>
        <v>0.00534246575342466</v>
      </c>
      <c r="F17" s="18" t="n">
        <f aca="false">IF(F18=0,"",F16/(F18*1000))</f>
        <v>-0.0122535211267606</v>
      </c>
      <c r="G17" s="18" t="n">
        <f aca="false">IF(G18=0,"",G16/(G18*1000))</f>
        <v>-0.026015037593985</v>
      </c>
      <c r="H17" s="18" t="n">
        <f aca="false">IF(H18=0,"",H16/(H18*1000))</f>
        <v>0.0134615384615385</v>
      </c>
      <c r="I17" s="18" t="n">
        <f aca="false">IF(I18=0,"",I16/(I18*1000))</f>
        <v>-0.0128</v>
      </c>
      <c r="J17" s="18" t="n">
        <f aca="false">IF(J18=0,"",J16/(J18*1000))</f>
        <v>-0.0314492753623188</v>
      </c>
    </row>
    <row r="18" customFormat="false" ht="15" hidden="false" customHeight="false" outlineLevel="0" collapsed="false">
      <c r="B18" s="7" t="s">
        <v>261</v>
      </c>
      <c r="C18" s="24" t="n">
        <f aca="false">SUMIFS('Data BoP'!$AP$6:$AP$86,'Data BoP'!$C$6:$C$86,2025)/1000</f>
        <v>685.480119293686</v>
      </c>
      <c r="D18" s="24" t="n">
        <f aca="false">'Data BoP'!AP86/1000</f>
        <v>171.682276928555</v>
      </c>
      <c r="E18" s="25" t="n">
        <v>730</v>
      </c>
      <c r="F18" s="25" t="n">
        <v>710</v>
      </c>
      <c r="G18" s="25" t="n">
        <v>665</v>
      </c>
      <c r="H18" s="25" t="n">
        <v>780</v>
      </c>
      <c r="I18" s="25" t="n">
        <v>750</v>
      </c>
      <c r="J18" s="25" t="n">
        <v>690</v>
      </c>
    </row>
    <row r="20" customFormat="false" ht="15" hidden="false" customHeight="false" outlineLevel="0" collapsed="false">
      <c r="B20" s="3" t="s">
        <v>262</v>
      </c>
    </row>
    <row r="21" customFormat="false" ht="15" hidden="false" customHeight="false" outlineLevel="0" collapsed="false">
      <c r="B21" s="7" t="s">
        <v>263</v>
      </c>
      <c r="E21" s="26" t="n">
        <f aca="false">E16-$D$16</f>
        <v>5550.52584743437</v>
      </c>
      <c r="F21" s="26" t="n">
        <f aca="false">F16-$D$16</f>
        <v>-7049.47415256563</v>
      </c>
      <c r="G21" s="26" t="n">
        <f aca="false">G16-$D$16</f>
        <v>-15649.4741525656</v>
      </c>
    </row>
    <row r="22" customFormat="false" ht="15" hidden="false" customHeight="false" outlineLevel="0" collapsed="false">
      <c r="B22" s="7" t="s">
        <v>264</v>
      </c>
      <c r="F22" s="9" t="n">
        <v>-5435</v>
      </c>
      <c r="I22" s="9" t="n">
        <v>-4070</v>
      </c>
    </row>
    <row r="23" customFormat="false" ht="15" hidden="false" customHeight="false" outlineLevel="0" collapsed="false">
      <c r="B23" s="12" t="s">
        <v>265</v>
      </c>
    </row>
    <row r="26" customFormat="false" ht="15" hidden="false" customHeight="false" outlineLevel="0" collapsed="false">
      <c r="B26" s="3" t="s">
        <v>266</v>
      </c>
    </row>
    <row r="27" customFormat="false" ht="15" hidden="false" customHeight="false" outlineLevel="0" collapsed="false">
      <c r="B27" s="13" t="s">
        <v>267</v>
      </c>
      <c r="C27" s="6" t="s">
        <v>268</v>
      </c>
      <c r="D27" s="6" t="s">
        <v>269</v>
      </c>
      <c r="E27" s="6" t="s">
        <v>270</v>
      </c>
    </row>
    <row r="28" customFormat="false" ht="51.75" hidden="false" customHeight="true" outlineLevel="0" collapsed="false">
      <c r="B28" s="27" t="s">
        <v>271</v>
      </c>
      <c r="C28" s="28" t="s">
        <v>272</v>
      </c>
      <c r="D28" s="28" t="s">
        <v>273</v>
      </c>
      <c r="E28" s="28" t="s">
        <v>274</v>
      </c>
    </row>
    <row r="29" customFormat="false" ht="51.75" hidden="false" customHeight="true" outlineLevel="0" collapsed="false">
      <c r="B29" s="27" t="s">
        <v>275</v>
      </c>
      <c r="C29" s="28" t="s">
        <v>276</v>
      </c>
      <c r="D29" s="28" t="s">
        <v>277</v>
      </c>
      <c r="E29" s="28" t="s">
        <v>278</v>
      </c>
    </row>
    <row r="30" customFormat="false" ht="51.75" hidden="false" customHeight="true" outlineLevel="0" collapsed="false">
      <c r="B30" s="27" t="s">
        <v>279</v>
      </c>
      <c r="C30" s="28" t="s">
        <v>280</v>
      </c>
      <c r="D30" s="28" t="s">
        <v>281</v>
      </c>
      <c r="E30" s="28" t="s">
        <v>282</v>
      </c>
    </row>
    <row r="31" customFormat="false" ht="51.75" hidden="false" customHeight="true" outlineLevel="0" collapsed="false">
      <c r="B31" s="27" t="s">
        <v>283</v>
      </c>
      <c r="C31" s="28" t="s">
        <v>284</v>
      </c>
      <c r="D31" s="28" t="s">
        <v>285</v>
      </c>
      <c r="E31" s="28" t="s">
        <v>286</v>
      </c>
    </row>
    <row r="32" customFormat="false" ht="51.75" hidden="false" customHeight="true" outlineLevel="0" collapsed="false">
      <c r="B32" s="27" t="s">
        <v>177</v>
      </c>
      <c r="C32" s="28" t="s">
        <v>287</v>
      </c>
      <c r="D32" s="28" t="s">
        <v>288</v>
      </c>
      <c r="E32" s="28" t="s">
        <v>289</v>
      </c>
    </row>
    <row r="33" customFormat="false" ht="51.75" hidden="false" customHeight="true" outlineLevel="0" collapsed="false">
      <c r="B33" s="27" t="s">
        <v>290</v>
      </c>
      <c r="C33" s="28" t="s">
        <v>291</v>
      </c>
      <c r="D33" s="28" t="s">
        <v>292</v>
      </c>
      <c r="E33" s="28"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2026-08-04T12:40:12Z</dcterms:created>
  <dc:creator>openpyxl</dc:creator>
  <dc:description/>
  <dc:language>en-US</dc:language>
  <cp:lastModifiedBy/>
  <dcterms:modified xsi:type="dcterms:W3CDTF">2026-08-04T12:40:15Z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